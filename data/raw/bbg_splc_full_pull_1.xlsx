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2512658\hardjoshi-ma\data\raw\"/>
    </mc:Choice>
  </mc:AlternateContent>
  <xr:revisionPtr revIDLastSave="0" documentId="13_ncr:1_{6C6B6C52-48C6-4B21-B513-018168DB3E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LC_1" sheetId="1" r:id="rId1"/>
    <sheet name="SPLC_2" sheetId="2" r:id="rId2"/>
    <sheet name="SPLC_3" sheetId="3" r:id="rId3"/>
    <sheet name="SPLC_4" sheetId="4" r:id="rId4"/>
    <sheet name="SPLC_5" sheetId="5" r:id="rId5"/>
    <sheet name="SPLC_6" sheetId="6" r:id="rId6"/>
    <sheet name="SPLC_7" sheetId="7" r:id="rId7"/>
    <sheet name="SPLC_8" sheetId="8" r:id="rId8"/>
    <sheet name="SPLC_9" sheetId="9" r:id="rId9"/>
    <sheet name="SPLC_10" sheetId="10" r:id="rId10"/>
    <sheet name="SPLC_11" sheetId="11" r:id="rId11"/>
    <sheet name="SPLC_12" sheetId="12" r:id="rId12"/>
    <sheet name="SPLC_13" sheetId="13" r:id="rId13"/>
    <sheet name="SPLC_14" sheetId="14" r:id="rId14"/>
    <sheet name="SPLC_15" sheetId="15" r:id="rId15"/>
    <sheet name="SPLC_16" sheetId="16" r:id="rId16"/>
    <sheet name="SPLC_17" sheetId="17" r:id="rId17"/>
    <sheet name="SPLC_18" sheetId="18" r:id="rId18"/>
    <sheet name="SPLC_19" sheetId="19" r:id="rId19"/>
    <sheet name="SPLC_20" sheetId="20" r:id="rId20"/>
    <sheet name="SPLC_21" sheetId="21" r:id="rId21"/>
    <sheet name="SPLC_22" sheetId="22" r:id="rId22"/>
    <sheet name="SPLC_23" sheetId="23" r:id="rId23"/>
    <sheet name="SPLC_24" sheetId="24" r:id="rId24"/>
    <sheet name="SPLC_25" sheetId="25" r:id="rId25"/>
    <sheet name="SPLC_26" sheetId="26" r:id="rId26"/>
    <sheet name="SPLC_27" sheetId="27" r:id="rId27"/>
    <sheet name="SPLC_28" sheetId="28" r:id="rId28"/>
    <sheet name="SPLC_29" sheetId="29" r:id="rId29"/>
    <sheet name="SPLC_30" sheetId="30" r:id="rId30"/>
    <sheet name="SPLC_31" sheetId="31" r:id="rId31"/>
    <sheet name="SPLC_32" sheetId="32" r:id="rId32"/>
    <sheet name="SPLC_33" sheetId="33" r:id="rId33"/>
    <sheet name="SPLC_34" sheetId="34" r:id="rId34"/>
    <sheet name="SPLC_35" sheetId="35" r:id="rId35"/>
    <sheet name="SPLC_36" sheetId="36" r:id="rId36"/>
    <sheet name="SPLC_37" sheetId="37" r:id="rId37"/>
    <sheet name="SPLC_38" sheetId="38" r:id="rId38"/>
    <sheet name="SPLC_39" sheetId="39" r:id="rId39"/>
    <sheet name="SPLC_40" sheetId="40" r:id="rId40"/>
    <sheet name="SPLC_41" sheetId="41" r:id="rId41"/>
    <sheet name="SPLC_42" sheetId="42" r:id="rId42"/>
    <sheet name="SPLC_43" sheetId="43" r:id="rId43"/>
    <sheet name="SPLC_44" sheetId="44" r:id="rId44"/>
    <sheet name="SPLC_45" sheetId="45" r:id="rId45"/>
    <sheet name="SPLC_46" sheetId="46" r:id="rId46"/>
    <sheet name="SPLC_47" sheetId="47" r:id="rId47"/>
    <sheet name="SPLC_48" sheetId="48" r:id="rId48"/>
    <sheet name="SPLC_49" sheetId="49" r:id="rId49"/>
    <sheet name="SPLC_50" sheetId="50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E5" i="27" l="1"/>
  <c r="HQ5" i="16"/>
  <c r="IU5" i="14"/>
  <c r="JY5" i="35"/>
  <c r="SQ5" i="12"/>
  <c r="AS5" i="35"/>
  <c r="CM5" i="12"/>
  <c r="EU5" i="10"/>
  <c r="VM5" i="39"/>
  <c r="DA5" i="41"/>
  <c r="SQ5" i="23"/>
  <c r="CM5" i="2"/>
  <c r="DQ5" i="14"/>
  <c r="TE5" i="23"/>
  <c r="TU5" i="23"/>
  <c r="QW5" i="18"/>
  <c r="EU5" i="14"/>
  <c r="MG5" i="21"/>
  <c r="A5" i="5"/>
  <c r="IG5" i="21"/>
  <c r="AE5" i="7"/>
  <c r="QI5" i="30"/>
  <c r="A5" i="29"/>
  <c r="KO5" i="23"/>
  <c r="DQ5" i="5"/>
  <c r="PE5" i="18"/>
  <c r="QI5" i="18"/>
  <c r="HC5" i="16"/>
  <c r="PE5" i="14"/>
  <c r="TE5" i="32"/>
  <c r="EU5" i="21"/>
  <c r="IU5" i="39"/>
  <c r="FI5" i="14"/>
  <c r="DA5" i="12"/>
  <c r="FY5" i="10"/>
  <c r="EE5" i="14"/>
  <c r="O5" i="30"/>
  <c r="FI5" i="21"/>
  <c r="OA5" i="12"/>
  <c r="AE5" i="36"/>
  <c r="UY5" i="9"/>
  <c r="QW5" i="28"/>
  <c r="QI5" i="10"/>
  <c r="FI5" i="13"/>
  <c r="QI5" i="14"/>
  <c r="EE5" i="5"/>
  <c r="SQ5" i="47"/>
  <c r="BI5" i="7"/>
  <c r="A5" i="39"/>
  <c r="HQ5" i="30"/>
  <c r="JK5" i="19"/>
  <c r="SQ5" i="32"/>
  <c r="FI5" i="36"/>
  <c r="OA5" i="22"/>
  <c r="QW5" i="14"/>
  <c r="UY5" i="10"/>
  <c r="QI5" i="36"/>
  <c r="MW5" i="42"/>
  <c r="OO5" i="12"/>
  <c r="A5" i="15"/>
  <c r="VM5" i="35"/>
  <c r="LS5" i="27"/>
  <c r="FI5" i="10"/>
  <c r="FY5" i="20"/>
  <c r="AS5" i="30"/>
  <c r="OA5" i="19"/>
  <c r="IG5" i="9"/>
  <c r="O5" i="20"/>
  <c r="BI5" i="25"/>
  <c r="VM5" i="27"/>
  <c r="RM5" i="45"/>
  <c r="EU5" i="7"/>
  <c r="UY5" i="35"/>
  <c r="AE5" i="30"/>
  <c r="TU5" i="3"/>
  <c r="UY5" i="27"/>
  <c r="IU5" i="3"/>
  <c r="LC5" i="2"/>
  <c r="SA5" i="26"/>
  <c r="VM5" i="2"/>
  <c r="AE5" i="44"/>
  <c r="BW5" i="2"/>
  <c r="JK5" i="42"/>
  <c r="EU5" i="15"/>
  <c r="QW5" i="30"/>
  <c r="QW5" i="36"/>
  <c r="NK5" i="33"/>
  <c r="SA5" i="31"/>
  <c r="PE5" i="6"/>
  <c r="AE5" i="20"/>
  <c r="AS5" i="7"/>
  <c r="UY5" i="33"/>
  <c r="FY5" i="4"/>
  <c r="FI5" i="15"/>
  <c r="EE5" i="25"/>
  <c r="OA5" i="33"/>
  <c r="IG5" i="13"/>
  <c r="AS5" i="41"/>
  <c r="AS5" i="31"/>
  <c r="A5" i="10"/>
  <c r="JY5" i="1"/>
  <c r="NK5" i="11"/>
  <c r="JK5" i="1"/>
  <c r="SQ5" i="37"/>
  <c r="QI5" i="7"/>
  <c r="FY5" i="16"/>
  <c r="GM5" i="4"/>
  <c r="NK5" i="28"/>
  <c r="EE5" i="23"/>
  <c r="SQ5" i="25"/>
  <c r="OA5" i="47"/>
  <c r="UY5" i="7"/>
  <c r="GM5" i="10"/>
  <c r="SQ5" i="15"/>
  <c r="IU5" i="34"/>
  <c r="TE5" i="25"/>
  <c r="VM5" i="7"/>
  <c r="JY5" i="19"/>
  <c r="UY5" i="23"/>
  <c r="OO5" i="33"/>
  <c r="SQ5" i="45"/>
  <c r="O5" i="36"/>
  <c r="TE5" i="37"/>
  <c r="KO5" i="19"/>
  <c r="FI5" i="38"/>
  <c r="SA5" i="14"/>
  <c r="EU5" i="13"/>
  <c r="EU5" i="48"/>
  <c r="A5" i="31"/>
  <c r="CM5" i="13"/>
  <c r="QI5" i="20"/>
  <c r="EU5" i="6"/>
  <c r="CM5" i="25"/>
  <c r="SA5" i="20"/>
  <c r="FI5" i="44"/>
  <c r="QI5" i="28"/>
  <c r="QW5" i="20"/>
  <c r="O5" i="3"/>
  <c r="EE5" i="2"/>
  <c r="OO5" i="11"/>
  <c r="QI5" i="11"/>
  <c r="IG5" i="4"/>
  <c r="IG5" i="15"/>
  <c r="SQ5" i="18"/>
  <c r="KO5" i="3"/>
  <c r="HC5" i="10"/>
  <c r="RM5" i="13"/>
  <c r="A5" i="3"/>
  <c r="DQ5" i="2"/>
  <c r="OA5" i="11"/>
  <c r="JK5" i="9"/>
  <c r="AE5" i="28"/>
  <c r="MW5" i="7"/>
  <c r="TE5" i="45"/>
  <c r="OA5" i="8"/>
  <c r="AE5" i="22"/>
  <c r="KO5" i="17"/>
  <c r="FY5" i="14"/>
  <c r="EU5" i="18"/>
  <c r="AE5" i="39"/>
  <c r="QW5" i="11"/>
  <c r="TE5" i="47"/>
  <c r="IG5" i="23"/>
  <c r="EU5" i="23"/>
  <c r="OA5" i="20"/>
  <c r="DQ5" i="20"/>
  <c r="VM5" i="23"/>
  <c r="EU5" i="35"/>
  <c r="AE5" i="33"/>
  <c r="RM5" i="33"/>
  <c r="IG5" i="27"/>
  <c r="EE5" i="13"/>
  <c r="JK5" i="44"/>
  <c r="SQ5" i="42"/>
  <c r="AS5" i="39"/>
  <c r="FI5" i="48"/>
  <c r="OO5" i="22"/>
  <c r="RM5" i="6"/>
  <c r="UY5" i="15"/>
  <c r="FI5" i="18"/>
  <c r="O5" i="39"/>
  <c r="TE5" i="18"/>
  <c r="EU5" i="44"/>
  <c r="EU5" i="25"/>
  <c r="PS5" i="6"/>
  <c r="AS5" i="20"/>
  <c r="JK5" i="30"/>
  <c r="RM5" i="21"/>
  <c r="QW5" i="26"/>
  <c r="IU5" i="27"/>
  <c r="JY5" i="39"/>
  <c r="FI5" i="17"/>
  <c r="IU5" i="15"/>
  <c r="QI5" i="22"/>
  <c r="SQ5" i="14"/>
  <c r="AS5" i="28"/>
  <c r="O5" i="24"/>
  <c r="SA5" i="13"/>
  <c r="OO5" i="20"/>
  <c r="EE5" i="20"/>
  <c r="DQ5" i="44"/>
  <c r="OA5" i="31"/>
  <c r="LS5" i="19"/>
  <c r="SA5" i="28"/>
  <c r="AS5" i="3"/>
  <c r="BW5" i="7"/>
  <c r="SA5" i="33"/>
  <c r="OA5" i="48"/>
  <c r="FI5" i="25"/>
  <c r="AS5" i="33"/>
  <c r="RM5" i="14"/>
  <c r="DQ5" i="36"/>
  <c r="JK5" i="4"/>
  <c r="MW5" i="34"/>
  <c r="SQ5" i="10"/>
  <c r="JK5" i="20"/>
  <c r="UI5" i="3"/>
  <c r="IU5" i="4"/>
  <c r="NK5" i="32"/>
  <c r="SQ5" i="44"/>
  <c r="IU5" i="21"/>
  <c r="IU5" i="9"/>
  <c r="TE5" i="15"/>
  <c r="QW5" i="10"/>
  <c r="IU5" i="23"/>
  <c r="FI5" i="23"/>
  <c r="CM5" i="8"/>
  <c r="DA5" i="2"/>
  <c r="JY5" i="9"/>
  <c r="LC5" i="3"/>
  <c r="AE5" i="24"/>
  <c r="QI5" i="26"/>
  <c r="SQ5" i="13"/>
  <c r="HQ5" i="10"/>
  <c r="FY5" i="12"/>
  <c r="QW5" i="22"/>
  <c r="AE5" i="9"/>
  <c r="SQ5" i="4"/>
  <c r="DQ5" i="13"/>
  <c r="SQ5" i="20"/>
  <c r="EE5" i="36"/>
  <c r="TE5" i="14"/>
  <c r="JK5" i="15"/>
  <c r="MG5" i="19"/>
  <c r="O5" i="26"/>
  <c r="DA5" i="13"/>
  <c r="DA5" i="8"/>
  <c r="O5" i="31"/>
  <c r="PE5" i="24"/>
  <c r="OA5" i="2"/>
  <c r="A5" i="19"/>
  <c r="SQ5" i="33"/>
  <c r="DQ5" i="18"/>
  <c r="NK5" i="34"/>
  <c r="HC5" i="30"/>
  <c r="OO5" i="48"/>
  <c r="SQ5" i="9"/>
  <c r="EU5" i="41"/>
  <c r="OA5" i="44"/>
  <c r="CM5" i="33"/>
  <c r="JY5" i="4"/>
  <c r="RM5" i="31"/>
  <c r="UY5" i="14"/>
  <c r="IG5" i="41"/>
  <c r="LS5" i="16"/>
  <c r="VM5" i="9"/>
  <c r="TE5" i="10"/>
  <c r="HC5" i="15"/>
  <c r="FI5" i="6"/>
  <c r="DA5" i="25"/>
  <c r="JK5" i="35"/>
  <c r="AS5" i="9"/>
  <c r="TE5" i="4"/>
  <c r="FI5" i="2"/>
  <c r="NK5" i="19"/>
  <c r="SQ5" i="28"/>
  <c r="TE5" i="33"/>
  <c r="NK5" i="7"/>
  <c r="O5" i="28"/>
  <c r="AS5" i="8"/>
  <c r="HQ5" i="38"/>
  <c r="VM5" i="3"/>
  <c r="JY5" i="15"/>
  <c r="TE5" i="20"/>
  <c r="TE5" i="13"/>
  <c r="AS5" i="24"/>
  <c r="O5" i="10"/>
  <c r="IG5" i="14"/>
  <c r="NK5" i="29"/>
  <c r="O5" i="15"/>
  <c r="RM5" i="41"/>
  <c r="VM5" i="33"/>
  <c r="O5" i="19"/>
  <c r="MW5" i="9"/>
  <c r="AE5" i="31"/>
  <c r="VM5" i="19"/>
  <c r="JY5" i="12"/>
  <c r="EE5" i="18"/>
  <c r="DA5" i="17"/>
  <c r="VM5" i="13"/>
  <c r="AS5" i="49"/>
  <c r="LS5" i="21"/>
  <c r="MG5" i="35"/>
  <c r="UY5" i="13"/>
  <c r="O5" i="29"/>
  <c r="JK5" i="46"/>
  <c r="MG5" i="27"/>
  <c r="IU5" i="13"/>
  <c r="OO5" i="3"/>
  <c r="OO5" i="19"/>
  <c r="SQ5" i="17"/>
  <c r="TE5" i="28"/>
  <c r="IG5" i="39"/>
  <c r="EU5" i="36"/>
  <c r="DA5" i="37"/>
  <c r="OO5" i="44"/>
  <c r="DA5" i="33"/>
  <c r="LS5" i="35"/>
  <c r="AE5" i="49"/>
  <c r="HQ5" i="40"/>
  <c r="MW5" i="32"/>
  <c r="IG5" i="37"/>
  <c r="EU5" i="43"/>
  <c r="O5" i="11"/>
  <c r="MW5" i="40"/>
  <c r="TE5" i="12"/>
  <c r="IG5" i="43"/>
  <c r="RM5" i="29"/>
  <c r="HQ5" i="36"/>
  <c r="AE5" i="16"/>
  <c r="IU5" i="37"/>
  <c r="A5" i="14"/>
  <c r="SA5" i="7"/>
  <c r="TE5" i="41"/>
  <c r="DA5" i="4"/>
  <c r="JK5" i="43"/>
  <c r="NK5" i="21"/>
  <c r="NK5" i="9"/>
  <c r="HC5" i="36"/>
  <c r="A5" i="45"/>
  <c r="IU5" i="6"/>
  <c r="SA5" i="25"/>
  <c r="AS5" i="15"/>
  <c r="SQ5" i="46"/>
  <c r="VM5" i="15"/>
  <c r="VM5" i="11"/>
  <c r="EU5" i="17"/>
  <c r="SA5" i="6"/>
  <c r="JK5" i="39"/>
  <c r="MW5" i="15"/>
  <c r="EU5" i="40"/>
  <c r="EU5" i="12"/>
  <c r="OA5" i="32"/>
  <c r="LS5" i="5"/>
  <c r="NK5" i="35"/>
  <c r="IU5" i="28"/>
  <c r="SA5" i="34"/>
  <c r="PE5" i="16"/>
  <c r="QI5" i="13"/>
  <c r="CM5" i="19"/>
  <c r="EU5" i="27"/>
  <c r="PE5" i="12"/>
  <c r="A5" i="27"/>
  <c r="HC5" i="22"/>
  <c r="RM5" i="7"/>
  <c r="TE5" i="17"/>
  <c r="CM5" i="16"/>
  <c r="NK5" i="23"/>
  <c r="O5" i="14"/>
  <c r="AE5" i="23"/>
  <c r="RM5" i="12"/>
  <c r="A5" i="11"/>
  <c r="AE5" i="34"/>
  <c r="OA5" i="27"/>
  <c r="AE5" i="47"/>
  <c r="UY5" i="31"/>
  <c r="MW5" i="38"/>
  <c r="SA5" i="29"/>
  <c r="SQ5" i="41"/>
  <c r="CM5" i="4"/>
  <c r="AS5" i="29"/>
  <c r="PS5" i="1"/>
  <c r="DQ5" i="16"/>
  <c r="BI5" i="15"/>
  <c r="SQ5" i="31"/>
  <c r="DQ5" i="40"/>
  <c r="A5" i="12"/>
  <c r="HC5" i="11"/>
  <c r="KO5" i="13"/>
  <c r="AE5" i="14"/>
  <c r="JK5" i="5"/>
  <c r="DQ5" i="10"/>
  <c r="JY5" i="43"/>
  <c r="SQ5" i="19"/>
  <c r="VM5" i="10"/>
  <c r="FY5" i="24"/>
  <c r="IG5" i="6"/>
  <c r="RM5" i="25"/>
  <c r="FI5" i="31"/>
  <c r="MW5" i="14"/>
  <c r="NK5" i="15"/>
  <c r="IU5" i="7"/>
  <c r="FI5" i="33"/>
  <c r="DA5" i="6"/>
  <c r="NK5" i="48"/>
  <c r="OO5" i="9"/>
  <c r="SQ5" i="49"/>
  <c r="A5" i="35"/>
  <c r="TU5" i="17"/>
  <c r="OA5" i="30"/>
  <c r="DQ5" i="38"/>
  <c r="EE5" i="35"/>
  <c r="MG5" i="25"/>
  <c r="OO5" i="27"/>
  <c r="O5" i="27"/>
  <c r="DQ5" i="4"/>
  <c r="OA5" i="23"/>
  <c r="VM5" i="31"/>
  <c r="AS5" i="34"/>
  <c r="SA5" i="12"/>
  <c r="SQ5" i="34"/>
  <c r="HQ5" i="22"/>
  <c r="MW5" i="30"/>
  <c r="IG5" i="1"/>
  <c r="OA5" i="39"/>
  <c r="SQ5" i="2"/>
  <c r="EU5" i="31"/>
  <c r="RM5" i="9"/>
  <c r="JK5" i="24"/>
  <c r="A5" i="6"/>
  <c r="JK5" i="38"/>
  <c r="PE5" i="2"/>
  <c r="OO5" i="32"/>
  <c r="HC5" i="12"/>
  <c r="MW5" i="16"/>
  <c r="CM5" i="10"/>
  <c r="NK5" i="38"/>
  <c r="UY5" i="11"/>
  <c r="BI5" i="19"/>
  <c r="AE5" i="15"/>
  <c r="EU5" i="45"/>
  <c r="TE5" i="49"/>
  <c r="NK5" i="27"/>
  <c r="OA5" i="35"/>
  <c r="AS5" i="16"/>
  <c r="IG5" i="7"/>
  <c r="NK5" i="16"/>
  <c r="DA5" i="10"/>
  <c r="EU5" i="33"/>
  <c r="HQ5" i="12"/>
  <c r="AS5" i="47"/>
  <c r="FI5" i="40"/>
  <c r="SA5" i="21"/>
  <c r="FI5" i="12"/>
  <c r="JY5" i="30"/>
  <c r="MG5" i="5"/>
  <c r="HQ5" i="2"/>
  <c r="GM5" i="2"/>
  <c r="SA5" i="3"/>
  <c r="MG5" i="31"/>
  <c r="FI5" i="11"/>
  <c r="MG5" i="2"/>
  <c r="OO5" i="14"/>
  <c r="EE5" i="42"/>
  <c r="EE5" i="4"/>
  <c r="AS5" i="11"/>
  <c r="EE5" i="21"/>
  <c r="MG5" i="15"/>
  <c r="IU5" i="32"/>
  <c r="DQ5" i="34"/>
  <c r="LS5" i="13"/>
  <c r="MG5" i="12"/>
  <c r="LS5" i="12"/>
  <c r="OO5" i="23"/>
  <c r="AS5" i="14"/>
  <c r="CM5" i="15"/>
  <c r="EU5" i="4"/>
  <c r="AS5" i="23"/>
  <c r="EU5" i="30"/>
  <c r="TE5" i="19"/>
  <c r="BI5" i="1"/>
  <c r="IU5" i="22"/>
  <c r="OA5" i="6"/>
  <c r="RM5" i="39"/>
  <c r="NK5" i="14"/>
  <c r="RM5" i="27"/>
  <c r="IG5" i="31"/>
  <c r="EE5" i="19"/>
  <c r="HC5" i="17"/>
  <c r="UY5" i="6"/>
  <c r="IG5" i="5"/>
  <c r="AE5" i="27"/>
  <c r="PE5" i="22"/>
  <c r="EE5" i="40"/>
  <c r="O5" i="12"/>
  <c r="NK5" i="25"/>
  <c r="O5" i="32"/>
  <c r="EE5" i="27"/>
  <c r="O5" i="25"/>
  <c r="JY5" i="22"/>
  <c r="MG5" i="29"/>
  <c r="EE5" i="16"/>
  <c r="QI5" i="32"/>
  <c r="NK5" i="30"/>
  <c r="TE5" i="2"/>
  <c r="IU5" i="1"/>
  <c r="FI5" i="7"/>
  <c r="JK5" i="33"/>
  <c r="RM5" i="35"/>
  <c r="IG5" i="45"/>
  <c r="JY5" i="20"/>
  <c r="IU5" i="24"/>
  <c r="QI5" i="2"/>
  <c r="OA5" i="3"/>
  <c r="AS5" i="25"/>
  <c r="BI5" i="5"/>
  <c r="FY5" i="18"/>
  <c r="RM5" i="8"/>
  <c r="IU5" i="31"/>
  <c r="RM5" i="43"/>
  <c r="EU5" i="50"/>
  <c r="RM5" i="3"/>
  <c r="FY5" i="2"/>
  <c r="QW5" i="2"/>
  <c r="HC5" i="2"/>
  <c r="JK5" i="7"/>
  <c r="QW5" i="32"/>
  <c r="LS5" i="6"/>
  <c r="LS5" i="23"/>
  <c r="JK5" i="18"/>
  <c r="DQ5" i="42"/>
  <c r="LS5" i="31"/>
  <c r="LS5" i="2"/>
  <c r="EU5" i="11"/>
  <c r="OA5" i="14"/>
  <c r="BI5" i="23"/>
  <c r="MW5" i="1"/>
  <c r="IG5" i="2"/>
  <c r="JK5" i="11"/>
  <c r="UY5" i="29"/>
  <c r="BI5" i="3"/>
  <c r="AE5" i="12"/>
  <c r="O5" i="5"/>
  <c r="AE5" i="25"/>
  <c r="TU5" i="15"/>
  <c r="AE5" i="13"/>
  <c r="RM5" i="23"/>
  <c r="HC5" i="8"/>
  <c r="MG5" i="13"/>
  <c r="SA5" i="27"/>
  <c r="LS5" i="29"/>
  <c r="JK5" i="22"/>
  <c r="EU5" i="9"/>
  <c r="EE5" i="34"/>
  <c r="MW5" i="44"/>
  <c r="AE5" i="43"/>
  <c r="IG5" i="17"/>
  <c r="TU5" i="19"/>
  <c r="DA5" i="15"/>
  <c r="OA5" i="18"/>
  <c r="AE5" i="32"/>
  <c r="AS5" i="27"/>
  <c r="OA5" i="37"/>
  <c r="RM5" i="10"/>
  <c r="OA5" i="1"/>
  <c r="RM5" i="5"/>
  <c r="EU5" i="42"/>
  <c r="JY5" i="33"/>
  <c r="OA5" i="36"/>
  <c r="OO5" i="6"/>
  <c r="BW5" i="1"/>
  <c r="FI5" i="4"/>
  <c r="FI5" i="30"/>
  <c r="O5" i="35"/>
  <c r="SA5" i="35"/>
  <c r="IU5" i="45"/>
  <c r="JY5" i="5"/>
  <c r="EE5" i="10"/>
  <c r="SA5" i="39"/>
  <c r="SQ5" i="43"/>
  <c r="KO5" i="9"/>
  <c r="UI5" i="19"/>
  <c r="UI5" i="23"/>
  <c r="FI5" i="50"/>
  <c r="SQ5" i="27"/>
  <c r="O5" i="18"/>
  <c r="FI5" i="9"/>
  <c r="HQ5" i="8"/>
  <c r="JK5" i="45"/>
  <c r="MG5" i="6"/>
  <c r="MG5" i="23"/>
  <c r="JY5" i="18"/>
  <c r="JY5" i="7"/>
  <c r="SA5" i="24"/>
  <c r="OO5" i="10"/>
  <c r="JY5" i="11"/>
  <c r="SA5" i="23"/>
  <c r="BW5" i="3"/>
  <c r="MW5" i="11"/>
  <c r="IU5" i="2"/>
  <c r="AS5" i="12"/>
  <c r="JK5" i="47"/>
  <c r="AS5" i="32"/>
  <c r="OO5" i="18"/>
  <c r="AE5" i="41"/>
  <c r="VM5" i="29"/>
  <c r="NK5" i="1"/>
  <c r="QI5" i="5"/>
  <c r="MW5" i="46"/>
  <c r="BI5" i="17"/>
  <c r="BI5" i="11"/>
  <c r="OO5" i="36"/>
  <c r="AE5" i="35"/>
  <c r="UY5" i="19"/>
  <c r="SA5" i="49"/>
  <c r="CM5" i="17"/>
  <c r="JK5" i="12"/>
  <c r="MW5" i="48"/>
  <c r="OA5" i="9"/>
  <c r="CM5" i="6"/>
  <c r="LC5" i="9"/>
  <c r="TE5" i="43"/>
  <c r="EE5" i="38"/>
  <c r="OO5" i="30"/>
  <c r="RM5" i="49"/>
  <c r="FI5" i="42"/>
  <c r="DQ5" i="46"/>
  <c r="IU5" i="5"/>
  <c r="VM5" i="6"/>
  <c r="PS5" i="22"/>
  <c r="IG5" i="49"/>
  <c r="JY5" i="47"/>
  <c r="IU5" i="43"/>
  <c r="IG5" i="47"/>
  <c r="MW5" i="28"/>
  <c r="MW5" i="50"/>
  <c r="DQ5" i="48"/>
  <c r="SA5" i="41"/>
  <c r="A5" i="49"/>
  <c r="OO5" i="31"/>
  <c r="EE5" i="44"/>
  <c r="NK5" i="44"/>
  <c r="AS5" i="43"/>
  <c r="IU5" i="17"/>
  <c r="JY5" i="45"/>
  <c r="O5" i="45"/>
  <c r="OA5" i="50"/>
  <c r="BI5" i="13"/>
  <c r="JK5" i="25"/>
  <c r="BI5" i="31"/>
  <c r="PE5" i="42"/>
  <c r="SA5" i="45"/>
  <c r="LC5" i="19"/>
  <c r="KO5" i="33"/>
  <c r="SA5" i="43"/>
  <c r="NK5" i="42"/>
  <c r="NK5" i="50"/>
  <c r="TE5" i="31"/>
  <c r="BW5" i="15"/>
  <c r="IU5" i="47"/>
  <c r="PE5" i="26"/>
  <c r="KO5" i="27"/>
  <c r="O5" i="49"/>
  <c r="GM5" i="12"/>
  <c r="IU5" i="49"/>
  <c r="BI5" i="27"/>
  <c r="EE5" i="48"/>
  <c r="NK5" i="40"/>
  <c r="EE5" i="46"/>
  <c r="OO5" i="50"/>
  <c r="TU5" i="25"/>
  <c r="BI5" i="37"/>
  <c r="UI5" i="49"/>
  <c r="IU5" i="20"/>
  <c r="TU5" i="5"/>
  <c r="FY5" i="26"/>
  <c r="HC5" i="24"/>
  <c r="PE5" i="30"/>
  <c r="FY5" i="30"/>
  <c r="KO5" i="29"/>
  <c r="AE5" i="46"/>
  <c r="PE5" i="32"/>
  <c r="EU5" i="26"/>
  <c r="BI5" i="33"/>
  <c r="KO5" i="35"/>
  <c r="AE5" i="18"/>
  <c r="TU5" i="37"/>
  <c r="PE5" i="44"/>
  <c r="KO5" i="41"/>
  <c r="FY5" i="34"/>
  <c r="TU5" i="33"/>
  <c r="TU5" i="45"/>
  <c r="GM5" i="24"/>
  <c r="SQ5" i="16"/>
  <c r="TU5" i="35"/>
  <c r="PE5" i="36"/>
  <c r="KO5" i="39"/>
  <c r="BI5" i="47"/>
  <c r="EU5" i="47"/>
  <c r="FY5" i="38"/>
  <c r="FY5" i="36"/>
  <c r="BI5" i="29"/>
  <c r="UI5" i="25"/>
  <c r="KO5" i="37"/>
  <c r="FY5" i="42"/>
  <c r="PE5" i="40"/>
  <c r="TU5" i="41"/>
  <c r="BI5" i="41"/>
  <c r="LC5" i="13"/>
  <c r="HQ5" i="11"/>
  <c r="RM5" i="19"/>
  <c r="KO5" i="45"/>
  <c r="TU5" i="47"/>
  <c r="IG5" i="19"/>
  <c r="JK5" i="16"/>
  <c r="PE5" i="46"/>
  <c r="KO5" i="43"/>
  <c r="FY5" i="44"/>
  <c r="QW5" i="5"/>
  <c r="UI5" i="2"/>
  <c r="NK5" i="46"/>
  <c r="PE5" i="48"/>
  <c r="BW5" i="17"/>
  <c r="TE5" i="26"/>
  <c r="BW5" i="11"/>
  <c r="NK5" i="31"/>
  <c r="UI5" i="37"/>
  <c r="MG5" i="39"/>
  <c r="DA5" i="27"/>
  <c r="PS5" i="44"/>
  <c r="GM5" i="32"/>
  <c r="BW5" i="19"/>
  <c r="UI5" i="43"/>
  <c r="VM5" i="43"/>
  <c r="FI5" i="19"/>
  <c r="JY5" i="23"/>
  <c r="FY5" i="50"/>
  <c r="GM5" i="42"/>
  <c r="SA5" i="8"/>
  <c r="GM5" i="18"/>
  <c r="BW5" i="5"/>
  <c r="FY5" i="48"/>
  <c r="A5" i="47"/>
  <c r="FI5" i="27"/>
  <c r="PS5" i="12"/>
  <c r="DA5" i="19"/>
  <c r="KO5" i="47"/>
  <c r="BI5" i="49"/>
  <c r="PS5" i="14"/>
  <c r="PS5" i="46"/>
  <c r="LC5" i="37"/>
  <c r="QW5" i="34"/>
  <c r="LC5" i="31"/>
  <c r="OO5" i="28"/>
  <c r="SA5" i="2"/>
  <c r="IU5" i="18"/>
  <c r="SQ5" i="6"/>
  <c r="HC5" i="46"/>
  <c r="LS5" i="17"/>
  <c r="AS5" i="13"/>
  <c r="UI5" i="15"/>
  <c r="GM5" i="20"/>
  <c r="QW5" i="7"/>
  <c r="GM5" i="16"/>
  <c r="OO5" i="8"/>
  <c r="AS5" i="22"/>
  <c r="LC5" i="17"/>
  <c r="GM5" i="14"/>
  <c r="UI5" i="17"/>
  <c r="KO5" i="49"/>
  <c r="PS5" i="18"/>
  <c r="PS5" i="26"/>
  <c r="BW5" i="29"/>
  <c r="LC5" i="23"/>
  <c r="UI5" i="41"/>
  <c r="UI5" i="35"/>
  <c r="HC5" i="44"/>
  <c r="BW5" i="23"/>
  <c r="GM5" i="30"/>
  <c r="CM5" i="47"/>
  <c r="PS5" i="24"/>
  <c r="OO5" i="2"/>
  <c r="BW5" i="27"/>
  <c r="LC5" i="27"/>
  <c r="BW5" i="25"/>
  <c r="JK5" i="27"/>
  <c r="IG5" i="12"/>
  <c r="KO5" i="11"/>
  <c r="BW5" i="31"/>
  <c r="BW5" i="13"/>
  <c r="LS5" i="45"/>
  <c r="HC5" i="6"/>
  <c r="UI5" i="5"/>
  <c r="GM5" i="26"/>
  <c r="HQ5" i="24"/>
  <c r="LC5" i="29"/>
  <c r="CM5" i="43"/>
  <c r="LC5" i="47"/>
  <c r="PS5" i="42"/>
  <c r="PS5" i="30"/>
  <c r="BW5" i="33"/>
  <c r="GM5" i="44"/>
  <c r="UI5" i="39"/>
  <c r="MG5" i="37"/>
  <c r="CM5" i="41"/>
  <c r="GM5" i="34"/>
  <c r="PS5" i="36"/>
  <c r="LC5" i="39"/>
  <c r="TE5" i="16"/>
  <c r="BW5" i="37"/>
  <c r="LC5" i="35"/>
  <c r="AS5" i="18"/>
  <c r="HC5" i="50"/>
  <c r="SQ5" i="5"/>
  <c r="A5" i="43"/>
  <c r="KO5" i="15"/>
  <c r="TU5" i="1"/>
  <c r="UY5" i="49"/>
  <c r="LS5" i="25"/>
  <c r="TU5" i="39"/>
  <c r="LC5" i="33"/>
  <c r="JY5" i="25"/>
  <c r="LS5" i="37"/>
  <c r="DQ5" i="35"/>
  <c r="EU5" i="5"/>
  <c r="QI5" i="42"/>
  <c r="BW5" i="47"/>
  <c r="PS5" i="40"/>
  <c r="BW5" i="41"/>
  <c r="LC5" i="41"/>
  <c r="SA5" i="19"/>
  <c r="IU5" i="19"/>
  <c r="JY5" i="16"/>
  <c r="UI5" i="47"/>
  <c r="LC5" i="43"/>
  <c r="UI5" i="45"/>
  <c r="UI5" i="33"/>
  <c r="GM5" i="36"/>
  <c r="LC5" i="45"/>
  <c r="CM5" i="45"/>
  <c r="PS5" i="48"/>
  <c r="MW5" i="13"/>
  <c r="GM5" i="50"/>
  <c r="GM5" i="48"/>
  <c r="O5" i="47"/>
  <c r="AE5" i="8"/>
  <c r="HC5" i="38"/>
  <c r="UY5" i="3"/>
  <c r="UY5" i="39"/>
  <c r="BW5" i="49"/>
  <c r="CM5" i="37"/>
  <c r="QI5" i="44"/>
  <c r="JK5" i="32"/>
  <c r="HC5" i="14"/>
  <c r="QI5" i="46"/>
  <c r="OA5" i="43"/>
  <c r="LC5" i="49"/>
  <c r="CM5" i="21"/>
  <c r="UY5" i="45"/>
  <c r="HC5" i="40"/>
  <c r="QI5" i="48"/>
  <c r="HC5" i="48"/>
  <c r="DA5" i="43"/>
  <c r="LS5" i="43"/>
  <c r="A5" i="33"/>
  <c r="UY5" i="47"/>
  <c r="A5" i="18"/>
  <c r="QW5" i="44"/>
  <c r="JY5" i="32"/>
  <c r="HQ5" i="14"/>
  <c r="LS5" i="49"/>
  <c r="DA5" i="45"/>
  <c r="NK5" i="13"/>
  <c r="HQ5" i="48"/>
  <c r="HQ5" i="44"/>
  <c r="CM5" i="49"/>
  <c r="VM5" i="45"/>
  <c r="DA5" i="21"/>
  <c r="MG5" i="43"/>
  <c r="O5" i="33"/>
  <c r="QI5" i="50"/>
  <c r="DA5" i="49"/>
  <c r="VM5" i="47"/>
  <c r="MW5" i="19"/>
  <c r="DQ5" i="19"/>
  <c r="DA5" i="47"/>
  <c r="DQ5" i="23"/>
  <c r="TE5" i="6"/>
  <c r="HQ5" i="46"/>
  <c r="MG5" i="17"/>
  <c r="O5" i="43"/>
  <c r="HQ5" i="6"/>
  <c r="JY5" i="27"/>
  <c r="LC5" i="15"/>
  <c r="MG5" i="45"/>
  <c r="UI5" i="1"/>
  <c r="VM5" i="49"/>
  <c r="IU5" i="12"/>
  <c r="LC5" i="11"/>
  <c r="HQ5" i="50"/>
  <c r="TE5" i="5"/>
  <c r="QW5" i="48"/>
  <c r="FI5" i="5"/>
  <c r="QW5" i="42"/>
  <c r="MW5" i="25"/>
  <c r="MG5" i="49"/>
  <c r="A5" i="20"/>
  <c r="TU5" i="49"/>
  <c r="IG5" i="20"/>
  <c r="LS5" i="15"/>
  <c r="DQ5" i="21"/>
  <c r="QW5" i="50"/>
  <c r="TU5" i="43"/>
  <c r="LS5" i="39"/>
  <c r="MW5" i="31"/>
  <c r="SQ5" i="26"/>
  <c r="EU5" i="19"/>
  <c r="JK5" i="23"/>
  <c r="UY5" i="43"/>
  <c r="MW5" i="21"/>
  <c r="QI5" i="34"/>
  <c r="KO5" i="31"/>
  <c r="OA5" i="28"/>
  <c r="RM5" i="2"/>
  <c r="IG5" i="18"/>
  <c r="IG5" i="24"/>
  <c r="MW5" i="23"/>
  <c r="RM5" i="24"/>
  <c r="OA5" i="10"/>
  <c r="A5" i="24"/>
  <c r="CM5" i="9"/>
  <c r="JK5" i="8"/>
  <c r="HC5" i="5"/>
  <c r="RM5" i="44"/>
  <c r="RM5" i="32"/>
  <c r="UY5" i="16"/>
  <c r="MW5" i="22"/>
  <c r="BI5" i="22"/>
  <c r="A5" i="28"/>
  <c r="EU5" i="2"/>
  <c r="RM5" i="20"/>
  <c r="MW5" i="29"/>
  <c r="DQ5" i="25"/>
  <c r="MW5" i="27"/>
  <c r="A5" i="26"/>
  <c r="AE5" i="11"/>
  <c r="IG5" i="32"/>
  <c r="JK5" i="50"/>
  <c r="IG5" i="28"/>
  <c r="IG5" i="22"/>
  <c r="A5" i="30"/>
  <c r="AE5" i="3"/>
  <c r="RM5" i="28"/>
  <c r="RM5" i="34"/>
  <c r="DQ5" i="27"/>
  <c r="A5" i="25"/>
  <c r="RM5" i="30"/>
  <c r="HC5" i="13"/>
  <c r="AE5" i="2"/>
  <c r="MW5" i="37"/>
  <c r="JK5" i="17"/>
  <c r="HC5" i="34"/>
  <c r="SQ5" i="29"/>
  <c r="SQ5" i="35"/>
  <c r="MW5" i="2"/>
  <c r="OO5" i="39"/>
  <c r="TU5" i="9"/>
  <c r="FY5" i="5"/>
  <c r="OA5" i="5"/>
  <c r="IG5" i="36"/>
  <c r="QI5" i="3"/>
  <c r="A5" i="32"/>
  <c r="TU5" i="27"/>
  <c r="IG5" i="34"/>
  <c r="MW5" i="45"/>
  <c r="MW5" i="33"/>
  <c r="FY5" i="8"/>
  <c r="RM5" i="17"/>
  <c r="LS5" i="33"/>
  <c r="KO5" i="12"/>
  <c r="A5" i="42"/>
  <c r="A5" i="36"/>
  <c r="MW5" i="43"/>
  <c r="RM5" i="22"/>
  <c r="A5" i="8"/>
  <c r="MW5" i="35"/>
  <c r="CM5" i="29"/>
  <c r="EU5" i="38"/>
  <c r="AE5" i="4"/>
  <c r="MW5" i="41"/>
  <c r="LS5" i="1"/>
  <c r="IG5" i="8"/>
  <c r="DQ5" i="37"/>
  <c r="IG5" i="42"/>
  <c r="EU5" i="20"/>
  <c r="JK5" i="14"/>
  <c r="IG5" i="44"/>
  <c r="EU5" i="8"/>
  <c r="RM5" i="40"/>
  <c r="MW5" i="39"/>
  <c r="BI5" i="6"/>
  <c r="EU5" i="1"/>
  <c r="IG5" i="40"/>
  <c r="RM5" i="38"/>
  <c r="FI5" i="35"/>
  <c r="TE5" i="48"/>
  <c r="RM5" i="42"/>
  <c r="MW5" i="49"/>
  <c r="IG5" i="50"/>
  <c r="SQ5" i="30"/>
  <c r="EU5" i="3"/>
  <c r="EE5" i="37"/>
  <c r="UY5" i="8"/>
  <c r="BI5" i="45"/>
  <c r="FY5" i="13"/>
  <c r="A5" i="48"/>
  <c r="DQ5" i="45"/>
  <c r="JK5" i="3"/>
  <c r="RM5" i="48"/>
  <c r="CM5" i="3"/>
  <c r="DQ5" i="47"/>
  <c r="UI5" i="9"/>
  <c r="IU5" i="36"/>
  <c r="OO5" i="5"/>
  <c r="DQ5" i="49"/>
  <c r="QW5" i="3"/>
  <c r="IG5" i="46"/>
  <c r="FY5" i="17"/>
  <c r="IG5" i="48"/>
  <c r="JK5" i="40"/>
  <c r="MW5" i="47"/>
  <c r="SA5" i="38"/>
  <c r="A5" i="50"/>
  <c r="DQ5" i="43"/>
  <c r="TE5" i="35"/>
  <c r="TE5" i="29"/>
  <c r="NK5" i="2"/>
  <c r="HQ5" i="34"/>
  <c r="NK5" i="37"/>
  <c r="A5" i="44"/>
  <c r="HC5" i="18"/>
  <c r="IU5" i="42"/>
  <c r="FI5" i="20"/>
  <c r="FI5" i="8"/>
  <c r="JY5" i="14"/>
  <c r="TU5" i="10"/>
  <c r="IU5" i="8"/>
  <c r="SA5" i="17"/>
  <c r="GM5" i="8"/>
  <c r="NK5" i="43"/>
  <c r="O5" i="48"/>
  <c r="EE5" i="47"/>
  <c r="IU5" i="40"/>
  <c r="FI5" i="43"/>
  <c r="NK5" i="41"/>
  <c r="TU5" i="7"/>
  <c r="FY5" i="19"/>
  <c r="AS5" i="4"/>
  <c r="MG5" i="1"/>
  <c r="SA5" i="22"/>
  <c r="O5" i="42"/>
  <c r="BI5" i="9"/>
  <c r="BI5" i="12"/>
  <c r="IU5" i="44"/>
  <c r="EE5" i="43"/>
  <c r="SA5" i="42"/>
  <c r="O5" i="44"/>
  <c r="HQ5" i="18"/>
  <c r="JY5" i="42"/>
  <c r="IU5" i="46"/>
  <c r="TU5" i="6"/>
  <c r="EE5" i="49"/>
  <c r="EE5" i="45"/>
  <c r="SA5" i="40"/>
  <c r="NK5" i="45"/>
  <c r="NK5" i="47"/>
  <c r="JY5" i="3"/>
  <c r="DA5" i="3"/>
  <c r="SA5" i="48"/>
  <c r="NK5" i="39"/>
  <c r="NK5" i="49"/>
  <c r="AE5" i="50"/>
  <c r="JK5" i="48"/>
  <c r="DQ5" i="26"/>
  <c r="O5" i="50"/>
  <c r="PE5" i="3"/>
  <c r="IU5" i="50"/>
  <c r="TE5" i="30"/>
  <c r="FI5" i="3"/>
  <c r="IU5" i="48"/>
  <c r="JY5" i="40"/>
  <c r="EU5" i="49"/>
  <c r="A5" i="37"/>
  <c r="BI5" i="18"/>
  <c r="KO5" i="2"/>
  <c r="BI5" i="2"/>
  <c r="SA5" i="10"/>
  <c r="IG5" i="11"/>
  <c r="IG5" i="3"/>
  <c r="SQ5" i="50"/>
  <c r="OO5" i="1"/>
  <c r="RM5" i="26"/>
  <c r="UY5" i="2"/>
  <c r="SA5" i="5"/>
  <c r="TU5" i="42"/>
  <c r="OO5" i="37"/>
  <c r="SA5" i="9"/>
  <c r="JY5" i="24"/>
  <c r="OO5" i="35"/>
  <c r="O5" i="6"/>
  <c r="JY5" i="38"/>
  <c r="PS5" i="2"/>
  <c r="TU5" i="44"/>
  <c r="FI5" i="26"/>
  <c r="FI5" i="47"/>
  <c r="AS5" i="46"/>
  <c r="PS5" i="32"/>
  <c r="AE5" i="48"/>
  <c r="GM5" i="38"/>
  <c r="TE5" i="9"/>
  <c r="QW5" i="46"/>
  <c r="OO5" i="43"/>
  <c r="FI5" i="41"/>
  <c r="SQ5" i="48"/>
  <c r="FI5" i="49"/>
  <c r="AS5" i="36"/>
  <c r="AS5" i="44"/>
  <c r="TE5" i="42"/>
  <c r="OA5" i="49"/>
  <c r="EU5" i="34"/>
  <c r="CM5" i="23"/>
  <c r="TE5" i="44"/>
  <c r="FI5" i="45"/>
  <c r="JY5" i="44"/>
  <c r="JY5" i="46"/>
  <c r="AS5" i="48"/>
  <c r="PE5" i="1"/>
  <c r="JY5" i="48"/>
  <c r="EE5" i="26"/>
  <c r="AE5" i="29"/>
  <c r="TE5" i="46"/>
  <c r="PE5" i="43"/>
  <c r="QI5" i="24"/>
  <c r="JK5" i="10"/>
  <c r="KO5" i="6"/>
  <c r="TE5" i="50"/>
  <c r="OO5" i="49"/>
  <c r="FI5" i="34"/>
  <c r="DA5" i="23"/>
  <c r="TE5" i="34"/>
  <c r="LS5" i="3"/>
  <c r="AS5" i="50"/>
  <c r="PE5" i="5"/>
  <c r="HC5" i="26"/>
  <c r="RM5" i="37"/>
  <c r="A5" i="38"/>
  <c r="CM5" i="27"/>
  <c r="MW5" i="17"/>
  <c r="HC5" i="3"/>
  <c r="JK5" i="13"/>
  <c r="RM5" i="16"/>
  <c r="FY5" i="15"/>
  <c r="FY5" i="3"/>
  <c r="TU5" i="2"/>
  <c r="HC5" i="9"/>
  <c r="FY5" i="32"/>
  <c r="OA5" i="13"/>
  <c r="TU5" i="11"/>
  <c r="PE5" i="9"/>
  <c r="QI5" i="38"/>
  <c r="JK5" i="41"/>
  <c r="AE5" i="40"/>
  <c r="A5" i="9"/>
  <c r="CM5" i="35"/>
  <c r="HC5" i="42"/>
  <c r="JK5" i="34"/>
  <c r="QI5" i="6"/>
  <c r="KO5" i="4"/>
  <c r="DQ5" i="3"/>
  <c r="AE5" i="21"/>
  <c r="IG5" i="38"/>
  <c r="FY5" i="7"/>
  <c r="BI5" i="43"/>
  <c r="MW5" i="26"/>
  <c r="IG5" i="10"/>
  <c r="BI5" i="4"/>
  <c r="RM5" i="36"/>
  <c r="HC5" i="32"/>
  <c r="AE5" i="5"/>
  <c r="FY5" i="9"/>
  <c r="A5" i="16"/>
  <c r="LS5" i="41"/>
  <c r="KO5" i="8"/>
  <c r="JK5" i="49"/>
  <c r="OA5" i="21"/>
  <c r="OO5" i="47"/>
  <c r="OA5" i="46"/>
  <c r="HC5" i="28"/>
  <c r="QI5" i="16"/>
  <c r="PE5" i="10"/>
  <c r="DQ5" i="50"/>
  <c r="HC5" i="4"/>
  <c r="SQ5" i="38"/>
  <c r="EU5" i="29"/>
  <c r="CM5" i="14"/>
  <c r="IG5" i="26"/>
  <c r="OA5" i="16"/>
  <c r="JK5" i="21"/>
  <c r="KO5" i="14"/>
  <c r="PE5" i="7"/>
  <c r="UY5" i="5"/>
  <c r="JY5" i="50"/>
  <c r="BI5" i="8"/>
  <c r="UY5" i="25"/>
  <c r="IG5" i="33"/>
  <c r="OA5" i="25"/>
  <c r="PE5" i="11"/>
  <c r="DQ5" i="1"/>
  <c r="DQ5" i="31"/>
  <c r="SQ5" i="22"/>
  <c r="DQ5" i="11"/>
  <c r="RM5" i="18"/>
  <c r="SQ5" i="8"/>
  <c r="A5" i="7"/>
  <c r="JK5" i="26"/>
  <c r="A5" i="2"/>
  <c r="UY5" i="1"/>
  <c r="FY5" i="11"/>
  <c r="UY5" i="41"/>
  <c r="MG5" i="3"/>
  <c r="TU5" i="16"/>
  <c r="PS5" i="5"/>
  <c r="AE5" i="19"/>
  <c r="HQ5" i="26"/>
  <c r="PE5" i="17"/>
  <c r="PE5" i="37"/>
  <c r="TU5" i="12"/>
  <c r="PE5" i="19"/>
  <c r="TU5" i="26"/>
  <c r="PE5" i="31"/>
  <c r="TU5" i="40"/>
  <c r="BI5" i="16"/>
  <c r="JK5" i="37"/>
  <c r="MW5" i="12"/>
  <c r="BI5" i="20"/>
  <c r="PS5" i="3"/>
  <c r="FY5" i="23"/>
  <c r="MW5" i="20"/>
  <c r="BI5" i="30"/>
  <c r="EU5" i="24"/>
  <c r="PE5" i="21"/>
  <c r="KO5" i="42"/>
  <c r="TU5" i="20"/>
  <c r="TU5" i="31"/>
  <c r="FY5" i="21"/>
  <c r="UI5" i="30"/>
  <c r="JK5" i="36"/>
  <c r="TU5" i="32"/>
  <c r="LC5" i="32"/>
  <c r="BW5" i="16"/>
  <c r="PE5" i="29"/>
  <c r="PE5" i="15"/>
  <c r="MW5" i="10"/>
  <c r="TU5" i="48"/>
  <c r="UI5" i="31"/>
  <c r="GM5" i="21"/>
  <c r="PS5" i="21"/>
  <c r="TU5" i="28"/>
  <c r="UY5" i="37"/>
  <c r="AE5" i="26"/>
  <c r="OA5" i="17"/>
  <c r="BI5" i="32"/>
  <c r="JK5" i="28"/>
  <c r="RM5" i="1"/>
  <c r="QI5" i="1"/>
  <c r="AE5" i="1"/>
  <c r="HC5" i="1"/>
  <c r="MW5" i="5"/>
  <c r="FY5" i="27"/>
  <c r="KO5" i="30"/>
  <c r="SQ5" i="21"/>
  <c r="PE5" i="38"/>
  <c r="FY5" i="29"/>
  <c r="UY5" i="12"/>
  <c r="KO5" i="28"/>
  <c r="DQ5" i="6"/>
  <c r="KO5" i="5"/>
  <c r="TU5" i="22"/>
  <c r="TU5" i="30"/>
  <c r="MW5" i="6"/>
  <c r="KO5" i="22"/>
  <c r="FY5" i="31"/>
  <c r="PE5" i="27"/>
  <c r="KO5" i="32"/>
  <c r="RM5" i="47"/>
  <c r="TU5" i="8"/>
  <c r="PE5" i="33"/>
  <c r="DQ5" i="12"/>
  <c r="BI5" i="34"/>
  <c r="TU5" i="24"/>
  <c r="FY5" i="25"/>
  <c r="FY5" i="33"/>
  <c r="OA5" i="26"/>
  <c r="DQ5" i="8"/>
  <c r="RM5" i="11"/>
  <c r="PE5" i="25"/>
  <c r="KO5" i="26"/>
  <c r="FY5" i="35"/>
  <c r="BI5" i="36"/>
  <c r="PE5" i="39"/>
  <c r="BI5" i="28"/>
  <c r="BI5" i="42"/>
  <c r="KO5" i="34"/>
  <c r="TU5" i="34"/>
  <c r="KO5" i="36"/>
  <c r="PE5" i="35"/>
  <c r="BI5" i="35"/>
  <c r="BW5" i="12"/>
  <c r="BW5" i="9"/>
  <c r="FY5" i="37"/>
  <c r="EU5" i="22"/>
  <c r="BI5" i="40"/>
  <c r="TU5" i="36"/>
  <c r="KO5" i="40"/>
  <c r="LS5" i="7"/>
  <c r="PE5" i="45"/>
  <c r="KO5" i="38"/>
  <c r="DQ5" i="9"/>
  <c r="PE5" i="41"/>
  <c r="KO5" i="18"/>
  <c r="FY5" i="45"/>
  <c r="MW5" i="36"/>
  <c r="UI5" i="40"/>
  <c r="BI5" i="48"/>
  <c r="BW5" i="6"/>
  <c r="FI5" i="1"/>
  <c r="O5" i="38"/>
  <c r="GM5" i="3"/>
  <c r="KO5" i="46"/>
  <c r="O5" i="9"/>
  <c r="QW5" i="6"/>
  <c r="HQ5" i="42"/>
  <c r="HQ5" i="3"/>
  <c r="OO5" i="13"/>
  <c r="JY5" i="13"/>
  <c r="UI5" i="11"/>
  <c r="KO5" i="44"/>
  <c r="FY5" i="49"/>
  <c r="AS5" i="5"/>
  <c r="LC5" i="8"/>
  <c r="MG5" i="41"/>
  <c r="IU5" i="38"/>
  <c r="OO5" i="21"/>
  <c r="FY5" i="43"/>
  <c r="DQ5" i="7"/>
  <c r="BI5" i="38"/>
  <c r="FY5" i="47"/>
  <c r="LC5" i="28"/>
  <c r="LC5" i="6"/>
  <c r="UI5" i="6"/>
  <c r="JY5" i="10"/>
  <c r="BW5" i="48"/>
  <c r="FY5" i="41"/>
  <c r="SA5" i="36"/>
  <c r="HQ5" i="32"/>
  <c r="BW5" i="4"/>
  <c r="O5" i="16"/>
  <c r="PE5" i="49"/>
  <c r="LC5" i="4"/>
  <c r="TU5" i="18"/>
  <c r="GM5" i="9"/>
  <c r="EE5" i="3"/>
  <c r="JY5" i="49"/>
  <c r="GM5" i="7"/>
  <c r="BW5" i="43"/>
  <c r="NK5" i="26"/>
  <c r="AS5" i="21"/>
  <c r="GM5" i="5"/>
  <c r="IU5" i="10"/>
  <c r="UI5" i="27"/>
  <c r="BI5" i="50"/>
  <c r="MW5" i="8"/>
  <c r="QW5" i="16"/>
  <c r="O5" i="8"/>
  <c r="TU5" i="50"/>
  <c r="PS5" i="10"/>
  <c r="MG5" i="33"/>
  <c r="DA5" i="29"/>
  <c r="HQ5" i="9"/>
  <c r="KO5" i="48"/>
  <c r="PS5" i="9"/>
  <c r="LC5" i="12"/>
  <c r="EU5" i="16"/>
  <c r="JY5" i="41"/>
  <c r="VM5" i="5"/>
  <c r="AS5" i="40"/>
  <c r="PE5" i="47"/>
  <c r="DA5" i="35"/>
  <c r="HQ5" i="28"/>
  <c r="JY5" i="34"/>
  <c r="SA5" i="16"/>
  <c r="PS5" i="7"/>
  <c r="OO5" i="46"/>
  <c r="O5" i="7"/>
  <c r="O5" i="2"/>
  <c r="IU5" i="33"/>
  <c r="JY5" i="26"/>
  <c r="PS5" i="11"/>
  <c r="EE5" i="11"/>
  <c r="OO5" i="25"/>
  <c r="TE5" i="22"/>
  <c r="VM5" i="1"/>
  <c r="SA5" i="18"/>
  <c r="EE5" i="1"/>
  <c r="VM5" i="25"/>
  <c r="BW5" i="8"/>
  <c r="EE5" i="31"/>
  <c r="TE5" i="8"/>
  <c r="GM5" i="11"/>
  <c r="VM5" i="8"/>
  <c r="BW5" i="45"/>
  <c r="GM5" i="13"/>
  <c r="UI5" i="10"/>
  <c r="NK5" i="10"/>
  <c r="GM5" i="17"/>
  <c r="BW5" i="22"/>
  <c r="NK5" i="22"/>
  <c r="PS5" i="15"/>
  <c r="QW5" i="38"/>
  <c r="SA5" i="37"/>
  <c r="NK5" i="17"/>
  <c r="GM5" i="15"/>
  <c r="UI5" i="12"/>
  <c r="VM5" i="41"/>
  <c r="UI5" i="16"/>
  <c r="UI5" i="20"/>
  <c r="MG5" i="7"/>
  <c r="PS5" i="45"/>
  <c r="JY5" i="37"/>
  <c r="BW5" i="20"/>
  <c r="NK5" i="12"/>
  <c r="LC5" i="26"/>
  <c r="GM5" i="25"/>
  <c r="UI5" i="7"/>
  <c r="GM5" i="19"/>
  <c r="AS5" i="19"/>
  <c r="PS5" i="25"/>
  <c r="PS5" i="17"/>
  <c r="SA5" i="11"/>
  <c r="EE5" i="6"/>
  <c r="EE5" i="8"/>
  <c r="UI5" i="22"/>
  <c r="OO5" i="26"/>
  <c r="IU5" i="11"/>
  <c r="O5" i="37"/>
  <c r="BW5" i="18"/>
  <c r="LC5" i="5"/>
  <c r="GM5" i="27"/>
  <c r="NK5" i="6"/>
  <c r="LC5" i="22"/>
  <c r="UI5" i="24"/>
  <c r="BW5" i="30"/>
  <c r="FI5" i="24"/>
  <c r="GM5" i="23"/>
  <c r="NK5" i="20"/>
  <c r="HC5" i="35"/>
  <c r="PE5" i="34"/>
  <c r="DQ5" i="29"/>
  <c r="LS5" i="48"/>
  <c r="GM5" i="33"/>
  <c r="UI5" i="28"/>
  <c r="PS5" i="31"/>
  <c r="PS5" i="29"/>
  <c r="PS5" i="19"/>
  <c r="BI5" i="46"/>
  <c r="EU5" i="37"/>
  <c r="OA5" i="24"/>
  <c r="A5" i="34"/>
  <c r="KO5" i="25"/>
  <c r="HC5" i="23"/>
  <c r="BW5" i="28"/>
  <c r="LC5" i="30"/>
  <c r="GM5" i="31"/>
  <c r="PS5" i="38"/>
  <c r="TE5" i="21"/>
  <c r="SA5" i="47"/>
  <c r="PS5" i="27"/>
  <c r="GM5" i="29"/>
  <c r="VM5" i="12"/>
  <c r="VM5" i="37"/>
  <c r="JY5" i="28"/>
  <c r="OO5" i="17"/>
  <c r="QW5" i="1"/>
  <c r="BW5" i="32"/>
  <c r="AS5" i="26"/>
  <c r="SA5" i="1"/>
  <c r="HQ5" i="1"/>
  <c r="AS5" i="1"/>
  <c r="PS5" i="37"/>
  <c r="NK5" i="5"/>
  <c r="BW5" i="34"/>
  <c r="UY5" i="20"/>
  <c r="GM5" i="35"/>
  <c r="PE5" i="8"/>
  <c r="BW5" i="36"/>
  <c r="CM5" i="48"/>
  <c r="AE5" i="17"/>
  <c r="AE5" i="38"/>
  <c r="IG5" i="29"/>
  <c r="UI5" i="8"/>
  <c r="PS5" i="33"/>
  <c r="EE5" i="12"/>
  <c r="UI5" i="26"/>
  <c r="JY5" i="36"/>
  <c r="UI5" i="32"/>
  <c r="GM5" i="49"/>
  <c r="UY5" i="40"/>
  <c r="GM5" i="41"/>
  <c r="LC5" i="36"/>
  <c r="LC5" i="34"/>
  <c r="GM5" i="37"/>
  <c r="CM5" i="44"/>
  <c r="JK5" i="31"/>
  <c r="NK5" i="36"/>
  <c r="GM5" i="45"/>
  <c r="PS5" i="35"/>
  <c r="BW5" i="35"/>
  <c r="BW5" i="38"/>
  <c r="EE5" i="7"/>
  <c r="UI5" i="36"/>
  <c r="FI5" i="22"/>
  <c r="BW5" i="40"/>
  <c r="UI5" i="34"/>
  <c r="PS5" i="39"/>
  <c r="EE5" i="9"/>
  <c r="PS5" i="41"/>
  <c r="LC5" i="18"/>
  <c r="PS5" i="49"/>
  <c r="UI5" i="18"/>
  <c r="UI5" i="50"/>
  <c r="NK5" i="8"/>
  <c r="BW5" i="42"/>
  <c r="UI5" i="44"/>
  <c r="LC5" i="40"/>
  <c r="LC5" i="42"/>
  <c r="LC5" i="44"/>
  <c r="GM5" i="43"/>
  <c r="LC5" i="46"/>
  <c r="LC5" i="48"/>
  <c r="FI5" i="16"/>
  <c r="UI5" i="42"/>
  <c r="LC5" i="38"/>
  <c r="PS5" i="43"/>
  <c r="QW5" i="24"/>
  <c r="GM5" i="47"/>
  <c r="PS5" i="47"/>
  <c r="UI5" i="48"/>
  <c r="OA5" i="45"/>
  <c r="KO5" i="1"/>
  <c r="TU5" i="46"/>
  <c r="AE5" i="45"/>
  <c r="CM5" i="18"/>
  <c r="PE5" i="28"/>
  <c r="LS5" i="47"/>
  <c r="A5" i="46"/>
  <c r="CM5" i="20"/>
  <c r="HC5" i="19"/>
  <c r="OA5" i="41"/>
  <c r="A5" i="17"/>
  <c r="UY5" i="18"/>
  <c r="RM5" i="15"/>
  <c r="CM5" i="28"/>
  <c r="QI5" i="27"/>
  <c r="BW5" i="50"/>
  <c r="EU5" i="28"/>
  <c r="UY5" i="26"/>
  <c r="LS5" i="14"/>
  <c r="QI5" i="17"/>
  <c r="FY5" i="6"/>
  <c r="TU5" i="13"/>
  <c r="QI5" i="29"/>
  <c r="DQ5" i="28"/>
  <c r="A5" i="21"/>
  <c r="FY5" i="1"/>
  <c r="QI5" i="25"/>
  <c r="PE5" i="20"/>
  <c r="CM5" i="24"/>
  <c r="QI5" i="19"/>
  <c r="CM5" i="7"/>
  <c r="TU5" i="4"/>
  <c r="DQ5" i="15"/>
  <c r="CM5" i="26"/>
  <c r="LS5" i="22"/>
  <c r="OA5" i="38"/>
  <c r="BI5" i="10"/>
  <c r="AE5" i="42"/>
  <c r="LS5" i="18"/>
  <c r="DQ5" i="39"/>
  <c r="KO5" i="20"/>
  <c r="UY5" i="28"/>
  <c r="LS5" i="20"/>
  <c r="A5" i="1"/>
  <c r="KO5" i="50"/>
  <c r="A5" i="41"/>
  <c r="CM5" i="36"/>
  <c r="OA5" i="34"/>
  <c r="CM5" i="31"/>
  <c r="MW5" i="3"/>
  <c r="BI5" i="26"/>
  <c r="BI5" i="24"/>
  <c r="QI5" i="15"/>
  <c r="RM5" i="50"/>
  <c r="UY5" i="22"/>
  <c r="KO5" i="16"/>
  <c r="UY5" i="21"/>
  <c r="QI5" i="9"/>
  <c r="HC5" i="27"/>
  <c r="OA5" i="40"/>
  <c r="QI5" i="21"/>
  <c r="UY5" i="24"/>
  <c r="EE5" i="50"/>
  <c r="HQ5" i="4"/>
  <c r="JY5" i="21"/>
  <c r="TE5" i="38"/>
  <c r="FI5" i="29"/>
  <c r="OO5" i="16"/>
  <c r="DA5" i="14"/>
  <c r="IU5" i="26"/>
  <c r="LC5" i="14"/>
  <c r="CM5" i="22"/>
  <c r="AE5" i="10"/>
  <c r="LS5" i="9"/>
  <c r="CM5" i="5"/>
  <c r="FY5" i="46"/>
  <c r="SQ5" i="40"/>
  <c r="BI5" i="39"/>
  <c r="QI5" i="35"/>
  <c r="LS5" i="26"/>
  <c r="SQ5" i="7"/>
  <c r="CM5" i="32"/>
  <c r="TU5" i="38"/>
  <c r="LS5" i="30"/>
  <c r="UY5" i="34"/>
  <c r="QI5" i="40"/>
  <c r="HC5" i="31"/>
  <c r="CM5" i="40"/>
  <c r="PE5" i="23"/>
  <c r="OA5" i="15"/>
  <c r="LS5" i="34"/>
  <c r="QI5" i="8"/>
  <c r="CM5" i="30"/>
  <c r="IG5" i="30"/>
  <c r="HC5" i="21"/>
  <c r="KO5" i="24"/>
  <c r="QI5" i="33"/>
  <c r="LS5" i="28"/>
  <c r="UY5" i="30"/>
  <c r="HC5" i="41"/>
  <c r="QI5" i="31"/>
  <c r="LS5" i="38"/>
  <c r="SQ5" i="39"/>
  <c r="CM5" i="34"/>
  <c r="UY5" i="38"/>
  <c r="QI5" i="43"/>
  <c r="UY5" i="36"/>
  <c r="HC5" i="29"/>
  <c r="A5" i="23"/>
  <c r="EU5" i="46"/>
  <c r="MW5" i="18"/>
  <c r="A5" i="13"/>
  <c r="RM5" i="46"/>
  <c r="HC5" i="37"/>
  <c r="CM5" i="11"/>
  <c r="CM5" i="1"/>
  <c r="LS5" i="44"/>
  <c r="CM5" i="39"/>
  <c r="UY5" i="44"/>
  <c r="UY5" i="42"/>
  <c r="QI5" i="37"/>
  <c r="JK5" i="6"/>
  <c r="SQ5" i="1"/>
  <c r="CM5" i="42"/>
  <c r="LS5" i="40"/>
  <c r="CM5" i="38"/>
  <c r="HC5" i="20"/>
  <c r="UY5" i="32"/>
  <c r="MW5" i="24"/>
  <c r="HC5" i="43"/>
  <c r="PE5" i="50"/>
  <c r="LS5" i="4"/>
  <c r="LS5" i="32"/>
  <c r="QI5" i="41"/>
  <c r="QI5" i="47"/>
  <c r="LS5" i="36"/>
  <c r="HC5" i="39"/>
  <c r="LS5" i="42"/>
  <c r="QI5" i="45"/>
  <c r="VM5" i="14"/>
  <c r="UY5" i="46"/>
  <c r="QI5" i="39"/>
  <c r="UY5" i="48"/>
  <c r="HC5" i="45"/>
  <c r="LS5" i="8"/>
  <c r="OA5" i="7"/>
  <c r="KO5" i="7"/>
  <c r="HC5" i="7"/>
  <c r="AE5" i="6"/>
  <c r="CM5" i="46"/>
  <c r="BI5" i="44"/>
  <c r="OA5" i="42"/>
  <c r="DQ5" i="41"/>
  <c r="FY5" i="40"/>
  <c r="A5" i="40"/>
  <c r="UY5" i="4"/>
  <c r="RM5" i="4"/>
  <c r="QI5" i="4"/>
  <c r="PE5" i="4"/>
  <c r="OA5" i="4"/>
  <c r="MW5" i="4"/>
  <c r="A5" i="4"/>
  <c r="FY5" i="39"/>
  <c r="EU5" i="39"/>
  <c r="AE5" i="37"/>
  <c r="SQ5" i="36"/>
  <c r="IG5" i="35"/>
  <c r="HC5" i="33"/>
  <c r="DQ5" i="33"/>
  <c r="EU5" i="32"/>
  <c r="DQ5" i="32"/>
  <c r="DQ5" i="30"/>
  <c r="SQ5" i="3"/>
  <c r="TU5" i="29"/>
  <c r="OA5" i="29"/>
  <c r="JK5" i="29"/>
  <c r="FY5" i="28"/>
  <c r="IG5" i="25"/>
  <c r="HC5" i="25"/>
  <c r="SQ5" i="24"/>
  <c r="LS5" i="24"/>
  <c r="DQ5" i="24"/>
  <c r="QI5" i="23"/>
  <c r="FY5" i="22"/>
  <c r="DQ5" i="22"/>
  <c r="A5" i="22"/>
  <c r="TU5" i="21"/>
  <c r="KO5" i="21"/>
  <c r="BI5" i="21"/>
  <c r="JK5" i="2"/>
  <c r="UY5" i="17"/>
  <c r="DQ5" i="17"/>
  <c r="IG5" i="16"/>
  <c r="TU5" i="14"/>
  <c r="BI5" i="14"/>
  <c r="PE5" i="13"/>
  <c r="SQ5" i="11"/>
  <c r="LS5" i="11"/>
  <c r="LS5" i="10"/>
  <c r="KO5" i="10"/>
  <c r="HC5" i="49"/>
  <c r="HC5" i="47"/>
  <c r="SA5" i="30"/>
  <c r="JY5" i="17"/>
  <c r="LS5" i="50"/>
  <c r="AS5" i="2"/>
  <c r="HQ5" i="13"/>
  <c r="HQ5" i="15"/>
  <c r="HQ5" i="23"/>
  <c r="DA5" i="16"/>
  <c r="UY5" i="50"/>
  <c r="BW5" i="46"/>
  <c r="OO5" i="24"/>
  <c r="FI5" i="37"/>
  <c r="O5" i="34"/>
  <c r="LC5" i="25"/>
  <c r="VM5" i="34"/>
  <c r="CM5" i="50"/>
  <c r="QI5" i="49"/>
  <c r="QI5" i="12"/>
  <c r="VM5" i="26"/>
  <c r="FI5" i="28"/>
  <c r="MG5" i="14"/>
  <c r="PS5" i="16"/>
  <c r="QW5" i="13"/>
  <c r="QW5" i="25"/>
  <c r="PS5" i="20"/>
  <c r="EE5" i="28"/>
  <c r="UI5" i="13"/>
  <c r="LS5" i="46"/>
  <c r="QW5" i="17"/>
  <c r="QW5" i="29"/>
  <c r="O5" i="21"/>
  <c r="GM5" i="6"/>
  <c r="GM5" i="1"/>
  <c r="HQ5" i="17"/>
  <c r="DA5" i="9"/>
  <c r="JY5" i="8"/>
  <c r="HQ5" i="5"/>
  <c r="SA5" i="44"/>
  <c r="SA5" i="32"/>
  <c r="VM5" i="16"/>
  <c r="IU5" i="41"/>
  <c r="MG5" i="16"/>
  <c r="AS5" i="42"/>
  <c r="MG5" i="18"/>
  <c r="HQ5" i="27"/>
  <c r="QW5" i="21"/>
  <c r="OO5" i="40"/>
  <c r="DA5" i="7"/>
  <c r="UI5" i="4"/>
  <c r="MG5" i="22"/>
  <c r="BW5" i="10"/>
  <c r="EE5" i="15"/>
  <c r="QW5" i="19"/>
  <c r="DA5" i="22"/>
  <c r="VM5" i="20"/>
  <c r="AS5" i="45"/>
  <c r="LC5" i="1"/>
  <c r="PS5" i="28"/>
  <c r="OO5" i="45"/>
  <c r="DA5" i="18"/>
  <c r="VM5" i="46"/>
  <c r="MG5" i="20"/>
  <c r="O5" i="1"/>
  <c r="VM5" i="28"/>
  <c r="DA5" i="26"/>
  <c r="DA5" i="20"/>
  <c r="SA5" i="15"/>
  <c r="LC5" i="20"/>
  <c r="VM5" i="18"/>
  <c r="OO5" i="38"/>
  <c r="OO5" i="41"/>
  <c r="O5" i="17"/>
  <c r="HQ5" i="31"/>
  <c r="EE5" i="39"/>
  <c r="UI5" i="38"/>
  <c r="MG5" i="30"/>
  <c r="QW5" i="40"/>
  <c r="HQ5" i="35"/>
  <c r="PS5" i="34"/>
  <c r="EE5" i="29"/>
  <c r="VM5" i="24"/>
  <c r="UI5" i="46"/>
  <c r="O5" i="46"/>
  <c r="HQ5" i="19"/>
  <c r="MG5" i="47"/>
  <c r="DA5" i="24"/>
  <c r="DA5" i="28"/>
  <c r="DA5" i="32"/>
  <c r="QW5" i="15"/>
  <c r="AS5" i="10"/>
  <c r="MG5" i="9"/>
  <c r="MG5" i="26"/>
  <c r="QW5" i="9"/>
  <c r="GM5" i="46"/>
  <c r="SA5" i="50"/>
  <c r="TE5" i="40"/>
  <c r="LC5" i="50"/>
  <c r="BW5" i="39"/>
  <c r="O5" i="41"/>
  <c r="QW5" i="35"/>
  <c r="DA5" i="36"/>
  <c r="OO5" i="34"/>
  <c r="DA5" i="31"/>
  <c r="BW5" i="24"/>
  <c r="NK5" i="3"/>
  <c r="TE5" i="7"/>
  <c r="BW5" i="26"/>
  <c r="VM5" i="22"/>
  <c r="LC5" i="16"/>
  <c r="DA5" i="5"/>
  <c r="VM5" i="21"/>
  <c r="QW5" i="27"/>
  <c r="HQ5" i="29"/>
  <c r="VM5" i="36"/>
  <c r="VM5" i="30"/>
  <c r="MG5" i="28"/>
  <c r="LC5" i="24"/>
  <c r="HQ5" i="37"/>
  <c r="NK5" i="18"/>
  <c r="DA5" i="11"/>
  <c r="FI5" i="46"/>
  <c r="SA5" i="46"/>
  <c r="DA5" i="1"/>
  <c r="QW5" i="47"/>
  <c r="DA5" i="30"/>
  <c r="MG5" i="34"/>
  <c r="QW5" i="33"/>
  <c r="IU5" i="30"/>
  <c r="HQ5" i="21"/>
  <c r="VM5" i="32"/>
  <c r="NK5" i="24"/>
  <c r="HQ5" i="20"/>
  <c r="DA5" i="38"/>
  <c r="QW5" i="31"/>
  <c r="VM5" i="42"/>
  <c r="TE5" i="39"/>
  <c r="DA5" i="34"/>
  <c r="MG5" i="36"/>
  <c r="QW5" i="37"/>
  <c r="JY5" i="6"/>
  <c r="MG5" i="4"/>
  <c r="PS5" i="50"/>
  <c r="DA5" i="42"/>
  <c r="MG5" i="32"/>
  <c r="TE5" i="1"/>
  <c r="AS5" i="17"/>
  <c r="O5" i="13"/>
  <c r="MG5" i="50"/>
  <c r="VM5" i="38"/>
  <c r="PS5" i="8"/>
  <c r="DA5" i="48"/>
  <c r="VM5" i="44"/>
  <c r="AS5" i="38"/>
  <c r="O5" i="23"/>
  <c r="IU5" i="29"/>
  <c r="MG5" i="38"/>
  <c r="QW5" i="41"/>
  <c r="MG5" i="48"/>
  <c r="QW5" i="49"/>
  <c r="QW5" i="12"/>
  <c r="HQ5" i="49"/>
  <c r="QW5" i="8"/>
  <c r="QW5" i="45"/>
  <c r="DA5" i="40"/>
  <c r="PS5" i="23"/>
  <c r="OO5" i="15"/>
  <c r="MG5" i="44"/>
  <c r="DA5" i="39"/>
  <c r="VM5" i="48"/>
  <c r="MG5" i="42"/>
  <c r="HQ5" i="41"/>
  <c r="MG5" i="8"/>
  <c r="OO5" i="7"/>
  <c r="LC5" i="7"/>
  <c r="HQ5" i="7"/>
  <c r="AS5" i="6"/>
  <c r="DA5" i="46"/>
  <c r="BW5" i="44"/>
  <c r="OO5" i="42"/>
  <c r="EE5" i="41"/>
  <c r="O5" i="40"/>
  <c r="GM5" i="40"/>
  <c r="VM5" i="4"/>
  <c r="SA5" i="4"/>
  <c r="QW5" i="4"/>
  <c r="PS5" i="4"/>
  <c r="OO5" i="4"/>
  <c r="O5" i="4"/>
  <c r="NK5" i="4"/>
  <c r="GM5" i="39"/>
  <c r="FI5" i="39"/>
  <c r="AS5" i="37"/>
  <c r="TE5" i="36"/>
  <c r="IU5" i="35"/>
  <c r="HQ5" i="33"/>
  <c r="EE5" i="33"/>
  <c r="FI5" i="32"/>
  <c r="EE5" i="32"/>
  <c r="EE5" i="30"/>
  <c r="TE5" i="3"/>
  <c r="UI5" i="29"/>
  <c r="OO5" i="29"/>
  <c r="JY5" i="29"/>
  <c r="GM5" i="28"/>
  <c r="IU5" i="25"/>
  <c r="HQ5" i="25"/>
  <c r="TE5" i="24"/>
  <c r="MG5" i="24"/>
  <c r="EE5" i="24"/>
  <c r="QW5" i="23"/>
  <c r="O5" i="22"/>
  <c r="GM5" i="22"/>
  <c r="EE5" i="22"/>
  <c r="UI5" i="21"/>
  <c r="LC5" i="21"/>
  <c r="BW5" i="21"/>
  <c r="JY5" i="2"/>
  <c r="VM5" i="17"/>
  <c r="EE5" i="17"/>
  <c r="IU5" i="16"/>
  <c r="UI5" i="14"/>
  <c r="BW5" i="14"/>
  <c r="PS5" i="13"/>
  <c r="TE5" i="11"/>
  <c r="MG5" i="11"/>
  <c r="MG5" i="10"/>
  <c r="LC5" i="10"/>
  <c r="MG5" i="40"/>
  <c r="DA5" i="50"/>
  <c r="MG5" i="46"/>
  <c r="VM5" i="50"/>
  <c r="HQ5" i="43"/>
  <c r="HQ5" i="45"/>
  <c r="VM5" i="40"/>
  <c r="QW5" i="39"/>
  <c r="HQ5" i="47"/>
  <c r="DA5" i="44"/>
  <c r="JY5" i="31"/>
  <c r="QW5" i="43"/>
  <c r="HQ5" i="39"/>
</calcChain>
</file>

<file path=xl/sharedStrings.xml><?xml version="1.0" encoding="utf-8"?>
<sst xmlns="http://schemas.openxmlformats.org/spreadsheetml/2006/main" count="54866" uniqueCount="6346">
  <si>
    <t>Deal 1</t>
  </si>
  <si>
    <t>Deal 2</t>
  </si>
  <si>
    <t>Deal 3</t>
  </si>
  <si>
    <t>Deal 4</t>
  </si>
  <si>
    <t>Deal 5</t>
  </si>
  <si>
    <t>Deal 6</t>
  </si>
  <si>
    <t>Deal 7</t>
  </si>
  <si>
    <t>Deal 8</t>
  </si>
  <si>
    <t>Deal 9</t>
  </si>
  <si>
    <t>Deal 10</t>
  </si>
  <si>
    <t>Deal 11</t>
  </si>
  <si>
    <t>Deal 12</t>
  </si>
  <si>
    <t>Deal 13</t>
  </si>
  <si>
    <t>Deal 14</t>
  </si>
  <si>
    <t>Deal 15</t>
  </si>
  <si>
    <t>Deal 16</t>
  </si>
  <si>
    <t>Deal 17</t>
  </si>
  <si>
    <t>Deal 18</t>
  </si>
  <si>
    <t>Deal 19</t>
  </si>
  <si>
    <t>Deal 20</t>
  </si>
  <si>
    <t>TWX US Equity</t>
  </si>
  <si>
    <t>T US Equity</t>
  </si>
  <si>
    <t>RTX US Equity</t>
  </si>
  <si>
    <t>BMY US Equity</t>
  </si>
  <si>
    <t>PFE US Equity</t>
  </si>
  <si>
    <t>ABBV US Equity</t>
  </si>
  <si>
    <t>DIS US Equity</t>
  </si>
  <si>
    <t>XOM US Equity</t>
  </si>
  <si>
    <t>9876540D US Equity</t>
  </si>
  <si>
    <t>VZ US Equity</t>
  </si>
  <si>
    <t>C US Equity</t>
  </si>
  <si>
    <t>CI US Equity</t>
  </si>
  <si>
    <t>CVS US Equity</t>
  </si>
  <si>
    <t>TMUS US Equity</t>
  </si>
  <si>
    <t>DD US Equity</t>
  </si>
  <si>
    <t>AGN US Equity</t>
  </si>
  <si>
    <t>Suppliers</t>
  </si>
  <si>
    <t>Customers</t>
  </si>
  <si>
    <t>Entity Ticker</t>
  </si>
  <si>
    <t>Cost Type</t>
  </si>
  <si>
    <t>Revenue %</t>
  </si>
  <si>
    <t>Cost %</t>
  </si>
  <si>
    <t>Rel. Period</t>
  </si>
  <si>
    <t>Rel. Year</t>
  </si>
  <si>
    <t>Source</t>
  </si>
  <si>
    <t>Rel. Date</t>
  </si>
  <si>
    <t>Rel. Count</t>
  </si>
  <si>
    <t>Rel. Amount</t>
  </si>
  <si>
    <t>Company ID</t>
  </si>
  <si>
    <t>Company Name</t>
  </si>
  <si>
    <t>Deal 21</t>
  </si>
  <si>
    <t>Deal 22</t>
  </si>
  <si>
    <t>Deal 23</t>
  </si>
  <si>
    <t>Deal 24</t>
  </si>
  <si>
    <t>Deal 25</t>
  </si>
  <si>
    <t>Deal 26</t>
  </si>
  <si>
    <t>Deal 27</t>
  </si>
  <si>
    <t>Deal 28</t>
  </si>
  <si>
    <t>Deal 29</t>
  </si>
  <si>
    <t>Deal 30</t>
  </si>
  <si>
    <t>Deal 31</t>
  </si>
  <si>
    <t>Deal 32</t>
  </si>
  <si>
    <t>Deal 33</t>
  </si>
  <si>
    <t>Deal 34</t>
  </si>
  <si>
    <t>Deal 35</t>
  </si>
  <si>
    <t>Deal 36</t>
  </si>
  <si>
    <t>Deal 37</t>
  </si>
  <si>
    <t>Deal 38</t>
  </si>
  <si>
    <t>Deal 39</t>
  </si>
  <si>
    <t>Deal 40</t>
  </si>
  <si>
    <t>ET US Equity</t>
  </si>
  <si>
    <t>BAC US Equity</t>
  </si>
  <si>
    <t>PG US Equity</t>
  </si>
  <si>
    <t>653707Q US Equity</t>
  </si>
  <si>
    <t>OXY US Equity</t>
  </si>
  <si>
    <t>JPM US Equity</t>
  </si>
  <si>
    <t>ETP US Equity</t>
  </si>
  <si>
    <t>KMI US Equity</t>
  </si>
  <si>
    <t>nan Equity</t>
  </si>
  <si>
    <t>MRK US Equity</t>
  </si>
  <si>
    <t>MDT US Equity</t>
  </si>
  <si>
    <t>0772031D US Equity</t>
  </si>
  <si>
    <t>CVX US Equity</t>
  </si>
  <si>
    <t>SPGI US Equity</t>
  </si>
  <si>
    <t>0848680D US Equity</t>
  </si>
  <si>
    <t>FIS US Equity</t>
  </si>
  <si>
    <t>Deal 41</t>
  </si>
  <si>
    <t>Deal 42</t>
  </si>
  <si>
    <t>Deal 43</t>
  </si>
  <si>
    <t>Deal 44</t>
  </si>
  <si>
    <t>Deal 45</t>
  </si>
  <si>
    <t>Deal 46</t>
  </si>
  <si>
    <t>Deal 47</t>
  </si>
  <si>
    <t>Deal 48</t>
  </si>
  <si>
    <t>Deal 49</t>
  </si>
  <si>
    <t>Deal 50</t>
  </si>
  <si>
    <t>Deal 51</t>
  </si>
  <si>
    <t>Deal 52</t>
  </si>
  <si>
    <t>Deal 53</t>
  </si>
  <si>
    <t>Deal 54</t>
  </si>
  <si>
    <t>Deal 55</t>
  </si>
  <si>
    <t>Deal 56</t>
  </si>
  <si>
    <t>Deal 57</t>
  </si>
  <si>
    <t>Deal 58</t>
  </si>
  <si>
    <t>Deal 59</t>
  </si>
  <si>
    <t>Deal 60</t>
  </si>
  <si>
    <t>FISV US Equity</t>
  </si>
  <si>
    <t>VIAV US Equity</t>
  </si>
  <si>
    <t>COP US Equity</t>
  </si>
  <si>
    <t>WCOEQ US Equity</t>
  </si>
  <si>
    <t>BRK/A US Equity</t>
  </si>
  <si>
    <t>ESRX US Equity</t>
  </si>
  <si>
    <t>PARA US Equity</t>
  </si>
  <si>
    <t>BX US Equity</t>
  </si>
  <si>
    <t>AMD US Equity</t>
  </si>
  <si>
    <t>WPZ US Equity</t>
  </si>
  <si>
    <t>LUMN US Equity</t>
  </si>
  <si>
    <t>IBM US Equity</t>
  </si>
  <si>
    <t>WFC US Equity</t>
  </si>
  <si>
    <t>Deal 61</t>
  </si>
  <si>
    <t>Deal 62</t>
  </si>
  <si>
    <t>Deal 63</t>
  </si>
  <si>
    <t>Deal 64</t>
  </si>
  <si>
    <t>Deal 65</t>
  </si>
  <si>
    <t>Deal 66</t>
  </si>
  <si>
    <t>Deal 67</t>
  </si>
  <si>
    <t>Deal 68</t>
  </si>
  <si>
    <t>Deal 69</t>
  </si>
  <si>
    <t>Deal 70</t>
  </si>
  <si>
    <t>Deal 71</t>
  </si>
  <si>
    <t>Deal 72</t>
  </si>
  <si>
    <t>Deal 73</t>
  </si>
  <si>
    <t>Deal 74</t>
  </si>
  <si>
    <t>Deal 75</t>
  </si>
  <si>
    <t>Deal 76</t>
  </si>
  <si>
    <t>Deal 77</t>
  </si>
  <si>
    <t>Deal 78</t>
  </si>
  <si>
    <t>Deal 79</t>
  </si>
  <si>
    <t>Deal 80</t>
  </si>
  <si>
    <t>ABT US Equity</t>
  </si>
  <si>
    <t>SCHW US Equity</t>
  </si>
  <si>
    <t>3621240Q US Equity</t>
  </si>
  <si>
    <t>MPC US Equity</t>
  </si>
  <si>
    <t>ORCL US Equity</t>
  </si>
  <si>
    <t>CB US Equity</t>
  </si>
  <si>
    <t>JCI US Equity</t>
  </si>
  <si>
    <t>CZR US Equity</t>
  </si>
  <si>
    <t>TFC US Equity</t>
  </si>
  <si>
    <t>RAI US Equity</t>
  </si>
  <si>
    <t>PLD US Equity</t>
  </si>
  <si>
    <t>Deal 81</t>
  </si>
  <si>
    <t>Deal 82</t>
  </si>
  <si>
    <t>Deal 83</t>
  </si>
  <si>
    <t>Deal 84</t>
  </si>
  <si>
    <t>Deal 85</t>
  </si>
  <si>
    <t>Deal 86</t>
  </si>
  <si>
    <t>Deal 87</t>
  </si>
  <si>
    <t>Deal 88</t>
  </si>
  <si>
    <t>Deal 89</t>
  </si>
  <si>
    <t>Deal 90</t>
  </si>
  <si>
    <t>Deal 91</t>
  </si>
  <si>
    <t>Deal 92</t>
  </si>
  <si>
    <t>Deal 93</t>
  </si>
  <si>
    <t>Deal 94</t>
  </si>
  <si>
    <t>Deal 95</t>
  </si>
  <si>
    <t>Deal 96</t>
  </si>
  <si>
    <t>Deal 97</t>
  </si>
  <si>
    <t>Deal 98</t>
  </si>
  <si>
    <t>Deal 99</t>
  </si>
  <si>
    <t>Deal 100</t>
  </si>
  <si>
    <t>8375930Q US Equity</t>
  </si>
  <si>
    <t>CRM US Equity</t>
  </si>
  <si>
    <t>DUK US Equity</t>
  </si>
  <si>
    <t>HPQ US Equity</t>
  </si>
  <si>
    <t>BSX US Equity</t>
  </si>
  <si>
    <t>748957Q US Equity</t>
  </si>
  <si>
    <t>GPN US Equity</t>
  </si>
  <si>
    <t>1255173D US Equity</t>
  </si>
  <si>
    <t>MSFT US Equity</t>
  </si>
  <si>
    <t>BDX US Equity</t>
  </si>
  <si>
    <t>AIG US Equity</t>
  </si>
  <si>
    <t>FCX US Equity</t>
  </si>
  <si>
    <t>USB US Equity</t>
  </si>
  <si>
    <t>2968900Q US Equity</t>
  </si>
  <si>
    <t>TMO US Equity</t>
  </si>
  <si>
    <t>Deal 101</t>
  </si>
  <si>
    <t>Deal 102</t>
  </si>
  <si>
    <t>Deal 103</t>
  </si>
  <si>
    <t>Deal 104</t>
  </si>
  <si>
    <t>Deal 105</t>
  </si>
  <si>
    <t>Deal 106</t>
  </si>
  <si>
    <t>Deal 107</t>
  </si>
  <si>
    <t>Deal 108</t>
  </si>
  <si>
    <t>Deal 109</t>
  </si>
  <si>
    <t>Deal 110</t>
  </si>
  <si>
    <t>Deal 111</t>
  </si>
  <si>
    <t>Deal 112</t>
  </si>
  <si>
    <t>Deal 113</t>
  </si>
  <si>
    <t>Deal 114</t>
  </si>
  <si>
    <t>Deal 115</t>
  </si>
  <si>
    <t>Deal 116</t>
  </si>
  <si>
    <t>Deal 117</t>
  </si>
  <si>
    <t>Deal 118</t>
  </si>
  <si>
    <t>Deal 119</t>
  </si>
  <si>
    <t>Deal 120</t>
  </si>
  <si>
    <t>ADI US Equity</t>
  </si>
  <si>
    <t>LHX US Equity</t>
  </si>
  <si>
    <t>GILD US Equity</t>
  </si>
  <si>
    <t>WM US Equity</t>
  </si>
  <si>
    <t>MO US Equity</t>
  </si>
  <si>
    <t>APC US Equity</t>
  </si>
  <si>
    <t>AVGO US Equity</t>
  </si>
  <si>
    <t>NWL US Equity</t>
  </si>
  <si>
    <t>RIG US Equity</t>
  </si>
  <si>
    <t>9876456D US Equity</t>
  </si>
  <si>
    <t>OKE US Equity</t>
  </si>
  <si>
    <t>Deal 121</t>
  </si>
  <si>
    <t>Deal 122</t>
  </si>
  <si>
    <t>Deal 123</t>
  </si>
  <si>
    <t>Deal 124</t>
  </si>
  <si>
    <t>Deal 125</t>
  </si>
  <si>
    <t>Deal 126</t>
  </si>
  <si>
    <t>Deal 127</t>
  </si>
  <si>
    <t>Deal 128</t>
  </si>
  <si>
    <t>Deal 129</t>
  </si>
  <si>
    <t>Deal 130</t>
  </si>
  <si>
    <t>Deal 131</t>
  </si>
  <si>
    <t>Deal 132</t>
  </si>
  <si>
    <t>Deal 133</t>
  </si>
  <si>
    <t>Deal 134</t>
  </si>
  <si>
    <t>Deal 135</t>
  </si>
  <si>
    <t>Deal 136</t>
  </si>
  <si>
    <t>Deal 137</t>
  </si>
  <si>
    <t>Deal 138</t>
  </si>
  <si>
    <t>Deal 139</t>
  </si>
  <si>
    <t>Deal 140</t>
  </si>
  <si>
    <t>M US Equity</t>
  </si>
  <si>
    <t>BK US Equity</t>
  </si>
  <si>
    <t>O US Equity</t>
  </si>
  <si>
    <t>3153670Q US Equity</t>
  </si>
  <si>
    <t>JNJ US Equity</t>
  </si>
  <si>
    <t>TRV US Equity</t>
  </si>
  <si>
    <t>VRSN US Equity</t>
  </si>
  <si>
    <t>HON US Equity</t>
  </si>
  <si>
    <t>VICI US Equity</t>
  </si>
  <si>
    <t>FBF US Equity</t>
  </si>
  <si>
    <t>MAR US Equity</t>
  </si>
  <si>
    <t>SLB US Equity</t>
  </si>
  <si>
    <t>1996074D US Equity</t>
  </si>
  <si>
    <t>WBD US Equity</t>
  </si>
  <si>
    <t>Deal 141</t>
  </si>
  <si>
    <t>Deal 142</t>
  </si>
  <si>
    <t>Deal 143</t>
  </si>
  <si>
    <t>Deal 144</t>
  </si>
  <si>
    <t>Deal 145</t>
  </si>
  <si>
    <t>Deal 146</t>
  </si>
  <si>
    <t>Deal 147</t>
  </si>
  <si>
    <t>Deal 148</t>
  </si>
  <si>
    <t>Deal 149</t>
  </si>
  <si>
    <t>Deal 150</t>
  </si>
  <si>
    <t>Deal 151</t>
  </si>
  <si>
    <t>Deal 152</t>
  </si>
  <si>
    <t>Deal 153</t>
  </si>
  <si>
    <t>Deal 154</t>
  </si>
  <si>
    <t>Deal 155</t>
  </si>
  <si>
    <t>Deal 156</t>
  </si>
  <si>
    <t>Deal 157</t>
  </si>
  <si>
    <t>Deal 158</t>
  </si>
  <si>
    <t>Deal 159</t>
  </si>
  <si>
    <t>Deal 160</t>
  </si>
  <si>
    <t>PEP US Equity</t>
  </si>
  <si>
    <t>ELV US Equity</t>
  </si>
  <si>
    <t>COF US Equity</t>
  </si>
  <si>
    <t>MS US Equity</t>
  </si>
  <si>
    <t>D US Equity</t>
  </si>
  <si>
    <t>INTC US Equity</t>
  </si>
  <si>
    <t>WDC US Equity</t>
  </si>
  <si>
    <t>MCK US Equity</t>
  </si>
  <si>
    <t>WAMUQ US Equity</t>
  </si>
  <si>
    <t>DHR US Equity</t>
  </si>
  <si>
    <t>NOC US Equity</t>
  </si>
  <si>
    <t>MPLX US Equity</t>
  </si>
  <si>
    <t>GEN US Equity</t>
  </si>
  <si>
    <t>Deal 161</t>
  </si>
  <si>
    <t>Deal 162</t>
  </si>
  <si>
    <t>Deal 163</t>
  </si>
  <si>
    <t>Deal 164</t>
  </si>
  <si>
    <t>Deal 165</t>
  </si>
  <si>
    <t>Deal 166</t>
  </si>
  <si>
    <t>Deal 167</t>
  </si>
  <si>
    <t>Deal 168</t>
  </si>
  <si>
    <t>Deal 169</t>
  </si>
  <si>
    <t>Deal 170</t>
  </si>
  <si>
    <t>Deal 171</t>
  </si>
  <si>
    <t>Deal 172</t>
  </si>
  <si>
    <t>Deal 173</t>
  </si>
  <si>
    <t>Deal 174</t>
  </si>
  <si>
    <t>Deal 175</t>
  </si>
  <si>
    <t>Deal 176</t>
  </si>
  <si>
    <t>Deal 177</t>
  </si>
  <si>
    <t>Deal 178</t>
  </si>
  <si>
    <t>Deal 179</t>
  </si>
  <si>
    <t>Deal 180</t>
  </si>
  <si>
    <t>AMZN US Equity</t>
  </si>
  <si>
    <t>CNC US Equity</t>
  </si>
  <si>
    <t>BHC CN Equity</t>
  </si>
  <si>
    <t>UNH US Equity</t>
  </si>
  <si>
    <t>TDOC US Equity</t>
  </si>
  <si>
    <t>SHLDQ US Equity</t>
  </si>
  <si>
    <t>RSG US Equity</t>
  </si>
  <si>
    <t>ETN US Equity</t>
  </si>
  <si>
    <t>KR US Equity</t>
  </si>
  <si>
    <t>IQV US Equity</t>
  </si>
  <si>
    <t>Deal 181</t>
  </si>
  <si>
    <t>Deal 182</t>
  </si>
  <si>
    <t>Deal 183</t>
  </si>
  <si>
    <t>Deal 184</t>
  </si>
  <si>
    <t>Deal 185</t>
  </si>
  <si>
    <t>Deal 186</t>
  </si>
  <si>
    <t>Deal 187</t>
  </si>
  <si>
    <t>Deal 188</t>
  </si>
  <si>
    <t>Deal 189</t>
  </si>
  <si>
    <t>Deal 190</t>
  </si>
  <si>
    <t>Deal 191</t>
  </si>
  <si>
    <t>Deal 192</t>
  </si>
  <si>
    <t>Deal 193</t>
  </si>
  <si>
    <t>Deal 194</t>
  </si>
  <si>
    <t>Deal 195</t>
  </si>
  <si>
    <t>Deal 196</t>
  </si>
  <si>
    <t>Deal 197</t>
  </si>
  <si>
    <t>Deal 198</t>
  </si>
  <si>
    <t>Deal 199</t>
  </si>
  <si>
    <t>Deal 200</t>
  </si>
  <si>
    <t>1312089D US Equity</t>
  </si>
  <si>
    <t>EXC US Equity</t>
  </si>
  <si>
    <t>TTWO US Equity</t>
  </si>
  <si>
    <t>SO US Equity</t>
  </si>
  <si>
    <t>BAX US Equity</t>
  </si>
  <si>
    <t>WY US Equity</t>
  </si>
  <si>
    <t>TRGP US Equity</t>
  </si>
  <si>
    <t>BPYU US Equity</t>
  </si>
  <si>
    <t>SHW US Equity</t>
  </si>
  <si>
    <t>TWO US Equity</t>
  </si>
  <si>
    <t>TT US Equity</t>
  </si>
  <si>
    <t>Deal 201</t>
  </si>
  <si>
    <t>Deal 202</t>
  </si>
  <si>
    <t>Deal 203</t>
  </si>
  <si>
    <t>Deal 204</t>
  </si>
  <si>
    <t>Deal 205</t>
  </si>
  <si>
    <t>Deal 206</t>
  </si>
  <si>
    <t>Deal 207</t>
  </si>
  <si>
    <t>Deal 208</t>
  </si>
  <si>
    <t>Deal 209</t>
  </si>
  <si>
    <t>Deal 210</t>
  </si>
  <si>
    <t>Deal 211</t>
  </si>
  <si>
    <t>Deal 212</t>
  </si>
  <si>
    <t>Deal 213</t>
  </si>
  <si>
    <t>Deal 214</t>
  </si>
  <si>
    <t>Deal 215</t>
  </si>
  <si>
    <t>Deal 216</t>
  </si>
  <si>
    <t>Deal 217</t>
  </si>
  <si>
    <t>Deal 218</t>
  </si>
  <si>
    <t>Deal 219</t>
  </si>
  <si>
    <t>Deal 220</t>
  </si>
  <si>
    <t>1825471D US Equity</t>
  </si>
  <si>
    <t>HD US Equity</t>
  </si>
  <si>
    <t>LBRDA US Equity</t>
  </si>
  <si>
    <t>FE US Equity</t>
  </si>
  <si>
    <t>CAG US Equity</t>
  </si>
  <si>
    <t>VST US Equity</t>
  </si>
  <si>
    <t>680884Q US Equity</t>
  </si>
  <si>
    <t>ICE US Equity</t>
  </si>
  <si>
    <t>Deal 221</t>
  </si>
  <si>
    <t>Deal 222</t>
  </si>
  <si>
    <t>Deal 223</t>
  </si>
  <si>
    <t>Deal 224</t>
  </si>
  <si>
    <t>Deal 225</t>
  </si>
  <si>
    <t>Deal 226</t>
  </si>
  <si>
    <t>Deal 227</t>
  </si>
  <si>
    <t>Deal 228</t>
  </si>
  <si>
    <t>Deal 229</t>
  </si>
  <si>
    <t>Deal 230</t>
  </si>
  <si>
    <t>Deal 231</t>
  </si>
  <si>
    <t>Deal 232</t>
  </si>
  <si>
    <t>Deal 233</t>
  </si>
  <si>
    <t>Deal 234</t>
  </si>
  <si>
    <t>Deal 235</t>
  </si>
  <si>
    <t>Deal 236</t>
  </si>
  <si>
    <t>Deal 237</t>
  </si>
  <si>
    <t>Deal 238</t>
  </si>
  <si>
    <t>Deal 239</t>
  </si>
  <si>
    <t>Deal 240</t>
  </si>
  <si>
    <t>355488Q US Equity</t>
  </si>
  <si>
    <t>ENLC US Equity</t>
  </si>
  <si>
    <t>RF US Equity</t>
  </si>
  <si>
    <t>DBRG US Equity</t>
  </si>
  <si>
    <t>1377Q US Equity</t>
  </si>
  <si>
    <t>WMB US Equity</t>
  </si>
  <si>
    <t>AW US Equity</t>
  </si>
  <si>
    <t>IP US Equity</t>
  </si>
  <si>
    <t>VER US Equity</t>
  </si>
  <si>
    <t>MCHP US Equity</t>
  </si>
  <si>
    <t>2499073D US Equity</t>
  </si>
  <si>
    <t>RHDCQ US Equity</t>
  </si>
  <si>
    <t>1813626D US Equity</t>
  </si>
  <si>
    <t>Deal 241</t>
  </si>
  <si>
    <t>Deal 242</t>
  </si>
  <si>
    <t>Deal 243</t>
  </si>
  <si>
    <t>Deal 244</t>
  </si>
  <si>
    <t>Deal 245</t>
  </si>
  <si>
    <t>Deal 246</t>
  </si>
  <si>
    <t>Deal 247</t>
  </si>
  <si>
    <t>Deal 248</t>
  </si>
  <si>
    <t>Deal 249</t>
  </si>
  <si>
    <t>Deal 250</t>
  </si>
  <si>
    <t>Deal 251</t>
  </si>
  <si>
    <t>Deal 252</t>
  </si>
  <si>
    <t>Deal 253</t>
  </si>
  <si>
    <t>Deal 254</t>
  </si>
  <si>
    <t>Deal 255</t>
  </si>
  <si>
    <t>Deal 256</t>
  </si>
  <si>
    <t>Deal 257</t>
  </si>
  <si>
    <t>Deal 258</t>
  </si>
  <si>
    <t>Deal 259</t>
  </si>
  <si>
    <t>Deal 260</t>
  </si>
  <si>
    <t>GD US Equity</t>
  </si>
  <si>
    <t>CME US Equity</t>
  </si>
  <si>
    <t>MSI US Equity</t>
  </si>
  <si>
    <t>AMT US Equity</t>
  </si>
  <si>
    <t>HET US Equity</t>
  </si>
  <si>
    <t>WES US Equity</t>
  </si>
  <si>
    <t>LEN US Equity</t>
  </si>
  <si>
    <t>CXO US Equity</t>
  </si>
  <si>
    <t>FANG US Equity</t>
  </si>
  <si>
    <t>2370058D US Equity</t>
  </si>
  <si>
    <t>DLTR US Equity</t>
  </si>
  <si>
    <t>WEC US Equity</t>
  </si>
  <si>
    <t>EPD US Equity</t>
  </si>
  <si>
    <t>CTRA US Equity</t>
  </si>
  <si>
    <t>Deal 261</t>
  </si>
  <si>
    <t>Deal 262</t>
  </si>
  <si>
    <t>Deal 263</t>
  </si>
  <si>
    <t>Deal 264</t>
  </si>
  <si>
    <t>Deal 265</t>
  </si>
  <si>
    <t>Deal 266</t>
  </si>
  <si>
    <t>Deal 267</t>
  </si>
  <si>
    <t>Deal 268</t>
  </si>
  <si>
    <t>Deal 269</t>
  </si>
  <si>
    <t>Deal 270</t>
  </si>
  <si>
    <t>Deal 271</t>
  </si>
  <si>
    <t>Deal 272</t>
  </si>
  <si>
    <t>Deal 273</t>
  </si>
  <si>
    <t>Deal 274</t>
  </si>
  <si>
    <t>Deal 275</t>
  </si>
  <si>
    <t>Deal 276</t>
  </si>
  <si>
    <t>Deal 277</t>
  </si>
  <si>
    <t>Deal 278</t>
  </si>
  <si>
    <t>Deal 279</t>
  </si>
  <si>
    <t>Deal 280</t>
  </si>
  <si>
    <t>MRVL US Equity</t>
  </si>
  <si>
    <t>EVRG US Equity</t>
  </si>
  <si>
    <t>45950Q US Equity</t>
  </si>
  <si>
    <t>CAT US Equity</t>
  </si>
  <si>
    <t>AMGN US Equity</t>
  </si>
  <si>
    <t>NI US Equity</t>
  </si>
  <si>
    <t>TSN US Equity</t>
  </si>
  <si>
    <t>ANRZQ US Equity</t>
  </si>
  <si>
    <t>WTW US Equity</t>
  </si>
  <si>
    <t>HAL US Equity</t>
  </si>
  <si>
    <t>BN CN Equity</t>
  </si>
  <si>
    <t>2727195Q US Equity</t>
  </si>
  <si>
    <t>CNP US Equity</t>
  </si>
  <si>
    <t>Deal 281</t>
  </si>
  <si>
    <t>Deal 282</t>
  </si>
  <si>
    <t>Deal 283</t>
  </si>
  <si>
    <t>Deal 284</t>
  </si>
  <si>
    <t>Deal 285</t>
  </si>
  <si>
    <t>Deal 286</t>
  </si>
  <si>
    <t>Deal 287</t>
  </si>
  <si>
    <t>Deal 288</t>
  </si>
  <si>
    <t>Deal 289</t>
  </si>
  <si>
    <t>Deal 290</t>
  </si>
  <si>
    <t>Deal 291</t>
  </si>
  <si>
    <t>Deal 292</t>
  </si>
  <si>
    <t>Deal 293</t>
  </si>
  <si>
    <t>Deal 294</t>
  </si>
  <si>
    <t>Deal 295</t>
  </si>
  <si>
    <t>Deal 296</t>
  </si>
  <si>
    <t>Deal 297</t>
  </si>
  <si>
    <t>Deal 298</t>
  </si>
  <si>
    <t>Deal 299</t>
  </si>
  <si>
    <t>Deal 300</t>
  </si>
  <si>
    <t>COL US Equity</t>
  </si>
  <si>
    <t>ECL US Equity</t>
  </si>
  <si>
    <t>NXST US Equity</t>
  </si>
  <si>
    <t>0961514D US Equity</t>
  </si>
  <si>
    <t>ALXN US Equity</t>
  </si>
  <si>
    <t>CELG US Equity</t>
  </si>
  <si>
    <t>GIS US Equity</t>
  </si>
  <si>
    <t>1260972D US Equity</t>
  </si>
  <si>
    <t>INVH US Equity</t>
  </si>
  <si>
    <t>VLO US Equity</t>
  </si>
  <si>
    <t>GMST US Equity</t>
  </si>
  <si>
    <t>MGM US Equity</t>
  </si>
  <si>
    <t>LNC US Equity</t>
  </si>
  <si>
    <t>Deal 301</t>
  </si>
  <si>
    <t>Deal 302</t>
  </si>
  <si>
    <t>Deal 303</t>
  </si>
  <si>
    <t>Deal 304</t>
  </si>
  <si>
    <t>Deal 305</t>
  </si>
  <si>
    <t>Deal 306</t>
  </si>
  <si>
    <t>Deal 307</t>
  </si>
  <si>
    <t>Deal 308</t>
  </si>
  <si>
    <t>Deal 309</t>
  </si>
  <si>
    <t>Deal 310</t>
  </si>
  <si>
    <t>Deal 311</t>
  </si>
  <si>
    <t>Deal 312</t>
  </si>
  <si>
    <t>Deal 313</t>
  </si>
  <si>
    <t>Deal 314</t>
  </si>
  <si>
    <t>Deal 315</t>
  </si>
  <si>
    <t>Deal 316</t>
  </si>
  <si>
    <t>Deal 317</t>
  </si>
  <si>
    <t>Deal 318</t>
  </si>
  <si>
    <t>Deal 319</t>
  </si>
  <si>
    <t>Deal 320</t>
  </si>
  <si>
    <t>TRB US Equity</t>
  </si>
  <si>
    <t>AMSG US Equity</t>
  </si>
  <si>
    <t>QDEL US Equity</t>
  </si>
  <si>
    <t>FDC US Equity</t>
  </si>
  <si>
    <t>PXD US Equity</t>
  </si>
  <si>
    <t>VISN US Equity</t>
  </si>
  <si>
    <t>APO US Equity</t>
  </si>
  <si>
    <t>LVLT US Equity</t>
  </si>
  <si>
    <t>COHR US Equity</t>
  </si>
  <si>
    <t>NOV US Equity</t>
  </si>
  <si>
    <t>Deal 321</t>
  </si>
  <si>
    <t>Deal 322</t>
  </si>
  <si>
    <t>Deal 323</t>
  </si>
  <si>
    <t>Deal 324</t>
  </si>
  <si>
    <t>Deal 325</t>
  </si>
  <si>
    <t>Deal 326</t>
  </si>
  <si>
    <t>Deal 327</t>
  </si>
  <si>
    <t>Deal 328</t>
  </si>
  <si>
    <t>Deal 329</t>
  </si>
  <si>
    <t>Deal 330</t>
  </si>
  <si>
    <t>Deal 331</t>
  </si>
  <si>
    <t>Deal 332</t>
  </si>
  <si>
    <t>Deal 333</t>
  </si>
  <si>
    <t>Deal 334</t>
  </si>
  <si>
    <t>Deal 335</t>
  </si>
  <si>
    <t>Deal 336</t>
  </si>
  <si>
    <t>Deal 337</t>
  </si>
  <si>
    <t>Deal 338</t>
  </si>
  <si>
    <t>Deal 339</t>
  </si>
  <si>
    <t>Deal 340</t>
  </si>
  <si>
    <t>LLY US Equity</t>
  </si>
  <si>
    <t>OVV US Equity</t>
  </si>
  <si>
    <t>ES US Equity</t>
  </si>
  <si>
    <t>GEC US Equity</t>
  </si>
  <si>
    <t>VTR US Equity</t>
  </si>
  <si>
    <t>CYH US Equity</t>
  </si>
  <si>
    <t>MNIQQ US Equity</t>
  </si>
  <si>
    <t>3133754Q US Equity</t>
  </si>
  <si>
    <t>4622869Z US Equity</t>
  </si>
  <si>
    <t>Deal 341</t>
  </si>
  <si>
    <t>Deal 342</t>
  </si>
  <si>
    <t>Deal 343</t>
  </si>
  <si>
    <t>Deal 344</t>
  </si>
  <si>
    <t>Deal 345</t>
  </si>
  <si>
    <t>Deal 346</t>
  </si>
  <si>
    <t>Deal 347</t>
  </si>
  <si>
    <t>Deal 348</t>
  </si>
  <si>
    <t>Deal 349</t>
  </si>
  <si>
    <t>Deal 350</t>
  </si>
  <si>
    <t>Deal 351</t>
  </si>
  <si>
    <t>Deal 352</t>
  </si>
  <si>
    <t>Deal 353</t>
  </si>
  <si>
    <t>Deal 354</t>
  </si>
  <si>
    <t>Deal 355</t>
  </si>
  <si>
    <t>Deal 356</t>
  </si>
  <si>
    <t>Deal 357</t>
  </si>
  <si>
    <t>Deal 358</t>
  </si>
  <si>
    <t>Deal 359</t>
  </si>
  <si>
    <t>Deal 360</t>
  </si>
  <si>
    <t>CNCEQ US Equity</t>
  </si>
  <si>
    <t>2860436Q US Equity</t>
  </si>
  <si>
    <t>TXN US Equity</t>
  </si>
  <si>
    <t>HR US Equity</t>
  </si>
  <si>
    <t>LYO US Equity</t>
  </si>
  <si>
    <t>EOP US Equity</t>
  </si>
  <si>
    <t>SPG US Equity</t>
  </si>
  <si>
    <t>2471693D US Equity</t>
  </si>
  <si>
    <t>ENTG US Equity</t>
  </si>
  <si>
    <t>EQT US Equity</t>
  </si>
  <si>
    <t>1255459D US Equity</t>
  </si>
  <si>
    <t>Deal 361</t>
  </si>
  <si>
    <t>Deal 362</t>
  </si>
  <si>
    <t>Deal 363</t>
  </si>
  <si>
    <t>Deal 364</t>
  </si>
  <si>
    <t>Deal 365</t>
  </si>
  <si>
    <t>Deal 366</t>
  </si>
  <si>
    <t>Deal 367</t>
  </si>
  <si>
    <t>Deal 368</t>
  </si>
  <si>
    <t>Deal 369</t>
  </si>
  <si>
    <t>Deal 370</t>
  </si>
  <si>
    <t>Deal 371</t>
  </si>
  <si>
    <t>Deal 372</t>
  </si>
  <si>
    <t>Deal 373</t>
  </si>
  <si>
    <t>Deal 374</t>
  </si>
  <si>
    <t>Deal 375</t>
  </si>
  <si>
    <t>Deal 376</t>
  </si>
  <si>
    <t>Deal 377</t>
  </si>
  <si>
    <t>Deal 378</t>
  </si>
  <si>
    <t>Deal 379</t>
  </si>
  <si>
    <t>Deal 380</t>
  </si>
  <si>
    <t>DLR US Equity</t>
  </si>
  <si>
    <t>SSCCQ US Equity</t>
  </si>
  <si>
    <t>CSCO US Equity</t>
  </si>
  <si>
    <t>CAH US Equity</t>
  </si>
  <si>
    <t>DXC US Equity</t>
  </si>
  <si>
    <t>BIIB US Equity</t>
  </si>
  <si>
    <t>285939Q US Equity</t>
  </si>
  <si>
    <t>ACM US Equity</t>
  </si>
  <si>
    <t>1715651D US Equity</t>
  </si>
  <si>
    <t>MTCH US Equity</t>
  </si>
  <si>
    <t>NFB US Equity</t>
  </si>
  <si>
    <t>CPB US Equity</t>
  </si>
  <si>
    <t>WLL US Equity</t>
  </si>
  <si>
    <t>Deal 381</t>
  </si>
  <si>
    <t>Deal 382</t>
  </si>
  <si>
    <t>Deal 383</t>
  </si>
  <si>
    <t>Deal 384</t>
  </si>
  <si>
    <t>Deal 385</t>
  </si>
  <si>
    <t>Deal 386</t>
  </si>
  <si>
    <t>Deal 387</t>
  </si>
  <si>
    <t>Deal 388</t>
  </si>
  <si>
    <t>Deal 389</t>
  </si>
  <si>
    <t>Deal 390</t>
  </si>
  <si>
    <t>Deal 391</t>
  </si>
  <si>
    <t>Deal 392</t>
  </si>
  <si>
    <t>Deal 393</t>
  </si>
  <si>
    <t>Deal 394</t>
  </si>
  <si>
    <t>Deal 395</t>
  </si>
  <si>
    <t>Deal 396</t>
  </si>
  <si>
    <t>Deal 397</t>
  </si>
  <si>
    <t>Deal 398</t>
  </si>
  <si>
    <t>Deal 399</t>
  </si>
  <si>
    <t>Deal 400</t>
  </si>
  <si>
    <t>ALB US Equity</t>
  </si>
  <si>
    <t>TFCFA US Equity</t>
  </si>
  <si>
    <t>EMR US Equity</t>
  </si>
  <si>
    <t>DVN US Equity</t>
  </si>
  <si>
    <t>3692470Q US Equity</t>
  </si>
  <si>
    <t>ESS US Equity</t>
  </si>
  <si>
    <t>CG US Equity</t>
  </si>
  <si>
    <t>PNC US Equity</t>
  </si>
  <si>
    <t>REG US Equity</t>
  </si>
  <si>
    <t>ANDV US Equity</t>
  </si>
  <si>
    <t>WBS US Equity</t>
  </si>
  <si>
    <t>SITC US Equity</t>
  </si>
  <si>
    <t>BEN US Equity</t>
  </si>
  <si>
    <t>Deal 401</t>
  </si>
  <si>
    <t>Deal 402</t>
  </si>
  <si>
    <t>Deal 403</t>
  </si>
  <si>
    <t>Deal 404</t>
  </si>
  <si>
    <t>Deal 405</t>
  </si>
  <si>
    <t>Deal 406</t>
  </si>
  <si>
    <t>Deal 407</t>
  </si>
  <si>
    <t>Deal 408</t>
  </si>
  <si>
    <t>Deal 409</t>
  </si>
  <si>
    <t>Deal 410</t>
  </si>
  <si>
    <t>Deal 411</t>
  </si>
  <si>
    <t>Deal 412</t>
  </si>
  <si>
    <t>Deal 413</t>
  </si>
  <si>
    <t>Deal 414</t>
  </si>
  <si>
    <t>Deal 415</t>
  </si>
  <si>
    <t>Deal 416</t>
  </si>
  <si>
    <t>Deal 417</t>
  </si>
  <si>
    <t>Deal 418</t>
  </si>
  <si>
    <t>Deal 419</t>
  </si>
  <si>
    <t>Deal 420</t>
  </si>
  <si>
    <t>PENN US Equity</t>
  </si>
  <si>
    <t>PXP US Equity</t>
  </si>
  <si>
    <t>FSK US Equity</t>
  </si>
  <si>
    <t>HBAN US Equity</t>
  </si>
  <si>
    <t>GLPI US Equity</t>
  </si>
  <si>
    <t>CCI US Equity</t>
  </si>
  <si>
    <t>NLY US Equity</t>
  </si>
  <si>
    <t>1793839D US Equity</t>
  </si>
  <si>
    <t>9210611D US Equity</t>
  </si>
  <si>
    <t>HOLX US Equity</t>
  </si>
  <si>
    <t>AA US Equity</t>
  </si>
  <si>
    <t>Deal 421</t>
  </si>
  <si>
    <t>Deal 422</t>
  </si>
  <si>
    <t>Deal 423</t>
  </si>
  <si>
    <t>Deal 424</t>
  </si>
  <si>
    <t>Deal 425</t>
  </si>
  <si>
    <t>Deal 426</t>
  </si>
  <si>
    <t>Deal 427</t>
  </si>
  <si>
    <t>Deal 428</t>
  </si>
  <si>
    <t>Deal 429</t>
  </si>
  <si>
    <t>Deal 430</t>
  </si>
  <si>
    <t>Deal 431</t>
  </si>
  <si>
    <t>Deal 432</t>
  </si>
  <si>
    <t>Deal 433</t>
  </si>
  <si>
    <t>Deal 434</t>
  </si>
  <si>
    <t>Deal 435</t>
  </si>
  <si>
    <t>Deal 436</t>
  </si>
  <si>
    <t>Deal 437</t>
  </si>
  <si>
    <t>Deal 438</t>
  </si>
  <si>
    <t>Deal 439</t>
  </si>
  <si>
    <t>Deal 440</t>
  </si>
  <si>
    <t>BKR US Equity</t>
  </si>
  <si>
    <t>AET US Equity</t>
  </si>
  <si>
    <t>SSNC US Equity</t>
  </si>
  <si>
    <t>9980328D US Equity</t>
  </si>
  <si>
    <t>UNP US Equity</t>
  </si>
  <si>
    <t>KIM US Equity</t>
  </si>
  <si>
    <t>WPC US Equity</t>
  </si>
  <si>
    <t>MNKTQ US Equity</t>
  </si>
  <si>
    <t>Deal 441</t>
  </si>
  <si>
    <t>Deal 442</t>
  </si>
  <si>
    <t>Deal 443</t>
  </si>
  <si>
    <t>Deal 444</t>
  </si>
  <si>
    <t>Deal 445</t>
  </si>
  <si>
    <t>Deal 446</t>
  </si>
  <si>
    <t>Deal 447</t>
  </si>
  <si>
    <t>Deal 448</t>
  </si>
  <si>
    <t>Deal 449</t>
  </si>
  <si>
    <t>Deal 450</t>
  </si>
  <si>
    <t>Deal 451</t>
  </si>
  <si>
    <t>Deal 452</t>
  </si>
  <si>
    <t>Deal 453</t>
  </si>
  <si>
    <t>Deal 454</t>
  </si>
  <si>
    <t>Deal 455</t>
  </si>
  <si>
    <t>Deal 456</t>
  </si>
  <si>
    <t>Deal 457</t>
  </si>
  <si>
    <t>Deal 458</t>
  </si>
  <si>
    <t>Deal 459</t>
  </si>
  <si>
    <t>Deal 460</t>
  </si>
  <si>
    <t>UGI US Equity</t>
  </si>
  <si>
    <t>1005945D US Equity</t>
  </si>
  <si>
    <t>CEQP US Equity</t>
  </si>
  <si>
    <t>TSLA US Equity</t>
  </si>
  <si>
    <t>MTB US Equity</t>
  </si>
  <si>
    <t>GE US Equity</t>
  </si>
  <si>
    <t>BKD US Equity</t>
  </si>
  <si>
    <t>ROH US Equity</t>
  </si>
  <si>
    <t>NGLS US Equity</t>
  </si>
  <si>
    <t>LNWO US Equity</t>
  </si>
  <si>
    <t>XRAY US Equity</t>
  </si>
  <si>
    <t>BPY-U CN Equity</t>
  </si>
  <si>
    <t>PEB US Equity</t>
  </si>
  <si>
    <t>Deal 461</t>
  </si>
  <si>
    <t>Deal 462</t>
  </si>
  <si>
    <t>Deal 463</t>
  </si>
  <si>
    <t>Deal 464</t>
  </si>
  <si>
    <t>Deal 465</t>
  </si>
  <si>
    <t>Deal 466</t>
  </si>
  <si>
    <t>Deal 467</t>
  </si>
  <si>
    <t>Deal 468</t>
  </si>
  <si>
    <t>Deal 469</t>
  </si>
  <si>
    <t>Deal 470</t>
  </si>
  <si>
    <t>Deal 471</t>
  </si>
  <si>
    <t>Deal 472</t>
  </si>
  <si>
    <t>Deal 473</t>
  </si>
  <si>
    <t>Deal 474</t>
  </si>
  <si>
    <t>Deal 475</t>
  </si>
  <si>
    <t>Deal 476</t>
  </si>
  <si>
    <t>Deal 477</t>
  </si>
  <si>
    <t>Deal 478</t>
  </si>
  <si>
    <t>Deal 479</t>
  </si>
  <si>
    <t>Deal 480</t>
  </si>
  <si>
    <t>SANM US Equity</t>
  </si>
  <si>
    <t>VAC US Equity</t>
  </si>
  <si>
    <t>119240Q US Equity</t>
  </si>
  <si>
    <t>CMCSA US Equity</t>
  </si>
  <si>
    <t>WRK US Equity</t>
  </si>
  <si>
    <t>SYK US Equity</t>
  </si>
  <si>
    <t>MAA US Equity</t>
  </si>
  <si>
    <t>1235274D US Equity</t>
  </si>
  <si>
    <t>SPB US Equity</t>
  </si>
  <si>
    <t>CMX US Equity</t>
  </si>
  <si>
    <t>Deal 481</t>
  </si>
  <si>
    <t>Deal 482</t>
  </si>
  <si>
    <t>Deal 483</t>
  </si>
  <si>
    <t>Deal 484</t>
  </si>
  <si>
    <t>Deal 485</t>
  </si>
  <si>
    <t>Deal 486</t>
  </si>
  <si>
    <t>Deal 487</t>
  </si>
  <si>
    <t>Deal 488</t>
  </si>
  <si>
    <t>Deal 489</t>
  </si>
  <si>
    <t>Deal 490</t>
  </si>
  <si>
    <t>Deal 491</t>
  </si>
  <si>
    <t>Deal 492</t>
  </si>
  <si>
    <t>Deal 493</t>
  </si>
  <si>
    <t>Deal 494</t>
  </si>
  <si>
    <t>Deal 495</t>
  </si>
  <si>
    <t>Deal 496</t>
  </si>
  <si>
    <t>Deal 497</t>
  </si>
  <si>
    <t>Deal 498</t>
  </si>
  <si>
    <t>Deal 499</t>
  </si>
  <si>
    <t>Deal 500</t>
  </si>
  <si>
    <t>166783Q US Equity</t>
  </si>
  <si>
    <t>ADELQ US Equity</t>
  </si>
  <si>
    <t>MRCHQ US Equity</t>
  </si>
  <si>
    <t>ATHMQ US Equity</t>
  </si>
  <si>
    <t>8394653Q US Equity</t>
  </si>
  <si>
    <t>XEL US Equity</t>
  </si>
  <si>
    <t>ATBA AV Equity</t>
  </si>
  <si>
    <t>AES US Equity</t>
  </si>
  <si>
    <t>PSA US Equity</t>
  </si>
  <si>
    <t>AMAT US Equity</t>
  </si>
  <si>
    <t>1051665D US Equity</t>
  </si>
  <si>
    <t>Deal 501</t>
  </si>
  <si>
    <t>Deal 502</t>
  </si>
  <si>
    <t>Deal 503</t>
  </si>
  <si>
    <t>Deal 504</t>
  </si>
  <si>
    <t>Deal 505</t>
  </si>
  <si>
    <t>Deal 506</t>
  </si>
  <si>
    <t>Deal 507</t>
  </si>
  <si>
    <t>Deal 508</t>
  </si>
  <si>
    <t>Deal 509</t>
  </si>
  <si>
    <t>Deal 510</t>
  </si>
  <si>
    <t>Deal 511</t>
  </si>
  <si>
    <t>Deal 512</t>
  </si>
  <si>
    <t>Deal 513</t>
  </si>
  <si>
    <t>Deal 514</t>
  </si>
  <si>
    <t>Deal 515</t>
  </si>
  <si>
    <t>Deal 516</t>
  </si>
  <si>
    <t>Deal 517</t>
  </si>
  <si>
    <t>Deal 518</t>
  </si>
  <si>
    <t>Deal 519</t>
  </si>
  <si>
    <t>Deal 520</t>
  </si>
  <si>
    <t>UNM US Equity</t>
  </si>
  <si>
    <t>EMN US Equity</t>
  </si>
  <si>
    <t>VMC US Equity</t>
  </si>
  <si>
    <t>FITB US Equity</t>
  </si>
  <si>
    <t>STT US Equity</t>
  </si>
  <si>
    <t>SWK US Equity</t>
  </si>
  <si>
    <t>PTVE US Equity</t>
  </si>
  <si>
    <t>LNCOQ US Equity</t>
  </si>
  <si>
    <t>Deal 521</t>
  </si>
  <si>
    <t>Deal 522</t>
  </si>
  <si>
    <t>Deal 523</t>
  </si>
  <si>
    <t>Deal 524</t>
  </si>
  <si>
    <t>Deal 525</t>
  </si>
  <si>
    <t>Deal 526</t>
  </si>
  <si>
    <t>Deal 527</t>
  </si>
  <si>
    <t>Deal 528</t>
  </si>
  <si>
    <t>Deal 529</t>
  </si>
  <si>
    <t>Deal 530</t>
  </si>
  <si>
    <t>Deal 531</t>
  </si>
  <si>
    <t>Deal 532</t>
  </si>
  <si>
    <t>Deal 533</t>
  </si>
  <si>
    <t>Deal 534</t>
  </si>
  <si>
    <t>Deal 535</t>
  </si>
  <si>
    <t>Deal 536</t>
  </si>
  <si>
    <t>Deal 537</t>
  </si>
  <si>
    <t>Deal 538</t>
  </si>
  <si>
    <t>Deal 539</t>
  </si>
  <si>
    <t>Deal 540</t>
  </si>
  <si>
    <t>PH US Equity</t>
  </si>
  <si>
    <t>RRC US Equity</t>
  </si>
  <si>
    <t>CF US Equity</t>
  </si>
  <si>
    <t>TCF US Equity</t>
  </si>
  <si>
    <t>0616747D US Equity</t>
  </si>
  <si>
    <t>DCNAQ US Equity</t>
  </si>
  <si>
    <t>NRG US Equity</t>
  </si>
  <si>
    <t>EXPE US Equity</t>
  </si>
  <si>
    <t>K US Equity</t>
  </si>
  <si>
    <t>OLN US Equity</t>
  </si>
  <si>
    <t>BA US Equity</t>
  </si>
  <si>
    <t>STE US Equity</t>
  </si>
  <si>
    <t>TDY US Equity</t>
  </si>
  <si>
    <t>WCC US Equity</t>
  </si>
  <si>
    <t>CCT CN Equity</t>
  </si>
  <si>
    <t>Deal 541</t>
  </si>
  <si>
    <t>Deal 542</t>
  </si>
  <si>
    <t>Deal 543</t>
  </si>
  <si>
    <t>Deal 544</t>
  </si>
  <si>
    <t>Deal 545</t>
  </si>
  <si>
    <t>Deal 546</t>
  </si>
  <si>
    <t>Deal 547</t>
  </si>
  <si>
    <t>Deal 548</t>
  </si>
  <si>
    <t>Deal 549</t>
  </si>
  <si>
    <t>Deal 550</t>
  </si>
  <si>
    <t>Deal 551</t>
  </si>
  <si>
    <t>Deal 552</t>
  </si>
  <si>
    <t>Deal 553</t>
  </si>
  <si>
    <t>Deal 554</t>
  </si>
  <si>
    <t>Deal 555</t>
  </si>
  <si>
    <t>Deal 556</t>
  </si>
  <si>
    <t>Deal 557</t>
  </si>
  <si>
    <t>Deal 558</t>
  </si>
  <si>
    <t>Deal 559</t>
  </si>
  <si>
    <t>Deal 560</t>
  </si>
  <si>
    <t>STRZ US Equity</t>
  </si>
  <si>
    <t>KMP US Equity</t>
  </si>
  <si>
    <t>196850Q US Equity</t>
  </si>
  <si>
    <t>DEN US Equity</t>
  </si>
  <si>
    <t>1023761D US Equity</t>
  </si>
  <si>
    <t>SBRA US Equity</t>
  </si>
  <si>
    <t>TGE US Equity</t>
  </si>
  <si>
    <t>KEY US Equity</t>
  </si>
  <si>
    <t>TDG US Equity</t>
  </si>
  <si>
    <t>Deal 561</t>
  </si>
  <si>
    <t>Deal 562</t>
  </si>
  <si>
    <t>Deal 563</t>
  </si>
  <si>
    <t>Deal 564</t>
  </si>
  <si>
    <t>Deal 565</t>
  </si>
  <si>
    <t>Deal 566</t>
  </si>
  <si>
    <t>Deal 567</t>
  </si>
  <si>
    <t>Deal 568</t>
  </si>
  <si>
    <t>Deal 569</t>
  </si>
  <si>
    <t>Deal 570</t>
  </si>
  <si>
    <t>Deal 571</t>
  </si>
  <si>
    <t>Deal 572</t>
  </si>
  <si>
    <t>Deal 573</t>
  </si>
  <si>
    <t>Deal 574</t>
  </si>
  <si>
    <t>Deal 575</t>
  </si>
  <si>
    <t>Deal 576</t>
  </si>
  <si>
    <t>Deal 577</t>
  </si>
  <si>
    <t>Deal 578</t>
  </si>
  <si>
    <t>Deal 579</t>
  </si>
  <si>
    <t>Deal 580</t>
  </si>
  <si>
    <t>AWE US Equity</t>
  </si>
  <si>
    <t>0910150D US Equity</t>
  </si>
  <si>
    <t>NBL US Equity</t>
  </si>
  <si>
    <t>ASFZ US Equity</t>
  </si>
  <si>
    <t>WPGGQ US Equity</t>
  </si>
  <si>
    <t>329802Q US Equity</t>
  </si>
  <si>
    <t>MAT US Equity</t>
  </si>
  <si>
    <t>4134807Q US Equity</t>
  </si>
  <si>
    <t>Deal 581</t>
  </si>
  <si>
    <t>Deal 582</t>
  </si>
  <si>
    <t>Deal 583</t>
  </si>
  <si>
    <t>Deal 584</t>
  </si>
  <si>
    <t>Deal 585</t>
  </si>
  <si>
    <t>Deal 586</t>
  </si>
  <si>
    <t>Deal 587</t>
  </si>
  <si>
    <t>Deal 588</t>
  </si>
  <si>
    <t>Deal 589</t>
  </si>
  <si>
    <t>Deal 590</t>
  </si>
  <si>
    <t>Deal 591</t>
  </si>
  <si>
    <t>Deal 592</t>
  </si>
  <si>
    <t>Deal 593</t>
  </si>
  <si>
    <t>Deal 594</t>
  </si>
  <si>
    <t>Deal 595</t>
  </si>
  <si>
    <t>Deal 596</t>
  </si>
  <si>
    <t>Deal 597</t>
  </si>
  <si>
    <t>Deal 598</t>
  </si>
  <si>
    <t>Deal 599</t>
  </si>
  <si>
    <t>Deal 600</t>
  </si>
  <si>
    <t>ITW US Equity</t>
  </si>
  <si>
    <t>9990302D US Equity</t>
  </si>
  <si>
    <t>DZA US Equity</t>
  </si>
  <si>
    <t>1431816D US Equity</t>
  </si>
  <si>
    <t>GTN US Equity</t>
  </si>
  <si>
    <t>COR US Equity</t>
  </si>
  <si>
    <t>FSH US Equity</t>
  </si>
  <si>
    <t>FHN US Equity</t>
  </si>
  <si>
    <t>COX US Equity</t>
  </si>
  <si>
    <t>Y US Equity</t>
  </si>
  <si>
    <t>OPITQ US Equity</t>
  </si>
  <si>
    <t>PCL US Equity</t>
  </si>
  <si>
    <t>Deal 601</t>
  </si>
  <si>
    <t>Deal 602</t>
  </si>
  <si>
    <t>Deal 603</t>
  </si>
  <si>
    <t>Deal 604</t>
  </si>
  <si>
    <t>Deal 605</t>
  </si>
  <si>
    <t>Deal 606</t>
  </si>
  <si>
    <t>Deal 607</t>
  </si>
  <si>
    <t>Deal 608</t>
  </si>
  <si>
    <t>Deal 609</t>
  </si>
  <si>
    <t>Deal 610</t>
  </si>
  <si>
    <t>Deal 611</t>
  </si>
  <si>
    <t>Deal 612</t>
  </si>
  <si>
    <t>Deal 613</t>
  </si>
  <si>
    <t>Deal 614</t>
  </si>
  <si>
    <t>Deal 615</t>
  </si>
  <si>
    <t>Deal 616</t>
  </si>
  <si>
    <t>Deal 617</t>
  </si>
  <si>
    <t>Deal 618</t>
  </si>
  <si>
    <t>Deal 619</t>
  </si>
  <si>
    <t>Deal 620</t>
  </si>
  <si>
    <t>1293405D US Equity</t>
  </si>
  <si>
    <t>SOV US Equity</t>
  </si>
  <si>
    <t>ALL US Equity</t>
  </si>
  <si>
    <t>DTE US Equity</t>
  </si>
  <si>
    <t>CFG US Equity</t>
  </si>
  <si>
    <t>1683997D US Equity</t>
  </si>
  <si>
    <t>CUZ US Equity</t>
  </si>
  <si>
    <t>CMI US Equity</t>
  </si>
  <si>
    <t>582663Q US Equity</t>
  </si>
  <si>
    <t>MDRIQ US Equity</t>
  </si>
  <si>
    <t>WLK US Equity</t>
  </si>
  <si>
    <t>Deal 621</t>
  </si>
  <si>
    <t>Deal 622</t>
  </si>
  <si>
    <t>Deal 623</t>
  </si>
  <si>
    <t>Deal 624</t>
  </si>
  <si>
    <t>Deal 625</t>
  </si>
  <si>
    <t>Deal 626</t>
  </si>
  <si>
    <t>Deal 627</t>
  </si>
  <si>
    <t>Deal 628</t>
  </si>
  <si>
    <t>Deal 629</t>
  </si>
  <si>
    <t>Deal 630</t>
  </si>
  <si>
    <t>Deal 631</t>
  </si>
  <si>
    <t>Deal 632</t>
  </si>
  <si>
    <t>Deal 633</t>
  </si>
  <si>
    <t>Deal 634</t>
  </si>
  <si>
    <t>Deal 635</t>
  </si>
  <si>
    <t>Deal 636</t>
  </si>
  <si>
    <t>Deal 637</t>
  </si>
  <si>
    <t>Deal 638</t>
  </si>
  <si>
    <t>Deal 639</t>
  </si>
  <si>
    <t>Deal 640</t>
  </si>
  <si>
    <t>SLG US Equity</t>
  </si>
  <si>
    <t>CBOE US Equity</t>
  </si>
  <si>
    <t>ARCC US Equity</t>
  </si>
  <si>
    <t>WELL US Equity</t>
  </si>
  <si>
    <t>BRCM US Equity</t>
  </si>
  <si>
    <t>BDN US Equity</t>
  </si>
  <si>
    <t>0544749D US Equity</t>
  </si>
  <si>
    <t>Deal 641</t>
  </si>
  <si>
    <t>Deal 642</t>
  </si>
  <si>
    <t>Deal 643</t>
  </si>
  <si>
    <t>Deal 644</t>
  </si>
  <si>
    <t>Deal 645</t>
  </si>
  <si>
    <t>Deal 646</t>
  </si>
  <si>
    <t>Deal 647</t>
  </si>
  <si>
    <t>Deal 648</t>
  </si>
  <si>
    <t>Deal 649</t>
  </si>
  <si>
    <t>Deal 650</t>
  </si>
  <si>
    <t>Deal 651</t>
  </si>
  <si>
    <t>Deal 652</t>
  </si>
  <si>
    <t>Deal 653</t>
  </si>
  <si>
    <t>Deal 654</t>
  </si>
  <si>
    <t>Deal 655</t>
  </si>
  <si>
    <t>Deal 656</t>
  </si>
  <si>
    <t>Deal 657</t>
  </si>
  <si>
    <t>Deal 658</t>
  </si>
  <si>
    <t>Deal 659</t>
  </si>
  <si>
    <t>Deal 660</t>
  </si>
  <si>
    <t>1837572D US Equity</t>
  </si>
  <si>
    <t>THC US Equity</t>
  </si>
  <si>
    <t>ARI US Equity</t>
  </si>
  <si>
    <t>1704453D US Equity</t>
  </si>
  <si>
    <t>NS US Equity</t>
  </si>
  <si>
    <t>AMCC US Equity</t>
  </si>
  <si>
    <t>300583Q US Equity</t>
  </si>
  <si>
    <t>DYNIQ US Equity</t>
  </si>
  <si>
    <t>SSB US Equity</t>
  </si>
  <si>
    <t>IT US Equity</t>
  </si>
  <si>
    <t>LQI US Equity</t>
  </si>
  <si>
    <t>CHRD US Equity</t>
  </si>
  <si>
    <t>Deal 661</t>
  </si>
  <si>
    <t>Deal 662</t>
  </si>
  <si>
    <t>Deal 663</t>
  </si>
  <si>
    <t>Deal 664</t>
  </si>
  <si>
    <t>Deal 665</t>
  </si>
  <si>
    <t>Deal 666</t>
  </si>
  <si>
    <t>Deal 667</t>
  </si>
  <si>
    <t>Deal 668</t>
  </si>
  <si>
    <t>Deal 669</t>
  </si>
  <si>
    <t>Deal 670</t>
  </si>
  <si>
    <t>Deal 671</t>
  </si>
  <si>
    <t>Deal 672</t>
  </si>
  <si>
    <t>Deal 673</t>
  </si>
  <si>
    <t>Deal 674</t>
  </si>
  <si>
    <t>Deal 675</t>
  </si>
  <si>
    <t>Deal 676</t>
  </si>
  <si>
    <t>Deal 677</t>
  </si>
  <si>
    <t>Deal 678</t>
  </si>
  <si>
    <t>Deal 679</t>
  </si>
  <si>
    <t>Deal 680</t>
  </si>
  <si>
    <t>XRX US Equity</t>
  </si>
  <si>
    <t>HFC US Equity</t>
  </si>
  <si>
    <t>DCH US Equity</t>
  </si>
  <si>
    <t>STJ US Equity</t>
  </si>
  <si>
    <t>1810430D US Equity</t>
  </si>
  <si>
    <t>9876555D US Equity</t>
  </si>
  <si>
    <t>UAL US Equity</t>
  </si>
  <si>
    <t>CBI US Equity</t>
  </si>
  <si>
    <t>ADBE US Equity</t>
  </si>
  <si>
    <t>ARCH US Equity</t>
  </si>
  <si>
    <t>CAR US Equity</t>
  </si>
  <si>
    <t>MAXR US Equity</t>
  </si>
  <si>
    <t>Deal 681</t>
  </si>
  <si>
    <t>Deal 682</t>
  </si>
  <si>
    <t>Deal 683</t>
  </si>
  <si>
    <t>Deal 684</t>
  </si>
  <si>
    <t>Deal 685</t>
  </si>
  <si>
    <t>Deal 686</t>
  </si>
  <si>
    <t>Deal 687</t>
  </si>
  <si>
    <t>Deal 688</t>
  </si>
  <si>
    <t>Deal 689</t>
  </si>
  <si>
    <t>Deal 690</t>
  </si>
  <si>
    <t>Deal 691</t>
  </si>
  <si>
    <t>Deal 692</t>
  </si>
  <si>
    <t>Deal 693</t>
  </si>
  <si>
    <t>Deal 694</t>
  </si>
  <si>
    <t>Deal 695</t>
  </si>
  <si>
    <t>Deal 696</t>
  </si>
  <si>
    <t>Deal 697</t>
  </si>
  <si>
    <t>Deal 698</t>
  </si>
  <si>
    <t>Deal 699</t>
  </si>
  <si>
    <t>Deal 700</t>
  </si>
  <si>
    <t>GAS US Equity</t>
  </si>
  <si>
    <t>QCOM US Equity</t>
  </si>
  <si>
    <t>2326248D US Equity</t>
  </si>
  <si>
    <t>EXAS US Equity</t>
  </si>
  <si>
    <t>UNFI US Equity</t>
  </si>
  <si>
    <t>SWKH US Equity</t>
  </si>
  <si>
    <t>PHM US Equity</t>
  </si>
  <si>
    <t>1436513D US Equity</t>
  </si>
  <si>
    <t>AAL US Equity</t>
  </si>
  <si>
    <t>DDS US Equity</t>
  </si>
  <si>
    <t>AVTA US Equity</t>
  </si>
  <si>
    <t>CAA US Equity</t>
  </si>
  <si>
    <t>Deal 701</t>
  </si>
  <si>
    <t>Deal 702</t>
  </si>
  <si>
    <t>Deal 703</t>
  </si>
  <si>
    <t>Deal 704</t>
  </si>
  <si>
    <t>Deal 705</t>
  </si>
  <si>
    <t>Deal 706</t>
  </si>
  <si>
    <t>Deal 707</t>
  </si>
  <si>
    <t>Deal 708</t>
  </si>
  <si>
    <t>Deal 709</t>
  </si>
  <si>
    <t>Deal 710</t>
  </si>
  <si>
    <t>Deal 711</t>
  </si>
  <si>
    <t>Deal 712</t>
  </si>
  <si>
    <t>Deal 713</t>
  </si>
  <si>
    <t>Deal 714</t>
  </si>
  <si>
    <t>Deal 715</t>
  </si>
  <si>
    <t>Deal 716</t>
  </si>
  <si>
    <t>Deal 717</t>
  </si>
  <si>
    <t>Deal 718</t>
  </si>
  <si>
    <t>Deal 719</t>
  </si>
  <si>
    <t>Deal 720</t>
  </si>
  <si>
    <t>AM US Equity</t>
  </si>
  <si>
    <t>KG US Equity</t>
  </si>
  <si>
    <t>XPO US Equity</t>
  </si>
  <si>
    <t>SKS US Equity</t>
  </si>
  <si>
    <t>WSC US Equity</t>
  </si>
  <si>
    <t>TWC US Equity</t>
  </si>
  <si>
    <t>ILPT US Equity</t>
  </si>
  <si>
    <t>HZNP US Equity</t>
  </si>
  <si>
    <t>1719868D US Equity</t>
  </si>
  <si>
    <t>IEP US Equity</t>
  </si>
  <si>
    <t>OSK US Equity</t>
  </si>
  <si>
    <t>1284849D US Equity</t>
  </si>
  <si>
    <t>1920486D US Equity</t>
  </si>
  <si>
    <t>LEHMQ US Equity</t>
  </si>
  <si>
    <t>KRG US Equity</t>
  </si>
  <si>
    <t>Deal 721</t>
  </si>
  <si>
    <t>Deal 722</t>
  </si>
  <si>
    <t>Deal 723</t>
  </si>
  <si>
    <t>Deal 724</t>
  </si>
  <si>
    <t>Deal 725</t>
  </si>
  <si>
    <t>Deal 726</t>
  </si>
  <si>
    <t>Deal 727</t>
  </si>
  <si>
    <t>Deal 728</t>
  </si>
  <si>
    <t>Deal 729</t>
  </si>
  <si>
    <t>Deal 730</t>
  </si>
  <si>
    <t>Deal 731</t>
  </si>
  <si>
    <t>Deal 732</t>
  </si>
  <si>
    <t>Deal 733</t>
  </si>
  <si>
    <t>Deal 734</t>
  </si>
  <si>
    <t>Deal 735</t>
  </si>
  <si>
    <t>Deal 736</t>
  </si>
  <si>
    <t>Deal 737</t>
  </si>
  <si>
    <t>Deal 738</t>
  </si>
  <si>
    <t>Deal 739</t>
  </si>
  <si>
    <t>Deal 740</t>
  </si>
  <si>
    <t>HPC US Equity</t>
  </si>
  <si>
    <t>CADE US Equity</t>
  </si>
  <si>
    <t>PCP US Equity</t>
  </si>
  <si>
    <t>RUN US Equity</t>
  </si>
  <si>
    <t>WEN US Equity</t>
  </si>
  <si>
    <t>VALPQ US Equity</t>
  </si>
  <si>
    <t>9990822D US Equity</t>
  </si>
  <si>
    <t>LRCX US Equity</t>
  </si>
  <si>
    <t>GXP US Equity</t>
  </si>
  <si>
    <t>PVH US Equity</t>
  </si>
  <si>
    <t>ASH US Equity</t>
  </si>
  <si>
    <t>Deal 741</t>
  </si>
  <si>
    <t>Deal 742</t>
  </si>
  <si>
    <t>Deal 743</t>
  </si>
  <si>
    <t>Deal 744</t>
  </si>
  <si>
    <t>Deal 745</t>
  </si>
  <si>
    <t>Deal 746</t>
  </si>
  <si>
    <t>Deal 747</t>
  </si>
  <si>
    <t>Deal 748</t>
  </si>
  <si>
    <t>Deal 749</t>
  </si>
  <si>
    <t>Deal 750</t>
  </si>
  <si>
    <t>Deal 751</t>
  </si>
  <si>
    <t>Deal 752</t>
  </si>
  <si>
    <t>Deal 753</t>
  </si>
  <si>
    <t>Deal 754</t>
  </si>
  <si>
    <t>Deal 755</t>
  </si>
  <si>
    <t>Deal 756</t>
  </si>
  <si>
    <t>Deal 757</t>
  </si>
  <si>
    <t>Deal 758</t>
  </si>
  <si>
    <t>Deal 759</t>
  </si>
  <si>
    <t>Deal 760</t>
  </si>
  <si>
    <t>TGNA US Equity</t>
  </si>
  <si>
    <t>HSH US Equity</t>
  </si>
  <si>
    <t>DAL US Equity</t>
  </si>
  <si>
    <t>PROXQ US Equity</t>
  </si>
  <si>
    <t>PFGC US Equity</t>
  </si>
  <si>
    <t>BLDR US Equity</t>
  </si>
  <si>
    <t>Deal 761</t>
  </si>
  <si>
    <t>Deal 762</t>
  </si>
  <si>
    <t>Deal 763</t>
  </si>
  <si>
    <t>Deal 764</t>
  </si>
  <si>
    <t>Deal 765</t>
  </si>
  <si>
    <t>Deal 766</t>
  </si>
  <si>
    <t>Deal 767</t>
  </si>
  <si>
    <t>Deal 768</t>
  </si>
  <si>
    <t>Deal 769</t>
  </si>
  <si>
    <t>Deal 770</t>
  </si>
  <si>
    <t>Deal 771</t>
  </si>
  <si>
    <t>Deal 772</t>
  </si>
  <si>
    <t>Deal 773</t>
  </si>
  <si>
    <t>Deal 774</t>
  </si>
  <si>
    <t>Deal 775</t>
  </si>
  <si>
    <t>Deal 776</t>
  </si>
  <si>
    <t>Deal 777</t>
  </si>
  <si>
    <t>Deal 778</t>
  </si>
  <si>
    <t>Deal 779</t>
  </si>
  <si>
    <t>Deal 780</t>
  </si>
  <si>
    <t>SNV US Equity</t>
  </si>
  <si>
    <t>9876567D US Equity</t>
  </si>
  <si>
    <t>ENDPQ US Equity</t>
  </si>
  <si>
    <t>3867693Z US Equity</t>
  </si>
  <si>
    <t>JEF US Equity</t>
  </si>
  <si>
    <t>EXDSQ US Equity</t>
  </si>
  <si>
    <t>FLG US Equity</t>
  </si>
  <si>
    <t>MLM US Equity</t>
  </si>
  <si>
    <t>1074528D US Equity</t>
  </si>
  <si>
    <t>1927294D US Equity</t>
  </si>
  <si>
    <t>GT US Equity</t>
  </si>
  <si>
    <t>Deal 781</t>
  </si>
  <si>
    <t>Deal 782</t>
  </si>
  <si>
    <t>Deal 783</t>
  </si>
  <si>
    <t>Deal 784</t>
  </si>
  <si>
    <t>Deal 785</t>
  </si>
  <si>
    <t>Deal 786</t>
  </si>
  <si>
    <t>Deal 787</t>
  </si>
  <si>
    <t>Deal 788</t>
  </si>
  <si>
    <t>Deal 789</t>
  </si>
  <si>
    <t>Deal 790</t>
  </si>
  <si>
    <t>Deal 791</t>
  </si>
  <si>
    <t>Deal 792</t>
  </si>
  <si>
    <t>Deal 793</t>
  </si>
  <si>
    <t>Deal 794</t>
  </si>
  <si>
    <t>Deal 795</t>
  </si>
  <si>
    <t>Deal 796</t>
  </si>
  <si>
    <t>Deal 797</t>
  </si>
  <si>
    <t>Deal 798</t>
  </si>
  <si>
    <t>Deal 799</t>
  </si>
  <si>
    <t>Deal 800</t>
  </si>
  <si>
    <t>URS US Equity</t>
  </si>
  <si>
    <t>OEI US Equity</t>
  </si>
  <si>
    <t>NCC US Equity</t>
  </si>
  <si>
    <t>PK US Equity</t>
  </si>
  <si>
    <t>ANDX US Equity</t>
  </si>
  <si>
    <t>TEG US Equity</t>
  </si>
  <si>
    <t>HC US Equity</t>
  </si>
  <si>
    <t>MDP US Equity</t>
  </si>
  <si>
    <t>9995522D US Equity</t>
  </si>
  <si>
    <t>ONB US Equity</t>
  </si>
  <si>
    <t>Deal 801</t>
  </si>
  <si>
    <t>Deal 802</t>
  </si>
  <si>
    <t>Deal 803</t>
  </si>
  <si>
    <t>Deal 804</t>
  </si>
  <si>
    <t>Deal 805</t>
  </si>
  <si>
    <t>Deal 806</t>
  </si>
  <si>
    <t>Deal 807</t>
  </si>
  <si>
    <t>Deal 808</t>
  </si>
  <si>
    <t>Deal 809</t>
  </si>
  <si>
    <t>Deal 810</t>
  </si>
  <si>
    <t>Deal 811</t>
  </si>
  <si>
    <t>Deal 812</t>
  </si>
  <si>
    <t>Deal 813</t>
  </si>
  <si>
    <t>Deal 814</t>
  </si>
  <si>
    <t>Deal 815</t>
  </si>
  <si>
    <t>Deal 816</t>
  </si>
  <si>
    <t>Deal 817</t>
  </si>
  <si>
    <t>Deal 818</t>
  </si>
  <si>
    <t>Deal 819</t>
  </si>
  <si>
    <t>Deal 820</t>
  </si>
  <si>
    <t>COV US Equity</t>
  </si>
  <si>
    <t>PZL US Equity</t>
  </si>
  <si>
    <t>KKR US Equity</t>
  </si>
  <si>
    <t>MHS US Equity</t>
  </si>
  <si>
    <t>RLJ US Equity</t>
  </si>
  <si>
    <t>1811934D US Equity</t>
  </si>
  <si>
    <t>WHR US Equity</t>
  </si>
  <si>
    <t>CPE US Equity</t>
  </si>
  <si>
    <t>PAA US Equity</t>
  </si>
  <si>
    <t>Deal 821</t>
  </si>
  <si>
    <t>Deal 822</t>
  </si>
  <si>
    <t>Deal 823</t>
  </si>
  <si>
    <t>Deal 824</t>
  </si>
  <si>
    <t>Deal 825</t>
  </si>
  <si>
    <t>Deal 826</t>
  </si>
  <si>
    <t>Deal 827</t>
  </si>
  <si>
    <t>Deal 828</t>
  </si>
  <si>
    <t>Deal 829</t>
  </si>
  <si>
    <t>Deal 830</t>
  </si>
  <si>
    <t>Deal 831</t>
  </si>
  <si>
    <t>Deal 832</t>
  </si>
  <si>
    <t>Deal 833</t>
  </si>
  <si>
    <t>Deal 834</t>
  </si>
  <si>
    <t>Deal 835</t>
  </si>
  <si>
    <t>Deal 836</t>
  </si>
  <si>
    <t>Deal 837</t>
  </si>
  <si>
    <t>Deal 838</t>
  </si>
  <si>
    <t>Deal 839</t>
  </si>
  <si>
    <t>Deal 840</t>
  </si>
  <si>
    <t>MSCC US Equity</t>
  </si>
  <si>
    <t>BKNG US Equity</t>
  </si>
  <si>
    <t>SAIC US Equity</t>
  </si>
  <si>
    <t>0574018D US Equity</t>
  </si>
  <si>
    <t>SAFE US Equity</t>
  </si>
  <si>
    <t>MMP US Equity</t>
  </si>
  <si>
    <t>TPR US Equity</t>
  </si>
  <si>
    <t>PSX US Equity</t>
  </si>
  <si>
    <t>667517Q US Equity</t>
  </si>
  <si>
    <t>PE US Equity</t>
  </si>
  <si>
    <t>SPXC US Equity</t>
  </si>
  <si>
    <t>CBRE US Equity</t>
  </si>
  <si>
    <t>Deal 841</t>
  </si>
  <si>
    <t>Deal 842</t>
  </si>
  <si>
    <t>Deal 843</t>
  </si>
  <si>
    <t>Deal 844</t>
  </si>
  <si>
    <t>Deal 845</t>
  </si>
  <si>
    <t>Deal 846</t>
  </si>
  <si>
    <t>Deal 847</t>
  </si>
  <si>
    <t>Deal 848</t>
  </si>
  <si>
    <t>Deal 849</t>
  </si>
  <si>
    <t>Deal 850</t>
  </si>
  <si>
    <t>Deal 851</t>
  </si>
  <si>
    <t>Deal 852</t>
  </si>
  <si>
    <t>Deal 853</t>
  </si>
  <si>
    <t>Deal 854</t>
  </si>
  <si>
    <t>Deal 855</t>
  </si>
  <si>
    <t>Deal 856</t>
  </si>
  <si>
    <t>Deal 857</t>
  </si>
  <si>
    <t>Deal 858</t>
  </si>
  <si>
    <t>Deal 859</t>
  </si>
  <si>
    <t>Deal 860</t>
  </si>
  <si>
    <t>AEE US Equity</t>
  </si>
  <si>
    <t>LEARQ US Equity</t>
  </si>
  <si>
    <t>MXIM US Equity</t>
  </si>
  <si>
    <t>EQM US Equity</t>
  </si>
  <si>
    <t>GPT US Equity</t>
  </si>
  <si>
    <t>2649Q US Equity</t>
  </si>
  <si>
    <t>ZG US Equity</t>
  </si>
  <si>
    <t>ROVI US Equity</t>
  </si>
  <si>
    <t>QVCGA US Equity</t>
  </si>
  <si>
    <t>HEROQ US Equity</t>
  </si>
  <si>
    <t>1465949D US Equity</t>
  </si>
  <si>
    <t>Deal 861</t>
  </si>
  <si>
    <t>Deal 862</t>
  </si>
  <si>
    <t>Deal 863</t>
  </si>
  <si>
    <t>Deal 864</t>
  </si>
  <si>
    <t>Deal 865</t>
  </si>
  <si>
    <t>Deal 866</t>
  </si>
  <si>
    <t>Deal 867</t>
  </si>
  <si>
    <t>Deal 868</t>
  </si>
  <si>
    <t>Deal 869</t>
  </si>
  <si>
    <t>Deal 870</t>
  </si>
  <si>
    <t>Deal 871</t>
  </si>
  <si>
    <t>Deal 872</t>
  </si>
  <si>
    <t>Deal 873</t>
  </si>
  <si>
    <t>Deal 874</t>
  </si>
  <si>
    <t>Deal 875</t>
  </si>
  <si>
    <t>Deal 876</t>
  </si>
  <si>
    <t>Deal 877</t>
  </si>
  <si>
    <t>Deal 878</t>
  </si>
  <si>
    <t>Deal 879</t>
  </si>
  <si>
    <t>Deal 880</t>
  </si>
  <si>
    <t>BFH US Equity</t>
  </si>
  <si>
    <t>BBEPQ US Equity</t>
  </si>
  <si>
    <t>PACW US Equity</t>
  </si>
  <si>
    <t>KNX US Equity</t>
  </si>
  <si>
    <t>ON US Equity</t>
  </si>
  <si>
    <t>DFODQ US Equity</t>
  </si>
  <si>
    <t>AGR US Equity</t>
  </si>
  <si>
    <t>IPG US Equity</t>
  </si>
  <si>
    <t>CLF US Equity</t>
  </si>
  <si>
    <t>OHI US Equity</t>
  </si>
  <si>
    <t>WINMQ US Equity</t>
  </si>
  <si>
    <t>Deal 881</t>
  </si>
  <si>
    <t>Deal 882</t>
  </si>
  <si>
    <t>Deal 883</t>
  </si>
  <si>
    <t>Deal 884</t>
  </si>
  <si>
    <t>Deal 885</t>
  </si>
  <si>
    <t>Deal 886</t>
  </si>
  <si>
    <t>Deal 887</t>
  </si>
  <si>
    <t>Deal 888</t>
  </si>
  <si>
    <t>Deal 889</t>
  </si>
  <si>
    <t>Deal 890</t>
  </si>
  <si>
    <t>Deal 891</t>
  </si>
  <si>
    <t>Deal 892</t>
  </si>
  <si>
    <t>Deal 893</t>
  </si>
  <si>
    <t>Deal 894</t>
  </si>
  <si>
    <t>Deal 895</t>
  </si>
  <si>
    <t>Deal 896</t>
  </si>
  <si>
    <t>Deal 897</t>
  </si>
  <si>
    <t>Deal 898</t>
  </si>
  <si>
    <t>Deal 899</t>
  </si>
  <si>
    <t>Deal 900</t>
  </si>
  <si>
    <t>AKAM US Equity</t>
  </si>
  <si>
    <t>XOXOQ US Equity</t>
  </si>
  <si>
    <t>EXXIQ US Equity</t>
  </si>
  <si>
    <t>GR US Equity</t>
  </si>
  <si>
    <t>ALK US Equity</t>
  </si>
  <si>
    <t>STL US Equity</t>
  </si>
  <si>
    <t>HES US Equity</t>
  </si>
  <si>
    <t>TMHC US Equity</t>
  </si>
  <si>
    <t>ZAYO US Equity</t>
  </si>
  <si>
    <t>9990531D US Equity</t>
  </si>
  <si>
    <t>RC US Equity</t>
  </si>
  <si>
    <t>CTAS US Equity</t>
  </si>
  <si>
    <t>Deal 901</t>
  </si>
  <si>
    <t>Deal 902</t>
  </si>
  <si>
    <t>Deal 903</t>
  </si>
  <si>
    <t>Deal 904</t>
  </si>
  <si>
    <t>Deal 905</t>
  </si>
  <si>
    <t>Deal 906</t>
  </si>
  <si>
    <t>Deal 907</t>
  </si>
  <si>
    <t>Deal 908</t>
  </si>
  <si>
    <t>Deal 909</t>
  </si>
  <si>
    <t>Deal 910</t>
  </si>
  <si>
    <t>Deal 911</t>
  </si>
  <si>
    <t>Deal 912</t>
  </si>
  <si>
    <t>Deal 913</t>
  </si>
  <si>
    <t>Deal 914</t>
  </si>
  <si>
    <t>Deal 915</t>
  </si>
  <si>
    <t>Deal 916</t>
  </si>
  <si>
    <t>Deal 917</t>
  </si>
  <si>
    <t>Deal 918</t>
  </si>
  <si>
    <t>Deal 919</t>
  </si>
  <si>
    <t>Deal 920</t>
  </si>
  <si>
    <t>NXL US Equity</t>
  </si>
  <si>
    <t>AVB US Equity</t>
  </si>
  <si>
    <t>HIG US Equity</t>
  </si>
  <si>
    <t>LYB US Equity</t>
  </si>
  <si>
    <t>PRGNQ US Equity</t>
  </si>
  <si>
    <t>DIN US Equity</t>
  </si>
  <si>
    <t>2758954Q US Equity</t>
  </si>
  <si>
    <t>TYL US Equity</t>
  </si>
  <si>
    <t>Deal 921</t>
  </si>
  <si>
    <t>Deal 922</t>
  </si>
  <si>
    <t>Deal 923</t>
  </si>
  <si>
    <t>Deal 924</t>
  </si>
  <si>
    <t>Deal 925</t>
  </si>
  <si>
    <t>Deal 926</t>
  </si>
  <si>
    <t>Deal 927</t>
  </si>
  <si>
    <t>Deal 928</t>
  </si>
  <si>
    <t>Deal 929</t>
  </si>
  <si>
    <t>Deal 930</t>
  </si>
  <si>
    <t>Deal 931</t>
  </si>
  <si>
    <t>Deal 932</t>
  </si>
  <si>
    <t>Deal 933</t>
  </si>
  <si>
    <t>Deal 934</t>
  </si>
  <si>
    <t>Deal 935</t>
  </si>
  <si>
    <t>Deal 936</t>
  </si>
  <si>
    <t>Deal 937</t>
  </si>
  <si>
    <t>Deal 938</t>
  </si>
  <si>
    <t>Deal 939</t>
  </si>
  <si>
    <t>Deal 940</t>
  </si>
  <si>
    <t>2258717D US Equity</t>
  </si>
  <si>
    <t>PNFP US Equity</t>
  </si>
  <si>
    <t>FCNCA US Equity</t>
  </si>
  <si>
    <t>XEC US Equity</t>
  </si>
  <si>
    <t>ARWLQ US Equity</t>
  </si>
  <si>
    <t>PB US Equity</t>
  </si>
  <si>
    <t>2083Q US Equity</t>
  </si>
  <si>
    <t>STCN US Equity</t>
  </si>
  <si>
    <t>FIBK US Equity</t>
  </si>
  <si>
    <t>SLXP US Equity</t>
  </si>
  <si>
    <t>BKB US Equity</t>
  </si>
  <si>
    <t>ASNAQ US Equity</t>
  </si>
  <si>
    <t>EQR US Equity</t>
  </si>
  <si>
    <t>1816375D US Equity</t>
  </si>
  <si>
    <t>HI US Equity</t>
  </si>
  <si>
    <t>TFX US Equity</t>
  </si>
  <si>
    <t>Deal 941</t>
  </si>
  <si>
    <t>Deal 942</t>
  </si>
  <si>
    <t>Deal 943</t>
  </si>
  <si>
    <t>Deal 944</t>
  </si>
  <si>
    <t>Deal 945</t>
  </si>
  <si>
    <t>Deal 946</t>
  </si>
  <si>
    <t>Deal 947</t>
  </si>
  <si>
    <t>Deal 948</t>
  </si>
  <si>
    <t>Deal 949</t>
  </si>
  <si>
    <t>Deal 950</t>
  </si>
  <si>
    <t>Deal 951</t>
  </si>
  <si>
    <t>Deal 952</t>
  </si>
  <si>
    <t>Deal 953</t>
  </si>
  <si>
    <t>Deal 954</t>
  </si>
  <si>
    <t>Deal 955</t>
  </si>
  <si>
    <t>Deal 956</t>
  </si>
  <si>
    <t>Deal 957</t>
  </si>
  <si>
    <t>Deal 958</t>
  </si>
  <si>
    <t>Deal 959</t>
  </si>
  <si>
    <t>Deal 960</t>
  </si>
  <si>
    <t>PKG US Equity</t>
  </si>
  <si>
    <t>JLL US Equity</t>
  </si>
  <si>
    <t>BPO CN Equity</t>
  </si>
  <si>
    <t>1822785D US Equity</t>
  </si>
  <si>
    <t>MCLDQ US Equity</t>
  </si>
  <si>
    <t>VFC US Equity</t>
  </si>
  <si>
    <t>CLX US Equity</t>
  </si>
  <si>
    <t>EA US Equity</t>
  </si>
  <si>
    <t>GWR US Equity</t>
  </si>
  <si>
    <t>ETFC US Equity</t>
  </si>
  <si>
    <t>MRSH US Equity</t>
  </si>
  <si>
    <t>DRS US Equity</t>
  </si>
  <si>
    <t>X US Equity</t>
  </si>
  <si>
    <t>Deal 961</t>
  </si>
  <si>
    <t>Deal 962</t>
  </si>
  <si>
    <t>Deal 963</t>
  </si>
  <si>
    <t>Deal 964</t>
  </si>
  <si>
    <t>Deal 965</t>
  </si>
  <si>
    <t>Deal 966</t>
  </si>
  <si>
    <t>Deal 967</t>
  </si>
  <si>
    <t>Deal 968</t>
  </si>
  <si>
    <t>Deal 969</t>
  </si>
  <si>
    <t>Deal 970</t>
  </si>
  <si>
    <t>Deal 971</t>
  </si>
  <si>
    <t>Deal 972</t>
  </si>
  <si>
    <t>Deal 973</t>
  </si>
  <si>
    <t>Deal 974</t>
  </si>
  <si>
    <t>Deal 975</t>
  </si>
  <si>
    <t>Deal 976</t>
  </si>
  <si>
    <t>Deal 977</t>
  </si>
  <si>
    <t>Deal 978</t>
  </si>
  <si>
    <t>Deal 979</t>
  </si>
  <si>
    <t>Deal 980</t>
  </si>
  <si>
    <t>WLA US Equity</t>
  </si>
  <si>
    <t>SOCNQ US Equity</t>
  </si>
  <si>
    <t>CVH US Equity</t>
  </si>
  <si>
    <t>1041267D US Equity</t>
  </si>
  <si>
    <t>URI US Equity</t>
  </si>
  <si>
    <t>NVP US Equity</t>
  </si>
  <si>
    <t>2598Q US Equity</t>
  </si>
  <si>
    <t>EBAY US Equity</t>
  </si>
  <si>
    <t>LNCE US Equity</t>
  </si>
  <si>
    <t>SOGCQ US Equity</t>
  </si>
  <si>
    <t>0167866D US Equity</t>
  </si>
  <si>
    <t>DALRQ US Equity</t>
  </si>
  <si>
    <t>SRE US Equity</t>
  </si>
  <si>
    <t>UMPQ US Equity</t>
  </si>
  <si>
    <t>UNVR US Equity</t>
  </si>
  <si>
    <t>Deal 981</t>
  </si>
  <si>
    <t>Deal 982</t>
  </si>
  <si>
    <t>Deal 983</t>
  </si>
  <si>
    <t>Deal 984</t>
  </si>
  <si>
    <t>Deal 985</t>
  </si>
  <si>
    <t>Deal 986</t>
  </si>
  <si>
    <t>Deal 987</t>
  </si>
  <si>
    <t>Deal 988</t>
  </si>
  <si>
    <t>Deal 989</t>
  </si>
  <si>
    <t>Deal 990</t>
  </si>
  <si>
    <t>Deal 991</t>
  </si>
  <si>
    <t>Deal 992</t>
  </si>
  <si>
    <t>Deal 993</t>
  </si>
  <si>
    <t>Deal 994</t>
  </si>
  <si>
    <t>Deal 995</t>
  </si>
  <si>
    <t>Deal 996</t>
  </si>
  <si>
    <t>Deal 997</t>
  </si>
  <si>
    <t>Deal 998</t>
  </si>
  <si>
    <t>Deal 999</t>
  </si>
  <si>
    <t>Deal 1000</t>
  </si>
  <si>
    <t>ETRN US Equity</t>
  </si>
  <si>
    <t>ADEA US Equity</t>
  </si>
  <si>
    <t>1893675D US Equity</t>
  </si>
  <si>
    <t>PBCT US Equity</t>
  </si>
  <si>
    <t>9213421D CN Equity</t>
  </si>
  <si>
    <t>TWLO US Equity</t>
  </si>
  <si>
    <t>9993232D US Equity</t>
  </si>
  <si>
    <t>CLDR US Equity</t>
  </si>
  <si>
    <t>SATS US Equity</t>
  </si>
  <si>
    <t>KND US Equity</t>
  </si>
  <si>
    <t>WNR US Equity</t>
  </si>
  <si>
    <t>CXW US Equity</t>
  </si>
  <si>
    <t>CPT US Equity</t>
  </si>
  <si>
    <t>DINO US Equity</t>
  </si>
  <si>
    <t>A</t>
  </si>
  <si>
    <t>2022A CF (DINO US)</t>
  </si>
  <si>
    <t>HF Sinclair Corp</t>
  </si>
  <si>
    <t>066570 KS Equity</t>
  </si>
  <si>
    <t>COGS</t>
  </si>
  <si>
    <t>Q3</t>
  </si>
  <si>
    <t>Estimate (066570 KS)</t>
  </si>
  <si>
    <t>LG Electronics Inc</t>
  </si>
  <si>
    <t>5401 JP Equity</t>
  </si>
  <si>
    <t>Q1</t>
  </si>
  <si>
    <t>2025Q1 CF (X US)</t>
  </si>
  <si>
    <t>Nippon Steel Corp</t>
  </si>
  <si>
    <t>Q4</t>
  </si>
  <si>
    <t>Estimate (TT US)</t>
  </si>
  <si>
    <t>Trane Technologies PLC</t>
  </si>
  <si>
    <t>0179561D US Equity</t>
  </si>
  <si>
    <t>2022A CF (X US)</t>
  </si>
  <si>
    <t>PRO-TEC Coating Co</t>
  </si>
  <si>
    <t>7203 JP Equity</t>
  </si>
  <si>
    <t>Company News (7203 JP)</t>
  </si>
  <si>
    <t>Toyota Motor Corp</t>
  </si>
  <si>
    <t>0219682Z US Equity</t>
  </si>
  <si>
    <t>2023A CF (ENDPQ US)</t>
  </si>
  <si>
    <t>United States Department of Defense</t>
  </si>
  <si>
    <t>0556727D US Equity</t>
  </si>
  <si>
    <t>2022Q3 CF (ENDPQ US)</t>
  </si>
  <si>
    <t>Morris &amp; Dickson Co LLC</t>
  </si>
  <si>
    <t>3352Z US Equity</t>
  </si>
  <si>
    <t>United States of America</t>
  </si>
  <si>
    <t>4516 JP Equity</t>
  </si>
  <si>
    <t>2025A CF (4516 JP)</t>
  </si>
  <si>
    <t>Nippon Shinyaku Co Ltd</t>
  </si>
  <si>
    <t>Cardinal Health Inc</t>
  </si>
  <si>
    <t>2025A CF (NOC US)</t>
  </si>
  <si>
    <t>LMT US Equity</t>
  </si>
  <si>
    <t>Estimate (NOC US)</t>
  </si>
  <si>
    <t>Lockheed Martin Corp</t>
  </si>
  <si>
    <t>Amazon.com Inc</t>
  </si>
  <si>
    <t>Boeing Co/The</t>
  </si>
  <si>
    <t>8206440Z LN Equity</t>
  </si>
  <si>
    <t>CAPEX</t>
  </si>
  <si>
    <t>2025A CF (8206440Z LN)</t>
  </si>
  <si>
    <t>United Kingdom of Great Britain &amp; Northern Ireland Ministry of Defence</t>
  </si>
  <si>
    <t>2023A CF (CLCO LN)</t>
  </si>
  <si>
    <t>Cloudcoco Group PLC</t>
  </si>
  <si>
    <t>INFN US Equity</t>
  </si>
  <si>
    <t>2022A CF (INFN US)</t>
  </si>
  <si>
    <t>Infinera Corp</t>
  </si>
  <si>
    <t>MEGACPO MM Equity</t>
  </si>
  <si>
    <t>2024A CF (MEGACPO MM)</t>
  </si>
  <si>
    <t>Megacable Holdings SAB de CV</t>
  </si>
  <si>
    <t>SCSC US Equity</t>
  </si>
  <si>
    <t>2024Q1 CF (SCSC US)</t>
  </si>
  <si>
    <t>ScanSource Inc</t>
  </si>
  <si>
    <t>Estimate (3048 JP)</t>
  </si>
  <si>
    <t>Bic Camera Inc</t>
  </si>
  <si>
    <t>001420 KS Equity</t>
  </si>
  <si>
    <t>C3</t>
  </si>
  <si>
    <t>2025C3 CF (001420 KS)</t>
  </si>
  <si>
    <t>Taewon Mulsan Co Ltd</t>
  </si>
  <si>
    <t>002098 CH Equity</t>
  </si>
  <si>
    <t>2024A CF (002098 CH)</t>
  </si>
  <si>
    <t>Fujian SBS Zipper Science &amp; Technology Co Ltd</t>
  </si>
  <si>
    <t>002180 CH Equity</t>
  </si>
  <si>
    <t>2021A CF (002180 CH)</t>
  </si>
  <si>
    <t>Ninestar Corp</t>
  </si>
  <si>
    <t>002362 CH Equity</t>
  </si>
  <si>
    <t>2021A CF (002362 CH)</t>
  </si>
  <si>
    <t>Hanwang Technology Co Ltd</t>
  </si>
  <si>
    <t>WMT US Equity</t>
  </si>
  <si>
    <t>Q2</t>
  </si>
  <si>
    <t>2026Q2 CF (CLX US)</t>
  </si>
  <si>
    <t>Walmart Inc</t>
  </si>
  <si>
    <t>Estimate (CLX US)</t>
  </si>
  <si>
    <t>Kroger Co/The</t>
  </si>
  <si>
    <t>CA FP Equity</t>
  </si>
  <si>
    <t>Carrefour SA</t>
  </si>
  <si>
    <t>AD NA Equity</t>
  </si>
  <si>
    <t>Koninklijke Ahold Delhaize NV</t>
  </si>
  <si>
    <t>2025A CF (RENG IN)</t>
  </si>
  <si>
    <t>Rajoo Engineers Ltd</t>
  </si>
  <si>
    <t>2025A CF (GD US)</t>
  </si>
  <si>
    <t>HII US Equity</t>
  </si>
  <si>
    <t>Estimate (GD US)</t>
  </si>
  <si>
    <t>Huntington Ingalls Industries Inc</t>
  </si>
  <si>
    <t>CDW US Equity</t>
  </si>
  <si>
    <t>Estimate (CDW US)</t>
  </si>
  <si>
    <t>CDW Corp/DE</t>
  </si>
  <si>
    <t>ESLT IT Equity</t>
  </si>
  <si>
    <t>Elbit Systems Ltd</t>
  </si>
  <si>
    <t>LTM CI Equity</t>
  </si>
  <si>
    <t>SGA</t>
  </si>
  <si>
    <t>2025A CF (LTM CI)</t>
  </si>
  <si>
    <t>Latam Airlines Group SA</t>
  </si>
  <si>
    <t>033230 KS Equity</t>
  </si>
  <si>
    <t>2022C3 CF (033230 KS)</t>
  </si>
  <si>
    <t>Insung Information Co Ltd</t>
  </si>
  <si>
    <t>2745 TT Equity</t>
  </si>
  <si>
    <t>2023A CF (2745 TT)</t>
  </si>
  <si>
    <t>Life Travel &amp; Tourist Service Co Ltd</t>
  </si>
  <si>
    <t>4749081Z FP Equity</t>
  </si>
  <si>
    <t>Company News (DAL US)</t>
  </si>
  <si>
    <t>CFM International SA</t>
  </si>
  <si>
    <t>AEROMEX* MM Equity</t>
  </si>
  <si>
    <t>2021A CF (AEROMEX* MM)</t>
  </si>
  <si>
    <t>Grupo Aeromexico SAB de CV</t>
  </si>
  <si>
    <t>SNX US Equity</t>
  </si>
  <si>
    <t>Estimate (SNX US)</t>
  </si>
  <si>
    <t>TD SYNNEX Corp</t>
  </si>
  <si>
    <t>KGF LN Equity</t>
  </si>
  <si>
    <t>Estimate (KGF LN)</t>
  </si>
  <si>
    <t>Kingfisher PLC</t>
  </si>
  <si>
    <t>4726 TT Equity</t>
  </si>
  <si>
    <t>2024A CF (4726 TT)</t>
  </si>
  <si>
    <t>Mycenax Biotech Inc</t>
  </si>
  <si>
    <t>6589 TT Equity</t>
  </si>
  <si>
    <t>2024A CF (6589 TT)</t>
  </si>
  <si>
    <t>EirGenix Inc</t>
  </si>
  <si>
    <t>2022A CF (BLDR US)</t>
  </si>
  <si>
    <t>Ashton Woods USA LLC</t>
  </si>
  <si>
    <t>DFH US Equity</t>
  </si>
  <si>
    <t>2024A CF (BLDR US)</t>
  </si>
  <si>
    <t>Dream Finders Homes Inc</t>
  </si>
  <si>
    <t>DHI US Equity</t>
  </si>
  <si>
    <t>2025A CF (BLDR US)</t>
  </si>
  <si>
    <t>DR Horton Inc</t>
  </si>
  <si>
    <t>KBH US Equity</t>
  </si>
  <si>
    <t>2023A CF (KBH US)</t>
  </si>
  <si>
    <t>KB Home</t>
  </si>
  <si>
    <t>Lennar Corp</t>
  </si>
  <si>
    <t>2025C3 CF (002020 KS)</t>
  </si>
  <si>
    <t>Kolon Corp</t>
  </si>
  <si>
    <t>Company News (CLDR US)</t>
  </si>
  <si>
    <t>0253876D IN Equity</t>
  </si>
  <si>
    <t>ANI Technologies Pvt Ltd</t>
  </si>
  <si>
    <t>1502052D US Equity</t>
  </si>
  <si>
    <t>Company News (1502052D US)</t>
  </si>
  <si>
    <t>Qlik Parent Inc</t>
  </si>
  <si>
    <t>AIR FP Equity</t>
  </si>
  <si>
    <t>Estimate (DD US)</t>
  </si>
  <si>
    <t>Airbus SE</t>
  </si>
  <si>
    <t>Estimate (MSFT US)</t>
  </si>
  <si>
    <t>Microsoft Corp</t>
  </si>
  <si>
    <t>Estimate (SHW US)</t>
  </si>
  <si>
    <t>Sherwin-Williams Co/The</t>
  </si>
  <si>
    <t>LOW US Equity</t>
  </si>
  <si>
    <t>Estimate (LOW US)</t>
  </si>
  <si>
    <t>Lowe's Cos Inc</t>
  </si>
  <si>
    <t>CON GR Equity</t>
  </si>
  <si>
    <t>Continental AG</t>
  </si>
  <si>
    <t>Estimate (IBM US)</t>
  </si>
  <si>
    <t>International Business Machines Corp</t>
  </si>
  <si>
    <t>RET BB Equity</t>
  </si>
  <si>
    <t>2025A CF (RET BB)</t>
  </si>
  <si>
    <t>Retail Estates NV</t>
  </si>
  <si>
    <t>0755354D US Equity</t>
  </si>
  <si>
    <t>Company News (CBRE US)</t>
  </si>
  <si>
    <t>Bain Capital LP</t>
  </si>
  <si>
    <t>1960310D LN Equity</t>
  </si>
  <si>
    <t>Slalom Consulting Ltd</t>
  </si>
  <si>
    <t>Company News (DVN US)</t>
  </si>
  <si>
    <t>Centrica PLC</t>
  </si>
  <si>
    <t>Company News (UAL US)</t>
  </si>
  <si>
    <t>300240 CH Equity</t>
  </si>
  <si>
    <t>2023A CF (300240 CH)</t>
  </si>
  <si>
    <t>Jiangsu Feiliks International Logistics Inc</t>
  </si>
  <si>
    <t>AC CN Equity</t>
  </si>
  <si>
    <t>2024A CF (AC CN)</t>
  </si>
  <si>
    <t>Air Canada</t>
  </si>
  <si>
    <t>2025Q2 CF (CAT US)</t>
  </si>
  <si>
    <t>Caterpillar Inc</t>
  </si>
  <si>
    <t>2025A CF (BMY US)</t>
  </si>
  <si>
    <t>McKesson Corp</t>
  </si>
  <si>
    <t>Cencora Inc</t>
  </si>
  <si>
    <t>Estimate (BMY US)</t>
  </si>
  <si>
    <t>Cigna Group/The</t>
  </si>
  <si>
    <t>UnitedHealth Group Inc</t>
  </si>
  <si>
    <t>TJX US Equity</t>
  </si>
  <si>
    <t>2024A CF (KRG US)</t>
  </si>
  <si>
    <t>TJX Cos Inc/The</t>
  </si>
  <si>
    <t>BBY US Equity</t>
  </si>
  <si>
    <t>Best Buy Co Inc</t>
  </si>
  <si>
    <t>ROST US Equity</t>
  </si>
  <si>
    <t>Ross Stores Inc</t>
  </si>
  <si>
    <t>PETM US Equity</t>
  </si>
  <si>
    <t>PetSmart LLC</t>
  </si>
  <si>
    <t>Apollo Global Management Inc</t>
  </si>
  <si>
    <t>2025A CF (HPQ US)</t>
  </si>
  <si>
    <t>Estimate (BBY US)</t>
  </si>
  <si>
    <t>941 HK Equity</t>
  </si>
  <si>
    <t>Estimate (941 HK)</t>
  </si>
  <si>
    <t>China Mobile Ltd</t>
  </si>
  <si>
    <t>CCC LN Equity</t>
  </si>
  <si>
    <t>Estimate (CCC LN)</t>
  </si>
  <si>
    <t>Computacenter PLC</t>
  </si>
  <si>
    <t>2024A CF (002284 CH)</t>
  </si>
  <si>
    <t>Zhejiang Asia-Pacific Mechanical &amp; Electronic Co Ltd</t>
  </si>
  <si>
    <t>002292 CH Equity</t>
  </si>
  <si>
    <t>S1</t>
  </si>
  <si>
    <t>2025S1 CF (002292 CH)</t>
  </si>
  <si>
    <t>Alpha Group</t>
  </si>
  <si>
    <t>0613968D US Equity</t>
  </si>
  <si>
    <t>2024Q2 CF (0613968D US)</t>
  </si>
  <si>
    <t>Zachry Holdings Inc</t>
  </si>
  <si>
    <t>1513 TT Equity</t>
  </si>
  <si>
    <t>2024A CF (1513 TT)</t>
  </si>
  <si>
    <t>Chung-Hsin Electric &amp; Machinery Manufacturing Corp</t>
  </si>
  <si>
    <t>2734 TT Equity</t>
  </si>
  <si>
    <t>2022A CF (2734 TT)</t>
  </si>
  <si>
    <t>Ezfly International Travel Agent Co Ltd</t>
  </si>
  <si>
    <t>2023A CF (4116 TT)</t>
  </si>
  <si>
    <t>BenQ Medical Technology Corp</t>
  </si>
  <si>
    <t>7837 TT Equity</t>
  </si>
  <si>
    <t>2024A CF (7837 TT)</t>
  </si>
  <si>
    <t>Creative Life Science Co Ltd</t>
  </si>
  <si>
    <t>Estimate (SLB US)</t>
  </si>
  <si>
    <t>Petroleo Brasileiro SA - Petrobras</t>
  </si>
  <si>
    <t>EQNR NO Equity</t>
  </si>
  <si>
    <t>Equinor ASA</t>
  </si>
  <si>
    <t>BP/ LN Equity</t>
  </si>
  <si>
    <t>BP PLC</t>
  </si>
  <si>
    <t>ARAMCO AB Equity</t>
  </si>
  <si>
    <t>Saudi Arabian Oil Co</t>
  </si>
  <si>
    <t>SHEL LN Equity</t>
  </si>
  <si>
    <t>Shell PLC</t>
  </si>
  <si>
    <t>2025A CF (CAH US)</t>
  </si>
  <si>
    <t>CVS Health Corp</t>
  </si>
  <si>
    <t>1339564D US Equity</t>
  </si>
  <si>
    <t>Estimate (CAH US)</t>
  </si>
  <si>
    <t>Vizient Inc</t>
  </si>
  <si>
    <t>PINC US Equity</t>
  </si>
  <si>
    <t>Premier Inc</t>
  </si>
  <si>
    <t>MLNI US Equity</t>
  </si>
  <si>
    <t>Medline Industries LP/United States</t>
  </si>
  <si>
    <t>WBA US Equity</t>
  </si>
  <si>
    <t>2025Q3 CF (WBA US)</t>
  </si>
  <si>
    <t>Walgreens Boots Alliance Inc</t>
  </si>
  <si>
    <t>2025A CF (COR US)</t>
  </si>
  <si>
    <t>1055831D US Equity</t>
  </si>
  <si>
    <t>Estimate (COR US)</t>
  </si>
  <si>
    <t>Kaiser Permanente Consolidated</t>
  </si>
  <si>
    <t>9987 JP Equity</t>
  </si>
  <si>
    <t>Suzuken Co Ltd/Aichi Japan</t>
  </si>
  <si>
    <t>Company News (MGM US)</t>
  </si>
  <si>
    <t>Nashville Predators LLC</t>
  </si>
  <si>
    <t>0735653D US Equity</t>
  </si>
  <si>
    <t>SportsGrid LLC</t>
  </si>
  <si>
    <t>1887929D CH Equity</t>
  </si>
  <si>
    <t>Shanghai West Bund Development Group Co Ltd</t>
  </si>
  <si>
    <t>2024157D US Equity</t>
  </si>
  <si>
    <t>Betmgm LLC</t>
  </si>
  <si>
    <t>2282 HK Equity</t>
  </si>
  <si>
    <t>2023A CF (2282 HK)</t>
  </si>
  <si>
    <t>MGM China Holdings Ltd</t>
  </si>
  <si>
    <t>000333 CH Equity</t>
  </si>
  <si>
    <t>2021A CF (DTE US)</t>
  </si>
  <si>
    <t>Midea Group Co Ltd</t>
  </si>
  <si>
    <t>000887 CH Equity</t>
  </si>
  <si>
    <t>Anhui Zhongding Sealing Parts Co Ltd</t>
  </si>
  <si>
    <t>002448 CH Equity</t>
  </si>
  <si>
    <t>ZYNP Corp</t>
  </si>
  <si>
    <t>002488 CH Equity</t>
  </si>
  <si>
    <t>Zhejiang Jingu Co Ltd</t>
  </si>
  <si>
    <t>004100 KS Equity</t>
  </si>
  <si>
    <t>Taeyang Metal Industrial Co Ltd</t>
  </si>
  <si>
    <t>Estimate (LLY US)</t>
  </si>
  <si>
    <t>BING GR Equity</t>
  </si>
  <si>
    <t>Boehringer Ingelheim GmbH</t>
  </si>
  <si>
    <t>7459 JP Equity</t>
  </si>
  <si>
    <t>Medipal Holdings Corp</t>
  </si>
  <si>
    <t>Estimate (EMN US)</t>
  </si>
  <si>
    <t>Johnson &amp; Johnson</t>
  </si>
  <si>
    <t>NESN SW Equity</t>
  </si>
  <si>
    <t>Nestle SA</t>
  </si>
  <si>
    <t>Procter &amp; Gamble Co/The</t>
  </si>
  <si>
    <t>HP Inc</t>
  </si>
  <si>
    <t>2024A CF (POOL US)</t>
  </si>
  <si>
    <t>Pool Corp</t>
  </si>
  <si>
    <t>011070 KS Equity</t>
  </si>
  <si>
    <t>Estimate (011070 KS)</t>
  </si>
  <si>
    <t>LG Innotek Co Ltd</t>
  </si>
  <si>
    <t>TSCO LN Equity</t>
  </si>
  <si>
    <t>Estimate (TSCO LN)</t>
  </si>
  <si>
    <t>Tesco PLC</t>
  </si>
  <si>
    <t>SARO US Equity</t>
  </si>
  <si>
    <t>2025A CF (SARO US)</t>
  </si>
  <si>
    <t>StandardAero Inc</t>
  </si>
  <si>
    <t>Company News (TYL US)</t>
  </si>
  <si>
    <t>Utah Department of Public Safety</t>
  </si>
  <si>
    <t>0225023Z US Equity</t>
  </si>
  <si>
    <t>Kentucky Transportation Cabinet</t>
  </si>
  <si>
    <t>0235280Z US Equity</t>
  </si>
  <si>
    <t>DOD DOA National Guard</t>
  </si>
  <si>
    <t>0874273D US Equity</t>
  </si>
  <si>
    <t>State of California Department of Parks &amp; Recreation</t>
  </si>
  <si>
    <t>1011949D US Equity</t>
  </si>
  <si>
    <t>State of Oregon State Police</t>
  </si>
  <si>
    <t>ARW US Equity</t>
  </si>
  <si>
    <t>Estimate (ARW US)</t>
  </si>
  <si>
    <t>Arrow Electronics Inc</t>
  </si>
  <si>
    <t>NSIT US Equity</t>
  </si>
  <si>
    <t>Estimate (NSIT US)</t>
  </si>
  <si>
    <t>Insight Enterprises Inc</t>
  </si>
  <si>
    <t>Estimate (SCSC US)</t>
  </si>
  <si>
    <t>002506 CH Equity</t>
  </si>
  <si>
    <t>Company News (AET US)</t>
  </si>
  <si>
    <t>GCL System Integration Technology Co Ltd</t>
  </si>
  <si>
    <t>0476739D CH Equity</t>
  </si>
  <si>
    <t>Shandong Province Industrial Equipment Installation Group Co Ltd</t>
  </si>
  <si>
    <t>2024A CF (PLD US)</t>
  </si>
  <si>
    <t>Home Depot Inc/The</t>
  </si>
  <si>
    <t>FDX US Equity</t>
  </si>
  <si>
    <t>FedEx Corp</t>
  </si>
  <si>
    <t>UPS US Equity</t>
  </si>
  <si>
    <t>United Parcel Service Inc</t>
  </si>
  <si>
    <t>GEO FP Equity</t>
  </si>
  <si>
    <t>Geodis SA</t>
  </si>
  <si>
    <t>2022Q3 CF (9210611D US)</t>
  </si>
  <si>
    <t>SoundCloud Ltd</t>
  </si>
  <si>
    <t>1665463D US Equity</t>
  </si>
  <si>
    <t>Crooked Media Inc</t>
  </si>
  <si>
    <t>2360788D US Equity</t>
  </si>
  <si>
    <t>Idobi Network LLC</t>
  </si>
  <si>
    <t>AAPL US Equity</t>
  </si>
  <si>
    <t>2023A CF (9210611D US)</t>
  </si>
  <si>
    <t>Apple Inc</t>
  </si>
  <si>
    <t>Estimate (AD NA)</t>
  </si>
  <si>
    <t>Estimate (CA FP)</t>
  </si>
  <si>
    <t>DEN IN Equity</t>
  </si>
  <si>
    <t>2025A CF (DEN IN)</t>
  </si>
  <si>
    <t>DEN Networks Ltd</t>
  </si>
  <si>
    <t>CTRN US Equity</t>
  </si>
  <si>
    <t>Estimate (CTRN US)</t>
  </si>
  <si>
    <t>Citi Trends Inc</t>
  </si>
  <si>
    <t>2024A CF (EPD US)</t>
  </si>
  <si>
    <t>Vitol Holding BV</t>
  </si>
  <si>
    <t>Estimate (LYB US)</t>
  </si>
  <si>
    <t>LyondellBasell Industries NV</t>
  </si>
  <si>
    <t>ENB CN Equity</t>
  </si>
  <si>
    <t>Enbridge Inc</t>
  </si>
  <si>
    <t>HUN US Equity</t>
  </si>
  <si>
    <t>Estimate (HUN US)</t>
  </si>
  <si>
    <t>Huntsman Corp</t>
  </si>
  <si>
    <t>1353783D US Equity</t>
  </si>
  <si>
    <t>KDS Promix LLC</t>
  </si>
  <si>
    <t>2025A CF (TSN US)</t>
  </si>
  <si>
    <t>SYY US Equity</t>
  </si>
  <si>
    <t>Estimate (TSN US)</t>
  </si>
  <si>
    <t>Sysco Corp</t>
  </si>
  <si>
    <t>COST US Equity</t>
  </si>
  <si>
    <t>Costco Wholesale Corp</t>
  </si>
  <si>
    <t>Performance Food Group Co</t>
  </si>
  <si>
    <t>2022A CF (MAXR US)</t>
  </si>
  <si>
    <t>0219834Z US Equity</t>
  </si>
  <si>
    <t>Company News (MAXR US)</t>
  </si>
  <si>
    <t>DOD United States Army</t>
  </si>
  <si>
    <t>TOM2 NA Equity</t>
  </si>
  <si>
    <t>2022A CF (TOM2 NA)</t>
  </si>
  <si>
    <t>TomTom NV</t>
  </si>
  <si>
    <t>32588Z US Equity</t>
  </si>
  <si>
    <t>Co-Operative Republic of Guyana</t>
  </si>
  <si>
    <t>0054724D US Equity</t>
  </si>
  <si>
    <t>United States National Reconnaissance Office</t>
  </si>
  <si>
    <t>2025A CF (GE US)</t>
  </si>
  <si>
    <t>Estimate (GE US)</t>
  </si>
  <si>
    <t>United Airlines Holdings Inc</t>
  </si>
  <si>
    <t>American Airlines Group Inc</t>
  </si>
  <si>
    <t>BLNK US Equity</t>
  </si>
  <si>
    <t>2022Q4 CF (BLNK US)</t>
  </si>
  <si>
    <t>Blink Charging Co</t>
  </si>
  <si>
    <t>2024C3 CF (MDLA IJ)</t>
  </si>
  <si>
    <t>Medela Potentia Tbk PT</t>
  </si>
  <si>
    <t>603716 CH Equity</t>
  </si>
  <si>
    <t>2024S1 CF (603716 CH)</t>
  </si>
  <si>
    <t>Thalys Medical Technology Group Inc</t>
  </si>
  <si>
    <t>MBX CN Equity</t>
  </si>
  <si>
    <t>Company News (MBX CN)</t>
  </si>
  <si>
    <t>Microbix Biosystems Inc</t>
  </si>
  <si>
    <t>GRF SM Equity</t>
  </si>
  <si>
    <t>2024A CF (QDEL US)</t>
  </si>
  <si>
    <t>Grifols SA</t>
  </si>
  <si>
    <t>IDXX US Equity</t>
  </si>
  <si>
    <t>2024A CF (IDXX US)</t>
  </si>
  <si>
    <t>IDEXX Laboratories Inc</t>
  </si>
  <si>
    <t>2025A CF (GIS US)</t>
  </si>
  <si>
    <t>Estimate (GIS US)</t>
  </si>
  <si>
    <t>CHWY US Equity</t>
  </si>
  <si>
    <t>Chewy Inc</t>
  </si>
  <si>
    <t>Company News (ET US)</t>
  </si>
  <si>
    <t>China Gas Holdings Ltd</t>
  </si>
  <si>
    <t>Media News (CVX US)</t>
  </si>
  <si>
    <t>Chevron Corp</t>
  </si>
  <si>
    <t>CMS US Equity</t>
  </si>
  <si>
    <t>2025A CF (CMS US)</t>
  </si>
  <si>
    <t>CMS Energy Corp</t>
  </si>
  <si>
    <t>ETR US Equity</t>
  </si>
  <si>
    <t>Entergy Corp</t>
  </si>
  <si>
    <t>SR US Equity</t>
  </si>
  <si>
    <t>2025A CF (SR US)</t>
  </si>
  <si>
    <t>Spire Inc</t>
  </si>
  <si>
    <t>2022C3 CF (002020 KS)</t>
  </si>
  <si>
    <t>2025Q3 CF (AMD US)</t>
  </si>
  <si>
    <t>Advanced Micro Devices Inc</t>
  </si>
  <si>
    <t>ANET US Equity</t>
  </si>
  <si>
    <t>2025Q1 CF (ANET US)</t>
  </si>
  <si>
    <t>Arista Networks Inc</t>
  </si>
  <si>
    <t>EGG AU Equity</t>
  </si>
  <si>
    <t>2023A CF (EGG AU)</t>
  </si>
  <si>
    <t>Enero Group Ltd</t>
  </si>
  <si>
    <t>NVDA US Equity</t>
  </si>
  <si>
    <t>Estimate (NVDA US)</t>
  </si>
  <si>
    <t>NVIDIA Corp</t>
  </si>
  <si>
    <t>122900 KS Equity</t>
  </si>
  <si>
    <t>Estimate (122900 KS)</t>
  </si>
  <si>
    <t>iMarketKorea Inc</t>
  </si>
  <si>
    <t>2353 TT Equity</t>
  </si>
  <si>
    <t>Estimate (2353 TT)</t>
  </si>
  <si>
    <t>Acer Inc</t>
  </si>
  <si>
    <t>Estimate (AKAM US)</t>
  </si>
  <si>
    <t>Akamai Technologies Inc</t>
  </si>
  <si>
    <t>ATE FP Equity</t>
  </si>
  <si>
    <t>Estimate (ATE FP)</t>
  </si>
  <si>
    <t>Alten SA</t>
  </si>
  <si>
    <t>2024A CF (SXC US)</t>
  </si>
  <si>
    <t>SunCoke Energy Inc</t>
  </si>
  <si>
    <t>ERA FP Equity</t>
  </si>
  <si>
    <t>Estimate (ERA FP)</t>
  </si>
  <si>
    <t>Eramet SA</t>
  </si>
  <si>
    <t>APD US Equity</t>
  </si>
  <si>
    <t>Estimate (APD US)</t>
  </si>
  <si>
    <t>Air Products and Chemicals Inc</t>
  </si>
  <si>
    <t>KWR US Equity</t>
  </si>
  <si>
    <t>Estimate (KWR US)</t>
  </si>
  <si>
    <t>Quaker Chemical Corp</t>
  </si>
  <si>
    <t>2025A CF (TYL US)</t>
  </si>
  <si>
    <t>2024A CF (CNP US)</t>
  </si>
  <si>
    <t>NRG Energy Inc</t>
  </si>
  <si>
    <t>Vistra Corp</t>
  </si>
  <si>
    <t>000210 KS Equity</t>
  </si>
  <si>
    <t>2021A CF (CNP US)</t>
  </si>
  <si>
    <t>DL Holdings Co Ltd</t>
  </si>
  <si>
    <t>002342 CH Equity</t>
  </si>
  <si>
    <t>Juli Sling Co Ltd</t>
  </si>
  <si>
    <t>003030 KS Equity</t>
  </si>
  <si>
    <t>SeAH Steel Holdings Corp</t>
  </si>
  <si>
    <t>2024A CF (DCREIT SP)</t>
  </si>
  <si>
    <t>Digital Core REIT Management Pte Ltd</t>
  </si>
  <si>
    <t>CIEN US Equity</t>
  </si>
  <si>
    <t>2024Q3 CF (CIEN US)</t>
  </si>
  <si>
    <t>Ciena Corp</t>
  </si>
  <si>
    <t>2025A CF (DLR US)</t>
  </si>
  <si>
    <t>Digital Realty Trust Inc</t>
  </si>
  <si>
    <t>EQIX US Equity</t>
  </si>
  <si>
    <t>2024A CF (EQIX US)</t>
  </si>
  <si>
    <t>Equinix Inc</t>
  </si>
  <si>
    <t>OS US Equity</t>
  </si>
  <si>
    <t>2024Q4 CF (OS US)</t>
  </si>
  <si>
    <t>Onestream Inc</t>
  </si>
  <si>
    <t>Estimate (ADBE US)</t>
  </si>
  <si>
    <t>Adobe Inc</t>
  </si>
  <si>
    <t>GNL US Equity</t>
  </si>
  <si>
    <t>2024A CF (GNL US)</t>
  </si>
  <si>
    <t>Global Net Lease Inc</t>
  </si>
  <si>
    <t>BBOX IN Equity</t>
  </si>
  <si>
    <t>Estimate (BBOX IN)</t>
  </si>
  <si>
    <t>Black Box Ltd</t>
  </si>
  <si>
    <t>IVT US Equity</t>
  </si>
  <si>
    <t>2024Q4 CF (IVT US)</t>
  </si>
  <si>
    <t>InvenTrust Properties Corp</t>
  </si>
  <si>
    <t>004800 KS Equity</t>
  </si>
  <si>
    <t>2025C3 CF (004800 KS)</t>
  </si>
  <si>
    <t>Hyosung Corp</t>
  </si>
  <si>
    <t>AROC US Equity</t>
  </si>
  <si>
    <t>Estimate (AROC US)</t>
  </si>
  <si>
    <t>Archrock Inc</t>
  </si>
  <si>
    <t>VK FP Equity</t>
  </si>
  <si>
    <t>Estimate (VK FP)</t>
  </si>
  <si>
    <t>Vallourec SACA</t>
  </si>
  <si>
    <t>DNOW US Equity</t>
  </si>
  <si>
    <t>Estimate (DNOW US)</t>
  </si>
  <si>
    <t>DNOW Inc</t>
  </si>
  <si>
    <t>NINEQ US Equity</t>
  </si>
  <si>
    <t>2024A CF (NINEQ US)</t>
  </si>
  <si>
    <t>Nine Energy Service Inc</t>
  </si>
  <si>
    <t>ITT US Equity</t>
  </si>
  <si>
    <t>Estimate (ITT US)</t>
  </si>
  <si>
    <t>ITT Inc</t>
  </si>
  <si>
    <t>900909 CH Equity</t>
  </si>
  <si>
    <t>2025S1 CF (900909 CH)</t>
  </si>
  <si>
    <t>Shanghai Huayi Group Co Ltd</t>
  </si>
  <si>
    <t>ARTO IN Equity</t>
  </si>
  <si>
    <t>Aarti Industries Ltd</t>
  </si>
  <si>
    <t>002318 CH Equity</t>
  </si>
  <si>
    <t>Zhejiang JIULI Hi-tech Metals Co Ltd</t>
  </si>
  <si>
    <t>CNR CN Equity</t>
  </si>
  <si>
    <t>Estimate (CNR CN)</t>
  </si>
  <si>
    <t>Canadian National Railway Co</t>
  </si>
  <si>
    <t>MOTHERSO IN Equity</t>
  </si>
  <si>
    <t>Samvardhana Motherson International Ltd</t>
  </si>
  <si>
    <t>Estimate (ECL US)</t>
  </si>
  <si>
    <t>Ecolab Inc</t>
  </si>
  <si>
    <t>AX-U CN Equity</t>
  </si>
  <si>
    <t>2024A CF (AX-U CN)</t>
  </si>
  <si>
    <t>Artis Real Estate Investment Trust</t>
  </si>
  <si>
    <t>SECIS IN Equity</t>
  </si>
  <si>
    <t>Estimate (SECIS IN)</t>
  </si>
  <si>
    <t>SIS Ltd</t>
  </si>
  <si>
    <t>EAST SS Equity</t>
  </si>
  <si>
    <t>2024A CF (EAST SS)</t>
  </si>
  <si>
    <t>Eastnine AB</t>
  </si>
  <si>
    <t>006360 KS Equity</t>
  </si>
  <si>
    <t>2021A CF (006360 KS)</t>
  </si>
  <si>
    <t>GS Engineering &amp; Construction Corp</t>
  </si>
  <si>
    <t>Allergan USA Inc</t>
  </si>
  <si>
    <t>034730 KS Equity</t>
  </si>
  <si>
    <t>2021A CF (034730 KS)</t>
  </si>
  <si>
    <t>SK Inc</t>
  </si>
  <si>
    <t>0670269D US Equity</t>
  </si>
  <si>
    <t>Abon Pharmaceuticals LLC</t>
  </si>
  <si>
    <t>1680662D US Equity</t>
  </si>
  <si>
    <t>2023Q3 CF (ENDPQ US)</t>
  </si>
  <si>
    <t>Nevakar Inc</t>
  </si>
  <si>
    <t>1777591D US Equity</t>
  </si>
  <si>
    <t>Company News (ENDPQ US)</t>
  </si>
  <si>
    <t>Slayback Pharma LLC</t>
  </si>
  <si>
    <t>Pfizer Inc</t>
  </si>
  <si>
    <t>4528 JP Equity</t>
  </si>
  <si>
    <t>2025A CF (4528 JP)</t>
  </si>
  <si>
    <t>Ono Pharmaceutical Co Ltd</t>
  </si>
  <si>
    <t>688506 CH Equity</t>
  </si>
  <si>
    <t>2024A CF (688506 CH)</t>
  </si>
  <si>
    <t>Sichuan Biokin Pharmaceutical Co Ltd</t>
  </si>
  <si>
    <t>2025Q3 CF (MRK US)</t>
  </si>
  <si>
    <t>Merck &amp; Co Inc</t>
  </si>
  <si>
    <t>R&amp;D</t>
  </si>
  <si>
    <t>Estimate (RTX US)</t>
  </si>
  <si>
    <t>RTX Corp</t>
  </si>
  <si>
    <t>SAF FP Equity</t>
  </si>
  <si>
    <t>Estimate (SAF FP)</t>
  </si>
  <si>
    <t>Safran SA</t>
  </si>
  <si>
    <t>RR/ LN Equity</t>
  </si>
  <si>
    <t>Estimate (RR/ LN)</t>
  </si>
  <si>
    <t>Rolls-Royce Holdings PLC</t>
  </si>
  <si>
    <t>Estimate (PH US)</t>
  </si>
  <si>
    <t>Parker-Hannifin Corp</t>
  </si>
  <si>
    <t>Estimate (SANM US)</t>
  </si>
  <si>
    <t>Sanmina Corp</t>
  </si>
  <si>
    <t>LPX US Equity</t>
  </si>
  <si>
    <t>Estimate (LPX US)</t>
  </si>
  <si>
    <t>Louisiana-Pacific Corp</t>
  </si>
  <si>
    <t>JELD US Equity</t>
  </si>
  <si>
    <t>Estimate (JELD US)</t>
  </si>
  <si>
    <t>JELD-WEN Holding Inc</t>
  </si>
  <si>
    <t>ADEN CN Equity</t>
  </si>
  <si>
    <t>2024A CF (ADEN CN)</t>
  </si>
  <si>
    <t>ADENTRA Inc</t>
  </si>
  <si>
    <t>2021A CF (AEE US)</t>
  </si>
  <si>
    <t>Ameren Corp</t>
  </si>
  <si>
    <t>AEP US Equity</t>
  </si>
  <si>
    <t>2021A CF (AEP US)</t>
  </si>
  <si>
    <t>American Electric Power Co Inc</t>
  </si>
  <si>
    <t>CenterPoint Energy Inc</t>
  </si>
  <si>
    <t>2021A CF (ETR US)</t>
  </si>
  <si>
    <t>2023A CF (ITT US)</t>
  </si>
  <si>
    <t>MTQ SP Equity</t>
  </si>
  <si>
    <t>2022A CF (MTQ SP)</t>
  </si>
  <si>
    <t>MTQ Corp Ltd</t>
  </si>
  <si>
    <t>Estimate (AIR FP)</t>
  </si>
  <si>
    <t>General Electric Co</t>
  </si>
  <si>
    <t>Estimate (TDG US)</t>
  </si>
  <si>
    <t>TransDigm Group Inc</t>
  </si>
  <si>
    <t>HLT US Equity</t>
  </si>
  <si>
    <t>Company News (RLJ US)</t>
  </si>
  <si>
    <t>Hilton Worldwide Holdings Inc</t>
  </si>
  <si>
    <t>SMRT US Equity</t>
  </si>
  <si>
    <t>2024Q1 CF (SMRT US)</t>
  </si>
  <si>
    <t>SmartRent Inc</t>
  </si>
  <si>
    <t>FCPT US Equity</t>
  </si>
  <si>
    <t>2023A CF (FCPT US)</t>
  </si>
  <si>
    <t>Four Corners Property Trust Inc</t>
  </si>
  <si>
    <t>2023C3 CF (FISV US)</t>
  </si>
  <si>
    <t>Fiserv Inc</t>
  </si>
  <si>
    <t>NICE IT Equity</t>
  </si>
  <si>
    <t>2023Q1 CF (NICE IT)</t>
  </si>
  <si>
    <t>Nice Ltd</t>
  </si>
  <si>
    <t>Estimate (BA US)</t>
  </si>
  <si>
    <t>Estimate (HON US)</t>
  </si>
  <si>
    <t>Honeywell International Inc</t>
  </si>
  <si>
    <t>7013 JP Equity</t>
  </si>
  <si>
    <t>Estimate (7013 JP)</t>
  </si>
  <si>
    <t>IHI Corp</t>
  </si>
  <si>
    <t>TTMI US Equity</t>
  </si>
  <si>
    <t>Estimate (TTMI US)</t>
  </si>
  <si>
    <t>TTM Technologies Inc</t>
  </si>
  <si>
    <t>SAABB SS Equity</t>
  </si>
  <si>
    <t>Estimate (SAABB SS)</t>
  </si>
  <si>
    <t>Saab AB</t>
  </si>
  <si>
    <t>BA/ LN Equity</t>
  </si>
  <si>
    <t>Estimate (BA/ LN)</t>
  </si>
  <si>
    <t>BAE Systems PLC</t>
  </si>
  <si>
    <t>GNRC US Equity</t>
  </si>
  <si>
    <t>Estimate (GNRC US)</t>
  </si>
  <si>
    <t>Generac Holdings Inc</t>
  </si>
  <si>
    <t>2045262D US Equity</t>
  </si>
  <si>
    <t>Company News (DTE US)</t>
  </si>
  <si>
    <t>Robotlab Inc</t>
  </si>
  <si>
    <t>2083075D US Equity</t>
  </si>
  <si>
    <t>Powin LLC</t>
  </si>
  <si>
    <t>25334Z US Equity</t>
  </si>
  <si>
    <t>ISN Software Corp</t>
  </si>
  <si>
    <t>FTS CN Equity</t>
  </si>
  <si>
    <t>2025A CF (FTS CN)</t>
  </si>
  <si>
    <t>Fortis Inc/Canada</t>
  </si>
  <si>
    <t>Company News (ASTR US)</t>
  </si>
  <si>
    <t>Astra Space Inc</t>
  </si>
  <si>
    <t>CGY CN Equity</t>
  </si>
  <si>
    <t>2022A CF (CGY CN)</t>
  </si>
  <si>
    <t>Calian Group Ltd</t>
  </si>
  <si>
    <t>HEI US Equity</t>
  </si>
  <si>
    <t>2024Q4 CF (HEI US)</t>
  </si>
  <si>
    <t>HEICO Corp</t>
  </si>
  <si>
    <t>Company News (LHX US)</t>
  </si>
  <si>
    <t>L3Harris Technologies Inc</t>
  </si>
  <si>
    <t>Company News (LMT US)</t>
  </si>
  <si>
    <t>Eli Lilly &amp; Co</t>
  </si>
  <si>
    <t>Estimate (JNJ US)</t>
  </si>
  <si>
    <t>Estimate (ABBV US)</t>
  </si>
  <si>
    <t>AbbVie Inc</t>
  </si>
  <si>
    <t>Bristol-Myers Squibb Co</t>
  </si>
  <si>
    <t>NOVOB DC Equity</t>
  </si>
  <si>
    <t>Estimate (NOVOB DC)</t>
  </si>
  <si>
    <t>Novo Nordisk A/S</t>
  </si>
  <si>
    <t>Estimate (2356 TT)</t>
  </si>
  <si>
    <t>Inventec Corp</t>
  </si>
  <si>
    <t>Estimate (INTC US)</t>
  </si>
  <si>
    <t>Intel Corp</t>
  </si>
  <si>
    <t>2382 TT Equity</t>
  </si>
  <si>
    <t>Estimate (2382 TT)</t>
  </si>
  <si>
    <t>Quanta Computer Inc</t>
  </si>
  <si>
    <t>3231 TT Equity</t>
  </si>
  <si>
    <t>Estimate (3231 TT)</t>
  </si>
  <si>
    <t>Wistron Corp</t>
  </si>
  <si>
    <t>7751 JP Equity</t>
  </si>
  <si>
    <t>2024A CF (7751 JP)</t>
  </si>
  <si>
    <t>Canon Inc</t>
  </si>
  <si>
    <t>ARABIAND AB Equity</t>
  </si>
  <si>
    <t>2024A CF (ARABIAND AB)</t>
  </si>
  <si>
    <t>Arabian Drilling Co</t>
  </si>
  <si>
    <t>KEMIRA FH Equity</t>
  </si>
  <si>
    <t>Estimate (KEMIRA FH)</t>
  </si>
  <si>
    <t>Kemira Oyj</t>
  </si>
  <si>
    <t>SUBC NO Equity</t>
  </si>
  <si>
    <t>Estimate (SUBC NO)</t>
  </si>
  <si>
    <t>Subsea 7 SA</t>
  </si>
  <si>
    <t>FUR NA Equity</t>
  </si>
  <si>
    <t>Estimate (FUR NA)</t>
  </si>
  <si>
    <t>Fugro NV</t>
  </si>
  <si>
    <t>Estimate (ORCL US)</t>
  </si>
  <si>
    <t>Accenture PLC</t>
  </si>
  <si>
    <t>American Society of Composers Authors and Publishers/The</t>
  </si>
  <si>
    <t>0133909D CN Equity</t>
  </si>
  <si>
    <t>Company News (0133909D CN)</t>
  </si>
  <si>
    <t>Solace Corp</t>
  </si>
  <si>
    <t>0725815D US Equity</t>
  </si>
  <si>
    <t>Company News (9210611D US)</t>
  </si>
  <si>
    <t>CPI International Inc</t>
  </si>
  <si>
    <t>0874435D US Equity</t>
  </si>
  <si>
    <t>Federal Communications Commission Recreation Association</t>
  </si>
  <si>
    <t>1480863D US Equity</t>
  </si>
  <si>
    <t>Company News (1480863D US)</t>
  </si>
  <si>
    <t>Claritas LLC</t>
  </si>
  <si>
    <t>Oracle Corp</t>
  </si>
  <si>
    <t>EGP US Equity</t>
  </si>
  <si>
    <t>2024A CF (EGP US)</t>
  </si>
  <si>
    <t>EastGroup Properties Inc</t>
  </si>
  <si>
    <t>600693 CH Equity</t>
  </si>
  <si>
    <t>2024A CF (600693 CH)</t>
  </si>
  <si>
    <t>Fujian Dongbai Group Co Ltd</t>
  </si>
  <si>
    <t>BE US Equity</t>
  </si>
  <si>
    <t>Estimate (BE US)</t>
  </si>
  <si>
    <t>Bloom Energy Corp</t>
  </si>
  <si>
    <t>ULTP LN Equity</t>
  </si>
  <si>
    <t>Estimate (ULTP LN)</t>
  </si>
  <si>
    <t>Ultimate Products PLC</t>
  </si>
  <si>
    <t>2024A CF (SLG US)</t>
  </si>
  <si>
    <t>SL Green Realty Corp</t>
  </si>
  <si>
    <t>CDP US Equity</t>
  </si>
  <si>
    <t>2024A CF (CDP US)</t>
  </si>
  <si>
    <t>COPT Defense Properties</t>
  </si>
  <si>
    <t>SYGIL IN Equity</t>
  </si>
  <si>
    <t>2025A CF (SYGIL IN)</t>
  </si>
  <si>
    <t>Synergy Green Industries Ltd</t>
  </si>
  <si>
    <t>DLN LN Equity</t>
  </si>
  <si>
    <t>2024A CF (DLN LN)</t>
  </si>
  <si>
    <t>Derwent London PLC</t>
  </si>
  <si>
    <t>AI FP Equity</t>
  </si>
  <si>
    <t>Estimate (AI FP)</t>
  </si>
  <si>
    <t>Air Liquide SA</t>
  </si>
  <si>
    <t>001369 CH Equity</t>
  </si>
  <si>
    <t>2025S1 CF (001369 CH)</t>
  </si>
  <si>
    <t>Inner Mongolia Shuangxin Environment-Friendly Material Co Ltd</t>
  </si>
  <si>
    <t>BCPC US Equity</t>
  </si>
  <si>
    <t>2024A CF (BCPC US)</t>
  </si>
  <si>
    <t>Balchem Corp</t>
  </si>
  <si>
    <t>CSX US Equity</t>
  </si>
  <si>
    <t>Estimate (CSX US)</t>
  </si>
  <si>
    <t>CSX Corp</t>
  </si>
  <si>
    <t>2024A CF (SALFACOR CI)</t>
  </si>
  <si>
    <t>Salfacorp SA</t>
  </si>
  <si>
    <t>1357610D US Equity</t>
  </si>
  <si>
    <t>Company News (PLD US)</t>
  </si>
  <si>
    <t>Enertiv Inc</t>
  </si>
  <si>
    <t>350A JP Equity</t>
  </si>
  <si>
    <t>2026Q1 CF (350A JP)</t>
  </si>
  <si>
    <t>Digital Grid Corp</t>
  </si>
  <si>
    <t>603200 CH Equity</t>
  </si>
  <si>
    <t>2023A CF (603200 CH)</t>
  </si>
  <si>
    <t>Shanghai Emperor Of Cleaning Hi-Tech Co Ltd</t>
  </si>
  <si>
    <t>ANA SM Equity</t>
  </si>
  <si>
    <t>Company News (ANA SM)</t>
  </si>
  <si>
    <t>Acciona SA</t>
  </si>
  <si>
    <t>2024A CF (MTDR US)</t>
  </si>
  <si>
    <t>Matador Resources Co</t>
  </si>
  <si>
    <t>PRIM US Equity</t>
  </si>
  <si>
    <t>Estimate (PRIM US)</t>
  </si>
  <si>
    <t>Primoris Services Corp</t>
  </si>
  <si>
    <t>PWR US Equity</t>
  </si>
  <si>
    <t>Estimate (PWR US)</t>
  </si>
  <si>
    <t>Quanta Services Inc</t>
  </si>
  <si>
    <t>Targa Resources Corp</t>
  </si>
  <si>
    <t>2024A CF (GTN US)</t>
  </si>
  <si>
    <t>Gray Media Inc</t>
  </si>
  <si>
    <t>GLOB US Equity</t>
  </si>
  <si>
    <t>2024A CF (GLOB US)</t>
  </si>
  <si>
    <t>Globant SA</t>
  </si>
  <si>
    <t>ROKU US Equity</t>
  </si>
  <si>
    <t>Estimate (ROKU US)</t>
  </si>
  <si>
    <t>Roku Inc</t>
  </si>
  <si>
    <t>PPG US Equity</t>
  </si>
  <si>
    <t>Estimate (PPG US)</t>
  </si>
  <si>
    <t>PPG Industries Inc</t>
  </si>
  <si>
    <t>AMCR US Equity</t>
  </si>
  <si>
    <t>Estimate (AMCR US)</t>
  </si>
  <si>
    <t>Amcor PLC</t>
  </si>
  <si>
    <t>WH IN Equity</t>
  </si>
  <si>
    <t>2025A CF (WH IN)</t>
  </si>
  <si>
    <t>Venky's India Ltd</t>
  </si>
  <si>
    <t>PLTR US Equity</t>
  </si>
  <si>
    <t>Estimate (PLTR US)</t>
  </si>
  <si>
    <t>Palantir Technologies Inc</t>
  </si>
  <si>
    <t>Estimate (MOG/A US)</t>
  </si>
  <si>
    <t>Moog Inc</t>
  </si>
  <si>
    <t>2021A CF (AES US)</t>
  </si>
  <si>
    <t>AES Corp/The</t>
  </si>
  <si>
    <t>BAR BB Equity</t>
  </si>
  <si>
    <t>2022S1 CF (BAR BB)</t>
  </si>
  <si>
    <t>Barco NV</t>
  </si>
  <si>
    <t>2024A CF (VICI US)</t>
  </si>
  <si>
    <t>VICI Properties Inc</t>
  </si>
  <si>
    <t>2024A CF (O US)</t>
  </si>
  <si>
    <t>Realty Income Corp</t>
  </si>
  <si>
    <t>Clorox Co/The</t>
  </si>
  <si>
    <t>002153 CH Equity</t>
  </si>
  <si>
    <t>2025S1 CF (002153 CH)</t>
  </si>
  <si>
    <t>Beijing Shiji Information Technology Co Ltd</t>
  </si>
  <si>
    <t>2025Q2 CF (RIGL US)</t>
  </si>
  <si>
    <t>Rigel Pharmaceuticals Inc</t>
  </si>
  <si>
    <t>INCY US Equity</t>
  </si>
  <si>
    <t>2025A CF (INCY US)</t>
  </si>
  <si>
    <t>Incyte Corp</t>
  </si>
  <si>
    <t>13 HK Equity</t>
  </si>
  <si>
    <t>2024A CF (13 HK)</t>
  </si>
  <si>
    <t>HUTCHMED China Ltd</t>
  </si>
  <si>
    <t>CRL US Equity</t>
  </si>
  <si>
    <t>Estimate (CRL US)</t>
  </si>
  <si>
    <t>Charles River Laboratories International Inc</t>
  </si>
  <si>
    <t>ARE US Equity</t>
  </si>
  <si>
    <t>2025A CF (ARE US)</t>
  </si>
  <si>
    <t>Alexandria Real Estate Equities Inc</t>
  </si>
  <si>
    <t>2025A CF (GILD US)</t>
  </si>
  <si>
    <t>Gilead Sciences Inc</t>
  </si>
  <si>
    <t>Estimate (VZ US)</t>
  </si>
  <si>
    <t>005930 KS Equity</t>
  </si>
  <si>
    <t>Estimate (005930 KS)</t>
  </si>
  <si>
    <t>Samsung Electronics Co Ltd</t>
  </si>
  <si>
    <t>2025A CF (AMT US)</t>
  </si>
  <si>
    <t>American Tower Corp</t>
  </si>
  <si>
    <t>GOOGL US Equity</t>
  </si>
  <si>
    <t>Alphabet Inc</t>
  </si>
  <si>
    <t>ERICB SS Equity</t>
  </si>
  <si>
    <t>Estimate (ERICB SS)</t>
  </si>
  <si>
    <t>Telefonaktiebolaget LM Ericsson</t>
  </si>
  <si>
    <t>2025Q3 CF (DRS US)</t>
  </si>
  <si>
    <t>Estimate (DRS US)</t>
  </si>
  <si>
    <t>Northrop Grumman Corp</t>
  </si>
  <si>
    <t>002564 CH Equity</t>
  </si>
  <si>
    <t>2022A CF (002564 CH)</t>
  </si>
  <si>
    <t>Suzhou Thvow Technology Co Ltd</t>
  </si>
  <si>
    <t>300157 CH Equity</t>
  </si>
  <si>
    <t>2023A CF (300157 CH)</t>
  </si>
  <si>
    <t>New JCM Group Co Ltd</t>
  </si>
  <si>
    <t>600839 CH Equity</t>
  </si>
  <si>
    <t>2024A CF (600839 CH)</t>
  </si>
  <si>
    <t>Sichuan Changhong Electric Co Ltd</t>
  </si>
  <si>
    <t>AIT US Equity</t>
  </si>
  <si>
    <t>2024A CF (AIT US)</t>
  </si>
  <si>
    <t>Applied Industrial Technologies Inc</t>
  </si>
  <si>
    <t>FIX US Equity</t>
  </si>
  <si>
    <t>2025A CF (FIX US)</t>
  </si>
  <si>
    <t>Comfort Systems USA Inc</t>
  </si>
  <si>
    <t>2023A CF (PXD US)</t>
  </si>
  <si>
    <t>Equinor Marketing &amp; Trading US Inc</t>
  </si>
  <si>
    <t>Energy Transfer LP</t>
  </si>
  <si>
    <t>Occidental Petroleum Corp</t>
  </si>
  <si>
    <t>PAGP US Equity</t>
  </si>
  <si>
    <t>Plains GP Holdings LP</t>
  </si>
  <si>
    <t>PKI CN Equity</t>
  </si>
  <si>
    <t>2023A CF (PKI CN)</t>
  </si>
  <si>
    <t>Parkland Corp</t>
  </si>
  <si>
    <t>BNR GR Equity</t>
  </si>
  <si>
    <t>Brenntag SE</t>
  </si>
  <si>
    <t>BRKM5 BZ Equity</t>
  </si>
  <si>
    <t>Braskem SA</t>
  </si>
  <si>
    <t>HEN3 GR Equity</t>
  </si>
  <si>
    <t>Henkel AG &amp; Co KGaA</t>
  </si>
  <si>
    <t>LXS GR Equity</t>
  </si>
  <si>
    <t>LANXESS AG</t>
  </si>
  <si>
    <t>Company News (AGR US)</t>
  </si>
  <si>
    <t>Statkraft SF</t>
  </si>
  <si>
    <t>1712023D US Equity</t>
  </si>
  <si>
    <t>2023A CF (AGR US)</t>
  </si>
  <si>
    <t>Vineyard Wind LLC</t>
  </si>
  <si>
    <t>20031MF US Equity</t>
  </si>
  <si>
    <t>Town of Barnstable MA</t>
  </si>
  <si>
    <t>4131721Z US Equity</t>
  </si>
  <si>
    <t>United States Department of Energy</t>
  </si>
  <si>
    <t>2024Q3 CF (SCSC US)</t>
  </si>
  <si>
    <t>2025A CF (MCK US)</t>
  </si>
  <si>
    <t>Estimate (MCK US)</t>
  </si>
  <si>
    <t>0219250Z US Equity</t>
  </si>
  <si>
    <t>United States Department of Veterans Affairs</t>
  </si>
  <si>
    <t>2023C3 CF (028260 KS)</t>
  </si>
  <si>
    <t>Samsung C&amp;T Corp</t>
  </si>
  <si>
    <t>207940 KS Equity</t>
  </si>
  <si>
    <t>C1</t>
  </si>
  <si>
    <t>2025C1 CF (207940 KS)</t>
  </si>
  <si>
    <t>Samsung Biologics Co Ltd</t>
  </si>
  <si>
    <t>4743 TT Equity</t>
  </si>
  <si>
    <t>2025C3 CF (4743 TT)</t>
  </si>
  <si>
    <t>Oneness Biotech Co Ltd</t>
  </si>
  <si>
    <t>6562 TT Equity</t>
  </si>
  <si>
    <t>2024A CF (6562 TT)</t>
  </si>
  <si>
    <t>UBI Pharma Inc</t>
  </si>
  <si>
    <t>ALCLS FP Equity</t>
  </si>
  <si>
    <t>2024A CF (ALCLS FP)</t>
  </si>
  <si>
    <t>Cellectis SA</t>
  </si>
  <si>
    <t>Estimate (CNC US)</t>
  </si>
  <si>
    <t>State of New York</t>
  </si>
  <si>
    <t>STOFL1 US Equity</t>
  </si>
  <si>
    <t>State of Florida</t>
  </si>
  <si>
    <t>STOCA1 US Equity</t>
  </si>
  <si>
    <t>State of California</t>
  </si>
  <si>
    <t>STOTX1 US Equity</t>
  </si>
  <si>
    <t>State of Texas</t>
  </si>
  <si>
    <t>STOIL1 US Equity</t>
  </si>
  <si>
    <t>State of Illinois</t>
  </si>
  <si>
    <t>2024A CF (FTEK US)</t>
  </si>
  <si>
    <t>Fuel Tech Inc</t>
  </si>
  <si>
    <t>2025Q4 CF (NINEQ US)</t>
  </si>
  <si>
    <t>WLMSQ US Equity</t>
  </si>
  <si>
    <t>2023Q3 CF (WLMSQ US)</t>
  </si>
  <si>
    <t>Williams Industrial Services Group Inc</t>
  </si>
  <si>
    <t>2025A CF (EIH IN)</t>
  </si>
  <si>
    <t>EIH Ltd</t>
  </si>
  <si>
    <t>001740 KS Equity</t>
  </si>
  <si>
    <t>C2</t>
  </si>
  <si>
    <t>2024C2 CF (001740 KS)</t>
  </si>
  <si>
    <t>SK Networks Co Ltd</t>
  </si>
  <si>
    <t>2024C2 CF (034730 KS)</t>
  </si>
  <si>
    <t>068400 KS Equity</t>
  </si>
  <si>
    <t>2025C3 CF (068400 KS)</t>
  </si>
  <si>
    <t>SK Rent A Car Co Ltd</t>
  </si>
  <si>
    <t>1059297Z BH Equity</t>
  </si>
  <si>
    <t>2022A CF (CAR US)</t>
  </si>
  <si>
    <t>Travelport Ltd</t>
  </si>
  <si>
    <t>2022A CF (AYX US)</t>
  </si>
  <si>
    <t>Alteryx Inc</t>
  </si>
  <si>
    <t>WBC AU Equity</t>
  </si>
  <si>
    <t>Company News (SSNC US)</t>
  </si>
  <si>
    <t>Westpac Banking Corp</t>
  </si>
  <si>
    <t>TROW US Equity</t>
  </si>
  <si>
    <t>T Rowe Price Group Inc</t>
  </si>
  <si>
    <t>770665Z US Equity</t>
  </si>
  <si>
    <t>2023A CF (770665Z US)</t>
  </si>
  <si>
    <t>Wesco Aircraft Hardware Corp</t>
  </si>
  <si>
    <t>III US Equity</t>
  </si>
  <si>
    <t>Company News (III US)</t>
  </si>
  <si>
    <t>Information Services Group Inc</t>
  </si>
  <si>
    <t>3382 JP Equity</t>
  </si>
  <si>
    <t>Seven &amp; i Holdings Co Ltd</t>
  </si>
  <si>
    <t>DG US Equity</t>
  </si>
  <si>
    <t>Dollar General Corp</t>
  </si>
  <si>
    <t>Dollar Tree Inc</t>
  </si>
  <si>
    <t>1570925D LN Equity</t>
  </si>
  <si>
    <t>EG Group Ltd</t>
  </si>
  <si>
    <t>2023A CF (FMGI IN)</t>
  </si>
  <si>
    <t>Federal-Mogul Goetze India Ltd</t>
  </si>
  <si>
    <t>1789 TT Equity</t>
  </si>
  <si>
    <t>2022A CF (1789 TT)</t>
  </si>
  <si>
    <t>ScinoPharm Taiwan Ltd</t>
  </si>
  <si>
    <t>Media News (RUN US)</t>
  </si>
  <si>
    <t>Asian Pacific Environmental Network</t>
  </si>
  <si>
    <t>2255294D SS Equity</t>
  </si>
  <si>
    <t>Company News (RUN US)</t>
  </si>
  <si>
    <t>LUMA Energy AB</t>
  </si>
  <si>
    <t>24195Z US Equity</t>
  </si>
  <si>
    <t>PJM Interconnection LLC</t>
  </si>
  <si>
    <t>ED US Equity</t>
  </si>
  <si>
    <t>Consolidated Edison Inc</t>
  </si>
  <si>
    <t>Exelon Corp</t>
  </si>
  <si>
    <t>2021A CF (1789 TT)</t>
  </si>
  <si>
    <t>2254943D SS Equity</t>
  </si>
  <si>
    <t>2023Q2 CF (HZNP US)</t>
  </si>
  <si>
    <t>Immedica Pharma AB</t>
  </si>
  <si>
    <t>3692 HK Equity</t>
  </si>
  <si>
    <t>2022A CF (HZNP US)</t>
  </si>
  <si>
    <t>Hansoh Pharmaceutical Group Co Ltd</t>
  </si>
  <si>
    <t>97612Z IM Equity</t>
  </si>
  <si>
    <t>Chiesi Farmaceutici SpA</t>
  </si>
  <si>
    <t>ACWHXZ CH Equity</t>
  </si>
  <si>
    <t>Jiangsu Hansoh Pharmaceutical Group Co Ltd</t>
  </si>
  <si>
    <t>PRGS US Equity</t>
  </si>
  <si>
    <t>2023Q1 CF (PRGS US)</t>
  </si>
  <si>
    <t>Progress Software Corp</t>
  </si>
  <si>
    <t>VYX US Equity</t>
  </si>
  <si>
    <t>2023Q2 CF (VYX US)</t>
  </si>
  <si>
    <t>NCR Voyix Corp</t>
  </si>
  <si>
    <t>ARMK US Equity</t>
  </si>
  <si>
    <t>Estimate (ARMK US)</t>
  </si>
  <si>
    <t>Aramark</t>
  </si>
  <si>
    <t>HCWC US Equity</t>
  </si>
  <si>
    <t>2024A CF (HCWC US)</t>
  </si>
  <si>
    <t>Healthy Choice Wellness Corp</t>
  </si>
  <si>
    <t>NGVC US Equity</t>
  </si>
  <si>
    <t>2025A CF (NGVC US)</t>
  </si>
  <si>
    <t>Natural Grocers by Vitamin Cottage Inc</t>
  </si>
  <si>
    <t>0233704Z US Equity</t>
  </si>
  <si>
    <t>2025A CF (UNFI US)</t>
  </si>
  <si>
    <t>United States Defense Commissary Agency</t>
  </si>
  <si>
    <t>Estimate (XPO US)</t>
  </si>
  <si>
    <t>7201 JP Equity</t>
  </si>
  <si>
    <t>Nissan Motor Co Ltd</t>
  </si>
  <si>
    <t>ADM US Equity</t>
  </si>
  <si>
    <t>Archer-Daniels-Midland Co</t>
  </si>
  <si>
    <t>2024A CF (MPLX US)</t>
  </si>
  <si>
    <t>Marathon Petroleum Corp</t>
  </si>
  <si>
    <t>AR US Equity</t>
  </si>
  <si>
    <t>2023A CF (AR US)</t>
  </si>
  <si>
    <t>Antero Resources Corp</t>
  </si>
  <si>
    <t>PQUEQ US Equity</t>
  </si>
  <si>
    <t>2024Q3 CF (PQUEQ US)</t>
  </si>
  <si>
    <t>PetroQuest Energy Inc</t>
  </si>
  <si>
    <t>FLEX US Equity</t>
  </si>
  <si>
    <t>Estimate (FLEX US)</t>
  </si>
  <si>
    <t>Flex Ltd</t>
  </si>
  <si>
    <t>JBL US Equity</t>
  </si>
  <si>
    <t>Estimate (JBL US)</t>
  </si>
  <si>
    <t>Jabil Inc</t>
  </si>
  <si>
    <t>Estimate (ADI US)</t>
  </si>
  <si>
    <t>Analog Devices Inc</t>
  </si>
  <si>
    <t>OSIS US Equity</t>
  </si>
  <si>
    <t>Estimate (OSIS US)</t>
  </si>
  <si>
    <t>OSI Systems Inc</t>
  </si>
  <si>
    <t>AHRT US Equity</t>
  </si>
  <si>
    <t>2025Q3 CF (AHRT US)</t>
  </si>
  <si>
    <t>AH Realty Trust Inc</t>
  </si>
  <si>
    <t>003090 KS Equity</t>
  </si>
  <si>
    <t>2025C2 CF (003090 KS)</t>
  </si>
  <si>
    <t>Daewoong Co Ltd</t>
  </si>
  <si>
    <t>069620 KS Equity</t>
  </si>
  <si>
    <t>2025C3 CF (069620 KS)</t>
  </si>
  <si>
    <t>Daewoong Pharmaceutical Co Ltd</t>
  </si>
  <si>
    <t>300690 CH Equity</t>
  </si>
  <si>
    <t>2023A CF (300690 CH)</t>
  </si>
  <si>
    <t>Shandong Shuangyi Technology Co Ltd</t>
  </si>
  <si>
    <t>VREX US Equity</t>
  </si>
  <si>
    <t>2026Q1 CF (VREX US)</t>
  </si>
  <si>
    <t>Varex Imaging Corp</t>
  </si>
  <si>
    <t>2330 TT Equity</t>
  </si>
  <si>
    <t>Estimate (LRCX US)</t>
  </si>
  <si>
    <t>Taiwan Semiconductor Manufacturing Co Ltd</t>
  </si>
  <si>
    <t>MU US Equity</t>
  </si>
  <si>
    <t>Micron Technology Inc</t>
  </si>
  <si>
    <t>000660 KS Equity</t>
  </si>
  <si>
    <t>SK hynix Inc</t>
  </si>
  <si>
    <t>AVT US Equity</t>
  </si>
  <si>
    <t>Estimate (AVT US)</t>
  </si>
  <si>
    <t>Avnet Inc</t>
  </si>
  <si>
    <t>8 HK Equity</t>
  </si>
  <si>
    <t>Estimate (8 HK)</t>
  </si>
  <si>
    <t>PCCW Ltd</t>
  </si>
  <si>
    <t>2025A CF (BA US)</t>
  </si>
  <si>
    <t>LUV US Equity</t>
  </si>
  <si>
    <t>Southwest Airlines Co</t>
  </si>
  <si>
    <t>AL US Equity</t>
  </si>
  <si>
    <t>Air Lease Corp</t>
  </si>
  <si>
    <t>035720 KS Equity</t>
  </si>
  <si>
    <t>2022A CF (035720 KS)</t>
  </si>
  <si>
    <t>Kakao Corp</t>
  </si>
  <si>
    <t>3136 JP Equity</t>
  </si>
  <si>
    <t>2022A CF (3136 JP)</t>
  </si>
  <si>
    <t>Econos Co Ltd</t>
  </si>
  <si>
    <t>360 AU Equity</t>
  </si>
  <si>
    <t>2024A CF (360 AU)</t>
  </si>
  <si>
    <t>Life360 Inc</t>
  </si>
  <si>
    <t>DCT US Equity</t>
  </si>
  <si>
    <t>2022A CF (DCT US)</t>
  </si>
  <si>
    <t>Duck Creek Technologies Inc</t>
  </si>
  <si>
    <t>ITI US Equity</t>
  </si>
  <si>
    <t>Company News (ITI US)</t>
  </si>
  <si>
    <t>Iteris Inc</t>
  </si>
  <si>
    <t>2024A CF (MAADEN AB)</t>
  </si>
  <si>
    <t>Saudi Arabian Mining Co</t>
  </si>
  <si>
    <t>0599984D GR Equity</t>
  </si>
  <si>
    <t>Company News (AA US)</t>
  </si>
  <si>
    <t>Speira GmbH</t>
  </si>
  <si>
    <t>0817498D UH Equity</t>
  </si>
  <si>
    <t>Emirates Global Aluminium PJSC</t>
  </si>
  <si>
    <t>178320 KS Equity</t>
  </si>
  <si>
    <t>2025C3 CF (178320 KS)</t>
  </si>
  <si>
    <t>Seojin System Co Ltd</t>
  </si>
  <si>
    <t>4523 TT Equity</t>
  </si>
  <si>
    <t>2021A CF (4523 TT)</t>
  </si>
  <si>
    <t>Everbrite Technology Co Ltd</t>
  </si>
  <si>
    <t>MTX GR Equity</t>
  </si>
  <si>
    <t>Estimate (MTX GR)</t>
  </si>
  <si>
    <t>MTU Aero Engines AG</t>
  </si>
  <si>
    <t>HWM US Equity</t>
  </si>
  <si>
    <t>2025A CF (HWM US)</t>
  </si>
  <si>
    <t>Howmet Aerospace Inc</t>
  </si>
  <si>
    <t>Estimate (SARO US)</t>
  </si>
  <si>
    <t>ATI US Equity</t>
  </si>
  <si>
    <t>Estimate (ATI US)</t>
  </si>
  <si>
    <t>ATI Inc</t>
  </si>
  <si>
    <t>2024Q2 CF (MTCH US)</t>
  </si>
  <si>
    <t>IAC US Equity</t>
  </si>
  <si>
    <t>2022Q3 CF (MTCH US)</t>
  </si>
  <si>
    <t>IAC Inc</t>
  </si>
  <si>
    <t>2025A CF (MAT US)</t>
  </si>
  <si>
    <t>TGT US Equity</t>
  </si>
  <si>
    <t>Target Corp</t>
  </si>
  <si>
    <t>Estimate (MAT US)</t>
  </si>
  <si>
    <t>PCAR US Equity</t>
  </si>
  <si>
    <t>2025A CF (CMI US)</t>
  </si>
  <si>
    <t>PACCAR Inc</t>
  </si>
  <si>
    <t>DTG GR Equity</t>
  </si>
  <si>
    <t>Estimate (CMI US)</t>
  </si>
  <si>
    <t>Daimler Truck Holding AG</t>
  </si>
  <si>
    <t>8TRA GR Equity</t>
  </si>
  <si>
    <t>Traton SE</t>
  </si>
  <si>
    <t>STLA US Equity</t>
  </si>
  <si>
    <t>Stellantis NV</t>
  </si>
  <si>
    <t>VOLVB SS Equity</t>
  </si>
  <si>
    <t>Volvo AB</t>
  </si>
  <si>
    <t>Delta Air Lines Inc</t>
  </si>
  <si>
    <t>Company News (NS US)</t>
  </si>
  <si>
    <t>OCI Holdings Co Ltd</t>
  </si>
  <si>
    <t>7165Z US Equity</t>
  </si>
  <si>
    <t>2022A CF (NS US)</t>
  </si>
  <si>
    <t>CHS Inc</t>
  </si>
  <si>
    <t>2023A CF (DINO US)</t>
  </si>
  <si>
    <t>MRO US Equity</t>
  </si>
  <si>
    <t>Marathon Oil Corp</t>
  </si>
  <si>
    <t>OCI NA Equity</t>
  </si>
  <si>
    <t>Company News (OCI NA)</t>
  </si>
  <si>
    <t>OCI NV</t>
  </si>
  <si>
    <t>Estimate (PG US)</t>
  </si>
  <si>
    <t>SY1 GR Equity</t>
  </si>
  <si>
    <t>Estimate (SY1 GR)</t>
  </si>
  <si>
    <t>Symrise AG</t>
  </si>
  <si>
    <t>Prologis Inc</t>
  </si>
  <si>
    <t>ATR US Equity</t>
  </si>
  <si>
    <t>Estimate (ATR US)</t>
  </si>
  <si>
    <t>AptarGroup Inc</t>
  </si>
  <si>
    <t>ODC US Equity</t>
  </si>
  <si>
    <t>Estimate (ODC US)</t>
  </si>
  <si>
    <t>Oil-Dri Corp of America</t>
  </si>
  <si>
    <t>2025A CF (4502 JP)</t>
  </si>
  <si>
    <t>Takeda Pharmaceutical Co Ltd</t>
  </si>
  <si>
    <t>OIBR4 BZ Equity</t>
  </si>
  <si>
    <t>2022A CF (OIBR4 BZ)</t>
  </si>
  <si>
    <t>OI S.A.</t>
  </si>
  <si>
    <t>Estimate (SPB US)</t>
  </si>
  <si>
    <t>WOOF US Equity</t>
  </si>
  <si>
    <t>Estimate (WOOF US)</t>
  </si>
  <si>
    <t>Petco Health &amp; Wellness Co Inc</t>
  </si>
  <si>
    <t>3036 TT Equity</t>
  </si>
  <si>
    <t>Estimate (AVGO US)</t>
  </si>
  <si>
    <t>WT Microelectronics Co Ltd</t>
  </si>
  <si>
    <t>META US Equity</t>
  </si>
  <si>
    <t>Meta Platforms Inc</t>
  </si>
  <si>
    <t>2024A CF (002348 CH)</t>
  </si>
  <si>
    <t>Goldlok Holdings Guangdong Co Ltd</t>
  </si>
  <si>
    <t>BWPT IJ Equity</t>
  </si>
  <si>
    <t>2022A CF (BWPT IJ)</t>
  </si>
  <si>
    <t>Eagle High Plantations Tbk PT</t>
  </si>
  <si>
    <t>CARE IJ Equity</t>
  </si>
  <si>
    <t>2022C3 CF (CARE IJ)</t>
  </si>
  <si>
    <t>Metro Healthcare Indonesia TBK PT</t>
  </si>
  <si>
    <t>EUCAR FP Equity</t>
  </si>
  <si>
    <t>2021A CF (EUCAR FP)</t>
  </si>
  <si>
    <t>Europcar Mobility Group SA</t>
  </si>
  <si>
    <t>KIJA IJ Equity</t>
  </si>
  <si>
    <t>2025C3 CF (KIJA IJ)</t>
  </si>
  <si>
    <t>Kawasan Industri Jababeka Tbk PT</t>
  </si>
  <si>
    <t>2025A CF (CAG US)</t>
  </si>
  <si>
    <t>Estimate (CAG US)</t>
  </si>
  <si>
    <t>2455892D US Equity</t>
  </si>
  <si>
    <t>Publix Super Markets Inc</t>
  </si>
  <si>
    <t>ACI US Equity</t>
  </si>
  <si>
    <t>Albertsons Cos Inc</t>
  </si>
  <si>
    <t>2023C1 CF (012690 KS)</t>
  </si>
  <si>
    <t>Monalisa Co Ltd</t>
  </si>
  <si>
    <t>023600 KS Equity</t>
  </si>
  <si>
    <t>2023C3 CF (023600 KS)</t>
  </si>
  <si>
    <t>Sambo Corrugated Board Co Ltd</t>
  </si>
  <si>
    <t>9878 JP Equity</t>
  </si>
  <si>
    <t>2025A CF (9878 JP)</t>
  </si>
  <si>
    <t>Sekido Co Ltd</t>
  </si>
  <si>
    <t>AIV US Equity</t>
  </si>
  <si>
    <t>Company News (AIV US)</t>
  </si>
  <si>
    <t>Apartment Investment and Management Co</t>
  </si>
  <si>
    <t>2021A CF (ARW US)</t>
  </si>
  <si>
    <t>9877893Z US Equity</t>
  </si>
  <si>
    <t>2025Q3 CF (CYH US)</t>
  </si>
  <si>
    <t>HHS Centers for Medicare &amp; Medicaid Services</t>
  </si>
  <si>
    <t>000150 KS Equity</t>
  </si>
  <si>
    <t>2021A CF (XEL US)</t>
  </si>
  <si>
    <t>Doosan Co Ltd</t>
  </si>
  <si>
    <t>009440 KS Equity</t>
  </si>
  <si>
    <t>KC Green Holdings Co Ltd</t>
  </si>
  <si>
    <t>0119100D US Equity</t>
  </si>
  <si>
    <t>Miniature Precision Components Inc</t>
  </si>
  <si>
    <t>0169078Z US Equity</t>
  </si>
  <si>
    <t>Optomec Inc</t>
  </si>
  <si>
    <t>0177296D SP Equity</t>
  </si>
  <si>
    <t>Chevron Phillips Chemicals Asia Pte Ltd</t>
  </si>
  <si>
    <t>2022A CF (IBM US)</t>
  </si>
  <si>
    <t>VALU US Equity</t>
  </si>
  <si>
    <t>2025A CF (VALU US)</t>
  </si>
  <si>
    <t>Value Line Inc</t>
  </si>
  <si>
    <t>Company News (WMB US)</t>
  </si>
  <si>
    <t>ATO US Equity</t>
  </si>
  <si>
    <t>2025A CF (ATO US)</t>
  </si>
  <si>
    <t>Atmos Energy Corp</t>
  </si>
  <si>
    <t>CHKR US Equity</t>
  </si>
  <si>
    <t>2023A CF (CHKR US)</t>
  </si>
  <si>
    <t>Chesapeake Granite Wash Trust</t>
  </si>
  <si>
    <t>CPK US Equity</t>
  </si>
  <si>
    <t>2024A CF (CPK US)</t>
  </si>
  <si>
    <t>Chesapeake Utilities Corp</t>
  </si>
  <si>
    <t>2025A CF (HON US)</t>
  </si>
  <si>
    <t>2024A CF (SITC US)</t>
  </si>
  <si>
    <t>DKS US Equity</t>
  </si>
  <si>
    <t>Dick's Sporting Goods Inc</t>
  </si>
  <si>
    <t>BURL US Equity</t>
  </si>
  <si>
    <t>Burlington Stores Inc</t>
  </si>
  <si>
    <t>2022C3 CF (329180 KS)</t>
  </si>
  <si>
    <t>HD Hyundai Heavy Industries Co Ltd</t>
  </si>
  <si>
    <t>4599690Z US Equity</t>
  </si>
  <si>
    <t>2023A CF (4599690Z US)</t>
  </si>
  <si>
    <t>Hayes Pump Inc</t>
  </si>
  <si>
    <t>ADES AB Equity</t>
  </si>
  <si>
    <t>2022A CF (ADES AB)</t>
  </si>
  <si>
    <t>Ades Holding Co</t>
  </si>
  <si>
    <t>CADLR NO Equity</t>
  </si>
  <si>
    <t>2023A CF (CADLR NO)</t>
  </si>
  <si>
    <t>Cadeler A/S</t>
  </si>
  <si>
    <t>2024A CF (DNOW US)</t>
  </si>
  <si>
    <t>Company News (BKR US)</t>
  </si>
  <si>
    <t>Bechtel Corp</t>
  </si>
  <si>
    <t>0318891D GR Equity</t>
  </si>
  <si>
    <t>Wintershall Dea GmbH</t>
  </si>
  <si>
    <t>0380559D AG Equity</t>
  </si>
  <si>
    <t>2024Q2 CF (BKR US)</t>
  </si>
  <si>
    <t>Sonatrach SpA</t>
  </si>
  <si>
    <t>0775985D CN Equity</t>
  </si>
  <si>
    <t>Hydrostor Inc</t>
  </si>
  <si>
    <t>0001036D US Equity</t>
  </si>
  <si>
    <t>2021A CF (ES US)</t>
  </si>
  <si>
    <t>Loos &amp; Co Inc</t>
  </si>
  <si>
    <t>012450 KS Equity</t>
  </si>
  <si>
    <t>Hanwha Aerospace Co Ltd</t>
  </si>
  <si>
    <t>Builders FirstSource Inc</t>
  </si>
  <si>
    <t>BXC US Equity</t>
  </si>
  <si>
    <t>2024A CF (BXC US)</t>
  </si>
  <si>
    <t>BlueLinx Holdings Inc</t>
  </si>
  <si>
    <t>DBM CN Equity</t>
  </si>
  <si>
    <t>2024A CF (DBM CN)</t>
  </si>
  <si>
    <t>Doman Building Materials Group Ltd</t>
  </si>
  <si>
    <t>Company News (WY US)</t>
  </si>
  <si>
    <t>Denbury Inc</t>
  </si>
  <si>
    <t>BABA US Equity</t>
  </si>
  <si>
    <t>Estimate (BABA US)</t>
  </si>
  <si>
    <t>Alibaba Group Holding Ltd</t>
  </si>
  <si>
    <t>002024 CH Equity</t>
  </si>
  <si>
    <t>Estimate (002024 CH)</t>
  </si>
  <si>
    <t>Suning.com Co Ltd</t>
  </si>
  <si>
    <t>CEC GR Equity</t>
  </si>
  <si>
    <t>Estimate (CEC GR)</t>
  </si>
  <si>
    <t>CECONOMY AG</t>
  </si>
  <si>
    <t>2025A CF (LBRDA US)</t>
  </si>
  <si>
    <t>TelevisaUnivision Inc</t>
  </si>
  <si>
    <t>AMCX US Equity</t>
  </si>
  <si>
    <t>AMC Networks Inc</t>
  </si>
  <si>
    <t>Comcast Corp</t>
  </si>
  <si>
    <t>Company News (LBRDA US)</t>
  </si>
  <si>
    <t>2024A CF (ELV US)</t>
  </si>
  <si>
    <t>0910416D US Equity</t>
  </si>
  <si>
    <t>Media News (0910416D US)</t>
  </si>
  <si>
    <t>St Peter's Health Partners</t>
  </si>
  <si>
    <t>140410 KS Equity</t>
  </si>
  <si>
    <t>2022A CF (140410 KS)</t>
  </si>
  <si>
    <t>Mezzion Pharma Co Ltd</t>
  </si>
  <si>
    <t>1584867D US Equity</t>
  </si>
  <si>
    <t>Company News (1584867D US)</t>
  </si>
  <si>
    <t>Ballad Health</t>
  </si>
  <si>
    <t>3668013Z US Equity</t>
  </si>
  <si>
    <t>Company News (3668013Z US)</t>
  </si>
  <si>
    <t>Mount Carmel Health System</t>
  </si>
  <si>
    <t>2025A CF (PFE US)</t>
  </si>
  <si>
    <t>2024A CF (PFE US)</t>
  </si>
  <si>
    <t>2024A CF (PEP US)</t>
  </si>
  <si>
    <t>Estimate (PEP US)</t>
  </si>
  <si>
    <t>2024A CF (4195 TT)</t>
  </si>
  <si>
    <t>Genomics BioSci&amp;Tech Co Ltd</t>
  </si>
  <si>
    <t>053030 KS Equity</t>
  </si>
  <si>
    <t>2024A CF (053030 KS)</t>
  </si>
  <si>
    <t>Binex Co Ltd</t>
  </si>
  <si>
    <t>000250 KS Equity</t>
  </si>
  <si>
    <t>2025C3 CF (000250 KS)</t>
  </si>
  <si>
    <t>Sam Chun Dang Pharm Co Ltd</t>
  </si>
  <si>
    <t>002022 CH Equity</t>
  </si>
  <si>
    <t>2024A CF (002022 CH)</t>
  </si>
  <si>
    <t>Shanghai Kehua Bio-Engineering Co Ltd</t>
  </si>
  <si>
    <t>2024A CF (BLNK US)</t>
  </si>
  <si>
    <t>2024A CF (UNH US)</t>
  </si>
  <si>
    <t>2023A CF (IBM US)</t>
  </si>
  <si>
    <t>2024A CF (WMT US)</t>
  </si>
  <si>
    <t>STOKS1 US Equity</t>
  </si>
  <si>
    <t>Company News (UNH US)</t>
  </si>
  <si>
    <t>State of Kansas</t>
  </si>
  <si>
    <t>2023A CF (CUZ US)</t>
  </si>
  <si>
    <t>Cousins Properties Inc</t>
  </si>
  <si>
    <t>DMLP US Equity</t>
  </si>
  <si>
    <t>2023A CF (DMLP US)</t>
  </si>
  <si>
    <t>Dorchester Minerals LP</t>
  </si>
  <si>
    <t>2023A CF (DNOW US)</t>
  </si>
  <si>
    <t>DTI US Equity</t>
  </si>
  <si>
    <t>2023Q3 CF (DTI US)</t>
  </si>
  <si>
    <t>Drilling Tools International Corp</t>
  </si>
  <si>
    <t>FRU CN Equity</t>
  </si>
  <si>
    <t>2023A CF (FRU CN)</t>
  </si>
  <si>
    <t>Freehold Royalties Ltd</t>
  </si>
  <si>
    <t>CNXN US Equity</t>
  </si>
  <si>
    <t>Estimate (CNXN US)</t>
  </si>
  <si>
    <t>PC Connection Inc</t>
  </si>
  <si>
    <t>1414936D US Equity</t>
  </si>
  <si>
    <t>2023Q3 CF (1414936D US)</t>
  </si>
  <si>
    <t>Premier Kings Inc</t>
  </si>
  <si>
    <t>1655490D CH Equity</t>
  </si>
  <si>
    <t>2025A CF (GPN US)</t>
  </si>
  <si>
    <t>Unionpay International Co Ltd</t>
  </si>
  <si>
    <t>1763872D CN Equity</t>
  </si>
  <si>
    <t>2022A CF (GPN US)</t>
  </si>
  <si>
    <t>Interac Inc</t>
  </si>
  <si>
    <t>2024A CF (0127957D US)</t>
  </si>
  <si>
    <t>Hooters of America LLC</t>
  </si>
  <si>
    <t>516265Z CN Equity</t>
  </si>
  <si>
    <t>Company News (CZR US)</t>
  </si>
  <si>
    <t>Ontario Lottery &amp; Gaming Corp</t>
  </si>
  <si>
    <t>GMR LN Equity</t>
  </si>
  <si>
    <t>2024A CF (GMR LN)</t>
  </si>
  <si>
    <t>Gaming Realms PLC</t>
  </si>
  <si>
    <t>PLTK US Equity</t>
  </si>
  <si>
    <t>2025A CF (PLTK US)</t>
  </si>
  <si>
    <t>Playtika Holding Corp</t>
  </si>
  <si>
    <t>2024A CF (COP US)</t>
  </si>
  <si>
    <t>China Petroleum &amp; Chemical Corp</t>
  </si>
  <si>
    <t>9503 JP Equity</t>
  </si>
  <si>
    <t>Kansai Electric Power Co Inc/The</t>
  </si>
  <si>
    <t>AKAST NO Equity</t>
  </si>
  <si>
    <t>Company News (COP US)</t>
  </si>
  <si>
    <t>Akastor ASA</t>
  </si>
  <si>
    <t>ATD CN Equity</t>
  </si>
  <si>
    <t>2025A CF (ATD CN)</t>
  </si>
  <si>
    <t>Alimentation Couche-Tard Inc</t>
  </si>
  <si>
    <t>2022A CF (CREI LN)</t>
  </si>
  <si>
    <t>Custodian Property Income Reit PLC</t>
  </si>
  <si>
    <t>LITE US Equity</t>
  </si>
  <si>
    <t>2022A CF (LITE US)</t>
  </si>
  <si>
    <t>Lumentum Holdings Inc</t>
  </si>
  <si>
    <t>BOOT IN Equity</t>
  </si>
  <si>
    <t>2025A CF (BOOT IN)</t>
  </si>
  <si>
    <t>Abbott India Ltd</t>
  </si>
  <si>
    <t>4175 TT Equity</t>
  </si>
  <si>
    <t>2024A CF (4175 TT)</t>
  </si>
  <si>
    <t>MedFirst Healthcare Services Inc</t>
  </si>
  <si>
    <t>096760 KS Equity</t>
  </si>
  <si>
    <t>2025C3 CF (096760 KS)</t>
  </si>
  <si>
    <t>JW Holdings Corp</t>
  </si>
  <si>
    <t>001060 KS Equity</t>
  </si>
  <si>
    <t>2025C3 CF (001060 KS)</t>
  </si>
  <si>
    <t>JW Pharmaceutical Corp</t>
  </si>
  <si>
    <t>2022A CF (MO US)</t>
  </si>
  <si>
    <t>Maverik Country Stores Inc</t>
  </si>
  <si>
    <t>1039759Z US Equity</t>
  </si>
  <si>
    <t>RaceTrac Inc</t>
  </si>
  <si>
    <t>1041020Z US Equity</t>
  </si>
  <si>
    <t>Wawa Inc</t>
  </si>
  <si>
    <t>1041068Z US Equity</t>
  </si>
  <si>
    <t>Sheetz Inc</t>
  </si>
  <si>
    <t>1545850D US Equity</t>
  </si>
  <si>
    <t>Buc-ee's Ltd</t>
  </si>
  <si>
    <t>DOW US Equity</t>
  </si>
  <si>
    <t>Estimate (DOW US)</t>
  </si>
  <si>
    <t>Dow Inc</t>
  </si>
  <si>
    <t>2024A CF (AR US)</t>
  </si>
  <si>
    <t>BKV US Equity</t>
  </si>
  <si>
    <t>2024A CF (BKV US)</t>
  </si>
  <si>
    <t>BKV Corp</t>
  </si>
  <si>
    <t>2024A CF (DINO US)</t>
  </si>
  <si>
    <t>2024A CF (SIPCHEM AB)</t>
  </si>
  <si>
    <t>Sahara International Petrochemical Co</t>
  </si>
  <si>
    <t>Enterprise Products Partners LP</t>
  </si>
  <si>
    <t>NESTE FH Equity</t>
  </si>
  <si>
    <t>Neste Oyj</t>
  </si>
  <si>
    <t>Estimate (EMR US)</t>
  </si>
  <si>
    <t>Emerson Electric Co</t>
  </si>
  <si>
    <t>PTTGC TB Equity</t>
  </si>
  <si>
    <t>PTT Global Chemical PCL</t>
  </si>
  <si>
    <t>Ferguson Electric Co Inc</t>
  </si>
  <si>
    <t>354061Z US Equity</t>
  </si>
  <si>
    <t>MA Mortenson Co</t>
  </si>
  <si>
    <t>4148197Z US Equity</t>
  </si>
  <si>
    <t>Northline Utilities LLC</t>
  </si>
  <si>
    <t>634750Z US Equity</t>
  </si>
  <si>
    <t>Stuart C Irby Co LLC</t>
  </si>
  <si>
    <t>7011 JP Equity</t>
  </si>
  <si>
    <t>Mitsubishi Heavy Industries Ltd</t>
  </si>
  <si>
    <t>2024A CF (BRK/A US)</t>
  </si>
  <si>
    <t>YUM US Equity</t>
  </si>
  <si>
    <t>Yum! Brands Inc</t>
  </si>
  <si>
    <t>IRWD US Equity</t>
  </si>
  <si>
    <t>2024A CF (IRWD US)</t>
  </si>
  <si>
    <t>Ironwood Pharmaceuticals Inc</t>
  </si>
  <si>
    <t>Company News (9995522D US)</t>
  </si>
  <si>
    <t>OMNIA Partners LLC</t>
  </si>
  <si>
    <t>Estimate (SMP US)</t>
  </si>
  <si>
    <t>Standard Motor Products Inc</t>
  </si>
  <si>
    <t>5110 JP Equity</t>
  </si>
  <si>
    <t>Estimate (5110 JP)</t>
  </si>
  <si>
    <t>Sumitomo Rubber Industries Ltd</t>
  </si>
  <si>
    <t>ML FP Equity</t>
  </si>
  <si>
    <t>Estimate (ML FP)</t>
  </si>
  <si>
    <t>Cie Generale des Etablissements Michelin SCA</t>
  </si>
  <si>
    <t>PIRC IM Equity</t>
  </si>
  <si>
    <t>Estimate (PIRC IM)</t>
  </si>
  <si>
    <t>Pirelli &amp; C SpA</t>
  </si>
  <si>
    <t>Estimate (CON GR)</t>
  </si>
  <si>
    <t>VRTX US Equity</t>
  </si>
  <si>
    <t>Estimate (VRTX US)</t>
  </si>
  <si>
    <t>Vertex Pharmaceuticals Inc</t>
  </si>
  <si>
    <t>MPT US Equity</t>
  </si>
  <si>
    <t>2024A CF (MPT US)</t>
  </si>
  <si>
    <t>Medical Properties Trust Inc</t>
  </si>
  <si>
    <t>Estimate (BIIB US)</t>
  </si>
  <si>
    <t>Biogen Inc</t>
  </si>
  <si>
    <t>REGN US Equity</t>
  </si>
  <si>
    <t>Estimate (REGN US)</t>
  </si>
  <si>
    <t>Regeneron Pharmaceuticals Inc</t>
  </si>
  <si>
    <t>CLS CN Equity</t>
  </si>
  <si>
    <t>Estimate (CLS CN)</t>
  </si>
  <si>
    <t>Celestica Inc</t>
  </si>
  <si>
    <t>APH US Equity</t>
  </si>
  <si>
    <t>Estimate (APH US)</t>
  </si>
  <si>
    <t>Amphenol Corp</t>
  </si>
  <si>
    <t>MRO LN Equity</t>
  </si>
  <si>
    <t>Estimate (MRO LN)</t>
  </si>
  <si>
    <t>Melrose Industries PLC</t>
  </si>
  <si>
    <t>HWA IN Equity</t>
  </si>
  <si>
    <t>2025A CF (HWA IN)</t>
  </si>
  <si>
    <t>Honeywell Automation India Ltd</t>
  </si>
  <si>
    <t>AMS SM Equity</t>
  </si>
  <si>
    <t>Estimate (AMS SM)</t>
  </si>
  <si>
    <t>Amadeus IT Group SA</t>
  </si>
  <si>
    <t>ADP FP Equity</t>
  </si>
  <si>
    <t>Estimate (ADP FP)</t>
  </si>
  <si>
    <t>Aeroports de Paris SA</t>
  </si>
  <si>
    <t>037440 KS Equity</t>
  </si>
  <si>
    <t>2024C3 CF (037440 KS)</t>
  </si>
  <si>
    <t>Heerim Architects &amp; Planners</t>
  </si>
  <si>
    <t>300500 CH Equity</t>
  </si>
  <si>
    <t>2024S1 CF (300500 CH)</t>
  </si>
  <si>
    <t>Tus-Design Group Co Ltd</t>
  </si>
  <si>
    <t>AGYS US Equity</t>
  </si>
  <si>
    <t>2025A CF (AGYS US)</t>
  </si>
  <si>
    <t>Agilysys Inc</t>
  </si>
  <si>
    <t>D-U CN Equity</t>
  </si>
  <si>
    <t>2025Q3 CF (D-U CN)</t>
  </si>
  <si>
    <t>Dream Office Real Estate Investment Trust</t>
  </si>
  <si>
    <t>MINDSPCE IN Equity</t>
  </si>
  <si>
    <t>2026Q1 CF (MINDSPCE IN)</t>
  </si>
  <si>
    <t>Mindspace Business Parks REIT</t>
  </si>
  <si>
    <t>1799784D US Equity</t>
  </si>
  <si>
    <t>Boosted.ai</t>
  </si>
  <si>
    <t>2021A CF (EVRG US)</t>
  </si>
  <si>
    <t>Evergy Inc</t>
  </si>
  <si>
    <t>1896544D GR Equity</t>
  </si>
  <si>
    <t>Regnology Germany GmbH</t>
  </si>
  <si>
    <t>2024S1 CF (002459 CH)</t>
  </si>
  <si>
    <t>JA Solar Technology Co Ltd</t>
  </si>
  <si>
    <t>0059242D US Equity</t>
  </si>
  <si>
    <t>Carhartt Inc</t>
  </si>
  <si>
    <t>1859739D US Equity</t>
  </si>
  <si>
    <t>Media News (1859739D US)</t>
  </si>
  <si>
    <t>Consolidated Asset Management Services LLC</t>
  </si>
  <si>
    <t>F US Equity</t>
  </si>
  <si>
    <t>2024Q1 CF (RUN US)</t>
  </si>
  <si>
    <t>Ford Motor Co</t>
  </si>
  <si>
    <t>INFA US Equity</t>
  </si>
  <si>
    <t>2025Q1 CF (INFA US)</t>
  </si>
  <si>
    <t>Informatica Inc</t>
  </si>
  <si>
    <t>Patheon Pharmaceuticals Inc</t>
  </si>
  <si>
    <t>0360489Z US Equity</t>
  </si>
  <si>
    <t>Regents of the University of California/The</t>
  </si>
  <si>
    <t>0414456D US Equity</t>
  </si>
  <si>
    <t>Lyne Laboratories Inc</t>
  </si>
  <si>
    <t>0611670D US Equity</t>
  </si>
  <si>
    <t>2022Q2 CF (HZNP US)</t>
  </si>
  <si>
    <t>Hemoshear Therapeutics LLC</t>
  </si>
  <si>
    <t>0737120D US Equity</t>
  </si>
  <si>
    <t>Mountain View Pharmaceuticals Inc</t>
  </si>
  <si>
    <t>2024A CF (VRRM US)</t>
  </si>
  <si>
    <t>Verra Mobility Corp</t>
  </si>
  <si>
    <t>AENA SM Equity</t>
  </si>
  <si>
    <t>Estimate (AENA SM)</t>
  </si>
  <si>
    <t>Aena SME SA</t>
  </si>
  <si>
    <t>DSY FP Equity</t>
  </si>
  <si>
    <t>Estimate (DSY FP)</t>
  </si>
  <si>
    <t>Dassault Systemes SE</t>
  </si>
  <si>
    <t>RKT LN Equity</t>
  </si>
  <si>
    <t>Estimate (RKT LN)</t>
  </si>
  <si>
    <t>Reckitt Benckiser Group PLC</t>
  </si>
  <si>
    <t>2021A CF (FE US)</t>
  </si>
  <si>
    <t>FirstEnergy Corp</t>
  </si>
  <si>
    <t>EXTR US Equity</t>
  </si>
  <si>
    <t>Estimate (EXTR US)</t>
  </si>
  <si>
    <t>Extreme Networks Inc</t>
  </si>
  <si>
    <t>PEG US Equity</t>
  </si>
  <si>
    <t>2021A CF (PEG US)</t>
  </si>
  <si>
    <t>Public Service Enterprise Group Inc</t>
  </si>
  <si>
    <t>TXNM US Equity</t>
  </si>
  <si>
    <t>2021A CF (TXNM US)</t>
  </si>
  <si>
    <t>TXNM Energy Inc</t>
  </si>
  <si>
    <t>EIX US Equity</t>
  </si>
  <si>
    <t>2021A CF (EIX US)</t>
  </si>
  <si>
    <t>Edison International</t>
  </si>
  <si>
    <t>RAIL US Equity</t>
  </si>
  <si>
    <t>Estimate (RAIL US)</t>
  </si>
  <si>
    <t>FreightCar America Inc</t>
  </si>
  <si>
    <t>HIW US Equity</t>
  </si>
  <si>
    <t>2025A CF (HIW US)</t>
  </si>
  <si>
    <t>Highwoods Properties Inc</t>
  </si>
  <si>
    <t>Estimate (UPS US)</t>
  </si>
  <si>
    <t>General Mills Inc</t>
  </si>
  <si>
    <t>PPC US Equity</t>
  </si>
  <si>
    <t>Estimate (PPC US)</t>
  </si>
  <si>
    <t>Pilgrim's Pride Corp</t>
  </si>
  <si>
    <t>VITL US Equity</t>
  </si>
  <si>
    <t>2025A CF (VITL US)</t>
  </si>
  <si>
    <t>Vital Farms Inc</t>
  </si>
  <si>
    <t>TEVA IT Equity</t>
  </si>
  <si>
    <t>Estimate (TEVA IT)</t>
  </si>
  <si>
    <t>Teva Pharmaceutical Industries Ltd</t>
  </si>
  <si>
    <t>CAI AV Equity</t>
  </si>
  <si>
    <t>2024A CF (CAI AV)</t>
  </si>
  <si>
    <t>CA Immobilien Anlagen AG</t>
  </si>
  <si>
    <t>PGRE US Equity</t>
  </si>
  <si>
    <t>2024A CF (PGRE US)</t>
  </si>
  <si>
    <t>Paramount Group Inc</t>
  </si>
  <si>
    <t>DEI US Equity</t>
  </si>
  <si>
    <t>2024A CF (DEI US)</t>
  </si>
  <si>
    <t>Douglas Emmett Inc</t>
  </si>
  <si>
    <t>Casepoint LLC</t>
  </si>
  <si>
    <t>HEP US Equity</t>
  </si>
  <si>
    <t>2022A CF (HEP US)</t>
  </si>
  <si>
    <t>Holly Energy Partners LP</t>
  </si>
  <si>
    <t>Phillips 66</t>
  </si>
  <si>
    <t>SLGN US Equity</t>
  </si>
  <si>
    <t>Estimate (SLGN US)</t>
  </si>
  <si>
    <t>Silgan Holdings Inc</t>
  </si>
  <si>
    <t>Estimate (SWK US)</t>
  </si>
  <si>
    <t>Stanley Black &amp; Decker Inc</t>
  </si>
  <si>
    <t>6810 JP Equity</t>
  </si>
  <si>
    <t>Estimate (6810 JP)</t>
  </si>
  <si>
    <t>Maxell Ltd</t>
  </si>
  <si>
    <t>002891 CH Equity</t>
  </si>
  <si>
    <t>2024A CF (002891 CH)</t>
  </si>
  <si>
    <t>Yantai China Pet Foods Co Ltd</t>
  </si>
  <si>
    <t>2062 TT Equity</t>
  </si>
  <si>
    <t>2024Q3 CF (2062 TT)</t>
  </si>
  <si>
    <t>Sunspring Metal Corp</t>
  </si>
  <si>
    <t>2024A CF (XRX US)</t>
  </si>
  <si>
    <t>FUJIFILM Holdings Corp</t>
  </si>
  <si>
    <t>HPE US Equity</t>
  </si>
  <si>
    <t>Estimate (HPE US)</t>
  </si>
  <si>
    <t>Hewlett Packard Enterprise Co</t>
  </si>
  <si>
    <t>TCS IN Equity</t>
  </si>
  <si>
    <t>Estimate (TCS IN)</t>
  </si>
  <si>
    <t>Tata Consultancy Services Ltd</t>
  </si>
  <si>
    <t>267250 KS Equity</t>
  </si>
  <si>
    <t>2025C3 CF (267250 KS)</t>
  </si>
  <si>
    <t>HD Hyundai Co Ltd</t>
  </si>
  <si>
    <t>267260 KS Equity</t>
  </si>
  <si>
    <t>2025C3 CF (267260 KS)</t>
  </si>
  <si>
    <t>HD Hyundai Electric Co Ltd</t>
  </si>
  <si>
    <t>FLNC US Equity</t>
  </si>
  <si>
    <t>Estimate (FLNC US)</t>
  </si>
  <si>
    <t>Fluence Energy Inc</t>
  </si>
  <si>
    <t>2022A CF (ENLC US)</t>
  </si>
  <si>
    <t>EnLink Midstream LLC</t>
  </si>
  <si>
    <t>2025A CF (EQT US)</t>
  </si>
  <si>
    <t>EQT Corp</t>
  </si>
  <si>
    <t>2022A CF (ET US)</t>
  </si>
  <si>
    <t>3747 JP Equity</t>
  </si>
  <si>
    <t>2026A CF (3747 JP)</t>
  </si>
  <si>
    <t>Intertrade Co Ltd</t>
  </si>
  <si>
    <t>ALY CN Equity</t>
  </si>
  <si>
    <t>2022A CF (ALY CN)</t>
  </si>
  <si>
    <t>AnalytixInsight Inc</t>
  </si>
  <si>
    <t>SPR US Equity</t>
  </si>
  <si>
    <t>2025Q3 CF (SPR US)</t>
  </si>
  <si>
    <t>Spirit AeroSystems Holdings Inc</t>
  </si>
  <si>
    <t>2024A CF (OPITQ US)</t>
  </si>
  <si>
    <t>Office Properties Income Trust</t>
  </si>
  <si>
    <t>2024A CF (CUZ US)</t>
  </si>
  <si>
    <t>EVER US Equity</t>
  </si>
  <si>
    <t>2025Q3 CF (EVER US)</t>
  </si>
  <si>
    <t>EverQuote Inc</t>
  </si>
  <si>
    <t>Estimate (2330 TT)</t>
  </si>
  <si>
    <t>3711 TT Equity</t>
  </si>
  <si>
    <t>Estimate (3711 TT)</t>
  </si>
  <si>
    <t>ASE Technology Holding Co Ltd</t>
  </si>
  <si>
    <t>2345 TT Equity</t>
  </si>
  <si>
    <t>Estimate (2345 TT)</t>
  </si>
  <si>
    <t>Accton Technology Corp</t>
  </si>
  <si>
    <t>600584 CH Equity</t>
  </si>
  <si>
    <t>Estimate (600584 CH)</t>
  </si>
  <si>
    <t>JCET Group Co Ltd</t>
  </si>
  <si>
    <t>SVC US Equity</t>
  </si>
  <si>
    <t>2025Q2 CF (OPITQ US)</t>
  </si>
  <si>
    <t>Service Properties Trust</t>
  </si>
  <si>
    <t>2251411D US Equity</t>
  </si>
  <si>
    <t>Company News (OPITQ US)</t>
  </si>
  <si>
    <t>Ad Hoc Group/The</t>
  </si>
  <si>
    <t>RMR US Equity</t>
  </si>
  <si>
    <t>RMR Group Inc/The</t>
  </si>
  <si>
    <t>PEGA US Equity</t>
  </si>
  <si>
    <t>Estimate (PEGA US)</t>
  </si>
  <si>
    <t>Pegasystems Inc</t>
  </si>
  <si>
    <t>048550 KS Equity</t>
  </si>
  <si>
    <t>2024C3 CF (048550 KS)</t>
  </si>
  <si>
    <t>SM Culture &amp; Contents Co Ltd</t>
  </si>
  <si>
    <t>1426 HK Equity</t>
  </si>
  <si>
    <t>2025S1 CF (1426 HK)</t>
  </si>
  <si>
    <t>Spring Real Estate Investment Trust</t>
  </si>
  <si>
    <t>8802 JP Equity</t>
  </si>
  <si>
    <t>2026S1 CF (8802 JP)</t>
  </si>
  <si>
    <t>Mitsubishi Estate Co Ltd</t>
  </si>
  <si>
    <t>AXIATA MK Equity</t>
  </si>
  <si>
    <t>2022Q3 CF (AXIATA MK)</t>
  </si>
  <si>
    <t>Axiata Group Bhd</t>
  </si>
  <si>
    <t>GSM US Equity</t>
  </si>
  <si>
    <t>Estimate (GSM US)</t>
  </si>
  <si>
    <t>Ferroglobe PLC</t>
  </si>
  <si>
    <t>AMG NA Equity</t>
  </si>
  <si>
    <t>Estimate (AMG NA)</t>
  </si>
  <si>
    <t>AMG Critical Materials NV</t>
  </si>
  <si>
    <t>Estimate (T US)</t>
  </si>
  <si>
    <t>DY US Equity</t>
  </si>
  <si>
    <t>2026Q3 CF (DY US)</t>
  </si>
  <si>
    <t>Dycom Industries Inc</t>
  </si>
  <si>
    <t>DCO US Equity</t>
  </si>
  <si>
    <t>Estimate (DCO US)</t>
  </si>
  <si>
    <t>Ducommun Inc</t>
  </si>
  <si>
    <t>Estimate (HEI US)</t>
  </si>
  <si>
    <t>AERO SW Equity</t>
  </si>
  <si>
    <t>Estimate (AERO SW)</t>
  </si>
  <si>
    <t>Montana Aerospace AG</t>
  </si>
  <si>
    <t>AIR US Equity</t>
  </si>
  <si>
    <t>Estimate (AIR US)</t>
  </si>
  <si>
    <t>AAR Corp</t>
  </si>
  <si>
    <t>FTG CN Equity</t>
  </si>
  <si>
    <t>Estimate (FTG CN)</t>
  </si>
  <si>
    <t>Firan Technology Group Corp</t>
  </si>
  <si>
    <t>2289511D US Equity</t>
  </si>
  <si>
    <t>Lapis Energy LP</t>
  </si>
  <si>
    <t>6342 JP Equity</t>
  </si>
  <si>
    <t>2022A CF (6342 JP)</t>
  </si>
  <si>
    <t>Taihei Machinery Works Ltd</t>
  </si>
  <si>
    <t>AGX US Equity</t>
  </si>
  <si>
    <t>2025A CF (AGX US)</t>
  </si>
  <si>
    <t>Argan Inc</t>
  </si>
  <si>
    <t>HCLT IN Equity</t>
  </si>
  <si>
    <t>Estimate (HCLT IN)</t>
  </si>
  <si>
    <t>HCL Technologies Ltd</t>
  </si>
  <si>
    <t>7974 JP Equity</t>
  </si>
  <si>
    <t>Estimate (7974 JP)</t>
  </si>
  <si>
    <t>Nintendo Co Ltd</t>
  </si>
  <si>
    <t>SABIC AB Equity</t>
  </si>
  <si>
    <t>Estimate (SABIC AB)</t>
  </si>
  <si>
    <t>Saudi Basic Industries Corp</t>
  </si>
  <si>
    <t>HAS US Equity</t>
  </si>
  <si>
    <t>Estimate (HAS US)</t>
  </si>
  <si>
    <t>Hasbro Inc</t>
  </si>
  <si>
    <t>Company News (ONCO CN)</t>
  </si>
  <si>
    <t>Onco-Innovations Ltd</t>
  </si>
  <si>
    <t>0877019D US Equity</t>
  </si>
  <si>
    <t>IG Investments Holdings LLC</t>
  </si>
  <si>
    <t>Bank of America Corp</t>
  </si>
  <si>
    <t>2025A CF (VISN US)</t>
  </si>
  <si>
    <t>Vistance Networks Inc</t>
  </si>
  <si>
    <t>Estimate (CSCO US)</t>
  </si>
  <si>
    <t>Cisco Systems Inc</t>
  </si>
  <si>
    <t>Estimate (7751 JP)</t>
  </si>
  <si>
    <t>2025Q4 CF (DY US)</t>
  </si>
  <si>
    <t>2023C3 CF (004800 KS)</t>
  </si>
  <si>
    <t>0932236D US Equity</t>
  </si>
  <si>
    <t>Company News (0932236D US)</t>
  </si>
  <si>
    <t>Zafin Labs USA Inc</t>
  </si>
  <si>
    <t>ASCL LN Equity</t>
  </si>
  <si>
    <t>2023A CF (ASCL LN)</t>
  </si>
  <si>
    <t>Ascential Ltd</t>
  </si>
  <si>
    <t>WLCO IN Equity</t>
  </si>
  <si>
    <t>Estimate (WLCO IN)</t>
  </si>
  <si>
    <t>Welspun Corp Ltd</t>
  </si>
  <si>
    <t>GTLS US Equity</t>
  </si>
  <si>
    <t>Estimate (GTLS US)</t>
  </si>
  <si>
    <t>Chart Industries Inc</t>
  </si>
  <si>
    <t>TKA GR Equity</t>
  </si>
  <si>
    <t>Estimate (TKA GR)</t>
  </si>
  <si>
    <t>thyssenkrupp AG</t>
  </si>
  <si>
    <t>ATMU US Equity</t>
  </si>
  <si>
    <t>2025A CF (ATMU US)</t>
  </si>
  <si>
    <t>Atmus Filtration Technologies Inc</t>
  </si>
  <si>
    <t>ATXL IN Equity</t>
  </si>
  <si>
    <t>2025A CF (ATXL IN)</t>
  </si>
  <si>
    <t>Automotive Axles Ltd</t>
  </si>
  <si>
    <t>KKC IN Equity</t>
  </si>
  <si>
    <t>2025A CF (KKC IN)</t>
  </si>
  <si>
    <t>Cummins India Ltd</t>
  </si>
  <si>
    <t>JMAT LN Equity</t>
  </si>
  <si>
    <t>Estimate (JMAT LN)</t>
  </si>
  <si>
    <t>Johnson Matthey PLC</t>
  </si>
  <si>
    <t>2022S1 CF (300464 CH)</t>
  </si>
  <si>
    <t>Guangdong SACA Precision Manufacturing Co Ltd</t>
  </si>
  <si>
    <t>BRX US Equity</t>
  </si>
  <si>
    <t>2024A CF (BRX US)</t>
  </si>
  <si>
    <t>Brixmor Property Group Inc</t>
  </si>
  <si>
    <t>NTGR US Equity</t>
  </si>
  <si>
    <t>2025A CF (NTGR US)</t>
  </si>
  <si>
    <t>NETGEAR Inc</t>
  </si>
  <si>
    <t>2025A CF (NWL US)</t>
  </si>
  <si>
    <t>Newell Brands Inc</t>
  </si>
  <si>
    <t>053300 KS Equity</t>
  </si>
  <si>
    <t>2025C3 CF (053300 KS)</t>
  </si>
  <si>
    <t>Korea Information Certificate Authority Inc</t>
  </si>
  <si>
    <t>4784 JP Equity</t>
  </si>
  <si>
    <t>2023A CF (4784 JP)</t>
  </si>
  <si>
    <t>GMO Internet Inc</t>
  </si>
  <si>
    <t>8136 JP Equity</t>
  </si>
  <si>
    <t>2022A CF (8136 JP)</t>
  </si>
  <si>
    <t>Sanrio Co Ltd</t>
  </si>
  <si>
    <t>2025Q3 CF (MTCH US)</t>
  </si>
  <si>
    <t>BGO LN Equity</t>
  </si>
  <si>
    <t>2022A CF (BGO LN)</t>
  </si>
  <si>
    <t>Bango PLC</t>
  </si>
  <si>
    <t>DOC US Equity</t>
  </si>
  <si>
    <t>2024Q4 CF (DOC US)</t>
  </si>
  <si>
    <t>Healthpeak Properties Inc</t>
  </si>
  <si>
    <t>1412815D US Equity</t>
  </si>
  <si>
    <t>Company News (CYH US)</t>
  </si>
  <si>
    <t>Mindoula Health Inc</t>
  </si>
  <si>
    <t>300760 CH Equity</t>
  </si>
  <si>
    <t>2024A CF (300760 CH)</t>
  </si>
  <si>
    <t>Shenzhen Mindray Bio-Medical Electronics Co Ltd</t>
  </si>
  <si>
    <t>AMS US Equity</t>
  </si>
  <si>
    <t>2024A CF (AMS US)</t>
  </si>
  <si>
    <t>American Shared Hospital Services</t>
  </si>
  <si>
    <t>CRVW US Equity</t>
  </si>
  <si>
    <t>Company News (CRVW US)</t>
  </si>
  <si>
    <t>CareView Communications Inc</t>
  </si>
  <si>
    <t>2021A CF (002293 CH)</t>
  </si>
  <si>
    <t>Luolai Lifestyle Technology Co Ltd</t>
  </si>
  <si>
    <t>015760 KS Equity</t>
  </si>
  <si>
    <t>2024C2 CF (015760 KS)</t>
  </si>
  <si>
    <t>Korea Electric Power Corp</t>
  </si>
  <si>
    <t>0197446Z US Equity</t>
  </si>
  <si>
    <t>Company News (PARA US)</t>
  </si>
  <si>
    <t>Nielsen Co US LLC/The</t>
  </si>
  <si>
    <t>051600 KS Equity</t>
  </si>
  <si>
    <t>2024A CF (051600 KS)</t>
  </si>
  <si>
    <t>KEPCO Plant Service &amp; Engineering Co Ltd</t>
  </si>
  <si>
    <t>1026Z US Equity</t>
  </si>
  <si>
    <t>Company News (1026Z US)</t>
  </si>
  <si>
    <t>Cox Enterprises Inc</t>
  </si>
  <si>
    <t>Estimate (OERL SW)</t>
  </si>
  <si>
    <t>OC Oerlikon Corp AG Pfaeffikon</t>
  </si>
  <si>
    <t>RBC US Equity</t>
  </si>
  <si>
    <t>Estimate (RBC US)</t>
  </si>
  <si>
    <t>RBC Bearings Inc</t>
  </si>
  <si>
    <t>MEI US Equity</t>
  </si>
  <si>
    <t>Estimate (MEI US)</t>
  </si>
  <si>
    <t>Methode Electronics Inc</t>
  </si>
  <si>
    <t>AIRI US Equity</t>
  </si>
  <si>
    <t>Estimate (AIRI US)</t>
  </si>
  <si>
    <t>Air Industries Group</t>
  </si>
  <si>
    <t>2025A CF (UCTT US)</t>
  </si>
  <si>
    <t>Ultra Clean Holdings Inc</t>
  </si>
  <si>
    <t>ICHR US Equity</t>
  </si>
  <si>
    <t>2025A CF (ICHR US)</t>
  </si>
  <si>
    <t>Ichor Holdings Ltd</t>
  </si>
  <si>
    <t>MKSI US Equity</t>
  </si>
  <si>
    <t>Estimate (MKSI US)</t>
  </si>
  <si>
    <t>MKS Inc</t>
  </si>
  <si>
    <t>VACN SW Equity</t>
  </si>
  <si>
    <t>Estimate (VACN SW)</t>
  </si>
  <si>
    <t>VAT Group AG</t>
  </si>
  <si>
    <t>CSGS US Equity</t>
  </si>
  <si>
    <t>Estimate (CSGS US)</t>
  </si>
  <si>
    <t>CSG Systems International Inc</t>
  </si>
  <si>
    <t>HLIT US Equity</t>
  </si>
  <si>
    <t>Estimate (HLIT US)</t>
  </si>
  <si>
    <t>Harmonic Inc</t>
  </si>
  <si>
    <t>HNGE US Equity</t>
  </si>
  <si>
    <t>2025Q3 CF (HNGE US)</t>
  </si>
  <si>
    <t>Hinge Health Inc</t>
  </si>
  <si>
    <t>AMWL US Equity</t>
  </si>
  <si>
    <t>2025A CF (AMWL US)</t>
  </si>
  <si>
    <t>American Well Corp</t>
  </si>
  <si>
    <t>2024A CF (BNTX US)</t>
  </si>
  <si>
    <t>BioNTech SE</t>
  </si>
  <si>
    <t>DIM FP Equity</t>
  </si>
  <si>
    <t>Estimate (DIM FP)</t>
  </si>
  <si>
    <t>Sartorius Stedim Biotech</t>
  </si>
  <si>
    <t>5201 JP Equity</t>
  </si>
  <si>
    <t>Estimate (5201 JP)</t>
  </si>
  <si>
    <t>AGC Inc</t>
  </si>
  <si>
    <t>Estimate (AMD US)</t>
  </si>
  <si>
    <t>Broadcom Inc</t>
  </si>
  <si>
    <t>Estimate (ANET US)</t>
  </si>
  <si>
    <t>Estimate (WDC US)</t>
  </si>
  <si>
    <t>Western Digital Corp</t>
  </si>
  <si>
    <t>Estimate (PFE US)</t>
  </si>
  <si>
    <t>Estimate (FDX US)</t>
  </si>
  <si>
    <t>TEN IM Equity</t>
  </si>
  <si>
    <t>Estimate (TEN IM)</t>
  </si>
  <si>
    <t>Tenaris SA</t>
  </si>
  <si>
    <t>CRGY US Equity</t>
  </si>
  <si>
    <t>2024A CF (CRGY US)</t>
  </si>
  <si>
    <t>Crescent Energy Co</t>
  </si>
  <si>
    <t>Estimate (CAT US)</t>
  </si>
  <si>
    <t>INR US Equity</t>
  </si>
  <si>
    <t>2024A CF (INR US)</t>
  </si>
  <si>
    <t>Infinity Natural Resources Inc</t>
  </si>
  <si>
    <t>BXP US Equity</t>
  </si>
  <si>
    <t>2025Q3 CF (BXP US)</t>
  </si>
  <si>
    <t>BXP Inc</t>
  </si>
  <si>
    <t>INFO IN Equity</t>
  </si>
  <si>
    <t>Estimate (INFO IN)</t>
  </si>
  <si>
    <t>Infosys Ltd</t>
  </si>
  <si>
    <t>DSFIR NA Equity</t>
  </si>
  <si>
    <t>Estimate (DSFIR NA)</t>
  </si>
  <si>
    <t>DSM-Firmenich AG</t>
  </si>
  <si>
    <t>ZTS US Equity</t>
  </si>
  <si>
    <t>Estimate (ZTS US)</t>
  </si>
  <si>
    <t>Zoetis Inc</t>
  </si>
  <si>
    <t>2024A CF (GMAB DC)</t>
  </si>
  <si>
    <t>Genmab A/S</t>
  </si>
  <si>
    <t>HALO US Equity</t>
  </si>
  <si>
    <t>Estimate (HALO US)</t>
  </si>
  <si>
    <t>Halozyme Therapeutics Inc</t>
  </si>
  <si>
    <t>BAYN GR Equity</t>
  </si>
  <si>
    <t>Estimate (BAYN GR)</t>
  </si>
  <si>
    <t>Bayer AG</t>
  </si>
  <si>
    <t>2024A CF (GLPI US)</t>
  </si>
  <si>
    <t>Gaming and Leisure Properties Inc</t>
  </si>
  <si>
    <t>0620764D US Equity</t>
  </si>
  <si>
    <t>Memphis Grizzlies</t>
  </si>
  <si>
    <t>HSY US Equity</t>
  </si>
  <si>
    <t>2025A CF (HSY US)</t>
  </si>
  <si>
    <t>Hershey Co/The</t>
  </si>
  <si>
    <t>TXT US Equity</t>
  </si>
  <si>
    <t>Estimate (TXT US)</t>
  </si>
  <si>
    <t>Textron Inc</t>
  </si>
  <si>
    <t>LCII US Equity</t>
  </si>
  <si>
    <t>2025A CF (LCII US)</t>
  </si>
  <si>
    <t>LCI Industries</t>
  </si>
  <si>
    <t>WAB US Equity</t>
  </si>
  <si>
    <t>Estimate (WAB US)</t>
  </si>
  <si>
    <t>Westinghouse Air Brake Technologies Corp</t>
  </si>
  <si>
    <t>Estimate (INCY US)</t>
  </si>
  <si>
    <t>AZN LN Equity</t>
  </si>
  <si>
    <t>Estimate (AZN LN)</t>
  </si>
  <si>
    <t>AstraZeneca PLC</t>
  </si>
  <si>
    <t>PAR US Equity</t>
  </si>
  <si>
    <t>2024A CF (PAR US)</t>
  </si>
  <si>
    <t>PAR Technology Corp</t>
  </si>
  <si>
    <t>74SW FP Equity</t>
  </si>
  <si>
    <t>2024Q3 CF (74SW FP)</t>
  </si>
  <si>
    <t>74Software SA</t>
  </si>
  <si>
    <t>5350Z US Equity</t>
  </si>
  <si>
    <t>Company News (ADEA US)</t>
  </si>
  <si>
    <t>Bloomberg LP</t>
  </si>
  <si>
    <t>005380 KS Equity</t>
  </si>
  <si>
    <t>2022Q2 CF (ADEA US)</t>
  </si>
  <si>
    <t>Hyundai Motor Co</t>
  </si>
  <si>
    <t>017670 KS Equity</t>
  </si>
  <si>
    <t>SK Telecom Co Ltd</t>
  </si>
  <si>
    <t>LOGN SW Equity</t>
  </si>
  <si>
    <t>Logitech International SA</t>
  </si>
  <si>
    <t>003550 KS Equity</t>
  </si>
  <si>
    <t>2024A CF (ADEA US)</t>
  </si>
  <si>
    <t>LG Corp</t>
  </si>
  <si>
    <t>DLB US Equity</t>
  </si>
  <si>
    <t>Estimate (DLB US)</t>
  </si>
  <si>
    <t>Dolby Laboratories Inc</t>
  </si>
  <si>
    <t>GAM FP Equity</t>
  </si>
  <si>
    <t>2024A CF (GAM FP)</t>
  </si>
  <si>
    <t>Gaumont SA</t>
  </si>
  <si>
    <t>2022A CF (ARCH US)</t>
  </si>
  <si>
    <t>Hyundai Steel Co</t>
  </si>
  <si>
    <t>1087605D SP Equity</t>
  </si>
  <si>
    <t>Jera Global Markets Pte Ltd</t>
  </si>
  <si>
    <t>5411 JP Equity</t>
  </si>
  <si>
    <t>2023A CF (ARCH US)</t>
  </si>
  <si>
    <t>JFE Holdings Inc</t>
  </si>
  <si>
    <t>Southern Co/The</t>
  </si>
  <si>
    <t>TATA IN Equity</t>
  </si>
  <si>
    <t>Tata Steel Ltd</t>
  </si>
  <si>
    <t>SPH US Equity</t>
  </si>
  <si>
    <t>2022A CF (SPH US)</t>
  </si>
  <si>
    <t>Suburban Propane Partners LP</t>
  </si>
  <si>
    <t>2024A CF (CXW US)</t>
  </si>
  <si>
    <t>0006698D US Equity</t>
  </si>
  <si>
    <t>Company News (CXW US)</t>
  </si>
  <si>
    <t>DHS US Immigration &amp; Customs Enforcement</t>
  </si>
  <si>
    <t>0007165D US Equity</t>
  </si>
  <si>
    <t>Oklahoma Department of Corrections</t>
  </si>
  <si>
    <t>0217762Z US Equity</t>
  </si>
  <si>
    <t>Department of Homeland Security</t>
  </si>
  <si>
    <t>0228369Z US Equity</t>
  </si>
  <si>
    <t>United States Marshals Service</t>
  </si>
  <si>
    <t>Estimate (UVV US)</t>
  </si>
  <si>
    <t>Universal Corp/VA</t>
  </si>
  <si>
    <t>601515 CH Equity</t>
  </si>
  <si>
    <t>2021A CF (601515 CH)</t>
  </si>
  <si>
    <t>Quzhou DFP New Material Group Co Ltd</t>
  </si>
  <si>
    <t>6201 TT Equity</t>
  </si>
  <si>
    <t>2025Q3 CF (6201 TT)</t>
  </si>
  <si>
    <t>Ya Horng Electronic Co Ltd</t>
  </si>
  <si>
    <t>AVPT US Equity</t>
  </si>
  <si>
    <t>2024Q1 CF (AVPT US)</t>
  </si>
  <si>
    <t>AvePoint Inc</t>
  </si>
  <si>
    <t>2022A CF (VMC US)</t>
  </si>
  <si>
    <t>DOD DOA United States Army Corps of Engineers</t>
  </si>
  <si>
    <t>Estimate (TMUS US)</t>
  </si>
  <si>
    <t>2024A CF (CCI US)</t>
  </si>
  <si>
    <t>Crown Castle Inc</t>
  </si>
  <si>
    <t>DOX US Equity</t>
  </si>
  <si>
    <t>2025A CF (DOX US)</t>
  </si>
  <si>
    <t>Amdocs Ltd</t>
  </si>
  <si>
    <t>004690 KS Equity</t>
  </si>
  <si>
    <t>2025C3 CF (004690 KS)</t>
  </si>
  <si>
    <t>Samchully Co Ltd</t>
  </si>
  <si>
    <t>1009 HK Equity</t>
  </si>
  <si>
    <t>2025A CF (1009 HK)</t>
  </si>
  <si>
    <t>International Entertainment Corp</t>
  </si>
  <si>
    <t>1066999D US Equity</t>
  </si>
  <si>
    <t>Company News (JLL US)</t>
  </si>
  <si>
    <t>Capital Commercial Investments Inc</t>
  </si>
  <si>
    <t>1313161D US Equity</t>
  </si>
  <si>
    <t>Emerus Holdings Inc</t>
  </si>
  <si>
    <t>2024A CF (OHI US)</t>
  </si>
  <si>
    <t>Communicare Health Services</t>
  </si>
  <si>
    <t>0126662D US Equity</t>
  </si>
  <si>
    <t>Ciena Health Care Management Inc</t>
  </si>
  <si>
    <t>0127342Z US Equity</t>
  </si>
  <si>
    <t>Saber Healthcare Group LLC</t>
  </si>
  <si>
    <t>PACS US Equity</t>
  </si>
  <si>
    <t>PACS Group Inc</t>
  </si>
  <si>
    <t>Welltower Inc</t>
  </si>
  <si>
    <t>2024A CF (BFH US)</t>
  </si>
  <si>
    <t>Hard Rock International Inc</t>
  </si>
  <si>
    <t>VSCO US Equity</t>
  </si>
  <si>
    <t>Victoria's Secret &amp; Co</t>
  </si>
  <si>
    <t>2022A CF (BFH US)</t>
  </si>
  <si>
    <t>ASO US Equity</t>
  </si>
  <si>
    <t>Academy Sports &amp; Outdoors Inc</t>
  </si>
  <si>
    <t>1900008D US Equity</t>
  </si>
  <si>
    <t>Saks Off 5th</t>
  </si>
  <si>
    <t>HO FP Equity</t>
  </si>
  <si>
    <t>2024A CF (QVCGA US)</t>
  </si>
  <si>
    <t>Thales SA</t>
  </si>
  <si>
    <t>DISH US Equity</t>
  </si>
  <si>
    <t>2022A CF (QVCGA US)</t>
  </si>
  <si>
    <t>DISH Network Corp</t>
  </si>
  <si>
    <t>3276470Z US Equity</t>
  </si>
  <si>
    <t>Hulu LLC</t>
  </si>
  <si>
    <t>2024Q3 CF (QVCGA US)</t>
  </si>
  <si>
    <t>Cox Communications Inc</t>
  </si>
  <si>
    <t>Company News (3384Q US)</t>
  </si>
  <si>
    <t>Applied Systems Inc</t>
  </si>
  <si>
    <t>87001 HK Equity</t>
  </si>
  <si>
    <t>2024S1 CF (87001 HK)</t>
  </si>
  <si>
    <t>Hui Xian Real Estate Investment Trust</t>
  </si>
  <si>
    <t>BIRET IN Equity</t>
  </si>
  <si>
    <t>2023A CF (BIRET IN)</t>
  </si>
  <si>
    <t>Brookfield India Real Estate Trust</t>
  </si>
  <si>
    <t>2025Q2 CF (BXP US)</t>
  </si>
  <si>
    <t>FUNO11 MM Equity</t>
  </si>
  <si>
    <t>2025Q2 CF (FUNO11 MM)</t>
  </si>
  <si>
    <t>Fibra Uno Administracion SA de CV</t>
  </si>
  <si>
    <t>TTD US Equity</t>
  </si>
  <si>
    <t>2025Q3 CF (TTD US)</t>
  </si>
  <si>
    <t>Trade Desk Inc/The</t>
  </si>
  <si>
    <t>2024Q2 CF (TGNA US)</t>
  </si>
  <si>
    <t>NBC</t>
  </si>
  <si>
    <t>2024A CF (TGNA US)</t>
  </si>
  <si>
    <t>5169Z US Equity</t>
  </si>
  <si>
    <t>Australian Broadcasting Corp</t>
  </si>
  <si>
    <t>AVOL SW Equity</t>
  </si>
  <si>
    <t>2024A CF (AVOL SW)</t>
  </si>
  <si>
    <t>Avolta AG</t>
  </si>
  <si>
    <t>2023A CF (TGNA US)</t>
  </si>
  <si>
    <t>BLND LN Equity</t>
  </si>
  <si>
    <t>2026S1 CF (BLND LN)</t>
  </si>
  <si>
    <t>British Land Co PLC/The</t>
  </si>
  <si>
    <t>1817873D US Equity</t>
  </si>
  <si>
    <t>Open Space Labs Inc</t>
  </si>
  <si>
    <t>1972 HK Equity</t>
  </si>
  <si>
    <t>2023A CF (1972 HK)</t>
  </si>
  <si>
    <t>Swire Properties Ltd</t>
  </si>
  <si>
    <t>405 HK Equity</t>
  </si>
  <si>
    <t>2024A CF (405 HK)</t>
  </si>
  <si>
    <t>Yuexiu Real Estate Investment Trust</t>
  </si>
  <si>
    <t>2024A CF (USIO US)</t>
  </si>
  <si>
    <t>Usio Inc</t>
  </si>
  <si>
    <t>WITH FH Equity</t>
  </si>
  <si>
    <t>2021A CF (WITH FH)</t>
  </si>
  <si>
    <t>WithSecure Oyj</t>
  </si>
  <si>
    <t>ADTN US Equity</t>
  </si>
  <si>
    <t>2022Q3 CF (ADTN US)</t>
  </si>
  <si>
    <t>ADTRAN Holdings Inc</t>
  </si>
  <si>
    <t>Company News (WINMQ US)</t>
  </si>
  <si>
    <t>1605612D IN Equity</t>
  </si>
  <si>
    <t>Company News (1605612D IN)</t>
  </si>
  <si>
    <t>Prodapt Solutions Pvt Ltd</t>
  </si>
  <si>
    <t>2024A CF (UGPA3 BZ)</t>
  </si>
  <si>
    <t>Ultrapar Participacoes SA</t>
  </si>
  <si>
    <t>293 HK Equity</t>
  </si>
  <si>
    <t>Estimate (293 HK)</t>
  </si>
  <si>
    <t>Cathay Pacific Airways Ltd</t>
  </si>
  <si>
    <t>LLUB SL Equity</t>
  </si>
  <si>
    <t>2024A CF (LLUB SL)</t>
  </si>
  <si>
    <t>Chevron Lubricants Lanka PLC</t>
  </si>
  <si>
    <t>CMPP IJ Equity</t>
  </si>
  <si>
    <t>2025C3 CF (CMPP IJ)</t>
  </si>
  <si>
    <t>AirAsia Indonesia Tbk PT</t>
  </si>
  <si>
    <t>005950 KS Equity</t>
  </si>
  <si>
    <t>2023C3 CF (005950 KS)</t>
  </si>
  <si>
    <t>ISU Chemical Co Ltd</t>
  </si>
  <si>
    <t>003490 KS Equity</t>
  </si>
  <si>
    <t>2024A CF (AAL US)</t>
  </si>
  <si>
    <t>Korean Air Lines Co Ltd</t>
  </si>
  <si>
    <t>0108529D US Equity</t>
  </si>
  <si>
    <t>Company News (AAL US)</t>
  </si>
  <si>
    <t>DHS US Customs &amp; Border Protection</t>
  </si>
  <si>
    <t>0118883D FS Equity</t>
  </si>
  <si>
    <t>Air Pacific Ltd</t>
  </si>
  <si>
    <t>0207499D JP Equity</t>
  </si>
  <si>
    <t>Jetstar Japan KK</t>
  </si>
  <si>
    <t>2025A CF (CVS US)</t>
  </si>
  <si>
    <t>Company News (CVS US)</t>
  </si>
  <si>
    <t>1053543D US Equity</t>
  </si>
  <si>
    <t>West Virginia Department of Health &amp; Human Resources</t>
  </si>
  <si>
    <t>Legacy EV LLC</t>
  </si>
  <si>
    <t>TH US Equity</t>
  </si>
  <si>
    <t>Company News (TH US)</t>
  </si>
  <si>
    <t>Target Hospitality Corp</t>
  </si>
  <si>
    <t>Estimate (CRS US)</t>
  </si>
  <si>
    <t>Carpenter Technology Corp</t>
  </si>
  <si>
    <t>2024A CF (002564 CH)</t>
  </si>
  <si>
    <t>2023A CF (004800 KS)</t>
  </si>
  <si>
    <t>KDP US Equity</t>
  </si>
  <si>
    <t>Estimate (KDP US)</t>
  </si>
  <si>
    <t>Keurig Dr Pepper Inc</t>
  </si>
  <si>
    <t>GPK US Equity</t>
  </si>
  <si>
    <t>Estimate (GPK US)</t>
  </si>
  <si>
    <t>Graphic Packaging Holding Co</t>
  </si>
  <si>
    <t>Estimate (ATCOA SS)</t>
  </si>
  <si>
    <t>Atlas Copco AB</t>
  </si>
  <si>
    <t>FRPH US Equity</t>
  </si>
  <si>
    <t>2024A CF (FRPH US)</t>
  </si>
  <si>
    <t>FRP Holdings Inc</t>
  </si>
  <si>
    <t>Estimate (285A JP)</t>
  </si>
  <si>
    <t>Kioxia Holdings Corp</t>
  </si>
  <si>
    <t>IMAX US Equity</t>
  </si>
  <si>
    <t>Estimate (IMAX US)</t>
  </si>
  <si>
    <t>IMAX Corp</t>
  </si>
  <si>
    <t>6965 JP Equity</t>
  </si>
  <si>
    <t>Hamamatsu Photonics KK</t>
  </si>
  <si>
    <t>Verizon Communications Inc</t>
  </si>
  <si>
    <t>2023A CF (ETRN US)</t>
  </si>
  <si>
    <t>Estimate (VIAV US)</t>
  </si>
  <si>
    <t>SICPA Holding SA</t>
  </si>
  <si>
    <t>AT&amp;T Inc</t>
  </si>
  <si>
    <t>NOKIA FH Equity</t>
  </si>
  <si>
    <t>Nokia Oyj</t>
  </si>
  <si>
    <t>REI US Equity</t>
  </si>
  <si>
    <t>2024A CF (REI US)</t>
  </si>
  <si>
    <t>Ring Energy Inc</t>
  </si>
  <si>
    <t>SPND US Equity</t>
  </si>
  <si>
    <t>2024A CF (SPND US)</t>
  </si>
  <si>
    <t>Spindletop Oil &amp; Gas Co</t>
  </si>
  <si>
    <t>1608940D US Equity</t>
  </si>
  <si>
    <t>Company News (OKE US)</t>
  </si>
  <si>
    <t>Orbital Sidekick Inc</t>
  </si>
  <si>
    <t>2021S1 CF (688125 CH)</t>
  </si>
  <si>
    <t>Guangdong Anda Automation Solutions Co Ltd</t>
  </si>
  <si>
    <t>7608659Z US Equity</t>
  </si>
  <si>
    <t>Media News (AVB US)</t>
  </si>
  <si>
    <t>Gables Residential Services Inc</t>
  </si>
  <si>
    <t>Estimate (OSK US)</t>
  </si>
  <si>
    <t>Oshkosh Corp</t>
  </si>
  <si>
    <t>1436372D US Equity</t>
  </si>
  <si>
    <t>2025Q3 CF (1436372D US)</t>
  </si>
  <si>
    <t>Pine Gate Renewables LLC</t>
  </si>
  <si>
    <t>FLCM US Equity</t>
  </si>
  <si>
    <t>2024Q2 CF (FLCM US)</t>
  </si>
  <si>
    <t>Fulcrum Bioenergy Inc</t>
  </si>
  <si>
    <t>GCEHQ US Equity</t>
  </si>
  <si>
    <t>2025Q1 CF (GCEHQ US)</t>
  </si>
  <si>
    <t>Global Clean Energy Holdings Inc</t>
  </si>
  <si>
    <t>HOT GR Equity</t>
  </si>
  <si>
    <t>Company News (URI US)</t>
  </si>
  <si>
    <t>HOCHTIEF AG</t>
  </si>
  <si>
    <t>Estimate (ON US)</t>
  </si>
  <si>
    <t>3702 TT Equity</t>
  </si>
  <si>
    <t>WPG Holdings Ltd</t>
  </si>
  <si>
    <t>2317 TT Equity</t>
  </si>
  <si>
    <t>Estimate (2317 TT)</t>
  </si>
  <si>
    <t>Hon Hai Precision Industry Co Ltd</t>
  </si>
  <si>
    <t>2025A CF (UPS US)</t>
  </si>
  <si>
    <t>992 HK Equity</t>
  </si>
  <si>
    <t>Estimate (992 HK)</t>
  </si>
  <si>
    <t>Lenovo Group Ltd</t>
  </si>
  <si>
    <t>2024A CF (ANTO LN)</t>
  </si>
  <si>
    <t>Antofagasta PLC</t>
  </si>
  <si>
    <t>2307124D SM Equity</t>
  </si>
  <si>
    <t>Company News (C US)</t>
  </si>
  <si>
    <t>Turbo Energy SA</t>
  </si>
  <si>
    <t>ARM US Equity</t>
  </si>
  <si>
    <t>ARM Holdings PLC</t>
  </si>
  <si>
    <t>Company News (DDS US)</t>
  </si>
  <si>
    <t>Dillard's Inc</t>
  </si>
  <si>
    <t>MAERSKB DC Equity</t>
  </si>
  <si>
    <t>AP Moller - Maersk A/S</t>
  </si>
  <si>
    <t>2025A CF (WHR US)</t>
  </si>
  <si>
    <t>Estimate (WHR US)</t>
  </si>
  <si>
    <t>DELL US Equity</t>
  </si>
  <si>
    <t>Dell Technologies Inc</t>
  </si>
  <si>
    <t>2024A CF (3702 TT)</t>
  </si>
  <si>
    <t>000977 CH Equity</t>
  </si>
  <si>
    <t>Estimate (000977 CH)</t>
  </si>
  <si>
    <t>IEIT Systems Co Ltd</t>
  </si>
  <si>
    <t>2024A CF (PKG US)</t>
  </si>
  <si>
    <t>ODP Corp/The</t>
  </si>
  <si>
    <t>0976704D US Equity</t>
  </si>
  <si>
    <t>2024Q3 CF (0976704D US)</t>
  </si>
  <si>
    <t>H-Food Holdings LLC</t>
  </si>
  <si>
    <t>218283Z US Equity</t>
  </si>
  <si>
    <t>2023Q2 CF (218283Z US)</t>
  </si>
  <si>
    <t>Corelle Brands Holdings Inc</t>
  </si>
  <si>
    <t>2021A CF (D US)</t>
  </si>
  <si>
    <t>China International Marine Containers Group Co Ltd</t>
  </si>
  <si>
    <t>002240 KS Equity</t>
  </si>
  <si>
    <t>KISWIRE Ltd</t>
  </si>
  <si>
    <t>2024A CF (4104 TT)</t>
  </si>
  <si>
    <t>Excelsior Medical Co Ltd</t>
  </si>
  <si>
    <t>300246 CH Equity</t>
  </si>
  <si>
    <t>2021A CF (300246 CH)</t>
  </si>
  <si>
    <t>Guangdong Biolight Meditech Co Ltd</t>
  </si>
  <si>
    <t>CNMD US Equity</t>
  </si>
  <si>
    <t>Company News (MDT US)</t>
  </si>
  <si>
    <t>CONMED Corp</t>
  </si>
  <si>
    <t>VIVO US Equity</t>
  </si>
  <si>
    <t>2022A CF (VIVO US)</t>
  </si>
  <si>
    <t>Meridian Bioscience Inc</t>
  </si>
  <si>
    <t>3079 JP Equity</t>
  </si>
  <si>
    <t>2025A CF (3079 JP)</t>
  </si>
  <si>
    <t>Dvx Inc</t>
  </si>
  <si>
    <t>Rockies Express Pipeline LLC</t>
  </si>
  <si>
    <t>Berkshire Hathaway Inc</t>
  </si>
  <si>
    <t>2022A CF (ETRN US)</t>
  </si>
  <si>
    <t>Kinder Morgan Inc</t>
  </si>
  <si>
    <t>Estimate (PFGC US)</t>
  </si>
  <si>
    <t>QSR CN Equity</t>
  </si>
  <si>
    <t>Restaurant Brands International Inc</t>
  </si>
  <si>
    <t>ARKO US Equity</t>
  </si>
  <si>
    <t>Arko Corp</t>
  </si>
  <si>
    <t>DRI US Equity</t>
  </si>
  <si>
    <t>Darden Restaurants Inc</t>
  </si>
  <si>
    <t>AKSO NO Equity</t>
  </si>
  <si>
    <t>Estimate (AKSO NO)</t>
  </si>
  <si>
    <t>Aker Solutions ASA</t>
  </si>
  <si>
    <t>FCEL US Equity</t>
  </si>
  <si>
    <t>2025A CF (FCEL US)</t>
  </si>
  <si>
    <t>FuelCell Energy Inc</t>
  </si>
  <si>
    <t>SLB Ltd</t>
  </si>
  <si>
    <t>Estimate (728 HK)</t>
  </si>
  <si>
    <t>China Telecom Corp Ltd</t>
  </si>
  <si>
    <t>DGX US Equity</t>
  </si>
  <si>
    <t>2025Q4 CF (LUMN US)</t>
  </si>
  <si>
    <t>Quest Diagnostics Inc</t>
  </si>
  <si>
    <t>Estimate (DE US)</t>
  </si>
  <si>
    <t>Deere &amp; Co</t>
  </si>
  <si>
    <t>TEX US Equity</t>
  </si>
  <si>
    <t>Estimate (TEX US)</t>
  </si>
  <si>
    <t>Terex Corp</t>
  </si>
  <si>
    <t>6432 JP Equity</t>
  </si>
  <si>
    <t>2025A CF (6432 JP)</t>
  </si>
  <si>
    <t>Takeuchi Manufacturing Co Ltd</t>
  </si>
  <si>
    <t>BHE US Equity</t>
  </si>
  <si>
    <t>Estimate (BHE US)</t>
  </si>
  <si>
    <t>Benchmark Electronics Inc</t>
  </si>
  <si>
    <t>CLX LN Equity</t>
  </si>
  <si>
    <t>Estimate (CLX LN)</t>
  </si>
  <si>
    <t>Calnex Solutions PLC</t>
  </si>
  <si>
    <t>368770 KS Equity</t>
  </si>
  <si>
    <t>Media News (368770 KS)</t>
  </si>
  <si>
    <t>FIBERPRO Inc/Yuseong</t>
  </si>
  <si>
    <t>Estimate (354 HK)</t>
  </si>
  <si>
    <t>Chinasoft International Ltd</t>
  </si>
  <si>
    <t>4726 JP Equity</t>
  </si>
  <si>
    <t>2024A CF (4726 JP)</t>
  </si>
  <si>
    <t>SB Technology Corp</t>
  </si>
  <si>
    <t>9903653D US Equity</t>
  </si>
  <si>
    <t>2022Q3 CF (9903653D US)</t>
  </si>
  <si>
    <t>TechTarget Inc/old</t>
  </si>
  <si>
    <t>2022A CF (GEN US)</t>
  </si>
  <si>
    <t>Estimate (MTX US)</t>
  </si>
  <si>
    <t>Minerals Technologies Inc</t>
  </si>
  <si>
    <t>ALE US Equity</t>
  </si>
  <si>
    <t>2024A CF (ALE US)</t>
  </si>
  <si>
    <t>ALLETE Inc</t>
  </si>
  <si>
    <t>AQN CN Equity</t>
  </si>
  <si>
    <t>2021A CF (AQN CN)</t>
  </si>
  <si>
    <t>Algonquin Power &amp; Utilities Corp</t>
  </si>
  <si>
    <t>2024A CF (002054 CH)</t>
  </si>
  <si>
    <t>Dymatic Chemicals Inc</t>
  </si>
  <si>
    <t>002562 CH Equity</t>
  </si>
  <si>
    <t>2024A CF (002562 CH)</t>
  </si>
  <si>
    <t>Brother Enterprises Holding Co Ltd</t>
  </si>
  <si>
    <t>2022A CF (2282 HK)</t>
  </si>
  <si>
    <t>600521 CH Equity</t>
  </si>
  <si>
    <t>2025S1 CF (600521 CH)</t>
  </si>
  <si>
    <t>Zhejiang Huahai Pharmaceutical Co Ltd</t>
  </si>
  <si>
    <t>601016 CH Equity</t>
  </si>
  <si>
    <t>2025S1 CF (601016 CH)</t>
  </si>
  <si>
    <t>CECEP Wind-Power Corp</t>
  </si>
  <si>
    <t>2024A CF (EXAS US)</t>
  </si>
  <si>
    <t>2025A CF (EXAS US)</t>
  </si>
  <si>
    <t>0867843D US Equity</t>
  </si>
  <si>
    <t>2022A CF (EXAS US)</t>
  </si>
  <si>
    <t>Wisconsin Department of Health Services</t>
  </si>
  <si>
    <t>2072378D US Equity</t>
  </si>
  <si>
    <t>Watchmaker Genomics Inc</t>
  </si>
  <si>
    <t>8185220Z US Equity</t>
  </si>
  <si>
    <t>Company News (EXAS US)</t>
  </si>
  <si>
    <t>HHS NIH National Cancer Institute</t>
  </si>
  <si>
    <t>Tyson Foods Inc</t>
  </si>
  <si>
    <t>KHC US Equity</t>
  </si>
  <si>
    <t>Estimate (KHC US)</t>
  </si>
  <si>
    <t>Kraft Heinz Co/The</t>
  </si>
  <si>
    <t>HRL US Equity</t>
  </si>
  <si>
    <t>Estimate (HRL US)</t>
  </si>
  <si>
    <t>Hormel Foods Corp</t>
  </si>
  <si>
    <t>Estimate (HSY US)</t>
  </si>
  <si>
    <t>SFD US Equity</t>
  </si>
  <si>
    <t>Estimate (SFD US)</t>
  </si>
  <si>
    <t>Smithfield Foods Inc</t>
  </si>
  <si>
    <t>ROG SW Equity</t>
  </si>
  <si>
    <t>2025A CF (ABBV US)</t>
  </si>
  <si>
    <t>Roche Holding AG</t>
  </si>
  <si>
    <t>RICHT HB Equity</t>
  </si>
  <si>
    <t>2024A CF (RICHT HB)</t>
  </si>
  <si>
    <t>Richter Gedeon Nyrt</t>
  </si>
  <si>
    <t>LONN SW Equity</t>
  </si>
  <si>
    <t>Estimate (LONN SW)</t>
  </si>
  <si>
    <t>Lonza Group AG</t>
  </si>
  <si>
    <t>Estimate (981 HK)</t>
  </si>
  <si>
    <t>Semiconductor Manufacturing International Corp</t>
  </si>
  <si>
    <t>AMKR US Equity</t>
  </si>
  <si>
    <t>Estimate (AMKR US)</t>
  </si>
  <si>
    <t>Amkor Technology Inc</t>
  </si>
  <si>
    <t>4063 JP Equity</t>
  </si>
  <si>
    <t>Estimate (4063 JP)</t>
  </si>
  <si>
    <t>Shin-Etsu Chemical Co Ltd</t>
  </si>
  <si>
    <t>WAF GR Equity</t>
  </si>
  <si>
    <t>Estimate (WAF GR)</t>
  </si>
  <si>
    <t>Siltronic AG</t>
  </si>
  <si>
    <t>KLAC US Equity</t>
  </si>
  <si>
    <t>Estimate (KLAC US)</t>
  </si>
  <si>
    <t>KLA Corp</t>
  </si>
  <si>
    <t>MTZ US Equity</t>
  </si>
  <si>
    <t>Estimate (MTZ US)</t>
  </si>
  <si>
    <t>MasTec Inc</t>
  </si>
  <si>
    <t>PRY IM Equity</t>
  </si>
  <si>
    <t>Estimate (PRY IM)</t>
  </si>
  <si>
    <t>Prysmian SpA</t>
  </si>
  <si>
    <t>Estimate (DY US)</t>
  </si>
  <si>
    <t>2024A CF (600983 CH)</t>
  </si>
  <si>
    <t>Whirlpool China Co Ltd</t>
  </si>
  <si>
    <t>MT NA Equity</t>
  </si>
  <si>
    <t>Estimate (MT NA)</t>
  </si>
  <si>
    <t>ArcelorMittal SA</t>
  </si>
  <si>
    <t>JDSL IN Equity</t>
  </si>
  <si>
    <t>Estimate (JDSL IN)</t>
  </si>
  <si>
    <t>Jindal Stainless Ltd</t>
  </si>
  <si>
    <t>2022A CF (AM US)</t>
  </si>
  <si>
    <t>TEMN SW Equity</t>
  </si>
  <si>
    <t>Estimate (TEMN SW)</t>
  </si>
  <si>
    <t>Temenos AG</t>
  </si>
  <si>
    <t>CLAR SP Equity</t>
  </si>
  <si>
    <t>2025A CF (CLAR SP)</t>
  </si>
  <si>
    <t>CapitaLand Ascendas REIT</t>
  </si>
  <si>
    <t>BALL US Equity</t>
  </si>
  <si>
    <t>Estimate (BALL US)</t>
  </si>
  <si>
    <t>Ball Corp</t>
  </si>
  <si>
    <t>MKC US Equity</t>
  </si>
  <si>
    <t>2025A CF (MKC US)</t>
  </si>
  <si>
    <t>McCormick &amp; Co Inc/MD</t>
  </si>
  <si>
    <t>CELH US Equity</t>
  </si>
  <si>
    <t>2024A CF (CELH US)</t>
  </si>
  <si>
    <t>Celsius Holdings Inc</t>
  </si>
  <si>
    <t>CCK US Equity</t>
  </si>
  <si>
    <t>Estimate (CCK US)</t>
  </si>
  <si>
    <t>Crown Holdings Inc</t>
  </si>
  <si>
    <t>ASML NA Equity</t>
  </si>
  <si>
    <t>Estimate (ASML NA)</t>
  </si>
  <si>
    <t>ASML Holding NV</t>
  </si>
  <si>
    <t>Estimate (000660 KS)</t>
  </si>
  <si>
    <t>Estimate (AMAT US)</t>
  </si>
  <si>
    <t>Applied Materials Inc</t>
  </si>
  <si>
    <t>WMS US Equity</t>
  </si>
  <si>
    <t>Estimate (WMS US)</t>
  </si>
  <si>
    <t>Advanced Drainage Systems Inc</t>
  </si>
  <si>
    <t>PCYO US Equity</t>
  </si>
  <si>
    <t>2025C1 CF (PCYO US)</t>
  </si>
  <si>
    <t>Pure Cycle Corp</t>
  </si>
  <si>
    <t>VHI US Equity</t>
  </si>
  <si>
    <t>2023A CF (VHI US)</t>
  </si>
  <si>
    <t>Valhi Inc</t>
  </si>
  <si>
    <t>002329 CH Equity</t>
  </si>
  <si>
    <t>2023A CF (002329 CH)</t>
  </si>
  <si>
    <t>Royal Group Co Ltd</t>
  </si>
  <si>
    <t>002537 CH Equity</t>
  </si>
  <si>
    <t>2023A CF (002537 CH)</t>
  </si>
  <si>
    <t>HyUnion Holding Co Ltd</t>
  </si>
  <si>
    <t>ACSO LN Equity</t>
  </si>
  <si>
    <t>Company News (ACSO LN)</t>
  </si>
  <si>
    <t>accesso Technology Group PLC</t>
  </si>
  <si>
    <t>2023A CF (SLG US)</t>
  </si>
  <si>
    <t>Alliance Building Services Inc</t>
  </si>
  <si>
    <t>0259448D US Equity</t>
  </si>
  <si>
    <t>First Quality Maintenance LP</t>
  </si>
  <si>
    <t>2022Q2 CF (IBM US)</t>
  </si>
  <si>
    <t>PCOR US Equity</t>
  </si>
  <si>
    <t>2022Q3 CF (PCOR US)</t>
  </si>
  <si>
    <t>Procore Technologies Inc</t>
  </si>
  <si>
    <t>GLW US Equity</t>
  </si>
  <si>
    <t>Estimate (GLW US)</t>
  </si>
  <si>
    <t>Corning Inc</t>
  </si>
  <si>
    <t>Estimate (INFN US)</t>
  </si>
  <si>
    <t>Estimate (CIEN US)</t>
  </si>
  <si>
    <t>FII FP Equity</t>
  </si>
  <si>
    <t>Estimate (FII FP)</t>
  </si>
  <si>
    <t>LISI SA</t>
  </si>
  <si>
    <t>KBR US Equity</t>
  </si>
  <si>
    <t>Estimate (KBR US)</t>
  </si>
  <si>
    <t>KBR Inc</t>
  </si>
  <si>
    <t>600777 CH Equity</t>
  </si>
  <si>
    <t>2024A CF (600777 CH)</t>
  </si>
  <si>
    <t>Shandong Xinchao Energy Corp Ltd</t>
  </si>
  <si>
    <t>KRC US Equity</t>
  </si>
  <si>
    <t>2025A CF (KRC US)</t>
  </si>
  <si>
    <t>Kilroy Realty Corp</t>
  </si>
  <si>
    <t>PLUS US Equity</t>
  </si>
  <si>
    <t>Estimate (PLUS US)</t>
  </si>
  <si>
    <t>ePlus Inc</t>
  </si>
  <si>
    <t>PDM US Equity</t>
  </si>
  <si>
    <t>2024A CF (PDM US)</t>
  </si>
  <si>
    <t>Piedmont Realty Trust Inc</t>
  </si>
  <si>
    <t>2022C1 CF (004800 KS)</t>
  </si>
  <si>
    <t>0899303D US Equity</t>
  </si>
  <si>
    <t>2025Q2 CF (FISV US)</t>
  </si>
  <si>
    <t>Paxos Trust Co LLC</t>
  </si>
  <si>
    <t>Estimate (179 HK)</t>
  </si>
  <si>
    <t>Johnson Electric Holdings Ltd</t>
  </si>
  <si>
    <t>021650 KS Equity</t>
  </si>
  <si>
    <t>2025C3 CF (021650 KS)</t>
  </si>
  <si>
    <t>Cubic Korea Inc</t>
  </si>
  <si>
    <t>SEL IN Equity</t>
  </si>
  <si>
    <t>Estimate (SEL IN)</t>
  </si>
  <si>
    <t>Suprajit Engineering Ltd</t>
  </si>
  <si>
    <t>NNBR US Equity</t>
  </si>
  <si>
    <t>Estimate (NNBR US)</t>
  </si>
  <si>
    <t>NN Inc</t>
  </si>
  <si>
    <t>Weyerhaeuser Co</t>
  </si>
  <si>
    <t>STLD US Equity</t>
  </si>
  <si>
    <t>Estimate (STLD US)</t>
  </si>
  <si>
    <t>Steel Dynamics Inc</t>
  </si>
  <si>
    <t>KOP US Equity</t>
  </si>
  <si>
    <t>Estimate (KOP US)</t>
  </si>
  <si>
    <t>Koppers Holdings Inc</t>
  </si>
  <si>
    <t>TRN US Equity</t>
  </si>
  <si>
    <t>Estimate (TRN US)</t>
  </si>
  <si>
    <t>Trinity Industries Inc</t>
  </si>
  <si>
    <t>669 HK Equity</t>
  </si>
  <si>
    <t>Estimate (669 HK)</t>
  </si>
  <si>
    <t>Techtronic Industries Co Ltd</t>
  </si>
  <si>
    <t>MAS US Equity</t>
  </si>
  <si>
    <t>2025A CF (MAS US)</t>
  </si>
  <si>
    <t>Masco Corp</t>
  </si>
  <si>
    <t>2025A CF (SWK US)</t>
  </si>
  <si>
    <t>OC US Equity</t>
  </si>
  <si>
    <t>Estimate (OC US)</t>
  </si>
  <si>
    <t>Owens Corning</t>
  </si>
  <si>
    <t>Company News (1667771D US)</t>
  </si>
  <si>
    <t>Ushur Inc</t>
  </si>
  <si>
    <t>ELIOR FP Equity</t>
  </si>
  <si>
    <t>2022A CF (ELIOR FP)</t>
  </si>
  <si>
    <t>Elior Group SA</t>
  </si>
  <si>
    <t>WDAY US Equity</t>
  </si>
  <si>
    <t>2025Q1 CF (WDAY US)</t>
  </si>
  <si>
    <t>Workday Inc</t>
  </si>
  <si>
    <t>BARN SW Equity</t>
  </si>
  <si>
    <t>Estimate (BARN SW)</t>
  </si>
  <si>
    <t>Barry Callebaut AG</t>
  </si>
  <si>
    <t>2022C2 CF (004410 KS)</t>
  </si>
  <si>
    <t>Seoul Food Industrial Co Ltd</t>
  </si>
  <si>
    <t>NE US Equity</t>
  </si>
  <si>
    <t>Estimate (NE US)</t>
  </si>
  <si>
    <t>Noble Corp PLC</t>
  </si>
  <si>
    <t>VAL US Equity</t>
  </si>
  <si>
    <t>Estimate (VAL US)</t>
  </si>
  <si>
    <t>Valaris Ltd</t>
  </si>
  <si>
    <t>TPL US Equity</t>
  </si>
  <si>
    <t>2024A CF (TPL US)</t>
  </si>
  <si>
    <t>Texas Pacific Land Corp</t>
  </si>
  <si>
    <t>NGS US Equity</t>
  </si>
  <si>
    <t>2024A CF (NGS US)</t>
  </si>
  <si>
    <t>Natural Gas Services Group Inc</t>
  </si>
  <si>
    <t>ACX SM Equity</t>
  </si>
  <si>
    <t>Estimate (ACX SM)</t>
  </si>
  <si>
    <t>Acerinox SA</t>
  </si>
  <si>
    <t>WWD US Equity</t>
  </si>
  <si>
    <t>Estimate (WWD US)</t>
  </si>
  <si>
    <t>Woodward Inc</t>
  </si>
  <si>
    <t>GEV US Equity</t>
  </si>
  <si>
    <t>Estimate (GEV US)</t>
  </si>
  <si>
    <t>GE Vernova Inc</t>
  </si>
  <si>
    <t>2024A CF (SD US)</t>
  </si>
  <si>
    <t>SandRidge Energy Inc</t>
  </si>
  <si>
    <t>AMSC US Equity</t>
  </si>
  <si>
    <t>Estimate (AMSC US)</t>
  </si>
  <si>
    <t>American Superconductor Corp</t>
  </si>
  <si>
    <t>2025S1 CF (002741 CH)</t>
  </si>
  <si>
    <t>Guangdong Guanghua Sci-Tech Co Ltd</t>
  </si>
  <si>
    <t>6613 TT Equity</t>
  </si>
  <si>
    <t>2022A CF (6613 TT)</t>
  </si>
  <si>
    <t>Nova Technology Corp/Taiwan</t>
  </si>
  <si>
    <t>DMCC IN Equity</t>
  </si>
  <si>
    <t>2025A CF (DMCC IN)</t>
  </si>
  <si>
    <t>DMCC Speciality Chemicals Ltd</t>
  </si>
  <si>
    <t>UFPT US Equity</t>
  </si>
  <si>
    <t>2025A CF (UFPT US)</t>
  </si>
  <si>
    <t>UFP Technologies Inc</t>
  </si>
  <si>
    <t>KE US Equity</t>
  </si>
  <si>
    <t>Estimate (KE US)</t>
  </si>
  <si>
    <t>Kimball Electronics Inc</t>
  </si>
  <si>
    <t>Estimate (MU US)</t>
  </si>
  <si>
    <t>2327 TT Equity</t>
  </si>
  <si>
    <t>Estimate (2327 TT)</t>
  </si>
  <si>
    <t>Yageo Corp</t>
  </si>
  <si>
    <t>VSH US Equity</t>
  </si>
  <si>
    <t>Estimate (VSH US)</t>
  </si>
  <si>
    <t>Vishay Intertechnology Inc</t>
  </si>
  <si>
    <t>Viavi Solutions Inc</t>
  </si>
  <si>
    <t>DIOD US Equity</t>
  </si>
  <si>
    <t>Estimate (DIOD US)</t>
  </si>
  <si>
    <t>Diodes Inc</t>
  </si>
  <si>
    <t>FN US Equity</t>
  </si>
  <si>
    <t>2025A CF (FN US)</t>
  </si>
  <si>
    <t>Fabrinet</t>
  </si>
  <si>
    <t>2025Q3 CF (DAR US)</t>
  </si>
  <si>
    <t>Darling Ingredients Inc</t>
  </si>
  <si>
    <t>2024A CF (002466 CH)</t>
  </si>
  <si>
    <t>Tianqi Lithium Corp</t>
  </si>
  <si>
    <t>APOT JR Equity</t>
  </si>
  <si>
    <t>2024A CF (APOT JR)</t>
  </si>
  <si>
    <t>Arab Potash/The</t>
  </si>
  <si>
    <t>ECVT US Equity</t>
  </si>
  <si>
    <t>Estimate (ECVT US)</t>
  </si>
  <si>
    <t>Ecovyst Inc</t>
  </si>
  <si>
    <t>2021A CF (SO US)</t>
  </si>
  <si>
    <t>Company News (PSA US)</t>
  </si>
  <si>
    <t>Wachtell Lipton Rosen &amp; Katz</t>
  </si>
  <si>
    <t>1131L US Equity</t>
  </si>
  <si>
    <t>Hogan Lovells US LLP</t>
  </si>
  <si>
    <t>0179048D US Equity</t>
  </si>
  <si>
    <t>Eastdil Secured LLC</t>
  </si>
  <si>
    <t>JBI US Equity</t>
  </si>
  <si>
    <t>2022C1 CF (JBI US)</t>
  </si>
  <si>
    <t>Janus International Group Inc</t>
  </si>
  <si>
    <t>0580597D US Equity</t>
  </si>
  <si>
    <t>2022A CF (GILD US)</t>
  </si>
  <si>
    <t>Amerisourcebergen Corp PAC</t>
  </si>
  <si>
    <t>1952 HK Equity</t>
  </si>
  <si>
    <t>Company News (1952 HK)</t>
  </si>
  <si>
    <t>Everest Medicines Ltd</t>
  </si>
  <si>
    <t>2022A CF (4569 JP)</t>
  </si>
  <si>
    <t>Kyorin Pharmaceutical Co Ltd</t>
  </si>
  <si>
    <t>Company News (UNVR US)</t>
  </si>
  <si>
    <t>Best Value Chem Pvt Ltd</t>
  </si>
  <si>
    <t>2239 TT Equity</t>
  </si>
  <si>
    <t>2022A CF (2239 TT)</t>
  </si>
  <si>
    <t>Cayman Engley Industrial Co Ltd</t>
  </si>
  <si>
    <t>3540218Z US Equity</t>
  </si>
  <si>
    <t>SI Group Inc</t>
  </si>
  <si>
    <t>3625558Z US Equity</t>
  </si>
  <si>
    <t>PD Holdings LLC</t>
  </si>
  <si>
    <t>950140 KS Equity</t>
  </si>
  <si>
    <t>2022A CF (950140 KS)</t>
  </si>
  <si>
    <t>Englewood Lab LLC</t>
  </si>
  <si>
    <t>Estimate (300750 CH)</t>
  </si>
  <si>
    <t>Contemporary Amperex Technology Co Ltd</t>
  </si>
  <si>
    <t>373220 KS Equity</t>
  </si>
  <si>
    <t>Estimate (373220 KS)</t>
  </si>
  <si>
    <t>LG Energy Solution Ltd</t>
  </si>
  <si>
    <t>GLEN LN Equity</t>
  </si>
  <si>
    <t>Estimate (GLEN LN)</t>
  </si>
  <si>
    <t>Glencore PLC</t>
  </si>
  <si>
    <t>6752 JP Equity</t>
  </si>
  <si>
    <t>Estimate (6752 JP)</t>
  </si>
  <si>
    <t>Panasonic Holdings Corp</t>
  </si>
  <si>
    <t>ERF FP Equity</t>
  </si>
  <si>
    <t>Estimate (ERF FP)</t>
  </si>
  <si>
    <t>Eurofins Scientific SE</t>
  </si>
  <si>
    <t>ATRL CN Equity</t>
  </si>
  <si>
    <t>Estimate (ATRL CN)</t>
  </si>
  <si>
    <t>AtkinsRealis Group Inc</t>
  </si>
  <si>
    <t>034020 KS Equity</t>
  </si>
  <si>
    <t>2021A CF (034020 KS)</t>
  </si>
  <si>
    <t>Doosan Enerbility Co Ltd</t>
  </si>
  <si>
    <t>Company News (TFX US)</t>
  </si>
  <si>
    <t>1788 TT Equity</t>
  </si>
  <si>
    <t>2025C3 CF (1788 TT)</t>
  </si>
  <si>
    <t>Hi-Clearance Inc</t>
  </si>
  <si>
    <t>603987 CH Equity</t>
  </si>
  <si>
    <t>2021A CF (603987 CH)</t>
  </si>
  <si>
    <t>Shanghai Kindly Enterprise Development Group Co Ltd</t>
  </si>
  <si>
    <t>GOWL US Equity</t>
  </si>
  <si>
    <t>WL Gore &amp; Associates Inc</t>
  </si>
  <si>
    <t>BKE US Equity</t>
  </si>
  <si>
    <t>2025A CF (BKE US)</t>
  </si>
  <si>
    <t>Buckle Inc/The</t>
  </si>
  <si>
    <t>Company News (DIS US)</t>
  </si>
  <si>
    <t>Walt Disney Co/The</t>
  </si>
  <si>
    <t>SHAK US Equity</t>
  </si>
  <si>
    <t>Company News (SHAK US)</t>
  </si>
  <si>
    <t>Shake Shack Inc</t>
  </si>
  <si>
    <t>Company News (KNX US)</t>
  </si>
  <si>
    <t>Cummins Inc</t>
  </si>
  <si>
    <t>TCSGQ US Equity</t>
  </si>
  <si>
    <t>2025Q3 CF (TCSGQ US)</t>
  </si>
  <si>
    <t>Container Store Group Inc/The</t>
  </si>
  <si>
    <t>Estimate (JD/ LN)</t>
  </si>
  <si>
    <t>JD Sports Fashion PLC</t>
  </si>
  <si>
    <t>Estimate (VFC US)</t>
  </si>
  <si>
    <t>TSCO US Equity</t>
  </si>
  <si>
    <t>Estimate (TSCO US)</t>
  </si>
  <si>
    <t>Tractor Supply Co</t>
  </si>
  <si>
    <t>9888092Z US Equity</t>
  </si>
  <si>
    <t>2024A CF (FANG US)</t>
  </si>
  <si>
    <t>Vitol Inc</t>
  </si>
  <si>
    <t>0617709D US Equity</t>
  </si>
  <si>
    <t>Enterprise Crude Oil LLC</t>
  </si>
  <si>
    <t>DK US Equity</t>
  </si>
  <si>
    <t>Delek US Holdings Inc</t>
  </si>
  <si>
    <t>2025A CF (AMGN US)</t>
  </si>
  <si>
    <t>Estimate (AMGN US)</t>
  </si>
  <si>
    <t>6160 HK Equity</t>
  </si>
  <si>
    <t>BeOne Medicines Ltd</t>
  </si>
  <si>
    <t>PRIME SP Equity</t>
  </si>
  <si>
    <t>2024A CF (PRIME SP)</t>
  </si>
  <si>
    <t>Prime US REIT</t>
  </si>
  <si>
    <t>603648 CH Equity</t>
  </si>
  <si>
    <t>2023A CF (603648 CH)</t>
  </si>
  <si>
    <t>Shanghai Shine-Link International Logistics Co Ltd</t>
  </si>
  <si>
    <t>Estimate (300979 CH)</t>
  </si>
  <si>
    <t>Huali Industrial Group Co Ltd</t>
  </si>
  <si>
    <t>551 HK Equity</t>
  </si>
  <si>
    <t>Estimate (551 HK)</t>
  </si>
  <si>
    <t>Yue Yuen Industrial Holdings Ltd</t>
  </si>
  <si>
    <t>1836 HK Equity</t>
  </si>
  <si>
    <t>Estimate (1836 HK)</t>
  </si>
  <si>
    <t>Stella International Holdings Ltd</t>
  </si>
  <si>
    <t>JRSH US Equity</t>
  </si>
  <si>
    <t>2026Q3 CF (JRSH US)</t>
  </si>
  <si>
    <t>Jerash Holdings US Inc</t>
  </si>
  <si>
    <t>SRG Global Inc</t>
  </si>
  <si>
    <t>1003Z GR Equity</t>
  </si>
  <si>
    <t>ZF Friedrichshafen AG</t>
  </si>
  <si>
    <t>145210 KS Equity</t>
  </si>
  <si>
    <t>Dynamic Design Co Ltd</t>
  </si>
  <si>
    <t>18974MF US Equity</t>
  </si>
  <si>
    <t>Company News (AEE US)</t>
  </si>
  <si>
    <t>City of Herrin IL</t>
  </si>
  <si>
    <t>19683Z US Equity</t>
  </si>
  <si>
    <t>Flex-N-Gate Corp</t>
  </si>
  <si>
    <t>0194254D US Equity</t>
  </si>
  <si>
    <t>Company News (PENN US)</t>
  </si>
  <si>
    <t>Emeril's Homebase LLC</t>
  </si>
  <si>
    <t>2025A CF (PENN US)</t>
  </si>
  <si>
    <t>ALL AU Equity</t>
  </si>
  <si>
    <t>2023S1 CF (ALL AU)</t>
  </si>
  <si>
    <t>Aristocrat Leisure Ltd</t>
  </si>
  <si>
    <t>BRAG CN Equity</t>
  </si>
  <si>
    <t>2024A CF (BRAG CN)</t>
  </si>
  <si>
    <t>Bragg Gaming Group Inc</t>
  </si>
  <si>
    <t>GRMN US Equity</t>
  </si>
  <si>
    <t>Estimate (GRMN US)</t>
  </si>
  <si>
    <t>Garmin Ltd</t>
  </si>
  <si>
    <t>3172 JP Equity</t>
  </si>
  <si>
    <t>2025A CF (3172 JP)</t>
  </si>
  <si>
    <t>Tea Life Co Ltd</t>
  </si>
  <si>
    <t>OR FP Equity</t>
  </si>
  <si>
    <t>Estimate (OR FP)</t>
  </si>
  <si>
    <t>L'Oreal SA</t>
  </si>
  <si>
    <t>EL US Equity</t>
  </si>
  <si>
    <t>Estimate (EL US)</t>
  </si>
  <si>
    <t>Estee Lauder Cos Inc/The</t>
  </si>
  <si>
    <t>Estimate (DELL US)</t>
  </si>
  <si>
    <t>Company News (15647Z US)</t>
  </si>
  <si>
    <t>Federal Home Loan Bank of Dallas</t>
  </si>
  <si>
    <t>NEWT US Equity</t>
  </si>
  <si>
    <t>2023A CF (NEWT US)</t>
  </si>
  <si>
    <t>NewtekOne Inc</t>
  </si>
  <si>
    <t>2023Q4 CF (VYX US)</t>
  </si>
  <si>
    <t>2025A CF (REG US)</t>
  </si>
  <si>
    <t>Regency Centers Corp</t>
  </si>
  <si>
    <t>2025A CF (CUZ US)</t>
  </si>
  <si>
    <t>Estimate (OEC US)</t>
  </si>
  <si>
    <t>Orion SA</t>
  </si>
  <si>
    <t>BEKB BB Equity</t>
  </si>
  <si>
    <t>Estimate (BEKB BB)</t>
  </si>
  <si>
    <t>Bekaert SA</t>
  </si>
  <si>
    <t>GDYR IJ Equity</t>
  </si>
  <si>
    <t>2024A CF (GDYR IJ)</t>
  </si>
  <si>
    <t>Goodyear Indonesia Tbk PT</t>
  </si>
  <si>
    <t>MG CN Equity</t>
  </si>
  <si>
    <t>Estimate (MG CN)</t>
  </si>
  <si>
    <t>Magna International Inc</t>
  </si>
  <si>
    <t>GDYR IN Equity</t>
  </si>
  <si>
    <t>2025A CF (GDYR IN)</t>
  </si>
  <si>
    <t>Goodyear India Ltd</t>
  </si>
  <si>
    <t>2024A CF (SDSYA US)</t>
  </si>
  <si>
    <t>South Dakota Soybean Processors LLC</t>
  </si>
  <si>
    <t>2024A CF (DMLP US)</t>
  </si>
  <si>
    <t>ARCH NO Equity</t>
  </si>
  <si>
    <t>2024Q3 CF (ARCH NO)</t>
  </si>
  <si>
    <t>Archer Ltd</t>
  </si>
  <si>
    <t>CHX US Equity</t>
  </si>
  <si>
    <t>2022A CF (CHX US)</t>
  </si>
  <si>
    <t>ChampionX Corp</t>
  </si>
  <si>
    <t>2024A CF (TWLO US)</t>
  </si>
  <si>
    <t>Stripe LLC</t>
  </si>
  <si>
    <t>0400054Z US Equity</t>
  </si>
  <si>
    <t>Motley Fool LLC/The</t>
  </si>
  <si>
    <t>0905731D US Equity</t>
  </si>
  <si>
    <t>theSkimm Inc</t>
  </si>
  <si>
    <t>1340369D US Equity</t>
  </si>
  <si>
    <t>2025Q2 CF (TWLO US)</t>
  </si>
  <si>
    <t>Centerfield Media Holdings LLC</t>
  </si>
  <si>
    <t>1394950D US Equity</t>
  </si>
  <si>
    <t>2024Q3 CF (TWLO US)</t>
  </si>
  <si>
    <t>Lightbeam Health Solutions Inc</t>
  </si>
  <si>
    <t>2022Q1 CF (1229327D US)</t>
  </si>
  <si>
    <t>Salem Harbor Power Development LP</t>
  </si>
  <si>
    <t>1524032D US Equity</t>
  </si>
  <si>
    <t>2023Q1 CF (1524032D US)</t>
  </si>
  <si>
    <t>Lincoln Power LLC</t>
  </si>
  <si>
    <t>7267 JP Equity</t>
  </si>
  <si>
    <t>2024A CF (7267 JP)</t>
  </si>
  <si>
    <t>Honda Motor Co Ltd</t>
  </si>
  <si>
    <t>TENNIND IN Equity</t>
  </si>
  <si>
    <t>2025A CF (TENNIND IN)</t>
  </si>
  <si>
    <t>Tenneco Clean Air India Ltd</t>
  </si>
  <si>
    <t>Media News (9990822D US)</t>
  </si>
  <si>
    <t>Company News (066570 KS)</t>
  </si>
  <si>
    <t>2450 TT Equity</t>
  </si>
  <si>
    <t>2022C3 CF (2450 TT)</t>
  </si>
  <si>
    <t>Senao International Co Ltd</t>
  </si>
  <si>
    <t>2585 JP Equity</t>
  </si>
  <si>
    <t>2026Q2 CF (2585 JP)</t>
  </si>
  <si>
    <t>Lifedrink Co Inc</t>
  </si>
  <si>
    <t>300729 CH Equity</t>
  </si>
  <si>
    <t>2024A CF (300729 CH)</t>
  </si>
  <si>
    <t>Loctek Ergonomic Technology Corp</t>
  </si>
  <si>
    <t>5410 TT Equity</t>
  </si>
  <si>
    <t>2024A CF (5410 TT)</t>
  </si>
  <si>
    <t>Leo Systems Inc</t>
  </si>
  <si>
    <t>2026Q1 CF (FLNC US)</t>
  </si>
  <si>
    <t>006400 KS Equity</t>
  </si>
  <si>
    <t>Estimate (006400 KS)</t>
  </si>
  <si>
    <t>Samsung SDI Co Ltd</t>
  </si>
  <si>
    <t>047050 KS Equity</t>
  </si>
  <si>
    <t>2025C3 CF (047050 KS)</t>
  </si>
  <si>
    <t>Posco International Corp</t>
  </si>
  <si>
    <t>TGNO2 AR Equity</t>
  </si>
  <si>
    <t>2025C3 CF (TGNO2 AR)</t>
  </si>
  <si>
    <t>Transportadora de Gas del Norte SA</t>
  </si>
  <si>
    <t>2021A CF (BRK/A US)</t>
  </si>
  <si>
    <t>2021A CF (DUK US)</t>
  </si>
  <si>
    <t>Duke Energy Corp</t>
  </si>
  <si>
    <t>2022Q3 CF (UNVR US)</t>
  </si>
  <si>
    <t>000629 CH Equity</t>
  </si>
  <si>
    <t>2021A CF (000629 CH)</t>
  </si>
  <si>
    <t>Pangang Group Vanadium Titanium &amp; Resources Co Ltd</t>
  </si>
  <si>
    <t>002810 CH Equity</t>
  </si>
  <si>
    <t>Shandong Head Group Co Ltd</t>
  </si>
  <si>
    <t>0080221D US Equity</t>
  </si>
  <si>
    <t>Kalsec Inc</t>
  </si>
  <si>
    <t>0130739D US Equity</t>
  </si>
  <si>
    <t>Inolex Group Inc</t>
  </si>
  <si>
    <t>Estimate (COHR US)</t>
  </si>
  <si>
    <t>000063 CH Equity</t>
  </si>
  <si>
    <t>ZTE Corp</t>
  </si>
  <si>
    <t>Company News (9990822D US)</t>
  </si>
  <si>
    <t>JobTarget LLC</t>
  </si>
  <si>
    <t>US Bancorp</t>
  </si>
  <si>
    <t>COV FP Equity</t>
  </si>
  <si>
    <t>2024A CF (COV FP)</t>
  </si>
  <si>
    <t>Covivio SA/France</t>
  </si>
  <si>
    <t>Estimate (NOKIA FH)</t>
  </si>
  <si>
    <t>5949 JP Equity</t>
  </si>
  <si>
    <t>2026S1 CF (5949 JP)</t>
  </si>
  <si>
    <t>Unipres Corp</t>
  </si>
  <si>
    <t>2021A CF (SNX US)</t>
  </si>
  <si>
    <t>2023A CF (CURI US)</t>
  </si>
  <si>
    <t>CuriosityStream Inc</t>
  </si>
  <si>
    <t>FUBO US Equity</t>
  </si>
  <si>
    <t>Company News (FUBO US)</t>
  </si>
  <si>
    <t>fuboTV Inc</t>
  </si>
  <si>
    <t>OPTU US Equity</t>
  </si>
  <si>
    <t>2022A CF (OPTU US)</t>
  </si>
  <si>
    <t>Optimum Communications Inc</t>
  </si>
  <si>
    <t>2024A CF (006120 KS)</t>
  </si>
  <si>
    <t>SK Discovery Co Ltd</t>
  </si>
  <si>
    <t>018670 KS Equity</t>
  </si>
  <si>
    <t>2024A CF (018670 KS)</t>
  </si>
  <si>
    <t>SK Gas Ltd</t>
  </si>
  <si>
    <t>300080 CH Equity</t>
  </si>
  <si>
    <t>2025S1 CF (300080 CH)</t>
  </si>
  <si>
    <t>Henan Yicheng New Energy Co Ltd</t>
  </si>
  <si>
    <t>600180 CH Equity</t>
  </si>
  <si>
    <t>2022A CF (600180 CH)</t>
  </si>
  <si>
    <t>CCS Supply Chain Management Co Ltd</t>
  </si>
  <si>
    <t>2025A CF (7267 JP)</t>
  </si>
  <si>
    <t>ATEX US Equity</t>
  </si>
  <si>
    <t>2025A CF (ATEX US)</t>
  </si>
  <si>
    <t>Anterix Inc</t>
  </si>
  <si>
    <t>0276442D US Equity</t>
  </si>
  <si>
    <t>2024A CF (AEE US)</t>
  </si>
  <si>
    <t>Mississippi River Transmission Corp</t>
  </si>
  <si>
    <t>2025A CF (MSI US)</t>
  </si>
  <si>
    <t>2427 TT Equity</t>
  </si>
  <si>
    <t>2024A CF (2427 TT)</t>
  </si>
  <si>
    <t>Mercuries Data Systems Ltd</t>
  </si>
  <si>
    <t>GLPG NA Equity</t>
  </si>
  <si>
    <t>2024A CF (GLPG NA)</t>
  </si>
  <si>
    <t>Galapagos NV</t>
  </si>
  <si>
    <t>2914 JP Equity</t>
  </si>
  <si>
    <t>Japan Tobacco Inc</t>
  </si>
  <si>
    <t>RCUS US Equity</t>
  </si>
  <si>
    <t>2025Q3 CF (RCUS US)</t>
  </si>
  <si>
    <t>Arcus Biosciences Inc</t>
  </si>
  <si>
    <t>2024A CF (NRG US)</t>
  </si>
  <si>
    <t>Gladstone Investment Corp</t>
  </si>
  <si>
    <t>0890363D US Equity</t>
  </si>
  <si>
    <t>2023A CF (NRG US)</t>
  </si>
  <si>
    <t>Public Utility Commission of Texas</t>
  </si>
  <si>
    <t>1183869D US Equity</t>
  </si>
  <si>
    <t>2023Q1 CF (NRG US)</t>
  </si>
  <si>
    <t>Discount Power Inc</t>
  </si>
  <si>
    <t>172048Z US Equity</t>
  </si>
  <si>
    <t>Midcontinent Independent System Operator Inc</t>
  </si>
  <si>
    <t>20369Z US Equity</t>
  </si>
  <si>
    <t>Electric Reliability Council of Texas Inc</t>
  </si>
  <si>
    <t>2024A CF (CF US)</t>
  </si>
  <si>
    <t>005490 KS Equity</t>
  </si>
  <si>
    <t>Company News (CF US)</t>
  </si>
  <si>
    <t>POSCO Holdings Inc</t>
  </si>
  <si>
    <t>MOS US Equity</t>
  </si>
  <si>
    <t>2024A CF (MOS US)</t>
  </si>
  <si>
    <t>Mosaic Co/The</t>
  </si>
  <si>
    <t>ORI AU Equity</t>
  </si>
  <si>
    <t>2025A CF (ORI AU)</t>
  </si>
  <si>
    <t>Orica Ltd</t>
  </si>
  <si>
    <t>Exxon Mobil Corp</t>
  </si>
  <si>
    <t>CP CN Equity</t>
  </si>
  <si>
    <t>Estimate (CP CN)</t>
  </si>
  <si>
    <t>Canadian Pacific Kansas City Ltd</t>
  </si>
  <si>
    <t>AIOT US Equity</t>
  </si>
  <si>
    <t>2023Q3 CF (AIOT US)</t>
  </si>
  <si>
    <t>Powerfleet Inc NJ</t>
  </si>
  <si>
    <t>2023A CF (CMI US)</t>
  </si>
  <si>
    <t>2024A CF (PAA US)</t>
  </si>
  <si>
    <t>2023A CF (PAA US)</t>
  </si>
  <si>
    <t>CLMT US Equity</t>
  </si>
  <si>
    <t>2024A CF (CLMT US)</t>
  </si>
  <si>
    <t>Calumet Inc</t>
  </si>
  <si>
    <t>2022A CF (EPD US)</t>
  </si>
  <si>
    <t>2023A CF (BKD US)</t>
  </si>
  <si>
    <t>Thermo Fisher Scientific Inc</t>
  </si>
  <si>
    <t>1COV GR Equity</t>
  </si>
  <si>
    <t>Covestro AG</t>
  </si>
  <si>
    <t>WSO US Equity</t>
  </si>
  <si>
    <t>Watsco Inc</t>
  </si>
  <si>
    <t>2024A CF (8284 TT)</t>
  </si>
  <si>
    <t>Mitake Information Corp</t>
  </si>
  <si>
    <t>2022A CF (TA US)</t>
  </si>
  <si>
    <t>TravelCenters of America Inc</t>
  </si>
  <si>
    <t>2024A CF (600626 CH)</t>
  </si>
  <si>
    <t>Shanghai Shenda Co Ltd</t>
  </si>
  <si>
    <t>BBD/B CN Equity</t>
  </si>
  <si>
    <t>Company News (BBD/B CN)</t>
  </si>
  <si>
    <t>Bombardier Inc</t>
  </si>
  <si>
    <t>SPNS US Equity</t>
  </si>
  <si>
    <t>2023Q3 CF (SPNS US)</t>
  </si>
  <si>
    <t>Sapiens International Corp NV</t>
  </si>
  <si>
    <t>2025C3 CF (000210 KS)</t>
  </si>
  <si>
    <t>000812 CH Equity</t>
  </si>
  <si>
    <t>2023S1 CF (000812 CH)</t>
  </si>
  <si>
    <t>Shaanxi Jinye Science Technology And Education Co Ltd Group</t>
  </si>
  <si>
    <t>000911 CH Equity</t>
  </si>
  <si>
    <t>2022A CF (000911 CH)</t>
  </si>
  <si>
    <t>Guangxi Rural Investment Sugar Industry Group Co Ltd</t>
  </si>
  <si>
    <t>002599 CH Equity</t>
  </si>
  <si>
    <t>2024S1 CF (002599 CH)</t>
  </si>
  <si>
    <t>Beijing Shengtong Printing Co Ltd</t>
  </si>
  <si>
    <t>000700 CH Equity</t>
  </si>
  <si>
    <t>Jiangnan Mould and Plastic Technology Co Ltd</t>
  </si>
  <si>
    <t>000760 CH Equity</t>
  </si>
  <si>
    <t>Steyr Motors Co Ltd</t>
  </si>
  <si>
    <t>2026Q3 CF (SAIC US)</t>
  </si>
  <si>
    <t>0053963D US Equity</t>
  </si>
  <si>
    <t>2023A CF (SAIC US)</t>
  </si>
  <si>
    <t>United States Defense Advanced Research Projects Agency</t>
  </si>
  <si>
    <t>0111458D US Equity</t>
  </si>
  <si>
    <t>Company News (SAIC US)</t>
  </si>
  <si>
    <t>United States Army Reserve</t>
  </si>
  <si>
    <t>2025A CF (SAIC US)</t>
  </si>
  <si>
    <t>0218802Z US Equity</t>
  </si>
  <si>
    <t>United States Defense Intelligence Agency</t>
  </si>
  <si>
    <t>Databricks Inc</t>
  </si>
  <si>
    <t>1554630D US Equity</t>
  </si>
  <si>
    <t>OpenAI Foundation</t>
  </si>
  <si>
    <t>1702492D LN Equity</t>
  </si>
  <si>
    <t>Company News (TWLO US)</t>
  </si>
  <si>
    <t>PolyAI Ltd</t>
  </si>
  <si>
    <t>2372 JP Equity</t>
  </si>
  <si>
    <t>Company News (2372 JP)</t>
  </si>
  <si>
    <t>I'rom Group Co Ltd</t>
  </si>
  <si>
    <t>7798216Z JP Equity</t>
  </si>
  <si>
    <t>Deloitte Touche Tohmatsu LLC</t>
  </si>
  <si>
    <t>BKH US Equity</t>
  </si>
  <si>
    <t>2021A CF (BKH US)</t>
  </si>
  <si>
    <t>Black Hills Corp</t>
  </si>
  <si>
    <t>1920336D US Equity</t>
  </si>
  <si>
    <t>Company News (FIS US)</t>
  </si>
  <si>
    <t>Bilt Technologies Inc</t>
  </si>
  <si>
    <t>SABR US Equity</t>
  </si>
  <si>
    <t>2025Q3 CF (SABR US)</t>
  </si>
  <si>
    <t>Sabre Corp</t>
  </si>
  <si>
    <t>OGD CN Equity</t>
  </si>
  <si>
    <t>2022A CF (OGD CN)</t>
  </si>
  <si>
    <t>Orbit Garant Drilling Inc</t>
  </si>
  <si>
    <t>GM US Equity</t>
  </si>
  <si>
    <t>Estimate (CLF US)</t>
  </si>
  <si>
    <t>General Motors Co</t>
  </si>
  <si>
    <t>MBG GR Equity</t>
  </si>
  <si>
    <t>Mercedes-Benz Group AG</t>
  </si>
  <si>
    <t>7270 JP Equity</t>
  </si>
  <si>
    <t>Subaru Corp</t>
  </si>
  <si>
    <t>Estimate (BNR GR)</t>
  </si>
  <si>
    <t>005290 KS Equity</t>
  </si>
  <si>
    <t>2025C3 CF (005290 KS)</t>
  </si>
  <si>
    <t>Dongjin Semichem Co Ltd</t>
  </si>
  <si>
    <t>4722 TT Equity</t>
  </si>
  <si>
    <t>2022A CF (4722 TT)</t>
  </si>
  <si>
    <t>Qualipoly Chemical Corp</t>
  </si>
  <si>
    <t>Company News (ASH US)</t>
  </si>
  <si>
    <t>603605 CH Equity</t>
  </si>
  <si>
    <t>2025S1 CF (603605 CH)</t>
  </si>
  <si>
    <t>Proya Cosmetics Co Ltd</t>
  </si>
  <si>
    <t>2023A CF (FISV US)</t>
  </si>
  <si>
    <t>PepsiCo Inc</t>
  </si>
  <si>
    <t>SOY CN Equity</t>
  </si>
  <si>
    <t>Estimate (SOY CN)</t>
  </si>
  <si>
    <t>SunOpta Inc</t>
  </si>
  <si>
    <t>9784762Z US Equity</t>
  </si>
  <si>
    <t>Company News (DIN US)</t>
  </si>
  <si>
    <t>Ken's Foods Inc</t>
  </si>
  <si>
    <t>IFF US Equity</t>
  </si>
  <si>
    <t>Estimate (IFF US)</t>
  </si>
  <si>
    <t>International Flavors &amp; Fragrances Inc</t>
  </si>
  <si>
    <t>2024A CF (VTR US)</t>
  </si>
  <si>
    <t>Ventas Inc</t>
  </si>
  <si>
    <t>BAS GR Equity</t>
  </si>
  <si>
    <t>Estimate (BAS GR)</t>
  </si>
  <si>
    <t>BASF SE</t>
  </si>
  <si>
    <t>2024A CF (HESM US)</t>
  </si>
  <si>
    <t>Hess Midstream LP</t>
  </si>
  <si>
    <t>Estimate (RIG US)</t>
  </si>
  <si>
    <t>Transocean Ltd</t>
  </si>
  <si>
    <t>HR-U CN Equity</t>
  </si>
  <si>
    <t>2024A CF (HR-U CN)</t>
  </si>
  <si>
    <t>H&amp;R Real Estate Investment Trust</t>
  </si>
  <si>
    <t>VTOL US Equity</t>
  </si>
  <si>
    <t>Estimate (VTOL US)</t>
  </si>
  <si>
    <t>Bristow Group Inc</t>
  </si>
  <si>
    <t>Channellock Inc</t>
  </si>
  <si>
    <t>009540 KS Equity</t>
  </si>
  <si>
    <t>HD Korea Shipbuilding &amp; Offshore Engineering Co Ltd</t>
  </si>
  <si>
    <t>012330 KS Equity</t>
  </si>
  <si>
    <t>Hyundai Mobis Co Ltd</t>
  </si>
  <si>
    <t>0132457D US Equity</t>
  </si>
  <si>
    <t>Mitsubishi Electric Automotive America Inc</t>
  </si>
  <si>
    <t>001250 KS Equity</t>
  </si>
  <si>
    <t>2021A CF (001250 KS)</t>
  </si>
  <si>
    <t>GS Global Corp</t>
  </si>
  <si>
    <t>Estimate (ST US)</t>
  </si>
  <si>
    <t>Sensata Technologies Holding PLC</t>
  </si>
  <si>
    <t>JBGS US Equity</t>
  </si>
  <si>
    <t>2024A CF (JBGS US)</t>
  </si>
  <si>
    <t>JBG SMITH Properties</t>
  </si>
  <si>
    <t>GHM US Equity</t>
  </si>
  <si>
    <t>Estimate (GHM US)</t>
  </si>
  <si>
    <t>Graham Corp</t>
  </si>
  <si>
    <t>MDRR US Equity</t>
  </si>
  <si>
    <t>2024A CF (MDRR US)</t>
  </si>
  <si>
    <t>Medalist Diversified Inc</t>
  </si>
  <si>
    <t>2021A CF (042660 KS)</t>
  </si>
  <si>
    <t>Hanwha Ocean Co Ltd</t>
  </si>
  <si>
    <t>Company News (TGNA US)</t>
  </si>
  <si>
    <t>Pacers Sports Entertainment Inc</t>
  </si>
  <si>
    <t>1035176Z US Equity</t>
  </si>
  <si>
    <t>National Basketball Association Inc</t>
  </si>
  <si>
    <t>1121455D US Equity</t>
  </si>
  <si>
    <t>Kroenke Sports &amp; Entertainment LLC</t>
  </si>
  <si>
    <t>18301Z US Equity</t>
  </si>
  <si>
    <t>Dallas Mavericks Inc</t>
  </si>
  <si>
    <t>2557098D US Equity</t>
  </si>
  <si>
    <t>Seattle Hockey Partners LLC</t>
  </si>
  <si>
    <t>300380 CH Equity</t>
  </si>
  <si>
    <t>2023A CF (300380 CH)</t>
  </si>
  <si>
    <t>Shanghai Amarsoft Information &amp; Technology Co Ltd</t>
  </si>
  <si>
    <t>2025C2 CF (AIR FP)</t>
  </si>
  <si>
    <t>EMBJ3 BZ Equity</t>
  </si>
  <si>
    <t>2024A CF (EMBJ3 BZ)</t>
  </si>
  <si>
    <t>Embraer SA</t>
  </si>
  <si>
    <t>GBX US Equity</t>
  </si>
  <si>
    <t>2024Q1 CF (GBX US)</t>
  </si>
  <si>
    <t>Greenbrier Cos Inc/The</t>
  </si>
  <si>
    <t>2022A CF (LMRT SP)</t>
  </si>
  <si>
    <t>Lippo Malls Indonesia Retail Trust</t>
  </si>
  <si>
    <t>QMCI US Equity</t>
  </si>
  <si>
    <t>Company News (QMCI US)</t>
  </si>
  <si>
    <t>QuoteMedia Inc</t>
  </si>
  <si>
    <t>3105 TT Equity</t>
  </si>
  <si>
    <t>Estimate (3105 TT)</t>
  </si>
  <si>
    <t>Win Semiconductors Corp</t>
  </si>
  <si>
    <t>TSEM IT Equity</t>
  </si>
  <si>
    <t>Estimate (TSEM IT)</t>
  </si>
  <si>
    <t>Tower Semiconductor Ltd</t>
  </si>
  <si>
    <t>2023C1 CF (033780 KS)</t>
  </si>
  <si>
    <t>KT&amp;G Corp</t>
  </si>
  <si>
    <t>1661774D CP Equity</t>
  </si>
  <si>
    <t>Company News (WRK US)</t>
  </si>
  <si>
    <t>Budejovicky Budvar narodni podnik</t>
  </si>
  <si>
    <t>PACK US Equity</t>
  </si>
  <si>
    <t>2022A CF (PACK US)</t>
  </si>
  <si>
    <t>Ranpak Holdings Corp</t>
  </si>
  <si>
    <t>NGVT US Equity</t>
  </si>
  <si>
    <t>2023A CF (NGVT US)</t>
  </si>
  <si>
    <t>Ingevity Corp</t>
  </si>
  <si>
    <t>TFHI PM Equity</t>
  </si>
  <si>
    <t>2023A CF (TFHI PM)</t>
  </si>
  <si>
    <t>Top Frontier Investment Holdings Inc</t>
  </si>
  <si>
    <t>UFI US Equity</t>
  </si>
  <si>
    <t>Estimate (UFI US)</t>
  </si>
  <si>
    <t>Unifi Inc</t>
  </si>
  <si>
    <t>1355451D US Equity</t>
  </si>
  <si>
    <t>Company News (CTAS US)</t>
  </si>
  <si>
    <t>Motiv Power Systems Inc</t>
  </si>
  <si>
    <t>1464 TT Equity</t>
  </si>
  <si>
    <t>2025Q3 CF (1464 TT)</t>
  </si>
  <si>
    <t>De Licacy Industrial Co Ltd</t>
  </si>
  <si>
    <t>1470 TT Equity</t>
  </si>
  <si>
    <t>2025S1 CF (1470 TT)</t>
  </si>
  <si>
    <t>Evertex Fabrinology Ltd</t>
  </si>
  <si>
    <t>1611420D US Equity</t>
  </si>
  <si>
    <t>Redaptive Inc</t>
  </si>
  <si>
    <t>VSVS LN Equity</t>
  </si>
  <si>
    <t>Estimate (VSVS LN)</t>
  </si>
  <si>
    <t>Vesuvius PLC</t>
  </si>
  <si>
    <t>NPO US Equity</t>
  </si>
  <si>
    <t>Estimate (NPO US)</t>
  </si>
  <si>
    <t>Enpro Inc</t>
  </si>
  <si>
    <t>2023C3 CF (034730 KS)</t>
  </si>
  <si>
    <t>600276 CH Equity</t>
  </si>
  <si>
    <t>2024S1 CF (600276 CH)</t>
  </si>
  <si>
    <t>Jiangsu Hengrui Pharmaceuticals Co Ltd</t>
  </si>
  <si>
    <t>ACNT US Equity</t>
  </si>
  <si>
    <t>2023Q2 CF (ACNT US)</t>
  </si>
  <si>
    <t>Ascent Industries Co</t>
  </si>
  <si>
    <t>2025C2 CF (004800 KS)</t>
  </si>
  <si>
    <t>ACIW US Equity</t>
  </si>
  <si>
    <t>2024Q3 CF (ACIW US)</t>
  </si>
  <si>
    <t>ACI Worldwide Inc</t>
  </si>
  <si>
    <t>DBD US Equity</t>
  </si>
  <si>
    <t>2024A CF (DBD US)</t>
  </si>
  <si>
    <t>Diebold Nixdorf Inc</t>
  </si>
  <si>
    <t>DGII US Equity</t>
  </si>
  <si>
    <t>2024Q2 CF (DGII US)</t>
  </si>
  <si>
    <t>Digi International Inc</t>
  </si>
  <si>
    <t>2024A CF (2008 HK)</t>
  </si>
  <si>
    <t>Phoenix Media Investment Holdings Ltd</t>
  </si>
  <si>
    <t>2025Q1 CF (ADBE US)</t>
  </si>
  <si>
    <t>Adeia Inc</t>
  </si>
  <si>
    <t>2023A CF (AMCX US)</t>
  </si>
  <si>
    <t>ASAN US Equity</t>
  </si>
  <si>
    <t>2025Q3 CF (ASAN US)</t>
  </si>
  <si>
    <t>Asana Inc</t>
  </si>
  <si>
    <t>8031 JP Equity</t>
  </si>
  <si>
    <t>Mitsui &amp; Co Ltd</t>
  </si>
  <si>
    <t>ACO/X CN Equity</t>
  </si>
  <si>
    <t>2021A CF (ACO/X CN)</t>
  </si>
  <si>
    <t>Atco Ltd/Canada</t>
  </si>
  <si>
    <t>CNX US Equity</t>
  </si>
  <si>
    <t>2024A CF (CNX US)</t>
  </si>
  <si>
    <t>CNX Resources Corp</t>
  </si>
  <si>
    <t>0890585D CN Equity</t>
  </si>
  <si>
    <t>Company News (0890585D CN)</t>
  </si>
  <si>
    <t>Mojio Inc</t>
  </si>
  <si>
    <t>603400 CH Equity</t>
  </si>
  <si>
    <t>2024A CF (603400 CH)</t>
  </si>
  <si>
    <t>Suzhou Huazhijie Telecom Co Ltd</t>
  </si>
  <si>
    <t>Eastman Chemical Co</t>
  </si>
  <si>
    <t>2024A CF (992 HK)</t>
  </si>
  <si>
    <t>CONNQ US Equity</t>
  </si>
  <si>
    <t>2024Q2 CF (CONNQ US)</t>
  </si>
  <si>
    <t>Conn's Inc</t>
  </si>
  <si>
    <t>Company News (STCN US)</t>
  </si>
  <si>
    <t>Media News (3276470Z US)</t>
  </si>
  <si>
    <t>BCE CN Equity</t>
  </si>
  <si>
    <t>2025A CF (BCE CN)</t>
  </si>
  <si>
    <t>BCE Inc</t>
  </si>
  <si>
    <t>Company News (NXST US)</t>
  </si>
  <si>
    <t>GHC US Equity</t>
  </si>
  <si>
    <t>2023A CF (GHC US)</t>
  </si>
  <si>
    <t>Graham Holdings Co</t>
  </si>
  <si>
    <t>2023A CF (NXST US)</t>
  </si>
  <si>
    <t>2024A CF (DISH US)</t>
  </si>
  <si>
    <t>2424 TT Equity</t>
  </si>
  <si>
    <t>2024A CF (2424 TT)</t>
  </si>
  <si>
    <t>Lung Hwa Electronics Co Ltd</t>
  </si>
  <si>
    <t>0007586D US Equity</t>
  </si>
  <si>
    <t>Company News (SATS US)</t>
  </si>
  <si>
    <t>General Atomics Aeronautical Systems Inc</t>
  </si>
  <si>
    <t>Estimate (TPR US)</t>
  </si>
  <si>
    <t>Macy's Inc</t>
  </si>
  <si>
    <t>JWN US Equity</t>
  </si>
  <si>
    <t>Nordstrom Inc</t>
  </si>
  <si>
    <t>EL FP Equity</t>
  </si>
  <si>
    <t>EssilorLuxottica SA</t>
  </si>
  <si>
    <t>601888 CH Equity</t>
  </si>
  <si>
    <t>China Tourism Group Duty Free Corp Ltd</t>
  </si>
  <si>
    <t>2021A CF (6214 TT)</t>
  </si>
  <si>
    <t>Systex Corp</t>
  </si>
  <si>
    <t>APA US Equity</t>
  </si>
  <si>
    <t>Company News (APA US)</t>
  </si>
  <si>
    <t>APA Corp</t>
  </si>
  <si>
    <t>1718696D US Equity</t>
  </si>
  <si>
    <t>2022Q2 CF (1718696D US)</t>
  </si>
  <si>
    <t>Sungard AS New Holdings LLC</t>
  </si>
  <si>
    <t>TIETO FH Equity</t>
  </si>
  <si>
    <t>Company News (TIETO FH)</t>
  </si>
  <si>
    <t>TietoEVRY Oyj</t>
  </si>
  <si>
    <t>MTDL IJ Equity</t>
  </si>
  <si>
    <t>2021A CF (MTDL IJ)</t>
  </si>
  <si>
    <t>Metrodata Electronics Tbk PT</t>
  </si>
  <si>
    <t>2025S1 CF (000676 CH)</t>
  </si>
  <si>
    <t>Genimous Technology Co Ltd</t>
  </si>
  <si>
    <t>079940 KS Equity</t>
  </si>
  <si>
    <t>2023C2 CF (079940 KS)</t>
  </si>
  <si>
    <t>Gabia Inc</t>
  </si>
  <si>
    <t>123570 KS Equity</t>
  </si>
  <si>
    <t>2021A CF (123570 KS)</t>
  </si>
  <si>
    <t>Emnet Inc</t>
  </si>
  <si>
    <t>1737 TT Equity</t>
  </si>
  <si>
    <t>2024A CF (1737 TT)</t>
  </si>
  <si>
    <t>Taiyen Biotech Co Ltd</t>
  </si>
  <si>
    <t>1993450D US Equity</t>
  </si>
  <si>
    <t>2022A CF (1993450D US)</t>
  </si>
  <si>
    <t>Sportradar Holding AG</t>
  </si>
  <si>
    <t>2024A CF (CHRD US)</t>
  </si>
  <si>
    <t>Chord Energy Corp</t>
  </si>
  <si>
    <t>MUR US Equity</t>
  </si>
  <si>
    <t>2024A CF (MUR US)</t>
  </si>
  <si>
    <t>Murphy Oil Corp</t>
  </si>
  <si>
    <t>PRIO3 BZ Equity</t>
  </si>
  <si>
    <t>2024A CF (PRIO3 BZ)</t>
  </si>
  <si>
    <t>PRIO SA/Brazil</t>
  </si>
  <si>
    <t>2454 TT Equity</t>
  </si>
  <si>
    <t>Estimate (2454 TT)</t>
  </si>
  <si>
    <t>MediaTek Inc</t>
  </si>
  <si>
    <t>GFS US Equity</t>
  </si>
  <si>
    <t>Estimate (GFS US)</t>
  </si>
  <si>
    <t>GLOBALFOUNDRIES Inc</t>
  </si>
  <si>
    <t>PTSN IJ Equity</t>
  </si>
  <si>
    <t>2025C3 CF (PTSN IJ)</t>
  </si>
  <si>
    <t>Sat Nusapersada Tbk PT</t>
  </si>
  <si>
    <t>700 HK Equity</t>
  </si>
  <si>
    <t>Tencent Holdings Ltd</t>
  </si>
  <si>
    <t>DTE GR Equity</t>
  </si>
  <si>
    <t>Deutsche Telekom AG</t>
  </si>
  <si>
    <t>Brookdale Senior Living Inc</t>
  </si>
  <si>
    <t>ARDT US Equity</t>
  </si>
  <si>
    <t>Ardent Health Inc</t>
  </si>
  <si>
    <t>2023A CF (CPE US)</t>
  </si>
  <si>
    <t>Rio Energy International Inc</t>
  </si>
  <si>
    <t>339520Z SW Equity</t>
  </si>
  <si>
    <t>Trafigura Trading LLC</t>
  </si>
  <si>
    <t>Estimate (LMT US)</t>
  </si>
  <si>
    <t>2025A CF (NSIT US)</t>
  </si>
  <si>
    <t>2357 TT Equity</t>
  </si>
  <si>
    <t>Estimate (2357 TT)</t>
  </si>
  <si>
    <t>Asustek Computer Inc</t>
  </si>
  <si>
    <t>Company News (259206Z SL)</t>
  </si>
  <si>
    <t>SriLankan Airlines Ltd</t>
  </si>
  <si>
    <t>2731 TT Equity</t>
  </si>
  <si>
    <t>2024A CF (2731 TT)</t>
  </si>
  <si>
    <t>Lion Travel Service Co Ltd</t>
  </si>
  <si>
    <t>475560 KS Equity</t>
  </si>
  <si>
    <t>2024C2 CF (475560 KS)</t>
  </si>
  <si>
    <t>BORN Korea Co Ltd/The</t>
  </si>
  <si>
    <t>2024A CF (AMS SM)</t>
  </si>
  <si>
    <t>ANDACOR CI Equity</t>
  </si>
  <si>
    <t>2023A CF (ANDACOR CI)</t>
  </si>
  <si>
    <t>Andacor S.A.</t>
  </si>
  <si>
    <t>Estimate (7011 JP)</t>
  </si>
  <si>
    <t>Company News (RSG US)</t>
  </si>
  <si>
    <t>International Brotherhood of Teamsters</t>
  </si>
  <si>
    <t>MEHCQ US Equity</t>
  </si>
  <si>
    <t>2024Q4 CF (MEHCQ US)</t>
  </si>
  <si>
    <t>Chrome Holding Co</t>
  </si>
  <si>
    <t>2021A CF (SRE US)</t>
  </si>
  <si>
    <t>002360 KS Equity</t>
  </si>
  <si>
    <t>SH Energy &amp; Chemical Co Ltd</t>
  </si>
  <si>
    <t>002384 CH Equity</t>
  </si>
  <si>
    <t>Suzhou Dongshan Precision Manufacturing Co Ltd</t>
  </si>
  <si>
    <t>2303 TT Equity</t>
  </si>
  <si>
    <t>Estimate (2303 TT)</t>
  </si>
  <si>
    <t>United Microelectronics Corp</t>
  </si>
  <si>
    <t>Company News (1504275D US)</t>
  </si>
  <si>
    <t>Groq Inc</t>
  </si>
  <si>
    <t>Company News (DBRG US)</t>
  </si>
  <si>
    <t>ATT SJ Equity</t>
  </si>
  <si>
    <t>2025A CF (ATT SJ)</t>
  </si>
  <si>
    <t>Attacq Ltd</t>
  </si>
  <si>
    <t>BYL CN Equity</t>
  </si>
  <si>
    <t>2024A CF (BYL CN)</t>
  </si>
  <si>
    <t>Baylin Technologies Inc</t>
  </si>
  <si>
    <t>CRNT US Equity</t>
  </si>
  <si>
    <t>2023Q3 CF (CRNT US)</t>
  </si>
  <si>
    <t>Ceragon Networks Ltd</t>
  </si>
  <si>
    <t>2025A CF (OSK US)</t>
  </si>
  <si>
    <t>United Rentals Inc</t>
  </si>
  <si>
    <t>RUSHA US Equity</t>
  </si>
  <si>
    <t>Rush Enterprises Inc</t>
  </si>
  <si>
    <t>SIME MK Equity</t>
  </si>
  <si>
    <t>Sime Darby Bhd</t>
  </si>
  <si>
    <t>TIH CN Equity</t>
  </si>
  <si>
    <t>Toromont Industries Ltd</t>
  </si>
  <si>
    <t>2025A CF (AMKR US)</t>
  </si>
  <si>
    <t>2024A CF (CI US)</t>
  </si>
  <si>
    <t>Centene Corp</t>
  </si>
  <si>
    <t>2025A CF (CI US)</t>
  </si>
  <si>
    <t>0119014D US Equity</t>
  </si>
  <si>
    <t>Prime Therapeutics LLC</t>
  </si>
  <si>
    <t>315 HK Equity</t>
  </si>
  <si>
    <t>Company News (CI US)</t>
  </si>
  <si>
    <t>SmarTone Telecommunications Holdings Ltd</t>
  </si>
  <si>
    <t>2024A CF (SPG US)</t>
  </si>
  <si>
    <t>Gap Inc/The</t>
  </si>
  <si>
    <t>2307453D US Equity</t>
  </si>
  <si>
    <t>KnitWell Group LLC</t>
  </si>
  <si>
    <t>Tapestry Inc</t>
  </si>
  <si>
    <t>SIG US Equity</t>
  </si>
  <si>
    <t>Signet Jewelers Ltd</t>
  </si>
  <si>
    <t>Estimate (TX US)</t>
  </si>
  <si>
    <t>Ternium SA</t>
  </si>
  <si>
    <t>2024A CF (034730 KS)</t>
  </si>
  <si>
    <t>0948773D US Equity</t>
  </si>
  <si>
    <t>2025Q1 CF (0948773D US)</t>
  </si>
  <si>
    <t>Ascend Performance Materials Holdings Inc</t>
  </si>
  <si>
    <t>1725219D US Equity</t>
  </si>
  <si>
    <t>2023Q1 CF (1725219D US)</t>
  </si>
  <si>
    <t>Heritage Power LLC</t>
  </si>
  <si>
    <t>2025A CF (AR US)</t>
  </si>
  <si>
    <t>001280 CH Equity</t>
  </si>
  <si>
    <t>2025S1 CF (001280 CH)</t>
  </si>
  <si>
    <t>China National Uranium Co Ltd</t>
  </si>
  <si>
    <t>2021A CF (600777 CH)</t>
  </si>
  <si>
    <t>2025A CF (AEP US)</t>
  </si>
  <si>
    <t>Company News (AGX US)</t>
  </si>
  <si>
    <t>Company News (LNWO US)</t>
  </si>
  <si>
    <t>Entain PLC</t>
  </si>
  <si>
    <t>RGB MK Equity</t>
  </si>
  <si>
    <t>2024A CF (RGB MK)</t>
  </si>
  <si>
    <t>RGB International Bhd</t>
  </si>
  <si>
    <t>LOTO PM Equity</t>
  </si>
  <si>
    <t>2024A CF (LOTO PM)</t>
  </si>
  <si>
    <t>Pacific Online Systems Corp</t>
  </si>
  <si>
    <t>DKNG US Equity</t>
  </si>
  <si>
    <t>2025A CF (DKNG US)</t>
  </si>
  <si>
    <t>DraftKings Inc</t>
  </si>
  <si>
    <t>PR US Equity</t>
  </si>
  <si>
    <t>2022A CF (PR US)</t>
  </si>
  <si>
    <t>Permian Resources Corp</t>
  </si>
  <si>
    <t>2025A CF (SPH US)</t>
  </si>
  <si>
    <t>2024A CF (UGI US)</t>
  </si>
  <si>
    <t>UGI Corp</t>
  </si>
  <si>
    <t>2025C2 CF (079940 KS)</t>
  </si>
  <si>
    <t>300051 CH Equity</t>
  </si>
  <si>
    <t>2023A CF (300051 CH)</t>
  </si>
  <si>
    <t>Leascend Technology Co Ltd</t>
  </si>
  <si>
    <t>9449 JP Equity</t>
  </si>
  <si>
    <t>2024A CF (9449 JP)</t>
  </si>
  <si>
    <t>GMO internet group Inc</t>
  </si>
  <si>
    <t>2024A CF (BHC CN)</t>
  </si>
  <si>
    <t>300015 CH Equity</t>
  </si>
  <si>
    <t>2024A CF (300015 CH)</t>
  </si>
  <si>
    <t>Aier Eye Hospital Group Co Ltd</t>
  </si>
  <si>
    <t>SMCI US Equity</t>
  </si>
  <si>
    <t>Super Micro Computer Inc</t>
  </si>
  <si>
    <t>Company News (9213421D CN)</t>
  </si>
  <si>
    <t>Estimate (ETN US)</t>
  </si>
  <si>
    <t>Eaton Corp PLC</t>
  </si>
  <si>
    <t>Estimate (VISN US)</t>
  </si>
  <si>
    <t>RCKY US Equity</t>
  </si>
  <si>
    <t>Estimate (RCKY US)</t>
  </si>
  <si>
    <t>Rocky Brands Inc</t>
  </si>
  <si>
    <t>2024A CF (300326 CH)</t>
  </si>
  <si>
    <t>Shanghai Kinetic Medical Co Ltd</t>
  </si>
  <si>
    <t>170900 KS Equity</t>
  </si>
  <si>
    <t>2025C3 CF (170900 KS)</t>
  </si>
  <si>
    <t>Dong-A ST Co Ltd</t>
  </si>
  <si>
    <t>195940 KS Equity</t>
  </si>
  <si>
    <t>2025C3 CF (195940 KS)</t>
  </si>
  <si>
    <t>HK inno N Corp</t>
  </si>
  <si>
    <t>161890 KS Equity</t>
  </si>
  <si>
    <t>2025C3 CF (161890 KS)</t>
  </si>
  <si>
    <t>Kolmar Korea Co Ltd</t>
  </si>
  <si>
    <t>4142 TT Equity</t>
  </si>
  <si>
    <t>2024A CF (4142 TT)</t>
  </si>
  <si>
    <t>Adimmune Corp</t>
  </si>
  <si>
    <t>2025Q2 CF (ALK US)</t>
  </si>
  <si>
    <t>Meta Inc</t>
  </si>
  <si>
    <t>1990322D US Equity</t>
  </si>
  <si>
    <t>Watershed Technology Inc</t>
  </si>
  <si>
    <t>ADSK US Equity</t>
  </si>
  <si>
    <t>Autodesk Inc</t>
  </si>
  <si>
    <t>2025A CF (ALK US)</t>
  </si>
  <si>
    <t>2025A CF (RTX US)</t>
  </si>
  <si>
    <t>ALSN US Equity</t>
  </si>
  <si>
    <t>Estimate (ALSN US)</t>
  </si>
  <si>
    <t>Allison Transmission Holdings Inc</t>
  </si>
  <si>
    <t>DAN US Equity</t>
  </si>
  <si>
    <t>Estimate (DAN US)</t>
  </si>
  <si>
    <t>Dana Inc</t>
  </si>
  <si>
    <t>MEC US Equity</t>
  </si>
  <si>
    <t>2025A CF (MEC US)</t>
  </si>
  <si>
    <t>Mayville Engineering Co Inc</t>
  </si>
  <si>
    <t>Estimate (TRIP US)</t>
  </si>
  <si>
    <t>TripAdvisor Inc</t>
  </si>
  <si>
    <t>Estimate (SABR US)</t>
  </si>
  <si>
    <t>034310 KS Equity</t>
  </si>
  <si>
    <t>2023Q4 CF (034310 KS)</t>
  </si>
  <si>
    <t>NICE Holdings Co Ltd</t>
  </si>
  <si>
    <t>420 HK Equity</t>
  </si>
  <si>
    <t>2022S1 CF (420 HK)</t>
  </si>
  <si>
    <t>Fountain SET Holdings Ltd</t>
  </si>
  <si>
    <t>601886 CH Equity</t>
  </si>
  <si>
    <t>2023S1 CF (601886 CH)</t>
  </si>
  <si>
    <t>Jangho Group Co Ltd</t>
  </si>
  <si>
    <t>CLIP CN Equity</t>
  </si>
  <si>
    <t>Company News (SPG US)</t>
  </si>
  <si>
    <t>Clip Money Inc</t>
  </si>
  <si>
    <t>MEDV CN Equity</t>
  </si>
  <si>
    <t>2022A CF (MEDV CN)</t>
  </si>
  <si>
    <t>Medivolve Inc</t>
  </si>
  <si>
    <t>2025A CF (DCH US)</t>
  </si>
  <si>
    <t>Estimate (DCH US)</t>
  </si>
  <si>
    <t>BMW GR Equity</t>
  </si>
  <si>
    <t>Bayerische Motoren Werke AG</t>
  </si>
  <si>
    <t>4521 JP Equity</t>
  </si>
  <si>
    <t>2025A CF (4521 JP)</t>
  </si>
  <si>
    <t>Kaken Pharmaceutical Co Ltd</t>
  </si>
  <si>
    <t>4536 JP Equity</t>
  </si>
  <si>
    <t>2025A CF (4536 JP)</t>
  </si>
  <si>
    <t>Santen Pharmaceutical Co Ltd</t>
  </si>
  <si>
    <t>2023A CF (WOOD IJ)</t>
  </si>
  <si>
    <t>Integra Indocabinet Tbk PT</t>
  </si>
  <si>
    <t>2025A CF (TDY US)</t>
  </si>
  <si>
    <t>Estimate (TDY US)</t>
  </si>
  <si>
    <t>3060 TT Equity</t>
  </si>
  <si>
    <t>2024A CF (3060 TT)</t>
  </si>
  <si>
    <t>MIN AIK Technology Co Ltd</t>
  </si>
  <si>
    <t>5985 JP Equity</t>
  </si>
  <si>
    <t>2025A CF (5985 JP)</t>
  </si>
  <si>
    <t>Suncall Corp</t>
  </si>
  <si>
    <t>STMPA FP Equity</t>
  </si>
  <si>
    <t>Estimate (STMPA FP)</t>
  </si>
  <si>
    <t>STMicroelectronics NV</t>
  </si>
  <si>
    <t>TACT US Equity</t>
  </si>
  <si>
    <t>2024A CF (TACT US)</t>
  </si>
  <si>
    <t>TransAct Technologies Inc</t>
  </si>
  <si>
    <t>300383 CH Equity</t>
  </si>
  <si>
    <t>2024A CF (300383 CH)</t>
  </si>
  <si>
    <t>Beijing Sinnet Technology Co Ltd</t>
  </si>
  <si>
    <t>2023A CF (LNWO US)</t>
  </si>
  <si>
    <t>2024A CF (LNWO US)</t>
  </si>
  <si>
    <t>BUC LN Equity</t>
  </si>
  <si>
    <t>2021A CF (BUC LN)</t>
  </si>
  <si>
    <t>Built Cybernetics PLC</t>
  </si>
  <si>
    <t>TTEC US Equity</t>
  </si>
  <si>
    <t>2022A CF (TTEC US)</t>
  </si>
  <si>
    <t>TTEC Holdings Inc</t>
  </si>
  <si>
    <t>Estimate (ROG SW)</t>
  </si>
  <si>
    <t>2025A CF (MRK US)</t>
  </si>
  <si>
    <t>OGN US Equity</t>
  </si>
  <si>
    <t>2024A CF (MRK US)</t>
  </si>
  <si>
    <t>Organon &amp; Co</t>
  </si>
  <si>
    <t>2503567D CH Equity</t>
  </si>
  <si>
    <t>LaNova Medicines Ltd</t>
  </si>
  <si>
    <t>2025C3 CF (079940 KS)</t>
  </si>
  <si>
    <t>QLYS US Equity</t>
  </si>
  <si>
    <t>2022Q3 CF (QLYS US)</t>
  </si>
  <si>
    <t>Qualys Inc</t>
  </si>
  <si>
    <t>2025Q3 CF (LUV US)</t>
  </si>
  <si>
    <t>NEM US Equity</t>
  </si>
  <si>
    <t>2025A CF (NEM US)</t>
  </si>
  <si>
    <t>Newmont Corp</t>
  </si>
  <si>
    <t>AU US Equity</t>
  </si>
  <si>
    <t>2024A CF (AU US)</t>
  </si>
  <si>
    <t>Anglogold Ashanti Plc</t>
  </si>
  <si>
    <t>2024A CF (CRISIL IN)</t>
  </si>
  <si>
    <t>CRISIL Ltd</t>
  </si>
  <si>
    <t>CVNA US Equity</t>
  </si>
  <si>
    <t>2025Q3 CF (CVNA US)</t>
  </si>
  <si>
    <t>Carvana Co</t>
  </si>
  <si>
    <t>EBIXQ US Equity</t>
  </si>
  <si>
    <t>2023Q4 CF (EBIXQ US)</t>
  </si>
  <si>
    <t>Ebix Inc</t>
  </si>
  <si>
    <t>SPIR US Equity</t>
  </si>
  <si>
    <t>2021A CF (SPIR US)</t>
  </si>
  <si>
    <t>Spire Global Inc</t>
  </si>
  <si>
    <t>SRC US Equity</t>
  </si>
  <si>
    <t>2022A CF (SRC US)</t>
  </si>
  <si>
    <t>Spirit Realty Capital Inc</t>
  </si>
  <si>
    <t>0218485D US Equity</t>
  </si>
  <si>
    <t>Company News (0218485D US)</t>
  </si>
  <si>
    <t>Mirantis Inc</t>
  </si>
  <si>
    <t>1520793D LN Equity</t>
  </si>
  <si>
    <t>Company News (1520793D LN)</t>
  </si>
  <si>
    <t>DiffBlue Ltd</t>
  </si>
  <si>
    <t>1537094D LN Equity</t>
  </si>
  <si>
    <t>Company News (1537094D LN)</t>
  </si>
  <si>
    <t>InfoSum Ltd</t>
  </si>
  <si>
    <t>161390 KS Equity</t>
  </si>
  <si>
    <t>2022A CF (161390 KS)</t>
  </si>
  <si>
    <t>Hankook Tire &amp; Technology Co Ltd</t>
  </si>
  <si>
    <t>002156 CH Equity</t>
  </si>
  <si>
    <t>2025A CF (AMD US)</t>
  </si>
  <si>
    <t>TongFu Microelectronics Co Ltd</t>
  </si>
  <si>
    <t>005820 KS Equity</t>
  </si>
  <si>
    <t>2025C3 CF (005820 KS)</t>
  </si>
  <si>
    <t>Wonlim Corp</t>
  </si>
  <si>
    <t>056090 KS Equity</t>
  </si>
  <si>
    <t>2025C3 CF (056090 KS)</t>
  </si>
  <si>
    <t>CG MedTech Co Ltd</t>
  </si>
  <si>
    <t>3716 TT Equity</t>
  </si>
  <si>
    <t>2024A CF (3716 TT)</t>
  </si>
  <si>
    <t>Cenra Inc</t>
  </si>
  <si>
    <t>4164 TT Equity</t>
  </si>
  <si>
    <t>2022A CF (4164 TT)</t>
  </si>
  <si>
    <t>CHC Healthcare Group</t>
  </si>
  <si>
    <t>Estimate (PVH US)</t>
  </si>
  <si>
    <t>PVH Corp</t>
  </si>
  <si>
    <t>RL US Equity</t>
  </si>
  <si>
    <t>Estimate (RL US)</t>
  </si>
  <si>
    <t>Ralph Lauren Corp</t>
  </si>
  <si>
    <t>BOSS GR Equity</t>
  </si>
  <si>
    <t>Estimate (BOSS GR)</t>
  </si>
  <si>
    <t>HUGO BOSS AG</t>
  </si>
  <si>
    <t>NKE US Equity</t>
  </si>
  <si>
    <t>Estimate (NKE US)</t>
  </si>
  <si>
    <t>NIKE Inc</t>
  </si>
  <si>
    <t>LEVI US Equity</t>
  </si>
  <si>
    <t>Estimate (LEVI US)</t>
  </si>
  <si>
    <t>Levi Strauss &amp; Co</t>
  </si>
  <si>
    <t>Estimate (EMBJ3 BZ)</t>
  </si>
  <si>
    <t>IMO CN Equity</t>
  </si>
  <si>
    <t>2024A CF (IMO CN)</t>
  </si>
  <si>
    <t>Imperial Oil Ltd</t>
  </si>
  <si>
    <t>Estimate (LXS GR)</t>
  </si>
  <si>
    <t>1325 TT Equity</t>
  </si>
  <si>
    <t>2024A CF (1325 TT)</t>
  </si>
  <si>
    <t>Universal Inc</t>
  </si>
  <si>
    <t>2022A CF (2427 TT)</t>
  </si>
  <si>
    <t>6221 TT Equity</t>
  </si>
  <si>
    <t>2021A CF (6221 TT)</t>
  </si>
  <si>
    <t>Genesis Technology Inc/Taiwan</t>
  </si>
  <si>
    <t>2024A CF (KIM US)</t>
  </si>
  <si>
    <t>Paramount Skydance Corp</t>
  </si>
  <si>
    <t>UBSG SW Equity</t>
  </si>
  <si>
    <t>UBS Group AG</t>
  </si>
  <si>
    <t>TD CN Equity</t>
  </si>
  <si>
    <t>Toronto-Dominion Bank/The</t>
  </si>
  <si>
    <t>6758 JP Equity</t>
  </si>
  <si>
    <t>Sony Group Corp</t>
  </si>
  <si>
    <t>4938 TT Equity</t>
  </si>
  <si>
    <t>Estimate (4938 TT)</t>
  </si>
  <si>
    <t>Pegatron Corp</t>
  </si>
  <si>
    <t>CRWV US Equity</t>
  </si>
  <si>
    <t>2025A CF (CRWV US)</t>
  </si>
  <si>
    <t>CoreWeave Inc</t>
  </si>
  <si>
    <t>PFIE US Equity</t>
  </si>
  <si>
    <t>2024Q1 CF (PFIE US)</t>
  </si>
  <si>
    <t>Profire Energy Inc</t>
  </si>
  <si>
    <t>UNTC US Equity</t>
  </si>
  <si>
    <t>2022A CF (UNTC US)</t>
  </si>
  <si>
    <t>Unit Corp</t>
  </si>
  <si>
    <t>USWS US Equity</t>
  </si>
  <si>
    <t>Company News (USWS US)</t>
  </si>
  <si>
    <t>US Well Services Holdings LLC</t>
  </si>
  <si>
    <t>2024A CF (VOYG US)</t>
  </si>
  <si>
    <t>Voyager Technologies Inc</t>
  </si>
  <si>
    <t>CW US Equity</t>
  </si>
  <si>
    <t>Estimate (CW US)</t>
  </si>
  <si>
    <t>Curtiss-Wright Corp</t>
  </si>
  <si>
    <t>AMPX US Equity</t>
  </si>
  <si>
    <t>Estimate (AMPX US)</t>
  </si>
  <si>
    <t>Amprius Technologies Inc</t>
  </si>
  <si>
    <t>AKR US Equity</t>
  </si>
  <si>
    <t>2025A CF (AKR US)</t>
  </si>
  <si>
    <t>Acadia Realty Trust</t>
  </si>
  <si>
    <t>BLND US Equity</t>
  </si>
  <si>
    <t>2025Q1 CF (BLND US)</t>
  </si>
  <si>
    <t>Blend Labs Inc</t>
  </si>
  <si>
    <t>CFLT US Equity</t>
  </si>
  <si>
    <t>2025Q3 CF (CFLT US)</t>
  </si>
  <si>
    <t>Confluent Inc</t>
  </si>
  <si>
    <t>2025Q4 CF (0517476D US)</t>
  </si>
  <si>
    <t>STG Logistics Inc</t>
  </si>
  <si>
    <t>1267523D US Equity</t>
  </si>
  <si>
    <t>Company News (UNP US)</t>
  </si>
  <si>
    <t>National Conference of Firemen &amp; Oilers District of Local 32BJ/SEIU</t>
  </si>
  <si>
    <t>1843503D US Equity</t>
  </si>
  <si>
    <t>Jaguar Transport Holdings LLC</t>
  </si>
  <si>
    <t>Arch Resources Inc</t>
  </si>
  <si>
    <t>CRC TB Equity</t>
  </si>
  <si>
    <t>2022A CF (CRC TB)</t>
  </si>
  <si>
    <t>Central Retail Corp PCL</t>
  </si>
  <si>
    <t>AALB NA Equity</t>
  </si>
  <si>
    <t>2021A CF (UGI US)</t>
  </si>
  <si>
    <t>Aalberts NV</t>
  </si>
  <si>
    <t>ADS GR Equity</t>
  </si>
  <si>
    <t>adidas AG</t>
  </si>
  <si>
    <t>AKTSQ US Equity</t>
  </si>
  <si>
    <t>2025Q1 CF (AKTSQ US)</t>
  </si>
  <si>
    <t>Akoustis Technologies Inc</t>
  </si>
  <si>
    <t>2025A CF (CPB US)</t>
  </si>
  <si>
    <t>Estimate (CPB US)</t>
  </si>
  <si>
    <t>Lindsay Corp</t>
  </si>
  <si>
    <t>FLXS US Equity</t>
  </si>
  <si>
    <t>Flexsteel Industries Inc</t>
  </si>
  <si>
    <t>HWKN US Equity</t>
  </si>
  <si>
    <t>Hawkins Inc</t>
  </si>
  <si>
    <t>IIIN US Equity</t>
  </si>
  <si>
    <t>Insteel Industries Inc</t>
  </si>
  <si>
    <t>Estimate (SKFB SS)</t>
  </si>
  <si>
    <t>SKF AB</t>
  </si>
  <si>
    <t>TKR US Equity</t>
  </si>
  <si>
    <t>Estimate (TKR US)</t>
  </si>
  <si>
    <t>Timken Co/The</t>
  </si>
  <si>
    <t>SRI US Equity</t>
  </si>
  <si>
    <t>Estimate (SRI US)</t>
  </si>
  <si>
    <t>Stoneridge Inc</t>
  </si>
  <si>
    <t>AH TB Equity</t>
  </si>
  <si>
    <t>2025Q3 CF (AH TB)</t>
  </si>
  <si>
    <t>AAPICO Hitech PCL</t>
  </si>
  <si>
    <t>2024A CF (ARKO US)</t>
  </si>
  <si>
    <t>BCE LN Equity</t>
  </si>
  <si>
    <t>2024Q1 CF (VLO US)</t>
  </si>
  <si>
    <t>Beacon Energy PLC</t>
  </si>
  <si>
    <t>CAPL US Equity</t>
  </si>
  <si>
    <t>2024A CF (CAPL US)</t>
  </si>
  <si>
    <t>CrossAmerica Partners LP</t>
  </si>
  <si>
    <t>2025S1 CF (603201 CH)</t>
  </si>
  <si>
    <t>Changshu Tongrun Auto Accessory Co Ltd</t>
  </si>
  <si>
    <t>688169 CH Equity</t>
  </si>
  <si>
    <t>2025S1 CF (688169 CH)</t>
  </si>
  <si>
    <t>Beijing Roborock Technology Co Ltd</t>
  </si>
  <si>
    <t>ARA* MM Equity</t>
  </si>
  <si>
    <t>2025C3 CF (ARA* MM)</t>
  </si>
  <si>
    <t>Consorcio ARA SAB de CV</t>
  </si>
  <si>
    <t>CHH US Equity</t>
  </si>
  <si>
    <t>2024Q1 CF (HD US)</t>
  </si>
  <si>
    <t>Choice Hotels International Inc</t>
  </si>
  <si>
    <t>Estimate (MRK US)</t>
  </si>
  <si>
    <t>2022A CF (000737 CH)</t>
  </si>
  <si>
    <t>North Copper Co Ltd</t>
  </si>
  <si>
    <t>2112160D FH Equity</t>
  </si>
  <si>
    <t>Company News (2112160D FH)</t>
  </si>
  <si>
    <t>IQM Quantum Computers</t>
  </si>
  <si>
    <t>3061059Z US Equity</t>
  </si>
  <si>
    <t>Company News (JPM US)</t>
  </si>
  <si>
    <t>United States Department of the Treasury</t>
  </si>
  <si>
    <t>ACIN SW Equity</t>
  </si>
  <si>
    <t>Company News (ACIN SW)</t>
  </si>
  <si>
    <t>Acino International AG</t>
  </si>
  <si>
    <t>2023Q3 CF (HOLX US)</t>
  </si>
  <si>
    <t>303810 KS Equity</t>
  </si>
  <si>
    <t>2024C3 CF (303810 KS)</t>
  </si>
  <si>
    <t>Dongkook Life Science Co Ltd</t>
  </si>
  <si>
    <t>2023Q2 CF (HOLX US)</t>
  </si>
  <si>
    <t>603658 CH Equity</t>
  </si>
  <si>
    <t>2022S1 CF (603658 CH)</t>
  </si>
  <si>
    <t>Autobio Diagnostics Co Ltd</t>
  </si>
  <si>
    <t>2025A CF (FCX US)</t>
  </si>
  <si>
    <t>Mitsubishi Materials Corp</t>
  </si>
  <si>
    <t>2022S1 CF (900909 CH)</t>
  </si>
  <si>
    <t>BUENAVC1 PE Equity</t>
  </si>
  <si>
    <t>2024A CF (BUENAVC1 PE)</t>
  </si>
  <si>
    <t>Cia de Minas Buenaventura SAA</t>
  </si>
  <si>
    <t>CVERDEC1 PE Equity</t>
  </si>
  <si>
    <t>2024A CF (CVERDEC1 PE)</t>
  </si>
  <si>
    <t>Sociedad Minera Cerro Verde SAA</t>
  </si>
  <si>
    <t>KBLI IJ Equity</t>
  </si>
  <si>
    <t>2023C3 CF (KBLI IJ)</t>
  </si>
  <si>
    <t>KMI Wire &amp; Cable Tbk PT</t>
  </si>
  <si>
    <t>000120 KS Equity</t>
  </si>
  <si>
    <t>2021A CF (EXC US)</t>
  </si>
  <si>
    <t>CJ Logistics Corp</t>
  </si>
  <si>
    <t>001130 KS Equity</t>
  </si>
  <si>
    <t>Daehan Flour Mill Co Ltd</t>
  </si>
  <si>
    <t>002444 CH Equity</t>
  </si>
  <si>
    <t>Hangzhou GreatStar Industrial Co Ltd</t>
  </si>
  <si>
    <t>Company News (1892140D US)</t>
  </si>
  <si>
    <t>Anthropic PBC</t>
  </si>
  <si>
    <t>CON US Equity</t>
  </si>
  <si>
    <t>2024A CF (CON US)</t>
  </si>
  <si>
    <t>Concentra Group Holdings Parent Inc</t>
  </si>
  <si>
    <t>CRTA LN Equity</t>
  </si>
  <si>
    <t>2023Q3 CF (CRTA LN)</t>
  </si>
  <si>
    <t>Cirata PLC</t>
  </si>
  <si>
    <t>RJETQ US Equity</t>
  </si>
  <si>
    <t>2025Q3 CF (AAL US)</t>
  </si>
  <si>
    <t>Republic Airways Holdings Inc/Indiana</t>
  </si>
  <si>
    <t>7531668Z US Equity</t>
  </si>
  <si>
    <t>2025Q2 CF (AAL US)</t>
  </si>
  <si>
    <t>Republic Airlines Inc</t>
  </si>
  <si>
    <t>2024A CF (K US)</t>
  </si>
  <si>
    <t>Estimate (K US)</t>
  </si>
  <si>
    <t>Estimate (CLN SW)</t>
  </si>
  <si>
    <t>Clariant AG</t>
  </si>
  <si>
    <t>XPO Inc</t>
  </si>
  <si>
    <t>104460 KS Equity</t>
  </si>
  <si>
    <t>2025C3 CF (104460 KS)</t>
  </si>
  <si>
    <t>DYPNF Co Ltd</t>
  </si>
  <si>
    <t>300437 CH Equity</t>
  </si>
  <si>
    <t>2022S1 CF (300437 CH)</t>
  </si>
  <si>
    <t>Henan Qing Shui Yuan Technology Co Ltd</t>
  </si>
  <si>
    <t>Estimate (5401 JP)</t>
  </si>
  <si>
    <t>THELEELA IN Equity</t>
  </si>
  <si>
    <t>2025A CF (THELEELA IN)</t>
  </si>
  <si>
    <t>Leela Palaces Hotels &amp; Resorts Ltd</t>
  </si>
  <si>
    <t>Lumen Technologies Inc</t>
  </si>
  <si>
    <t>ACGL US Equity</t>
  </si>
  <si>
    <t>Company News (ICE US)</t>
  </si>
  <si>
    <t>Arch Capital Group Ltd</t>
  </si>
  <si>
    <t>ACT US Equity</t>
  </si>
  <si>
    <t>Enact Holdings Inc</t>
  </si>
  <si>
    <t>2022A CF (AMD US)</t>
  </si>
  <si>
    <t>2025Q1 CF (CNXN US)</t>
  </si>
  <si>
    <t>BRY US Equity</t>
  </si>
  <si>
    <t>2024A CF (BRY US)</t>
  </si>
  <si>
    <t>Berry Corp</t>
  </si>
  <si>
    <t>2024A CF (WELL US)</t>
  </si>
  <si>
    <t>Sunrise Senior Living LLC</t>
  </si>
  <si>
    <t>1685156D CN Equity</t>
  </si>
  <si>
    <t>Cogir Management Corp Inc</t>
  </si>
  <si>
    <t>0090187D US Equity</t>
  </si>
  <si>
    <t>Oakmont Senior Living LLC</t>
  </si>
  <si>
    <t>2807954Z CN Equity</t>
  </si>
  <si>
    <t>2022A CF (WELL US)</t>
  </si>
  <si>
    <t>Revera Inc</t>
  </si>
  <si>
    <t>29693Z US Equity</t>
  </si>
  <si>
    <t>Promedica Health System Inc</t>
  </si>
  <si>
    <t>2026Q2 CF (CXM US)</t>
  </si>
  <si>
    <t>Sprinklr Inc</t>
  </si>
  <si>
    <t>ESBA US Equity</t>
  </si>
  <si>
    <t>2023A CF (ESBA US)</t>
  </si>
  <si>
    <t>Empire State Realty OP LP</t>
  </si>
  <si>
    <t>ESRT US Equity</t>
  </si>
  <si>
    <t>2024A CF (ESRT US)</t>
  </si>
  <si>
    <t>Empire State Realty Trust Inc</t>
  </si>
  <si>
    <t>2023Q3 CF (INFA US)</t>
  </si>
  <si>
    <t>Plains All American Pipeline LP</t>
  </si>
  <si>
    <t>2024A CF (PAGP US)</t>
  </si>
  <si>
    <t>6269 JP Equity</t>
  </si>
  <si>
    <t>2024A CF (6269 JP)</t>
  </si>
  <si>
    <t>Modec Inc</t>
  </si>
  <si>
    <t>2025A CF (NE US)</t>
  </si>
  <si>
    <t>Dominion Energy Inc</t>
  </si>
  <si>
    <t>2023C3 CF (002630 KS)</t>
  </si>
  <si>
    <t>Orientbio Inc</t>
  </si>
  <si>
    <t>1902504D US Equity</t>
  </si>
  <si>
    <t>Company News (9980328D US)</t>
  </si>
  <si>
    <t>Segterra Inc</t>
  </si>
  <si>
    <t>2081497D US Equity</t>
  </si>
  <si>
    <t>Pinnacle Fertility Inc</t>
  </si>
  <si>
    <t>3118 TT Equity</t>
  </si>
  <si>
    <t>2022A CF (3118 TT)</t>
  </si>
  <si>
    <t>Level Biotechnology Inc</t>
  </si>
  <si>
    <t>4132 TT Equity</t>
  </si>
  <si>
    <t>2022A CF (4132 TT)</t>
  </si>
  <si>
    <t>Golden Biotechnology Corp</t>
  </si>
  <si>
    <t>2026C3 CF (MCHP US)</t>
  </si>
  <si>
    <t>Estimate (MCHP US)</t>
  </si>
  <si>
    <t>4919 TT Equity</t>
  </si>
  <si>
    <t>2024A CF (4919 TT)</t>
  </si>
  <si>
    <t>Nuvoton Technology Corp</t>
  </si>
  <si>
    <t>Estimate (WLK US)</t>
  </si>
  <si>
    <t>WLKP US Equity</t>
  </si>
  <si>
    <t>2025Q3 CF (WLKP US)</t>
  </si>
  <si>
    <t>Westlake Chemical Partners LP</t>
  </si>
  <si>
    <t>General Dynamics Corp</t>
  </si>
  <si>
    <t>2024A CF (OLN US)</t>
  </si>
  <si>
    <t>2025Q3 CF (OLN US)</t>
  </si>
  <si>
    <t>1304 TT Equity</t>
  </si>
  <si>
    <t>2025C1 CF (1304 TT)</t>
  </si>
  <si>
    <t>USI Corp</t>
  </si>
  <si>
    <t>1305 TT Equity</t>
  </si>
  <si>
    <t>2025C3 CF (1305 TT)</t>
  </si>
  <si>
    <t>China General Plastics Corp</t>
  </si>
  <si>
    <t>2024A CF (PE&amp;OLES* MM)</t>
  </si>
  <si>
    <t>Industrias Penoles SAB de CV</t>
  </si>
  <si>
    <t>FROTO TI Equity</t>
  </si>
  <si>
    <t>2024A CF (FROTO TI)</t>
  </si>
  <si>
    <t>Ford Otomotiv Sanayi AS</t>
  </si>
  <si>
    <t>COLR BB Equity</t>
  </si>
  <si>
    <t>Estimate (COLR BB)</t>
  </si>
  <si>
    <t>Colruyt Group N.V</t>
  </si>
  <si>
    <t>FRES LN Equity</t>
  </si>
  <si>
    <t>2024A CF (FRES LN)</t>
  </si>
  <si>
    <t>Fresnillo PLC</t>
  </si>
  <si>
    <t>2023S1 CF (GBG LN)</t>
  </si>
  <si>
    <t>GB Group PLC</t>
  </si>
  <si>
    <t>2023A CF (GNL US)</t>
  </si>
  <si>
    <t>NCNO US Equity</t>
  </si>
  <si>
    <t>2023A CF (NCNO US)</t>
  </si>
  <si>
    <t>nCino Inc</t>
  </si>
  <si>
    <t>SIE GR Equity</t>
  </si>
  <si>
    <t>Siemens AG</t>
  </si>
  <si>
    <t>9501 JP Equity</t>
  </si>
  <si>
    <t>2022A CF (9501 JP)</t>
  </si>
  <si>
    <t>Tokyo Electric Power Co Holdings Inc</t>
  </si>
  <si>
    <t>9502 JP Equity</t>
  </si>
  <si>
    <t>2022A CF (9502 JP)</t>
  </si>
  <si>
    <t>Chubu Electric Power Co Inc</t>
  </si>
  <si>
    <t>9506 JP Equity</t>
  </si>
  <si>
    <t>2022A CF (9506 JP)</t>
  </si>
  <si>
    <t>Tohoku Electric Power Co Inc</t>
  </si>
  <si>
    <t>Estimate (WSO US)</t>
  </si>
  <si>
    <t>OI US Equity</t>
  </si>
  <si>
    <t>Estimate (OI US)</t>
  </si>
  <si>
    <t>O-I Glass Inc</t>
  </si>
  <si>
    <t>UMG NA Equity</t>
  </si>
  <si>
    <t>Estimate (UMG NA)</t>
  </si>
  <si>
    <t>Universal Music Group NV</t>
  </si>
  <si>
    <t>Company News (ZG US)</t>
  </si>
  <si>
    <t>RDFN US Equity</t>
  </si>
  <si>
    <t>Redfin Corp</t>
  </si>
  <si>
    <t>3660969Z US Equity</t>
  </si>
  <si>
    <t>Company News (EVRG US)</t>
  </si>
  <si>
    <t>Burns &amp; McDonnell Inc</t>
  </si>
  <si>
    <t>2484077D LN Equity</t>
  </si>
  <si>
    <t>Kigen UK Ltd</t>
  </si>
  <si>
    <t>2024Q1 CF (AES US)</t>
  </si>
  <si>
    <t>CRAI US Equity</t>
  </si>
  <si>
    <t>Company News (FE US)</t>
  </si>
  <si>
    <t>CRA International Inc</t>
  </si>
  <si>
    <t>LGEN LN Equity</t>
  </si>
  <si>
    <t>Company News (LGEN LN)</t>
  </si>
  <si>
    <t>Legal &amp; General Group PLC</t>
  </si>
  <si>
    <t>SARE IN Equity</t>
  </si>
  <si>
    <t>2024A CF (SARE IN)</t>
  </si>
  <si>
    <t>Saregama India Ltd</t>
  </si>
  <si>
    <t>3041 TT Equity</t>
  </si>
  <si>
    <t>2024A CF (3041 TT)</t>
  </si>
  <si>
    <t>ALI Corp</t>
  </si>
  <si>
    <t>2025A CF (GLOB US)</t>
  </si>
  <si>
    <t>2024A CF (AMCX US)</t>
  </si>
  <si>
    <t>2025A CF (TMUS US)</t>
  </si>
  <si>
    <t>DHX US Equity</t>
  </si>
  <si>
    <t>2023Q4 CF (DHX US)</t>
  </si>
  <si>
    <t>DHI Group Inc</t>
  </si>
  <si>
    <t>ONTF US Equity</t>
  </si>
  <si>
    <t>2025Q3 CF (ONTF US)</t>
  </si>
  <si>
    <t>ON24 Inc</t>
  </si>
  <si>
    <t>2024A CF (002153 CH)</t>
  </si>
  <si>
    <t>0764543D IN Equity</t>
  </si>
  <si>
    <t>Company News (0764543D IN)</t>
  </si>
  <si>
    <t>Eka Software Solutions Pvt Ltd</t>
  </si>
  <si>
    <t>300481 CH Equity</t>
  </si>
  <si>
    <t>2025S1 CF (300481 CH)</t>
  </si>
  <si>
    <t>Puyang Huicheng Electronic Material Co Ltd</t>
  </si>
  <si>
    <t>IFX GR Equity</t>
  </si>
  <si>
    <t>Estimate (IFX GR)</t>
  </si>
  <si>
    <t>Infineon Technologies AG</t>
  </si>
  <si>
    <t>2025Q1 CF (LXP US)</t>
  </si>
  <si>
    <t>LXP Industrial Trust</t>
  </si>
  <si>
    <t>1723449D US Equity</t>
  </si>
  <si>
    <t>Company News (1723449D US)</t>
  </si>
  <si>
    <t>Gatik AI Inc</t>
  </si>
  <si>
    <t>AI US Equity</t>
  </si>
  <si>
    <t>2025Q2 CF (AI US)</t>
  </si>
  <si>
    <t>C3.ai Inc</t>
  </si>
  <si>
    <t>DM US Equity</t>
  </si>
  <si>
    <t>2022A CF (DM US)</t>
  </si>
  <si>
    <t>Desktop Metal Inc</t>
  </si>
  <si>
    <t>ESOA US Equity</t>
  </si>
  <si>
    <t>Estimate (ESOA US)</t>
  </si>
  <si>
    <t>Energy Services of America Corp</t>
  </si>
  <si>
    <t>0213152D US Equity</t>
  </si>
  <si>
    <t>2025A CF (UGI US)</t>
  </si>
  <si>
    <t>Columbia Gas Transmission Corp</t>
  </si>
  <si>
    <t>17249Z US Equity</t>
  </si>
  <si>
    <t>Enterprise Products Operating LLC</t>
  </si>
  <si>
    <t>86666MF US Equity</t>
  </si>
  <si>
    <t>Crestwood Services Inc</t>
  </si>
  <si>
    <t>ALBFR FP Equity</t>
  </si>
  <si>
    <t>Media News (ALBFR FP)</t>
  </si>
  <si>
    <t>Sidetrade</t>
  </si>
  <si>
    <t>Estimate (MRVL US)</t>
  </si>
  <si>
    <t>2024C3 CF (000990 KS)</t>
  </si>
  <si>
    <t>DB HiTek Co Ltd</t>
  </si>
  <si>
    <t>FSP US Equity</t>
  </si>
  <si>
    <t>2024A CF (FSP US)</t>
  </si>
  <si>
    <t>Franklin Street Properties Corp</t>
  </si>
  <si>
    <t>067370 KS Equity</t>
  </si>
  <si>
    <t>2021A CF (067370 KS)</t>
  </si>
  <si>
    <t>Sunbio Inc</t>
  </si>
  <si>
    <t>688306 CH Equity</t>
  </si>
  <si>
    <t>2025S1 CF (688306 CH)</t>
  </si>
  <si>
    <t>Ningbo PIA Automation Holding Corp</t>
  </si>
  <si>
    <t>688389 CH Equity</t>
  </si>
  <si>
    <t>Company News (QDEL US)</t>
  </si>
  <si>
    <t>Shenzhen Lifotronic Technology Co Ltd</t>
  </si>
  <si>
    <t>CULP US Equity</t>
  </si>
  <si>
    <t>Estimate (CULP US)</t>
  </si>
  <si>
    <t>Culp Inc</t>
  </si>
  <si>
    <t>BYND US Equity</t>
  </si>
  <si>
    <t>Estimate (BYND US)</t>
  </si>
  <si>
    <t>Beyond Meat Inc</t>
  </si>
  <si>
    <t>Health Gorilla Inc</t>
  </si>
  <si>
    <t>1235509D SW Equity</t>
  </si>
  <si>
    <t>Proteomedix AG</t>
  </si>
  <si>
    <t>2021A CF (405 HK)</t>
  </si>
  <si>
    <t>ATS CN Equity</t>
  </si>
  <si>
    <t>2024Q1 CF (ATS CN)</t>
  </si>
  <si>
    <t>ATS Corp</t>
  </si>
  <si>
    <t>BIOCQ US Equity</t>
  </si>
  <si>
    <t>2022A CF (BIOCQ US)</t>
  </si>
  <si>
    <t>Biocept Inc</t>
  </si>
  <si>
    <t>CTS US Equity</t>
  </si>
  <si>
    <t>Estimate (CTS US)</t>
  </si>
  <si>
    <t>CTS Corp</t>
  </si>
  <si>
    <t>STAG US Equity</t>
  </si>
  <si>
    <t>2025Q3 CF (STAG US)</t>
  </si>
  <si>
    <t>STAG Industrial Inc</t>
  </si>
  <si>
    <t>2022A CF (DEN US)</t>
  </si>
  <si>
    <t>Hunt Crude Oil Supply Co</t>
  </si>
  <si>
    <t>8058 JP Equity</t>
  </si>
  <si>
    <t>Mitsubishi Corp</t>
  </si>
  <si>
    <t>NTR CN Equity</t>
  </si>
  <si>
    <t>Nutrien Ltd</t>
  </si>
  <si>
    <t>JPMorgan Chase &amp; Co</t>
  </si>
  <si>
    <t>Omega Healthcare Investors Inc</t>
  </si>
  <si>
    <t>NHI US Equity</t>
  </si>
  <si>
    <t>2023A CF (NHI US)</t>
  </si>
  <si>
    <t>National Health Investors Inc</t>
  </si>
  <si>
    <t>Estimate (FCX US)</t>
  </si>
  <si>
    <t>ANTM IJ Equity</t>
  </si>
  <si>
    <t>Aneka Tambang Tbk</t>
  </si>
  <si>
    <t>GMEXICOB MM Equity</t>
  </si>
  <si>
    <t>Grupo Mexico SAB de CV</t>
  </si>
  <si>
    <t>ABMM IJ Equity</t>
  </si>
  <si>
    <t>ABM Investama Tbk PT</t>
  </si>
  <si>
    <t>HP US Equity</t>
  </si>
  <si>
    <t>2024Q3 CF (HP US)</t>
  </si>
  <si>
    <t>Helmerich &amp; Payne Inc</t>
  </si>
  <si>
    <t>Carrington Mortgage Services LLC</t>
  </si>
  <si>
    <t>2025A CF (RIG US)</t>
  </si>
  <si>
    <t>Hess Corp</t>
  </si>
  <si>
    <t>JNPR US Equity</t>
  </si>
  <si>
    <t>Estimate (JNPR US)</t>
  </si>
  <si>
    <t>Juniper Networks Inc</t>
  </si>
  <si>
    <t>1656299D CN Equity</t>
  </si>
  <si>
    <t>Company News (AKAM US)</t>
  </si>
  <si>
    <t>NETINT Technologies Inc</t>
  </si>
  <si>
    <t>2158132Z LN Equity</t>
  </si>
  <si>
    <t>Company News (2158132Z LN)</t>
  </si>
  <si>
    <t>Adaptive Mobile Security Ltd</t>
  </si>
  <si>
    <t>WESCO International Inc</t>
  </si>
  <si>
    <t>VOW GR Equity</t>
  </si>
  <si>
    <t>Volkswagen AG</t>
  </si>
  <si>
    <t>Company News (CNDT US)</t>
  </si>
  <si>
    <t>Conduent Inc</t>
  </si>
  <si>
    <t>KEYS US Equity</t>
  </si>
  <si>
    <t>Estimate (KEYS US)</t>
  </si>
  <si>
    <t>Keysight Technologies Inc</t>
  </si>
  <si>
    <t>2025C3 CF (139480 KS)</t>
  </si>
  <si>
    <t>E-MART Inc</t>
  </si>
  <si>
    <t>MEDP US Equity</t>
  </si>
  <si>
    <t>2025Q3 CF (MEDP US)</t>
  </si>
  <si>
    <t>Medpace Holdings Inc</t>
  </si>
  <si>
    <t>004170 KS Equity</t>
  </si>
  <si>
    <t>2025C3 CF (004170 KS)</t>
  </si>
  <si>
    <t>Shinsegae Inc</t>
  </si>
  <si>
    <t>047040 KS Equity</t>
  </si>
  <si>
    <t>2025C3 CF (047040 KS)</t>
  </si>
  <si>
    <t>Daewoo Engineering &amp; Construction Co Ltd</t>
  </si>
  <si>
    <t>Estimate (MKS LN)</t>
  </si>
  <si>
    <t>Marks &amp; Spencer Group PLC</t>
  </si>
  <si>
    <t>1002447D US Equity</t>
  </si>
  <si>
    <t>Company News (WEN US)</t>
  </si>
  <si>
    <t>Flynn Restaurant Group LP</t>
  </si>
  <si>
    <t>9338 JP Equity</t>
  </si>
  <si>
    <t>2024A CF (9338 JP)</t>
  </si>
  <si>
    <t>Inforich Inc</t>
  </si>
  <si>
    <t>2024A CF (CAG US)</t>
  </si>
  <si>
    <t>Conagra Brands Inc</t>
  </si>
  <si>
    <t>MZTI US Equity</t>
  </si>
  <si>
    <t>2022A CF (MZTI US)</t>
  </si>
  <si>
    <t>Marzetti Company/The</t>
  </si>
  <si>
    <t>2025Q3 CF (214320 KS)</t>
  </si>
  <si>
    <t>Innocean Worldwide Inc</t>
  </si>
  <si>
    <t>MPC CN Equity</t>
  </si>
  <si>
    <t>2024A CF (MPC CN)</t>
  </si>
  <si>
    <t>Madison Pacific Properties Inc</t>
  </si>
  <si>
    <t>NOTE US Equity</t>
  </si>
  <si>
    <t>2023A CF (NOTE US)</t>
  </si>
  <si>
    <t>FiscalNote Holdings Inc</t>
  </si>
  <si>
    <t>2024A CF (ILPT US)</t>
  </si>
  <si>
    <t>9806Z US Equity</t>
  </si>
  <si>
    <t>American Tire Distributors Inc</t>
  </si>
  <si>
    <t>RH US Equity</t>
  </si>
  <si>
    <t>RH</t>
  </si>
  <si>
    <t>2025Q3 CF (AIT US)</t>
  </si>
  <si>
    <t>KIMBERA MM Equity</t>
  </si>
  <si>
    <t>2022A CF (KIMBERA MM)</t>
  </si>
  <si>
    <t>Kimberly-Clark de Mexico SAB de CV</t>
  </si>
  <si>
    <t>LNZ AV Equity</t>
  </si>
  <si>
    <t>2024A CF (LNZ AV)</t>
  </si>
  <si>
    <t>Lenzing AG</t>
  </si>
  <si>
    <t>2024A CF (NEWT US)</t>
  </si>
  <si>
    <t>Estimate (KO US)</t>
  </si>
  <si>
    <t>Coca-Cola Co/The</t>
  </si>
  <si>
    <t>BIMBOA MM Equity</t>
  </si>
  <si>
    <t>Estimate (BIMBOA MM)</t>
  </si>
  <si>
    <t>Grupo Bimbo SAB de CV</t>
  </si>
  <si>
    <t>STRL US Equity</t>
  </si>
  <si>
    <t>Estimate (STRL US)</t>
  </si>
  <si>
    <t>Sterling Infrastructure Inc</t>
  </si>
  <si>
    <t>CDNL US Equity</t>
  </si>
  <si>
    <t>2024A CF (CDNL US)</t>
  </si>
  <si>
    <t>Cardinal Infrastructure Group Inc</t>
  </si>
  <si>
    <t>2025A CF (TVSL IN)</t>
  </si>
  <si>
    <t>TVS Motor Co Ltd</t>
  </si>
  <si>
    <t>TVSHLTD IN Equity</t>
  </si>
  <si>
    <t>2025A CF (TVSHLTD IN)</t>
  </si>
  <si>
    <t>TVS Holdings Ltd</t>
  </si>
  <si>
    <t>1991093D US Equity</t>
  </si>
  <si>
    <t>Company News (IPG US)</t>
  </si>
  <si>
    <t>Carbon Direct Inc</t>
  </si>
  <si>
    <t>Salesforce Inc</t>
  </si>
  <si>
    <t>2025A CF (000063 CH)</t>
  </si>
  <si>
    <t>EMBASSY IN Equity</t>
  </si>
  <si>
    <t>2026Q2 CF (EMBASSY IN)</t>
  </si>
  <si>
    <t>Embassy Office Parks REIT</t>
  </si>
  <si>
    <t>INW IM Equity</t>
  </si>
  <si>
    <t>2025Q3 CF (INW IM)</t>
  </si>
  <si>
    <t>Infrastrutture Wireless Italiane SpA</t>
  </si>
  <si>
    <t>MUST SP Equity</t>
  </si>
  <si>
    <t>2023A CF (MUST SP)</t>
  </si>
  <si>
    <t>Manulife US Real Estate Investment Trust</t>
  </si>
  <si>
    <t>Company News (EXPE US)</t>
  </si>
  <si>
    <t>Alaska Air Group Inc</t>
  </si>
  <si>
    <t>AXP US Equity</t>
  </si>
  <si>
    <t>2023A CF (EXPE US)</t>
  </si>
  <si>
    <t>American Express Co</t>
  </si>
  <si>
    <t>Company News (LUV US)</t>
  </si>
  <si>
    <t>ICEAIR IR Equity</t>
  </si>
  <si>
    <t>Icelandair Group HF</t>
  </si>
  <si>
    <t>2022A CF (EVER US)</t>
  </si>
  <si>
    <t>SREI LN Equity</t>
  </si>
  <si>
    <t>2021A CF (SREI LN)</t>
  </si>
  <si>
    <t>Schroder Real Estate Investment Trust Ltd</t>
  </si>
  <si>
    <t>ONL US Equity</t>
  </si>
  <si>
    <t>2024A CF (ONL US)</t>
  </si>
  <si>
    <t>Orion Properties Inc</t>
  </si>
  <si>
    <t>KNTK US Equity</t>
  </si>
  <si>
    <t>2022Q4 CF (KNTK US)</t>
  </si>
  <si>
    <t>Kinetik Holdings Inc</t>
  </si>
  <si>
    <t>2022A CF (GSANBOB1 MM)</t>
  </si>
  <si>
    <t>Grupo Sanborns SAB de CV</t>
  </si>
  <si>
    <t>2024A CF (CNA LN)</t>
  </si>
  <si>
    <t>2021A CF (092200 KS)</t>
  </si>
  <si>
    <t>Dae-Il Corp</t>
  </si>
  <si>
    <t>HMFC IN Equity</t>
  </si>
  <si>
    <t>2025A CF (HMFC IN)</t>
  </si>
  <si>
    <t>HFCL Ltd</t>
  </si>
  <si>
    <t>IKE NZ Equity</t>
  </si>
  <si>
    <t>2025A CF (IKE NZ)</t>
  </si>
  <si>
    <t>ikeGPS Group Ltd</t>
  </si>
  <si>
    <t>2025S1 CF (603667 CH)</t>
  </si>
  <si>
    <t>Zhejiang XCC Group Co Ltd</t>
  </si>
  <si>
    <t>0676499D US Equity</t>
  </si>
  <si>
    <t>Miami International Airport</t>
  </si>
  <si>
    <t>0676513D US Equity</t>
  </si>
  <si>
    <t>Los Angeles International Airport</t>
  </si>
  <si>
    <t>106033Z US Equity</t>
  </si>
  <si>
    <t>John F Kennedy International Airport</t>
  </si>
  <si>
    <t>1116447Z LN Equity</t>
  </si>
  <si>
    <t>Heathrow Airport Ltd</t>
  </si>
  <si>
    <t>1211 HK Equity</t>
  </si>
  <si>
    <t>BYD Co Ltd</t>
  </si>
  <si>
    <t>KOA NO Equity</t>
  </si>
  <si>
    <t>Estimate (KOA NO)</t>
  </si>
  <si>
    <t>Kongsberg Automotive ASA</t>
  </si>
  <si>
    <t>ON Semiconductor Corp</t>
  </si>
  <si>
    <t>6201 JP Equity</t>
  </si>
  <si>
    <t>Toyota Industries Corp</t>
  </si>
  <si>
    <t>Estimate (TXN US)</t>
  </si>
  <si>
    <t>2760 JP Equity</t>
  </si>
  <si>
    <t>Estimate (2760 JP)</t>
  </si>
  <si>
    <t>Tokyo Electron Device Ltd</t>
  </si>
  <si>
    <t>1448460D US Equity</t>
  </si>
  <si>
    <t>2023A CF (CHRD US)</t>
  </si>
  <si>
    <t>Gunvor USA LLC</t>
  </si>
  <si>
    <t>2022A CF (CHRD US)</t>
  </si>
  <si>
    <t>2022A CF (600777 CH)</t>
  </si>
  <si>
    <t>NORAM NO Equity</t>
  </si>
  <si>
    <t>2023Q3 CF (NORAM NO)</t>
  </si>
  <si>
    <t>Noram Drilling AS</t>
  </si>
  <si>
    <t>STR US Equity</t>
  </si>
  <si>
    <t>2023A CF (STR US)</t>
  </si>
  <si>
    <t>Sitio Royalties Corp</t>
  </si>
  <si>
    <t>2025Q2 CF (DV US)</t>
  </si>
  <si>
    <t>DoubleVerify Holdings Inc</t>
  </si>
  <si>
    <t>CTRI US Equity</t>
  </si>
  <si>
    <t>2025Q3 CF (CTRI US)</t>
  </si>
  <si>
    <t>Centuri Holdings Inc</t>
  </si>
  <si>
    <t>HNRG US Equity</t>
  </si>
  <si>
    <t>2025A CF (HNRG US)</t>
  </si>
  <si>
    <t>Hallador Energy Co</t>
  </si>
  <si>
    <t>2024A CF (LNT US)</t>
  </si>
  <si>
    <t>Alliant Energy Corp</t>
  </si>
  <si>
    <t>2021A CF (WEC US)</t>
  </si>
  <si>
    <t>002611 CH Equity</t>
  </si>
  <si>
    <t>Guangdong Dongfang Precision Science &amp; Technology Co Ltd</t>
  </si>
  <si>
    <t>0564762D US Equity</t>
  </si>
  <si>
    <t>2022A CF (WEC US)</t>
  </si>
  <si>
    <t>Natural Gas Pipeline Co of America LLC</t>
  </si>
  <si>
    <t>Company News (VAC US)</t>
  </si>
  <si>
    <t>Branson's Nantucket LLC</t>
  </si>
  <si>
    <t>002626 CH Equity</t>
  </si>
  <si>
    <t>2024A CF (002626 CH)</t>
  </si>
  <si>
    <t>Xiamen Kingdomway Group Co</t>
  </si>
  <si>
    <t>EVRI US Equity</t>
  </si>
  <si>
    <t>2022A CF (EVRI US)</t>
  </si>
  <si>
    <t>Everi Holdings Inc</t>
  </si>
  <si>
    <t>FMCC US Equity</t>
  </si>
  <si>
    <t>Company News (FMCC US)</t>
  </si>
  <si>
    <t>Federal Home Loan Mortgage Corp</t>
  </si>
  <si>
    <t>2024A CF (ACM US)</t>
  </si>
  <si>
    <t>0009844D US Equity</t>
  </si>
  <si>
    <t>Company News (ACM US)</t>
  </si>
  <si>
    <t>State of Washington Department of Transportation</t>
  </si>
  <si>
    <t>0036117D US Equity</t>
  </si>
  <si>
    <t>2023A CF (ACM US)</t>
  </si>
  <si>
    <t>JFK International Air Terminal LLC</t>
  </si>
  <si>
    <t>0141947D CN Equity</t>
  </si>
  <si>
    <t>Ontario Infrastructure Projects Corp</t>
  </si>
  <si>
    <t>2022A CF (294090 KS)</t>
  </si>
  <si>
    <t>Eoflow Co Ltd</t>
  </si>
  <si>
    <t>301165 CH Equity</t>
  </si>
  <si>
    <t>2022S1 CF (301165 CH)</t>
  </si>
  <si>
    <t>Ruijie Networks Co Ltd</t>
  </si>
  <si>
    <t>2025A CF (IT US)</t>
  </si>
  <si>
    <t>APGTQ US Equity</t>
  </si>
  <si>
    <t>2024Q1 CF (APGTQ US)</t>
  </si>
  <si>
    <t>Appgate Inc</t>
  </si>
  <si>
    <t>AWTC MK Equity</t>
  </si>
  <si>
    <t>2022A CF (AWTC MK)</t>
  </si>
  <si>
    <t>Awanbiru Technology Bhd</t>
  </si>
  <si>
    <t>Caesars Entertainment Inc</t>
  </si>
  <si>
    <t>MGM Resorts International</t>
  </si>
  <si>
    <t>0089742Z US Equity</t>
  </si>
  <si>
    <t>Eastern Band of Cherokee Indians</t>
  </si>
  <si>
    <t>0096713D US Equity</t>
  </si>
  <si>
    <t>2022A CF (VICI US)</t>
  </si>
  <si>
    <t>Rock Games LLC</t>
  </si>
  <si>
    <t>0096769D US Equity</t>
  </si>
  <si>
    <t>Jack Ohio LLC</t>
  </si>
  <si>
    <t>2024Q3 CF (BILL US)</t>
  </si>
  <si>
    <t>BILL Holdings Inc</t>
  </si>
  <si>
    <t>DT US Equity</t>
  </si>
  <si>
    <t>2022A CF (DT US)</t>
  </si>
  <si>
    <t>Dynatrace Inc</t>
  </si>
  <si>
    <t>HCP US Equity</t>
  </si>
  <si>
    <t>2023Q1 CF (HCP US)</t>
  </si>
  <si>
    <t>HashiCorp Inc</t>
  </si>
  <si>
    <t>Company News (OXY US)</t>
  </si>
  <si>
    <t>King Ranch Inc</t>
  </si>
  <si>
    <t>096770 KS Equity</t>
  </si>
  <si>
    <t>Company News (096770 KS)</t>
  </si>
  <si>
    <t>SK Innovation Co Ltd</t>
  </si>
  <si>
    <t>18055Z US Equity</t>
  </si>
  <si>
    <t>Boston Consulting Group Inc/The</t>
  </si>
  <si>
    <t>19963Z US Equity</t>
  </si>
  <si>
    <t>Bain &amp; Co Inc</t>
  </si>
  <si>
    <t>600273 CH Equity</t>
  </si>
  <si>
    <t>2024S1 CF (600273 CH)</t>
  </si>
  <si>
    <t>Zhejiang Jiahua Energy Chemical Industry Co Ltd</t>
  </si>
  <si>
    <t>2025A CF (LHX US)</t>
  </si>
  <si>
    <t>Estimate (LHX US)</t>
  </si>
  <si>
    <t>GIVN SW Equity</t>
  </si>
  <si>
    <t>Estimate (GIVN SW)</t>
  </si>
  <si>
    <t>Givaudan SA</t>
  </si>
  <si>
    <t>ORLY US Equity</t>
  </si>
  <si>
    <t>O'Reilly Automotive Inc</t>
  </si>
  <si>
    <t>2675B US Equity</t>
  </si>
  <si>
    <t>Ace Hardware Corp</t>
  </si>
  <si>
    <t>4484475Z US Equity</t>
  </si>
  <si>
    <t>Do it Best Corp</t>
  </si>
  <si>
    <t>2024A CF (2565 HK)</t>
  </si>
  <si>
    <t>PegBio Co Ltd</t>
  </si>
  <si>
    <t>950220 KS Equity</t>
  </si>
  <si>
    <t>2025C3 CF (950220 KS)</t>
  </si>
  <si>
    <t>NeoImmuneTech Inc</t>
  </si>
  <si>
    <t>VEEV US Equity</t>
  </si>
  <si>
    <t>Company News (VEEV US)</t>
  </si>
  <si>
    <t>Veeva Systems Inc</t>
  </si>
  <si>
    <t>Company News (CRM US)</t>
  </si>
  <si>
    <t>0752339D US Equity</t>
  </si>
  <si>
    <t>Fowler Ridge II Wind Farm LLC</t>
  </si>
  <si>
    <t>0809026D US Equity</t>
  </si>
  <si>
    <t>Benton County Wind Farm LLC</t>
  </si>
  <si>
    <t>0880147D US Equity</t>
  </si>
  <si>
    <t>2023A CF (CNP US)</t>
  </si>
  <si>
    <t>Koch Energy Services LLC</t>
  </si>
  <si>
    <t>BOSCHHCI IN Equity</t>
  </si>
  <si>
    <t>2025A CF (BOSCHHCI IN)</t>
  </si>
  <si>
    <t>Bosch Home Comfort India Ltd</t>
  </si>
  <si>
    <t>Endo International PLC</t>
  </si>
  <si>
    <t>MSM US Equity</t>
  </si>
  <si>
    <t>2025Q2 CF (MSM US)</t>
  </si>
  <si>
    <t>MSC Industrial Direct Co Inc</t>
  </si>
  <si>
    <t>2024A CF (091090 KS)</t>
  </si>
  <si>
    <t>Sewon E&amp;C Co Ltd</t>
  </si>
  <si>
    <t>ATL SP Equity</t>
  </si>
  <si>
    <t>2024A CF (ATL SP)</t>
  </si>
  <si>
    <t>Atlantic Navigation Holdings Singapore Ltd</t>
  </si>
  <si>
    <t>Estimate (NESN SW)</t>
  </si>
  <si>
    <t>VNO US Equity</t>
  </si>
  <si>
    <t>2024A CF (VNO US)</t>
  </si>
  <si>
    <t>Vornado Realty Trust</t>
  </si>
  <si>
    <t>Estimate (TTD US)</t>
  </si>
  <si>
    <t>2023A CF (053300 KS)</t>
  </si>
  <si>
    <t>2022A CF (GTN US)</t>
  </si>
  <si>
    <t>Cozi Group Inc</t>
  </si>
  <si>
    <t>1891133D US Equity</t>
  </si>
  <si>
    <t>Antenna TV SA</t>
  </si>
  <si>
    <t>2392288D US Equity</t>
  </si>
  <si>
    <t>Company News (GTN US)</t>
  </si>
  <si>
    <t>Major League Pickleball Inc</t>
  </si>
  <si>
    <t>2025A CF (EA US)</t>
  </si>
  <si>
    <t>Estimate (EA US)</t>
  </si>
  <si>
    <t>2022A CF (010950 KS)</t>
  </si>
  <si>
    <t>S-Oil Corp</t>
  </si>
  <si>
    <t>2025C1 CF (267250 KS)</t>
  </si>
  <si>
    <t>LAC CN Equity</t>
  </si>
  <si>
    <t>Company News (LAC CN)</t>
  </si>
  <si>
    <t>Lithium Americas Corp</t>
  </si>
  <si>
    <t>8035 JP Equity</t>
  </si>
  <si>
    <t>Estimate (8035 JP)</t>
  </si>
  <si>
    <t>Tokyo Electron Ltd</t>
  </si>
  <si>
    <t>002189 CH Equity</t>
  </si>
  <si>
    <t>Company News (002189 CH)</t>
  </si>
  <si>
    <t>Costar Group Co Ltd</t>
  </si>
  <si>
    <t>0834326D US Equity</t>
  </si>
  <si>
    <t>Company News (IT US)</t>
  </si>
  <si>
    <t>Laserfiche</t>
  </si>
  <si>
    <t>1647533D US Equity</t>
  </si>
  <si>
    <t>Company News (1647533D US)</t>
  </si>
  <si>
    <t>AuditBoard Inc</t>
  </si>
  <si>
    <t>Company News (ASC LN)</t>
  </si>
  <si>
    <t>ASOS PLC</t>
  </si>
  <si>
    <t>XYZ US Equity</t>
  </si>
  <si>
    <t>2025A CF (XYZ US)</t>
  </si>
  <si>
    <t>Block Inc</t>
  </si>
  <si>
    <t>T-Mobile US Inc</t>
  </si>
  <si>
    <t>TEF SM Equity</t>
  </si>
  <si>
    <t>Telefonica SA</t>
  </si>
  <si>
    <t>AMXB MM Equity</t>
  </si>
  <si>
    <t>Estimate (AMT US)</t>
  </si>
  <si>
    <t>America Movil SAB de CV</t>
  </si>
  <si>
    <t>2021A CF (GCARSOA1 MM)</t>
  </si>
  <si>
    <t>Grupo Carso SAB de CV</t>
  </si>
  <si>
    <t>MA US Equity</t>
  </si>
  <si>
    <t>2024Q1 CF (MA US)</t>
  </si>
  <si>
    <t>Mastercard Inc</t>
  </si>
  <si>
    <t>2021A CF (102460 KS)</t>
  </si>
  <si>
    <t>Reyon Pharmaceutical Co Ltd</t>
  </si>
  <si>
    <t>1779447D US Equity</t>
  </si>
  <si>
    <t>2022Q1 CF (MNKTQ US)</t>
  </si>
  <si>
    <t>Biomedical Advanced Research &amp; Development Authority</t>
  </si>
  <si>
    <t>2023Q3 CF (MNKTQ US)</t>
  </si>
  <si>
    <t>2025A CF (REYN US)</t>
  </si>
  <si>
    <t>Reynolds Consumer Products Inc</t>
  </si>
  <si>
    <t>4466424Z NZ Equity</t>
  </si>
  <si>
    <t>2024A CF (PTVE US)</t>
  </si>
  <si>
    <t>Rank Group Ltd</t>
  </si>
  <si>
    <t>CHE-U CN Equity</t>
  </si>
  <si>
    <t>2021A CF (CHE-U CN)</t>
  </si>
  <si>
    <t>Chemtrade Logistics Income Fund</t>
  </si>
  <si>
    <t>2024A CF (1788 TT)</t>
  </si>
  <si>
    <t>003000 KS Equity</t>
  </si>
  <si>
    <t>2025C3 CF (003000 KS)</t>
  </si>
  <si>
    <t>Bukwang Pharmaceutical Co Ltd</t>
  </si>
  <si>
    <t>142280 KS Equity</t>
  </si>
  <si>
    <t>2022A CF (142280 KS)</t>
  </si>
  <si>
    <t>Green Cross Medical Science Corp</t>
  </si>
  <si>
    <t>26794MF US Equity</t>
  </si>
  <si>
    <t>Company News (BAX US)</t>
  </si>
  <si>
    <t>Medical University of South Carolina/The</t>
  </si>
  <si>
    <t>2025C3 CF (4164 TT)</t>
  </si>
  <si>
    <t>2024A CF (WEC US)</t>
  </si>
  <si>
    <t>1084295D US Equity</t>
  </si>
  <si>
    <t>Company News (1084295D US)</t>
  </si>
  <si>
    <t>OneEnergy Renewables</t>
  </si>
  <si>
    <t>1192735D US Equity</t>
  </si>
  <si>
    <t>SEMCO Pipeline Co</t>
  </si>
  <si>
    <t>148990Z US Equity</t>
  </si>
  <si>
    <t>Viking Gas Transmission Co</t>
  </si>
  <si>
    <t>2024A CF (VAC US)</t>
  </si>
  <si>
    <t>Hyatt Hotels Corp</t>
  </si>
  <si>
    <t>2025A CF (MAR US)</t>
  </si>
  <si>
    <t>Marriott International Inc/MD</t>
  </si>
  <si>
    <t>2023A CF (GCARSOA1 MM)</t>
  </si>
  <si>
    <t>2025A CF (PG US)</t>
  </si>
  <si>
    <t>2024A CF (2610 TT)</t>
  </si>
  <si>
    <t>China Airlines Ltd</t>
  </si>
  <si>
    <t>2618 TT Equity</t>
  </si>
  <si>
    <t>2024A CF (2618 TT)</t>
  </si>
  <si>
    <t>Eva Airways Corp</t>
  </si>
  <si>
    <t>000997 CH Equity</t>
  </si>
  <si>
    <t>2024A CF (000997 CH)</t>
  </si>
  <si>
    <t>Newland Digital Technology Co Ltd</t>
  </si>
  <si>
    <t>0211417Z US Equity</t>
  </si>
  <si>
    <t>Company News (0211417Z US)</t>
  </si>
  <si>
    <t>DataStax Inc</t>
  </si>
  <si>
    <t>0732900D US Equity</t>
  </si>
  <si>
    <t>Company News (0732900D US)</t>
  </si>
  <si>
    <t>West Cary Group LLC</t>
  </si>
  <si>
    <t>Company News (TDOC US)</t>
  </si>
  <si>
    <t>2022A CF (CNXN US)</t>
  </si>
  <si>
    <t>Penn Entertainment Inc</t>
  </si>
  <si>
    <t>BALY US Equity</t>
  </si>
  <si>
    <t>Bally's Corp</t>
  </si>
  <si>
    <t>968318Z US Equity</t>
  </si>
  <si>
    <t>Cordish Co/The</t>
  </si>
  <si>
    <t>BYD US Equity</t>
  </si>
  <si>
    <t>Boyd Gaming Corp</t>
  </si>
  <si>
    <t>2026Q3 CF (DKS US)</t>
  </si>
  <si>
    <t>2024A CF (CLINT SP)</t>
  </si>
  <si>
    <t>Capitaland India Trust</t>
  </si>
  <si>
    <t>Company News (1447661D US)</t>
  </si>
  <si>
    <t>Dealpath Inc</t>
  </si>
  <si>
    <t>Microchip Technology Inc</t>
  </si>
  <si>
    <t>PTC US Equity</t>
  </si>
  <si>
    <t>Estimate (PTC US)</t>
  </si>
  <si>
    <t>PTC Inc</t>
  </si>
  <si>
    <t>2025A CF (NSP US)</t>
  </si>
  <si>
    <t>Insperity Inc</t>
  </si>
  <si>
    <t>2024A CF (UE US)</t>
  </si>
  <si>
    <t>Urban Edge Properties</t>
  </si>
  <si>
    <t>Estimate (AKE FP)</t>
  </si>
  <si>
    <t>Arkema SA</t>
  </si>
  <si>
    <t>GGG US Equity</t>
  </si>
  <si>
    <t>Graco Inc</t>
  </si>
  <si>
    <t>DuPont de Nemours Inc</t>
  </si>
  <si>
    <t>BOOM US Equity</t>
  </si>
  <si>
    <t>2022Q3 CF (BOOM US)</t>
  </si>
  <si>
    <t>DMC Global Inc</t>
  </si>
  <si>
    <t>2025A CF (BIRET IN)</t>
  </si>
  <si>
    <t>Company News (THC US)</t>
  </si>
  <si>
    <t>Mount Sinai Community Foundation</t>
  </si>
  <si>
    <t>67995MF US Equity</t>
  </si>
  <si>
    <t>2022A CF (THC US)</t>
  </si>
  <si>
    <t>CommonSpirit Health</t>
  </si>
  <si>
    <t>2024A CF (THC US)</t>
  </si>
  <si>
    <t>2024A CF (HPP US)</t>
  </si>
  <si>
    <t>Hudson Pacific Properties Inc</t>
  </si>
  <si>
    <t>0322498Z US Equity</t>
  </si>
  <si>
    <t>2025Q3 CF (EA US)</t>
  </si>
  <si>
    <t>National Football League Players Association</t>
  </si>
  <si>
    <t>0377218Z US Equity</t>
  </si>
  <si>
    <t>Company News (EA US)</t>
  </si>
  <si>
    <t>Jivox Corp</t>
  </si>
  <si>
    <t>2024A CF (ALE PW)</t>
  </si>
  <si>
    <t>Allegro.eu SA</t>
  </si>
  <si>
    <t>0208044D US Equity</t>
  </si>
  <si>
    <t>Company News (FISV US)</t>
  </si>
  <si>
    <t>Inspire Brands Inc</t>
  </si>
  <si>
    <t>0226331D US Equity</t>
  </si>
  <si>
    <t>2023Q3 CF (FISV US)</t>
  </si>
  <si>
    <t>Clearing House Payments Co LLC/The</t>
  </si>
  <si>
    <t>0323050Z US Equity</t>
  </si>
  <si>
    <t>DFCU Financial Group LLC</t>
  </si>
  <si>
    <t>0325098Z US Equity</t>
  </si>
  <si>
    <t>Golden 1 Credit Union/The</t>
  </si>
  <si>
    <t>Motorola Solutions Inc</t>
  </si>
  <si>
    <t>2025A CF (DLTR US)</t>
  </si>
  <si>
    <t>Maplebear Inc</t>
  </si>
  <si>
    <t>0848352D US Equity</t>
  </si>
  <si>
    <t>2023A CF (DLTR US)</t>
  </si>
  <si>
    <t>Instacart Inc</t>
  </si>
  <si>
    <t>2025A CF (STRZ US)</t>
  </si>
  <si>
    <t>2024A CF (STRZ US)</t>
  </si>
  <si>
    <t>0102707D US Equity</t>
  </si>
  <si>
    <t>Epix Inc</t>
  </si>
  <si>
    <t>0346461D LN Equity</t>
  </si>
  <si>
    <t>2022A CF (STRZ US)</t>
  </si>
  <si>
    <t>BBC Wales</t>
  </si>
  <si>
    <t>CAP FP Equity</t>
  </si>
  <si>
    <t>Estimate (CAP FP)</t>
  </si>
  <si>
    <t>Capgemini SE</t>
  </si>
  <si>
    <t>0180830Z US Equity</t>
  </si>
  <si>
    <t>Source Health Care Analytics Inc</t>
  </si>
  <si>
    <t>0877599D US Equity</t>
  </si>
  <si>
    <t>Senderra RX Partners LLC</t>
  </si>
  <si>
    <t>0909700D US Equity</t>
  </si>
  <si>
    <t>Pittsburg Tank &amp; Tower Maintenance Co Inc</t>
  </si>
  <si>
    <t>2505298D US Equity</t>
  </si>
  <si>
    <t>Syneos Health Inc</t>
  </si>
  <si>
    <t>2022A CF (OVV US)</t>
  </si>
  <si>
    <t>M3V GR Equity</t>
  </si>
  <si>
    <t>2024A CF (M3V GR)</t>
  </si>
  <si>
    <t>MeVis Medical Solutions AG</t>
  </si>
  <si>
    <t>Estimate (ATS CN)</t>
  </si>
  <si>
    <t>2025S1 CF (603658 CH)</t>
  </si>
  <si>
    <t>Estimate (NWL US)</t>
  </si>
  <si>
    <t>2025C2 CF (000320 KS)</t>
  </si>
  <si>
    <t>Noroo Holdings Co Ltd</t>
  </si>
  <si>
    <t>Blue Racer Midstream LLC</t>
  </si>
  <si>
    <t>MPLX LP</t>
  </si>
  <si>
    <t>Williams Cos Inc/The</t>
  </si>
  <si>
    <t>NFG US Equity</t>
  </si>
  <si>
    <t>2024A CF (NFG US)</t>
  </si>
  <si>
    <t>National Fuel Gas Co</t>
  </si>
  <si>
    <t>OMEX US Equity</t>
  </si>
  <si>
    <t>2024A CF (OMEX US)</t>
  </si>
  <si>
    <t>Odyssey Marine Exploration Inc</t>
  </si>
  <si>
    <t>5009 TT Equity</t>
  </si>
  <si>
    <t>2025C3 CF (5009 TT)</t>
  </si>
  <si>
    <t>Gloria Material Technology Corp</t>
  </si>
  <si>
    <t>2024A CF (WPC US)</t>
  </si>
  <si>
    <t>Extra Space Storage Inc</t>
  </si>
  <si>
    <t>0148539D CN Equity</t>
  </si>
  <si>
    <t>Apotex Pharmaceutical Holdings Inc</t>
  </si>
  <si>
    <t>B4B GR Equity</t>
  </si>
  <si>
    <t>METRO AG</t>
  </si>
  <si>
    <t>587877Z GR Equity</t>
  </si>
  <si>
    <t>HELLWEG Die Profi-Baumaerkte GmbH &amp; Co KG</t>
  </si>
  <si>
    <t>2024A CF (HR US)</t>
  </si>
  <si>
    <t>HCA Healthcare Inc</t>
  </si>
  <si>
    <t>1012015D US Equity</t>
  </si>
  <si>
    <t>Baylor Scott &amp; White Health LLC</t>
  </si>
  <si>
    <t>125218MF US Equity</t>
  </si>
  <si>
    <t>Ascension Health Alliance</t>
  </si>
  <si>
    <t>0124800D US Equity</t>
  </si>
  <si>
    <t>EHS Home Health Care Service Inc</t>
  </si>
  <si>
    <t>2021A CF (CMS US)</t>
  </si>
  <si>
    <t>2024A CF (MUST SP)</t>
  </si>
  <si>
    <t>RPR-U CN Equity</t>
  </si>
  <si>
    <t>2024A CF (RPR-U CN)</t>
  </si>
  <si>
    <t>Ravelin Properties REIT</t>
  </si>
  <si>
    <t>Healthcare Realty Trust Inc</t>
  </si>
  <si>
    <t>Twinstrand Biosciences Inc</t>
  </si>
  <si>
    <t>ILMN US Equity</t>
  </si>
  <si>
    <t>Estimate (ILMN US)</t>
  </si>
  <si>
    <t>Illumina Inc</t>
  </si>
  <si>
    <t>1176L US Equity</t>
  </si>
  <si>
    <t>Company News (1176L US)</t>
  </si>
  <si>
    <t>Goodwin Procter LLP</t>
  </si>
  <si>
    <t>1411948D US Equity</t>
  </si>
  <si>
    <t>Company News (1411948D US)</t>
  </si>
  <si>
    <t>Freenome Holdings Inc</t>
  </si>
  <si>
    <t>BFS US Equity</t>
  </si>
  <si>
    <t>2024A CF (BFS US)</t>
  </si>
  <si>
    <t>Saul Centers Inc</t>
  </si>
  <si>
    <t>2025Q1 CF (CAP FP)</t>
  </si>
  <si>
    <t>GTM US Equity</t>
  </si>
  <si>
    <t>2022Q3 CF (GTM US)</t>
  </si>
  <si>
    <t>ZoomInfo Technologies Inc</t>
  </si>
  <si>
    <t>2024Q2 CF (HI US)</t>
  </si>
  <si>
    <t>Mars Inc</t>
  </si>
  <si>
    <t>603286 CH Equity</t>
  </si>
  <si>
    <t>2024A CF (603286 CH)</t>
  </si>
  <si>
    <t>Jiangsu Riying Electronics Co Ltd</t>
  </si>
  <si>
    <t>2024Q2 CF (2353 TT)</t>
  </si>
  <si>
    <t>2906 TT Equity</t>
  </si>
  <si>
    <t>2024A CF (2906 TT)</t>
  </si>
  <si>
    <t>Collins Co Ltd</t>
  </si>
  <si>
    <t>300043 CH Equity</t>
  </si>
  <si>
    <t>2022A CF (300043 CH)</t>
  </si>
  <si>
    <t>Rastar Group</t>
  </si>
  <si>
    <t>2022A CF (420 HK)</t>
  </si>
  <si>
    <t>ALPRG FP Equity</t>
  </si>
  <si>
    <t>2023A CF (ALPRG FP)</t>
  </si>
  <si>
    <t>Prologue</t>
  </si>
  <si>
    <t>2025A CF (LION US)</t>
  </si>
  <si>
    <t>Lionsgate Studios Corp</t>
  </si>
  <si>
    <t>Estimate (6758 JP)</t>
  </si>
  <si>
    <t>FNKO US Equity</t>
  </si>
  <si>
    <t>Estimate (FNKO US)</t>
  </si>
  <si>
    <t>Funko Inc</t>
  </si>
  <si>
    <t>SNDR US Equity</t>
  </si>
  <si>
    <t>Estimate (SNDR US)</t>
  </si>
  <si>
    <t>Schneider National Inc</t>
  </si>
  <si>
    <t>MASI US Equity</t>
  </si>
  <si>
    <t>Estimate (MASI US)</t>
  </si>
  <si>
    <t>Masimo Corp</t>
  </si>
  <si>
    <t>Estimate (UFPT US)</t>
  </si>
  <si>
    <t>2025C3 CF (142280 KS)</t>
  </si>
  <si>
    <t>SND US Equity</t>
  </si>
  <si>
    <t>2024A CF (SND US)</t>
  </si>
  <si>
    <t>Smart Sand Inc</t>
  </si>
  <si>
    <t>Company News (SRE US)</t>
  </si>
  <si>
    <t>Sempra</t>
  </si>
  <si>
    <t>STOWV1 US Equity</t>
  </si>
  <si>
    <t>2025Q3 CF (EQT US)</t>
  </si>
  <si>
    <t>State of West Virginia</t>
  </si>
  <si>
    <t>2025C3 CF (049480 KS)</t>
  </si>
  <si>
    <t>Openbase Inc</t>
  </si>
  <si>
    <t>232830 KS Equity</t>
  </si>
  <si>
    <t>2023A CF (232830 KS)</t>
  </si>
  <si>
    <t>Itcenpns Co Ltd</t>
  </si>
  <si>
    <t>294570 KS Equity</t>
  </si>
  <si>
    <t>2025C3 CF (294570 KS)</t>
  </si>
  <si>
    <t>Coocon Corp</t>
  </si>
  <si>
    <t>GICSAB MM Equity</t>
  </si>
  <si>
    <t>2023A CF (GICSAB MM)</t>
  </si>
  <si>
    <t>Grupo GICSA SAB de CV</t>
  </si>
  <si>
    <t>MRCY US Equity</t>
  </si>
  <si>
    <t>Estimate (MRCY US)</t>
  </si>
  <si>
    <t>Mercury Systems Inc</t>
  </si>
  <si>
    <t>Teledyne Technologies Inc</t>
  </si>
  <si>
    <t>0732387D US Equity</t>
  </si>
  <si>
    <t>Company News (AMT US)</t>
  </si>
  <si>
    <t>Flo Networks</t>
  </si>
  <si>
    <t>323548L LN Equity</t>
  </si>
  <si>
    <t>Company News (323548L LN)</t>
  </si>
  <si>
    <t>Ashurst LLP</t>
  </si>
  <si>
    <t>6232 JP Equity</t>
  </si>
  <si>
    <t>2025A CF (6232 JP)</t>
  </si>
  <si>
    <t>ACSL LTD</t>
  </si>
  <si>
    <t>ARENM IN Equity</t>
  </si>
  <si>
    <t>2026Q2 CF (ARENM IN)</t>
  </si>
  <si>
    <t>Amara Raja Energy &amp; Mobility Ltd</t>
  </si>
  <si>
    <t>OTEX CN Equity</t>
  </si>
  <si>
    <t>2025Q1 CF (OTEX CN)</t>
  </si>
  <si>
    <t>Open Text Corp</t>
  </si>
  <si>
    <t>2024A CF (OXY US)</t>
  </si>
  <si>
    <t>Estimate (ITX SM)</t>
  </si>
  <si>
    <t>Industria de Diseno Textil SA</t>
  </si>
  <si>
    <t>Company News (005380 KS)</t>
  </si>
  <si>
    <t>601069 CH Equity</t>
  </si>
  <si>
    <t>2023S1 CF (601069 CH)</t>
  </si>
  <si>
    <t>Western Region Gold Co Ltd</t>
  </si>
  <si>
    <t>ACQ CN Equity</t>
  </si>
  <si>
    <t>Company News (ACQ CN)</t>
  </si>
  <si>
    <t>AutoCanada Inc</t>
  </si>
  <si>
    <t>2025A CF (BIIB US)</t>
  </si>
  <si>
    <t>Ionis Pharmaceuticals Inc</t>
  </si>
  <si>
    <t>ALKS US Equity</t>
  </si>
  <si>
    <t>2024A CF (ALKS US)</t>
  </si>
  <si>
    <t>Alkermes PLC</t>
  </si>
  <si>
    <t>RPRX US Equity</t>
  </si>
  <si>
    <t>Estimate (RPRX US)</t>
  </si>
  <si>
    <t>Royalty Pharma PLC</t>
  </si>
  <si>
    <t>SUPN US Equity</t>
  </si>
  <si>
    <t>Estimate (SUPN US)</t>
  </si>
  <si>
    <t>Supernus Pharmaceuticals Inc</t>
  </si>
  <si>
    <t>KSS US Equity</t>
  </si>
  <si>
    <t>Estimate (KSS US)</t>
  </si>
  <si>
    <t>Kohl's Corp</t>
  </si>
  <si>
    <t>ZAL GR Equity</t>
  </si>
  <si>
    <t>Zalando SE</t>
  </si>
  <si>
    <t>Company News (002153 CH)</t>
  </si>
  <si>
    <t>0177898D US Equity</t>
  </si>
  <si>
    <t>Company News (PEB US)</t>
  </si>
  <si>
    <t>Pro Park Inc</t>
  </si>
  <si>
    <t>0868259D US Equity</t>
  </si>
  <si>
    <t>LAZ Parking Ltd</t>
  </si>
  <si>
    <t>1996274D US Equity</t>
  </si>
  <si>
    <t>Canary Technologies Corp</t>
  </si>
  <si>
    <t>XSL IN Equity</t>
  </si>
  <si>
    <t>2025A CF (XSL IN)</t>
  </si>
  <si>
    <t>Xchanging Solutions Ltd</t>
  </si>
  <si>
    <t>IBE SM Equity</t>
  </si>
  <si>
    <t>Media News (IBE SM)</t>
  </si>
  <si>
    <t>Iberdrola SA</t>
  </si>
  <si>
    <t>PKO PW Equity</t>
  </si>
  <si>
    <t>Company News (DXC US)</t>
  </si>
  <si>
    <t>Powszechna Kasa Oszczednosci Bank Polski SA</t>
  </si>
  <si>
    <t>000156 CH Equity</t>
  </si>
  <si>
    <t>2024A CF (000156 CH)</t>
  </si>
  <si>
    <t>Wasu Media Holding Co Ltd</t>
  </si>
  <si>
    <t>002174 CH Equity</t>
  </si>
  <si>
    <t>2024A CF (002174 CH)</t>
  </si>
  <si>
    <t>Youzu Interactive Co Ltd</t>
  </si>
  <si>
    <t>002269 CH Equity</t>
  </si>
  <si>
    <t>2021A CF (002269 CH)</t>
  </si>
  <si>
    <t>Shanghai Metersbonwe Fashion &amp; Accessories Co Ltd</t>
  </si>
  <si>
    <t>002867 CH Equity</t>
  </si>
  <si>
    <t>2023S1 CF (002867 CH)</t>
  </si>
  <si>
    <t>Chow Tai Seng Jewellery Co Ltd</t>
  </si>
  <si>
    <t>2025C2 CF (AMAT US)</t>
  </si>
  <si>
    <t>2024A CF (BDN US)</t>
  </si>
  <si>
    <t>Brandywine Realty Trust</t>
  </si>
  <si>
    <t>752 HK Equity</t>
  </si>
  <si>
    <t>2022A CF (752 HK)</t>
  </si>
  <si>
    <t>Pico Far East Holdings Ltd</t>
  </si>
  <si>
    <t>000270 KS Equity</t>
  </si>
  <si>
    <t>Kia Corp</t>
  </si>
  <si>
    <t>000300 KS Equity</t>
  </si>
  <si>
    <t>DHAutonex Co Ltd</t>
  </si>
  <si>
    <t>000430 KS Equity</t>
  </si>
  <si>
    <t>Dae Won Kang Up Co Ltd</t>
  </si>
  <si>
    <t>KGX GR Equity</t>
  </si>
  <si>
    <t>2024Q3 CF (KGX GR)</t>
  </si>
  <si>
    <t>KION Group AG</t>
  </si>
  <si>
    <t>PPL US Equity</t>
  </si>
  <si>
    <t>2021A CF (PPL US)</t>
  </si>
  <si>
    <t>PPL Corp</t>
  </si>
  <si>
    <t>TOY CN Equity</t>
  </si>
  <si>
    <t>Estimate (TOY CN)</t>
  </si>
  <si>
    <t>Spin Master Corp</t>
  </si>
  <si>
    <t>AEIS US Equity</t>
  </si>
  <si>
    <t>2024A CF (AEIS US)</t>
  </si>
  <si>
    <t>Advanced Energy Industries Inc</t>
  </si>
  <si>
    <t>2025A CF (BHE US)</t>
  </si>
  <si>
    <t>Estimate (HTZ US)</t>
  </si>
  <si>
    <t>Hertz Global Holdings Inc</t>
  </si>
  <si>
    <t>5364 TT Equity</t>
  </si>
  <si>
    <t>2024A CF (5364 TT)</t>
  </si>
  <si>
    <t>LEALEA Hotels &amp; Resorts Co Ltd</t>
  </si>
  <si>
    <t>CO FP Equity</t>
  </si>
  <si>
    <t>Estimate (CO FP)</t>
  </si>
  <si>
    <t>Casino Guichard Perrachon SA</t>
  </si>
  <si>
    <t>HDC SJ Equity</t>
  </si>
  <si>
    <t>2024A CF (HDC SJ)</t>
  </si>
  <si>
    <t>Hudaco Industries Ltd</t>
  </si>
  <si>
    <t>GPI US Equity</t>
  </si>
  <si>
    <t>2023Q3 CF (GPI US)</t>
  </si>
  <si>
    <t>Group 1 Automotive Inc</t>
  </si>
  <si>
    <t>2024A CF (SBRA US)</t>
  </si>
  <si>
    <t>Signature HealthCARE LLC</t>
  </si>
  <si>
    <t>ENSG US Equity</t>
  </si>
  <si>
    <t>Ensign Group Inc/The</t>
  </si>
  <si>
    <t>1707707D US Equity</t>
  </si>
  <si>
    <t>Avamere Family of Companies/The</t>
  </si>
  <si>
    <t>ACHC US Equity</t>
  </si>
  <si>
    <t>Acadia Healthcare Co Inc</t>
  </si>
  <si>
    <t>1363628D US Equity</t>
  </si>
  <si>
    <t>Recovery Centers of America Holdings LLC</t>
  </si>
  <si>
    <t>2023A CF (MPC US)</t>
  </si>
  <si>
    <t>YTENQ US Equity</t>
  </si>
  <si>
    <t>Company News (MPC US)</t>
  </si>
  <si>
    <t>Yield10 Bioscience Inc</t>
  </si>
  <si>
    <t>2024A CF (PKI CN)</t>
  </si>
  <si>
    <t>Estimate (LNZ AV)</t>
  </si>
  <si>
    <t>SKT US Equity</t>
  </si>
  <si>
    <t>2024A CF (SKT US)</t>
  </si>
  <si>
    <t>Tanger Inc</t>
  </si>
  <si>
    <t>Company News (VST US)</t>
  </si>
  <si>
    <t>4474139Z US Equity</t>
  </si>
  <si>
    <t>Texas Tech University Health Sciences Center/Lubbock</t>
  </si>
  <si>
    <t>624271Z US Equity</t>
  </si>
  <si>
    <t>University of Houston</t>
  </si>
  <si>
    <t>9448Z US Equity</t>
  </si>
  <si>
    <t>Texas Tech University</t>
  </si>
  <si>
    <t>HOMZQ US Equity</t>
  </si>
  <si>
    <t>2022Q2 CF (HOMZQ US)</t>
  </si>
  <si>
    <t>Home Products International Inc</t>
  </si>
  <si>
    <t>Westlake Corp</t>
  </si>
  <si>
    <t>FBIN US Equity</t>
  </si>
  <si>
    <t>Estimate (FBIN US)</t>
  </si>
  <si>
    <t>Fortune Brands Innovations Inc</t>
  </si>
  <si>
    <t>GFF US Equity</t>
  </si>
  <si>
    <t>Estimate (GFF US)</t>
  </si>
  <si>
    <t>Griffon Corp</t>
  </si>
  <si>
    <t>2025C3 CF (002790 KS)</t>
  </si>
  <si>
    <t>Amorepacific Holdings Corp</t>
  </si>
  <si>
    <t>3476030Z US Equity</t>
  </si>
  <si>
    <t>Company News (M US)</t>
  </si>
  <si>
    <t>Houston NFL Holdings LP</t>
  </si>
  <si>
    <t>8230373Z UH Equity</t>
  </si>
  <si>
    <t>2025A CF (M US)</t>
  </si>
  <si>
    <t>Al Tayer Group LLC</t>
  </si>
  <si>
    <t>AUTH US Equity</t>
  </si>
  <si>
    <t>Company News (AUTH US)</t>
  </si>
  <si>
    <t>Authentic Brands Group Inc</t>
  </si>
  <si>
    <t>DXLG US Equity</t>
  </si>
  <si>
    <t>2023A CF (DXLG US)</t>
  </si>
  <si>
    <t>Destination XL Group Inc</t>
  </si>
  <si>
    <t>603215 CH Equity</t>
  </si>
  <si>
    <t>2024A CF (603215 CH)</t>
  </si>
  <si>
    <t>Zhejiang Biyi Electric Appliance Co Ltd</t>
  </si>
  <si>
    <t>6954 JP Equity</t>
  </si>
  <si>
    <t>Estimate (6954 JP)</t>
  </si>
  <si>
    <t>FANUC Corp</t>
  </si>
  <si>
    <t>IDL FP Equity</t>
  </si>
  <si>
    <t>Estimate (IDL FP)</t>
  </si>
  <si>
    <t>ID Logistics Group SACA</t>
  </si>
  <si>
    <t>Company News (16453Z QD)</t>
  </si>
  <si>
    <t>QatarEnergy</t>
  </si>
  <si>
    <t>GEVO US Equity</t>
  </si>
  <si>
    <t>Company News (GEVO US)</t>
  </si>
  <si>
    <t>Gevo Inc</t>
  </si>
  <si>
    <t>IGSEC IN Equity</t>
  </si>
  <si>
    <t>2025Q1 CF (IGSEC IN)</t>
  </si>
  <si>
    <t>ISGEC Heavy Engineering Ltd</t>
  </si>
  <si>
    <t>IOCL IN Equity</t>
  </si>
  <si>
    <t>2024A CF (IOCL IN)</t>
  </si>
  <si>
    <t>Indian Oil Corp Ltd</t>
  </si>
  <si>
    <t>ONGC IN Equity</t>
  </si>
  <si>
    <t>Company News (ONGC IN)</t>
  </si>
  <si>
    <t>Oil &amp; Natural Gas Corp Ltd</t>
  </si>
  <si>
    <t>000065 CH Equity</t>
  </si>
  <si>
    <t>2023S1 CF (000065 CH)</t>
  </si>
  <si>
    <t>Norinco International Cooperation Ltd</t>
  </si>
  <si>
    <t>NOG US Equity</t>
  </si>
  <si>
    <t>2022Q4 CF (NOG US)</t>
  </si>
  <si>
    <t>Northern Oil &amp; Gas Inc</t>
  </si>
  <si>
    <t>SMC US Equity</t>
  </si>
  <si>
    <t>2024A CF (SMC US)</t>
  </si>
  <si>
    <t>Summit Midstream Corp</t>
  </si>
  <si>
    <t>Company News (3147564Z US)</t>
  </si>
  <si>
    <t>Equilar Inc</t>
  </si>
  <si>
    <t>LUDG US Equity</t>
  </si>
  <si>
    <t>Company News (LUDG US)</t>
  </si>
  <si>
    <t>Ludwig Enterprises Inc</t>
  </si>
  <si>
    <t>2022A CF (FSP US)</t>
  </si>
  <si>
    <t>2022Q1 CF (BAS1V FH)</t>
  </si>
  <si>
    <t>Basware Oy</t>
  </si>
  <si>
    <t>2022A CF (EMBASSY IN)</t>
  </si>
  <si>
    <t>CYBR US Equity</t>
  </si>
  <si>
    <t>2021A CF (CYBR US)</t>
  </si>
  <si>
    <t>CyberArk Software Ltd</t>
  </si>
  <si>
    <t>DEC FP Equity</t>
  </si>
  <si>
    <t>Company News (DEC FP)</t>
  </si>
  <si>
    <t>JCDecaux SE</t>
  </si>
  <si>
    <t>WEHB BB Equity</t>
  </si>
  <si>
    <t>2021A CF (WEHB BB)</t>
  </si>
  <si>
    <t>Wereldhave Belgium Comm VA</t>
  </si>
  <si>
    <t>Estimate (ALB US)</t>
  </si>
  <si>
    <t>Umicore SA</t>
  </si>
  <si>
    <t>000021 CH Equity</t>
  </si>
  <si>
    <t>2024A CF (000021 CH)</t>
  </si>
  <si>
    <t>Shenzhen Kaifa Technology Co Ltd</t>
  </si>
  <si>
    <t>CDX/H CN Equity</t>
  </si>
  <si>
    <t>Company News (CDX/H CN)</t>
  </si>
  <si>
    <t>Cloud DX Inc</t>
  </si>
  <si>
    <t>2024A CF (TDOC US)</t>
  </si>
  <si>
    <t>2024A CF (HNGE US)</t>
  </si>
  <si>
    <t>861 HK Equity</t>
  </si>
  <si>
    <t>Digital China Holdings Ltd</t>
  </si>
  <si>
    <t>002906 CH Equity</t>
  </si>
  <si>
    <t>Foryou Corp</t>
  </si>
  <si>
    <t>Estimate (TTWO US)</t>
  </si>
  <si>
    <t>2025S1 CF (DLN LN)</t>
  </si>
  <si>
    <t>Simon Property Group Inc</t>
  </si>
  <si>
    <t>Nucor Corp</t>
  </si>
  <si>
    <t>MOD US Equity</t>
  </si>
  <si>
    <t>Estimate (MOD US)</t>
  </si>
  <si>
    <t>Modine Manufacturing Co</t>
  </si>
  <si>
    <t>United States Steel Corp</t>
  </si>
  <si>
    <t>HEXAB SS Equity</t>
  </si>
  <si>
    <t>Hexagon AB</t>
  </si>
  <si>
    <t>6594 JP Equity</t>
  </si>
  <si>
    <t>NIDEC CORP</t>
  </si>
  <si>
    <t>Company News (HAL US)</t>
  </si>
  <si>
    <t>1251 HK Equity</t>
  </si>
  <si>
    <t>2024A CF (1251 HK)</t>
  </si>
  <si>
    <t>SPT Energy Group Inc</t>
  </si>
  <si>
    <t>2131417D LN Equity</t>
  </si>
  <si>
    <t>CeraPhi Energy Ltd</t>
  </si>
  <si>
    <t>2227791D LN Equity</t>
  </si>
  <si>
    <t>Progressive Energy Ltd</t>
  </si>
  <si>
    <t>2333568D US Equity</t>
  </si>
  <si>
    <t>Armada Inc</t>
  </si>
  <si>
    <t>FFIV US Equity</t>
  </si>
  <si>
    <t>Estimate (FFIV US)</t>
  </si>
  <si>
    <t>F5 Inc</t>
  </si>
  <si>
    <t>FOXA US Equity</t>
  </si>
  <si>
    <t>Fox Corp</t>
  </si>
  <si>
    <t>2412 TT Equity</t>
  </si>
  <si>
    <t>Estimate (2412 TT)</t>
  </si>
  <si>
    <t>Chunghwa Telecom Co Ltd</t>
  </si>
  <si>
    <t>2023A CF (GTN US)</t>
  </si>
  <si>
    <t>1427049D LN Equity</t>
  </si>
  <si>
    <t>Media News (1427049D LN)</t>
  </si>
  <si>
    <t>Behavox Ltd</t>
  </si>
  <si>
    <t>BBL AU Equity</t>
  </si>
  <si>
    <t>2022A CF (BBL AU)</t>
  </si>
  <si>
    <t>Brisbane Broncos Ltd</t>
  </si>
  <si>
    <t>Company News (HI US)</t>
  </si>
  <si>
    <t>Ivalua Inc</t>
  </si>
  <si>
    <t>1589 TT Equity</t>
  </si>
  <si>
    <t>2024Q3 CF (1589 TT)</t>
  </si>
  <si>
    <t>Yeong Guan Energy Technology Group Co Ltd</t>
  </si>
  <si>
    <t>301616 CH Equity</t>
  </si>
  <si>
    <t>2024S1 CF (301616 CH)</t>
  </si>
  <si>
    <t>Zhejiang Huaye Plastics Machinery Co Ltd</t>
  </si>
  <si>
    <t>2025S1 CF (000078 CH)</t>
  </si>
  <si>
    <t>Shenzhen Neptunus Bioengineering Co Ltd</t>
  </si>
  <si>
    <t>032940 KS Equity</t>
  </si>
  <si>
    <t>2025C3 CF (032940 KS)</t>
  </si>
  <si>
    <t>Won Ik Corp</t>
  </si>
  <si>
    <t>256940 KS Equity</t>
  </si>
  <si>
    <t>2025C3 CF (256940 KS)</t>
  </si>
  <si>
    <t>Keeps Biopharma Inc</t>
  </si>
  <si>
    <t>600998 CH Equity</t>
  </si>
  <si>
    <t>2025S1 CF (600998 CH)</t>
  </si>
  <si>
    <t>Jointown Pharmaceutical Group Co Ltd</t>
  </si>
  <si>
    <t>APAM NA Equity</t>
  </si>
  <si>
    <t>Estimate (APAM NA)</t>
  </si>
  <si>
    <t>APERAM SA</t>
  </si>
  <si>
    <t>OMSE US Equity</t>
  </si>
  <si>
    <t>2025A CF (OMSE US)</t>
  </si>
  <si>
    <t>OMS Energy Technologies Inc</t>
  </si>
  <si>
    <t>2025Q2 CF (WES US)</t>
  </si>
  <si>
    <t>CIVI US Equity</t>
  </si>
  <si>
    <t>Civitas Resources Inc</t>
  </si>
  <si>
    <t>3585021Z US Equity</t>
  </si>
  <si>
    <t>Mewbourne Oil Co</t>
  </si>
  <si>
    <t>ConocoPhillips</t>
  </si>
  <si>
    <t>2025A CF (WES US)</t>
  </si>
  <si>
    <t>CICT SP Equity</t>
  </si>
  <si>
    <t>2024A CF (CICT SP)</t>
  </si>
  <si>
    <t>CapitaLand Integrated Commercial Trust</t>
  </si>
  <si>
    <t>PSTITANI IN Equity</t>
  </si>
  <si>
    <t>2025A CF (PSTITANI IN)</t>
  </si>
  <si>
    <t>Propshare Titania</t>
  </si>
  <si>
    <t>IZER SM Equity</t>
  </si>
  <si>
    <t>2024S1 CF (IZER SM)</t>
  </si>
  <si>
    <t>Izertis SA</t>
  </si>
  <si>
    <t>SULAIMAN AB Equity</t>
  </si>
  <si>
    <t>2022A CF (SULAIMAN AB)</t>
  </si>
  <si>
    <t>Dr Sulaiman Al Habib Medical Services Group Co</t>
  </si>
  <si>
    <t>Estimate (PCAR US)</t>
  </si>
  <si>
    <t>RIO LN Equity</t>
  </si>
  <si>
    <t>Rio Tinto PLC</t>
  </si>
  <si>
    <t>BHP AU Equity</t>
  </si>
  <si>
    <t>Estimate (BHP AU)</t>
  </si>
  <si>
    <t>BHP Group Ltd</t>
  </si>
  <si>
    <t>SGH AU Equity</t>
  </si>
  <si>
    <t>SGH Ltd</t>
  </si>
  <si>
    <t>Venture Global LNG Inc</t>
  </si>
  <si>
    <t>2023A CF (ATO US)</t>
  </si>
  <si>
    <t>2024Q1 CF (ENLC US)</t>
  </si>
  <si>
    <t>FMC US Equity</t>
  </si>
  <si>
    <t>FMC Corp</t>
  </si>
  <si>
    <t>1819520D US Equity</t>
  </si>
  <si>
    <t>Troutman Pepper Locke LLP</t>
  </si>
  <si>
    <t>2022A CF (1972 HK)</t>
  </si>
  <si>
    <t>BUR FP Equity</t>
  </si>
  <si>
    <t>2023A CF (BUR FP)</t>
  </si>
  <si>
    <t>Burelle SA</t>
  </si>
  <si>
    <t>CIO US Equity</t>
  </si>
  <si>
    <t>2025Q1 CF (CIO US)</t>
  </si>
  <si>
    <t>City Office REIT Inc</t>
  </si>
  <si>
    <t>Estimate (MXL US)</t>
  </si>
  <si>
    <t>MaxLinear Inc</t>
  </si>
  <si>
    <t>AAOI US Equity</t>
  </si>
  <si>
    <t>Estimate (AAOI US)</t>
  </si>
  <si>
    <t>Applied Optoelectronics Inc</t>
  </si>
  <si>
    <t>Estimate (CBT US)</t>
  </si>
  <si>
    <t>Cabot Corp</t>
  </si>
  <si>
    <t>056730 KS Equity</t>
  </si>
  <si>
    <t>2022A CF (056730 KS)</t>
  </si>
  <si>
    <t>CNT85 Inc</t>
  </si>
  <si>
    <t>413300 KS Equity</t>
  </si>
  <si>
    <t>Media News (413300 KS)</t>
  </si>
  <si>
    <t>TL Engineering Co Ltd</t>
  </si>
  <si>
    <t>605228 CH Equity</t>
  </si>
  <si>
    <t>2025S1 CF (605228 CH)</t>
  </si>
  <si>
    <t>Shentong Technology Group Co Ltd</t>
  </si>
  <si>
    <t>688545 CH Equity</t>
  </si>
  <si>
    <t>2024S1 CF (688545 CH)</t>
  </si>
  <si>
    <t>Hubei Sinophorus Electronic Materials Co Ltd</t>
  </si>
  <si>
    <t>LTC US Equity</t>
  </si>
  <si>
    <t>2024A CF (LTC US)</t>
  </si>
  <si>
    <t>LTC Properties Inc</t>
  </si>
  <si>
    <t>BNFT US Equity</t>
  </si>
  <si>
    <t>2021A CF (BNFT US)</t>
  </si>
  <si>
    <t>Benefitfocus Inc</t>
  </si>
  <si>
    <t>GIII US Equity</t>
  </si>
  <si>
    <t>2025A CF (GIII US)</t>
  </si>
  <si>
    <t>G-III Apparel Group Ltd</t>
  </si>
  <si>
    <t>2023Q4 CF (AGYS US)</t>
  </si>
  <si>
    <t>2022A CF (LRDC US)</t>
  </si>
  <si>
    <t>Laredo Oil Inc</t>
  </si>
  <si>
    <t>Schaeffler AG</t>
  </si>
  <si>
    <t>Estimate (6594 JP)</t>
  </si>
  <si>
    <t>RHM GR Equity</t>
  </si>
  <si>
    <t>Estimate (RHM GR)</t>
  </si>
  <si>
    <t>Rheinmetall AG</t>
  </si>
  <si>
    <t>WAWI NO Equity</t>
  </si>
  <si>
    <t>Wallenius Wilhelmsen ASA</t>
  </si>
  <si>
    <t>Estimate (1003Z GR)</t>
  </si>
  <si>
    <t>2025A CF (ENTG US)</t>
  </si>
  <si>
    <t>Estimate (ENTG US)</t>
  </si>
  <si>
    <t>2022Q1 CF (DISH US)</t>
  </si>
  <si>
    <t>Company News (XRAY US)</t>
  </si>
  <si>
    <t>Burkhart Dental Supply Co/The</t>
  </si>
  <si>
    <t>600763 CH Equity</t>
  </si>
  <si>
    <t>2021A CF (600763 CH)</t>
  </si>
  <si>
    <t>Topchoice Medical Corp</t>
  </si>
  <si>
    <t>603456 CH Equity</t>
  </si>
  <si>
    <t>2023S1 CF (603456 CH)</t>
  </si>
  <si>
    <t>Zhejiang Jiuzhou Pharmaceutical Co Ltd</t>
  </si>
  <si>
    <t>7612995Z US Equity</t>
  </si>
  <si>
    <t>Benco Dental Supply Co</t>
  </si>
  <si>
    <t>2025Q2 CF (8109 TT)</t>
  </si>
  <si>
    <t>P-Duke Technology Co Ltd</t>
  </si>
  <si>
    <t>APTV US Equity</t>
  </si>
  <si>
    <t>2024A CF (APTV US)</t>
  </si>
  <si>
    <t>Aptiv PLC</t>
  </si>
  <si>
    <t>2021A CF (ED US)</t>
  </si>
  <si>
    <t>HMCL IN Equity</t>
  </si>
  <si>
    <t>2025A CF (HMCL IN)</t>
  </si>
  <si>
    <t>Hero MotoCorp Ltd</t>
  </si>
  <si>
    <t>TOASO TI Equity</t>
  </si>
  <si>
    <t>2024A CF (TOASO TI)</t>
  </si>
  <si>
    <t>Tofas Turk Otomobil Fabrikasi AS</t>
  </si>
  <si>
    <t>Estimate (GT US)</t>
  </si>
  <si>
    <t>3584357Z US Equity</t>
  </si>
  <si>
    <t>2025A CF (TTWO US)</t>
  </si>
  <si>
    <t>ZMC Advisors LP</t>
  </si>
  <si>
    <t>003300 KS Equity</t>
  </si>
  <si>
    <t>2022A CF (003300 KS)</t>
  </si>
  <si>
    <t>Hanil Holdings Co Ltd</t>
  </si>
  <si>
    <t>0194368D US Equity</t>
  </si>
  <si>
    <t>2025Q2 CF (TTWO US)</t>
  </si>
  <si>
    <t>PGA Tour Inc</t>
  </si>
  <si>
    <t>1013340Z US Equity</t>
  </si>
  <si>
    <t>2022Q1 CF (ENLC US)</t>
  </si>
  <si>
    <t>Global Infrastructure Management LLC</t>
  </si>
  <si>
    <t>2024Q2 CF (CNR CN)</t>
  </si>
  <si>
    <t>MTRX US Equity</t>
  </si>
  <si>
    <t>2024Q1 CF (MTRX US)</t>
  </si>
  <si>
    <t>Matrix Service Co</t>
  </si>
  <si>
    <t>Estimate (QCOM US)</t>
  </si>
  <si>
    <t>1810 HK Equity</t>
  </si>
  <si>
    <t>Xiaomi Corp</t>
  </si>
  <si>
    <t>2024A CF (TVRD US)</t>
  </si>
  <si>
    <t>Tvardi Therapeutics Inc</t>
  </si>
  <si>
    <t>2021A CF (NI US)</t>
  </si>
  <si>
    <t>009830 KS Equity</t>
  </si>
  <si>
    <t>Hanwha Solutions Corp</t>
  </si>
  <si>
    <t>0353658D US Equity</t>
  </si>
  <si>
    <t>UGN Inc</t>
  </si>
  <si>
    <t>1839 HK Equity</t>
  </si>
  <si>
    <t>CIMC Vehicles Group Co Ltd</t>
  </si>
  <si>
    <t>CHTR US Equity</t>
  </si>
  <si>
    <t>Charter Communications Inc</t>
  </si>
  <si>
    <t>2634 TT Equity</t>
  </si>
  <si>
    <t>2024A CF (2634 TT)</t>
  </si>
  <si>
    <t>Aerospace Industrial Development Corp</t>
  </si>
  <si>
    <t>CYXTQ US Equity</t>
  </si>
  <si>
    <t>2023Q2 CF (CYXTQ US)</t>
  </si>
  <si>
    <t>Cyxtera Technologies Inc</t>
  </si>
  <si>
    <t>SCTYQ US Equity</t>
  </si>
  <si>
    <t>2023Q2 CF (SCTYQ US)</t>
  </si>
  <si>
    <t>Monitronics International Inc</t>
  </si>
  <si>
    <t>SGI AU Equity</t>
  </si>
  <si>
    <t>2025A CF (SGI AU)</t>
  </si>
  <si>
    <t>Stealth Group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</si>
</sst>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003366"/>
      <name val="Calibri"/>
    </font>
    <font>
      <b/>
      <sz val="10"/>
      <color rgb="FF003366"/>
      <name val="Calibri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BDS|12651770039368650446</stp>
        <tr r="QI5" s="8"/>
        <tr r="OA5" s="15"/>
        <tr r="PE5" s="23"/>
        <tr r="CM5" s="40"/>
      </tp>
      <tp t="s">
        <v>#N/A N/A</v>
        <stp/>
        <stp>BDS|16050438188864454454</stp>
        <tr r="LC5" s="41"/>
      </tp>
      <tp t="s">
        <v>#N/A N/A</v>
        <stp/>
        <stp>BDS|13324823449540774549</stp>
        <tr r="RM5" s="29"/>
      </tp>
      <tp t="s">
        <v>#N/A N/A</v>
        <stp/>
        <stp>BDS|11547759243158131096</stp>
        <tr r="NK5" s="37"/>
        <tr r="HQ5" s="34"/>
        <tr r="NK5" s="2"/>
        <tr r="TE5" s="29"/>
        <tr r="TE5" s="35"/>
      </tp>
      <tp t="s">
        <v>#N/A N/A</v>
        <stp/>
        <stp>BDS|16322331589872592570</stp>
        <tr r="UI5" s="33"/>
      </tp>
      <tp t="s">
        <v>#N/A N/A</v>
        <stp/>
        <stp>BDS|10428837409597783510</stp>
        <tr r="BW5" s="36"/>
      </tp>
      <tp t="s">
        <v>#N/A N/A</v>
        <stp/>
        <stp>BDS|10015844569915205113</stp>
        <tr r="EE5" s="46"/>
      </tp>
      <tp t="s">
        <v>#N/A N/A</v>
        <stp/>
        <stp>BDS|13570478600288847547</stp>
        <tr r="A5" s="18"/>
      </tp>
      <tp t="s">
        <v>#N/A N/A</v>
        <stp/>
        <stp>BDS|17463275739355408904</stp>
        <tr r="AE5" s="24"/>
      </tp>
      <tp t="s">
        <v>#N/A N/A</v>
        <stp/>
        <stp>BDS|13345725196400158792</stp>
        <tr r="TE5" s="8"/>
        <tr r="EE5" s="1"/>
        <tr r="VM5" s="1"/>
        <tr r="TE5" s="22"/>
        <tr r="OO5" s="25"/>
        <tr r="EE5" s="11"/>
        <tr r="PS5" s="11"/>
        <tr r="JY5" s="26"/>
        <tr r="IU5" s="33"/>
        <tr r="O5" s="2"/>
        <tr r="O5" s="7"/>
      </tp>
      <tp t="s">
        <v>#N/A N/A</v>
        <stp/>
        <stp>BDS|17844795504989023390</stp>
        <tr r="EE5" s="45"/>
      </tp>
      <tp t="s">
        <v>#N/A N/A</v>
        <stp/>
        <stp>BDS|13562164069067153978</stp>
        <tr r="UY5" s="39"/>
      </tp>
      <tp t="s">
        <v>#N/A N/A</v>
        <stp/>
        <stp>BDS|14936150298175820302</stp>
        <tr r="UY5" s="16"/>
        <tr r="RM5" s="32"/>
        <tr r="RM5" s="44"/>
        <tr r="HC5" s="5"/>
        <tr r="JK5" s="8"/>
        <tr r="CM5" s="9"/>
      </tp>
      <tp t="s">
        <v>#N/A N/A</v>
        <stp/>
        <stp>BDS|15115129729969410526</stp>
        <tr r="A5" s="24"/>
      </tp>
      <tp t="s">
        <v>#N/A N/A</v>
        <stp/>
        <stp>BDS|16445363098456342053</stp>
        <tr r="HC5" s="44"/>
      </tp>
      <tp t="s">
        <v>#N/A N/A</v>
        <stp/>
        <stp>BDS|14698966035871492531</stp>
        <tr r="AS5" s="31"/>
      </tp>
      <tp t="s">
        <v>#N/A N/A</v>
        <stp/>
        <stp>BDS|11998940642171427794</stp>
        <tr r="JY5" s="49"/>
        <tr r="LC5" s="4"/>
      </tp>
      <tp t="s">
        <v>#N/A N/A</v>
        <stp/>
        <stp>BDS|16990986725797421037</stp>
        <tr r="BW5" s="19"/>
      </tp>
      <tp t="s">
        <v>#N/A N/A</v>
        <stp/>
        <stp>BDS|12697265199094304790</stp>
        <tr r="FY5" s="44"/>
      </tp>
      <tp t="s">
        <v>#N/A N/A</v>
        <stp/>
        <stp>BDS|16550929145952262332</stp>
        <tr r="QW5" s="22"/>
      </tp>
      <tp t="s">
        <v>#N/A N/A</v>
        <stp/>
        <stp>BDS|10648020691956110547</stp>
        <tr r="HC5" s="48"/>
      </tp>
      <tp t="s">
        <v>#N/A N/A</v>
        <stp/>
        <stp>BDS|14247618650995527861</stp>
        <tr r="GM5" s="10"/>
      </tp>
      <tp t="s">
        <v>#N/A N/A</v>
        <stp/>
        <stp>BDS|11016830007927544419</stp>
        <tr r="UI5" s="25"/>
      </tp>
      <tp t="s">
        <v>#N/A N/A</v>
        <stp/>
        <stp>BDS|16144765234961353913</stp>
        <tr r="BI5" s="10"/>
        <tr r="LS5" s="22"/>
        <tr r="DQ5" s="15"/>
        <tr r="TU5" s="4"/>
        <tr r="CM5" s="7"/>
      </tp>
      <tp t="s">
        <v>#N/A N/A</v>
        <stp/>
        <stp>BDS|16334306136805446905</stp>
        <tr r="DQ5" s="38"/>
        <tr r="OA5" s="30"/>
      </tp>
      <tp t="s">
        <v>#N/A N/A</v>
        <stp/>
        <stp>BDS|15681141630348672526</stp>
        <tr r="MG5" s="37"/>
        <tr r="UI5" s="39"/>
      </tp>
      <tp t="s">
        <v>#N/A N/A</v>
        <stp/>
        <stp>BDS|12337013530689494203</stp>
        <tr r="AS5" s="14"/>
      </tp>
      <tp t="s">
        <v>#N/A N/A</v>
        <stp/>
        <stp>BDS|17336256896015771308</stp>
        <tr r="KO5" s="37"/>
      </tp>
      <tp t="s">
        <v>#N/A N/A</v>
        <stp/>
        <stp>BDS|16479465853675596834</stp>
        <tr r="JY5" s="42"/>
      </tp>
      <tp t="s">
        <v>#N/A N/A</v>
        <stp/>
        <stp>BDS|12628983712932876231</stp>
        <tr r="IG5" s="8"/>
        <tr r="MW5" s="43"/>
        <tr r="RM5" s="17"/>
        <tr r="FY5" s="8"/>
      </tp>
      <tp t="s">
        <v>#N/A N/A</v>
        <stp/>
        <stp>BDS|15417043647133241826</stp>
        <tr r="AE5" s="48"/>
      </tp>
      <tp t="s">
        <v>#N/A N/A</v>
        <stp/>
        <stp>BDS|13194374016293418801</stp>
        <tr r="AE5" s="30"/>
      </tp>
      <tp t="s">
        <v>#N/A N/A</v>
        <stp/>
        <stp>BDS|17507610073969445562</stp>
        <tr r="AS5" s="44"/>
      </tp>
      <tp t="s">
        <v>#N/A N/A</v>
        <stp/>
        <stp>BDS|11607160273019065461</stp>
        <tr r="PE5" s="40"/>
      </tp>
      <tp t="s">
        <v>#N/A N/A</v>
        <stp/>
        <stp>BDS|13561446963319365240</stp>
        <tr r="MW5" s="38"/>
      </tp>
      <tp t="s">
        <v>#N/A N/A</v>
        <stp/>
        <stp>BDS|11394888942517365108</stp>
        <tr r="OO5" s="39"/>
      </tp>
      <tp t="s">
        <v>#N/A N/A</v>
        <stp/>
        <stp>BDS|12390941110755978462</stp>
        <tr r="FI5" s="43"/>
      </tp>
      <tp t="s">
        <v>#N/A N/A</v>
        <stp/>
        <stp>BDS|13912407545660353872</stp>
        <tr r="DQ5" s="29"/>
        <tr r="PE5" s="34"/>
        <tr r="HC5" s="35"/>
      </tp>
      <tp t="s">
        <v>#N/A N/A</v>
        <stp/>
        <stp>BDS|10847275908779610085</stp>
        <tr r="FY5" s="20"/>
      </tp>
      <tp t="s">
        <v>#N/A N/A</v>
        <stp/>
        <stp>BDS|16017502943978817455</stp>
        <tr r="RM5" s="39"/>
      </tp>
      <tp t="s">
        <v>#N/A N/A</v>
        <stp/>
        <stp>BDS|11907828914870337321</stp>
        <tr r="UI5" s="27"/>
        <tr r="GM5" s="5"/>
      </tp>
      <tp t="s">
        <v>#N/A N/A</v>
        <stp/>
        <stp>BDS|13078490324146330804</stp>
        <tr r="DQ5" s="43"/>
      </tp>
      <tp t="s">
        <v>#N/A N/A</v>
        <stp/>
        <stp>BDS|11054727216798817436</stp>
        <tr r="NK5" s="47"/>
      </tp>
      <tp t="s">
        <v>#N/A N/A</v>
        <stp/>
        <stp>BDS|13405930089108454154</stp>
        <tr r="MG5" s="50"/>
      </tp>
      <tp t="s">
        <v>#N/A N/A</v>
        <stp/>
        <stp>BDS|12933613484405738278</stp>
        <tr r="JK5" s="50"/>
      </tp>
      <tp t="s">
        <v>#N/A N/A</v>
        <stp/>
        <stp>BDS|17181015700474922854</stp>
        <tr r="EE5" s="14"/>
      </tp>
      <tp t="s">
        <v>#N/A N/A</v>
        <stp/>
        <stp>BDS|17342262847068926279</stp>
        <tr r="O5" s="11"/>
      </tp>
      <tp t="s">
        <v>#N/A N/A</v>
        <stp/>
        <stp>BDS|18090809245119025694</stp>
        <tr r="KO5" s="41"/>
      </tp>
      <tp t="s">
        <v>#N/A N/A</v>
        <stp/>
        <stp>BDS|11908837060121685514</stp>
        <tr r="QI5" s="32"/>
      </tp>
      <tp t="s">
        <v>#N/A N/A</v>
        <stp/>
        <stp>BDS|14241800501823955475</stp>
        <tr r="A5" s="33"/>
        <tr r="LS5" s="43"/>
      </tp>
      <tp t="s">
        <v>#N/A N/A</v>
        <stp/>
        <stp>BDS|12590796578129004099</stp>
        <tr r="JY5" s="25"/>
        <tr r="LC5" s="33"/>
      </tp>
      <tp t="s">
        <v>#N/A N/A</v>
        <stp/>
        <stp>BDS|15764504291982534013</stp>
        <tr r="A5" s="35"/>
      </tp>
      <tp t="s">
        <v>#N/A N/A</v>
        <stp/>
        <stp>BDS|10762380819271520811</stp>
        <tr r="MG5" s="47"/>
        <tr r="HQ5" s="19"/>
        <tr r="O5" s="46"/>
        <tr r="UI5" s="46"/>
      </tp>
      <tp t="s">
        <v>#N/A N/A</v>
        <stp/>
        <stp>BDS|16319241240483589827</stp>
        <tr r="IU5" s="49"/>
      </tp>
      <tp t="s">
        <v>#N/A N/A</v>
        <stp/>
        <stp>BDS|13632763042143525873</stp>
        <tr r="UY5" s="3"/>
        <tr r="HC5" s="38"/>
        <tr r="AE5" s="8"/>
      </tp>
      <tp t="s">
        <v>#N/A N/A</v>
        <stp/>
        <stp>BDS|18068669962604718727</stp>
        <tr r="VM5" s="27"/>
      </tp>
      <tp t="s">
        <v>#N/A N/A</v>
        <stp/>
        <stp>BDS|17319618457657684824</stp>
        <tr r="DQ5" s="20"/>
        <tr r="OA5" s="20"/>
      </tp>
      <tp t="s">
        <v>#N/A N/A</v>
        <stp/>
        <stp>BDS|11724132814758132279</stp>
        <tr r="VM5" s="7"/>
      </tp>
      <tp t="s">
        <v>#N/A N/A</v>
        <stp/>
        <stp>BDS|13665262306622000803</stp>
        <tr r="TE5" s="47"/>
      </tp>
      <tp t="s">
        <v>#N/A N/A</v>
        <stp/>
        <stp>BDS|13640298185563469197</stp>
        <tr r="GM5" s="27"/>
      </tp>
      <tp t="s">
        <v>#N/A N/A</v>
        <stp/>
        <stp>BDS|12173941724456090463</stp>
        <tr r="EE5" s="12"/>
        <tr r="PS5" s="33"/>
        <tr r="UI5" s="8"/>
      </tp>
      <tp t="s">
        <v>#N/A N/A</v>
        <stp/>
        <stp>BDS|10588633768549168289</stp>
        <tr r="OO5" s="18"/>
        <tr r="AS5" s="32"/>
      </tp>
      <tp t="s">
        <v>#N/A N/A</v>
        <stp/>
        <stp>BDS|17561376441348398343</stp>
        <tr r="LC5" s="40"/>
      </tp>
      <tp t="s">
        <v>#N/A N/A</v>
        <stp/>
        <stp>BDS|11949948109274108711</stp>
        <tr r="DA5" s="38"/>
        <tr r="HQ5" s="20"/>
        <tr r="NK5" s="24"/>
        <tr r="VM5" s="32"/>
      </tp>
      <tp t="s">
        <v>#N/A N/A</v>
        <stp/>
        <stp>BDS|12228984255137962226</stp>
        <tr r="PE5" s="12"/>
        <tr r="EU5" s="27"/>
        <tr r="CM5" s="19"/>
      </tp>
      <tp t="s">
        <v>#N/A N/A</v>
        <stp/>
        <stp>BDS|18185874456508332664</stp>
        <tr r="VM5" s="11"/>
      </tp>
      <tp t="s">
        <v>#N/A N/A</v>
        <stp/>
        <stp>BDS|18295793335384931327</stp>
        <tr r="FY5" s="31"/>
      </tp>
      <tp t="s">
        <v>#N/A N/A</v>
        <stp/>
        <stp>BDS|12575530253548495148</stp>
        <tr r="AE5" s="25"/>
      </tp>
      <tp t="s">
        <v>#N/A N/A</v>
        <stp/>
        <stp>BDS|12977626265392389867</stp>
        <tr r="EU5" s="44"/>
      </tp>
      <tp t="s">
        <v>#N/A N/A</v>
        <stp/>
        <stp>BDS|10776844025664812653</stp>
        <tr r="SQ5" s="2"/>
        <tr r="IG5" s="1"/>
      </tp>
      <tp t="s">
        <v>#N/A N/A</v>
        <stp/>
        <stp>BDS|12945602145250356845</stp>
        <tr r="FY5" s="2"/>
        <tr r="RM5" s="3"/>
      </tp>
      <tp t="s">
        <v>#N/A N/A</v>
        <stp/>
        <stp>BDS|13474660788251047425</stp>
        <tr r="QW5" s="43"/>
      </tp>
      <tp t="s">
        <v>#N/A N/A</v>
        <stp/>
        <stp>BDS|15116935654774779583</stp>
        <tr r="HC5" s="19"/>
        <tr r="A5" s="46"/>
        <tr r="LS5" s="47"/>
        <tr r="TU5" s="46"/>
      </tp>
      <tp t="s">
        <v>#N/A N/A</v>
        <stp/>
        <stp>BDS|11484293002552305925</stp>
        <tr r="GM5" s="25"/>
      </tp>
      <tp t="s">
        <v>#N/A N/A</v>
        <stp/>
        <stp>BDS|12804398128173052870</stp>
        <tr r="HC5" s="40"/>
      </tp>
      <tp t="s">
        <v>#N/A N/A</v>
        <stp/>
        <stp>BDS|12101258181039987927</stp>
        <tr r="DQ5" s="45"/>
      </tp>
      <tp t="s">
        <v>#N/A N/A</v>
        <stp/>
        <stp>BDS|18044757845050637385</stp>
        <tr r="OO5" s="9"/>
        <tr r="NK5" s="48"/>
        <tr r="DA5" s="6"/>
      </tp>
      <tp t="s">
        <v>#N/A N/A</v>
        <stp/>
        <stp>BDS|12307485200499036740</stp>
        <tr r="QW5" s="26"/>
      </tp>
      <tp t="s">
        <v>#N/A N/A</v>
        <stp/>
        <stp>BDS|16390852058555116609</stp>
        <tr r="IG5" s="47"/>
      </tp>
      <tp t="s">
        <v>#N/A N/A</v>
        <stp/>
        <stp>BDS|14261394479371814973</stp>
        <tr r="IG5" s="22"/>
      </tp>
      <tp t="s">
        <v>#N/A N/A</v>
        <stp/>
        <stp>BDS|15331950449386886655</stp>
        <tr r="IU5" s="34"/>
      </tp>
      <tp t="s">
        <v>#N/A N/A</v>
        <stp/>
        <stp>BDS|13574990413951458283</stp>
        <tr r="AS5" s="7"/>
      </tp>
      <tp t="s">
        <v>#N/A N/A</v>
        <stp/>
        <stp>BDS|16683775595928609818</stp>
        <tr r="SA5" s="29"/>
      </tp>
      <tp t="s">
        <v>#N/A N/A</v>
        <stp/>
        <stp>BDS|11923928381750898816</stp>
        <tr r="HQ5" s="14"/>
        <tr r="JY5" s="32"/>
        <tr r="QW5" s="44"/>
      </tp>
      <tp t="s">
        <v>#N/A N/A</v>
        <stp/>
        <stp>BDS|13400845303317235422</stp>
        <tr r="IG5" s="17"/>
        <tr r="AE5" s="43"/>
        <tr r="MW5" s="44"/>
      </tp>
      <tp t="s">
        <v>#N/A N/A</v>
        <stp/>
        <stp>BDS|12757114923451577803</stp>
        <tr r="MW5" s="24"/>
        <tr r="UY5" s="32"/>
        <tr r="HC5" s="20"/>
        <tr r="CM5" s="38"/>
      </tp>
      <tp t="s">
        <v>#N/A N/A</v>
        <stp/>
        <stp>BDS|15337906631690309717</stp>
        <tr r="MW5" s="23"/>
      </tp>
      <tp t="s">
        <v>#N/A N/A</v>
        <stp/>
        <stp>BDS|10070379517208945280</stp>
        <tr r="TE5" s="48"/>
      </tp>
      <tp t="s">
        <v>#N/A N/A</v>
        <stp/>
        <stp>BDS|10212935683109770045</stp>
        <tr r="TU5" s="22"/>
        <tr r="KO5" s="5"/>
        <tr r="DQ5" s="6"/>
      </tp>
      <tp t="s">
        <v>#N/A N/A</v>
        <stp/>
        <stp>BDS|18031233195158941395</stp>
        <tr r="EU5" s="21"/>
      </tp>
      <tp t="s">
        <v>#N/A N/A</v>
        <stp/>
        <stp>BDS|18271998215890168896</stp>
        <tr r="AS5" s="50"/>
      </tp>
      <tp t="s">
        <v>#N/A N/A</v>
        <stp/>
        <stp>BDS|13547345148468643480</stp>
        <tr r="PS5" s="31"/>
      </tp>
      <tp t="s">
        <v>#N/A N/A</v>
        <stp/>
        <stp>BDS|14729339334724434838</stp>
        <tr r="UI5" s="13"/>
        <tr r="EE5" s="28"/>
        <tr r="PS5" s="20"/>
        <tr r="QW5" s="25"/>
      </tp>
      <tp t="s">
        <v>#N/A N/A</v>
        <stp/>
        <stp>BDS|13376834559593737593</stp>
        <tr r="BI5" s="12"/>
        <tr r="BI5" s="9"/>
      </tp>
      <tp t="s">
        <v>#N/A N/A</v>
        <stp/>
        <stp>BDS|11209885090438913044</stp>
        <tr r="QI5" s="36"/>
      </tp>
      <tp t="s">
        <v>#N/A N/A</v>
        <stp/>
        <stp>BDS|10297980570122730494</stp>
        <tr r="KO5" s="29"/>
      </tp>
      <tp t="s">
        <v>#N/A N/A</v>
        <stp/>
        <stp>BDS|10704347087014860786</stp>
        <tr r="PS5" s="17"/>
        <tr r="AS5" s="19"/>
      </tp>
      <tp t="s">
        <v>#N/A N/A</v>
        <stp/>
        <stp>BDS|13140972942445611371</stp>
        <tr r="DA5" s="19"/>
        <tr r="PS5" s="12"/>
        <tr r="FI5" s="27"/>
      </tp>
      <tp t="s">
        <v>#N/A N/A</v>
        <stp/>
        <stp>BDS|16590962730470588431</stp>
        <tr r="AS5" s="36"/>
      </tp>
      <tp t="s">
        <v>#N/A N/A</v>
        <stp/>
        <stp>BDS|14255639288590061337</stp>
        <tr r="QI5" s="2"/>
      </tp>
      <tp t="s">
        <v>#N/A N/A</v>
        <stp/>
        <stp>BDS|11925896355407706293</stp>
        <tr r="KO5" s="49"/>
      </tp>
      <tp t="s">
        <v>#N/A N/A</v>
        <stp/>
        <stp>BDS|12002875313902881074</stp>
        <tr r="AE5" s="34"/>
        <tr r="RM5" s="12"/>
      </tp>
      <tp t="s">
        <v>#N/A N/A</v>
        <stp/>
        <stp>BDS|12752191696463110027</stp>
        <tr r="HQ5" s="13"/>
        <tr r="AS5" s="2"/>
        <tr r="JY5" s="17"/>
        <tr r="SA5" s="30"/>
      </tp>
      <tp t="s">
        <v>#N/A N/A</v>
        <stp/>
        <stp>BDS|13110995711172597045</stp>
        <tr r="QI5" s="48"/>
      </tp>
      <tp t="s">
        <v>#N/A N/A</v>
        <stp/>
        <stp>BDS|13592723192892465684</stp>
        <tr r="A5" s="11"/>
      </tp>
      <tp t="s">
        <v>#N/A N/A</v>
        <stp/>
        <stp>BDS|17490686785558483846</stp>
        <tr r="BW5" s="28"/>
      </tp>
      <tp t="s">
        <v>#N/A N/A</v>
        <stp/>
        <stp>BDS|17960456502649358331</stp>
        <tr r="EU5" s="48"/>
      </tp>
      <tp t="s">
        <v>#N/A N/A</v>
        <stp/>
        <stp>BDS|13630409868239313127</stp>
        <tr r="O5" s="42"/>
        <tr r="SA5" s="22"/>
        <tr r="MG5" s="1"/>
        <tr r="AS5" s="4"/>
      </tp>
      <tp t="s">
        <v>#N/A N/A</v>
        <stp/>
        <stp>BDS|16612819841111220287</stp>
        <tr r="TE5" s="28"/>
      </tp>
      <tp t="s">
        <v>#N/A N/A</v>
        <stp/>
        <stp>BDS|12947438725334154926</stp>
        <tr r="IG5" s="34"/>
      </tp>
      <tp t="s">
        <v>#N/A N/A</v>
        <stp/>
        <stp>BDS|15847557046464660910</stp>
        <tr r="SA5" s="13"/>
      </tp>
      <tp t="s">
        <v>#N/A N/A</v>
        <stp/>
        <stp>BDS|17334977932093820721</stp>
        <tr r="MW5" s="45"/>
      </tp>
      <tp t="s">
        <v>#N/A N/A</v>
        <stp/>
        <stp>BDS|11500108088713777285</stp>
        <tr r="CM5" s="43"/>
      </tp>
      <tp t="s">
        <v>#N/A N/A</v>
        <stp/>
        <stp>BDS|13254000241846878883</stp>
        <tr r="NK5" s="33"/>
      </tp>
      <tp t="s">
        <v>#N/A N/A</v>
        <stp/>
        <stp>BDS|10994813870435311382</stp>
        <tr r="JK5" s="40"/>
        <tr r="IG5" s="48"/>
      </tp>
      <tp t="s">
        <v>#N/A N/A</v>
        <stp/>
        <stp>BDS|15215383176390658895</stp>
        <tr r="CM5" s="32"/>
        <tr r="SQ5" s="7"/>
        <tr r="AE5" s="10"/>
      </tp>
      <tp t="s">
        <v>#N/A N/A</v>
        <stp/>
        <stp>BDS|12536932994878881397</stp>
        <tr r="JK5" s="34"/>
        <tr r="CM5" s="35"/>
        <tr r="AE5" s="40"/>
        <tr r="JK5" s="41"/>
        <tr r="PE5" s="9"/>
        <tr r="HC5" s="9"/>
        <tr r="RM5" s="16"/>
      </tp>
      <tp t="s">
        <v>#N/A N/A</v>
        <stp/>
        <stp>BDS|14529322625474461861</stp>
        <tr r="O5" s="39"/>
      </tp>
      <tp t="s">
        <v>#N/A N/A</v>
        <stp/>
        <stp>BDS|14285788074749795484</stp>
        <tr r="MG5" s="16"/>
        <tr r="IU5" s="41"/>
      </tp>
      <tp t="s">
        <v>#N/A N/A</v>
        <stp/>
        <stp>BDS|13638650313465271831</stp>
        <tr r="FI5" s="15"/>
      </tp>
      <tp t="s">
        <v>#N/A N/A</v>
        <stp/>
        <stp>BDS|10929776514468922748</stp>
        <tr r="UI5" s="41"/>
      </tp>
      <tp t="s">
        <v>#N/A N/A</v>
        <stp/>
        <stp>BDS|14892330761521574986</stp>
        <tr r="LC5" s="18"/>
        <tr r="PS5" s="41"/>
        <tr r="EE5" s="9"/>
      </tp>
      <tp t="s">
        <v>#N/A N/A</v>
        <stp/>
        <stp>BDS|11260054883556238613</stp>
        <tr r="VM5" s="14"/>
      </tp>
      <tp t="s">
        <v>#N/A N/A</v>
        <stp/>
        <stp>BDS|15178863753075941499</stp>
        <tr r="PE5" s="30"/>
      </tp>
      <tp t="s">
        <v>#N/A N/A</v>
        <stp/>
        <stp>BDS|10737006985497309652</stp>
        <tr r="EU5" s="38"/>
        <tr r="A5" s="36"/>
      </tp>
      <tp t="s">
        <v>#N/A N/A</v>
        <stp/>
        <stp>BDS|10598982197081746898</stp>
        <tr r="O5" s="48"/>
      </tp>
      <tp t="s">
        <v>#N/A N/A</v>
        <stp/>
        <stp>BDS|17071917220871483416</stp>
        <tr r="QW5" s="2"/>
      </tp>
      <tp t="s">
        <v>#N/A N/A</v>
        <stp/>
        <stp>BDS|11553569641420421937</stp>
        <tr r="LS5" s="12"/>
      </tp>
      <tp t="s">
        <v>#N/A N/A</v>
        <stp/>
        <stp>BDS|17575940389058905742</stp>
        <tr r="JY5" s="46"/>
      </tp>
      <tp t="s">
        <v>#N/A N/A</v>
        <stp/>
        <stp>BDS|17377312958878319735</stp>
        <tr r="TE5" s="27"/>
      </tp>
      <tp t="s">
        <v>#N/A N/A</v>
        <stp/>
        <stp>BDS|15803500127044549800</stp>
        <tr r="DA5" s="39"/>
        <tr r="MG5" s="44"/>
      </tp>
      <tp t="s">
        <v>#N/A N/A</v>
        <stp/>
        <stp>BDS|14294296173296784951</stp>
        <tr r="HC5" s="47"/>
      </tp>
      <tp t="s">
        <v>#N/A N/A</v>
        <stp/>
        <stp>BDS|18024486986652589801</stp>
        <tr r="FI5" s="9"/>
      </tp>
      <tp t="s">
        <v>#N/A N/A</v>
        <stp/>
        <stp>BDS|16861160884915704460</stp>
        <tr r="MG5" s="46"/>
      </tp>
      <tp t="s">
        <v>#N/A N/A</v>
        <stp/>
        <stp>BDS|11348698712188752071</stp>
        <tr r="TU5" s="16"/>
        <tr r="UY5" s="41"/>
      </tp>
      <tp t="s">
        <v>#N/A N/A</v>
        <stp/>
        <stp>BDS|10908563200623529829</stp>
        <tr r="DQ5" s="46"/>
      </tp>
      <tp t="s">
        <v>#N/A N/A</v>
        <stp/>
        <stp>BDS|17914541683114205043</stp>
        <tr r="JY5" s="1"/>
      </tp>
      <tp t="s">
        <v>#N/A N/A</v>
        <stp/>
        <stp>BDS|10464708087721388093</stp>
        <tr r="IU5" s="24"/>
      </tp>
      <tp t="s">
        <v>#N/A N/A</v>
        <stp/>
        <stp>BDS|12752879810986927303</stp>
        <tr r="NK5" s="12"/>
        <tr r="BW5" s="20"/>
        <tr r="JY5" s="37"/>
      </tp>
      <tp t="s">
        <v>#N/A N/A</v>
        <stp/>
        <stp>BDS|11132054995720967662</stp>
        <tr r="CM5" s="24"/>
      </tp>
      <tp t="s">
        <v>#N/A N/A</v>
        <stp/>
        <stp>BDS|15018615519158090475</stp>
        <tr r="NK5" s="28"/>
      </tp>
      <tp t="s">
        <v>#N/A N/A</v>
        <stp/>
        <stp>BDS|18160571555910472680</stp>
        <tr r="JK5" s="42"/>
      </tp>
      <tp t="s">
        <v>#N/A N/A</v>
        <stp/>
        <stp>BDS|10874110420024695903</stp>
        <tr r="RM5" s="41"/>
      </tp>
      <tp t="s">
        <v>#N/A N/A</v>
        <stp/>
        <stp>BDS|12194550598869060909</stp>
        <tr r="HQ5" s="2"/>
      </tp>
      <tp t="s">
        <v>#N/A N/A</v>
        <stp/>
        <stp>BDS|15540801410303189182</stp>
        <tr r="LC5" s="5"/>
        <tr r="UI5" s="22"/>
        <tr r="EE5" s="6"/>
      </tp>
      <tp t="s">
        <v>#N/A N/A</v>
        <stp/>
        <stp>BDS|14977615886421233504</stp>
        <tr r="GM5" s="21"/>
        <tr r="UI5" s="31"/>
      </tp>
      <tp t="s">
        <v>#N/A N/A</v>
        <stp/>
        <stp>BDS|17545232892274849601</stp>
        <tr r="UI5" s="19"/>
      </tp>
      <tp t="s">
        <v>#N/A N/A</v>
        <stp/>
        <stp>BDS|12750068419354533919</stp>
        <tr r="OO5" s="33"/>
      </tp>
      <tp t="s">
        <v>#N/A N/A</v>
        <stp/>
        <stp>BDS|17644859454033320790</stp>
        <tr r="BI5" s="23"/>
      </tp>
      <tp t="s">
        <v>#N/A N/A</v>
        <stp/>
        <stp>BDS|16221912552897996353</stp>
        <tr r="KO5" s="34"/>
      </tp>
      <tp t="s">
        <v>#N/A N/A</v>
        <stp/>
        <stp>BDS|12528117793475302148</stp>
        <tr r="UI5" s="32"/>
        <tr r="JY5" s="36"/>
      </tp>
      <tp t="s">
        <v>#N/A N/A</v>
        <stp/>
        <stp>BDS|13190763006923651970</stp>
        <tr r="QW5" s="17"/>
      </tp>
      <tp t="s">
        <v>#N/A N/A</v>
        <stp/>
        <stp>BDS|15853785800065946988</stp>
        <tr r="PE5" s="47"/>
      </tp>
      <tp t="s">
        <v>#N/A N/A</v>
        <stp/>
        <stp>BDS|18260333615556607248</stp>
        <tr r="O5" s="23"/>
        <tr r="VM5" s="44"/>
        <tr r="O5" s="13"/>
      </tp>
      <tp t="s">
        <v>#N/A N/A</v>
        <stp/>
        <stp>BDS|10390048057468697301</stp>
        <tr r="MG5" s="27"/>
      </tp>
      <tp t="s">
        <v>#N/A N/A</v>
        <stp/>
        <stp>BDS|14788480238189772463</stp>
        <tr r="VM5" s="39"/>
      </tp>
      <tp t="s">
        <v>#N/A N/A</v>
        <stp/>
        <stp>BDS|14235817852101652611</stp>
        <tr r="LC5" s="23"/>
      </tp>
      <tp t="s">
        <v>#N/A N/A</v>
        <stp/>
        <stp>BDS|15839915826464031482</stp>
        <tr r="FI5" s="50"/>
      </tp>
      <tp t="s">
        <v>#N/A N/A</v>
        <stp/>
        <stp>BDS|17712244050516227864</stp>
        <tr r="BW5" s="25"/>
      </tp>
      <tp t="s">
        <v>#N/A N/A</v>
        <stp/>
        <stp>BDS|10802388813968483434</stp>
        <tr r="MW5" s="39"/>
      </tp>
      <tp t="s">
        <v>#N/A N/A</v>
        <stp/>
        <stp>BDS|15293048686711049244</stp>
        <tr r="NK5" s="43"/>
        <tr r="GM5" s="8"/>
        <tr r="SA5" s="17"/>
        <tr r="IU5" s="8"/>
      </tp>
      <tp t="s">
        <v>#N/A N/A</v>
        <stp/>
        <stp>BDS|10063790908179211073</stp>
        <tr r="JY5" s="20"/>
      </tp>
      <tp t="s">
        <v>#N/A N/A</v>
        <stp/>
        <stp>BDS|11372927271731077045</stp>
        <tr r="SQ5" s="47"/>
      </tp>
      <tp t="s">
        <v>#N/A N/A</v>
        <stp/>
        <stp>BDS|12073953874366446407</stp>
        <tr r="HQ5" s="43"/>
      </tp>
      <tp t="s">
        <v>#N/A N/A</v>
        <stp/>
        <stp>BDS|14077967371915952046</stp>
        <tr r="SA5" s="43"/>
      </tp>
      <tp t="s">
        <v>#N/A N/A</v>
        <stp/>
        <stp>BDS|17416682555093092835</stp>
        <tr r="GM5" s="35"/>
      </tp>
      <tp t="s">
        <v>#N/A N/A</v>
        <stp/>
        <stp>BDS|17420177477307965976</stp>
        <tr r="LS5" s="1"/>
        <tr r="AE5" s="4"/>
        <tr r="RM5" s="22"/>
        <tr r="A5" s="42"/>
      </tp>
      <tp t="s">
        <v>#N/A N/A</v>
        <stp/>
        <stp>BDS|15835843870376595320</stp>
        <tr r="VM5" s="34"/>
      </tp>
      <tp t="s">
        <v>#N/A N/A</v>
        <stp/>
        <stp>BDS|15379951127361898011</stp>
        <tr r="TE5" s="43"/>
        <tr r="LC5" s="9"/>
      </tp>
      <tp t="s">
        <v>#N/A N/A</v>
        <stp/>
        <stp>BDS|17620311944177375896</stp>
        <tr r="LC5" s="26"/>
      </tp>
      <tp t="s">
        <v>#N/A N/A</v>
        <stp/>
        <stp>BDS|11570778648435690850</stp>
        <tr r="AE5" s="39"/>
      </tp>
      <tp t="s">
        <v>#N/A N/A</v>
        <stp/>
        <stp>BDS|12809546084459172972</stp>
        <tr r="OA5" s="21"/>
        <tr r="KO5" s="8"/>
        <tr r="LS5" s="41"/>
        <tr r="AE5" s="5"/>
        <tr r="IG5" s="38"/>
      </tp>
      <tp t="s">
        <v>#N/A N/A</v>
        <stp/>
        <stp>BDS|10859134521888694438</stp>
        <tr r="JY5" s="23"/>
        <tr r="FI5" s="19"/>
        <tr r="VM5" s="43"/>
        <tr r="UI5" s="43"/>
        <tr r="MG5" s="39"/>
        <tr r="NK5" s="31"/>
        <tr r="TE5" s="26"/>
      </tp>
      <tp t="s">
        <v>#N/A N/A</v>
        <stp/>
        <stp>BDS|17129956726682508182</stp>
        <tr r="A5" s="14"/>
      </tp>
      <tp t="s">
        <v>#N/A N/A</v>
        <stp/>
        <stp>BDS|12893746792687589478</stp>
        <tr r="O5" s="15"/>
      </tp>
      <tp t="s">
        <v>#N/A N/A</v>
        <stp/>
        <stp>BDS|14149734891647674293</stp>
        <tr r="HQ5" s="12"/>
        <tr r="DA5" s="10"/>
        <tr r="NK5" s="16"/>
      </tp>
      <tp t="s">
        <v>#N/A N/A</v>
        <stp/>
        <stp>BDS|14334262098295582554</stp>
        <tr r="SA5" s="27"/>
      </tp>
      <tp t="s">
        <v>#N/A N/A</v>
        <stp/>
        <stp>BDS|18398967516288636788</stp>
        <tr r="BI5" s="37"/>
      </tp>
      <tp t="s">
        <v>#N/A N/A</v>
        <stp/>
        <stp>BDS|17933783639518268488</stp>
        <tr r="LS5" s="26"/>
        <tr r="QI5" s="35"/>
        <tr r="BI5" s="39"/>
        <tr r="SQ5" s="40"/>
        <tr r="FY5" s="46"/>
        <tr r="CM5" s="5"/>
        <tr r="LS5" s="9"/>
      </tp>
      <tp t="s">
        <v>#N/A N/A</v>
        <stp/>
        <stp>BDS|13508410731958518321</stp>
        <tr r="CM5" s="33"/>
      </tp>
      <tp t="s">
        <v>#N/A N/A</v>
        <stp/>
        <stp>BDS|11734189891266983057</stp>
        <tr r="BW5" s="2"/>
        <tr r="VM5" s="2"/>
        <tr r="SA5" s="26"/>
        <tr r="LC5" s="2"/>
        <tr r="IU5" s="3"/>
      </tp>
      <tp t="s">
        <v>#N/A N/A</v>
        <stp/>
        <stp>BDS|18185250004041441472</stp>
        <tr r="JK5" s="45"/>
      </tp>
      <tp t="s">
        <v>#N/A N/A</v>
        <stp/>
        <stp>BDS|16442270503888217310</stp>
        <tr r="MW5" s="41"/>
      </tp>
      <tp t="s">
        <v>#N/A N/A</v>
        <stp/>
        <stp>BDS|13179089906949577597</stp>
        <tr r="QI5" s="41"/>
        <tr r="LS5" s="32"/>
        <tr r="LS5" s="4"/>
        <tr r="PE5" s="50"/>
      </tp>
      <tp t="s">
        <v>#N/A N/A</v>
        <stp/>
        <stp>BDS|17889981718294184480</stp>
        <tr r="TU5" s="37"/>
      </tp>
      <tp t="s">
        <v>#N/A N/A</v>
        <stp/>
        <stp>BDS|12396610916613320910</stp>
        <tr r="MG5" s="48"/>
      </tp>
      <tp t="s">
        <v>#N/A N/A</v>
        <stp/>
        <stp>BDS|10441501294347327473</stp>
        <tr r="SA5" s="38"/>
      </tp>
      <tp t="s">
        <v>#N/A N/A</v>
        <stp/>
        <stp>BDS|15234271163507210918</stp>
        <tr r="A5" s="1"/>
        <tr r="LS5" s="20"/>
      </tp>
      <tp t="s">
        <v>#N/A N/A</v>
        <stp/>
        <stp>BDS|12829744053206804926</stp>
        <tr r="KO5" s="44"/>
      </tp>
      <tp t="s">
        <v>#N/A N/A</v>
        <stp/>
        <stp>BDS|18087166629860206487</stp>
        <tr r="BW5" s="23"/>
      </tp>
      <tp t="s">
        <v>#N/A N/A</v>
        <stp/>
        <stp>BDS|15718827771283955681</stp>
        <tr r="LC5" s="43"/>
      </tp>
      <tp t="s">
        <v>#N/A N/A</v>
        <stp/>
        <stp>BDS|12523565175975766995</stp>
        <tr r="TE5" s="17"/>
      </tp>
      <tp t="s">
        <v>#N/A N/A</v>
        <stp/>
        <stp>BDS|18081909846591844878</stp>
        <tr r="EE5" s="31"/>
        <tr r="BW5" s="8"/>
        <tr r="VM5" s="25"/>
        <tr r="SA5" s="18"/>
      </tp>
      <tp t="s">
        <v>#N/A N/A</v>
        <stp/>
        <stp>BDS|17781987852294176331</stp>
        <tr r="EU5" s="35"/>
      </tp>
      <tp t="s">
        <v>#N/A N/A</v>
        <stp/>
        <stp>BDS|11166816000237882273</stp>
        <tr r="FY5" s="47"/>
      </tp>
      <tp t="s">
        <v>#N/A N/A</v>
        <stp/>
        <stp>BDS|14778848311541776096</stp>
        <tr r="O5" s="47"/>
        <tr r="GM5" s="48"/>
      </tp>
      <tp t="s">
        <v>#N/A N/A</v>
        <stp/>
        <stp>BDS|12391685611491791819</stp>
        <tr r="OO5" s="30"/>
        <tr r="EE5" s="38"/>
      </tp>
      <tp t="s">
        <v>#N/A N/A</v>
        <stp/>
        <stp>BDS|16027914638117624724</stp>
        <tr r="FY5" s="49"/>
      </tp>
      <tp t="s">
        <v>#N/A N/A</v>
        <stp/>
        <stp>BDS|17319435658518477210</stp>
        <tr r="MG5" s="35"/>
      </tp>
      <tp t="s">
        <v>#N/A N/A</v>
        <stp/>
        <stp>BDS|11219604684191627238</stp>
        <tr r="VM5" s="3"/>
        <tr r="HQ5" s="38"/>
        <tr r="AS5" s="8"/>
      </tp>
      <tp t="s">
        <v>#N/A N/A</v>
        <stp/>
        <stp>BDS|15907832358601194534</stp>
        <tr r="O5" s="5"/>
      </tp>
      <tp t="s">
        <v>#N/A N/A</v>
        <stp/>
        <stp>BDS|15525261550156598868</stp>
        <tr r="DA5" s="24"/>
      </tp>
      <tp t="s">
        <v>#N/A N/A</v>
        <stp/>
        <stp>BDS|12199767760138618705</stp>
        <tr r="QW5" s="48"/>
      </tp>
      <tp t="s">
        <v>#N/A N/A</v>
        <stp/>
        <stp>BDS|13476626998083801378</stp>
        <tr r="UI5" s="47"/>
        <tr r="JY5" s="16"/>
        <tr r="IU5" s="19"/>
        <tr r="SA5" s="19"/>
      </tp>
      <tp t="s">
        <v>#N/A N/A</v>
        <stp/>
        <stp>BDS|12496974369730572196</stp>
        <tr r="UI5" s="10"/>
      </tp>
      <tp t="s">
        <v>#N/A N/A</v>
        <stp/>
        <stp>BDS|15073114070327014868</stp>
        <tr r="IG5" s="28"/>
      </tp>
      <tp t="s">
        <v>#N/A N/A</v>
        <stp/>
        <stp>BDS|18422866739907517890</stp>
        <tr r="EU5" s="14"/>
      </tp>
      <tp t="s">
        <v>#N/A N/A</v>
        <stp/>
        <stp>BDS|13782352082286560215</stp>
        <tr r="FY5" s="11"/>
      </tp>
      <tp t="s">
        <v>#N/A N/A</v>
        <stp/>
        <stp>BDS|14025108071748128642</stp>
        <tr r="JK5" s="31"/>
        <tr r="CM5" s="44"/>
      </tp>
      <tp t="s">
        <v>#N/A N/A</v>
        <stp/>
        <stp>BDS|16006833846080974688</stp>
        <tr r="UI5" s="35"/>
      </tp>
      <tp t="s">
        <v>#N/A N/A</v>
        <stp/>
        <stp>BDS|16528624491143185624</stp>
        <tr r="UI5" s="28"/>
      </tp>
      <tp t="s">
        <v>#N/A N/A</v>
        <stp/>
        <stp>BDS|11510487329553995965</stp>
        <tr r="KO5" s="28"/>
      </tp>
      <tp t="s">
        <v>#N/A N/A</v>
        <stp/>
        <stp>BDS|13937099128099440542</stp>
        <tr r="HC5" s="31"/>
      </tp>
      <tp t="s">
        <v>#N/A N/A</v>
        <stp/>
        <stp>BDS|11402228860490958875</stp>
        <tr r="AE5" s="31"/>
      </tp>
      <tp t="s">
        <v>#N/A N/A</v>
        <stp/>
        <stp>BDS|14115941622295860772</stp>
        <tr r="MW5" s="2"/>
        <tr r="SQ5" s="35"/>
        <tr r="SQ5" s="29"/>
        <tr r="HC5" s="34"/>
        <tr r="MW5" s="37"/>
      </tp>
      <tp t="s">
        <v>#N/A N/A</v>
        <stp/>
        <stp>BDS|12551155881441928710</stp>
        <tr r="IG5" s="46"/>
      </tp>
      <tp t="s">
        <v>#N/A N/A</v>
        <stp/>
        <stp>BDS|18193339062201860164</stp>
        <tr r="DQ5" s="13"/>
      </tp>
      <tp t="s">
        <v>#N/A N/A</v>
        <stp/>
        <stp>BDS|17734980657352639407</stp>
        <tr r="QW5" s="31"/>
      </tp>
      <tp t="s">
        <v>#N/A N/A</v>
        <stp/>
        <stp>BDS|11417999703070018512</stp>
        <tr r="IU5" s="32"/>
        <tr r="AS5" s="11"/>
      </tp>
      <tp t="s">
        <v>#N/A N/A</v>
        <stp/>
        <stp>BDS|10307848612841267584</stp>
        <tr r="EE5" s="49"/>
      </tp>
      <tp t="s">
        <v>#N/A N/A</v>
        <stp/>
        <stp>BDS|15784299022929313133</stp>
        <tr r="BI5" s="40"/>
        <tr r="EU5" s="22"/>
      </tp>
      <tp t="s">
        <v>#N/A N/A</v>
        <stp/>
        <stp>BDS|13031095602767128961</stp>
        <tr r="HQ5" s="27"/>
      </tp>
      <tp t="s">
        <v>#N/A N/A</v>
        <stp/>
        <stp>BDS|18358593917793041215</stp>
        <tr r="HQ5" s="48"/>
      </tp>
      <tp t="s">
        <v>#N/A N/A</v>
        <stp/>
        <stp>BDS|13184166131774953822</stp>
        <tr r="CM5" s="3"/>
        <tr r="RM5" s="48"/>
        <tr r="JK5" s="3"/>
      </tp>
      <tp t="s">
        <v>#N/A N/A</v>
        <stp/>
        <stp>BDS|18350211154462303080</stp>
        <tr r="FI5" s="17"/>
        <tr r="JY5" s="39"/>
      </tp>
      <tp t="s">
        <v>#N/A N/A</v>
        <stp/>
        <stp>BDS|14221250112378436233</stp>
        <tr r="VM5" s="24"/>
      </tp>
      <tp t="s">
        <v>#N/A N/A</v>
        <stp/>
        <stp>BDS|12489390799910701511</stp>
        <tr r="CM5" s="41"/>
      </tp>
      <tp t="s">
        <v>#N/A N/A</v>
        <stp/>
        <stp>BDS|13457542919798356281</stp>
        <tr r="DA5" s="2"/>
      </tp>
      <tp t="s">
        <v>#N/A N/A</v>
        <stp/>
        <stp>BDS|15063843878286821174</stp>
        <tr r="NK5" s="40"/>
      </tp>
      <tp t="s">
        <v>#N/A N/A</v>
        <stp/>
        <stp>BDS|10489671283491719271</stp>
        <tr r="NK5" s="11"/>
      </tp>
      <tp t="s">
        <v>#N/A N/A</v>
        <stp/>
        <stp>BDS|16603801396762878885</stp>
        <tr r="AE5" s="12"/>
        <tr r="BI5" s="3"/>
        <tr r="JK5" s="11"/>
        <tr r="IG5" s="2"/>
      </tp>
      <tp t="s">
        <v>#N/A N/A</v>
        <stp/>
        <stp>BDS|13266105652739168309</stp>
        <tr r="UI5" s="20"/>
      </tp>
      <tp t="s">
        <v>#N/A N/A</v>
        <stp/>
        <stp>BDS|15561488584001863572</stp>
        <tr r="VM5" s="23"/>
      </tp>
      <tp t="s">
        <v>#N/A N/A</v>
        <stp/>
        <stp>BDS|16009038014019108305</stp>
        <tr r="PE5" s="37"/>
      </tp>
      <tp t="s">
        <v>#N/A N/A</v>
        <stp/>
        <stp>BDS|13579594493727171586</stp>
        <tr r="FI5" s="33"/>
        <tr r="IU5" s="7"/>
      </tp>
      <tp t="s">
        <v>#N/A N/A</v>
        <stp/>
        <stp>BDS|12011820062118100968</stp>
        <tr r="UY5" s="40"/>
      </tp>
      <tp t="s">
        <v>#N/A N/A</v>
        <stp/>
        <stp>BDS|12773878564146660759</stp>
        <tr r="IG5" s="15"/>
      </tp>
      <tp t="s">
        <v>#N/A N/A</v>
        <stp/>
        <stp>BDS|12991037724379233487</stp>
        <tr r="BI5" s="29"/>
      </tp>
      <tp t="s">
        <v>#N/A N/A</v>
        <stp/>
        <stp>BDS|10516169453231417806</stp>
        <tr r="NK5" s="30"/>
      </tp>
      <tp t="s">
        <v>#N/A N/A</v>
        <stp/>
        <stp>BDS|12168317086706659243</stp>
        <tr r="MW5" s="50"/>
      </tp>
      <tp t="s">
        <v>#N/A N/A</v>
        <stp/>
        <stp>BDS|11556479747239817581</stp>
        <tr r="UY5" s="46"/>
      </tp>
      <tp t="s">
        <v>#N/A N/A</v>
        <stp/>
        <stp>BDS|11457001769452849809</stp>
        <tr r="PS5" s="42"/>
      </tp>
      <tp t="s">
        <v>#N/A N/A</v>
        <stp/>
        <stp>BDS|13017813561017469719</stp>
        <tr r="JY5" s="10"/>
        <tr r="LC5" s="6"/>
      </tp>
      <tp t="s">
        <v>#N/A N/A</v>
        <stp/>
        <stp>BDS|18296629544435523247</stp>
        <tr r="SA5" s="45"/>
      </tp>
      <tp t="s">
        <v>#N/A N/A</v>
        <stp/>
        <stp>BDS|16490464976590295836</stp>
        <tr r="OA5" s="14"/>
        <tr r="EU5" s="11"/>
        <tr r="LS5" s="2"/>
        <tr r="LS5" s="31"/>
        <tr r="DQ5" s="42"/>
      </tp>
      <tp t="s">
        <v>#N/A N/A</v>
        <stp/>
        <stp>BDS|12433133029723711034</stp>
        <tr r="FI5" s="30"/>
        <tr r="FI5" s="4"/>
        <tr r="BW5" s="1"/>
        <tr r="OO5" s="6"/>
      </tp>
      <tp t="s">
        <v>#N/A N/A</v>
        <stp/>
        <stp>BDS|12930191770707356197</stp>
        <tr r="SQ5" s="27"/>
      </tp>
      <tp t="s">
        <v>#N/A N/A</v>
        <stp/>
        <stp>BDS|12953772320766085353</stp>
        <tr r="SQ5" s="44"/>
      </tp>
      <tp t="s">
        <v>#N/A N/A</v>
        <stp/>
        <stp>BDS|10972301546772656727</stp>
        <tr r="AS5" s="28"/>
      </tp>
      <tp t="s">
        <v>#N/A N/A</v>
        <stp/>
        <stp>BDS|15708605918857144760</stp>
        <tr r="AS5" s="12"/>
        <tr r="IU5" s="2"/>
        <tr r="BW5" s="3"/>
        <tr r="JY5" s="11"/>
      </tp>
      <tp t="s">
        <v>#N/A N/A</v>
        <stp/>
        <stp>BDS|13294540605357916334</stp>
        <tr r="TU5" s="34"/>
      </tp>
      <tp t="s">
        <v>#N/A N/A</v>
        <stp/>
        <stp>BDS|13270142450551701484</stp>
        <tr r="BI5" s="35"/>
        <tr r="PE5" s="35"/>
      </tp>
      <tp t="s">
        <v>#N/A N/A</v>
        <stp/>
        <stp>BDS|16332328383696852947</stp>
        <tr r="SQ5" s="46"/>
      </tp>
      <tp t="s">
        <v>#N/A N/A</v>
        <stp/>
        <stp>BDS|14597493837626641721</stp>
        <tr r="JK5" s="33"/>
      </tp>
      <tp t="s">
        <v>#N/A N/A</v>
        <stp/>
        <stp>BDS|15364660109728896985</stp>
        <tr r="BW5" s="48"/>
      </tp>
      <tp t="s">
        <v>#N/A N/A</v>
        <stp/>
        <stp>BDS|17959303895839482644</stp>
        <tr r="LS5" s="19"/>
      </tp>
      <tp t="s">
        <v>#N/A N/A</v>
        <stp/>
        <stp>BDS|10491239669516035022</stp>
        <tr r="QW5" s="47"/>
      </tp>
      <tp t="s">
        <v>#N/A N/A</v>
        <stp/>
        <stp>BDS|13691696356347066545</stp>
        <tr r="HQ5" s="18"/>
        <tr r="O5" s="44"/>
      </tp>
      <tp t="s">
        <v>#N/A N/A</v>
        <stp/>
        <stp>BDS|12603448425605126345</stp>
        <tr r="RM5" s="33"/>
      </tp>
      <tp t="s">
        <v>#N/A N/A</v>
        <stp/>
        <stp>BDS|15571794406925055582</stp>
        <tr r="BI5" s="47"/>
      </tp>
      <tp t="s">
        <v>#N/A N/A</v>
        <stp/>
        <stp>BDS|14579759703975877494</stp>
        <tr r="LC5" s="44"/>
      </tp>
      <tp t="s">
        <v>#N/A N/A</v>
        <stp/>
        <stp>BDS|11627008763067093260</stp>
        <tr r="AE5" s="35"/>
      </tp>
      <tp t="s">
        <v>#N/A N/A</v>
        <stp/>
        <stp>BDS|12869181981621353813</stp>
        <tr r="MG5" s="40"/>
      </tp>
      <tp t="s">
        <v>#N/A N/A</v>
        <stp/>
        <stp>BDS|14755284118247556212</stp>
        <tr r="GM5" s="19"/>
        <tr r="UI5" s="7"/>
      </tp>
      <tp t="s">
        <v>#N/A N/A</v>
        <stp/>
        <stp>BDS|15639666856131117578</stp>
        <tr r="BI5" s="41"/>
      </tp>
      <tp t="s">
        <v>#N/A N/A</v>
        <stp/>
        <stp>BDS|12077460561271117365</stp>
        <tr r="QI5" s="12"/>
        <tr r="QI5" s="49"/>
      </tp>
      <tp t="s">
        <v>#N/A N/A</v>
        <stp/>
        <stp>BDS|14684252232095147213</stp>
        <tr r="SA5" s="40"/>
      </tp>
      <tp t="s">
        <v>#N/A N/A</v>
        <stp/>
        <stp>BDS|10477578341342252162</stp>
        <tr r="VM5" s="36"/>
      </tp>
      <tp t="s">
        <v>#N/A N/A</v>
        <stp/>
        <stp>BDS|10225177266172666730</stp>
        <tr r="JK5" s="44"/>
      </tp>
      <tp t="s">
        <v>#N/A N/A</v>
        <stp/>
        <stp>BDS|12158479281814732862</stp>
        <tr r="JY5" s="18"/>
        <tr r="MG5" s="23"/>
        <tr r="MG5" s="6"/>
      </tp>
      <tp t="s">
        <v>#N/A N/A</v>
        <stp/>
        <stp>BDS|13197564915261102441</stp>
        <tr r="UI5" s="42"/>
      </tp>
      <tp t="s">
        <v>#N/A N/A</v>
        <stp/>
        <stp>BDS|11028032755686517044</stp>
        <tr r="JY5" s="45"/>
      </tp>
      <tp t="s">
        <v>#N/A N/A</v>
        <stp/>
        <stp>BDS|14804582138715973559</stp>
        <tr r="FY5" s="42"/>
      </tp>
      <tp t="s">
        <v>#N/A N/A</v>
        <stp/>
        <stp>BDS|11296515619382841570</stp>
        <tr r="VM5" s="48"/>
      </tp>
      <tp t="s">
        <v>#N/A N/A</v>
        <stp/>
        <stp>BDS|16781630902091522360</stp>
        <tr r="TU5" s="18"/>
        <tr r="PE5" s="49"/>
      </tp>
      <tp t="s">
        <v>#N/A N/A</v>
        <stp/>
        <stp>BDS|11462537924657116378</stp>
        <tr r="EE5" s="16"/>
      </tp>
      <tp t="s">
        <v>#N/A N/A</v>
        <stp/>
        <stp>BDS|10390765755087585700</stp>
        <tr r="PS5" s="26"/>
      </tp>
      <tp t="s">
        <v>#N/A N/A</v>
        <stp/>
        <stp>BDS|17598227349261637329</stp>
        <tr r="UY5" s="50"/>
      </tp>
      <tp t="s">
        <v>#N/A N/A</v>
        <stp/>
        <stp>BDS|15230364816056810217</stp>
        <tr r="UI5" s="24"/>
      </tp>
      <tp t="s">
        <v>#N/A N/A</v>
        <stp/>
        <stp>BDS|17610702541855739297</stp>
        <tr r="HQ5" s="17"/>
      </tp>
      <tp t="s">
        <v>#N/A N/A</v>
        <stp/>
        <stp>BDS|11760044078930569507</stp>
        <tr r="KO5" s="22"/>
        <tr r="MW5" s="6"/>
      </tp>
      <tp t="s">
        <v>#N/A N/A</v>
        <stp/>
        <stp>BDS|11202880097307379401</stp>
        <tr r="CM5" s="2"/>
      </tp>
      <tp t="s">
        <v>#N/A N/A</v>
        <stp/>
        <stp>BDS|12483172319838738928</stp>
        <tr r="IU5" s="44"/>
      </tp>
      <tp t="s">
        <v>#N/A N/A</v>
        <stp/>
        <stp>BDS|16118593367203707578</stp>
        <tr r="PS5" s="32"/>
        <tr r="AS5" s="46"/>
        <tr r="FI5" s="26"/>
      </tp>
      <tp t="s">
        <v>#N/A N/A</v>
        <stp/>
        <stp>BDS|12629535209583047738</stp>
        <tr r="TE5" s="16"/>
        <tr r="LC5" s="39"/>
      </tp>
      <tp t="s">
        <v>#N/A N/A</v>
        <stp/>
        <stp>BDS|18217924248055284353</stp>
        <tr r="LS5" s="38"/>
      </tp>
      <tp t="s">
        <v>#N/A N/A</v>
        <stp/>
        <stp>BDS|10536624461436864517</stp>
        <tr r="PE5" s="25"/>
        <tr r="RM5" s="11"/>
        <tr r="DQ5" s="8"/>
        <tr r="OA5" s="26"/>
      </tp>
      <tp t="s">
        <v>#N/A N/A</v>
        <stp/>
        <stp>BDS|11430492157693199048</stp>
        <tr r="IG5" s="10"/>
        <tr r="MW5" s="26"/>
        <tr r="BI5" s="43"/>
        <tr r="FY5" s="7"/>
        <tr r="AE5" s="21"/>
      </tp>
      <tp t="s">
        <v>#N/A N/A</v>
        <stp/>
        <stp>BDS|11786836298905229610</stp>
        <tr r="UY5" s="43"/>
        <tr r="JK5" s="23"/>
        <tr r="EU5" s="19"/>
        <tr r="SQ5" s="26"/>
        <tr r="MW5" s="31"/>
        <tr r="LS5" s="39"/>
        <tr r="TU5" s="43"/>
      </tp>
      <tp t="s">
        <v>#N/A N/A</v>
        <stp/>
        <stp>BDS|12012032401957702692</stp>
        <tr r="JY5" s="30"/>
        <tr r="SA5" s="21"/>
      </tp>
      <tp t="s">
        <v>#N/A N/A</v>
        <stp/>
        <stp>BDS|15071284643429136969</stp>
        <tr r="NK5" s="15"/>
      </tp>
      <tp t="s">
        <v>#N/A N/A</v>
        <stp/>
        <stp>BDS|12410469286069911400</stp>
        <tr r="GM5" s="36"/>
      </tp>
      <tp t="s">
        <v>#N/A N/A</v>
        <stp/>
        <stp>BDS|10814214164852573557</stp>
        <tr r="TU5" s="36"/>
      </tp>
      <tp t="s">
        <v>#N/A N/A</v>
        <stp/>
        <stp>BDS|11445142223779912871</stp>
        <tr r="LS5" s="49"/>
      </tp>
      <tp t="s">
        <v>#N/A N/A</v>
        <stp/>
        <stp>BDS|18258582286282932483</stp>
        <tr r="KO5" s="13"/>
        <tr r="HC5" s="11"/>
      </tp>
      <tp t="s">
        <v>#N/A N/A</v>
        <stp/>
        <stp>BDS|10613184367794004046</stp>
        <tr r="HC5" s="41"/>
      </tp>
      <tp t="s">
        <v>#N/A N/A</v>
        <stp/>
        <stp>BDS|12663290858520750621</stp>
        <tr r="NK5" s="49"/>
      </tp>
      <tp t="s">
        <v>#N/A N/A</v>
        <stp/>
        <stp>BDS|15906762618070033047</stp>
        <tr r="VM5" s="31"/>
      </tp>
      <tp t="s">
        <v>#N/A N/A</v>
        <stp/>
        <stp>BDS|11319329182909522057</stp>
        <tr r="UI5" s="45"/>
      </tp>
      <tp t="s">
        <v>#N/A N/A</v>
        <stp/>
        <stp>BDS|17652139523133103472</stp>
        <tr r="IG5" s="43"/>
      </tp>
      <tp t="s">
        <v>#N/A N/A</v>
        <stp/>
        <stp>BDS|16750158145547603714</stp>
        <tr r="VM5" s="47"/>
      </tp>
      <tp t="s">
        <v>#N/A N/A</v>
        <stp/>
        <stp>BDS|11908757374593971119</stp>
        <tr r="GM5" s="49"/>
      </tp>
      <tp t="s">
        <v>#N/A N/A</v>
        <stp/>
        <stp>BDS|10634300135843582063</stp>
        <tr r="NK5" s="41"/>
      </tp>
      <tp t="s">
        <v>#N/A N/A</v>
        <stp/>
        <stp>BDS|15208305030140171636</stp>
        <tr r="QW5" s="41"/>
        <tr r="MG5" s="32"/>
        <tr r="PS5" s="50"/>
        <tr r="MG5" s="4"/>
      </tp>
      <tp t="s">
        <v>#N/A N/A</v>
        <stp/>
        <stp>BDS|10767491614022889437</stp>
        <tr r="CM5" s="47"/>
      </tp>
      <tp t="s">
        <v>#N/A N/A</v>
        <stp/>
        <stp>BDS|12729666076300512032</stp>
        <tr r="JY5" s="14"/>
        <tr r="FI5" s="8"/>
        <tr r="FI5" s="20"/>
        <tr r="IU5" s="42"/>
      </tp>
      <tp t="s">
        <v>#N/A N/A</v>
        <stp/>
        <stp>BDS|13090084148927993389</stp>
        <tr r="FY5" s="24"/>
      </tp>
      <tp t="s">
        <v>#N/A N/A</v>
        <stp/>
        <stp>BDS|11630884082581936334</stp>
        <tr r="VM5" s="46"/>
      </tp>
      <tp t="s">
        <v>#N/A N/A</v>
        <stp/>
        <stp>BDS|11714782478545484744</stp>
        <tr r="SA5" s="14"/>
      </tp>
      <tp t="s">
        <v>#N/A N/A</v>
        <stp/>
        <stp>BDS|11555374447237338219</stp>
        <tr r="SA5" s="41"/>
      </tp>
      <tp t="s">
        <v>#N/A N/A</v>
        <stp/>
        <stp>BDS|15177352003863310635</stp>
        <tr r="SQ5" s="42"/>
      </tp>
      <tp t="s">
        <v>#N/A N/A</v>
        <stp/>
        <stp>BDS|16199612541180742712</stp>
        <tr r="OA5" s="12"/>
      </tp>
      <tp t="s">
        <v>#N/A N/A</v>
        <stp/>
        <stp>BDS|11728666647305432555</stp>
        <tr r="CM5" s="29"/>
        <tr r="A5" s="8"/>
        <tr r="KO5" s="12"/>
        <tr r="LS5" s="33"/>
      </tp>
      <tp t="s">
        <v>#N/A N/A</v>
        <stp/>
        <stp>BDS|12095494046364882506</stp>
        <tr r="OO5" s="50"/>
      </tp>
      <tp t="s">
        <v>#N/A N/A</v>
        <stp/>
        <stp>BDS|11088266620562951089</stp>
        <tr r="TE5" s="42"/>
      </tp>
      <tp t="s">
        <v>#N/A N/A</v>
        <stp/>
        <stp>BDS|13152431645114836481</stp>
        <tr r="RM5" s="49"/>
      </tp>
      <tp t="s">
        <v>#N/A N/A</v>
        <stp/>
        <stp>BDS|18214956770733585668</stp>
        <tr r="KO5" s="19"/>
      </tp>
      <tp t="s">
        <v>#N/A N/A</v>
        <stp/>
        <stp>BDS|14817782873116722106</stp>
        <tr r="MG5" s="5"/>
        <tr r="FI5" s="12"/>
        <tr r="FI5" s="40"/>
      </tp>
      <tp t="s">
        <v>#N/A N/A</v>
        <stp/>
        <stp>BDS|10948742044600529084</stp>
        <tr r="IU5" s="20"/>
        <tr r="UI5" s="49"/>
      </tp>
      <tp t="s">
        <v>#N/A N/A</v>
        <stp/>
        <stp>BDS|17526162064296436575</stp>
        <tr r="SA5" s="25"/>
        <tr r="IU5" s="6"/>
      </tp>
      <tp t="s">
        <v>#N/A N/A</v>
        <stp/>
        <stp>BDS|13138547164924025747</stp>
        <tr r="UY5" s="10"/>
      </tp>
      <tp t="s">
        <v>#N/A N/A</v>
        <stp/>
        <stp>BDS|13937518759946641628</stp>
        <tr r="NK5" s="21"/>
      </tp>
      <tp t="s">
        <v>#N/A N/A</v>
        <stp/>
        <stp>BDS|12585232107781593213</stp>
        <tr r="SA5" s="3"/>
        <tr r="GM5" s="2"/>
      </tp>
      <tp t="s">
        <v>#N/A N/A</v>
        <stp/>
        <stp>BDS|16570114723334475263</stp>
        <tr r="PE5" s="17"/>
        <tr r="AE5" s="19"/>
      </tp>
      <tp t="s">
        <v>#N/A N/A</v>
        <stp/>
        <stp>BDS|14461693011553287049</stp>
        <tr r="DA5" s="25"/>
        <tr r="FI5" s="6"/>
      </tp>
      <tp t="s">
        <v>#N/A N/A</v>
        <stp/>
        <stp>BDS|15443096902764328174</stp>
        <tr r="IG5" s="39"/>
      </tp>
      <tp t="s">
        <v>#N/A N/A</v>
        <stp/>
        <stp>BDS|11715780562088728813</stp>
        <tr r="PS5" s="15"/>
        <tr r="NK5" s="10"/>
      </tp>
      <tp t="s">
        <v>#N/A N/A</v>
        <stp/>
        <stp>BDS|16192354948714160557</stp>
        <tr r="OO5" s="23"/>
      </tp>
      <tp t="s">
        <v>#N/A N/A</v>
        <stp/>
        <stp>BDS|10668319118786312447</stp>
        <tr r="KO5" s="6"/>
        <tr r="JK5" s="10"/>
      </tp>
      <tp t="s">
        <v>#N/A N/A</v>
        <stp/>
        <stp>BDS|17399235988848251534</stp>
        <tr r="GM5" s="41"/>
      </tp>
      <tp t="s">
        <v>#N/A N/A</v>
        <stp/>
        <stp>BDS|10229614998017412863</stp>
        <tr r="SQ5" s="20"/>
      </tp>
      <tp t="s">
        <v>#N/A N/A</v>
        <stp/>
        <stp>BDS|17828081936932064695</stp>
        <tr r="OO5" s="35"/>
      </tp>
      <tp t="s">
        <v>#N/A N/A</v>
        <stp/>
        <stp>BDS|16405337912792849625</stp>
        <tr r="DQ5" s="49"/>
      </tp>
      <tp t="s">
        <v>#N/A N/A</v>
        <stp/>
        <stp>BDS|11611739978594160509</stp>
        <tr r="TE5" s="15"/>
      </tp>
      <tp t="s">
        <v>#N/A N/A</v>
        <stp/>
        <stp>BDS|11392196031244092770</stp>
        <tr r="TE5" s="50"/>
      </tp>
      <tp t="s">
        <v>#N/A N/A</v>
        <stp/>
        <stp>BDS|11309590534480492775</stp>
        <tr r="NK5" s="20"/>
        <tr r="GM5" s="23"/>
      </tp>
      <tp t="s">
        <v>#N/A N/A</v>
        <stp/>
        <stp>BDS|12073384946722774742</stp>
        <tr r="DQ5" s="19"/>
      </tp>
      <tp t="s">
        <v>#N/A N/A</v>
        <stp/>
        <stp>BDS|17254146745263727197</stp>
        <tr r="SQ5" s="31"/>
        <tr r="BI5" s="15"/>
      </tp>
      <tp t="s">
        <v>#N/A N/A</v>
        <stp/>
        <stp>BDS|10625375325392457328</stp>
        <tr r="UY5" s="30"/>
      </tp>
      <tp t="s">
        <v>#N/A N/A</v>
        <stp/>
        <stp>BDS|14582906976568467255</stp>
        <tr r="KO5" s="32"/>
      </tp>
      <tp t="s">
        <v>#N/A N/A</v>
        <stp/>
        <stp>BDS|13007141607552698064</stp>
        <tr r="TE5" s="1"/>
        <tr r="DA5" s="42"/>
        <tr r="JY5" s="6"/>
      </tp>
      <tp t="s">
        <v>#N/A N/A</v>
        <stp/>
        <stp>BDS|14987484527142069052</stp>
        <tr r="TU5" s="32"/>
        <tr r="JK5" s="36"/>
      </tp>
      <tp t="s">
        <v>#N/A N/A</v>
        <stp/>
        <stp>BDS|18331274987877513559</stp>
        <tr r="FY5" s="30"/>
      </tp>
      <tp t="s">
        <v>#N/A N/A</v>
        <stp/>
        <stp>BDS|12405462201533692554</stp>
        <tr r="UY5" s="5"/>
        <tr r="PE5" s="7"/>
        <tr r="PE5" s="10"/>
        <tr r="QI5" s="16"/>
        <tr r="HC5" s="28"/>
        <tr r="OA5" s="46"/>
      </tp>
      <tp t="s">
        <v>#N/A N/A</v>
        <stp/>
        <stp>BDS|11209166306503385318</stp>
        <tr r="BI5" s="50"/>
      </tp>
      <tp t="s">
        <v>#N/A N/A</v>
        <stp/>
        <stp>BDS|16209114462775449455</stp>
        <tr r="FI5" s="14"/>
      </tp>
      <tp t="s">
        <v>#N/A N/A</v>
        <stp/>
        <stp>BDS|15066516074991440606</stp>
        <tr r="O5" s="16"/>
        <tr r="BW5" s="4"/>
        <tr r="HQ5" s="32"/>
        <tr r="SA5" s="36"/>
      </tp>
      <tp t="s">
        <v>#N/A N/A</v>
        <stp/>
        <stp>BDS|11371308393622023910</stp>
        <tr r="UY5" s="23"/>
      </tp>
      <tp t="s">
        <v>#N/A N/A</v>
        <stp/>
        <stp>BDS|16346872122678269458</stp>
        <tr r="HC5" s="43"/>
      </tp>
      <tp t="s">
        <v>#N/A N/A</v>
        <stp/>
        <stp>BDS|13949461359950381247</stp>
        <tr r="MG5" s="15"/>
        <tr r="EE5" s="21"/>
      </tp>
      <tp t="s">
        <v>#N/A N/A</v>
        <stp/>
        <stp>BDS|12910179940886719182</stp>
        <tr r="BI5" s="49"/>
      </tp>
      <tp t="s">
        <v>#N/A N/A</v>
        <stp/>
        <stp>BDS|15030134384348366457</stp>
        <tr r="MG5" s="19"/>
      </tp>
      <tp t="s">
        <v>#N/A N/A</v>
        <stp/>
        <stp>BDS|10101177128391097287</stp>
        <tr r="NK5" s="23"/>
      </tp>
      <tp t="s">
        <v>#N/A N/A</v>
        <stp/>
        <stp>BDS|12647272964015772348</stp>
        <tr r="NK5" s="9"/>
      </tp>
      <tp t="s">
        <v>#N/A N/A</v>
        <stp/>
        <stp>BDS|13276149664474169054</stp>
        <tr r="QW5" s="3"/>
        <tr r="OO5" s="5"/>
        <tr r="IU5" s="36"/>
        <tr r="UI5" s="9"/>
      </tp>
      <tp t="s">
        <v>#N/A N/A</v>
        <stp/>
        <stp>BDS|16962420056721967620</stp>
        <tr r="SQ5" s="28"/>
      </tp>
      <tp t="s">
        <v>#N/A N/A</v>
        <stp/>
        <stp>BDS|15922420942716610391</stp>
        <tr r="TE5" s="18"/>
      </tp>
      <tp t="s">
        <v>#N/A N/A</v>
        <stp/>
        <stp>BDS|11511033237854788619</stp>
        <tr r="SQ5" s="25"/>
      </tp>
      <tp t="s">
        <v>#N/A N/A</v>
        <stp/>
        <stp>BDS|14784751004901853293</stp>
        <tr r="IG5" s="45"/>
      </tp>
      <tp t="s">
        <v>#N/A N/A</v>
        <stp/>
        <stp>BDS|17336815783581023665</stp>
        <tr r="KO5" s="38"/>
      </tp>
      <tp t="s">
        <v>#N/A N/A</v>
        <stp/>
        <stp>BDS|17894216984558049594</stp>
        <tr r="MW5" s="27"/>
      </tp>
      <tp t="s">
        <v>#N/A N/A</v>
        <stp/>
        <stp>BDS|11682806797322550217</stp>
        <tr r="LC5" s="42"/>
      </tp>
      <tp t="s">
        <v>#N/A N/A</v>
        <stp/>
        <stp>BDS|18202263171538988593</stp>
        <tr r="EU5" s="7"/>
      </tp>
      <tp t="s">
        <v>#N/A N/A</v>
        <stp/>
        <stp>BDS|16829391775616316427</stp>
        <tr r="O5" s="29"/>
      </tp>
      <tp t="s">
        <v>#N/A N/A</v>
        <stp/>
        <stp>BDS|14008664424455079577</stp>
        <tr r="IG5" s="49"/>
      </tp>
      <tp t="s">
        <v>#N/A N/A</v>
        <stp/>
        <stp>BDS|13320299728775789600</stp>
        <tr r="MW5" s="25"/>
      </tp>
      <tp t="s">
        <v>#N/A N/A</v>
        <stp/>
        <stp>BDS|12366763361161929379</stp>
        <tr r="TE5" s="45"/>
      </tp>
      <tp t="s">
        <v>#N/A N/A</v>
        <stp/>
        <stp>BDS|14396279708732189571</stp>
        <tr r="A5" s="27"/>
      </tp>
      <tp t="s">
        <v>#N/A N/A</v>
        <stp/>
        <stp>BDS|17948270343063329348</stp>
        <tr r="UI5" s="34"/>
      </tp>
      <tp t="s">
        <v>#N/A N/A</v>
        <stp/>
        <stp>BDS|14334392365811176159</stp>
        <tr r="CM5" s="15"/>
      </tp>
      <tp t="s">
        <v>#N/A N/A</v>
        <stp/>
        <stp>BDS|17063208808766254227</stp>
        <tr r="FI5" s="36"/>
      </tp>
      <tp t="s">
        <v>#N/A N/A</v>
        <stp/>
        <stp>BDS|14246361168262198257</stp>
        <tr r="VM5" s="30"/>
      </tp>
      <tp t="s">
        <v>#N/A N/A</v>
        <stp/>
        <stp>BDS|12037678818881162565</stp>
        <tr r="FI5" s="21"/>
      </tp>
      <tp t="s">
        <v>#N/A N/A</v>
        <stp/>
        <stp>BDS|17412280777634731753</stp>
        <tr r="MG5" s="18"/>
        <tr r="AS5" s="42"/>
      </tp>
      <tp t="s">
        <v>#N/A N/A</v>
        <stp/>
        <stp>BDS|13134186037214934498</stp>
        <tr r="IU5" s="17"/>
        <tr r="AS5" s="43"/>
        <tr r="NK5" s="44"/>
      </tp>
      <tp t="s">
        <v>#N/A N/A</v>
        <stp/>
        <stp>BDS|11218403806681824523</stp>
        <tr r="JK5" s="19"/>
      </tp>
      <tp t="s">
        <v>#N/A N/A</v>
        <stp/>
        <stp>BDS|11958363867465270069</stp>
        <tr r="LS5" s="18"/>
        <tr r="AE5" s="42"/>
      </tp>
      <tp t="s">
        <v>#N/A N/A</v>
        <stp/>
        <stp>BDS|10968821703128379174</stp>
        <tr r="QW5" s="42"/>
        <tr r="FI5" s="5"/>
      </tp>
      <tp t="s">
        <v>#N/A N/A</v>
        <stp/>
        <stp>BDS|12230059909675619648</stp>
        <tr r="QI5" s="3"/>
        <tr r="IG5" s="36"/>
        <tr r="OA5" s="5"/>
        <tr r="TU5" s="9"/>
      </tp>
      <tp t="s">
        <v>#N/A N/A</v>
        <stp/>
        <stp>BDS|16639246388469333456</stp>
        <tr r="UY5" s="12"/>
        <tr r="FY5" s="29"/>
      </tp>
      <tp t="s">
        <v>#N/A N/A</v>
        <stp/>
        <stp>BDS|15247764439879088909</stp>
        <tr r="DQ5" s="18"/>
        <tr r="A5" s="19"/>
      </tp>
      <tp t="s">
        <v>#N/A N/A</v>
        <stp/>
        <stp>BDS|10904900823973721905</stp>
        <tr r="DA5" s="30"/>
      </tp>
      <tp t="s">
        <v>#N/A N/A</v>
        <stp/>
        <stp>BDS|16028303944057035797</stp>
        <tr r="DA5" s="28"/>
      </tp>
      <tp t="s">
        <v>#N/A N/A</v>
        <stp/>
        <stp>BDS|12853632846639983867</stp>
        <tr r="RM5" s="15"/>
        <tr r="UY5" s="18"/>
      </tp>
      <tp t="s">
        <v>#N/A N/A</v>
        <stp/>
        <stp>BDS|12139002193453324928</stp>
        <tr r="EU5" s="15"/>
      </tp>
      <tp t="s">
        <v>#N/A N/A</v>
        <stp/>
        <stp>BDS|11759336072073342769</stp>
        <tr r="LC5" s="19"/>
      </tp>
      <tp t="s">
        <v>#N/A N/A</v>
        <stp/>
        <stp>BDS|17291531611327412578</stp>
        <tr r="DA5" s="8"/>
      </tp>
      <tp t="s">
        <v>#N/A N/A</v>
        <stp/>
        <stp>BDS|14010170281718638408</stp>
        <tr r="KO5" s="26"/>
      </tp>
      <tp t="s">
        <v>#N/A N/A</v>
        <stp/>
        <stp>BDS|18026061564969417669</stp>
        <tr r="UI5" s="26"/>
      </tp>
      <tp t="s">
        <v>#N/A N/A</v>
        <stp/>
        <stp>BDS|13253566854544016615</stp>
        <tr r="EE5" s="5"/>
      </tp>
      <tp t="s">
        <v>#N/A N/A</v>
        <stp/>
        <stp>BDS|14980844808898436501</stp>
        <tr r="OA5" s="44"/>
      </tp>
      <tp t="s">
        <v>#N/A N/A</v>
        <stp/>
        <stp>BDS|17374615067680154655</stp>
        <tr r="VM5" s="18"/>
        <tr r="SA5" s="15"/>
      </tp>
      <tp t="s">
        <v>#N/A N/A</v>
        <stp/>
        <stp>BDS|11967051568423675542</stp>
        <tr r="OO5" s="11"/>
        <tr r="EE5" s="2"/>
        <tr r="O5" s="3"/>
      </tp>
      <tp t="s">
        <v>#N/A N/A</v>
        <stp/>
        <stp>BDS|11153477974303733021</stp>
        <tr r="FY5" s="38"/>
        <tr r="EU5" s="47"/>
      </tp>
      <tp t="s">
        <v>#N/A N/A</v>
        <stp/>
        <stp>BDS|17428669773907703016</stp>
        <tr r="LC5" s="45"/>
      </tp>
      <tp t="s">
        <v>#N/A N/A</v>
        <stp/>
        <stp>BDS|13911375718276193632</stp>
        <tr r="FY5" s="43"/>
      </tp>
      <tp t="s">
        <v>#N/A N/A</v>
        <stp/>
        <stp>BDS|11087808288024505493</stp>
        <tr r="UI5" s="17"/>
      </tp>
      <tp t="s">
        <v>#N/A N/A</v>
        <stp/>
        <stp>BDS|10425057371895322378</stp>
        <tr r="QI5" s="30"/>
      </tp>
      <tp t="s">
        <v>#N/A N/A</v>
        <stp/>
        <stp>BDS|16777322703046006220</stp>
        <tr r="OO5" s="27"/>
      </tp>
      <tp t="s">
        <v>#N/A N/A</v>
        <stp/>
        <stp>BDS|11015176843876984475</stp>
        <tr r="LS5" s="5"/>
        <tr r="EU5" s="12"/>
        <tr r="EU5" s="40"/>
      </tp>
      <tp t="s">
        <v>#N/A N/A</v>
        <stp/>
        <stp>BDS|13341680524594144544</stp>
        <tr r="PE5" s="20"/>
        <tr r="QI5" s="25"/>
        <tr r="DQ5" s="28"/>
        <tr r="TU5" s="13"/>
      </tp>
      <tp t="s">
        <v>#N/A N/A</v>
        <stp/>
        <stp>BDS|10316842368661448910</stp>
        <tr r="UY5" s="29"/>
        <tr r="MW5" s="1"/>
      </tp>
      <tp t="s">
        <v>#N/A N/A</v>
        <stp/>
        <stp>BDS|18137511534251633987</stp>
        <tr r="IG5" s="4"/>
      </tp>
      <tp t="s">
        <v>#N/A N/A</v>
        <stp/>
        <stp>BDS|14752223728707114575</stp>
        <tr r="NK5" s="1"/>
        <tr r="VM5" s="29"/>
      </tp>
      <tp t="s">
        <v>#N/A N/A</v>
        <stp/>
        <stp>BDS|12570354420633910603</stp>
        <tr r="EE5" s="44"/>
        <tr r="OO5" s="31"/>
      </tp>
      <tp t="s">
        <v>#N/A N/A</v>
        <stp/>
        <stp>BDS|10097737178014215261</stp>
        <tr r="OA5" s="6"/>
        <tr r="BI5" s="1"/>
        <tr r="EU5" s="30"/>
        <tr r="EU5" s="4"/>
      </tp>
      <tp t="s">
        <v>#N/A N/A</v>
        <stp/>
        <stp>BDS|17237138639374112764</stp>
        <tr r="BI5" s="20"/>
        <tr r="MW5" s="12"/>
        <tr r="JK5" s="37"/>
      </tp>
      <tp t="s">
        <v>#N/A N/A</v>
        <stp/>
        <stp>BDS|14917208940656258270</stp>
        <tr r="EU5" s="41"/>
        <tr r="SQ5" s="9"/>
      </tp>
      <tp t="s">
        <v>#N/A N/A</v>
        <stp/>
        <stp>BDS|12393023902625648194</stp>
        <tr r="FY5" s="10"/>
      </tp>
      <tp t="s">
        <v>#N/A N/A</v>
        <stp/>
        <stp>BDS|12480026389805592968</stp>
        <tr r="AE5" s="44"/>
      </tp>
      <tp t="s">
        <v>#N/A N/A</v>
        <stp/>
        <stp>BDS|11362556853037871011</stp>
        <tr r="JK5" s="20"/>
      </tp>
      <tp t="s">
        <v>#N/A N/A</v>
        <stp/>
        <stp>BDS|13264397024370209400</stp>
        <tr r="RM5" s="5"/>
        <tr r="OA5" s="1"/>
        <tr r="RM5" s="10"/>
        <tr r="OA5" s="37"/>
      </tp>
      <tp t="s">
        <v>#N/A N/A</v>
        <stp/>
        <stp>BDS|16904841695437995631</stp>
        <tr r="HQ5" s="26"/>
        <tr r="PS5" s="5"/>
        <tr r="MG5" s="3"/>
      </tp>
      <tp t="s">
        <v>#N/A N/A</v>
        <stp/>
        <stp>BDS|10857730608938406950</stp>
        <tr r="BW5" s="49"/>
      </tp>
      <tp t="s">
        <v>#N/A N/A</v>
        <stp/>
        <stp>BDS|10834559613237991555</stp>
        <tr r="QW5" s="18"/>
      </tp>
      <tp t="s">
        <v>#N/A N/A</v>
        <stp/>
        <stp>BDS|13854283272359232904</stp>
        <tr r="UY5" s="24"/>
      </tp>
      <tp t="s">
        <v>#N/A N/A</v>
        <stp/>
        <stp>BDS|16090677950344444728</stp>
        <tr r="TE5" s="7"/>
        <tr r="AS5" s="10"/>
        <tr r="DA5" s="32"/>
      </tp>
      <tp t="s">
        <v>#N/A N/A</v>
        <stp/>
        <stp>BDS|13713730342521156764</stp>
        <tr r="OO5" s="38"/>
        <tr r="DA5" s="26"/>
      </tp>
      <tp t="s">
        <v>#N/A N/A</v>
        <stp/>
        <stp>BDS|13350519755314143100</stp>
        <tr r="BW5" s="42"/>
      </tp>
      <tp t="s">
        <v>#N/A N/A</v>
        <stp/>
        <stp>BDS|16340474816516062349</stp>
        <tr r="GM5" s="32"/>
        <tr r="DA5" s="27"/>
        <tr r="UI5" s="2"/>
      </tp>
      <tp t="s">
        <v>#N/A N/A</v>
        <stp/>
        <stp>BDS|17839454641445806423</stp>
        <tr r="LC5" s="25"/>
        <tr r="O5" s="34"/>
        <tr r="FI5" s="37"/>
        <tr r="OO5" s="24"/>
        <tr r="BW5" s="46"/>
        <tr r="HQ5" s="23"/>
      </tp>
      <tp t="s">
        <v>#N/A N/A</v>
        <stp/>
        <stp>BDS|13547137212393364610</stp>
        <tr r="HQ5" s="40"/>
      </tp>
      <tp t="s">
        <v>#N/A N/A</v>
        <stp/>
        <stp>BDS|16353462968966235499</stp>
        <tr r="JK5" s="35"/>
      </tp>
      <tp t="s">
        <v>#N/A N/A</v>
        <stp/>
        <stp>BDS|16714260588543536989</stp>
        <tr r="UI5" s="3"/>
      </tp>
      <tp t="s">
        <v>#N/A N/A</v>
        <stp/>
        <stp>BDS|11796963085017362130</stp>
        <tr r="IG5" s="44"/>
      </tp>
      <tp t="s">
        <v>#N/A N/A</v>
        <stp/>
        <stp>BDS|10970698430124408716</stp>
        <tr r="BI5" s="42"/>
      </tp>
      <tp t="s">
        <v>#N/A N/A</v>
        <stp/>
        <stp>BDS|10440450400025624726</stp>
        <tr r="FY5" s="33"/>
      </tp>
      <tp t="s">
        <v>#N/A N/A</v>
        <stp/>
        <stp>BDS|13904914834878448627</stp>
        <tr r="BI5" s="28"/>
      </tp>
      <tp t="s">
        <v>#N/A N/A</v>
        <stp/>
        <stp>BDS|11562671614381487080</stp>
        <tr r="SQ5" s="19"/>
      </tp>
      <tp t="s">
        <v>#N/A N/A</v>
        <stp/>
        <stp>BDS|10957456205463434077</stp>
        <tr r="LC5" s="46"/>
      </tp>
      <tp t="s">
        <v>#N/A N/A</v>
        <stp/>
        <stp>BDS|16860725467208405828</stp>
        <tr r="SA5" s="16"/>
        <tr r="JY5" s="34"/>
        <tr r="DA5" s="35"/>
        <tr r="AS5" s="40"/>
        <tr r="JY5" s="41"/>
        <tr r="PS5" s="9"/>
        <tr r="HQ5" s="9"/>
      </tp>
      <tp t="s">
        <v>#N/A N/A</v>
        <stp/>
        <stp>BDS|15898974322291631800</stp>
        <tr r="IG5" s="40"/>
      </tp>
      <tp t="s">
        <v>#N/A N/A</v>
        <stp/>
        <stp>BDS|17933096022444825616</stp>
        <tr r="EE5" s="13"/>
      </tp>
      <tp t="s">
        <v>#N/A N/A</v>
        <stp/>
        <stp>BDS|10715481932553595304</stp>
        <tr r="EE5" s="18"/>
        <tr r="O5" s="19"/>
      </tp>
      <tp t="s">
        <v>#N/A N/A</v>
        <stp/>
        <stp>BDS|10299830079261818997</stp>
        <tr r="QI5" s="24"/>
        <tr r="PE5" s="43"/>
      </tp>
      <tp t="s">
        <v>#N/A N/A</v>
        <stp/>
        <stp>BDS|12928501504327373701</stp>
        <tr r="FI5" s="16"/>
        <tr r="LC5" s="48"/>
      </tp>
      <tp t="s">
        <v>#N/A N/A</v>
        <stp/>
        <stp>BDS|12278195153410470135</stp>
        <tr r="PE5" s="18"/>
      </tp>
      <tp t="s">
        <v>#N/A N/A</v>
        <stp/>
        <stp>BDS|10793750728236643400</stp>
        <tr r="OO5" s="37"/>
        <tr r="SA5" s="5"/>
        <tr r="OO5" s="1"/>
        <tr r="SA5" s="10"/>
      </tp>
      <tp t="s">
        <v>#N/A N/A</v>
        <stp/>
        <stp>BDS|11075775365924932379</stp>
        <tr r="PE5" s="26"/>
      </tp>
      <tp t="s">
        <v>#N/A N/A</v>
        <stp/>
        <stp>BDS|17761780054966214458</stp>
        <tr r="IG5" s="24"/>
      </tp>
      <tp t="s">
        <v>#N/A N/A</v>
        <stp/>
        <stp>BDS|10279712608036175671</stp>
        <tr r="MG5" s="25"/>
        <tr r="EE5" s="35"/>
      </tp>
      <tp t="s">
        <v>#N/A N/A</v>
        <stp/>
        <stp>BDS|10081138267319622908</stp>
        <tr r="DA5" s="23"/>
        <tr r="FI5" s="34"/>
        <tr r="OO5" s="49"/>
      </tp>
      <tp t="s">
        <v>#N/A N/A</v>
        <stp/>
        <stp>BDS|10696510487983566979</stp>
        <tr r="DA5" s="43"/>
      </tp>
      <tp t="s">
        <v>#N/A N/A</v>
        <stp/>
        <stp>BDS|12372679817702820086</stp>
        <tr r="UI5" s="37"/>
      </tp>
      <tp t="s">
        <v>#N/A N/A</v>
        <stp/>
        <stp>BDS|16684555494348404503</stp>
        <tr r="HC5" s="23"/>
        <tr r="KO5" s="25"/>
        <tr r="A5" s="34"/>
        <tr r="OA5" s="24"/>
        <tr r="EU5" s="37"/>
        <tr r="BI5" s="46"/>
      </tp>
      <tp t="s">
        <v>#N/A N/A</v>
        <stp/>
        <stp>BDS|17266405556481609016</stp>
        <tr r="TU5" s="26"/>
      </tp>
      <tp t="s">
        <v>#N/A N/A</v>
        <stp/>
        <stp>BDS|10221476791922193863</stp>
        <tr r="A5" s="49"/>
      </tp>
      <tp t="s">
        <v>#N/A N/A</v>
        <stp/>
        <stp>BDS|10578616244042045704</stp>
        <tr r="PE5" s="38"/>
        <tr r="SQ5" s="21"/>
        <tr r="KO5" s="30"/>
      </tp>
      <tp t="s">
        <v>#N/A N/A</v>
        <stp/>
        <stp>BDS|17096047670504416314</stp>
        <tr r="PE5" s="36"/>
      </tp>
      <tp t="s">
        <v>#N/A N/A</v>
        <stp/>
        <stp>BDS|16187021913645419523</stp>
        <tr r="IU5" s="18"/>
        <tr r="SA5" s="2"/>
        <tr r="OO5" s="28"/>
        <tr r="LC5" s="31"/>
        <tr r="QW5" s="34"/>
      </tp>
      <tp t="s">
        <v>#N/A N/A</v>
        <stp/>
        <stp>BDS|10107771246935584130</stp>
        <tr r="MG5" s="17"/>
        <tr r="HQ5" s="46"/>
        <tr r="TE5" s="6"/>
      </tp>
      <tp t="s">
        <v>#N/A N/A</v>
        <stp/>
        <stp>BDS|12667319784209695730</stp>
        <tr r="FY5" s="1"/>
        <tr r="A5" s="21"/>
        <tr r="QI5" s="29"/>
        <tr r="FY5" s="6"/>
      </tp>
      <tp t="s">
        <v>#N/A N/A</v>
        <stp/>
        <stp>BDS|15659650523971628725</stp>
        <tr r="KO5" s="43"/>
      </tp>
      <tp t="s">
        <v>#N/A N/A</v>
        <stp/>
        <stp>BDS|16544304024902123251</stp>
        <tr r="NK5" s="22"/>
        <tr r="BW5" s="22"/>
      </tp>
      <tp t="s">
        <v>#N/A N/A</v>
        <stp/>
        <stp>BDS|10754901692276980191</stp>
        <tr r="NK5" s="13"/>
        <tr r="DA5" s="45"/>
      </tp>
      <tp t="s">
        <v>#N/A N/A</v>
        <stp/>
        <stp>BDS|13984914784557000294</stp>
        <tr r="A5" s="45"/>
      </tp>
      <tp t="s">
        <v>#N/A N/A</v>
        <stp/>
        <stp>BDS|12057735802420881127</stp>
        <tr r="TE5" s="14"/>
      </tp>
      <tp t="s">
        <v>#N/A N/A</v>
        <stp/>
        <stp>BDS|14168093690298426170</stp>
        <tr r="A5" s="20"/>
      </tp>
      <tp t="s">
        <v>#N/A N/A</v>
        <stp/>
        <stp>BDS|15583125667390983609</stp>
        <tr r="GM5" s="33"/>
      </tp>
      <tp t="s">
        <v>#N/A N/A</v>
        <stp/>
        <stp>BDS|16591532032522961644</stp>
        <tr r="IG5" s="11"/>
        <tr r="BI5" s="18"/>
        <tr r="A5" s="37"/>
      </tp>
      <tp t="s">
        <v>#N/A N/A</v>
        <stp/>
        <stp>BDS|15335615221240906534</stp>
        <tr r="KO5" s="3"/>
      </tp>
      <tp t="s">
        <v>#N/A N/A</v>
        <stp/>
        <stp>BDS|13346576707233505191</stp>
        <tr r="QI5" s="22"/>
      </tp>
      <tp t="s">
        <v>#N/A N/A</v>
        <stp/>
        <stp>BDS|12616180553664215606</stp>
        <tr r="MW5" s="15"/>
      </tp>
      <tp t="s">
        <v>#N/A N/A</v>
        <stp/>
        <stp>BDS|10072405426756941430</stp>
        <tr r="HQ5" s="15"/>
      </tp>
      <tp t="s">
        <v>#N/A N/A</v>
        <stp/>
        <stp>BDS|11809725752405605225</stp>
        <tr r="OA5" s="23"/>
      </tp>
      <tp t="s">
        <v>#N/A N/A</v>
        <stp/>
        <stp>BDS|16311455875939808863</stp>
        <tr r="KO5" s="45"/>
      </tp>
      <tp t="s">
        <v>#N/A N/A</v>
        <stp/>
        <stp>BDS|11497311707941858773</stp>
        <tr r="GM5" s="43"/>
      </tp>
      <tp t="s">
        <v>#N/A N/A</v>
        <stp/>
        <stp>BDS|15598247942090347721</stp>
        <tr r="LS5" s="17"/>
        <tr r="HC5" s="46"/>
        <tr r="SQ5" s="6"/>
      </tp>
      <tp t="s">
        <v>#N/A N/A</v>
        <stp/>
        <stp>BDS|13728725707880701074</stp>
        <tr r="O5" s="14"/>
      </tp>
      <tp t="s">
        <v>#N/A N/A</v>
        <stp/>
        <stp>BDS|15478034038297495597</stp>
        <tr r="OO5" s="22"/>
      </tp>
      <tp t="s">
        <v>#N/A N/A</v>
        <stp/>
        <stp>BDS|11011935985570705435</stp>
        <tr r="MG5" s="14"/>
        <tr r="FI5" s="28"/>
        <tr r="VM5" s="26"/>
      </tp>
      <tp t="s">
        <v>#N/A N/A</v>
        <stp/>
        <stp>BDS|16189271320942550008</stp>
        <tr r="RM5" s="13"/>
      </tp>
      <tp t="s">
        <v>#N/A N/A</v>
        <stp/>
        <stp>BDS|15350310530340421156</stp>
        <tr r="JK5" s="18"/>
        <tr r="LS5" s="23"/>
        <tr r="LS5" s="6"/>
      </tp>
      <tp t="s">
        <v>#N/A N/A</v>
        <stp/>
        <stp>BDS|15707445754782427200</stp>
        <tr r="O5" s="25"/>
        <tr r="EE5" s="27"/>
      </tp>
      <tp t="s">
        <v>#N/A N/A</v>
        <stp/>
        <stp>BDS|10447743691693937981</stp>
        <tr r="BW5" s="15"/>
        <tr r="TE5" s="31"/>
      </tp>
      <tp t="s">
        <v>#N/A N/A</v>
        <stp/>
        <stp>BDS|17492043320476958799</stp>
        <tr r="IU5" s="10"/>
        <tr r="AS5" s="21"/>
        <tr r="NK5" s="26"/>
        <tr r="BW5" s="43"/>
        <tr r="GM5" s="7"/>
      </tp>
      <tp t="s">
        <v>#N/A N/A</v>
        <stp/>
        <stp>BDS|11972756569553304778</stp>
        <tr r="QI5" s="43"/>
      </tp>
      <tp t="s">
        <v>#N/A N/A</v>
        <stp/>
        <stp>BDS|11526727501332456031</stp>
        <tr r="CM5" s="16"/>
      </tp>
      <tp t="s">
        <v>#N/A N/A</v>
        <stp/>
        <stp>BDS|12963587525607514676</stp>
        <tr r="NK5" s="39"/>
      </tp>
      <tp t="s">
        <v>#N/A N/A</v>
        <stp/>
        <stp>BDS|12968068544915929743</stp>
        <tr r="PS5" s="18"/>
      </tp>
      <tp t="s">
        <v>#N/A N/A</v>
        <stp/>
        <stp>BDS|10337728685718289301</stp>
        <tr r="KO5" s="9"/>
        <tr r="SQ5" s="43"/>
      </tp>
      <tp t="s">
        <v>#N/A N/A</v>
        <stp/>
        <stp>BDS|16761708442731350008</stp>
        <tr r="EE5" s="20"/>
        <tr r="OO5" s="20"/>
      </tp>
      <tp t="s">
        <v>#N/A N/A</v>
        <stp/>
        <stp>BDS|15381874788041852032</stp>
        <tr r="HC5" s="29"/>
      </tp>
      <tp t="s">
        <v>#N/A N/A</v>
        <stp/>
        <stp>BDS|11164820421259591602</stp>
        <tr r="TU5" s="24"/>
      </tp>
      <tp t="s">
        <v>#N/A N/A</v>
        <stp/>
        <stp>BDS|15796705202630707654</stp>
        <tr r="AS5" s="23"/>
      </tp>
      <tp t="s">
        <v>#N/A N/A</v>
        <stp/>
        <stp>BDS|18349495093136875760</stp>
        <tr r="SQ5" s="13"/>
      </tp>
      <tp t="s">
        <v>#N/A N/A</v>
        <stp/>
        <stp>BDS|11417929286131713539</stp>
        <tr r="JK5" s="49"/>
        <tr r="KO5" s="4"/>
      </tp>
      <tp t="s">
        <v>#N/A N/A</v>
        <stp/>
        <stp>BDS|15308323877342640741</stp>
        <tr r="MG5" s="34"/>
      </tp>
      <tp t="s">
        <v>#N/A N/A</v>
        <stp/>
        <stp>BDS|11663013903066644378</stp>
        <tr r="EU5" s="16"/>
        <tr r="KO5" s="48"/>
      </tp>
      <tp t="s">
        <v>#N/A N/A</v>
        <stp/>
        <stp>BDS|14333562774430275399</stp>
        <tr r="UY5" s="31"/>
      </tp>
      <tp t="s">
        <v>#N/A N/A</v>
        <stp/>
        <stp>BDS|16666237769805279243</stp>
        <tr r="MW5" s="20"/>
        <tr r="FY5" s="23"/>
      </tp>
      <tp t="s">
        <v>#N/A N/A</v>
        <stp/>
        <stp>BDS|10068299268194843539</stp>
        <tr r="O5" s="18"/>
      </tp>
      <tp t="s">
        <v>#N/A N/A</v>
        <stp/>
        <stp>BDS|17615179836203535392</stp>
        <tr r="EE5" s="34"/>
      </tp>
      <tp t="s">
        <v>#N/A N/A</v>
        <stp/>
        <stp>BDS|14121694366409549809</stp>
        <tr r="RM5" s="34"/>
      </tp>
      <tp t="s">
        <v>#N/A N/A</v>
        <stp/>
        <stp>BDS|11088402219578374916</stp>
        <tr r="SA5" s="31"/>
      </tp>
      <tp t="s">
        <v>#N/A N/A</v>
        <stp/>
        <stp>BDS|12889324766873645112</stp>
        <tr r="BW5" s="40"/>
        <tr r="FI5" s="22"/>
      </tp>
      <tp t="s">
        <v>#N/A N/A</v>
        <stp/>
        <stp>BDS|13300224498785533872</stp>
        <tr r="UY5" s="33"/>
      </tp>
      <tp t="s">
        <v>#N/A N/A</v>
        <stp/>
        <stp>BDS|11553710545602346595</stp>
        <tr r="VM5" s="42"/>
      </tp>
      <tp t="s">
        <v>#N/A N/A</v>
        <stp/>
        <stp>BDS|14527407919025630126</stp>
        <tr r="AE5" s="29"/>
        <tr r="PE5" s="1"/>
      </tp>
      <tp t="s">
        <v>#N/A N/A</v>
        <stp/>
        <stp>BDS|10260452532452279099</stp>
        <tr r="GM5" s="1"/>
        <tr r="GM5" s="6"/>
        <tr r="O5" s="21"/>
        <tr r="QW5" s="29"/>
      </tp>
      <tp t="s">
        <v>#N/A N/A</v>
        <stp/>
        <stp>BDS|12173656986519822043</stp>
        <tr r="HQ5" s="21"/>
        <tr r="IU5" s="30"/>
        <tr r="QW5" s="33"/>
      </tp>
      <tp t="s">
        <v>#N/A N/A</v>
        <stp/>
        <stp>BDS|10144560908116837681</stp>
        <tr r="LC5" s="28"/>
      </tp>
      <tp t="s">
        <v>#N/A N/A</v>
        <stp/>
        <stp>BDS|10992386549991046377</stp>
        <tr r="AE5" s="41"/>
      </tp>
      <tp t="s">
        <v>#N/A N/A</v>
        <stp/>
        <stp>BDS|11666417504127579793</stp>
        <tr r="TE5" s="10"/>
      </tp>
      <tp t="s">
        <v>#N/A N/A</v>
        <stp/>
        <stp>BDS|16485786721765309322</stp>
        <tr r="AS5" s="20"/>
        <tr r="PS5" s="6"/>
      </tp>
      <tp t="s">
        <v>#N/A N/A</v>
        <stp/>
        <stp>BDS|15683131539575133714</stp>
        <tr r="CM5" s="50"/>
      </tp>
      <tp t="s">
        <v>#N/A N/A</v>
        <stp/>
        <stp>BDS|10241499056415514153</stp>
        <tr r="DA5" s="1"/>
        <tr r="SA5" s="46"/>
        <tr r="FI5" s="46"/>
        <tr r="DA5" s="11"/>
        <tr r="NK5" s="18"/>
        <tr r="HQ5" s="37"/>
      </tp>
      <tp t="s">
        <v>#N/A N/A</v>
        <stp/>
        <stp>BDS|17411922999770012225</stp>
        <tr r="OO5" s="2"/>
        <tr r="PS5" s="24"/>
      </tp>
      <tp t="s">
        <v>#N/A N/A</v>
        <stp/>
        <stp>BDS|16038361855683063618</stp>
        <tr r="MW5" s="40"/>
      </tp>
      <tp t="s">
        <v>#N/A N/A</v>
        <stp/>
        <stp>BDS|13656940745233183847</stp>
        <tr r="IU5" s="28"/>
      </tp>
      <tp t="s">
        <v>#N/A N/A</v>
        <stp/>
        <stp>BDS|16309366747297133315</stp>
        <tr r="QI5" s="10"/>
      </tp>
      <tp t="s">
        <v>#N/A N/A</v>
        <stp/>
        <stp>BDS|10635553202632307225</stp>
        <tr r="LS5" s="35"/>
      </tp>
      <tp t="s">
        <v>#N/A N/A</v>
        <stp/>
        <stp>BDS|14263338843694370219</stp>
        <tr r="GM5" s="37"/>
      </tp>
      <tp t="s">
        <v>#N/A N/A</v>
        <stp/>
        <stp>BDS|15078517736597575131</stp>
        <tr r="HQ5" s="8"/>
      </tp>
      <tp t="s">
        <v>#N/A N/A</v>
        <stp/>
        <stp>BDS|13439025713852461571</stp>
        <tr r="OO5" s="43"/>
        <tr r="QW5" s="46"/>
      </tp>
      <tp t="s">
        <v>#N/A N/A</v>
        <stp/>
        <stp>BDS|10663371129900812462</stp>
        <tr r="EU5" s="25"/>
      </tp>
      <tp t="s">
        <v>#N/A N/A</v>
        <stp/>
        <stp>BDS|18299029389432896771</stp>
        <tr r="UY5" s="15"/>
        <tr r="RM5" s="6"/>
      </tp>
      <tp t="s">
        <v>#N/A N/A</v>
        <stp/>
        <stp>BDS|18021086585845983025</stp>
        <tr r="MW5" s="35"/>
      </tp>
      <tp t="s">
        <v>#N/A N/A</v>
        <stp/>
        <stp>BDS|11842470553594321193</stp>
        <tr r="PS5" s="3"/>
      </tp>
      <tp t="s">
        <v>#N/A N/A</v>
        <stp/>
        <stp>BDS|12574636040600243527</stp>
        <tr r="KO5" s="10"/>
        <tr r="LS5" s="10"/>
        <tr r="LS5" s="11"/>
        <tr r="SQ5" s="11"/>
        <tr r="PE5" s="13"/>
        <tr r="BI5" s="14"/>
        <tr r="TU5" s="14"/>
        <tr r="IG5" s="16"/>
        <tr r="DQ5" s="17"/>
        <tr r="UY5" s="17"/>
        <tr r="JK5" s="2"/>
        <tr r="BI5" s="21"/>
        <tr r="KO5" s="21"/>
        <tr r="TU5" s="21"/>
        <tr r="A5" s="22"/>
        <tr r="DQ5" s="22"/>
        <tr r="FY5" s="22"/>
        <tr r="QI5" s="23"/>
        <tr r="DQ5" s="24"/>
        <tr r="LS5" s="24"/>
        <tr r="SQ5" s="24"/>
        <tr r="HC5" s="25"/>
        <tr r="IG5" s="25"/>
        <tr r="FY5" s="28"/>
        <tr r="JK5" s="29"/>
        <tr r="OA5" s="29"/>
        <tr r="TU5" s="29"/>
        <tr r="SQ5" s="3"/>
        <tr r="DQ5" s="30"/>
        <tr r="DQ5" s="32"/>
        <tr r="EU5" s="32"/>
        <tr r="DQ5" s="33"/>
        <tr r="HC5" s="33"/>
        <tr r="IG5" s="35"/>
        <tr r="SQ5" s="36"/>
        <tr r="AE5" s="37"/>
        <tr r="EU5" s="39"/>
        <tr r="FY5" s="39"/>
        <tr r="A5" s="4"/>
        <tr r="MW5" s="4"/>
        <tr r="OA5" s="4"/>
        <tr r="PE5" s="4"/>
        <tr r="QI5" s="4"/>
        <tr r="RM5" s="4"/>
        <tr r="UY5" s="4"/>
        <tr r="A5" s="40"/>
        <tr r="FY5" s="40"/>
        <tr r="DQ5" s="41"/>
        <tr r="OA5" s="42"/>
        <tr r="BI5" s="44"/>
        <tr r="CM5" s="46"/>
        <tr r="AE5" s="6"/>
        <tr r="HC5" s="7"/>
        <tr r="KO5" s="7"/>
        <tr r="OA5" s="7"/>
        <tr r="LS5" s="8"/>
      </tp>
      <tp t="s">
        <v>#N/A N/A</v>
        <stp/>
        <stp>BDS|15706839395799654803</stp>
        <tr r="GM5" s="24"/>
      </tp>
      <tp t="s">
        <v>#N/A N/A</v>
        <stp/>
        <stp>BDS|17758405958281975216</stp>
        <tr r="PS5" s="40"/>
      </tp>
      <tp t="s">
        <v>#N/A N/A</v>
        <stp/>
        <stp>BDS|10588264864726407748</stp>
        <tr r="HQ5" s="36"/>
      </tp>
      <tp t="s">
        <v>#N/A N/A</v>
        <stp/>
        <stp>BDS|11717190299925745978</stp>
        <tr r="KO5" s="23"/>
      </tp>
      <tp t="s">
        <v>#N/A N/A</v>
        <stp/>
        <stp>BDS|14202693972214896457</stp>
        <tr r="MW5" s="9"/>
      </tp>
      <tp t="s">
        <v>#N/A N/A</v>
        <stp/>
        <stp>BDS|15552033742952705671</stp>
        <tr r="O5" s="12"/>
        <tr r="EE5" s="40"/>
      </tp>
      <tp t="s">
        <v>#N/A N/A</v>
        <stp/>
        <stp>BDS|16551290911921982109</stp>
        <tr r="QI5" s="6"/>
        <tr r="HC5" s="42"/>
        <tr r="A5" s="9"/>
        <tr r="TU5" s="11"/>
        <tr r="OA5" s="13"/>
        <tr r="FY5" s="3"/>
        <tr r="JK5" s="13"/>
        <tr r="HC5" s="3"/>
        <tr r="A5" s="38"/>
      </tp>
      <tp t="s">
        <v>#N/A N/A</v>
        <stp/>
        <stp>BDS|10526122150040208103</stp>
        <tr r="HC5" s="8"/>
      </tp>
      <tp t="s">
        <v>#N/A N/A</v>
        <stp/>
        <stp>BDS|17473832587951488314</stp>
        <tr r="O5" s="1"/>
        <tr r="MG5" s="20"/>
      </tp>
    </main>
    <main first="bofaddin.rtdserver">
      <tp t="s">
        <v>#N/A N/A</v>
        <stp/>
        <stp>BDS|4092429729498588647</stp>
        <tr r="LS5" s="50"/>
      </tp>
      <tp t="s">
        <v>#N/A N/A</v>
        <stp/>
        <stp>BDS|1448952009635082133</stp>
        <tr r="BI5" s="36"/>
      </tp>
      <tp t="s">
        <v>#N/A N/A</v>
        <stp/>
        <stp>BDS|2846441248887928966</stp>
        <tr r="TE5" s="23"/>
      </tp>
      <tp t="s">
        <v>#N/A N/A</v>
        <stp/>
        <stp>BDS|6495380594432123207</stp>
        <tr r="QW5" s="28"/>
      </tp>
      <tp t="s">
        <v>#N/A N/A</v>
        <stp/>
        <stp>BDS|5406908418620604137</stp>
        <tr r="MG5" s="12"/>
      </tp>
      <tp t="s">
        <v>#N/A N/A</v>
        <stp/>
        <stp>BDS|6044468468988490030</stp>
        <tr r="IU5" s="9"/>
      </tp>
      <tp t="s">
        <v>#N/A N/A</v>
        <stp/>
        <stp>BDS|8414199620423767438</stp>
        <tr r="QI5" s="21"/>
        <tr r="OA5" s="40"/>
      </tp>
      <tp t="s">
        <v>#N/A N/A</v>
        <stp/>
        <stp>BDS|7001537594050750792</stp>
        <tr r="KO5" s="36"/>
      </tp>
      <tp t="s">
        <v>#N/A N/A</v>
        <stp/>
        <stp>BDS|7162304559634729960</stp>
        <tr r="QW5" s="40"/>
        <tr r="MG5" s="30"/>
        <tr r="UI5" s="38"/>
      </tp>
      <tp t="s">
        <v>#N/A N/A</v>
        <stp/>
        <stp>BDS|2198541468815591874</stp>
        <tr r="UY5" s="44"/>
        <tr r="A5" s="13"/>
        <tr r="A5" s="23"/>
      </tp>
      <tp t="s">
        <v>#N/A N/A</v>
        <stp/>
        <stp>BDS|5844333764215924994</stp>
        <tr r="AE5" s="27"/>
      </tp>
      <tp t="s">
        <v>#N/A N/A</v>
        <stp/>
        <stp>BDS|3800926932447187253</stp>
        <tr r="KO5" s="46"/>
      </tp>
      <tp t="s">
        <v>#N/A N/A</v>
        <stp/>
        <stp>BDS|8901793815140103281</stp>
        <tr r="EU5" s="50"/>
      </tp>
      <tp t="s">
        <v>#N/A N/A</v>
        <stp/>
        <stp>BDS|9726903507898420494</stp>
        <tr r="JY5" s="47"/>
      </tp>
      <tp t="s">
        <v>#N/A N/A</v>
        <stp/>
        <stp>BDS|8703303852487843501</stp>
        <tr r="UY5" s="48"/>
      </tp>
      <tp t="s">
        <v>#N/A N/A</v>
        <stp/>
        <stp>BDS|8778262373339299822</stp>
        <tr r="HQ5" s="22"/>
      </tp>
      <tp t="s">
        <v>#N/A N/A</v>
        <stp/>
        <stp>BDS|8330473692529107058</stp>
        <tr r="JY5" s="50"/>
      </tp>
      <tp t="s">
        <v>#N/A N/A</v>
        <stp/>
        <stp>BDS|6865849444901317795</stp>
        <tr r="EU5" s="49"/>
      </tp>
      <tp t="s">
        <v>#N/A N/A</v>
        <stp/>
        <stp>BDS|4036531926387363854</stp>
        <tr r="HQ5" s="30"/>
      </tp>
      <tp t="s">
        <v>#N/A N/A</v>
        <stp/>
        <stp>BDS|5168970280039025155</stp>
        <tr r="FI5" s="44"/>
      </tp>
      <tp t="s">
        <v>#N/A N/A</v>
        <stp/>
        <stp>BDS|9238562840373257751</stp>
        <tr r="LS5" s="13"/>
      </tp>
      <tp t="s">
        <v>#N/A N/A</v>
        <stp/>
        <stp>BDS|8702511119444825471</stp>
        <tr r="LS5" s="46"/>
      </tp>
      <tp t="s">
        <v>#N/A N/A</v>
        <stp/>
        <stp>BDS|3761107241423075979</stp>
        <tr r="QI5" s="47"/>
      </tp>
      <tp t="s">
        <v>#N/A N/A</v>
        <stp/>
        <stp>BDS|2102445799131948243</stp>
        <tr r="OA5" s="47"/>
      </tp>
      <tp t="s">
        <v>#N/A N/A</v>
        <stp/>
        <stp>BDS|8074415055207362218</stp>
        <tr r="O5" s="31"/>
        <tr r="DA5" s="13"/>
      </tp>
      <tp t="s">
        <v>#N/A N/A</v>
        <stp/>
        <stp>BDS|2474909373765063513</stp>
        <tr r="AS5" s="39"/>
      </tp>
      <tp t="s">
        <v>#N/A N/A</v>
        <stp/>
        <stp>BDS|6626798414355992944</stp>
        <tr r="TU5" s="1"/>
        <tr r="KO5" s="15"/>
        <tr r="A5" s="43"/>
        <tr r="SQ5" s="5"/>
        <tr r="HC5" s="50"/>
      </tp>
      <tp t="s">
        <v>#N/A N/A</v>
        <stp/>
        <stp>BDS|9840397807635111310</stp>
        <tr r="MW5" s="7"/>
      </tp>
      <tp t="s">
        <v>#N/A N/A</v>
        <stp/>
        <stp>BDS|6783948930372030247</stp>
        <tr r="DQ5" s="37"/>
      </tp>
      <tp t="s">
        <v>#N/A N/A</v>
        <stp/>
        <stp>BDS|7318290809380031944</stp>
        <tr r="DA5" s="18"/>
        <tr r="OO5" s="45"/>
        <tr r="PS5" s="28"/>
        <tr r="LC5" s="1"/>
        <tr r="AS5" s="45"/>
      </tp>
      <tp t="s">
        <v>#N/A N/A</v>
        <stp/>
        <stp>BDS|2478258081660457402</stp>
        <tr r="AS5" s="3"/>
        <tr r="SA5" s="28"/>
      </tp>
      <tp t="s">
        <v>#N/A N/A</v>
        <stp/>
        <stp>BDS|9799331146794280645</stp>
        <tr r="JK5" s="1"/>
      </tp>
      <tp t="s">
        <v>#N/A N/A</v>
        <stp/>
        <stp>BDS|3170819067928434962</stp>
        <tr r="IU5" s="37"/>
      </tp>
      <tp t="s">
        <v>#N/A N/A</v>
        <stp/>
        <stp>BDS|8027893733456639862</stp>
        <tr r="HC5" s="26"/>
        <tr r="PE5" s="5"/>
        <tr r="LS5" s="3"/>
      </tp>
      <tp t="s">
        <v>#N/A N/A</v>
        <stp/>
        <stp>BDS|8599790110101707203</stp>
        <tr r="OA5" s="35"/>
      </tp>
      <tp t="s">
        <v>#N/A N/A</v>
        <stp/>
        <stp>BDS|9127956929817086869</stp>
        <tr r="GM5" s="20"/>
      </tp>
      <tp t="s">
        <v>#N/A N/A</v>
        <stp/>
        <stp>BDS|1139330024925750899</stp>
        <tr r="AE5" s="20"/>
        <tr r="PE5" s="6"/>
      </tp>
      <tp t="s">
        <v>#N/A N/A</v>
        <stp/>
        <stp>BDS|9405446339025768675</stp>
        <tr r="MW5" s="29"/>
      </tp>
      <tp t="s">
        <v>#N/A N/A</v>
        <stp/>
        <stp>BDS|4334842209951132006</stp>
        <tr r="MW5" s="36"/>
        <tr r="FY5" s="45"/>
      </tp>
      <tp t="s">
        <v>#N/A N/A</v>
        <stp/>
        <stp>BDS|7836898358481388655</stp>
        <tr r="EU5" s="42"/>
      </tp>
      <tp t="s">
        <v>#N/A N/A</v>
        <stp/>
        <stp>BDS|7023975308197901496</stp>
        <tr r="IU5" s="31"/>
      </tp>
      <tp t="s">
        <v>#N/A N/A</v>
        <stp/>
        <stp>BDS|9977299218760720733</stp>
        <tr r="VM5" s="16"/>
        <tr r="SA5" s="32"/>
        <tr r="SA5" s="44"/>
        <tr r="HQ5" s="5"/>
        <tr r="JY5" s="8"/>
        <tr r="DA5" s="9"/>
      </tp>
      <tp t="s">
        <v>#N/A N/A</v>
        <stp/>
        <stp>BDS|6783112597853985046</stp>
        <tr r="O5" s="17"/>
        <tr r="OO5" s="41"/>
        <tr r="DA5" s="20"/>
      </tp>
      <tp t="s">
        <v>#N/A N/A</v>
        <stp/>
        <stp>BDS|7920915540661338671</stp>
        <tr r="EE5" s="47"/>
      </tp>
      <tp t="s">
        <v>#N/A N/A</v>
        <stp/>
        <stp>BDS|1529237019597084823</stp>
        <tr r="BW5" s="41"/>
      </tp>
      <tp t="s">
        <v>#N/A N/A</v>
        <stp/>
        <stp>BDS|4032930866074887205</stp>
        <tr r="FI5" s="25"/>
      </tp>
      <tp t="s">
        <v>#N/A N/A</v>
        <stp/>
        <stp>BDS|2543727098452928344</stp>
        <tr r="LC5" s="11"/>
        <tr r="IU5" s="12"/>
        <tr r="MG5" s="45"/>
        <tr r="JY5" s="27"/>
        <tr r="HQ5" s="6"/>
      </tp>
      <tp t="s">
        <v>#N/A N/A</v>
        <stp/>
        <stp>BDS|5019477254780634961</stp>
        <tr r="PS5" s="14"/>
      </tp>
      <tp t="s">
        <v>#N/A N/A</v>
        <stp/>
        <stp>BDS|5918718922149886422</stp>
        <tr r="TE5" s="32"/>
      </tp>
      <tp t="s">
        <v>#N/A N/A</v>
        <stp/>
        <stp>BDS|2410107327959097535</stp>
        <tr r="LC5" s="32"/>
      </tp>
      <tp t="s">
        <v>#N/A N/A</v>
        <stp/>
        <stp>BDS|2022743798504522590</stp>
        <tr r="TU5" s="42"/>
      </tp>
      <tp t="s">
        <v>#N/A N/A</v>
        <stp/>
        <stp>BDS|7538925842183487407</stp>
        <tr r="JY5" s="19"/>
      </tp>
      <tp t="s">
        <v>#N/A N/A</v>
        <stp/>
        <stp>BDS|3685865325992788638</stp>
        <tr r="AS5" s="47"/>
      </tp>
      <tp t="s">
        <v>#N/A N/A</v>
        <stp/>
        <stp>BDS|8462066244437491639</stp>
        <tr r="IU5" s="21"/>
      </tp>
      <tp t="s">
        <v>#N/A N/A</v>
        <stp/>
        <stp>BDS|6423715107075745931</stp>
        <tr r="DA5" s="21"/>
        <tr r="VM5" s="45"/>
      </tp>
      <tp t="s">
        <v>#N/A N/A</v>
        <stp/>
        <stp>BDS|9917823488123317762</stp>
        <tr r="MW5" s="11"/>
      </tp>
      <tp t="s">
        <v>#N/A N/A</v>
        <stp/>
        <stp>BDS|9332761927338293969</stp>
        <tr r="QW5" s="12"/>
        <tr r="QW5" s="49"/>
      </tp>
      <tp t="s">
        <v>#N/A N/A</v>
        <stp/>
        <stp>BDS|9602180014594457086</stp>
        <tr r="OA5" s="10"/>
        <tr r="RM5" s="24"/>
      </tp>
      <tp t="s">
        <v>#N/A N/A</v>
        <stp/>
        <stp>BDS|2666911599248139787</stp>
        <tr r="FI5" s="1"/>
        <tr r="BW5" s="6"/>
      </tp>
      <tp t="s">
        <v>#N/A N/A</v>
        <stp/>
        <stp>BDS|9311048131627138008</stp>
        <tr r="A5" s="12"/>
        <tr r="DQ5" s="40"/>
      </tp>
      <tp t="s">
        <v>#N/A N/A</v>
        <stp/>
        <stp>BDS|6572619326959248649</stp>
        <tr r="TE5" s="19"/>
      </tp>
      <tp t="s">
        <v>#N/A N/A</v>
        <stp/>
        <stp>BDS|3364096751089625298</stp>
        <tr r="VM5" s="50"/>
      </tp>
      <tp t="s">
        <v>#N/A N/A</v>
        <stp/>
        <stp>BDS|2201946032234620160</stp>
        <tr r="TU5" s="28"/>
      </tp>
      <tp t="s">
        <v>#N/A N/A</v>
        <stp/>
        <stp>BDS|4006940162242529798</stp>
        <tr r="LC5" s="37"/>
      </tp>
      <tp t="s">
        <v>#N/A N/A</v>
        <stp/>
        <stp>BDS|1683934573359528890</stp>
        <tr r="LS5" s="40"/>
      </tp>
      <tp t="s">
        <v>#N/A N/A</v>
        <stp/>
        <stp>BDS|5064441613769530782</stp>
        <tr r="SQ5" s="12"/>
      </tp>
      <tp t="s">
        <v>#N/A N/A</v>
        <stp/>
        <stp>BDS|2934927641859363829</stp>
        <tr r="AS5" s="49"/>
      </tp>
      <tp t="s">
        <v>#N/A N/A</v>
        <stp/>
        <stp>BDS|9061513839494307536</stp>
        <tr r="QI5" s="13"/>
        <tr r="PE5" s="16"/>
      </tp>
      <tp t="s">
        <v>#N/A N/A</v>
        <stp/>
        <stp>BDS|8850763026933609075</stp>
        <tr r="PS5" s="19"/>
      </tp>
      <tp t="s">
        <v>#N/A N/A</v>
        <stp/>
        <stp>BDS|1265191910438031720</stp>
        <tr r="VM5" s="49"/>
      </tp>
      <tp t="s">
        <v>#N/A N/A</v>
        <stp/>
        <stp>BDS|8214655004691494194</stp>
        <tr r="IU5" s="14"/>
      </tp>
      <tp t="s">
        <v>#N/A N/A</v>
        <stp/>
        <stp>BDS|2550358307468916708</stp>
        <tr r="CM5" s="39"/>
        <tr r="LS5" s="44"/>
      </tp>
      <tp t="s">
        <v>#N/A N/A</v>
        <stp/>
        <stp>BDS|7943215574765458965</stp>
        <tr r="FI5" s="38"/>
        <tr r="O5" s="36"/>
      </tp>
      <tp t="s">
        <v>#N/A N/A</v>
        <stp/>
        <stp>BDS|1337801265653971236</stp>
        <tr r="QW5" s="36"/>
      </tp>
      <tp t="s">
        <v>#N/A N/A</v>
        <stp/>
        <stp>BDS|8948620733962039150</stp>
        <tr r="RM5" s="25"/>
        <tr r="IG5" s="6"/>
      </tp>
      <tp t="s">
        <v>#N/A N/A</v>
        <stp/>
        <stp>BDS|2164319996474129253</stp>
        <tr r="OO5" s="21"/>
        <tr r="IU5" s="38"/>
        <tr r="MG5" s="41"/>
        <tr r="LC5" s="8"/>
        <tr r="AS5" s="5"/>
      </tp>
      <tp t="s">
        <v>#N/A N/A</v>
        <stp/>
        <stp>BDS|7560637781904212370</stp>
        <tr r="JK5" s="7"/>
      </tp>
      <tp t="s">
        <v>#N/A N/A</v>
        <stp/>
        <stp>BDS|6420691196967852011</stp>
        <tr r="EE5" s="15"/>
        <tr r="BW5" s="10"/>
        <tr r="MG5" s="22"/>
        <tr r="UI5" s="4"/>
        <tr r="DA5" s="7"/>
      </tp>
      <tp t="s">
        <v>#N/A N/A</v>
        <stp/>
        <stp>BDS|1681152575471057848</stp>
        <tr r="BW5" s="35"/>
        <tr r="PS5" s="35"/>
      </tp>
      <tp t="s">
        <v>#N/A N/A</v>
        <stp/>
        <stp>BDS|3028588848895254907</stp>
        <tr r="QI5" s="45"/>
      </tp>
      <tp t="s">
        <v>#N/A N/A</v>
        <stp/>
        <stp>BDS|1560908665435246510</stp>
        <tr r="GM5" s="47"/>
      </tp>
      <tp t="s">
        <v>#N/A N/A</v>
        <stp/>
        <stp>BDS|9291979817648822799</stp>
        <tr r="EE5" s="19"/>
      </tp>
      <tp t="s">
        <v>#N/A N/A</v>
        <stp/>
        <stp>BDS|4383868879613650696</stp>
        <tr r="KO5" s="39"/>
        <tr r="SQ5" s="16"/>
      </tp>
      <tp t="s">
        <v>#N/A N/A</v>
        <stp/>
        <stp>BDS|5591903419587555490</stp>
        <tr r="SQ5" s="23"/>
      </tp>
      <tp t="s">
        <v>#N/A N/A</v>
        <stp/>
        <stp>BDS|4185865924212419276</stp>
        <tr r="QI5" s="31"/>
      </tp>
      <tp t="s">
        <v>#N/A N/A</v>
        <stp/>
        <stp>BDS|9172717825910207277</stp>
        <tr r="EE5" s="7"/>
        <tr r="BW5" s="38"/>
      </tp>
      <tp t="s">
        <v>#N/A N/A</v>
        <stp/>
        <stp>BDS|2742233519628924744</stp>
        <tr r="QW5" s="11"/>
      </tp>
      <tp t="s">
        <v>#N/A N/A</v>
        <stp/>
        <stp>BDS|7103802532491713358</stp>
        <tr r="EU5" s="23"/>
        <tr r="IG5" s="23"/>
      </tp>
      <tp t="s">
        <v>#N/A N/A</v>
        <stp/>
        <stp>BDS|4658528443683436825</stp>
        <tr r="AE5" s="14"/>
      </tp>
      <tp t="s">
        <v>#N/A N/A</v>
        <stp/>
        <stp>BDS|1173456394455573742</stp>
        <tr r="UI5" s="44"/>
      </tp>
      <tp t="s">
        <v>#N/A N/A</v>
        <stp/>
        <stp>BDS|8915665656212809706</stp>
        <tr r="DQ5" s="12"/>
        <tr r="PE5" s="33"/>
        <tr r="TU5" s="8"/>
      </tp>
      <tp t="s">
        <v>#N/A N/A</v>
        <stp/>
        <stp>BDS|7932002267786107998</stp>
        <tr r="O5" s="32"/>
      </tp>
      <tp t="s">
        <v>#N/A N/A</v>
        <stp/>
        <stp>BDS|1663021573110539852</stp>
        <tr r="RM5" s="42"/>
      </tp>
      <tp t="s">
        <v>#N/A N/A</v>
        <stp/>
        <stp>BDS|7422300701098005218</stp>
        <tr r="OA5" s="11"/>
        <tr r="DQ5" s="2"/>
        <tr r="A5" s="3"/>
      </tp>
      <tp t="s">
        <v>#N/A N/A</v>
        <stp/>
        <stp>BDS|1173880454460836218</stp>
        <tr r="IG5" s="13"/>
      </tp>
      <tp t="s">
        <v>#N/A N/A</v>
        <stp/>
        <stp>BDS|7936520602388509489</stp>
        <tr r="QI5" s="33"/>
        <tr r="HC5" s="21"/>
        <tr r="IG5" s="30"/>
      </tp>
      <tp t="s">
        <v>#N/A N/A</v>
        <stp/>
        <stp>BDS|6616114458028309495</stp>
        <tr r="PE5" s="42"/>
      </tp>
      <tp t="s">
        <v>#N/A N/A</v>
        <stp/>
        <stp>BDS|6662883924501060205</stp>
        <tr r="AE5" s="49"/>
      </tp>
      <tp t="s">
        <v>#N/A N/A</v>
        <stp/>
        <stp>BDS|4282879533753552397</stp>
        <tr r="TE5" s="21"/>
        <tr r="PS5" s="38"/>
        <tr r="LC5" s="30"/>
      </tp>
      <tp t="s">
        <v>#N/A N/A</v>
        <stp/>
        <stp>BDS|1988421380347347504</stp>
        <tr r="DQ5" s="35"/>
        <tr r="LS5" s="25"/>
      </tp>
      <tp t="s">
        <v>#N/A N/A</v>
        <stp/>
        <stp>BDS|7317902521974301792</stp>
        <tr r="CM5" s="4"/>
        <tr r="SQ5" s="41"/>
      </tp>
      <tp t="s">
        <v>#N/A N/A</v>
        <stp/>
        <stp>BDS|6577627300566725989</stp>
        <tr r="MG5" s="29"/>
        <tr r="JY5" s="22"/>
      </tp>
      <tp t="s">
        <v>#N/A N/A</v>
        <stp/>
        <stp>BDS|4544757996734758182</stp>
        <tr r="O5" s="28"/>
        <tr r="FI5" s="2"/>
      </tp>
      <tp t="s">
        <v>#N/A N/A</v>
        <stp/>
        <stp>BDS|3998586041349066499</stp>
        <tr r="UY5" s="13"/>
      </tp>
      <tp t="s">
        <v>#N/A N/A</v>
        <stp/>
        <stp>BDS|8291139856785704693</stp>
        <tr r="SQ5" s="18"/>
      </tp>
      <tp t="s">
        <v>#N/A N/A</v>
        <stp/>
        <stp>BDS|2785194661693564938</stp>
        <tr r="RM5" s="8"/>
        <tr r="FY5" s="18"/>
        <tr r="BI5" s="5"/>
      </tp>
      <tp t="s">
        <v>#N/A N/A</v>
        <stp/>
        <stp>BDS|4380736047490131885</stp>
        <tr r="SQ5" s="32"/>
      </tp>
      <tp t="s">
        <v>#N/A N/A</v>
        <stp/>
        <stp>BDS|9276446129193408349</stp>
        <tr r="CM5" s="12"/>
      </tp>
      <tp t="s">
        <v>#N/A N/A</v>
        <stp/>
        <stp>BDS|3049310558678749218</stp>
        <tr r="SQ5" s="14"/>
      </tp>
      <tp t="s">
        <v>#N/A N/A</v>
        <stp/>
        <stp>BDS|6025710868451775933</stp>
        <tr r="SA5" s="6"/>
        <tr r="VM5" s="15"/>
      </tp>
      <tp t="s">
        <v>#N/A N/A</v>
        <stp/>
        <stp>BDS|3184494788378059824</stp>
        <tr r="EU5" s="24"/>
        <tr r="BI5" s="30"/>
      </tp>
      <tp t="s">
        <v>#N/A N/A</v>
        <stp/>
        <stp>BDS|9006816426458640439</stp>
        <tr r="AS5" s="48"/>
      </tp>
      <tp t="s">
        <v>#N/A N/A</v>
        <stp/>
        <stp>BDS|8619628027376530546</stp>
        <tr r="AS5" s="24"/>
      </tp>
      <tp t="s">
        <v>#N/A N/A</v>
        <stp/>
        <stp>BDS|3116762918038483299</stp>
        <tr r="GM5" s="11"/>
      </tp>
      <tp t="s">
        <v>#N/A N/A</v>
        <stp/>
        <stp>BDS|6784798992095703293</stp>
        <tr r="JY5" s="9"/>
      </tp>
      <tp t="s">
        <v>#N/A N/A</v>
        <stp/>
        <stp>BDS|6137573502535246947</stp>
        <tr r="QW5" s="24"/>
        <tr r="PS5" s="43"/>
      </tp>
      <tp t="s">
        <v>#N/A N/A</v>
        <stp/>
        <stp>BDS|5001546151058643205</stp>
        <tr r="SA5" s="42"/>
      </tp>
      <tp t="s">
        <v>#N/A N/A</v>
        <stp/>
        <stp>BDS|5692831083518613202</stp>
        <tr r="HC5" s="6"/>
        <tr r="LS5" s="45"/>
        <tr r="KO5" s="11"/>
        <tr r="IG5" s="12"/>
        <tr r="JK5" s="27"/>
      </tp>
      <tp t="s">
        <v>#N/A N/A</v>
        <stp/>
        <stp>BDS|7754210496005506653</stp>
        <tr r="FY5" s="27"/>
      </tp>
      <tp t="s">
        <v>#N/A N/A</v>
        <stp/>
        <stp>BDS|1931799575009277762</stp>
        <tr r="SQ5" s="10"/>
      </tp>
      <tp t="s">
        <v>#N/A N/A</v>
        <stp/>
        <stp>BDS|5062817914287727435</stp>
        <tr r="VM5" s="35"/>
      </tp>
      <tp t="s">
        <v>#N/A N/A</v>
        <stp/>
        <stp>BDS|5210865655011607660</stp>
        <tr r="UI5" s="36"/>
      </tp>
      <tp t="s">
        <v>#N/A N/A</v>
        <stp/>
        <stp>BDS|9518943917919498736</stp>
        <tr r="NK5" s="19"/>
      </tp>
      <tp t="s">
        <v>#N/A N/A</v>
        <stp/>
        <stp>BDS|9920869712539878627</stp>
        <tr r="BW5" s="13"/>
        <tr r="BW5" s="31"/>
      </tp>
      <tp t="s">
        <v>#N/A N/A</v>
        <stp/>
        <stp>BDS|1794471924770165827</stp>
        <tr r="GM5" s="13"/>
        <tr r="BW5" s="45"/>
        <tr r="VM5" s="8"/>
      </tp>
      <tp t="s">
        <v>#N/A N/A</v>
        <stp/>
        <stp>BDS|4351566517549413611</stp>
        <tr r="AE5" s="47"/>
      </tp>
      <tp t="s">
        <v>#N/A N/A</v>
        <stp/>
        <stp>BDS|9282002023592415613</stp>
        <tr r="AS5" s="15"/>
      </tp>
      <tp t="s">
        <v>#N/A N/A</v>
        <stp/>
        <stp>BDS|8617277878726458496</stp>
        <tr r="UY5" s="45"/>
        <tr r="CM5" s="21"/>
      </tp>
      <tp t="s">
        <v>#N/A N/A</v>
        <stp/>
        <stp>BDS|8517779478501970679</stp>
        <tr r="FI5" s="13"/>
      </tp>
      <tp t="s">
        <v>#N/A N/A</v>
        <stp/>
        <stp>BDS|7711400461908556263</stp>
        <tr r="BI5" s="31"/>
        <tr r="BI5" s="13"/>
      </tp>
      <tp t="s">
        <v>#N/A N/A</v>
        <stp/>
        <stp>BDS|9078796531873553188</stp>
        <tr r="JY5" s="33"/>
      </tp>
      <tp t="s">
        <v>#N/A N/A</v>
        <stp/>
        <stp>BDS|1788967250753945639</stp>
        <tr r="LC5" s="47"/>
      </tp>
      <tp t="s">
        <v>#N/A N/A</v>
        <stp/>
        <stp>BDS|2899763686062660761</stp>
        <tr r="BI5" s="11"/>
        <tr r="BI5" s="17"/>
        <tr r="MW5" s="46"/>
        <tr r="QI5" s="5"/>
      </tp>
      <tp t="s">
        <v>#N/A N/A</v>
        <stp/>
        <stp>BDS|7715903061183774399</stp>
        <tr r="EU5" s="43"/>
      </tp>
      <tp t="s">
        <v>#N/A N/A</v>
        <stp/>
        <stp>BDS|7839404262435568874</stp>
        <tr r="VM5" s="10"/>
      </tp>
      <tp t="s">
        <v>#N/A N/A</v>
        <stp/>
        <stp>BDS|9737329736740355190</stp>
        <tr r="CM5" s="30"/>
      </tp>
      <tp t="s">
        <v>#N/A N/A</v>
        <stp/>
        <stp>BDS|7957404527720178965</stp>
        <tr r="MG5" s="38"/>
      </tp>
      <tp t="s">
        <v>#N/A N/A</v>
        <stp/>
        <stp>BDS|9598604251455219788</stp>
        <tr r="HQ5" s="29"/>
      </tp>
      <tp t="s">
        <v>#N/A N/A</v>
        <stp/>
        <stp>BDS|7865213284886469356</stp>
        <tr r="PE5" s="2"/>
        <tr r="JK5" s="38"/>
        <tr r="A5" s="6"/>
        <tr r="JK5" s="24"/>
        <tr r="RM5" s="9"/>
      </tp>
      <tp t="s">
        <v>#N/A N/A</v>
        <stp/>
        <stp>BDS|9854114103241002163</stp>
        <tr r="LS5" s="28"/>
        <tr r="KO5" s="24"/>
      </tp>
      <tp t="s">
        <v>#N/A N/A</v>
        <stp/>
        <stp>BDS|1926700392727425033</stp>
        <tr r="GM5" s="16"/>
        <tr r="QW5" s="7"/>
      </tp>
      <tp t="s">
        <v>#N/A N/A</v>
        <stp/>
        <stp>BDS|2173632601509884593</stp>
        <tr r="RM5" s="7"/>
      </tp>
      <tp t="s">
        <v>#N/A N/A</v>
        <stp/>
        <stp>BDS|5492471534733471911</stp>
        <tr r="JY5" s="43"/>
      </tp>
      <tp t="s">
        <v>#N/A N/A</v>
        <stp/>
        <stp>BDS|2015098782703925116</stp>
        <tr r="HQ5" s="24"/>
        <tr r="GM5" s="26"/>
        <tr r="UI5" s="5"/>
      </tp>
      <tp t="s">
        <v>#N/A N/A</v>
        <stp/>
        <stp>BDS|8189785450292867022</stp>
        <tr r="FI5" s="35"/>
      </tp>
      <tp t="s">
        <v>#N/A N/A</v>
        <stp/>
        <stp>BDS|1385820557042077656</stp>
        <tr r="IU5" s="22"/>
      </tp>
      <tp t="s">
        <v>#N/A N/A</v>
        <stp/>
        <stp>BDS|8384306807934502725</stp>
        <tr r="FY5" s="25"/>
      </tp>
      <tp t="s">
        <v>#N/A N/A</v>
        <stp/>
        <stp>BDS|2138983155895672398</stp>
        <tr r="RM5" s="45"/>
      </tp>
      <tp t="s">
        <v>#N/A N/A</v>
        <stp/>
        <stp>BDS|2445984658663483507</stp>
        <tr r="IU5" s="45"/>
      </tp>
      <tp t="s">
        <v>#N/A N/A</v>
        <stp/>
        <stp>BDS|1393687884153651496</stp>
        <tr r="EE5" s="29"/>
        <tr r="PS5" s="34"/>
        <tr r="HQ5" s="35"/>
      </tp>
      <tp t="s">
        <v>#N/A N/A</v>
        <stp/>
        <stp>BDS|8445727745963268007</stp>
        <tr r="UY5" s="47"/>
      </tp>
      <tp t="s">
        <v>#N/A N/A</v>
        <stp/>
        <stp>BDS|5742228721815509809</stp>
        <tr r="O5" s="33"/>
        <tr r="MG5" s="43"/>
      </tp>
      <tp t="s">
        <v>#N/A N/A</v>
        <stp/>
        <stp>BDS|1541527611749119460</stp>
        <tr r="LS5" s="42"/>
      </tp>
      <tp t="s">
        <v>#N/A N/A</v>
        <stp/>
        <stp>BDS|4978164698865888188</stp>
        <tr r="DA5" s="47"/>
      </tp>
      <tp t="s">
        <v>#N/A N/A</v>
        <stp/>
        <stp>BDS|2630065062869148573</stp>
        <tr r="UY5" s="27"/>
      </tp>
      <tp t="s">
        <v>#N/A N/A</v>
        <stp/>
        <stp>BDS|5400983106193875766</stp>
        <tr r="BI5" s="38"/>
        <tr r="DQ5" s="7"/>
      </tp>
      <tp t="s">
        <v>#N/A N/A</v>
        <stp/>
        <stp>BDS|8028032031532369157</stp>
        <tr r="A5" s="30"/>
      </tp>
      <tp t="s">
        <v>#N/A N/A</v>
        <stp/>
        <stp>BDS|8465617982946688845</stp>
        <tr r="IG5" s="14"/>
      </tp>
      <tp t="s">
        <v>#N/A N/A</v>
        <stp/>
        <stp>BDS|6858208589537824236</stp>
        <tr r="CM5" s="23"/>
        <tr r="EU5" s="34"/>
        <tr r="OA5" s="49"/>
      </tp>
      <tp t="s">
        <v>#N/A N/A</v>
        <stp/>
        <stp>BDS|9528283442193603536</stp>
        <tr r="MW5" s="33"/>
      </tp>
      <tp t="s">
        <v>#N/A N/A</v>
        <stp/>
        <stp>BDS|7502099943149580310</stp>
        <tr r="DA5" s="50"/>
      </tp>
      <tp t="s">
        <v>#N/A N/A</v>
        <stp/>
        <stp>BDS|8600712078114124556</stp>
        <tr r="LS5" s="27"/>
      </tp>
      <tp t="s">
        <v>#N/A N/A</v>
        <stp/>
        <stp>BDS|1859865024201577372</stp>
        <tr r="VM5" s="20"/>
      </tp>
      <tp t="s">
        <v>#N/A N/A</v>
        <stp/>
        <stp>BDS|9763506732193850550</stp>
        <tr r="BW5" s="47"/>
      </tp>
      <tp t="s">
        <v>#N/A N/A</v>
        <stp/>
        <stp>BDS|4285409033869991319</stp>
        <tr r="FY5" s="50"/>
      </tp>
      <tp t="s">
        <v>#N/A N/A</v>
        <stp/>
        <stp>BDS|9788480040316020660</stp>
        <tr r="TE5" s="4"/>
        <tr r="AS5" s="9"/>
      </tp>
      <tp t="s">
        <v>#N/A N/A</v>
        <stp/>
        <stp>BDS|4063994320481104718</stp>
        <tr r="DQ5" s="14"/>
      </tp>
      <tp t="s">
        <v>#N/A N/A</v>
        <stp/>
        <stp>BDS|5320031453078243185</stp>
        <tr r="IG5" s="9"/>
      </tp>
      <tp t="s">
        <v>#N/A N/A</v>
        <stp/>
        <stp>BDS|2905833266642574704</stp>
        <tr r="TU5" s="20"/>
      </tp>
      <tp t="s">
        <v>#N/A N/A</v>
        <stp/>
        <stp>BDS|4072403999895291558</stp>
        <tr r="RM5" s="21"/>
        <tr r="JK5" s="30"/>
      </tp>
      <tp t="s">
        <v>#N/A N/A</v>
        <stp/>
        <stp>BDS|3954466703288325611</stp>
        <tr r="IU5" s="13"/>
      </tp>
      <tp t="s">
        <v>#N/A N/A</v>
        <stp/>
        <stp>BDS|6311236684196310391</stp>
        <tr r="GM5" s="34"/>
      </tp>
      <tp t="s">
        <v>#N/A N/A</v>
        <stp/>
        <stp>BDS|6946255035289574732</stp>
        <tr r="NK5" s="42"/>
      </tp>
      <tp t="s">
        <v>#N/A N/A</v>
        <stp/>
        <stp>BDS|2737625450010027898</stp>
        <tr r="IG5" s="29"/>
        <tr r="AE5" s="38"/>
        <tr r="AE5" s="17"/>
        <tr r="CM5" s="48"/>
        <tr r="PE5" s="8"/>
      </tp>
      <tp t="s">
        <v>#N/A N/A</v>
        <stp/>
        <stp>BDS|1359240139699571079</stp>
        <tr r="SQ5" s="15"/>
      </tp>
      <tp t="s">
        <v>#N/A N/A</v>
        <stp/>
        <stp>BDS|4281361750508997310</stp>
        <tr r="VM5" s="12"/>
        <tr r="GM5" s="29"/>
      </tp>
      <tp t="s">
        <v>#N/A N/A</v>
        <stp/>
        <stp>BDS|8533661530172974673</stp>
        <tr r="KO5" s="18"/>
        <tr r="PE5" s="41"/>
        <tr r="DQ5" s="9"/>
      </tp>
      <tp t="s">
        <v>#N/A N/A</v>
        <stp/>
        <stp>BDS|9721607069879383900</stp>
        <tr r="UY5" s="28"/>
        <tr r="KO5" s="20"/>
        <tr r="DQ5" s="39"/>
      </tp>
      <tp t="s">
        <v>#N/A N/A</v>
        <stp/>
        <stp>BDS|4556131202914479835</stp>
        <tr r="RM5" s="23"/>
      </tp>
      <tp t="s">
        <v>#N/A N/A</v>
        <stp/>
        <stp>BDS|8248791438202872780</stp>
        <tr r="PE5" s="31"/>
      </tp>
      <tp t="s">
        <v>#N/A N/A</v>
        <stp/>
        <stp>BDS|5363831135492711515</stp>
        <tr r="TU5" s="50"/>
        <tr r="MW5" s="8"/>
      </tp>
      <tp t="s">
        <v>#N/A N/A</v>
        <stp/>
        <stp>BDS|3723130089723913043</stp>
        <tr r="VM5" s="13"/>
      </tp>
      <tp t="s">
        <v>#N/A N/A</v>
        <stp/>
        <stp>BDS|6498134100356107875</stp>
        <tr r="QI5" s="42"/>
        <tr r="EU5" s="5"/>
      </tp>
      <tp t="s">
        <v>#N/A N/A</v>
        <stp/>
        <stp>BDS|1620777748822815904</stp>
        <tr r="AE5" s="16"/>
      </tp>
      <tp t="s">
        <v>#N/A N/A</v>
        <stp/>
        <stp>BDS|3645251846804180858</stp>
        <tr r="NK5" s="7"/>
      </tp>
      <tp t="s">
        <v>#N/A N/A</v>
        <stp/>
        <stp>BDS|9947164036095809706</stp>
        <tr r="SQ5" s="37"/>
      </tp>
      <tp t="s">
        <v>#N/A N/A</v>
        <stp/>
        <stp>BDS|7512664860857248977</stp>
        <tr r="LC5" s="12"/>
        <tr r="DA5" s="29"/>
        <tr r="MG5" s="33"/>
        <tr r="O5" s="8"/>
      </tp>
      <tp t="s">
        <v>#N/A N/A</v>
        <stp/>
        <stp>BDS|6016058462689861094</stp>
        <tr r="UY5" s="49"/>
      </tp>
      <tp t="s">
        <v>#N/A N/A</v>
        <stp/>
        <stp>BDS|1362164154038135467</stp>
        <tr r="FI5" s="31"/>
      </tp>
      <tp t="s">
        <v>#N/A N/A</v>
        <stp/>
        <stp>BDS|8405038568387876019</stp>
        <tr r="KO5" s="42"/>
      </tp>
      <tp t="s">
        <v>#N/A N/A</v>
        <stp/>
        <stp>BDS|3796833621321081126</stp>
        <tr r="TE5" s="13"/>
      </tp>
      <tp t="s">
        <v>#N/A N/A</v>
        <stp/>
        <stp>BDS|2751025101338588358</stp>
        <tr r="AE5" s="13"/>
        <tr r="TU5" s="15"/>
      </tp>
      <tp t="s">
        <v>#N/A N/A</v>
        <stp/>
        <stp>BDS|4115408512218664018</stp>
        <tr r="QI5" s="38"/>
        <tr r="FY5" s="15"/>
        <tr r="MW5" s="17"/>
        <tr r="RM5" s="37"/>
      </tp>
      <tp t="s">
        <v>#N/A N/A</v>
        <stp/>
        <stp>BDS|1845189730579157346</stp>
        <tr r="JY5" s="15"/>
      </tp>
      <tp t="s">
        <v>#N/A N/A</v>
        <stp/>
        <stp>BDS|5863516488904261696</stp>
        <tr r="OO5" s="47"/>
      </tp>
      <tp t="s">
        <v>#N/A N/A</v>
        <stp/>
        <stp>BDS|7227787295421083240</stp>
        <tr r="MW5" s="47"/>
      </tp>
      <tp t="s">
        <v>#N/A N/A</v>
        <stp/>
        <stp>BDS|4232269257519812002</stp>
        <tr r="SA5" s="20"/>
      </tp>
      <tp t="s">
        <v>#N/A N/A</v>
        <stp/>
        <stp>BDS|1204993817010311378</stp>
        <tr r="SA5" s="49"/>
      </tp>
      <tp t="s">
        <v>#N/A N/A</v>
        <stp/>
        <stp>BDS|1135392327198227259</stp>
        <tr r="HC5" s="14"/>
        <tr r="JK5" s="32"/>
        <tr r="QI5" s="44"/>
      </tp>
      <tp t="s">
        <v>#N/A N/A</v>
        <stp/>
        <stp>BDS|3621491091525226147</stp>
        <tr r="JY5" s="4"/>
      </tp>
      <tp t="s">
        <v>#N/A N/A</v>
        <stp/>
        <stp>BDS|3268505485040868467</stp>
        <tr r="FI5" s="3"/>
        <tr r="TE5" s="30"/>
        <tr r="IU5" s="50"/>
      </tp>
      <tp t="s">
        <v>#N/A N/A</v>
        <stp/>
        <stp>BDS|1490076835400807802</stp>
        <tr r="IU5" s="27"/>
      </tp>
      <tp t="s">
        <v>#N/A N/A</v>
        <stp/>
        <stp>BDS|3677031311791382999</stp>
        <tr r="HC5" s="39"/>
      </tp>
      <tp t="s">
        <v>#N/A N/A</v>
        <stp/>
        <stp>BDS|6760467789834000468</stp>
        <tr r="PE5" s="22"/>
        <tr r="IG5" s="5"/>
        <tr r="UY5" s="6"/>
      </tp>
      <tp t="s">
        <v>#N/A N/A</v>
        <stp/>
        <stp>BDS|6728769249497400836</stp>
        <tr r="QW5" s="37"/>
      </tp>
      <tp t="s">
        <v>#N/A N/A</v>
        <stp/>
        <stp>BDS|6701158540691837851</stp>
        <tr r="MW5" s="28"/>
      </tp>
      <tp t="s">
        <v>#N/A N/A</v>
        <stp/>
        <stp>BDS|8136660869782776058</stp>
        <tr r="SA5" s="39"/>
      </tp>
      <tp t="s">
        <v>#N/A N/A</v>
        <stp/>
        <stp>BDS|2787616299202087524</stp>
        <tr r="VM5" s="9"/>
      </tp>
      <tp t="s">
        <v>#N/A N/A</v>
        <stp/>
        <stp>BDS|9630253924873994034</stp>
        <tr r="AE5" s="32"/>
        <tr r="OA5" s="18"/>
      </tp>
      <tp t="s">
        <v>#N/A N/A</v>
        <stp/>
        <stp>BDS|2982401785172820676</stp>
        <tr r="UI5" s="40"/>
      </tp>
      <tp t="s">
        <v>#N/A N/A</v>
        <stp/>
        <stp>BDS|4047342923418569716</stp>
        <tr r="IG5" s="21"/>
      </tp>
      <tp t="s">
        <v>#N/A N/A</v>
        <stp/>
        <stp>BDS|3008946778270813775</stp>
        <tr r="BI5" s="48"/>
      </tp>
      <tp t="s">
        <v>#N/A N/A</v>
        <stp/>
        <stp>BDS|2053908170221066738</stp>
        <tr r="OA5" s="50"/>
      </tp>
      <tp t="s">
        <v>#N/A N/A</v>
        <stp/>
        <stp>BDS|5712692291505997563</stp>
        <tr r="NK5" s="50"/>
      </tp>
      <tp t="s">
        <v>#N/A N/A</v>
        <stp/>
        <stp>BDS|7144942354693674273</stp>
        <tr r="IG5" s="18"/>
        <tr r="RM5" s="2"/>
        <tr r="OA5" s="28"/>
        <tr r="KO5" s="31"/>
        <tr r="QI5" s="34"/>
      </tp>
      <tp t="s">
        <v>#N/A N/A</v>
        <stp/>
        <stp>BDS|3067261197373566159</stp>
        <tr r="DQ5" s="23"/>
      </tp>
      <tp t="s">
        <v>#N/A N/A</v>
        <stp/>
        <stp>BDS|7998182130008208745</stp>
        <tr r="FY5" s="37"/>
      </tp>
      <tp t="s">
        <v>#N/A N/A</v>
        <stp/>
        <stp>BDS|6432609557248308777</stp>
        <tr r="OO5" s="36"/>
      </tp>
      <tp t="s">
        <v>#N/A N/A</v>
        <stp/>
        <stp>BDS|9472703422081067713</stp>
        <tr r="QW5" s="39"/>
      </tp>
      <tp t="s">
        <v>#N/A N/A</v>
        <stp/>
        <stp>BDS|4994854262903150384</stp>
        <tr r="UY5" s="36"/>
      </tp>
      <tp t="s">
        <v>#N/A N/A</v>
        <stp/>
        <stp>BDS|4018403115709500270</stp>
        <tr r="RM5" s="27"/>
      </tp>
      <tp t="s">
        <v>#N/A N/A</v>
        <stp/>
        <stp>BDS|8525079804574245600</stp>
        <tr r="PS5" s="29"/>
      </tp>
      <tp t="s">
        <v>#N/A N/A</v>
        <stp/>
        <stp>BDS|4622943752685658721</stp>
        <tr r="A5" s="10"/>
      </tp>
      <tp t="s">
        <v>#N/A N/A</v>
        <stp/>
        <stp>BDS|1854490928238416590</stp>
        <tr r="QI5" s="26"/>
      </tp>
      <tp t="s">
        <v>#N/A N/A</v>
        <stp/>
        <stp>BDS|2795223785337357579</stp>
        <tr r="A5" s="25"/>
        <tr r="DQ5" s="27"/>
      </tp>
      <tp t="s">
        <v>#N/A N/A</v>
        <stp/>
        <stp>BDS|9161653904035291069</stp>
        <tr r="JK5" s="16"/>
        <tr r="IG5" s="19"/>
        <tr r="TU5" s="47"/>
        <tr r="RM5" s="19"/>
      </tp>
      <tp t="s">
        <v>#N/A N/A</v>
        <stp/>
        <stp>BDS|4984432183662964056</stp>
        <tr r="SA5" s="33"/>
      </tp>
      <tp t="s">
        <v>#N/A N/A</v>
        <stp/>
        <stp>BDS|3257537520156172859</stp>
        <tr r="EU5" s="1"/>
        <tr r="BI5" s="6"/>
      </tp>
      <tp t="s">
        <v>#N/A N/A</v>
        <stp/>
        <stp>BDS|3745818529092894125</stp>
        <tr r="QW5" s="27"/>
      </tp>
      <tp t="s">
        <v>#N/A N/A</v>
        <stp/>
        <stp>BDS|9898564133997321358</stp>
        <tr r="AS5" s="30"/>
      </tp>
      <tp t="s">
        <v>#N/A N/A</v>
        <stp/>
        <stp>BDS|2448883301293730215</stp>
        <tr r="HQ5" s="39"/>
      </tp>
      <tp t="s">
        <v>#N/A N/A</v>
        <stp/>
        <stp>BDS|7645039472578617394</stp>
        <tr r="BI5" s="16"/>
      </tp>
      <tp t="s">
        <v>#N/A N/A</v>
        <stp/>
        <stp>BDS|9850738163223019003</stp>
        <tr r="EU5" s="36"/>
      </tp>
      <tp t="s">
        <v>#N/A N/A</v>
        <stp/>
        <stp>BDS|7151784877295365950</stp>
        <tr r="QI5" s="50"/>
      </tp>
      <tp t="s">
        <v>#N/A N/A</v>
        <stp/>
        <stp>BDS|5681325249440764938</stp>
        <tr r="JY5" s="7"/>
      </tp>
      <tp t="s">
        <v>#N/A N/A</v>
        <stp/>
        <stp>BDS|8354676745874831571</stp>
        <tr r="TU5" s="25"/>
      </tp>
      <tp t="s">
        <v>#N/A N/A</v>
        <stp/>
        <stp>BDS|1077936148606577107</stp>
        <tr r="BI5" s="33"/>
      </tp>
      <tp t="s">
        <v>#N/A N/A</v>
        <stp/>
        <stp>BDS|7811049550649130038</stp>
        <tr r="GM5" s="31"/>
      </tp>
      <tp t="s">
        <v>#N/A N/A</v>
        <stp/>
        <stp>BDS|9964111827016118716</stp>
        <tr r="EE5" s="48"/>
      </tp>
      <tp t="s">
        <v>#N/A N/A</v>
        <stp/>
        <stp>BDS|2637183884822674211</stp>
        <tr r="EE5" s="25"/>
      </tp>
      <tp t="s">
        <v>#N/A N/A</v>
        <stp/>
        <stp>BDS|8603408722576124377</stp>
        <tr r="LC5" s="22"/>
        <tr r="NK5" s="6"/>
      </tp>
      <tp t="s">
        <v>#N/A N/A</v>
        <stp/>
        <stp>BDS|8304363324242175027</stp>
        <tr r="FY5" s="4"/>
      </tp>
      <tp t="s">
        <v>#N/A N/A</v>
        <stp/>
        <stp>BDS|1839376791537965750</stp>
        <tr r="AS5" s="16"/>
      </tp>
      <tp t="s">
        <v>#N/A N/A</v>
        <stp/>
        <stp>BDS|3664419356911206800</stp>
        <tr r="MW5" s="14"/>
      </tp>
      <tp t="s">
        <v>#N/A N/A</v>
        <stp/>
        <stp>BDS|7636817505047904380</stp>
        <tr r="HC5" s="2"/>
      </tp>
      <tp t="s">
        <v>#N/A N/A</v>
        <stp/>
        <stp>BDS|8810540021996527287</stp>
        <tr r="EE5" s="37"/>
      </tp>
      <tp t="s">
        <v>#N/A N/A</v>
        <stp/>
        <stp>BDS|3256797697556438080</stp>
        <tr r="SQ5" s="34"/>
      </tp>
      <tp t="s">
        <v>#N/A N/A</v>
        <stp/>
        <stp>BDS|3346070354505419828</stp>
        <tr r="CM5" s="49"/>
      </tp>
      <tp t="s">
        <v>#N/A N/A</v>
        <stp/>
        <stp>BDS|8918588103351737734</stp>
        <tr r="OA5" s="19"/>
      </tp>
      <tp t="s">
        <v>#N/A N/A</v>
        <stp/>
        <stp>BDS|3901525882935890074</stp>
        <tr r="QI5" s="20"/>
      </tp>
      <tp t="s">
        <v>#N/A N/A</v>
        <stp/>
        <stp>BDS|9642029701734372613</stp>
        <tr r="LS5" s="16"/>
        <tr r="IG5" s="41"/>
      </tp>
      <tp t="s">
        <v>#N/A N/A</v>
        <stp/>
        <stp>BDS|5346823268574775497</stp>
        <tr r="DA5" s="17"/>
        <tr r="JY5" s="12"/>
        <tr r="VM5" s="19"/>
      </tp>
      <tp t="s">
        <v>#N/A N/A</v>
        <stp/>
        <stp>BDS|5485387681492987706</stp>
        <tr r="FY5" s="9"/>
        <tr r="DQ5" s="3"/>
      </tp>
      <tp t="s">
        <v>#N/A N/A</v>
        <stp/>
        <stp>BDS|1867273848789121532</stp>
        <tr r="SA5" s="34"/>
      </tp>
      <tp t="s">
        <v>#N/A N/A</v>
        <stp/>
        <stp>BDS|2494446443819644003</stp>
        <tr r="EU5" s="26"/>
        <tr r="PE5" s="32"/>
        <tr r="AE5" s="46"/>
      </tp>
      <tp t="s">
        <v>#N/A N/A</v>
        <stp/>
        <stp>BDS|2313722600219247763</stp>
        <tr r="OA5" s="27"/>
      </tp>
      <tp t="s">
        <v>#N/A N/A</v>
        <stp/>
        <stp>BDS|2013287422702136403</stp>
        <tr r="QI5" s="27"/>
      </tp>
      <tp t="s">
        <v>#N/A N/A</v>
        <stp/>
        <stp>BDS|2950650915062385326</stp>
        <tr r="GM5" s="12"/>
      </tp>
      <tp t="s">
        <v>#N/A N/A</v>
        <stp/>
        <stp>BDS|2205389056925182551</stp>
        <tr r="MW5" s="21"/>
      </tp>
      <tp t="s">
        <v>#N/A N/A</v>
        <stp/>
        <stp>BDS|5427651003390222780</stp>
        <tr r="MW5" s="42"/>
      </tp>
      <tp t="s">
        <v>#N/A N/A</v>
        <stp/>
        <stp>BDS|9984389290797894005</stp>
        <tr r="EU5" s="3"/>
        <tr r="SQ5" s="30"/>
        <tr r="IG5" s="50"/>
      </tp>
      <tp t="s">
        <v>#N/A N/A</v>
        <stp/>
        <stp>BDS|1953504043075021138</stp>
        <tr r="QI5" s="14"/>
      </tp>
      <tp t="s">
        <v>#N/A N/A</v>
        <stp/>
        <stp>BDS|6505269949712686657</stp>
        <tr r="OO5" s="3"/>
      </tp>
      <tp t="s">
        <v>#N/A N/A</v>
        <stp/>
        <stp>BDS|6909268232444104726</stp>
        <tr r="OO5" s="19"/>
      </tp>
      <tp t="s">
        <v>#N/A N/A</v>
        <stp/>
        <stp>BDS|8401172765703167891</stp>
        <tr r="CM5" s="6"/>
        <tr r="OA5" s="9"/>
        <tr r="MW5" s="48"/>
      </tp>
      <tp t="s">
        <v>#N/A N/A</v>
        <stp/>
        <stp>BDS|9338287842729314242</stp>
        <tr r="EE5" s="3"/>
        <tr r="GM5" s="9"/>
      </tp>
      <tp t="s">
        <v>#N/A N/A</v>
        <stp/>
        <stp>BDS|7519791546878293867</stp>
        <tr r="QW5" s="13"/>
        <tr r="PS5" s="16"/>
      </tp>
      <tp t="s">
        <v>#N/A N/A</v>
        <stp/>
        <stp>BDS|5941711635297651247</stp>
        <tr r="JK5" s="4"/>
      </tp>
      <tp t="s">
        <v>#N/A N/A</v>
        <stp/>
        <stp>BDS|5386630251224942647</stp>
        <tr r="HC5" s="17"/>
      </tp>
      <tp t="s">
        <v>#N/A N/A</v>
        <stp/>
        <stp>BDS|4447680037215362040</stp>
        <tr r="LC5" s="34"/>
      </tp>
      <tp t="s">
        <v>#N/A N/A</v>
        <stp/>
        <stp>BDS|2186682797038245115</stp>
        <tr r="HC5" s="30"/>
      </tp>
      <tp t="s">
        <v>#N/A N/A</v>
        <stp/>
        <stp>BDS|5603884372426528849</stp>
        <tr r="SQ5" s="48"/>
      </tp>
      <tp t="s">
        <v>#N/A N/A</v>
        <stp/>
        <stp>BDS|2710650673232004530</stp>
        <tr r="EE5" s="36"/>
      </tp>
      <tp t="s">
        <v>#N/A N/A</v>
        <stp/>
        <stp>BDS|8140553541415216851</stp>
        <tr r="EU5" s="33"/>
        <tr r="IG5" s="7"/>
      </tp>
      <tp t="s">
        <v>#N/A N/A</v>
        <stp/>
        <stp>BDS|8094068164192796878</stp>
        <tr r="SA5" s="35"/>
      </tp>
      <tp t="s">
        <v>#N/A N/A</v>
        <stp/>
        <stp>BDS|8264872752408338965</stp>
        <tr r="MW5" s="32"/>
      </tp>
      <tp t="s">
        <v>#N/A N/A</v>
        <stp/>
        <stp>BDS|1431243643936984586</stp>
        <tr r="OA5" s="2"/>
        <tr r="PE5" s="24"/>
      </tp>
      <tp t="s">
        <v>#N/A N/A</v>
        <stp/>
        <stp>BDS|2966591347243601432</stp>
        <tr r="BW5" s="5"/>
        <tr r="GM5" s="18"/>
        <tr r="SA5" s="8"/>
      </tp>
      <tp t="s">
        <v>#N/A N/A</v>
        <stp/>
        <stp>BDS|8094223992432006531</stp>
        <tr r="EU5" s="8"/>
        <tr r="JK5" s="14"/>
        <tr r="EU5" s="20"/>
        <tr r="IG5" s="42"/>
      </tp>
      <tp t="s">
        <v>#N/A N/A</v>
        <stp/>
        <stp>BDS|8281030190301398416</stp>
        <tr r="OA5" s="48"/>
      </tp>
      <tp t="s">
        <v>#N/A N/A</v>
        <stp/>
        <stp>BDS|4790239169630562482</stp>
        <tr r="QI5" s="17"/>
      </tp>
      <tp t="s">
        <v>#N/A N/A</v>
        <stp/>
        <stp>BDS|1154181925161564791</stp>
        <tr r="TE5" s="37"/>
      </tp>
      <tp t="s">
        <v>#N/A N/A</v>
        <stp/>
        <stp>BDS|9236984215296804376</stp>
        <tr r="NK5" s="8"/>
        <tr r="UI5" s="50"/>
      </tp>
      <tp t="s">
        <v>#N/A N/A</v>
        <stp/>
        <stp>BDS|1021219173589158921</stp>
        <tr r="AE5" s="33"/>
      </tp>
      <tp t="s">
        <v>#N/A N/A</v>
        <stp/>
        <stp>BDS|4181820533889887291</stp>
        <tr r="UI5" s="11"/>
        <tr r="JY5" s="13"/>
        <tr r="OO5" s="13"/>
        <tr r="HQ5" s="3"/>
        <tr r="HQ5" s="42"/>
        <tr r="QW5" s="6"/>
        <tr r="O5" s="9"/>
        <tr r="GM5" s="3"/>
        <tr r="O5" s="38"/>
      </tp>
      <tp t="s">
        <v>#N/A N/A</v>
        <stp/>
        <stp>BDS|7257171183833359949</stp>
        <tr r="IU5" s="15"/>
      </tp>
      <tp t="s">
        <v>#N/A N/A</v>
        <stp/>
        <stp>BDS|7315683059558347807</stp>
        <tr r="OA5" s="31"/>
        <tr r="DQ5" s="44"/>
      </tp>
      <tp t="s">
        <v>#N/A N/A</v>
        <stp/>
        <stp>BDS|6667676014912341707</stp>
        <tr r="TU5" s="17"/>
      </tp>
      <tp t="s">
        <v>#N/A N/A</v>
        <stp/>
        <stp>BDS|7502142029984688492</stp>
        <tr r="SQ5" s="17"/>
      </tp>
      <tp t="s">
        <v>#N/A N/A</v>
        <stp/>
        <stp>BDS|9897457797803831350</stp>
        <tr r="AE5" s="18"/>
        <tr r="KO5" s="35"/>
      </tp>
      <tp t="s">
        <v>#N/A N/A</v>
        <stp/>
        <stp>BDS|4389191509183494233</stp>
        <tr r="MW5" s="34"/>
      </tp>
      <tp t="s">
        <v>#N/A N/A</v>
        <stp/>
        <stp>BDS|1704305824263588733</stp>
        <tr r="FY5" s="14"/>
        <tr r="KO5" s="17"/>
        <tr r="AE5" s="22"/>
        <tr r="OA5" s="8"/>
      </tp>
      <tp t="s">
        <v>#N/A N/A</v>
        <stp/>
        <stp>BDS|6402866188732352134</stp>
        <tr r="UY5" s="9"/>
      </tp>
      <tp t="s">
        <v>#N/A N/A</v>
        <stp/>
        <stp>BDS|4839765771596741738</stp>
        <tr r="SQ5" s="49"/>
      </tp>
      <tp t="s">
        <v>#N/A N/A</v>
        <stp/>
        <stp>BDS|5272723120713259690</stp>
        <tr r="DA5" s="5"/>
        <tr r="QW5" s="35"/>
        <tr r="BW5" s="39"/>
        <tr r="TE5" s="40"/>
        <tr r="GM5" s="46"/>
        <tr r="MG5" s="26"/>
        <tr r="MG5" s="9"/>
      </tp>
      <tp t="s">
        <v>#N/A N/A</v>
        <stp/>
        <stp>BDS|9426715637820275880</stp>
        <tr r="CM5" s="25"/>
        <tr r="EU5" s="6"/>
      </tp>
      <tp t="s">
        <v>#N/A N/A</v>
        <stp/>
        <stp>BDS|8313020101058002583</stp>
        <tr r="DQ5" s="36"/>
      </tp>
      <tp t="s">
        <v>#N/A N/A</v>
        <stp/>
        <stp>BDS|9522312927559953423</stp>
        <tr r="HQ5" s="41"/>
      </tp>
      <tp t="s">
        <v>#N/A N/A</v>
        <stp/>
        <stp>BDS|9028709019198100210</stp>
        <tr r="HC5" s="24"/>
        <tr r="FY5" s="26"/>
        <tr r="TU5" s="5"/>
      </tp>
      <tp t="s">
        <v>#N/A N/A</v>
        <stp/>
        <stp>BDS|9085626026879551181</stp>
        <tr r="LC5" s="14"/>
        <tr r="IU5" s="26"/>
        <tr r="DA5" s="14"/>
        <tr r="OO5" s="16"/>
        <tr r="FI5" s="29"/>
        <tr r="TE5" s="38"/>
        <tr r="JY5" s="21"/>
        <tr r="HQ5" s="4"/>
        <tr r="EE5" s="50"/>
      </tp>
      <tp t="s">
        <v>#N/A N/A</v>
        <stp/>
        <stp>BDS|6691168928026636672</stp>
        <tr r="MW5" s="13"/>
        <tr r="CM5" s="45"/>
      </tp>
      <tp t="s">
        <v>#N/A N/A</v>
        <stp/>
        <stp>BDS|9174476454519240494</stp>
        <tr r="JY5" s="35"/>
      </tp>
      <tp t="s">
        <v>#N/A N/A</v>
        <stp/>
        <stp>BDS|7591712859579255919</stp>
        <tr r="AS5" s="35"/>
      </tp>
      <tp t="s">
        <v>#N/A N/A</v>
        <stp/>
        <stp>BDS|9831902141147232656</stp>
        <tr r="BI5" s="25"/>
      </tp>
      <tp t="s">
        <v>#N/A N/A</v>
        <stp/>
        <stp>BDS|8016839516584874023</stp>
        <tr r="UI5" s="18"/>
        <tr r="PS5" s="49"/>
      </tp>
      <tp t="s">
        <v>#N/A N/A</v>
        <stp/>
        <stp>BDS|5085655838827476261</stp>
        <tr r="UI5" s="12"/>
      </tp>
      <tp t="s">
        <v>#N/A N/A</v>
        <stp/>
        <stp>BDS|7652422817526826144</stp>
        <tr r="JK5" s="43"/>
      </tp>
      <tp t="s">
        <v>#N/A N/A</v>
        <stp/>
        <stp>BDS|5867774032993979792</stp>
        <tr r="O5" s="26"/>
      </tp>
      <tp t="s">
        <v>#N/A N/A</v>
        <stp/>
        <stp>BDS|4875495168967786435</stp>
        <tr r="HC5" s="49"/>
      </tp>
      <tp t="s">
        <v>#N/A N/A</v>
        <stp/>
        <stp>BDS|1872216757820862347</stp>
        <tr r="BI5" s="19"/>
      </tp>
      <tp t="s">
        <v>#N/A N/A</v>
        <stp/>
        <stp>BDS|8539902006423144707</stp>
        <tr r="OO5" s="10"/>
        <tr r="SA5" s="24"/>
      </tp>
      <tp t="s">
        <v>#N/A N/A</v>
        <stp/>
        <stp>BDS|7580229512078618917</stp>
        <tr r="FI5" s="42"/>
      </tp>
      <tp t="s">
        <v>#N/A N/A</v>
        <stp/>
        <stp>BDS|1281093461040959202</stp>
        <tr r="IG5" s="20"/>
        <tr r="TU5" s="49"/>
      </tp>
      <tp t="s">
        <v>#N/A N/A</v>
        <stp/>
        <stp>BDS|1356255221080392440</stp>
        <tr r="KO5" s="40"/>
      </tp>
      <tp t="s">
        <v>#N/A N/A</v>
        <stp/>
        <stp>BDS|6857098833618026831</stp>
        <tr r="O5" s="27"/>
      </tp>
      <tp t="s">
        <v>#N/A N/A</v>
        <stp/>
        <stp>BDS|8748818211580082468</stp>
        <tr r="KO5" s="33"/>
        <tr r="JK5" s="25"/>
      </tp>
      <tp t="s">
        <v>#N/A N/A</v>
        <stp/>
        <stp>BDS|6663621926674386306</stp>
        <tr r="NK5" s="29"/>
      </tp>
      <tp t="s">
        <v>#N/A N/A</v>
        <stp/>
        <stp>BDS|7757905985252607150</stp>
        <tr r="TU5" s="48"/>
      </tp>
      <tp t="s">
        <v>#N/A N/A</v>
        <stp/>
        <stp>BDS|6019110915580615337</stp>
        <tr r="DA5" s="16"/>
      </tp>
      <tp t="s">
        <v>#N/A N/A</v>
        <stp/>
        <stp>BDS|7664674800772172615</stp>
        <tr r="HC5" s="22"/>
      </tp>
      <tp t="s">
        <v>#N/A N/A</v>
        <stp/>
        <stp>BDS|7951192400925782663</stp>
        <tr r="OA5" s="39"/>
      </tp>
      <tp t="s">
        <v>#N/A N/A</v>
        <stp/>
        <stp>BDS|3689469722059409974</stp>
        <tr r="PS5" s="46"/>
      </tp>
      <tp t="s">
        <v>#N/A N/A</v>
        <stp/>
        <stp>BDS|7129827991860012341</stp>
        <tr r="DA5" s="34"/>
        <tr r="TE5" s="39"/>
      </tp>
      <tp t="s">
        <v>#N/A N/A</v>
        <stp/>
        <stp>BDS|9535909767083588012</stp>
        <tr r="TU5" s="33"/>
      </tp>
      <tp t="s">
        <v>#N/A N/A</v>
        <stp/>
        <stp>BDS|3745107542277228413</stp>
        <tr r="DA5" s="4"/>
        <tr r="TE5" s="41"/>
      </tp>
      <tp t="s">
        <v>#N/A N/A</v>
        <stp/>
        <stp>BDS|2700780054654848157</stp>
        <tr r="IU5" s="39"/>
      </tp>
      <tp t="s">
        <v>#N/A N/A</v>
        <stp/>
        <stp>BDS|5336720843817476409</stp>
        <tr r="DA5" s="49"/>
      </tp>
      <tp t="s">
        <v>#N/A N/A</v>
        <stp/>
        <stp>BDS|6765259554092531642</stp>
        <tr r="GM5" s="30"/>
      </tp>
      <tp t="s">
        <v>#N/A N/A</v>
        <stp/>
        <stp>BDS|9530515710909612158</stp>
        <tr r="UI5" s="15"/>
        <tr r="AS5" s="13"/>
      </tp>
      <tp t="s">
        <v>#N/A N/A</v>
        <stp/>
        <stp>BDS|8747821576522648019</stp>
        <tr r="TU5" s="45"/>
      </tp>
      <tp t="s">
        <v>#N/A N/A</v>
        <stp/>
        <stp>BDS|1853083303300031474</stp>
        <tr r="CM5" s="1"/>
        <tr r="CM5" s="11"/>
        <tr r="HC5" s="37"/>
        <tr r="RM5" s="46"/>
        <tr r="MW5" s="18"/>
        <tr r="EU5" s="46"/>
      </tp>
      <tp t="s">
        <v>#N/A N/A</v>
        <stp/>
        <stp>BDS|7289359625192710111</stp>
        <tr r="HQ5" s="11"/>
        <tr r="LC5" s="13"/>
      </tp>
      <tp t="s">
        <v>#N/A N/A</v>
        <stp/>
        <stp>BDS|5296438427510707653</stp>
        <tr r="FI5" s="18"/>
      </tp>
      <tp t="s">
        <v>#N/A N/A</v>
        <stp/>
        <stp>BDS|4816952994572464386</stp>
        <tr r="KO5" s="27"/>
      </tp>
      <tp t="s">
        <v>#N/A N/A</v>
        <stp/>
        <stp>BDS|5478466850206116497</stp>
        <tr r="A5" s="17"/>
        <tr r="OA5" s="41"/>
        <tr r="CM5" s="20"/>
      </tp>
      <tp t="s">
        <v>#N/A N/A</v>
        <stp/>
        <stp>BDS|2946358128653705682</stp>
        <tr r="GM5" s="50"/>
      </tp>
      <tp t="s">
        <v>#N/A N/A</v>
        <stp/>
        <stp>BDS|1883740911043153279</stp>
        <tr r="A5" s="16"/>
        <tr r="HC5" s="32"/>
        <tr r="RM5" s="36"/>
        <tr r="BI5" s="4"/>
      </tp>
      <tp t="s">
        <v>#N/A N/A</v>
        <stp/>
        <stp>BDS|2365781433205139523</stp>
        <tr r="AS5" s="18"/>
        <tr r="LC5" s="35"/>
      </tp>
      <tp t="s">
        <v>#N/A N/A</v>
        <stp/>
        <stp>BDS|3945418575881420719</stp>
        <tr r="PE5" s="14"/>
      </tp>
      <tp t="s">
        <v>#N/A N/A</v>
        <stp/>
        <stp>BDS|8835121287990369760</stp>
        <tr r="LS5" s="48"/>
      </tp>
      <tp t="s">
        <v>#N/A N/A</v>
        <stp/>
        <stp>BDS|3871021479243258195</stp>
        <tr r="TE5" s="25"/>
      </tp>
      <tp t="s">
        <v>#N/A N/A</v>
        <stp/>
        <stp>BDS|4724358048751173428</stp>
        <tr r="FY5" s="32"/>
        <tr r="TU5" s="2"/>
        <tr r="CM5" s="27"/>
      </tp>
      <tp t="s">
        <v>#N/A N/A</v>
        <stp/>
        <stp>BDS|4828739432264159260</stp>
        <tr r="BI5" s="34"/>
      </tp>
      <tp t="s">
        <v>#N/A N/A</v>
        <stp/>
        <stp>BDS|5964101825930210016</stp>
        <tr r="HC5" s="16"/>
      </tp>
      <tp t="s">
        <v>#N/A N/A</v>
        <stp/>
        <stp>BDS|6565940026558088384</stp>
        <tr r="LC5" s="3"/>
      </tp>
      <tp t="s">
        <v>#N/A N/A</v>
        <stp/>
        <stp>BDS|7663397717817784438</stp>
        <tr r="EE5" s="39"/>
        <tr r="LC5" s="20"/>
        <tr r="VM5" s="28"/>
      </tp>
      <tp t="s">
        <v>#N/A N/A</v>
        <stp/>
        <stp>BDS|6025454073085283687</stp>
        <tr r="HQ5" s="49"/>
      </tp>
      <tp t="s">
        <v>#N/A N/A</v>
        <stp/>
        <stp>BDS|8094194026004185929</stp>
        <tr r="PS5" s="22"/>
        <tr r="VM5" s="6"/>
        <tr r="IU5" s="5"/>
      </tp>
      <tp t="s">
        <v>#N/A N/A</v>
        <stp/>
        <stp>BDS|2333377768122930391</stp>
        <tr r="OA5" s="3"/>
      </tp>
      <tp t="s">
        <v>#N/A N/A</v>
        <stp/>
        <stp>BDS|9285069563330371996</stp>
        <tr r="LS5" s="34"/>
      </tp>
      <tp t="s">
        <v>#N/A N/A</v>
        <stp/>
        <stp>BDS|5946226937137245537</stp>
        <tr r="GM5" s="15"/>
        <tr r="NK5" s="17"/>
        <tr r="SA5" s="37"/>
        <tr r="QW5" s="38"/>
      </tp>
      <tp t="s">
        <v>#N/A N/A</v>
        <stp/>
        <stp>BDS|6515637010653341476</stp>
        <tr r="MG5" s="49"/>
      </tp>
      <tp t="s">
        <v>#N/A N/A</v>
        <stp/>
        <stp>BDS|5353419002930740756</stp>
        <tr r="JK5" s="17"/>
        <tr r="AE5" s="2"/>
        <tr r="HC5" s="13"/>
        <tr r="RM5" s="30"/>
      </tp>
      <tp t="s">
        <v>#N/A N/A</v>
        <stp/>
        <stp>BDS|4675612101582008645</stp>
        <tr r="DA5" s="41"/>
      </tp>
      <tp t="s">
        <v>#N/A N/A</v>
        <stp/>
        <stp>BDS|4826834832210964927</stp>
        <tr r="FI5" s="23"/>
        <tr r="IU5" s="23"/>
      </tp>
      <tp t="s">
        <v>#N/A N/A</v>
        <stp/>
        <stp>BDS|2453447950706201318</stp>
        <tr r="IG5" s="31"/>
      </tp>
      <tp t="s">
        <v>#N/A N/A</v>
        <stp/>
        <stp>BDS|8443996820376936375</stp>
        <tr r="AE5" s="23"/>
      </tp>
      <tp t="s">
        <v>#N/A N/A</v>
        <stp/>
        <stp>BDS|9498223285550081538</stp>
        <tr r="EU5" s="31"/>
      </tp>
      <tp t="s">
        <v>#N/A N/A</v>
        <stp/>
        <stp>BDS|5242884199213056136</stp>
        <tr r="FI5" s="7"/>
      </tp>
      <tp t="s">
        <v>#N/A N/A</v>
        <stp/>
        <stp>BDS|7003309112097241417</stp>
        <tr r="HC5" s="45"/>
      </tp>
      <tp t="s">
        <v>#N/A N/A</v>
        <stp/>
        <stp>BDS|3371025073232403079</stp>
        <tr r="DQ5" s="5"/>
      </tp>
      <tp t="s">
        <v>#N/A N/A</v>
        <stp/>
        <stp>BDS|1099826842272554944</stp>
        <tr r="CM5" s="8"/>
      </tp>
      <tp t="s">
        <v>#N/A N/A</v>
        <stp/>
        <stp>BDS|6982963733933816951</stp>
        <tr r="DA5" s="33"/>
      </tp>
      <tp t="s">
        <v>#N/A N/A</v>
        <stp/>
        <stp>BDS|5225217237550631235</stp>
        <tr r="OA5" s="43"/>
        <tr r="QI5" s="46"/>
      </tp>
      <tp t="s">
        <v>#N/A N/A</v>
        <stp/>
        <stp>BDS|5896109181073134994</stp>
        <tr r="FI5" s="48"/>
      </tp>
      <tp t="s">
        <v>#N/A N/A</v>
        <stp/>
        <stp>BDS|3646136531796783149</stp>
        <tr r="RM5" s="14"/>
      </tp>
      <tp t="s">
        <v>#N/A N/A</v>
        <stp/>
        <stp>BDS|7591655747345581667</stp>
        <tr r="FY5" s="16"/>
        <tr r="QI5" s="7"/>
      </tp>
      <tp t="s">
        <v>#N/A N/A</v>
        <stp/>
        <stp>BDS|9795951777529629861</stp>
        <tr r="QW5" s="10"/>
      </tp>
      <tp t="s">
        <v>#N/A N/A</v>
        <stp/>
        <stp>BDS|5449001943456381116</stp>
        <tr r="HQ5" s="10"/>
      </tp>
      <tp t="s">
        <v>#N/A N/A</v>
        <stp/>
        <stp>BDS|6219362215155134750</stp>
        <tr r="NK5" s="27"/>
      </tp>
      <tp t="s">
        <v>#N/A N/A</v>
        <stp/>
        <stp>BDS|4162877294266011489</stp>
        <tr r="VM5" s="38"/>
      </tp>
      <tp t="s">
        <v>#N/A N/A</v>
        <stp/>
        <stp>BDS|4652550789036936898</stp>
        <tr r="FI5" s="10"/>
      </tp>
      <tp t="s">
        <v>#N/A N/A</v>
        <stp/>
        <stp>BDS|5915814923480673874</stp>
        <tr r="UI5" s="16"/>
        <tr r="VM5" s="41"/>
      </tp>
      <tp t="s">
        <v>#N/A N/A</v>
        <stp/>
        <stp>BDS|7275811856018822573</stp>
        <tr r="PE5" s="45"/>
        <tr r="LS5" s="7"/>
      </tp>
      <tp t="s">
        <v>#N/A N/A</v>
        <stp/>
        <stp>BDS|6836953292043422209</stp>
        <tr r="VM5" s="33"/>
      </tp>
      <tp t="s">
        <v>#N/A N/A</v>
        <stp/>
        <stp>BDS|3439241655593888064</stp>
        <tr r="O5" s="35"/>
      </tp>
      <tp t="s">
        <v>#N/A N/A</v>
        <stp/>
        <stp>BDS|1232084664036517609</stp>
        <tr r="JK5" s="39"/>
        <tr r="EU5" s="17"/>
      </tp>
      <tp t="s">
        <v>#N/A N/A</v>
        <stp/>
        <stp>BDS|6698091007378797941</stp>
        <tr r="BW5" s="27"/>
      </tp>
      <tp t="s">
        <v>#N/A N/A</v>
        <stp/>
        <stp>BDS|6255523588994145810</stp>
        <tr r="FY5" s="35"/>
      </tp>
      <tp t="s">
        <v>#N/A N/A</v>
        <stp/>
        <stp>BDS|8699940999356379906</stp>
        <tr r="CM5" s="28"/>
      </tp>
      <tp t="s">
        <v>#N/A N/A</v>
        <stp/>
        <stp>BDS|1384181002326608176</stp>
        <tr r="DQ5" s="47"/>
      </tp>
      <tp t="s">
        <v>#N/A N/A</v>
        <stp/>
        <stp>BDS|9534570908023567866</stp>
        <tr r="JY5" s="31"/>
        <tr r="DA5" s="44"/>
      </tp>
      <tp t="s">
        <v>#N/A N/A</v>
        <stp/>
        <stp>BDS|6322807030672819827</stp>
        <tr r="TU5" s="41"/>
      </tp>
      <tp t="s">
        <v>#N/A N/A</v>
        <stp/>
        <stp>BDS|7442042433994579786</stp>
        <tr r="SA5" s="48"/>
        <tr r="DA5" s="3"/>
        <tr r="JY5" s="3"/>
      </tp>
      <tp t="s">
        <v>#N/A N/A</v>
        <stp/>
        <stp>BDS|1917005013114346362</stp>
        <tr r="MW5" s="49"/>
      </tp>
      <tp t="s">
        <v>#N/A N/A</v>
        <stp/>
        <stp>BDS|5677510495927807964</stp>
        <tr r="RM5" s="38"/>
      </tp>
      <tp t="s">
        <v>#N/A N/A</v>
        <stp/>
        <stp>BDS|5682007364144754092</stp>
        <tr r="MW5" s="10"/>
        <tr r="PE5" s="15"/>
      </tp>
      <tp t="s">
        <v>#N/A N/A</v>
        <stp/>
        <stp>BDS|9914095919278067752</stp>
        <tr r="JY5" s="44"/>
      </tp>
      <tp t="s">
        <v>#N/A N/A</v>
        <stp/>
        <stp>BDS|2752084443043305237</stp>
        <tr r="QI5" s="37"/>
      </tp>
      <tp t="s">
        <v>#N/A N/A</v>
        <stp/>
        <stp>BDS|1012296559438899958</stp>
        <tr r="BW5" s="29"/>
      </tp>
      <tp t="s">
        <v>#N/A N/A</v>
        <stp/>
        <stp>BDS|4364800591681724381</stp>
        <tr r="LC5" s="27"/>
      </tp>
      <tp t="s">
        <v>#N/A N/A</v>
        <stp/>
        <stp>BDS|5086824281936852466</stp>
        <tr r="LC5" s="10"/>
        <tr r="MG5" s="10"/>
        <tr r="MG5" s="11"/>
        <tr r="TE5" s="11"/>
        <tr r="PS5" s="13"/>
        <tr r="BW5" s="14"/>
        <tr r="UI5" s="14"/>
        <tr r="IU5" s="16"/>
        <tr r="EE5" s="17"/>
        <tr r="VM5" s="17"/>
        <tr r="JY5" s="2"/>
        <tr r="BW5" s="21"/>
        <tr r="LC5" s="21"/>
        <tr r="UI5" s="21"/>
        <tr r="EE5" s="22"/>
        <tr r="GM5" s="22"/>
        <tr r="O5" s="22"/>
        <tr r="QW5" s="23"/>
        <tr r="EE5" s="24"/>
        <tr r="MG5" s="24"/>
        <tr r="TE5" s="24"/>
        <tr r="HQ5" s="25"/>
        <tr r="IU5" s="25"/>
        <tr r="GM5" s="28"/>
        <tr r="JY5" s="29"/>
        <tr r="OO5" s="29"/>
        <tr r="UI5" s="29"/>
        <tr r="TE5" s="3"/>
        <tr r="EE5" s="30"/>
        <tr r="EE5" s="32"/>
        <tr r="FI5" s="32"/>
        <tr r="EE5" s="33"/>
        <tr r="HQ5" s="33"/>
        <tr r="IU5" s="35"/>
        <tr r="TE5" s="36"/>
        <tr r="AS5" s="37"/>
        <tr r="FI5" s="39"/>
        <tr r="GM5" s="39"/>
        <tr r="NK5" s="4"/>
        <tr r="O5" s="4"/>
        <tr r="OO5" s="4"/>
        <tr r="PS5" s="4"/>
        <tr r="QW5" s="4"/>
        <tr r="SA5" s="4"/>
        <tr r="VM5" s="4"/>
        <tr r="GM5" s="40"/>
        <tr r="O5" s="40"/>
        <tr r="EE5" s="41"/>
        <tr r="OO5" s="42"/>
        <tr r="BW5" s="44"/>
        <tr r="DA5" s="46"/>
        <tr r="AS5" s="6"/>
        <tr r="HQ5" s="7"/>
        <tr r="LC5" s="7"/>
        <tr r="OO5" s="7"/>
        <tr r="MG5" s="8"/>
      </tp>
      <tp t="s">
        <v>#N/A N/A</v>
        <stp/>
        <stp>BDS|3093019694614069978</stp>
        <tr r="CM5" s="34"/>
        <tr r="SQ5" s="39"/>
      </tp>
      <tp t="s">
        <v>#N/A N/A</v>
        <stp/>
        <stp>BDS|3553585872230585692</stp>
        <tr r="OA5" s="22"/>
      </tp>
      <tp t="s">
        <v>#N/A N/A</v>
        <stp/>
        <stp>BDS|4808238318201506157</stp>
        <tr r="JK5" s="12"/>
        <tr r="CM5" s="17"/>
        <tr r="UY5" s="19"/>
      </tp>
      <tp t="s">
        <v>#N/A N/A</v>
        <stp/>
        <stp>BDS|8097213201589100422</stp>
        <tr r="FY5" s="19"/>
        <tr r="TU5" s="7"/>
      </tp>
      <tp t="s">
        <v>#N/A N/A</v>
        <stp/>
        <stp>BDS|3665730877764604073</stp>
        <tr r="IU5" s="29"/>
        <tr r="AS5" s="38"/>
        <tr r="DA5" s="48"/>
        <tr r="PS5" s="8"/>
        <tr r="AS5" s="17"/>
      </tp>
      <tp t="s">
        <v>#N/A N/A</v>
        <stp/>
        <stp>BDS|5908207985330808873</stp>
        <tr r="LS5" s="21"/>
      </tp>
      <tp t="s">
        <v>#N/A N/A</v>
        <stp/>
        <stp>BDS|6152701468646110680</stp>
        <tr r="MW5" s="5"/>
        <tr r="HC5" s="1"/>
        <tr r="AE5" s="1"/>
        <tr r="QI5" s="1"/>
        <tr r="RM5" s="1"/>
        <tr r="JK5" s="28"/>
        <tr r="BI5" s="32"/>
        <tr r="OA5" s="17"/>
        <tr r="AE5" s="26"/>
        <tr r="UY5" s="37"/>
      </tp>
      <tp t="s">
        <v>#N/A N/A</v>
        <stp/>
        <stp>BDS|7747321158580517685</stp>
        <tr r="DA5" s="22"/>
      </tp>
      <tp t="s">
        <v>#N/A N/A</v>
        <stp/>
        <stp>BDS|4189344681149728126</stp>
        <tr r="HQ5" s="45"/>
      </tp>
      <tp t="s">
        <v>#N/A N/A</v>
        <stp/>
        <stp>BDS|3024304565504742535</stp>
        <tr r="SA5" s="12"/>
        <tr r="AS5" s="34"/>
      </tp>
      <tp t="s">
        <v>#N/A N/A</v>
        <stp/>
        <stp>BDS|2273745538969163894</stp>
        <tr r="EE5" s="43"/>
      </tp>
      <tp t="s">
        <v>#N/A N/A</v>
        <stp/>
        <stp>BDS|1438597005107963473</stp>
        <tr r="AE5" s="28"/>
      </tp>
      <tp t="s">
        <v>#N/A N/A</v>
        <stp/>
        <stp>BDS|7225177142392741779</stp>
        <tr r="TU5" s="12"/>
      </tp>
      <tp t="s">
        <v>#N/A N/A</v>
        <stp/>
        <stp>BDS|2822083537570331639</stp>
        <tr r="KO5" s="14"/>
        <tr r="JK5" s="21"/>
        <tr r="OA5" s="16"/>
        <tr r="IG5" s="26"/>
        <tr r="CM5" s="14"/>
        <tr r="EU5" s="29"/>
        <tr r="SQ5" s="38"/>
        <tr r="HC5" s="4"/>
        <tr r="DQ5" s="50"/>
      </tp>
      <tp t="s">
        <v>#N/A N/A</v>
        <stp/>
        <stp>BDS|9286782562727989868</stp>
        <tr r="UY5" s="11"/>
      </tp>
      <tp t="s">
        <v>#N/A N/A</v>
        <stp/>
        <stp>BDS|1784637256604782123</stp>
        <tr r="O5" s="24"/>
      </tp>
      <tp t="s">
        <v>#N/A N/A</v>
        <stp/>
        <stp>BDS|7848216739824717536</stp>
        <tr r="LC5" s="49"/>
      </tp>
      <tp t="s">
        <v>#N/A N/A</v>
        <stp/>
        <stp>BDS|6212392390703852870</stp>
        <tr r="EU5" s="13"/>
      </tp>
      <tp t="s">
        <v>#N/A N/A</v>
        <stp/>
        <stp>BDS|5429744559044971456</stp>
        <tr r="OA5" s="36"/>
      </tp>
      <tp t="s">
        <v>#N/A N/A</v>
        <stp/>
        <stp>BDS|3070578780239861752</stp>
        <tr r="O5" s="49"/>
      </tp>
      <tp t="s">
        <v>#N/A N/A</v>
        <stp/>
        <stp>BDS|2043804658556582973</stp>
        <tr r="BI5" s="7"/>
      </tp>
      <tp t="s">
        <v>#N/A N/A</v>
        <stp/>
        <stp>BDS|5930099661217247493</stp>
        <tr r="IU5" s="43"/>
      </tp>
      <tp t="s">
        <v>#N/A N/A</v>
        <stp/>
        <stp>BDS|7220572378893006675</stp>
        <tr r="PS5" s="37"/>
      </tp>
      <tp t="s">
        <v>#N/A N/A</v>
        <stp/>
        <stp>BDS|2442597727374346131</stp>
        <tr r="TU5" s="10"/>
      </tp>
      <tp t="s">
        <v>#N/A N/A</v>
        <stp/>
        <stp>BDS|2891788138256755053</stp>
        <tr r="QI5" s="11"/>
      </tp>
      <tp t="s">
        <v>#N/A N/A</v>
        <stp/>
        <stp>BDS|8335364270665680987</stp>
        <tr r="PS5" s="36"/>
      </tp>
      <tp t="s">
        <v>#N/A N/A</v>
        <stp/>
        <stp>BDS|5839483418680965094</stp>
        <tr r="MW5" s="19"/>
      </tp>
      <tp t="s">
        <v>#N/A N/A</v>
        <stp/>
        <stp>BDS|3903745920111523702</stp>
        <tr r="SQ5" s="4"/>
        <tr r="AE5" s="9"/>
      </tp>
      <tp t="s">
        <v>#N/A N/A</v>
        <stp/>
        <stp>BDS|6210400220368325881</stp>
        <tr r="PE5" s="48"/>
      </tp>
      <tp t="s">
        <v>#N/A N/A</v>
        <stp/>
        <stp>BDS|6772281089199189597</stp>
        <tr r="A5" s="47"/>
        <tr r="FY5" s="48"/>
      </tp>
      <tp t="s">
        <v>#N/A N/A</v>
        <stp/>
        <stp>BDS|3469830578454741860</stp>
        <tr r="MW5" s="30"/>
      </tp>
      <tp t="s">
        <v>#N/A N/A</v>
        <stp/>
        <stp>BDS|6842352921354324308</stp>
        <tr r="GM5" s="44"/>
      </tp>
      <tp t="s">
        <v>#N/A N/A</v>
        <stp/>
        <stp>BDS|5443683501457388417</stp>
        <tr r="AE5" s="15"/>
      </tp>
      <tp t="s">
        <v>#N/A N/A</v>
        <stp/>
        <stp>BDS|2045923983927977474</stp>
        <tr r="RM5" s="18"/>
        <tr r="DQ5" s="31"/>
        <tr r="UY5" s="25"/>
        <tr r="BI5" s="8"/>
      </tp>
      <tp t="s">
        <v>#N/A N/A</v>
        <stp/>
        <stp>BDS|7701806349622120931</stp>
        <tr r="CM5" s="13"/>
        <tr r="A5" s="31"/>
      </tp>
      <tp t="s">
        <v>#N/A N/A</v>
        <stp/>
        <stp>BDS|1670386557475576203</stp>
        <tr r="FY5" s="13"/>
        <tr r="BI5" s="45"/>
        <tr r="UY5" s="8"/>
      </tp>
      <tp t="s">
        <v>#N/A N/A</v>
        <stp/>
        <stp>BDS|8753454866298104272</stp>
        <tr r="IU5" s="1"/>
        <tr r="TE5" s="2"/>
      </tp>
      <tp t="s">
        <v>#N/A N/A</v>
        <stp/>
        <stp>BDS|1970714288429233705</stp>
        <tr r="PS5" s="30"/>
      </tp>
      <tp t="s">
        <v>#N/A N/A</v>
        <stp/>
        <stp>BDS|9273855715034481458</stp>
        <tr r="FY5" s="21"/>
        <tr r="TU5" s="31"/>
      </tp>
      <tp t="s">
        <v>#N/A N/A</v>
        <stp/>
        <stp>BDS|6207813595281576601</stp>
        <tr r="IG5" s="37"/>
      </tp>
      <tp t="s">
        <v>#N/A N/A</v>
        <stp/>
        <stp>BDS|3418279358803989730</stp>
        <tr r="JK5" s="9"/>
      </tp>
      <tp t="s">
        <v>#N/A N/A</v>
        <stp/>
        <stp>BDS|8676257656549680629</stp>
        <tr r="TU5" s="6"/>
      </tp>
      <tp t="s">
        <v>#N/A N/A</v>
        <stp/>
        <stp>BDS|7675511152326371176</stp>
        <tr r="DQ5" s="4"/>
      </tp>
      <tp t="s">
        <v>#N/A N/A</v>
        <stp/>
        <stp>BDS|6542560949576881141</stp>
        <tr r="LC5" s="24"/>
        <tr r="MG5" s="28"/>
      </tp>
      <tp t="s">
        <v>#N/A N/A</v>
        <stp/>
        <stp>BDS|1045751058066962527</stp>
        <tr r="NK5" s="35"/>
      </tp>
      <tp t="s">
        <v>#N/A N/A</v>
        <stp/>
        <stp>BDS|5528650130696533614</stp>
        <tr r="AE5" s="7"/>
      </tp>
      <tp t="s">
        <v>#N/A N/A</v>
        <stp/>
        <stp>BDS|3575215031405540742</stp>
        <tr r="CM5" s="37"/>
      </tp>
      <tp t="s">
        <v>#N/A N/A</v>
        <stp/>
        <stp>BDS|9062059045965663838</stp>
        <tr r="BW5" s="7"/>
      </tp>
      <tp t="s">
        <v>#N/A N/A</v>
        <stp/>
        <stp>BDS|2460815584356000449</stp>
        <tr r="MG5" s="13"/>
      </tp>
      <tp t="s">
        <v>#N/A N/A</v>
        <stp/>
        <stp>BDS|6362590406421048298</stp>
        <tr r="GM5" s="45"/>
        <tr r="NK5" s="36"/>
      </tp>
      <tp t="s">
        <v>#N/A N/A</v>
        <stp/>
        <stp>BDS|7817474767764542181</stp>
        <tr r="PE5" s="44"/>
      </tp>
      <tp t="s">
        <v>#N/A N/A</v>
        <stp/>
        <stp>BDS|6260886588461756705</stp>
        <tr r="PS5" s="39"/>
      </tp>
      <tp t="s">
        <v>#N/A N/A</v>
        <stp/>
        <stp>BDS|1927784290876232969</stp>
        <tr r="DQ5" s="25"/>
      </tp>
      <tp t="s">
        <v>#N/A N/A</v>
        <stp/>
        <stp>BDS|8496527928649685724</stp>
        <tr r="UI5" s="30"/>
      </tp>
      <tp t="s">
        <v>#N/A N/A</v>
        <stp/>
        <stp>BDS|5907578776012581469</stp>
        <tr r="BW5" s="33"/>
      </tp>
      <tp t="s">
        <v>#N/A N/A</v>
        <stp/>
        <stp>BDS|7997419070991717446</stp>
        <tr r="QI5" s="40"/>
        <tr r="LS5" s="30"/>
        <tr r="TU5" s="38"/>
      </tp>
      <tp t="s">
        <v>#N/A N/A</v>
        <stp/>
        <stp>BDS|6812793517859574889</stp>
        <tr r="DA5" s="15"/>
      </tp>
      <tp t="s">
        <v>#N/A N/A</v>
        <stp/>
        <stp>BDS|9470479863038979210</stp>
        <tr r="MG5" s="21"/>
      </tp>
      <tp t="s">
        <v>#N/A N/A</v>
        <stp/>
        <stp>BDS|2982108266057160366</stp>
        <tr r="TU5" s="44"/>
      </tp>
      <tp t="s">
        <v>#N/A N/A</v>
        <stp/>
        <stp>BDS|3856886789623971199</stp>
        <tr r="PS5" s="48"/>
      </tp>
      <tp t="s">
        <v>#N/A N/A</v>
        <stp/>
        <stp>BDS|5932041355563050211</stp>
        <tr r="BW5" s="50"/>
      </tp>
      <tp t="s">
        <v>#N/A N/A</v>
        <stp/>
        <stp>BDS|6021491801443519047</stp>
        <tr r="PS5" s="45"/>
        <tr r="MG5" s="7"/>
      </tp>
      <tp t="s">
        <v>#N/A N/A</v>
        <stp/>
        <stp>BDS|3962745271074315663</stp>
        <tr r="PE5" s="3"/>
      </tp>
      <tp t="s">
        <v>#N/A N/A</v>
        <stp/>
        <stp>BDS|2003005929218847984</stp>
        <tr r="UY5" s="7"/>
      </tp>
      <tp t="s">
        <v>#N/A N/A</v>
        <stp/>
        <stp>BDS|5390283814376284138</stp>
        <tr r="TU5" s="35"/>
      </tp>
      <tp t="s">
        <v>#N/A N/A</v>
        <stp/>
        <stp>BDS|2184345327902477082</stp>
        <tr r="UY5" s="34"/>
      </tp>
      <tp t="s">
        <v>#N/A N/A</v>
        <stp/>
        <stp>BDS|9620965744602246781</stp>
        <tr r="JK5" s="15"/>
      </tp>
      <tp t="s">
        <v>#N/A N/A</v>
        <stp/>
        <stp>BDS|3474753122602436594</stp>
        <tr r="AE5" s="50"/>
      </tp>
      <tp t="s">
        <v>#N/A N/A</v>
        <stp/>
        <stp>BDS|6325325137365186286</stp>
        <tr r="A5" s="48"/>
      </tp>
      <tp t="s">
        <v>#N/A N/A</v>
        <stp/>
        <stp>BDS|1870006292630113943</stp>
        <tr r="FY5" s="36"/>
      </tp>
      <tp t="s">
        <v>#N/A N/A</v>
        <stp/>
        <stp>BDS|9939236435371540869</stp>
        <tr r="UI5" s="48"/>
      </tp>
      <tp t="s">
        <v>#N/A N/A</v>
        <stp/>
        <stp>BDS|8773977625770003293</stp>
        <tr r="GM5" s="38"/>
        <tr r="FI5" s="47"/>
      </tp>
      <tp t="s">
        <v>#N/A N/A</v>
        <stp/>
        <stp>BDS|4079298465430299130</stp>
        <tr r="TU5" s="27"/>
        <tr r="FY5" s="5"/>
      </tp>
      <tp t="s">
        <v>#N/A N/A</v>
        <stp/>
        <stp>BDS|7670741960574184302</stp>
        <tr r="QW5" s="19"/>
      </tp>
      <tp t="s">
        <v>#N/A N/A</v>
        <stp/>
        <stp>BDS|6301759412178376943</stp>
        <tr r="A5" s="5"/>
      </tp>
      <tp t="s">
        <v>#N/A N/A</v>
        <stp/>
        <stp>BDS|3875985339389186182</stp>
        <tr r="TU5" s="3"/>
      </tp>
      <tp t="s">
        <v>#N/A N/A</v>
        <stp/>
        <stp>BDS|9695832516400360112</stp>
        <tr r="RM5" s="40"/>
      </tp>
      <tp t="s">
        <v>#N/A N/A</v>
        <stp/>
        <stp>BDS|1969258069816013241</stp>
        <tr r="IU5" s="47"/>
      </tp>
      <tp t="s">
        <v>#N/A N/A</v>
        <stp/>
        <stp>BDS|5682738739359440992</stp>
        <tr r="FI5" s="41"/>
        <tr r="TE5" s="9"/>
      </tp>
      <tp t="s">
        <v>#N/A N/A</v>
        <stp/>
        <stp>BDS|4067010475860779257</stp>
        <tr r="OO5" s="32"/>
      </tp>
      <tp t="s">
        <v>#N/A N/A</v>
        <stp/>
        <stp>BDS|2266264030324443664</stp>
        <tr r="PS5" s="47"/>
      </tp>
      <tp t="s">
        <v>#N/A N/A</v>
        <stp/>
        <stp>BDS|4331022212113541703</stp>
        <tr r="A5" s="32"/>
      </tp>
      <tp t="s">
        <v>#N/A N/A</v>
        <stp/>
        <stp>BDS|4572567950767319263</stp>
        <tr r="QI5" s="39"/>
      </tp>
      <tp t="s">
        <v>#N/A N/A</v>
        <stp/>
        <stp>BDS|8526038780457363623</stp>
        <tr r="EE5" s="42"/>
        <tr r="OO5" s="14"/>
        <tr r="MG5" s="2"/>
        <tr r="FI5" s="11"/>
        <tr r="MG5" s="31"/>
      </tp>
      <tp t="s">
        <v>#N/A N/A</v>
        <stp/>
        <stp>BDS|6456793310606252785</stp>
        <tr r="RM5" s="28"/>
        <tr r="AE5" s="3"/>
      </tp>
      <tp t="s">
        <v>#N/A N/A</v>
        <stp/>
        <stp>BDS|3995170714532891054</stp>
        <tr r="AS5" s="33"/>
      </tp>
      <tp t="s">
        <v>#N/A N/A</v>
        <stp/>
        <stp>BDS|4191595411254575587</stp>
        <tr r="EU5" s="10"/>
      </tp>
      <tp t="s">
        <v>#N/A N/A</v>
        <stp/>
        <stp>BDS|1189360141937074025</stp>
        <tr r="PS5" s="21"/>
      </tp>
      <tp t="s">
        <v>#N/A N/A</v>
        <stp/>
        <stp>BDS|5095024401454086068</stp>
        <tr r="SQ5" s="33"/>
      </tp>
      <tp t="s">
        <v>#N/A N/A</v>
        <stp/>
        <stp>BDS|1565675917127008000</stp>
        <tr r="IU5" s="40"/>
      </tp>
      <tp t="s">
        <v>#N/A N/A</v>
        <stp/>
        <stp>BDS|3838383304035916482</stp>
        <tr r="SQ5" s="45"/>
      </tp>
      <tp t="s">
        <v>#N/A N/A</v>
        <stp/>
        <stp>BDS|7524442504271835075</stp>
        <tr r="PE5" s="46"/>
      </tp>
      <tp t="s">
        <v>#N/A N/A</v>
        <stp/>
        <stp>BDS|8008429469618385030</stp>
        <tr r="O5" s="50"/>
      </tp>
      <tp t="s">
        <v>#N/A N/A</v>
        <stp/>
        <stp>BDS|6987402430416222508</stp>
        <tr r="DQ5" s="10"/>
        <tr r="JK5" s="5"/>
      </tp>
      <tp t="s">
        <v>#N/A N/A</v>
        <stp/>
        <stp>BDS|5004210538671135709</stp>
        <tr r="LS5" s="37"/>
        <tr r="TU5" s="39"/>
      </tp>
      <tp t="s">
        <v>#N/A N/A</v>
        <stp/>
        <stp>BDS|7601617302737851450</stp>
        <tr r="UY5" s="35"/>
      </tp>
      <tp t="s">
        <v>#N/A N/A</v>
        <stp/>
        <stp>BDS|4993438867045475108</stp>
        <tr r="PE5" s="21"/>
      </tp>
      <tp t="s">
        <v>#N/A N/A</v>
        <stp/>
        <stp>BDS|3237174779923475414</stp>
        <tr r="LC5" s="36"/>
      </tp>
      <tp t="s">
        <v>#N/A N/A</v>
        <stp/>
        <stp>BDS|6921236450636542564</stp>
        <tr r="AE5" s="36"/>
      </tp>
      <tp t="s">
        <v>#N/A N/A</v>
        <stp/>
        <stp>BDS|7420710601206932447</stp>
        <tr r="TE5" s="44"/>
      </tp>
      <tp t="s">
        <v>#N/A N/A</v>
        <stp/>
        <stp>BDS|1950466765085355402</stp>
        <tr r="TE5" s="20"/>
      </tp>
      <tp t="s">
        <v>#N/A N/A</v>
        <stp/>
        <stp>BDS|4161571209657982484</stp>
        <tr r="QW5" s="32"/>
      </tp>
      <tp t="s">
        <v>#N/A N/A</v>
        <stp/>
        <stp>BDS|7778860555849253187</stp>
        <tr r="UI5" s="6"/>
      </tp>
      <tp t="s">
        <v>#N/A N/A</v>
        <stp/>
        <stp>BDS|6120664928536419650</stp>
        <tr r="TE5" s="46"/>
      </tp>
      <tp t="s">
        <v>#N/A N/A</v>
        <stp/>
        <stp>BDS|3552918314631657894</stp>
        <tr r="O5" s="20"/>
      </tp>
      <tp t="s">
        <v>#N/A N/A</v>
        <stp/>
        <stp>BDS|1511342436014080789</stp>
        <tr r="A5" s="15"/>
      </tp>
      <tp t="s">
        <v>#N/A N/A</v>
        <stp/>
        <stp>BDS|5163397711324510109</stp>
        <tr r="OA5" s="33"/>
      </tp>
      <tp t="s">
        <v>#N/A N/A</v>
        <stp/>
        <stp>BDS|4232574843970346796</stp>
        <tr r="SA5" s="7"/>
      </tp>
      <tp t="s">
        <v>#N/A N/A</v>
        <stp/>
        <stp>BDS|9050474861828959123</stp>
        <tr r="LC5" s="38"/>
      </tp>
      <tp t="s">
        <v>#N/A N/A</v>
        <stp/>
        <stp>BDS|5701421133578873832</stp>
        <tr r="QW5" s="50"/>
      </tp>
      <tp t="s">
        <v>#N/A N/A</v>
        <stp/>
        <stp>BDS|7021145071790588320</stp>
        <tr r="HQ5" s="16"/>
      </tp>
      <tp t="s">
        <v>#N/A N/A</v>
        <stp/>
        <stp>BDS|4647986479490371866</stp>
        <tr r="UY5" s="38"/>
      </tp>
      <tp t="s">
        <v>#N/A N/A</v>
        <stp/>
        <stp>BDS|4420404855823069428</stp>
        <tr r="NK5" s="32"/>
      </tp>
      <tp t="s">
        <v>#N/A N/A</v>
        <stp/>
        <stp>BDS|1641492361698827953</stp>
        <tr r="TU5" s="30"/>
      </tp>
      <tp t="s">
        <v>#N/A N/A</v>
        <stp/>
        <stp>BDS|3428516627266140033</stp>
        <tr r="RM5" s="43"/>
      </tp>
      <tp t="s">
        <v>#N/A N/A</v>
        <stp/>
        <stp>BDS|4371313407282098741</stp>
        <tr r="OO5" s="46"/>
        <tr r="PS5" s="7"/>
        <tr r="HQ5" s="28"/>
        <tr r="VM5" s="5"/>
        <tr r="PS5" s="10"/>
        <tr r="QW5" s="16"/>
      </tp>
      <tp t="s">
        <v>#N/A N/A</v>
        <stp/>
        <stp>BDS|6939694334996616732</stp>
        <tr r="NK5" s="34"/>
      </tp>
      <tp t="s">
        <v>#N/A N/A</v>
        <stp/>
        <stp>BDS|7265129056110692114</stp>
        <tr r="HQ5" s="44"/>
      </tp>
      <tp t="s">
        <v>#N/A N/A</v>
        <stp/>
        <stp>BDS|2442572307472165740</stp>
        <tr r="LC5" s="29"/>
      </tp>
      <tp t="s">
        <v>#N/A N/A</v>
        <stp/>
        <stp>BDS|5256237715296591271</stp>
        <tr r="NK5" s="45"/>
      </tp>
      <tp t="s">
        <v>#N/A N/A</v>
        <stp/>
        <stp>BDS|8626814131500281126</stp>
        <tr r="O5" s="45"/>
      </tp>
      <tp t="s">
        <v>#N/A N/A</v>
        <stp/>
        <stp>BDS|1844491772183224377</stp>
        <tr r="PE5" s="19"/>
      </tp>
      <tp t="s">
        <v>#N/A N/A</v>
        <stp/>
        <stp>BDS|9927493772170527817</stp>
        <tr r="QI5" s="9"/>
        <tr r="UY5" s="21"/>
        <tr r="KO5" s="16"/>
        <tr r="UY5" s="22"/>
        <tr r="RM5" s="50"/>
        <tr r="QI5" s="15"/>
        <tr r="BI5" s="24"/>
        <tr r="BI5" s="26"/>
        <tr r="MW5" s="3"/>
        <tr r="CM5" s="31"/>
        <tr r="OA5" s="34"/>
        <tr r="CM5" s="36"/>
        <tr r="A5" s="41"/>
        <tr r="KO5" s="50"/>
      </tp>
      <tp t="s">
        <v>#N/A N/A</v>
        <stp/>
        <stp>BDS|8226212027242556860</stp>
        <tr r="EE5" s="4"/>
      </tp>
      <tp t="s">
        <v>#N/A N/A</v>
        <stp/>
        <stp>BDS|7426199638663210432</stp>
        <tr r="TU5" s="40"/>
      </tp>
      <tp t="s">
        <v>#N/A N/A</v>
        <stp/>
        <stp>BDS|1710015679911849535</stp>
        <tr r="KO5" s="47"/>
      </tp>
      <tp t="s">
        <v>#N/A N/A</v>
        <stp/>
        <stp>BDS|6997162012445906111</stp>
        <tr r="LS5" s="36"/>
      </tp>
      <tp t="s">
        <v>#N/A N/A</v>
        <stp/>
        <stp>BDS|8758897528643772343</stp>
        <tr r="TE5" s="34"/>
      </tp>
      <tp t="s">
        <v>#N/A N/A</v>
        <stp/>
        <stp>BDS|6353999560992611995</stp>
        <tr r="IG5" s="32"/>
        <tr r="AE5" s="11"/>
      </tp>
      <tp t="s">
        <v>#N/A N/A</v>
        <stp/>
        <stp>BDS|8469603024116289879</stp>
        <tr r="IU5" s="4"/>
      </tp>
      <tp t="s">
        <v>#N/A N/A</v>
        <stp/>
        <stp>BDS|9198083155326587930</stp>
        <tr r="BW5" s="37"/>
      </tp>
      <tp t="s">
        <v>#N/A N/A</v>
        <stp/>
        <stp>BDS|6083367769729674938</stp>
        <tr r="FI5" s="49"/>
      </tp>
      <tp t="s">
        <v>#N/A N/A</v>
        <stp/>
        <stp>BDS|4457585806703052105</stp>
        <tr r="AS5" s="27"/>
      </tp>
      <tp t="s">
        <v>#N/A N/A</v>
        <stp/>
        <stp>BDS|9808433980155443346</stp>
        <tr r="O5" s="30"/>
      </tp>
      <tp t="s">
        <v>#N/A N/A</v>
        <stp/>
        <stp>BDS|2020484855722792230</stp>
        <tr r="HQ5" s="47"/>
      </tp>
      <tp t="s">
        <v>#N/A N/A</v>
        <stp/>
        <stp>BDS|3718226445342943472</stp>
        <tr r="A5" s="29"/>
      </tp>
      <tp t="s">
        <v>#N/A N/A</v>
        <stp/>
        <stp>BDS|3347590264282598175</stp>
        <tr r="BW5" s="9"/>
        <tr r="BW5" s="12"/>
      </tp>
      <tp t="s">
        <v>#N/A N/A</v>
        <stp/>
        <stp>BDS|9814802243296509028</stp>
        <tr r="GM5" s="17"/>
      </tp>
      <tp t="s">
        <v>#N/A N/A</v>
        <stp/>
        <stp>BDS|4192427089949685201</stp>
        <tr r="TE5" s="33"/>
      </tp>
      <tp t="s">
        <v>#N/A N/A</v>
        <stp/>
        <stp>BDS|6529118714631962457</stp>
        <tr r="BW5" s="11"/>
        <tr r="BW5" s="17"/>
        <tr r="NK5" s="46"/>
        <tr r="QW5" s="5"/>
      </tp>
      <tp t="s">
        <v>#N/A N/A</v>
        <stp/>
        <stp>BDS|2156787968915945542</stp>
        <tr r="FY5" s="34"/>
      </tp>
      <tp t="s">
        <v>#N/A N/A</v>
        <stp/>
        <stp>BDS|8281083736161683965</stp>
        <tr r="BW5" s="34"/>
      </tp>
      <tp t="s">
        <v>#N/A N/A</v>
        <stp/>
        <stp>BDS|9739315003608885107</stp>
        <tr r="IG5" s="27"/>
      </tp>
      <tp t="s">
        <v>#N/A N/A</v>
        <stp/>
        <stp>BDS|1493619861981998307</stp>
        <tr r="BW5" s="16"/>
      </tp>
      <tp t="s">
        <v>#N/A N/A</v>
        <stp/>
        <stp>BDS|6337829440421771847</stp>
        <tr r="QW5" s="30"/>
      </tp>
      <tp t="s">
        <v>#N/A N/A</v>
        <stp/>
        <stp>BDS|8867120351196813916</stp>
        <tr r="OO5" s="26"/>
        <tr r="EE5" s="8"/>
        <tr r="SA5" s="11"/>
        <tr r="PS5" s="25"/>
      </tp>
      <tp t="s">
        <v>#N/A N/A</v>
        <stp/>
        <stp>BDS|2337635631594202017</stp>
        <tr r="HQ5" s="31"/>
      </tp>
      <tp t="s">
        <v>#N/A N/A</v>
        <stp/>
        <stp>BDS|1601302700419380867</stp>
        <tr r="CM5" s="22"/>
      </tp>
      <tp t="s">
        <v>#N/A N/A</v>
        <stp/>
        <stp>BDS|6339756406372420078</stp>
        <tr r="BW5" s="18"/>
        <tr r="O5" s="37"/>
        <tr r="IU5" s="11"/>
      </tp>
      <tp t="s">
        <v>#N/A N/A</v>
        <stp/>
        <stp>BDS|9018717452530562851</stp>
        <tr r="AS5" s="41"/>
      </tp>
      <tp t="s">
        <v>#N/A N/A</v>
        <stp/>
        <stp>BDS|3449254106142409038</stp>
        <tr r="DQ5" s="48"/>
      </tp>
      <tp t="s">
        <v>#N/A N/A</v>
        <stp/>
        <stp>BDS|1053935861759598473</stp>
        <tr r="OA5" s="38"/>
        <tr r="CM5" s="26"/>
      </tp>
      <tp t="s">
        <v>#N/A N/A</v>
        <stp/>
        <stp>BDS|4283828282946218105</stp>
        <tr r="EU5" s="18"/>
      </tp>
      <tp t="s">
        <v>#N/A N/A</v>
        <stp/>
        <stp>BDS|3632449722093407547</stp>
        <tr r="FY5" s="17"/>
      </tp>
      <tp t="s">
        <v>#N/A N/A</v>
        <stp/>
        <stp>BDS|7078987799571016516</stp>
        <tr r="A5" s="39"/>
      </tp>
      <tp t="s">
        <v>#N/A N/A</v>
        <stp/>
        <stp>BDS|7389916383972153706</stp>
        <tr r="OO5" s="48"/>
      </tp>
      <tp t="s">
        <v>#N/A N/A</v>
        <stp/>
        <stp>BDS|6271173421620630637</stp>
        <tr r="QI5" s="19"/>
      </tp>
      <tp t="s">
        <v>#N/A N/A</v>
        <stp/>
        <stp>BDS|4647115320572479659</stp>
        <tr r="DQ5" s="34"/>
      </tp>
      <tp t="s">
        <v>#N/A N/A</v>
        <stp/>
        <stp>BDS|3511217243045199300</stp>
        <tr r="CM5" s="10"/>
        <tr r="MW5" s="16"/>
        <tr r="HC5" s="12"/>
      </tp>
      <tp t="s">
        <v>#N/A N/A</v>
        <stp/>
        <stp>BDS|2740609369767095681</stp>
        <tr r="UY5" s="20"/>
      </tp>
      <tp t="s">
        <v>#N/A N/A</v>
        <stp/>
        <stp>BDS|1521062531577777633</stp>
        <tr r="EE5" s="10"/>
        <tr r="JY5" s="5"/>
      </tp>
      <tp t="s">
        <v>#N/A N/A</v>
        <stp/>
        <stp>BDS|5482227003321683551</stp>
        <tr r="QI5" s="18"/>
      </tp>
      <tp t="s">
        <v>#N/A N/A</v>
        <stp/>
        <stp>BDS|4612799888521760977</stp>
        <tr r="EE5" s="23"/>
      </tp>
      <tp t="s">
        <v>#N/A N/A</v>
        <stp/>
        <stp>BDS|2974011308758349948</stp>
        <tr r="PE5" s="39"/>
      </tp>
      <tp t="s">
        <v>#N/A N/A</v>
        <stp/>
        <stp>BDS|7375651205620331271</stp>
        <tr r="CM5" s="42"/>
        <tr r="SQ5" s="1"/>
        <tr r="JK5" s="6"/>
      </tp>
      <tp t="s">
        <v>#N/A N/A</v>
        <stp/>
        <stp>BDS|5816494386058614265</stp>
        <tr r="FY5" s="41"/>
      </tp>
      <tp t="s">
        <v>#N/A N/A</v>
        <stp/>
        <stp>BDS|4354681488228045144</stp>
        <tr r="O5" s="10"/>
      </tp>
      <tp t="s">
        <v>#N/A N/A</v>
        <stp/>
        <stp>BDS|4439530229017155781</stp>
        <tr r="UY5" s="14"/>
      </tp>
      <tp t="s">
        <v>#N/A N/A</v>
        <stp/>
        <stp>BDS|2387531964170846287</stp>
        <tr r="VM5" s="21"/>
        <tr r="LC5" s="16"/>
        <tr r="VM5" s="22"/>
        <tr r="BW5" s="26"/>
        <tr r="NK5" s="3"/>
        <tr r="BW5" s="24"/>
        <tr r="DA5" s="31"/>
        <tr r="OO5" s="34"/>
        <tr r="DA5" s="36"/>
        <tr r="O5" s="41"/>
        <tr r="LC5" s="50"/>
        <tr r="SA5" s="50"/>
        <tr r="QW5" s="9"/>
        <tr r="QW5" s="15"/>
      </tp>
      <tp t="s">
        <v>#N/A N/A</v>
        <stp/>
        <stp>BDS|5675552726100041100</stp>
        <tr r="RM5" s="35"/>
      </tp>
      <tp t="s">
        <v>#N/A N/A</v>
        <stp/>
        <stp>BDS|3506784580406158992</stp>
        <tr r="UI5" s="23"/>
      </tp>
      <tp t="s">
        <v>#N/A N/A</v>
        <stp/>
        <stp>BDS|97183582077569774</stp>
        <tr r="OO5" s="44"/>
      </tp>
      <tp t="s">
        <v>#N/A N/A</v>
        <stp/>
        <stp>BDS|86790270039259411</stp>
        <tr r="BI5" s="22"/>
        <tr r="MW5" s="22"/>
      </tp>
      <tp t="s">
        <v>#N/A N/A</v>
        <stp/>
        <stp>BDS|38856308637571236</stp>
        <tr r="QW5" s="20"/>
      </tp>
      <tp t="s">
        <v>#N/A N/A</v>
        <stp/>
        <stp>BDS|30825796791735024</stp>
        <tr r="QW5" s="14"/>
      </tp>
      <tp t="s">
        <v>#N/A N/A</v>
        <stp/>
        <stp>BDS|714560000830979045</stp>
        <tr r="EU5" s="45"/>
      </tp>
      <tp t="s">
        <v>#N/A N/A</v>
        <stp/>
        <stp>BDS|244156662575125720</stp>
        <tr r="OA5" s="32"/>
      </tp>
      <tp t="s">
        <v>#N/A N/A</v>
        <stp/>
        <stp>BDS|153227726345601009</stp>
        <tr r="EE5" s="26"/>
        <tr r="JY5" s="48"/>
      </tp>
      <tp t="s">
        <v>#N/A N/A</v>
        <stp/>
        <stp>BDS|878645155367360079</stp>
        <tr r="MG5" s="42"/>
      </tp>
      <tp t="s">
        <v>#N/A N/A</v>
        <stp/>
        <stp>BDS|786920381837801241</stp>
        <tr r="NK5" s="25"/>
      </tp>
      <tp t="s">
        <v>#N/A N/A</v>
        <stp/>
        <stp>BDS|893158530143245575</stp>
        <tr r="TE5" s="12"/>
      </tp>
      <tp t="s">
        <v>#N/A N/A</v>
        <stp/>
        <stp>BDS|952297459495271628</stp>
        <tr r="UY5" s="1"/>
        <tr r="A5" s="2"/>
        <tr r="JK5" s="26"/>
        <tr r="A5" s="7"/>
        <tr r="SQ5" s="8"/>
        <tr r="DQ5" s="11"/>
        <tr r="SQ5" s="22"/>
        <tr r="DQ5" s="1"/>
        <tr r="PE5" s="11"/>
        <tr r="OA5" s="25"/>
        <tr r="IG5" s="33"/>
      </tp>
      <tp t="s">
        <v>#N/A N/A</v>
        <stp/>
        <stp>BDS|427065347094282435</stp>
        <tr r="GM5" s="42"/>
      </tp>
      <tp t="s">
        <v>#N/A N/A</v>
        <stp/>
        <stp>BDS|984484137815257666</stp>
        <tr r="DA5" s="12"/>
      </tp>
      <tp t="s">
        <v>#N/A N/A</v>
        <stp/>
        <stp>BDS|219286256773215361</stp>
        <tr r="GM5" s="4"/>
      </tp>
      <tp t="s">
        <v>#N/A N/A</v>
        <stp/>
        <stp>BDS|193127669919836933</stp>
        <tr r="BI5" s="27"/>
      </tp>
      <tp t="s">
        <v>#N/A N/A</v>
        <stp/>
        <stp>BDS|242730017898968829</stp>
        <tr r="NK5" s="38"/>
      </tp>
      <tp t="s">
        <v>#N/A N/A</v>
        <stp/>
        <stp>BDS|112740958165349112</stp>
        <tr r="UY5" s="2"/>
        <tr r="RM5" s="26"/>
        <tr r="IG5" s="3"/>
        <tr r="BI5" s="2"/>
        <tr r="KO5" s="2"/>
      </tp>
      <tp t="s">
        <v>#N/A N/A</v>
        <stp/>
        <stp>BDS|531274969720560260</stp>
        <tr r="RM5" s="31"/>
      </tp>
      <tp t="s">
        <v>#N/A N/A</v>
        <stp/>
        <stp>BDS|394418853894635339</stp>
        <tr r="HC5" s="36"/>
      </tp>
      <tp t="s">
        <v>#N/A N/A</v>
        <stp/>
        <stp>BDS|679427460825576147</stp>
        <tr r="TU5" s="19"/>
      </tp>
      <tp t="s">
        <v>#N/A N/A</v>
        <stp/>
        <stp>BDS|368137877648649869</stp>
        <tr r="NK5" s="14"/>
      </tp>
      <tp t="s">
        <v>#N/A N/A</v>
        <stp/>
        <stp>BDS|304571037782390212</stp>
        <tr r="EU5" s="2"/>
        <tr r="A5" s="28"/>
      </tp>
      <tp t="s">
        <v>#N/A N/A</v>
        <stp/>
        <stp>BDS|988951499850119669</stp>
        <tr r="NK5" s="5"/>
        <tr r="AS5" s="1"/>
        <tr r="HQ5" s="1"/>
        <tr r="SA5" s="1"/>
        <tr r="AS5" s="26"/>
        <tr r="BW5" s="32"/>
        <tr r="QW5" s="1"/>
        <tr r="OO5" s="17"/>
        <tr r="JY5" s="28"/>
        <tr r="VM5" s="37"/>
      </tp>
      <tp t="s">
        <v>#N/A N/A</v>
        <stp/>
        <stp>BDS|946324988539719473</stp>
        <tr r="DQ5" s="21"/>
        <tr r="LS5" s="15"/>
      </tp>
      <tp t="s">
        <v>#N/A N/A</v>
        <stp/>
        <stp>BDS|505342808672793036</stp>
        <tr r="HC5" s="10"/>
      </tp>
      <tp t="s">
        <v>#N/A N/A</v>
        <stp/>
        <stp>BDS|257256086633272896</stp>
        <tr r="SA5" s="23"/>
      </tp>
      <tp t="s">
        <v>#N/A N/A</v>
        <stp/>
        <stp>BDS|753996934433367897</stp>
        <tr r="TU5" s="23"/>
      </tp>
      <tp t="s">
        <v>#N/A N/A</v>
        <stp/>
        <stp>BDS|589692642913781163</stp>
        <tr r="PS5" s="1"/>
        <tr r="AS5" s="29"/>
      </tp>
      <tp t="s">
        <v>#N/A N/A</v>
        <stp/>
        <stp>BDS|952957680002360343</stp>
        <tr r="RM5" s="20"/>
      </tp>
      <tp t="s">
        <v>#N/A N/A</v>
        <stp/>
        <stp>BDS|268072604342545200</stp>
        <tr r="LS5" s="14"/>
        <tr r="UY5" s="26"/>
        <tr r="EU5" s="28"/>
      </tp>
      <tp t="s">
        <v>#N/A N/A</v>
        <stp/>
        <stp>BDS|796993991834734499</stp>
        <tr r="PS5" s="2"/>
        <tr r="JY5" s="38"/>
        <tr r="O5" s="6"/>
        <tr r="JY5" s="24"/>
        <tr r="SA5" s="9"/>
      </tp>
      <tp t="s">
        <v>#N/A N/A</v>
        <stp/>
        <stp>BDS|677873064794218985</stp>
        <tr r="UY5" s="42"/>
      </tp>
      <tp t="s">
        <v>#N/A N/A</v>
        <stp/>
        <stp>BDS|969156820584035475</stp>
        <tr r="TE5" s="49"/>
      </tp>
      <tp t="s">
        <v>#N/A N/A</v>
        <stp/>
        <stp>BDS|218113454321505675</stp>
        <tr r="HC5" s="15"/>
      </tp>
      <tp t="s">
        <v>#N/A N/A</v>
        <stp/>
        <stp>BDS|620011466862588686</stp>
        <tr r="PE5" s="29"/>
      </tp>
      <tp t="s">
        <v>#N/A N/A</v>
        <stp/>
        <stp>BDS|798475722264814026</stp>
        <tr r="JK5" s="47"/>
      </tp>
      <tp t="s">
        <v>#N/A N/A</v>
        <stp/>
        <stp>BDS|385992862279614466</stp>
        <tr r="QW5" s="45"/>
      </tp>
      <tp t="s">
        <v>#N/A N/A</v>
        <stp/>
        <stp>BDS|209737579227668574</stp>
        <tr r="EU5" s="9"/>
      </tp>
      <tp t="s">
        <v>#N/A N/A</v>
        <stp/>
        <stp>BDS|531554342731178231</stp>
        <tr r="AS5" s="25"/>
      </tp>
      <tp t="s">
        <v>#N/A N/A</v>
        <stp/>
        <stp>BDS|222250876086839182</stp>
        <tr r="HC5" s="27"/>
      </tp>
      <tp t="s">
        <v>#N/A N/A</v>
        <stp/>
        <stp>BDS|958979775512536127</stp>
        <tr r="JY5" s="40"/>
        <tr r="IU5" s="48"/>
      </tp>
      <tp t="s">
        <v>#N/A N/A</v>
        <stp/>
        <stp>BDS|270220949538381359</stp>
        <tr r="VM5" s="40"/>
      </tp>
      <tp t="s">
        <v>#N/A N/A</v>
        <stp/>
        <stp>BDS|227135042861381957</stp>
        <tr r="MG5" s="36"/>
      </tp>
      <tp t="s">
        <v>#N/A N/A</v>
        <stp/>
        <stp>BDS|112599436029457298</stp>
        <tr r="DA5" s="37"/>
      </tp>
      <tp t="s">
        <v>#N/A N/A</v>
        <stp/>
        <stp>BDS|612258695142968519</stp>
        <tr r="JK5" s="22"/>
        <tr r="LS5" s="29"/>
      </tp>
      <tp t="s">
        <v>#N/A N/A</v>
        <stp/>
        <stp>BDS|681812954371038071</stp>
        <tr r="A5" s="50"/>
      </tp>
      <tp t="s">
        <v>#N/A N/A</v>
        <stp/>
        <stp>BDS|821312109058535715</stp>
        <tr r="PE5" s="28"/>
        <tr r="CM5" s="18"/>
        <tr r="AE5" s="45"/>
        <tr r="KO5" s="1"/>
        <tr r="OA5" s="45"/>
      </tp>
      <tp t="s">
        <v>#N/A N/A</v>
        <stp/>
        <stp>BDS|496162380901273460</stp>
        <tr r="DQ5" s="26"/>
        <tr r="JK5" s="48"/>
      </tp>
      <tp t="s">
        <v>#N/A N/A</v>
        <stp/>
        <stp>BDS|757096828679418727</stp>
        <tr r="FI5" s="45"/>
      </tp>
      <tp t="s">
        <v>#N/A N/A</v>
        <stp/>
        <stp>BDS|167873320802945717</stp>
        <tr r="JK5" s="46"/>
      </tp>
      <tp t="s">
        <v>#N/A N/A</v>
        <stp/>
        <stp>BDS|198650922539852292</stp>
        <tr r="PS5" s="44"/>
      </tp>
      <tp t="s">
        <v>#N/A N/A</v>
        <stp/>
        <stp>BDS|522640757549788517</stp>
        <tr r="PS5" s="27"/>
        <tr r="SA5" s="47"/>
      </tp>
      <tp t="s">
        <v>#N/A N/A</v>
        <stp/>
        <stp>BDS|821439097281991359</stp>
        <tr r="OO5" s="12"/>
      </tp>
      <tp t="s">
        <v>#N/A N/A</v>
        <stp/>
        <stp>BDS|487958626592992735</stp>
        <tr r="GM5" s="14"/>
        <tr r="LC5" s="17"/>
        <tr r="AS5" s="22"/>
        <tr r="OO5" s="8"/>
      </tp>
      <tp t="s">
        <v>#N/A N/A</v>
        <stp/>
        <stp>BDS|833055016927341860</stp>
        <tr r="OO5" s="15"/>
        <tr r="PS5" s="23"/>
        <tr r="DA5" s="40"/>
        <tr r="QW5" s="8"/>
      </tp>
      <tp t="s">
        <v>#N/A N/A</v>
        <stp/>
        <stp>BDS|865537153389073761</stp>
        <tr r="QI5" s="28"/>
      </tp>
      <tp t="s">
        <v>#N/A N/A</v>
        <stp/>
        <stp>BDS|113324298634523040</stp>
        <tr r="HC5" s="18"/>
        <tr r="A5" s="44"/>
      </tp>
      <tp t="s">
        <v>#N/A N/A</v>
        <stp/>
        <stp>BDS|739236948536216990</stp>
        <tr r="A5" s="26"/>
      </tp>
      <tp t="s">
        <v>#N/A N/A</v>
        <stp/>
        <stp>BDS|446486555930400902</stp>
        <tr r="DQ5" s="16"/>
      </tp>
      <tp t="s">
        <v>#N/A N/A</v>
        <stp/>
        <stp>BDS|286871526804685653</stp>
        <tr r="TE5" s="5"/>
        <tr r="HQ5" s="50"/>
        <tr r="UI5" s="1"/>
        <tr r="LC5" s="15"/>
        <tr r="O5" s="43"/>
      </tp>
      <tp t="s">
        <v>#N/A N/A</v>
        <stp/>
        <stp>BDS|842285500692623874</stp>
        <tr r="IU5" s="46"/>
      </tp>
      <tp t="s">
        <v>#N/A N/A</v>
        <stp/>
        <stp>BDS|434637206825931801</stp>
        <tr r="SQ5" s="50"/>
      </tp>
      <tp t="s">
        <v>#N/A N/A</v>
        <stp/>
        <stp>BDS|653519520995147937</stp>
        <tr r="OO5" s="40"/>
        <tr r="QW5" s="21"/>
      </tp>
      <tp t="s">
        <v>#N/A N/A</v>
        <stp/>
        <stp>BDS|843144887355033781</stp>
        <tr r="FI5" s="24"/>
        <tr r="BW5" s="30"/>
      </tp>
      <tp t="s">
        <v>#N/A N/A</v>
        <stp/>
        <stp>BDS|519542085447662065</stp>
        <tr r="RM5" s="47"/>
        <tr r="PE5" s="27"/>
      </tp>
      <tp t="s">
        <v>#N/A N/A</v>
        <stp/>
        <stp>BDS|774539587504625309</stp>
        <tr r="FY5" s="12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B9"/>
  <sheetViews>
    <sheetView tabSelected="1" workbookViewId="0">
      <selection activeCell="O5" sqref="O5"/>
    </sheetView>
  </sheetViews>
  <sheetFormatPr defaultRowHeight="15" x14ac:dyDescent="0.25"/>
  <cols>
    <col min="1" max="600" width="14" customWidth="1"/>
  </cols>
  <sheetData>
    <row r="1" spans="1:60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20</v>
      </c>
      <c r="AE2" s="3" t="s">
        <v>21</v>
      </c>
      <c r="BI2" s="3" t="s">
        <v>22</v>
      </c>
      <c r="CM2" s="3" t="s">
        <v>23</v>
      </c>
      <c r="DQ2" s="3" t="s">
        <v>24</v>
      </c>
      <c r="EU2" s="3" t="s">
        <v>25</v>
      </c>
      <c r="FY2" s="3" t="s">
        <v>26</v>
      </c>
      <c r="HC2" s="3" t="s">
        <v>21</v>
      </c>
      <c r="IG2" s="3" t="s">
        <v>27</v>
      </c>
      <c r="JK2" s="3" t="s">
        <v>28</v>
      </c>
      <c r="KO2" s="3" t="s">
        <v>29</v>
      </c>
      <c r="LS2" s="3" t="s">
        <v>30</v>
      </c>
      <c r="MW2" s="3" t="s">
        <v>31</v>
      </c>
      <c r="OA2" s="3" t="s">
        <v>32</v>
      </c>
      <c r="PE2" s="3" t="s">
        <v>33</v>
      </c>
      <c r="QI2" s="3" t="s">
        <v>21</v>
      </c>
      <c r="RM2" s="3" t="s">
        <v>21</v>
      </c>
      <c r="SQ2" s="3" t="s">
        <v>34</v>
      </c>
      <c r="TU2" s="3" t="s">
        <v>35</v>
      </c>
      <c r="UY2" s="3" t="s">
        <v>24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_xll.BDS("TWX US Equity","SUPPLY_CHAIN_SUPPLIERS_ALL_DATA")</f>
        <v>#N/A N/A</v>
      </c>
      <c r="O5" t="str">
        <f>_xll.BDS("TWX US Equity","SUPPLY_CHAIN_CUSTOMERS_ALL_DATA")</f>
        <v>#N/A N/A</v>
      </c>
      <c r="AE5" t="str">
        <f>_xll.BDS("T US Equity","SUPPLY_CHAIN_SUPPLIERS_ALL_DATA","cols=12;rows=5")</f>
        <v>AAPL US Equity</v>
      </c>
      <c r="AF5" t="s">
        <v>1598</v>
      </c>
      <c r="AG5">
        <v>1.2812509999999999</v>
      </c>
      <c r="AH5">
        <v>9.9289989999999992</v>
      </c>
      <c r="AI5" t="s">
        <v>1664</v>
      </c>
      <c r="AJ5">
        <v>2025</v>
      </c>
      <c r="AK5" t="s">
        <v>3183</v>
      </c>
      <c r="AL5" s="6">
        <v>45863</v>
      </c>
      <c r="AM5">
        <v>5</v>
      </c>
      <c r="AN5">
        <v>1221788160</v>
      </c>
      <c r="AO5">
        <v>101695</v>
      </c>
      <c r="AP5" t="s">
        <v>1919</v>
      </c>
      <c r="AS5" t="str">
        <f>_xll.BDS("T US Equity","SUPPLY_CHAIN_CUSTOMERS_ALL_DATA","cols=12;rows=5")</f>
        <v>IBM US Equity</v>
      </c>
      <c r="AT5">
        <v>0.86485599999999996</v>
      </c>
      <c r="AU5" t="s">
        <v>1598</v>
      </c>
      <c r="AV5">
        <v>4.0630959999999998</v>
      </c>
      <c r="AW5" t="s">
        <v>1603</v>
      </c>
      <c r="AX5">
        <v>2025</v>
      </c>
      <c r="AY5" t="s">
        <v>1744</v>
      </c>
      <c r="AZ5" s="6">
        <v>45797</v>
      </c>
      <c r="BA5">
        <v>5</v>
      </c>
      <c r="BB5">
        <v>264507552</v>
      </c>
      <c r="BC5">
        <v>100801</v>
      </c>
      <c r="BD5" t="s">
        <v>1745</v>
      </c>
      <c r="BI5" t="str">
        <f>_xll.BDS("RTX US Equity","SUPPLY_CHAIN_SUPPLIERS_ALL_DATA","cols=12;rows=5")</f>
        <v>MTX GR Equity</v>
      </c>
      <c r="BJ5" t="s">
        <v>1598</v>
      </c>
      <c r="BK5">
        <v>24.749371</v>
      </c>
      <c r="BL5">
        <v>3.4020609999999998</v>
      </c>
      <c r="BM5" t="s">
        <v>1664</v>
      </c>
      <c r="BN5">
        <v>2025</v>
      </c>
      <c r="BO5" t="s">
        <v>2629</v>
      </c>
      <c r="BP5" s="6">
        <v>45937</v>
      </c>
      <c r="BQ5">
        <v>5</v>
      </c>
      <c r="BR5">
        <v>585090912.53999996</v>
      </c>
      <c r="BS5">
        <v>8445936</v>
      </c>
      <c r="BT5" t="s">
        <v>2630</v>
      </c>
      <c r="BW5" t="str">
        <f>_xll.BDS("RTX US Equity","SUPPLY_CHAIN_CUSTOMERS_ALL_DATA","cols=12;rows=5")</f>
        <v>3352Z US Equity</v>
      </c>
      <c r="BX5">
        <v>37.559677000000001</v>
      </c>
      <c r="BZ5">
        <v>-2.4245362661989844E-14</v>
      </c>
      <c r="CA5" t="s">
        <v>1594</v>
      </c>
      <c r="CB5">
        <v>2025</v>
      </c>
      <c r="CC5" t="s">
        <v>4803</v>
      </c>
      <c r="CD5" s="6">
        <v>46059</v>
      </c>
      <c r="CE5">
        <v>5</v>
      </c>
      <c r="CF5">
        <v>8319750000</v>
      </c>
      <c r="CG5">
        <v>218252</v>
      </c>
      <c r="CH5" t="s">
        <v>1622</v>
      </c>
      <c r="CM5" t="str">
        <f>_xll.BDS("BMY US Equity","SUPPLY_CHAIN_SUPPLIERS_ALL_DATA","cols=12;rows=5")</f>
        <v>PFE US Equity</v>
      </c>
      <c r="CN5" t="s">
        <v>1598</v>
      </c>
      <c r="CO5">
        <v>11.153900999999999</v>
      </c>
      <c r="CP5">
        <v>50.086109</v>
      </c>
      <c r="CQ5" t="s">
        <v>1594</v>
      </c>
      <c r="CR5">
        <v>2025</v>
      </c>
      <c r="CS5" t="s">
        <v>1765</v>
      </c>
      <c r="CT5" s="6">
        <v>46064</v>
      </c>
      <c r="CU5">
        <v>5</v>
      </c>
      <c r="CV5">
        <v>1745000000</v>
      </c>
      <c r="CW5">
        <v>101166</v>
      </c>
      <c r="CX5" t="s">
        <v>2119</v>
      </c>
      <c r="DA5" t="str">
        <f>_xll.BDS("BMY US Equity","SUPPLY_CHAIN_CUSTOMERS_ALL_DATA","cols=12;rows=5")</f>
        <v>MCK US Equity</v>
      </c>
      <c r="DB5">
        <v>36</v>
      </c>
      <c r="DC5" t="s">
        <v>1598</v>
      </c>
      <c r="DD5">
        <v>4.5203889999999998</v>
      </c>
      <c r="DE5" t="s">
        <v>1594</v>
      </c>
      <c r="DF5">
        <v>2025</v>
      </c>
      <c r="DG5" t="s">
        <v>1765</v>
      </c>
      <c r="DH5" s="6">
        <v>46064</v>
      </c>
      <c r="DI5">
        <v>5</v>
      </c>
      <c r="DJ5">
        <v>4337460224</v>
      </c>
      <c r="DK5">
        <v>154936</v>
      </c>
      <c r="DL5" t="s">
        <v>1766</v>
      </c>
      <c r="DQ5" t="str">
        <f>_xll.BDS("PFE US Equity","SUPPLY_CHAIN_SUPPLIERS_ALL_DATA","cols=12;rows=5")</f>
        <v>BNTX US Equity</v>
      </c>
      <c r="DR5" t="s">
        <v>1598</v>
      </c>
      <c r="DS5">
        <v>73</v>
      </c>
      <c r="DT5">
        <v>12.187704999999999</v>
      </c>
      <c r="DU5" t="s">
        <v>1594</v>
      </c>
      <c r="DV5">
        <v>2024</v>
      </c>
      <c r="DW5" t="s">
        <v>3345</v>
      </c>
      <c r="DX5" s="6">
        <v>45726</v>
      </c>
      <c r="DY5">
        <v>5</v>
      </c>
      <c r="DZ5">
        <v>544064265</v>
      </c>
      <c r="EA5">
        <v>65839686</v>
      </c>
      <c r="EB5" t="s">
        <v>3346</v>
      </c>
      <c r="EE5" t="str">
        <f>_xll.BDS("PFE US Equity","SUPPLY_CHAIN_CUSTOMERS_ALL_DATA","cols=12;rows=5")</f>
        <v>MCK US Equity</v>
      </c>
      <c r="EF5">
        <v>25</v>
      </c>
      <c r="EG5" t="s">
        <v>1598</v>
      </c>
      <c r="EH5">
        <v>4.0761390000000004</v>
      </c>
      <c r="EI5" t="s">
        <v>1594</v>
      </c>
      <c r="EJ5">
        <v>2025</v>
      </c>
      <c r="EK5" t="s">
        <v>2824</v>
      </c>
      <c r="EL5" s="6">
        <v>46079</v>
      </c>
      <c r="EM5">
        <v>5</v>
      </c>
      <c r="EN5">
        <v>3911187456</v>
      </c>
      <c r="EO5">
        <v>154936</v>
      </c>
      <c r="EP5" t="s">
        <v>1766</v>
      </c>
      <c r="EU5" t="str">
        <f>_xll.BDS("ABBV US Equity","SUPPLY_CHAIN_SUPPLIERS_ALL_DATA","cols=12;rows=5")</f>
        <v>ROG SW Equity</v>
      </c>
      <c r="EV5" t="s">
        <v>1598</v>
      </c>
      <c r="EW5">
        <v>1.433017</v>
      </c>
      <c r="EX5">
        <v>5.8448690000000001</v>
      </c>
      <c r="EY5" t="s">
        <v>1594</v>
      </c>
      <c r="EZ5">
        <v>2025</v>
      </c>
      <c r="FA5" t="s">
        <v>3798</v>
      </c>
      <c r="FB5" s="6">
        <v>46073</v>
      </c>
      <c r="FC5">
        <v>5</v>
      </c>
      <c r="FD5">
        <v>265999984</v>
      </c>
      <c r="FE5">
        <v>115785</v>
      </c>
      <c r="FF5" t="s">
        <v>3799</v>
      </c>
      <c r="FI5" t="str">
        <f>_xll.BDS("ABBV US Equity","SUPPLY_CHAIN_CUSTOMERS_ALL_DATA","cols=12;rows=5")</f>
        <v>MCK US Equity</v>
      </c>
      <c r="FJ5">
        <v>30.713249000000001</v>
      </c>
      <c r="FK5" t="s">
        <v>1598</v>
      </c>
      <c r="FL5">
        <v>6.8943349999999999</v>
      </c>
      <c r="FM5" t="s">
        <v>1606</v>
      </c>
      <c r="FN5">
        <v>2025</v>
      </c>
      <c r="FO5" t="s">
        <v>2220</v>
      </c>
      <c r="FP5" s="6">
        <v>46077</v>
      </c>
      <c r="FQ5">
        <v>5</v>
      </c>
      <c r="FR5">
        <v>5103927808</v>
      </c>
      <c r="FS5">
        <v>154936</v>
      </c>
      <c r="FT5" t="s">
        <v>1766</v>
      </c>
      <c r="FY5" t="str">
        <f>_xll.BDS("DIS US Equity","SUPPLY_CHAIN_SUPPLIERS_ALL_DATA","cols=12;rows=5")</f>
        <v>GTN US Equity</v>
      </c>
      <c r="FZ5" t="s">
        <v>1685</v>
      </c>
      <c r="GA5">
        <v>11</v>
      </c>
      <c r="GB5">
        <v>2.5200550000000002</v>
      </c>
      <c r="GC5" t="s">
        <v>1594</v>
      </c>
      <c r="GD5">
        <v>2024</v>
      </c>
      <c r="GE5" t="s">
        <v>2324</v>
      </c>
      <c r="GF5" s="6">
        <v>45715</v>
      </c>
      <c r="GG5">
        <v>5</v>
      </c>
      <c r="GH5">
        <v>100210000</v>
      </c>
      <c r="GI5">
        <v>104103</v>
      </c>
      <c r="GJ5" t="s">
        <v>2325</v>
      </c>
      <c r="GM5" t="str">
        <f>_xll.BDS("DIS US Equity","SUPPLY_CHAIN_CUSTOMERS_ALL_DATA","cols=12;rows=5")</f>
        <v>AD NA Equity</v>
      </c>
      <c r="GN5">
        <v>0.105923</v>
      </c>
      <c r="GO5" t="s">
        <v>1598</v>
      </c>
      <c r="GP5">
        <v>0.13025800000000001</v>
      </c>
      <c r="GQ5" t="s">
        <v>1664</v>
      </c>
      <c r="GR5">
        <v>2025</v>
      </c>
      <c r="GS5" t="s">
        <v>1920</v>
      </c>
      <c r="GT5" s="6">
        <v>45887</v>
      </c>
      <c r="GU5">
        <v>5</v>
      </c>
      <c r="GV5">
        <v>25058004.829999998</v>
      </c>
      <c r="GW5">
        <v>115643</v>
      </c>
      <c r="GX5" t="s">
        <v>1672</v>
      </c>
      <c r="HC5" t="str">
        <f>_xll.BDS("T US Equity","SUPPLY_CHAIN_SUPPLIERS_ALL_DATA","cols=12;rows=5")</f>
        <v>AAPL US Equity</v>
      </c>
      <c r="HD5" t="s">
        <v>1598</v>
      </c>
      <c r="HE5">
        <v>1.2812509999999999</v>
      </c>
      <c r="HF5">
        <v>9.9289989999999992</v>
      </c>
      <c r="HG5" t="s">
        <v>1664</v>
      </c>
      <c r="HH5">
        <v>2025</v>
      </c>
      <c r="HI5" t="s">
        <v>3183</v>
      </c>
      <c r="HJ5" s="6">
        <v>45863</v>
      </c>
      <c r="HK5">
        <v>5</v>
      </c>
      <c r="HL5">
        <v>1221788160</v>
      </c>
      <c r="HM5">
        <v>101695</v>
      </c>
      <c r="HN5" t="s">
        <v>1919</v>
      </c>
      <c r="HQ5" t="str">
        <f>_xll.BDS("T US Equity","SUPPLY_CHAIN_CUSTOMERS_ALL_DATA","cols=12;rows=5")</f>
        <v>IBM US Equity</v>
      </c>
      <c r="HR5">
        <v>0.86485599999999996</v>
      </c>
      <c r="HS5" t="s">
        <v>1598</v>
      </c>
      <c r="HT5">
        <v>4.0630959999999998</v>
      </c>
      <c r="HU5" t="s">
        <v>1603</v>
      </c>
      <c r="HV5">
        <v>2025</v>
      </c>
      <c r="HW5" t="s">
        <v>1744</v>
      </c>
      <c r="HX5" s="6">
        <v>45797</v>
      </c>
      <c r="HY5">
        <v>5</v>
      </c>
      <c r="HZ5">
        <v>264507552</v>
      </c>
      <c r="IA5">
        <v>100801</v>
      </c>
      <c r="IB5" t="s">
        <v>1745</v>
      </c>
      <c r="IG5" t="str">
        <f>_xll.BDS("XOM US Equity","SUPPLY_CHAIN_SUPPLIERS_ALL_DATA","cols=12;rows=5")</f>
        <v>PAA US Equity</v>
      </c>
      <c r="IH5" t="s">
        <v>1598</v>
      </c>
      <c r="II5">
        <v>30</v>
      </c>
      <c r="IJ5">
        <v>5.2016150000000003</v>
      </c>
      <c r="IK5" t="s">
        <v>1594</v>
      </c>
      <c r="IL5">
        <v>2024</v>
      </c>
      <c r="IM5" t="s">
        <v>4334</v>
      </c>
      <c r="IN5" s="6">
        <v>45716</v>
      </c>
      <c r="IO5">
        <v>5</v>
      </c>
      <c r="IP5">
        <v>3755474944</v>
      </c>
      <c r="IQ5">
        <v>344604</v>
      </c>
      <c r="IR5" t="s">
        <v>5149</v>
      </c>
      <c r="IU5" t="str">
        <f>_xll.BDS("XOM US Equity","SUPPLY_CHAIN_CUSTOMERS_ALL_DATA","cols=12;rows=5")</f>
        <v>IMO CN Equity</v>
      </c>
      <c r="IV5">
        <v>0.77814300000000003</v>
      </c>
      <c r="IW5" t="s">
        <v>1598</v>
      </c>
      <c r="IX5">
        <v>8.6601540000000004</v>
      </c>
      <c r="IY5" t="s">
        <v>1594</v>
      </c>
      <c r="IZ5">
        <v>2024</v>
      </c>
      <c r="JA5" t="s">
        <v>4943</v>
      </c>
      <c r="JB5" s="6">
        <v>45707</v>
      </c>
      <c r="JC5">
        <v>5</v>
      </c>
      <c r="JD5">
        <v>660135575.35000002</v>
      </c>
      <c r="JE5">
        <v>104669</v>
      </c>
      <c r="JF5" t="s">
        <v>4944</v>
      </c>
      <c r="JK5" t="str">
        <f>_xll.BDS("9876540D US Equity","SUPPLY_CHAIN_SUPPLIERS_ALL_DATA")</f>
        <v>#N/A N/A</v>
      </c>
      <c r="JY5" t="str">
        <f>_xll.BDS("9876540D US Equity","SUPPLY_CHAIN_CUSTOMERS_ALL_DATA")</f>
        <v>#N/A N/A</v>
      </c>
      <c r="KO5" t="str">
        <f>_xll.BDS("VZ US Equity","SUPPLY_CHAIN_SUPPLIERS_ALL_DATA","cols=12;rows=5")</f>
        <v>AAPL US Equity</v>
      </c>
      <c r="KP5" t="s">
        <v>1598</v>
      </c>
      <c r="KQ5">
        <v>2.0425080000000002</v>
      </c>
      <c r="KR5">
        <v>14.027474</v>
      </c>
      <c r="KS5" t="s">
        <v>1664</v>
      </c>
      <c r="KT5">
        <v>2025</v>
      </c>
      <c r="KU5" t="s">
        <v>2375</v>
      </c>
      <c r="KV5" s="6">
        <v>45862</v>
      </c>
      <c r="KW5">
        <v>5</v>
      </c>
      <c r="KX5">
        <v>1947714816</v>
      </c>
      <c r="KY5">
        <v>101695</v>
      </c>
      <c r="KZ5" t="s">
        <v>1919</v>
      </c>
      <c r="LC5" t="str">
        <f>_xll.BDS("VZ US Equity","SUPPLY_CHAIN_CUSTOMERS_ALL_DATA","cols=12;rows=5")</f>
        <v>SNX US Equity</v>
      </c>
      <c r="LD5">
        <v>0.47808400000000001</v>
      </c>
      <c r="LE5" t="s">
        <v>1598</v>
      </c>
      <c r="LF5">
        <v>1.074689</v>
      </c>
      <c r="LG5" t="s">
        <v>1606</v>
      </c>
      <c r="LH5">
        <v>2025</v>
      </c>
      <c r="LI5" t="s">
        <v>1701</v>
      </c>
      <c r="LJ5" s="6">
        <v>46056</v>
      </c>
      <c r="LK5">
        <v>5</v>
      </c>
      <c r="LL5">
        <v>173931856</v>
      </c>
      <c r="LM5">
        <v>1499717</v>
      </c>
      <c r="LN5" t="s">
        <v>1702</v>
      </c>
      <c r="LS5" t="str">
        <f>_xll.BDS("C US Equity","SUPPLY_CHAIN_SUPPLIERS_ALL_DATA","cols=12;rows=5")</f>
        <v>ORCL US Equity</v>
      </c>
      <c r="LT5" t="s">
        <v>1598</v>
      </c>
      <c r="LU5">
        <v>0.204793</v>
      </c>
      <c r="LV5">
        <v>0.242594</v>
      </c>
      <c r="LW5" t="s">
        <v>1606</v>
      </c>
      <c r="LX5">
        <v>2025</v>
      </c>
      <c r="LY5" t="s">
        <v>2251</v>
      </c>
      <c r="LZ5" s="6">
        <v>45848</v>
      </c>
      <c r="MA5">
        <v>5</v>
      </c>
      <c r="MB5">
        <v>32568232</v>
      </c>
      <c r="MC5">
        <v>101752</v>
      </c>
      <c r="MD5" t="s">
        <v>2265</v>
      </c>
      <c r="MG5" t="str">
        <f>_xll.BDS("C US Equity","SUPPLY_CHAIN_CUSTOMERS_ALL_DATA","cols=12;rows=5")</f>
        <v>ANTO LN Equity</v>
      </c>
      <c r="MH5">
        <v>1.76E-4</v>
      </c>
      <c r="MI5" t="s">
        <v>1598</v>
      </c>
      <c r="MJ5">
        <v>7.3010000000000002E-3</v>
      </c>
      <c r="MK5" t="s">
        <v>1594</v>
      </c>
      <c r="ML5">
        <v>2024</v>
      </c>
      <c r="MM5" t="s">
        <v>3662</v>
      </c>
      <c r="MN5" s="6">
        <v>45743</v>
      </c>
      <c r="MO5">
        <v>5</v>
      </c>
      <c r="MP5">
        <v>74999.5</v>
      </c>
      <c r="MQ5">
        <v>111100</v>
      </c>
      <c r="MR5" t="s">
        <v>3663</v>
      </c>
      <c r="MW5" t="str">
        <f>_xll.BDS("CI US Equity","SUPPLY_CHAIN_SUPPLIERS_ALL_DATA","cols=12;rows=5")</f>
        <v>COR US Equity</v>
      </c>
      <c r="MX5" t="s">
        <v>1598</v>
      </c>
      <c r="MY5">
        <v>13</v>
      </c>
      <c r="MZ5">
        <v>17.228079000000001</v>
      </c>
      <c r="NA5" t="s">
        <v>1594</v>
      </c>
      <c r="NB5">
        <v>2025</v>
      </c>
      <c r="NC5" t="s">
        <v>1831</v>
      </c>
      <c r="ND5" s="6">
        <v>45986</v>
      </c>
      <c r="NE5">
        <v>5</v>
      </c>
      <c r="NF5">
        <v>10443316224</v>
      </c>
      <c r="NG5">
        <v>156969</v>
      </c>
      <c r="NH5" t="s">
        <v>1767</v>
      </c>
      <c r="NK5" t="str">
        <f>_xll.BDS("CI US Equity","SUPPLY_CHAIN_CUSTOMERS_ALL_DATA","cols=12;rows=5")</f>
        <v>3352Z US Equity</v>
      </c>
      <c r="NL5">
        <v>11</v>
      </c>
      <c r="NN5">
        <v>-2.4245362661989844E-14</v>
      </c>
      <c r="NO5" t="s">
        <v>1594</v>
      </c>
      <c r="NP5">
        <v>2024</v>
      </c>
      <c r="NQ5" t="s">
        <v>4714</v>
      </c>
      <c r="NR5" s="6">
        <v>45715</v>
      </c>
      <c r="NS5">
        <v>5</v>
      </c>
      <c r="NT5">
        <v>6795827712</v>
      </c>
      <c r="NU5">
        <v>218252</v>
      </c>
      <c r="NV5" t="s">
        <v>1622</v>
      </c>
      <c r="OA5" t="str">
        <f>_xll.BDS("CVS US Equity","SUPPLY_CHAIN_SUPPLIERS_ALL_DATA","cols=12;rows=5")</f>
        <v>MCK US Equity</v>
      </c>
      <c r="OB5" t="s">
        <v>1598</v>
      </c>
      <c r="OC5">
        <v>24</v>
      </c>
      <c r="OD5">
        <v>26.455601000000001</v>
      </c>
      <c r="OE5" t="s">
        <v>1594</v>
      </c>
      <c r="OF5">
        <v>2025</v>
      </c>
      <c r="OG5" t="s">
        <v>2431</v>
      </c>
      <c r="OH5" s="6">
        <v>45786</v>
      </c>
      <c r="OI5">
        <v>5</v>
      </c>
      <c r="OJ5">
        <v>21543059456</v>
      </c>
      <c r="OK5">
        <v>154936</v>
      </c>
      <c r="OL5" t="s">
        <v>1766</v>
      </c>
      <c r="OO5" t="str">
        <f>_xll.BDS("CVS US Equity","SUPPLY_CHAIN_CUSTOMERS_ALL_DATA","cols=12;rows=5")</f>
        <v>3352Z US Equity</v>
      </c>
      <c r="OP5">
        <v>20</v>
      </c>
      <c r="OR5">
        <v>-2.4245362661989844E-14</v>
      </c>
      <c r="OS5" t="s">
        <v>1594</v>
      </c>
      <c r="OT5">
        <v>2025</v>
      </c>
      <c r="OU5" t="s">
        <v>3587</v>
      </c>
      <c r="OV5" s="6">
        <v>46063</v>
      </c>
      <c r="OW5">
        <v>5</v>
      </c>
      <c r="OX5">
        <v>20103350272</v>
      </c>
      <c r="OY5">
        <v>218252</v>
      </c>
      <c r="OZ5" t="s">
        <v>1622</v>
      </c>
      <c r="PE5" t="str">
        <f>_xll.BDS("TMUS US Equity","SUPPLY_CHAIN_SUPPLIERS_ALL_DATA","cols=12;rows=5")</f>
        <v>AAPL US Equity</v>
      </c>
      <c r="PF5" t="s">
        <v>1598</v>
      </c>
      <c r="PG5">
        <v>0.96353</v>
      </c>
      <c r="PH5">
        <v>12.456792</v>
      </c>
      <c r="PI5" t="s">
        <v>1664</v>
      </c>
      <c r="PJ5">
        <v>2025</v>
      </c>
      <c r="PK5" t="s">
        <v>3471</v>
      </c>
      <c r="PL5" s="6">
        <v>45863</v>
      </c>
      <c r="PM5">
        <v>5</v>
      </c>
      <c r="PN5">
        <v>918812992</v>
      </c>
      <c r="PO5">
        <v>101695</v>
      </c>
      <c r="PP5" t="s">
        <v>1919</v>
      </c>
      <c r="PS5" t="str">
        <f>_xll.BDS("TMUS US Equity","SUPPLY_CHAIN_CUSTOMERS_ALL_DATA","cols=12;rows=5")</f>
        <v>SNX US Equity</v>
      </c>
      <c r="PT5">
        <v>0.48390699999999998</v>
      </c>
      <c r="PU5" t="s">
        <v>1598</v>
      </c>
      <c r="PV5">
        <v>0.65650600000000003</v>
      </c>
      <c r="PW5" t="s">
        <v>1606</v>
      </c>
      <c r="PX5">
        <v>2025</v>
      </c>
      <c r="PY5" t="s">
        <v>1701</v>
      </c>
      <c r="PZ5" s="6">
        <v>46056</v>
      </c>
      <c r="QA5">
        <v>5</v>
      </c>
      <c r="QB5">
        <v>106251488</v>
      </c>
      <c r="QC5">
        <v>1499717</v>
      </c>
      <c r="QD5" t="s">
        <v>1702</v>
      </c>
      <c r="QI5" t="str">
        <f>_xll.BDS("T US Equity","SUPPLY_CHAIN_SUPPLIERS_ALL_DATA","cols=12;rows=5")</f>
        <v>AAPL US Equity</v>
      </c>
      <c r="QJ5" t="s">
        <v>1598</v>
      </c>
      <c r="QK5">
        <v>1.2812509999999999</v>
      </c>
      <c r="QL5">
        <v>9.9289989999999992</v>
      </c>
      <c r="QM5" t="s">
        <v>1664</v>
      </c>
      <c r="QN5">
        <v>2025</v>
      </c>
      <c r="QO5" t="s">
        <v>3183</v>
      </c>
      <c r="QP5" s="6">
        <v>45863</v>
      </c>
      <c r="QQ5">
        <v>5</v>
      </c>
      <c r="QR5">
        <v>1221788160</v>
      </c>
      <c r="QS5">
        <v>101695</v>
      </c>
      <c r="QT5" t="s">
        <v>1919</v>
      </c>
      <c r="QW5" t="str">
        <f>_xll.BDS("T US Equity","SUPPLY_CHAIN_CUSTOMERS_ALL_DATA","cols=12;rows=5")</f>
        <v>IBM US Equity</v>
      </c>
      <c r="QX5">
        <v>0.86485599999999996</v>
      </c>
      <c r="QY5" t="s">
        <v>1598</v>
      </c>
      <c r="QZ5">
        <v>4.0630959999999998</v>
      </c>
      <c r="RA5" t="s">
        <v>1603</v>
      </c>
      <c r="RB5">
        <v>2025</v>
      </c>
      <c r="RC5" t="s">
        <v>1744</v>
      </c>
      <c r="RD5" s="6">
        <v>45797</v>
      </c>
      <c r="RE5">
        <v>5</v>
      </c>
      <c r="RF5">
        <v>264507552</v>
      </c>
      <c r="RG5">
        <v>100801</v>
      </c>
      <c r="RH5" t="s">
        <v>1745</v>
      </c>
      <c r="RM5" t="str">
        <f>_xll.BDS("T US Equity","SUPPLY_CHAIN_SUPPLIERS_ALL_DATA","cols=12;rows=5")</f>
        <v>AAPL US Equity</v>
      </c>
      <c r="RN5" t="s">
        <v>1598</v>
      </c>
      <c r="RO5">
        <v>1.2812509999999999</v>
      </c>
      <c r="RP5">
        <v>9.9289989999999992</v>
      </c>
      <c r="RQ5" t="s">
        <v>1664</v>
      </c>
      <c r="RR5">
        <v>2025</v>
      </c>
      <c r="RS5" t="s">
        <v>3183</v>
      </c>
      <c r="RT5" s="6">
        <v>45863</v>
      </c>
      <c r="RU5">
        <v>5</v>
      </c>
      <c r="RV5">
        <v>1221788160</v>
      </c>
      <c r="RW5">
        <v>101695</v>
      </c>
      <c r="RX5" t="s">
        <v>1919</v>
      </c>
      <c r="SA5" t="str">
        <f>_xll.BDS("T US Equity","SUPPLY_CHAIN_CUSTOMERS_ALL_DATA","cols=12;rows=5")</f>
        <v>IBM US Equity</v>
      </c>
      <c r="SB5">
        <v>0.86485599999999996</v>
      </c>
      <c r="SC5" t="s">
        <v>1598</v>
      </c>
      <c r="SD5">
        <v>4.0630959999999998</v>
      </c>
      <c r="SE5" t="s">
        <v>1603</v>
      </c>
      <c r="SF5">
        <v>2025</v>
      </c>
      <c r="SG5" t="s">
        <v>1744</v>
      </c>
      <c r="SH5" s="6">
        <v>45797</v>
      </c>
      <c r="SI5">
        <v>5</v>
      </c>
      <c r="SJ5">
        <v>264507552</v>
      </c>
      <c r="SK5">
        <v>100801</v>
      </c>
      <c r="SL5" t="s">
        <v>1745</v>
      </c>
      <c r="SQ5" t="str">
        <f>_xll.BDS("DD US Equity","SUPPLY_CHAIN_SUPPLIERS_ALL_DATA","cols=12;rows=5")</f>
        <v>900909 CH Equity</v>
      </c>
      <c r="SR5" t="s">
        <v>1598</v>
      </c>
      <c r="SS5">
        <v>0.65608200000000005</v>
      </c>
      <c r="ST5">
        <v>0.55485600000000002</v>
      </c>
      <c r="SU5" t="s">
        <v>1792</v>
      </c>
      <c r="SV5">
        <v>2025</v>
      </c>
      <c r="SW5" t="s">
        <v>2082</v>
      </c>
      <c r="SX5" s="6">
        <v>45894</v>
      </c>
      <c r="SY5">
        <v>5</v>
      </c>
      <c r="SZ5">
        <v>10942894</v>
      </c>
      <c r="TA5">
        <v>116630</v>
      </c>
      <c r="TB5" t="s">
        <v>2083</v>
      </c>
      <c r="TE5" t="str">
        <f>_xll.BDS("DD US Equity","SUPPLY_CHAIN_CUSTOMERS_ALL_DATA","cols=12;rows=5")</f>
        <v>AIR FP Equity</v>
      </c>
      <c r="TF5">
        <v>3.8555679999999999</v>
      </c>
      <c r="TG5" t="s">
        <v>1598</v>
      </c>
      <c r="TH5">
        <v>0.80846600000000002</v>
      </c>
      <c r="TI5" t="s">
        <v>1664</v>
      </c>
      <c r="TJ5">
        <v>2025</v>
      </c>
      <c r="TK5" t="s">
        <v>1733</v>
      </c>
      <c r="TL5" s="6">
        <v>45947</v>
      </c>
      <c r="TM5">
        <v>5</v>
      </c>
      <c r="TN5">
        <v>125575848</v>
      </c>
      <c r="TO5">
        <v>876285</v>
      </c>
      <c r="TP5" t="s">
        <v>1734</v>
      </c>
      <c r="TU5" t="str">
        <f>_xll.BDS("AGN US Equity","SUPPLY_CHAIN_SUPPLIERS_ALL_DATA","cols=12;rows=5")</f>
        <v>AEE US Equity</v>
      </c>
      <c r="TW5">
        <v>-2.4245362661989844E-14</v>
      </c>
      <c r="TX5">
        <v>-2.4245362661989844E-14</v>
      </c>
      <c r="TY5" t="s">
        <v>1594</v>
      </c>
      <c r="TZ5">
        <v>2021</v>
      </c>
      <c r="UA5" t="s">
        <v>2150</v>
      </c>
      <c r="UB5" s="6">
        <v>44693</v>
      </c>
      <c r="UC5">
        <v>5</v>
      </c>
      <c r="UD5">
        <v>-2.4245362661989844E-14</v>
      </c>
      <c r="UE5">
        <v>313098</v>
      </c>
      <c r="UF5" t="s">
        <v>2151</v>
      </c>
      <c r="UI5" t="str">
        <f>_xll.BDS("AGN US Equity","SUPPLY_CHAIN_CUSTOMERS_ALL_DATA","cols=12;rows=1")</f>
        <v>4569 JP Equity</v>
      </c>
      <c r="UJ5">
        <v>-2.4245362661989844E-14</v>
      </c>
      <c r="UL5">
        <v>-2.4245362661989844E-14</v>
      </c>
      <c r="UM5" t="s">
        <v>1594</v>
      </c>
      <c r="UN5">
        <v>2022</v>
      </c>
      <c r="UO5" t="s">
        <v>4037</v>
      </c>
      <c r="UP5" s="6">
        <v>44736</v>
      </c>
      <c r="UQ5">
        <v>1</v>
      </c>
      <c r="UR5">
        <v>-2.4245362661989844E-14</v>
      </c>
      <c r="US5">
        <v>10499395</v>
      </c>
      <c r="UT5" t="s">
        <v>4038</v>
      </c>
      <c r="UY5" t="str">
        <f>_xll.BDS("PFE US Equity","SUPPLY_CHAIN_SUPPLIERS_ALL_DATA","cols=12;rows=5")</f>
        <v>BNTX US Equity</v>
      </c>
      <c r="UZ5" t="s">
        <v>1598</v>
      </c>
      <c r="VA5">
        <v>73</v>
      </c>
      <c r="VB5">
        <v>12.187704999999999</v>
      </c>
      <c r="VC5" t="s">
        <v>1594</v>
      </c>
      <c r="VD5">
        <v>2024</v>
      </c>
      <c r="VE5" t="s">
        <v>3345</v>
      </c>
      <c r="VF5" s="6">
        <v>45726</v>
      </c>
      <c r="VG5">
        <v>5</v>
      </c>
      <c r="VH5">
        <v>544064265</v>
      </c>
      <c r="VI5">
        <v>65839686</v>
      </c>
      <c r="VJ5" t="s">
        <v>3346</v>
      </c>
      <c r="VM5" t="str">
        <f>_xll.BDS("PFE US Equity","SUPPLY_CHAIN_CUSTOMERS_ALL_DATA","cols=12;rows=5")</f>
        <v>MCK US Equity</v>
      </c>
      <c r="VN5">
        <v>25</v>
      </c>
      <c r="VO5" t="s">
        <v>1598</v>
      </c>
      <c r="VP5">
        <v>4.0761390000000004</v>
      </c>
      <c r="VQ5" t="s">
        <v>1594</v>
      </c>
      <c r="VR5">
        <v>2025</v>
      </c>
      <c r="VS5" t="s">
        <v>2824</v>
      </c>
      <c r="VT5" s="6">
        <v>46079</v>
      </c>
      <c r="VU5">
        <v>5</v>
      </c>
      <c r="VV5">
        <v>3911187456</v>
      </c>
      <c r="VW5">
        <v>154936</v>
      </c>
      <c r="VX5" t="s">
        <v>1766</v>
      </c>
    </row>
    <row r="6" spans="1:600" x14ac:dyDescent="0.25">
      <c r="AE6" t="s">
        <v>2376</v>
      </c>
      <c r="AF6" t="s">
        <v>1598</v>
      </c>
      <c r="AG6">
        <v>2.0413640000000002</v>
      </c>
      <c r="AH6">
        <v>9.0393749999999997</v>
      </c>
      <c r="AI6" t="s">
        <v>1664</v>
      </c>
      <c r="AJ6">
        <v>2025</v>
      </c>
      <c r="AK6" t="s">
        <v>3183</v>
      </c>
      <c r="AL6" s="6">
        <v>45863</v>
      </c>
      <c r="AM6">
        <v>5</v>
      </c>
      <c r="AN6">
        <v>1112317696</v>
      </c>
      <c r="AO6">
        <v>117929</v>
      </c>
      <c r="AP6" t="s">
        <v>2378</v>
      </c>
      <c r="AS6" t="s">
        <v>1700</v>
      </c>
      <c r="AT6">
        <v>0.112041</v>
      </c>
      <c r="AU6" t="s">
        <v>1598</v>
      </c>
      <c r="AV6">
        <v>0.211726</v>
      </c>
      <c r="AW6" t="s">
        <v>1606</v>
      </c>
      <c r="AX6">
        <v>2025</v>
      </c>
      <c r="AY6" t="s">
        <v>1701</v>
      </c>
      <c r="AZ6" s="6">
        <v>46056</v>
      </c>
      <c r="BA6">
        <v>5</v>
      </c>
      <c r="BB6">
        <v>34266560</v>
      </c>
      <c r="BC6">
        <v>1499717</v>
      </c>
      <c r="BD6" t="s">
        <v>1702</v>
      </c>
      <c r="BI6" t="s">
        <v>2981</v>
      </c>
      <c r="BJ6" t="s">
        <v>1598</v>
      </c>
      <c r="BK6">
        <v>24.639126000000001</v>
      </c>
      <c r="BL6">
        <v>1.5545880000000001</v>
      </c>
      <c r="BM6" t="s">
        <v>1664</v>
      </c>
      <c r="BN6">
        <v>2025</v>
      </c>
      <c r="BO6" t="s">
        <v>2982</v>
      </c>
      <c r="BP6" s="6">
        <v>45961</v>
      </c>
      <c r="BQ6">
        <v>5</v>
      </c>
      <c r="BR6">
        <v>275439546.58999997</v>
      </c>
      <c r="BS6">
        <v>47700205</v>
      </c>
      <c r="BT6" t="s">
        <v>2983</v>
      </c>
      <c r="BW6" t="s">
        <v>1732</v>
      </c>
      <c r="BX6">
        <v>14</v>
      </c>
      <c r="BY6" t="s">
        <v>1598</v>
      </c>
      <c r="BZ6">
        <v>18.408752</v>
      </c>
      <c r="CA6" t="s">
        <v>1594</v>
      </c>
      <c r="CB6">
        <v>2025</v>
      </c>
      <c r="CC6" t="s">
        <v>4803</v>
      </c>
      <c r="CD6" s="6">
        <v>46059</v>
      </c>
      <c r="CE6">
        <v>5</v>
      </c>
      <c r="CF6">
        <v>3101104896</v>
      </c>
      <c r="CG6">
        <v>876285</v>
      </c>
      <c r="CH6" t="s">
        <v>1734</v>
      </c>
      <c r="CM6" t="s">
        <v>2120</v>
      </c>
      <c r="CN6" t="s">
        <v>1598</v>
      </c>
      <c r="CO6">
        <v>25.6</v>
      </c>
      <c r="CP6">
        <v>5.8001680000000002</v>
      </c>
      <c r="CQ6" t="s">
        <v>1594</v>
      </c>
      <c r="CR6">
        <v>2025</v>
      </c>
      <c r="CS6" t="s">
        <v>2121</v>
      </c>
      <c r="CT6" s="6">
        <v>45827</v>
      </c>
      <c r="CU6">
        <v>5</v>
      </c>
      <c r="CV6">
        <v>204217368.44999999</v>
      </c>
      <c r="CW6">
        <v>114514</v>
      </c>
      <c r="CX6" t="s">
        <v>2122</v>
      </c>
      <c r="DA6" t="s">
        <v>959</v>
      </c>
      <c r="DB6">
        <v>29</v>
      </c>
      <c r="DC6" t="s">
        <v>1598</v>
      </c>
      <c r="DD6">
        <v>4.4540850000000001</v>
      </c>
      <c r="DE6" t="s">
        <v>1594</v>
      </c>
      <c r="DF6">
        <v>2025</v>
      </c>
      <c r="DG6" t="s">
        <v>1765</v>
      </c>
      <c r="DH6" s="6">
        <v>46064</v>
      </c>
      <c r="DI6">
        <v>5</v>
      </c>
      <c r="DJ6">
        <v>3494064896</v>
      </c>
      <c r="DK6">
        <v>156969</v>
      </c>
      <c r="DL6" t="s">
        <v>1767</v>
      </c>
      <c r="DQ6" t="s">
        <v>143</v>
      </c>
      <c r="DR6" t="s">
        <v>1598</v>
      </c>
      <c r="DS6">
        <v>0.22900000000000001</v>
      </c>
      <c r="DT6">
        <v>1.2800659999999999</v>
      </c>
      <c r="DU6" t="s">
        <v>1606</v>
      </c>
      <c r="DV6">
        <v>2025</v>
      </c>
      <c r="DW6" t="s">
        <v>2251</v>
      </c>
      <c r="DX6" s="6">
        <v>45848</v>
      </c>
      <c r="DY6">
        <v>5</v>
      </c>
      <c r="DZ6">
        <v>36417872</v>
      </c>
      <c r="EA6">
        <v>101752</v>
      </c>
      <c r="EB6" t="s">
        <v>2265</v>
      </c>
      <c r="EE6" t="s">
        <v>959</v>
      </c>
      <c r="EF6">
        <v>16</v>
      </c>
      <c r="EG6" t="s">
        <v>1598</v>
      </c>
      <c r="EH6">
        <v>3.190922</v>
      </c>
      <c r="EI6" t="s">
        <v>1594</v>
      </c>
      <c r="EJ6">
        <v>2025</v>
      </c>
      <c r="EK6" t="s">
        <v>2824</v>
      </c>
      <c r="EL6" s="6">
        <v>46079</v>
      </c>
      <c r="EM6">
        <v>5</v>
      </c>
      <c r="EN6">
        <v>2503160064</v>
      </c>
      <c r="EO6">
        <v>156969</v>
      </c>
      <c r="EP6" t="s">
        <v>1767</v>
      </c>
      <c r="EU6" t="s">
        <v>240</v>
      </c>
      <c r="EV6" t="s">
        <v>1598</v>
      </c>
      <c r="EW6">
        <v>1.0128140000000001</v>
      </c>
      <c r="EX6">
        <v>5.2406059999999997</v>
      </c>
      <c r="EY6" t="s">
        <v>1594</v>
      </c>
      <c r="EZ6">
        <v>2025</v>
      </c>
      <c r="FA6" t="s">
        <v>3798</v>
      </c>
      <c r="FB6" s="6">
        <v>46073</v>
      </c>
      <c r="FC6">
        <v>5</v>
      </c>
      <c r="FD6">
        <v>238499984</v>
      </c>
      <c r="FE6">
        <v>100828</v>
      </c>
      <c r="FF6" t="s">
        <v>1865</v>
      </c>
      <c r="FI6" t="s">
        <v>959</v>
      </c>
      <c r="FJ6">
        <v>22.158524</v>
      </c>
      <c r="FK6" t="s">
        <v>1598</v>
      </c>
      <c r="FL6">
        <v>4.4440090000000003</v>
      </c>
      <c r="FM6" t="s">
        <v>1606</v>
      </c>
      <c r="FN6">
        <v>2025</v>
      </c>
      <c r="FO6" t="s">
        <v>2220</v>
      </c>
      <c r="FP6" s="6">
        <v>46077</v>
      </c>
      <c r="FQ6">
        <v>5</v>
      </c>
      <c r="FR6">
        <v>3682303488</v>
      </c>
      <c r="FS6">
        <v>156969</v>
      </c>
      <c r="FT6" t="s">
        <v>1767</v>
      </c>
      <c r="FY6" t="s">
        <v>178</v>
      </c>
      <c r="FZ6" t="s">
        <v>1598</v>
      </c>
      <c r="GA6">
        <v>0.136354</v>
      </c>
      <c r="GB6">
        <v>0.64509000000000005</v>
      </c>
      <c r="GC6" t="s">
        <v>1599</v>
      </c>
      <c r="GD6">
        <v>2025</v>
      </c>
      <c r="GE6" t="s">
        <v>1735</v>
      </c>
      <c r="GF6" s="6">
        <v>45843</v>
      </c>
      <c r="GG6">
        <v>5</v>
      </c>
      <c r="GH6">
        <v>95537792</v>
      </c>
      <c r="GI6">
        <v>101743</v>
      </c>
      <c r="GJ6" t="s">
        <v>1736</v>
      </c>
      <c r="GM6" t="s">
        <v>1669</v>
      </c>
      <c r="GN6">
        <v>9.5786999999999997E-2</v>
      </c>
      <c r="GO6" t="s">
        <v>1598</v>
      </c>
      <c r="GP6">
        <v>0.115719</v>
      </c>
      <c r="GQ6" t="s">
        <v>1664</v>
      </c>
      <c r="GR6">
        <v>2025</v>
      </c>
      <c r="GS6" t="s">
        <v>1921</v>
      </c>
      <c r="GT6" s="6">
        <v>45919</v>
      </c>
      <c r="GU6">
        <v>5</v>
      </c>
      <c r="GV6">
        <v>22674200.559999999</v>
      </c>
      <c r="GW6">
        <v>115268</v>
      </c>
      <c r="GX6" t="s">
        <v>1670</v>
      </c>
      <c r="HC6" t="s">
        <v>2376</v>
      </c>
      <c r="HD6" t="s">
        <v>1598</v>
      </c>
      <c r="HE6">
        <v>2.0413640000000002</v>
      </c>
      <c r="HF6">
        <v>9.0393749999999997</v>
      </c>
      <c r="HG6" t="s">
        <v>1664</v>
      </c>
      <c r="HH6">
        <v>2025</v>
      </c>
      <c r="HI6" t="s">
        <v>3183</v>
      </c>
      <c r="HJ6" s="6">
        <v>45863</v>
      </c>
      <c r="HK6">
        <v>5</v>
      </c>
      <c r="HL6">
        <v>1112317696</v>
      </c>
      <c r="HM6">
        <v>117929</v>
      </c>
      <c r="HN6" t="s">
        <v>2378</v>
      </c>
      <c r="HQ6" t="s">
        <v>1700</v>
      </c>
      <c r="HR6">
        <v>0.112041</v>
      </c>
      <c r="HS6" t="s">
        <v>1598</v>
      </c>
      <c r="HT6">
        <v>0.211726</v>
      </c>
      <c r="HU6" t="s">
        <v>1606</v>
      </c>
      <c r="HV6">
        <v>2025</v>
      </c>
      <c r="HW6" t="s">
        <v>1701</v>
      </c>
      <c r="HX6" s="6">
        <v>46056</v>
      </c>
      <c r="HY6">
        <v>5</v>
      </c>
      <c r="HZ6">
        <v>34266560</v>
      </c>
      <c r="IA6">
        <v>1499717</v>
      </c>
      <c r="IB6" t="s">
        <v>1702</v>
      </c>
      <c r="IG6" t="s">
        <v>2408</v>
      </c>
      <c r="IH6" t="s">
        <v>1598</v>
      </c>
      <c r="II6">
        <v>30</v>
      </c>
      <c r="IJ6">
        <v>5.2016150000000003</v>
      </c>
      <c r="IK6" t="s">
        <v>1594</v>
      </c>
      <c r="IL6">
        <v>2024</v>
      </c>
      <c r="IM6" t="s">
        <v>5150</v>
      </c>
      <c r="IN6" s="6">
        <v>45716</v>
      </c>
      <c r="IO6">
        <v>5</v>
      </c>
      <c r="IP6">
        <v>3755474944</v>
      </c>
      <c r="IQ6">
        <v>13161367</v>
      </c>
      <c r="IR6" t="s">
        <v>2409</v>
      </c>
      <c r="IU6" t="s">
        <v>2413</v>
      </c>
      <c r="IV6">
        <v>0.174377</v>
      </c>
      <c r="IW6" t="s">
        <v>1598</v>
      </c>
      <c r="IX6">
        <v>4.7234530000000001</v>
      </c>
      <c r="IY6" t="s">
        <v>1664</v>
      </c>
      <c r="IZ6">
        <v>2025</v>
      </c>
      <c r="JA6" t="s">
        <v>4412</v>
      </c>
      <c r="JB6" s="6">
        <v>45944</v>
      </c>
      <c r="JC6">
        <v>5</v>
      </c>
      <c r="JD6">
        <v>154977288.11000001</v>
      </c>
      <c r="JE6">
        <v>1135366</v>
      </c>
      <c r="JF6" t="s">
        <v>2414</v>
      </c>
      <c r="KO6" t="s">
        <v>2376</v>
      </c>
      <c r="KP6" t="s">
        <v>1598</v>
      </c>
      <c r="KQ6">
        <v>2.370431</v>
      </c>
      <c r="KR6">
        <v>9.0958559999999995</v>
      </c>
      <c r="KS6" t="s">
        <v>1664</v>
      </c>
      <c r="KT6">
        <v>2025</v>
      </c>
      <c r="KU6" t="s">
        <v>2377</v>
      </c>
      <c r="KV6" s="6">
        <v>45952</v>
      </c>
      <c r="KW6">
        <v>5</v>
      </c>
      <c r="KX6">
        <v>1262769985.1900001</v>
      </c>
      <c r="KY6">
        <v>117929</v>
      </c>
      <c r="KZ6" t="s">
        <v>2378</v>
      </c>
      <c r="LC6" t="s">
        <v>1891</v>
      </c>
      <c r="LD6">
        <v>0.203543</v>
      </c>
      <c r="LE6" t="s">
        <v>1598</v>
      </c>
      <c r="LF6">
        <v>1.128412</v>
      </c>
      <c r="LG6" t="s">
        <v>1603</v>
      </c>
      <c r="LH6">
        <v>2025</v>
      </c>
      <c r="LI6" t="s">
        <v>1892</v>
      </c>
      <c r="LJ6" s="6">
        <v>45784</v>
      </c>
      <c r="LK6">
        <v>5</v>
      </c>
      <c r="LL6">
        <v>68156368</v>
      </c>
      <c r="LM6">
        <v>100115</v>
      </c>
      <c r="LN6" t="s">
        <v>1893</v>
      </c>
      <c r="LS6" t="s">
        <v>1084</v>
      </c>
      <c r="LT6" t="s">
        <v>1685</v>
      </c>
      <c r="LU6">
        <v>0.1295</v>
      </c>
      <c r="LV6">
        <v>5.6652000000000001E-2</v>
      </c>
      <c r="LW6" t="s">
        <v>1664</v>
      </c>
      <c r="LX6">
        <v>2025</v>
      </c>
      <c r="LY6" t="s">
        <v>2052</v>
      </c>
      <c r="LZ6" s="6">
        <v>45838</v>
      </c>
      <c r="MA6">
        <v>5</v>
      </c>
      <c r="MB6">
        <v>7605535</v>
      </c>
      <c r="MC6">
        <v>101689</v>
      </c>
      <c r="MD6" t="s">
        <v>2053</v>
      </c>
      <c r="MG6" t="s">
        <v>3664</v>
      </c>
      <c r="MH6">
        <v>-2.4245362661989844E-14</v>
      </c>
      <c r="MJ6">
        <v>-2.4245362661989844E-14</v>
      </c>
      <c r="MK6" t="s">
        <v>1594</v>
      </c>
      <c r="ML6">
        <v>2023</v>
      </c>
      <c r="MM6" t="s">
        <v>3665</v>
      </c>
      <c r="MN6" s="6">
        <v>45198</v>
      </c>
      <c r="MO6">
        <v>5</v>
      </c>
      <c r="MP6">
        <v>-2.4245362661989844E-14</v>
      </c>
      <c r="MQ6">
        <v>61660379</v>
      </c>
      <c r="MR6" t="s">
        <v>3666</v>
      </c>
      <c r="MW6" t="s">
        <v>3797</v>
      </c>
      <c r="MX6" t="s">
        <v>1598</v>
      </c>
      <c r="MY6">
        <v>3.9109850000000002</v>
      </c>
      <c r="MZ6">
        <v>1.193235</v>
      </c>
      <c r="NA6" t="s">
        <v>1664</v>
      </c>
      <c r="NB6">
        <v>2025</v>
      </c>
      <c r="NC6" t="s">
        <v>4868</v>
      </c>
      <c r="ND6" s="6">
        <v>45986</v>
      </c>
      <c r="NE6">
        <v>5</v>
      </c>
      <c r="NF6">
        <v>732156033.95000005</v>
      </c>
      <c r="NG6">
        <v>115785</v>
      </c>
      <c r="NH6" t="s">
        <v>3799</v>
      </c>
      <c r="NK6" t="s">
        <v>304</v>
      </c>
      <c r="NL6">
        <v>0.82464999999999999</v>
      </c>
      <c r="NM6" t="s">
        <v>1598</v>
      </c>
      <c r="NN6">
        <v>1.4172499999999999</v>
      </c>
      <c r="NO6" t="s">
        <v>1606</v>
      </c>
      <c r="NP6">
        <v>2025</v>
      </c>
      <c r="NQ6" t="s">
        <v>2450</v>
      </c>
      <c r="NR6" s="6">
        <v>46070</v>
      </c>
      <c r="NS6">
        <v>5</v>
      </c>
      <c r="NT6">
        <v>597640128</v>
      </c>
      <c r="NU6">
        <v>364913</v>
      </c>
      <c r="NV6" t="s">
        <v>4715</v>
      </c>
      <c r="OA6" t="s">
        <v>618</v>
      </c>
      <c r="OB6" t="s">
        <v>1598</v>
      </c>
      <c r="OC6">
        <v>30</v>
      </c>
      <c r="OD6">
        <v>20.040337000000001</v>
      </c>
      <c r="OE6" t="s">
        <v>1594</v>
      </c>
      <c r="OF6">
        <v>2025</v>
      </c>
      <c r="OG6" t="s">
        <v>1819</v>
      </c>
      <c r="OH6" s="6">
        <v>45881</v>
      </c>
      <c r="OI6">
        <v>5</v>
      </c>
      <c r="OJ6">
        <v>16693350400</v>
      </c>
      <c r="OK6">
        <v>102782</v>
      </c>
      <c r="OL6" t="s">
        <v>1626</v>
      </c>
      <c r="OO6" t="s">
        <v>1898</v>
      </c>
      <c r="OP6">
        <v>-2.4245362661989844E-14</v>
      </c>
      <c r="OR6">
        <v>-2.4245362661989844E-14</v>
      </c>
      <c r="OS6" t="s">
        <v>1594</v>
      </c>
      <c r="OT6">
        <v>2025</v>
      </c>
      <c r="OU6" t="s">
        <v>3588</v>
      </c>
      <c r="OV6" s="6">
        <v>45828</v>
      </c>
      <c r="OW6">
        <v>5</v>
      </c>
      <c r="OX6">
        <v>-2.4245362661989844E-14</v>
      </c>
      <c r="OY6">
        <v>20735187</v>
      </c>
      <c r="OZ6" t="s">
        <v>1900</v>
      </c>
      <c r="PE6" t="s">
        <v>2376</v>
      </c>
      <c r="PF6" t="s">
        <v>1598</v>
      </c>
      <c r="PG6">
        <v>1.532313</v>
      </c>
      <c r="PH6">
        <v>11.319699</v>
      </c>
      <c r="PI6" t="s">
        <v>1664</v>
      </c>
      <c r="PJ6">
        <v>2025</v>
      </c>
      <c r="PK6" t="s">
        <v>3471</v>
      </c>
      <c r="PL6" s="6">
        <v>45863</v>
      </c>
      <c r="PM6">
        <v>5</v>
      </c>
      <c r="PN6">
        <v>834940992</v>
      </c>
      <c r="PO6">
        <v>117929</v>
      </c>
      <c r="PP6" t="s">
        <v>2378</v>
      </c>
      <c r="PS6" t="s">
        <v>1679</v>
      </c>
      <c r="PT6">
        <v>0.12490800000000001</v>
      </c>
      <c r="PU6" t="s">
        <v>1598</v>
      </c>
      <c r="PV6">
        <v>0.63992199999999999</v>
      </c>
      <c r="PW6" t="s">
        <v>1603</v>
      </c>
      <c r="PX6">
        <v>2025</v>
      </c>
      <c r="PY6" t="s">
        <v>1680</v>
      </c>
      <c r="PZ6" s="6">
        <v>45820</v>
      </c>
      <c r="QA6">
        <v>5</v>
      </c>
      <c r="QB6">
        <v>26088340</v>
      </c>
      <c r="QC6">
        <v>12129192</v>
      </c>
      <c r="QD6" t="s">
        <v>1681</v>
      </c>
      <c r="QI6" t="s">
        <v>2376</v>
      </c>
      <c r="QJ6" t="s">
        <v>1598</v>
      </c>
      <c r="QK6">
        <v>2.0413640000000002</v>
      </c>
      <c r="QL6">
        <v>9.0393749999999997</v>
      </c>
      <c r="QM6" t="s">
        <v>1664</v>
      </c>
      <c r="QN6">
        <v>2025</v>
      </c>
      <c r="QO6" t="s">
        <v>3183</v>
      </c>
      <c r="QP6" s="6">
        <v>45863</v>
      </c>
      <c r="QQ6">
        <v>5</v>
      </c>
      <c r="QR6">
        <v>1112317696</v>
      </c>
      <c r="QS6">
        <v>117929</v>
      </c>
      <c r="QT6" t="s">
        <v>2378</v>
      </c>
      <c r="QW6" t="s">
        <v>1700</v>
      </c>
      <c r="QX6">
        <v>0.112041</v>
      </c>
      <c r="QY6" t="s">
        <v>1598</v>
      </c>
      <c r="QZ6">
        <v>0.211726</v>
      </c>
      <c r="RA6" t="s">
        <v>1606</v>
      </c>
      <c r="RB6">
        <v>2025</v>
      </c>
      <c r="RC6" t="s">
        <v>1701</v>
      </c>
      <c r="RD6" s="6">
        <v>46056</v>
      </c>
      <c r="RE6">
        <v>5</v>
      </c>
      <c r="RF6">
        <v>34266560</v>
      </c>
      <c r="RG6">
        <v>1499717</v>
      </c>
      <c r="RH6" t="s">
        <v>1702</v>
      </c>
      <c r="RM6" t="s">
        <v>2376</v>
      </c>
      <c r="RN6" t="s">
        <v>1598</v>
      </c>
      <c r="RO6">
        <v>2.0413640000000002</v>
      </c>
      <c r="RP6">
        <v>9.0393749999999997</v>
      </c>
      <c r="RQ6" t="s">
        <v>1664</v>
      </c>
      <c r="RR6">
        <v>2025</v>
      </c>
      <c r="RS6" t="s">
        <v>3183</v>
      </c>
      <c r="RT6" s="6">
        <v>45863</v>
      </c>
      <c r="RU6">
        <v>5</v>
      </c>
      <c r="RV6">
        <v>1112317696</v>
      </c>
      <c r="RW6">
        <v>117929</v>
      </c>
      <c r="RX6" t="s">
        <v>2378</v>
      </c>
      <c r="SA6" t="s">
        <v>1700</v>
      </c>
      <c r="SB6">
        <v>0.112041</v>
      </c>
      <c r="SC6" t="s">
        <v>1598</v>
      </c>
      <c r="SD6">
        <v>0.211726</v>
      </c>
      <c r="SE6" t="s">
        <v>1606</v>
      </c>
      <c r="SF6">
        <v>2025</v>
      </c>
      <c r="SG6" t="s">
        <v>1701</v>
      </c>
      <c r="SH6" s="6">
        <v>46056</v>
      </c>
      <c r="SI6">
        <v>5</v>
      </c>
      <c r="SJ6">
        <v>34266560</v>
      </c>
      <c r="SK6">
        <v>1499717</v>
      </c>
      <c r="SL6" t="s">
        <v>1702</v>
      </c>
      <c r="SQ6" t="s">
        <v>2084</v>
      </c>
      <c r="SR6" t="s">
        <v>1598</v>
      </c>
      <c r="SS6">
        <v>4.6310560000000001</v>
      </c>
      <c r="ST6">
        <v>0.48797499999999999</v>
      </c>
      <c r="SU6" t="s">
        <v>1664</v>
      </c>
      <c r="SV6">
        <v>2025</v>
      </c>
      <c r="SW6" t="s">
        <v>1733</v>
      </c>
      <c r="SX6" s="6">
        <v>45947</v>
      </c>
      <c r="SY6">
        <v>5</v>
      </c>
      <c r="SZ6">
        <v>9959570</v>
      </c>
      <c r="TA6">
        <v>157222</v>
      </c>
      <c r="TB6" t="s">
        <v>2085</v>
      </c>
      <c r="TE6" t="s">
        <v>178</v>
      </c>
      <c r="TF6">
        <v>1.606857</v>
      </c>
      <c r="TG6" t="s">
        <v>1598</v>
      </c>
      <c r="TH6">
        <v>0.22476499999999999</v>
      </c>
      <c r="TI6" t="s">
        <v>1599</v>
      </c>
      <c r="TJ6">
        <v>2025</v>
      </c>
      <c r="TK6" t="s">
        <v>1735</v>
      </c>
      <c r="TL6" s="6">
        <v>45843</v>
      </c>
      <c r="TM6">
        <v>5</v>
      </c>
      <c r="TN6">
        <v>49266240</v>
      </c>
      <c r="TO6">
        <v>101743</v>
      </c>
      <c r="TP6" t="s">
        <v>1736</v>
      </c>
      <c r="TU6" t="s">
        <v>2152</v>
      </c>
      <c r="TW6">
        <v>-2.4245362661989844E-14</v>
      </c>
      <c r="TX6">
        <v>-2.4245362661989844E-14</v>
      </c>
      <c r="TY6" t="s">
        <v>1594</v>
      </c>
      <c r="TZ6">
        <v>2021</v>
      </c>
      <c r="UA6" t="s">
        <v>2153</v>
      </c>
      <c r="UB6" s="6">
        <v>44693</v>
      </c>
      <c r="UC6">
        <v>5</v>
      </c>
      <c r="UD6">
        <v>-2.4245362661989844E-14</v>
      </c>
      <c r="UE6">
        <v>100060</v>
      </c>
      <c r="UF6" t="s">
        <v>2154</v>
      </c>
      <c r="UY6" t="s">
        <v>143</v>
      </c>
      <c r="UZ6" t="s">
        <v>1598</v>
      </c>
      <c r="VA6">
        <v>0.22900000000000001</v>
      </c>
      <c r="VB6">
        <v>1.2800659999999999</v>
      </c>
      <c r="VC6" t="s">
        <v>1606</v>
      </c>
      <c r="VD6">
        <v>2025</v>
      </c>
      <c r="VE6" t="s">
        <v>2251</v>
      </c>
      <c r="VF6" s="6">
        <v>45848</v>
      </c>
      <c r="VG6">
        <v>5</v>
      </c>
      <c r="VH6">
        <v>36417872</v>
      </c>
      <c r="VI6">
        <v>101752</v>
      </c>
      <c r="VJ6" t="s">
        <v>2265</v>
      </c>
      <c r="VM6" t="s">
        <v>959</v>
      </c>
      <c r="VN6">
        <v>16</v>
      </c>
      <c r="VO6" t="s">
        <v>1598</v>
      </c>
      <c r="VP6">
        <v>3.190922</v>
      </c>
      <c r="VQ6" t="s">
        <v>1594</v>
      </c>
      <c r="VR6">
        <v>2025</v>
      </c>
      <c r="VS6" t="s">
        <v>2824</v>
      </c>
      <c r="VT6" s="6">
        <v>46079</v>
      </c>
      <c r="VU6">
        <v>5</v>
      </c>
      <c r="VV6">
        <v>2503160064</v>
      </c>
      <c r="VW6">
        <v>156969</v>
      </c>
      <c r="VX6" t="s">
        <v>1767</v>
      </c>
    </row>
    <row r="7" spans="1:600" x14ac:dyDescent="0.25">
      <c r="AE7" t="s">
        <v>2383</v>
      </c>
      <c r="AF7" t="s">
        <v>1634</v>
      </c>
      <c r="AG7">
        <v>13.01698</v>
      </c>
      <c r="AH7">
        <v>13.663121</v>
      </c>
      <c r="AI7" t="s">
        <v>1599</v>
      </c>
      <c r="AJ7">
        <v>2025</v>
      </c>
      <c r="AK7" t="s">
        <v>2384</v>
      </c>
      <c r="AL7" s="6">
        <v>46029</v>
      </c>
      <c r="AM7">
        <v>5</v>
      </c>
      <c r="AN7">
        <v>769456564.02999997</v>
      </c>
      <c r="AO7">
        <v>115705</v>
      </c>
      <c r="AP7" t="s">
        <v>2385</v>
      </c>
      <c r="AS7" t="s">
        <v>1645</v>
      </c>
      <c r="AT7">
        <v>3.6669E-2</v>
      </c>
      <c r="AU7" t="s">
        <v>1598</v>
      </c>
      <c r="AV7">
        <v>1.85477</v>
      </c>
      <c r="AW7" t="s">
        <v>1599</v>
      </c>
      <c r="AX7">
        <v>2025</v>
      </c>
      <c r="AY7" t="s">
        <v>1897</v>
      </c>
      <c r="AZ7" s="6">
        <v>45840</v>
      </c>
      <c r="BA7">
        <v>5</v>
      </c>
      <c r="BB7">
        <v>11214774</v>
      </c>
      <c r="BC7">
        <v>136424</v>
      </c>
      <c r="BD7" t="s">
        <v>1647</v>
      </c>
      <c r="BI7" t="s">
        <v>2631</v>
      </c>
      <c r="BJ7" t="s">
        <v>1598</v>
      </c>
      <c r="BK7">
        <v>11</v>
      </c>
      <c r="BL7">
        <v>1.2818369999999999</v>
      </c>
      <c r="BM7" t="s">
        <v>1594</v>
      </c>
      <c r="BN7">
        <v>2025</v>
      </c>
      <c r="BO7" t="s">
        <v>2632</v>
      </c>
      <c r="BP7" s="6">
        <v>46065</v>
      </c>
      <c r="BQ7">
        <v>5</v>
      </c>
      <c r="BR7">
        <v>226930000</v>
      </c>
      <c r="BS7">
        <v>59099358</v>
      </c>
      <c r="BT7" t="s">
        <v>2633</v>
      </c>
      <c r="BW7" t="s">
        <v>872</v>
      </c>
      <c r="BX7">
        <v>5.3565009999999997</v>
      </c>
      <c r="BY7" t="s">
        <v>1598</v>
      </c>
      <c r="BZ7">
        <v>5.6905900000000003</v>
      </c>
      <c r="CA7" t="s">
        <v>1664</v>
      </c>
      <c r="CB7">
        <v>2025</v>
      </c>
      <c r="CC7" t="s">
        <v>2129</v>
      </c>
      <c r="CD7" s="6">
        <v>45895</v>
      </c>
      <c r="CE7">
        <v>5</v>
      </c>
      <c r="CF7">
        <v>1155986432</v>
      </c>
      <c r="CG7">
        <v>100211</v>
      </c>
      <c r="CH7" t="s">
        <v>1632</v>
      </c>
      <c r="CM7" t="s">
        <v>2123</v>
      </c>
      <c r="CN7" t="s">
        <v>1598</v>
      </c>
      <c r="CO7">
        <v>91.610000999999997</v>
      </c>
      <c r="CP7">
        <v>5.3039319999999996</v>
      </c>
      <c r="CQ7" t="s">
        <v>1594</v>
      </c>
      <c r="CR7">
        <v>2024</v>
      </c>
      <c r="CS7" t="s">
        <v>2124</v>
      </c>
      <c r="CT7" s="6">
        <v>45744</v>
      </c>
      <c r="CU7">
        <v>5</v>
      </c>
      <c r="CV7">
        <v>185227362.65000001</v>
      </c>
      <c r="CW7">
        <v>41186103</v>
      </c>
      <c r="CX7" t="s">
        <v>2125</v>
      </c>
      <c r="DA7" t="s">
        <v>618</v>
      </c>
      <c r="DB7">
        <v>22</v>
      </c>
      <c r="DC7" t="s">
        <v>1598</v>
      </c>
      <c r="DD7">
        <v>4.4996770000000001</v>
      </c>
      <c r="DE7" t="s">
        <v>1594</v>
      </c>
      <c r="DF7">
        <v>2025</v>
      </c>
      <c r="DG7" t="s">
        <v>1765</v>
      </c>
      <c r="DH7" s="6">
        <v>46064</v>
      </c>
      <c r="DI7">
        <v>5</v>
      </c>
      <c r="DJ7">
        <v>2650670080</v>
      </c>
      <c r="DK7">
        <v>102782</v>
      </c>
      <c r="DL7" t="s">
        <v>1626</v>
      </c>
      <c r="DQ7" t="s">
        <v>3347</v>
      </c>
      <c r="DR7" t="s">
        <v>1598</v>
      </c>
      <c r="DS7">
        <v>3.7231350000000001</v>
      </c>
      <c r="DT7">
        <v>0.80518199999999995</v>
      </c>
      <c r="DU7" t="s">
        <v>1599</v>
      </c>
      <c r="DV7">
        <v>2025</v>
      </c>
      <c r="DW7" t="s">
        <v>3348</v>
      </c>
      <c r="DX7" s="6">
        <v>46069</v>
      </c>
      <c r="DY7">
        <v>5</v>
      </c>
      <c r="DZ7">
        <v>33600181.100000001</v>
      </c>
      <c r="EA7">
        <v>153809</v>
      </c>
      <c r="EB7" t="s">
        <v>3349</v>
      </c>
      <c r="EE7" t="s">
        <v>618</v>
      </c>
      <c r="EF7">
        <v>13</v>
      </c>
      <c r="EG7" t="s">
        <v>1598</v>
      </c>
      <c r="EH7">
        <v>3.4525320000000002</v>
      </c>
      <c r="EI7" t="s">
        <v>1594</v>
      </c>
      <c r="EJ7">
        <v>2025</v>
      </c>
      <c r="EK7" t="s">
        <v>2824</v>
      </c>
      <c r="EL7" s="6">
        <v>46079</v>
      </c>
      <c r="EM7">
        <v>5</v>
      </c>
      <c r="EN7">
        <v>2033817472</v>
      </c>
      <c r="EO7">
        <v>102782</v>
      </c>
      <c r="EP7" t="s">
        <v>1626</v>
      </c>
      <c r="EU7" t="s">
        <v>3800</v>
      </c>
      <c r="EV7" t="s">
        <v>1598</v>
      </c>
      <c r="EW7">
        <v>26.6</v>
      </c>
      <c r="EX7">
        <v>3.6498819999999998</v>
      </c>
      <c r="EY7" t="s">
        <v>1594</v>
      </c>
      <c r="EZ7">
        <v>2024</v>
      </c>
      <c r="FA7" t="s">
        <v>3801</v>
      </c>
      <c r="FB7" s="6">
        <v>45776</v>
      </c>
      <c r="FC7">
        <v>5</v>
      </c>
      <c r="FD7">
        <v>156371186.99000001</v>
      </c>
      <c r="FE7">
        <v>159134</v>
      </c>
      <c r="FF7" t="s">
        <v>3802</v>
      </c>
      <c r="FI7" t="s">
        <v>618</v>
      </c>
      <c r="FJ7">
        <v>18.560427000000001</v>
      </c>
      <c r="FK7" t="s">
        <v>1598</v>
      </c>
      <c r="FL7">
        <v>4.8780200000000002</v>
      </c>
      <c r="FM7" t="s">
        <v>1606</v>
      </c>
      <c r="FN7">
        <v>2025</v>
      </c>
      <c r="FO7" t="s">
        <v>2220</v>
      </c>
      <c r="FP7" s="6">
        <v>46077</v>
      </c>
      <c r="FQ7">
        <v>5</v>
      </c>
      <c r="FR7">
        <v>3084371712</v>
      </c>
      <c r="FS7">
        <v>102782</v>
      </c>
      <c r="FT7" t="s">
        <v>1626</v>
      </c>
      <c r="FY7" t="s">
        <v>2326</v>
      </c>
      <c r="FZ7" t="s">
        <v>1598</v>
      </c>
      <c r="GA7">
        <v>8.6999999999999993</v>
      </c>
      <c r="GB7">
        <v>0.35915200000000003</v>
      </c>
      <c r="GC7" t="s">
        <v>1594</v>
      </c>
      <c r="GD7">
        <v>2024</v>
      </c>
      <c r="GE7" t="s">
        <v>2327</v>
      </c>
      <c r="GF7" s="6">
        <v>45716</v>
      </c>
      <c r="GG7">
        <v>5</v>
      </c>
      <c r="GH7">
        <v>52541236</v>
      </c>
      <c r="GI7">
        <v>33838804</v>
      </c>
      <c r="GJ7" t="s">
        <v>2328</v>
      </c>
      <c r="GM7" t="s">
        <v>1703</v>
      </c>
      <c r="GN7">
        <v>2.0863E-2</v>
      </c>
      <c r="GO7" t="s">
        <v>1598</v>
      </c>
      <c r="GP7">
        <v>0.187834</v>
      </c>
      <c r="GQ7" t="s">
        <v>1599</v>
      </c>
      <c r="GR7">
        <v>2025</v>
      </c>
      <c r="GS7" t="s">
        <v>1704</v>
      </c>
      <c r="GT7" s="6">
        <v>45694</v>
      </c>
      <c r="GU7">
        <v>5</v>
      </c>
      <c r="GV7">
        <v>5247564.7699999996</v>
      </c>
      <c r="GW7">
        <v>111827</v>
      </c>
      <c r="GX7" t="s">
        <v>1705</v>
      </c>
      <c r="HC7" t="s">
        <v>2383</v>
      </c>
      <c r="HD7" t="s">
        <v>1634</v>
      </c>
      <c r="HE7">
        <v>13.01698</v>
      </c>
      <c r="HF7">
        <v>13.663121</v>
      </c>
      <c r="HG7" t="s">
        <v>1599</v>
      </c>
      <c r="HH7">
        <v>2025</v>
      </c>
      <c r="HI7" t="s">
        <v>2384</v>
      </c>
      <c r="HJ7" s="6">
        <v>46029</v>
      </c>
      <c r="HK7">
        <v>5</v>
      </c>
      <c r="HL7">
        <v>769456564.02999997</v>
      </c>
      <c r="HM7">
        <v>115705</v>
      </c>
      <c r="HN7" t="s">
        <v>2385</v>
      </c>
      <c r="HQ7" t="s">
        <v>1645</v>
      </c>
      <c r="HR7">
        <v>3.6669E-2</v>
      </c>
      <c r="HS7" t="s">
        <v>1598</v>
      </c>
      <c r="HT7">
        <v>1.85477</v>
      </c>
      <c r="HU7" t="s">
        <v>1599</v>
      </c>
      <c r="HV7">
        <v>2025</v>
      </c>
      <c r="HW7" t="s">
        <v>1897</v>
      </c>
      <c r="HX7" s="6">
        <v>45840</v>
      </c>
      <c r="HY7">
        <v>5</v>
      </c>
      <c r="HZ7">
        <v>11214774</v>
      </c>
      <c r="IA7">
        <v>136424</v>
      </c>
      <c r="IB7" t="s">
        <v>1647</v>
      </c>
      <c r="IG7" t="s">
        <v>4942</v>
      </c>
      <c r="IH7" t="s">
        <v>1598</v>
      </c>
      <c r="II7">
        <v>24.014828000000001</v>
      </c>
      <c r="IJ7">
        <v>2.9631460000000001</v>
      </c>
      <c r="IK7" t="s">
        <v>1594</v>
      </c>
      <c r="IL7">
        <v>2024</v>
      </c>
      <c r="IM7" t="s">
        <v>4943</v>
      </c>
      <c r="IN7" s="6">
        <v>45707</v>
      </c>
      <c r="IO7">
        <v>5</v>
      </c>
      <c r="IP7">
        <v>2139919718.28</v>
      </c>
      <c r="IQ7">
        <v>104669</v>
      </c>
      <c r="IR7" t="s">
        <v>4944</v>
      </c>
      <c r="IU7" t="s">
        <v>3565</v>
      </c>
      <c r="IV7">
        <v>3.9305E-2</v>
      </c>
      <c r="IW7" t="s">
        <v>1598</v>
      </c>
      <c r="IX7">
        <v>1.0752060000000001</v>
      </c>
      <c r="IY7" t="s">
        <v>1664</v>
      </c>
      <c r="IZ7">
        <v>2025</v>
      </c>
      <c r="JA7" t="s">
        <v>3566</v>
      </c>
      <c r="JB7" s="6">
        <v>45882</v>
      </c>
      <c r="JC7">
        <v>5</v>
      </c>
      <c r="JD7">
        <v>33330697.18</v>
      </c>
      <c r="JE7">
        <v>115777</v>
      </c>
      <c r="JF7" t="s">
        <v>3567</v>
      </c>
      <c r="KO7" t="s">
        <v>428</v>
      </c>
      <c r="KP7" t="s">
        <v>1598</v>
      </c>
      <c r="KQ7">
        <v>14</v>
      </c>
      <c r="KR7">
        <v>2.6252870000000001</v>
      </c>
      <c r="KS7" t="s">
        <v>1594</v>
      </c>
      <c r="KT7">
        <v>2025</v>
      </c>
      <c r="KU7" t="s">
        <v>2379</v>
      </c>
      <c r="KV7" s="6">
        <v>46077</v>
      </c>
      <c r="KW7">
        <v>5</v>
      </c>
      <c r="KX7">
        <v>372560992</v>
      </c>
      <c r="KY7">
        <v>210870</v>
      </c>
      <c r="KZ7" t="s">
        <v>2380</v>
      </c>
      <c r="LC7" t="s">
        <v>1679</v>
      </c>
      <c r="LD7">
        <v>0.11801499999999999</v>
      </c>
      <c r="LE7" t="s">
        <v>1598</v>
      </c>
      <c r="LF7">
        <v>0.96932300000000005</v>
      </c>
      <c r="LG7" t="s">
        <v>1603</v>
      </c>
      <c r="LH7">
        <v>2025</v>
      </c>
      <c r="LI7" t="s">
        <v>1680</v>
      </c>
      <c r="LJ7" s="6">
        <v>45820</v>
      </c>
      <c r="LK7">
        <v>5</v>
      </c>
      <c r="LL7">
        <v>39517360</v>
      </c>
      <c r="LM7">
        <v>12129192</v>
      </c>
      <c r="LN7" t="s">
        <v>1681</v>
      </c>
      <c r="LS7" t="s">
        <v>3333</v>
      </c>
      <c r="LT7" t="s">
        <v>1685</v>
      </c>
      <c r="LU7">
        <v>0.91660699999999995</v>
      </c>
      <c r="LV7">
        <v>2.2012E-2</v>
      </c>
      <c r="LW7" t="s">
        <v>1606</v>
      </c>
      <c r="LX7">
        <v>2024</v>
      </c>
      <c r="LY7" t="s">
        <v>3334</v>
      </c>
      <c r="LZ7" s="6">
        <v>45776</v>
      </c>
      <c r="MA7">
        <v>5</v>
      </c>
      <c r="MB7">
        <v>2902454</v>
      </c>
      <c r="MC7">
        <v>171490</v>
      </c>
      <c r="MD7" t="s">
        <v>3335</v>
      </c>
      <c r="MG7" t="s">
        <v>3667</v>
      </c>
      <c r="MH7">
        <v>-2.4245362661989844E-14</v>
      </c>
      <c r="MJ7">
        <v>-2.4245362661989844E-14</v>
      </c>
      <c r="MK7" t="s">
        <v>1594</v>
      </c>
      <c r="ML7">
        <v>2023</v>
      </c>
      <c r="MM7" t="s">
        <v>3665</v>
      </c>
      <c r="MN7" s="6">
        <v>45188</v>
      </c>
      <c r="MO7">
        <v>5</v>
      </c>
      <c r="MP7">
        <v>-2.4245362661989844E-14</v>
      </c>
      <c r="MQ7">
        <v>71227770</v>
      </c>
      <c r="MR7" t="s">
        <v>3668</v>
      </c>
      <c r="MW7" t="s">
        <v>240</v>
      </c>
      <c r="MX7" t="s">
        <v>1598</v>
      </c>
      <c r="MY7">
        <v>2.966253</v>
      </c>
      <c r="MZ7">
        <v>1.12304</v>
      </c>
      <c r="NA7" t="s">
        <v>1599</v>
      </c>
      <c r="NB7">
        <v>2025</v>
      </c>
      <c r="NC7" t="s">
        <v>2219</v>
      </c>
      <c r="ND7" s="6">
        <v>46018</v>
      </c>
      <c r="NE7">
        <v>5</v>
      </c>
      <c r="NF7">
        <v>711693056</v>
      </c>
      <c r="NG7">
        <v>100828</v>
      </c>
      <c r="NH7" t="s">
        <v>1865</v>
      </c>
      <c r="NK7" t="s">
        <v>1615</v>
      </c>
      <c r="NL7">
        <v>-2.4245362661989844E-14</v>
      </c>
      <c r="NN7">
        <v>-2.4245362661989844E-14</v>
      </c>
      <c r="NO7" t="s">
        <v>1594</v>
      </c>
      <c r="NP7">
        <v>2025</v>
      </c>
      <c r="NQ7" t="s">
        <v>4716</v>
      </c>
      <c r="NR7" s="6">
        <v>46079</v>
      </c>
      <c r="NS7">
        <v>5</v>
      </c>
      <c r="NT7">
        <v>-2.4245362661989844E-14</v>
      </c>
      <c r="NU7">
        <v>962205</v>
      </c>
      <c r="NV7" t="s">
        <v>1617</v>
      </c>
      <c r="OA7" t="s">
        <v>72</v>
      </c>
      <c r="OB7" t="s">
        <v>1598</v>
      </c>
      <c r="OC7">
        <v>3.3501690000000002</v>
      </c>
      <c r="OD7">
        <v>0.82735300000000001</v>
      </c>
      <c r="OE7" t="s">
        <v>1606</v>
      </c>
      <c r="OF7">
        <v>2025</v>
      </c>
      <c r="OG7" t="s">
        <v>2670</v>
      </c>
      <c r="OH7" s="6">
        <v>45883</v>
      </c>
      <c r="OI7">
        <v>5</v>
      </c>
      <c r="OJ7">
        <v>705914112</v>
      </c>
      <c r="OK7">
        <v>101215</v>
      </c>
      <c r="OL7" t="s">
        <v>1868</v>
      </c>
      <c r="OO7" t="s">
        <v>1901</v>
      </c>
      <c r="OP7">
        <v>-2.4245362661989844E-14</v>
      </c>
      <c r="OR7">
        <v>-2.4245362661989844E-14</v>
      </c>
      <c r="OS7" t="s">
        <v>1594</v>
      </c>
      <c r="OT7">
        <v>2025</v>
      </c>
      <c r="OU7" t="s">
        <v>3588</v>
      </c>
      <c r="OV7" s="6">
        <v>45828</v>
      </c>
      <c r="OW7">
        <v>5</v>
      </c>
      <c r="OX7">
        <v>-2.4245362661989844E-14</v>
      </c>
      <c r="OY7">
        <v>31261592</v>
      </c>
      <c r="OZ7" t="s">
        <v>1902</v>
      </c>
      <c r="PE7" t="s">
        <v>686</v>
      </c>
      <c r="PF7" t="s">
        <v>1598</v>
      </c>
      <c r="PG7">
        <v>35</v>
      </c>
      <c r="PH7">
        <v>7.7523350000000004</v>
      </c>
      <c r="PI7" t="s">
        <v>1594</v>
      </c>
      <c r="PJ7">
        <v>2024</v>
      </c>
      <c r="PK7" t="s">
        <v>3472</v>
      </c>
      <c r="PL7" s="6">
        <v>45730</v>
      </c>
      <c r="PM7">
        <v>5</v>
      </c>
      <c r="PN7">
        <v>574700032</v>
      </c>
      <c r="PO7">
        <v>307493</v>
      </c>
      <c r="PP7" t="s">
        <v>3473</v>
      </c>
      <c r="PS7" t="s">
        <v>4653</v>
      </c>
      <c r="PT7">
        <v>9.0591000000000005E-2</v>
      </c>
      <c r="PU7" t="s">
        <v>1598</v>
      </c>
      <c r="PV7">
        <v>7.6550999999999994E-2</v>
      </c>
      <c r="PW7" t="s">
        <v>1594</v>
      </c>
      <c r="PX7">
        <v>2025</v>
      </c>
      <c r="PY7" t="s">
        <v>5245</v>
      </c>
      <c r="PZ7" s="6">
        <v>46064</v>
      </c>
      <c r="QA7">
        <v>5</v>
      </c>
      <c r="QB7">
        <v>20000000</v>
      </c>
      <c r="QC7">
        <v>180556</v>
      </c>
      <c r="QD7" t="s">
        <v>4654</v>
      </c>
      <c r="QI7" t="s">
        <v>2383</v>
      </c>
      <c r="QJ7" t="s">
        <v>1634</v>
      </c>
      <c r="QK7">
        <v>13.01698</v>
      </c>
      <c r="QL7">
        <v>13.663121</v>
      </c>
      <c r="QM7" t="s">
        <v>1599</v>
      </c>
      <c r="QN7">
        <v>2025</v>
      </c>
      <c r="QO7" t="s">
        <v>2384</v>
      </c>
      <c r="QP7" s="6">
        <v>46029</v>
      </c>
      <c r="QQ7">
        <v>5</v>
      </c>
      <c r="QR7">
        <v>769456564.02999997</v>
      </c>
      <c r="QS7">
        <v>115705</v>
      </c>
      <c r="QT7" t="s">
        <v>2385</v>
      </c>
      <c r="QW7" t="s">
        <v>1645</v>
      </c>
      <c r="QX7">
        <v>3.6669E-2</v>
      </c>
      <c r="QY7" t="s">
        <v>1598</v>
      </c>
      <c r="QZ7">
        <v>1.85477</v>
      </c>
      <c r="RA7" t="s">
        <v>1599</v>
      </c>
      <c r="RB7">
        <v>2025</v>
      </c>
      <c r="RC7" t="s">
        <v>1897</v>
      </c>
      <c r="RD7" s="6">
        <v>45840</v>
      </c>
      <c r="RE7">
        <v>5</v>
      </c>
      <c r="RF7">
        <v>11214774</v>
      </c>
      <c r="RG7">
        <v>136424</v>
      </c>
      <c r="RH7" t="s">
        <v>1647</v>
      </c>
      <c r="RM7" t="s">
        <v>2383</v>
      </c>
      <c r="RN7" t="s">
        <v>1634</v>
      </c>
      <c r="RO7">
        <v>13.01698</v>
      </c>
      <c r="RP7">
        <v>13.663121</v>
      </c>
      <c r="RQ7" t="s">
        <v>1599</v>
      </c>
      <c r="RR7">
        <v>2025</v>
      </c>
      <c r="RS7" t="s">
        <v>2384</v>
      </c>
      <c r="RT7" s="6">
        <v>46029</v>
      </c>
      <c r="RU7">
        <v>5</v>
      </c>
      <c r="RV7">
        <v>769456564.02999997</v>
      </c>
      <c r="RW7">
        <v>115705</v>
      </c>
      <c r="RX7" t="s">
        <v>2385</v>
      </c>
      <c r="SA7" t="s">
        <v>1645</v>
      </c>
      <c r="SB7">
        <v>3.6669E-2</v>
      </c>
      <c r="SC7" t="s">
        <v>1598</v>
      </c>
      <c r="SD7">
        <v>1.85477</v>
      </c>
      <c r="SE7" t="s">
        <v>1599</v>
      </c>
      <c r="SF7">
        <v>2025</v>
      </c>
      <c r="SG7" t="s">
        <v>1897</v>
      </c>
      <c r="SH7" s="6">
        <v>45840</v>
      </c>
      <c r="SI7">
        <v>5</v>
      </c>
      <c r="SJ7">
        <v>11214774</v>
      </c>
      <c r="SK7">
        <v>136424</v>
      </c>
      <c r="SL7" t="s">
        <v>1647</v>
      </c>
      <c r="SQ7" t="s">
        <v>2086</v>
      </c>
      <c r="SR7" t="s">
        <v>1598</v>
      </c>
      <c r="SS7">
        <v>1.022999</v>
      </c>
      <c r="ST7">
        <v>0.223414</v>
      </c>
      <c r="SU7" t="s">
        <v>1664</v>
      </c>
      <c r="SV7">
        <v>2025</v>
      </c>
      <c r="SW7" t="s">
        <v>1733</v>
      </c>
      <c r="SX7" s="6">
        <v>45947</v>
      </c>
      <c r="SY7">
        <v>5</v>
      </c>
      <c r="SZ7">
        <v>4559880</v>
      </c>
      <c r="TA7">
        <v>17048425</v>
      </c>
      <c r="TB7" t="s">
        <v>2087</v>
      </c>
      <c r="TE7" t="s">
        <v>341</v>
      </c>
      <c r="TF7">
        <v>0.88662700000000005</v>
      </c>
      <c r="TG7" t="s">
        <v>1598</v>
      </c>
      <c r="TH7">
        <v>0.85050899999999996</v>
      </c>
      <c r="TI7" t="s">
        <v>1664</v>
      </c>
      <c r="TJ7">
        <v>2025</v>
      </c>
      <c r="TK7" t="s">
        <v>1737</v>
      </c>
      <c r="TL7" s="6">
        <v>45869</v>
      </c>
      <c r="TM7">
        <v>5</v>
      </c>
      <c r="TN7">
        <v>27183968</v>
      </c>
      <c r="TO7">
        <v>101341</v>
      </c>
      <c r="TP7" t="s">
        <v>1738</v>
      </c>
      <c r="TU7" t="s">
        <v>810</v>
      </c>
      <c r="TW7">
        <v>-2.4245362661989844E-14</v>
      </c>
      <c r="TX7">
        <v>-2.4245362661989844E-14</v>
      </c>
      <c r="TY7" t="s">
        <v>1594</v>
      </c>
      <c r="TZ7">
        <v>2021</v>
      </c>
      <c r="UA7" t="s">
        <v>2346</v>
      </c>
      <c r="UB7" s="6">
        <v>44693</v>
      </c>
      <c r="UC7">
        <v>5</v>
      </c>
      <c r="UD7">
        <v>-2.4245362661989844E-14</v>
      </c>
      <c r="UE7">
        <v>101690</v>
      </c>
      <c r="UF7" t="s">
        <v>2347</v>
      </c>
      <c r="UY7" t="s">
        <v>3347</v>
      </c>
      <c r="UZ7" t="s">
        <v>1598</v>
      </c>
      <c r="VA7">
        <v>3.7231350000000001</v>
      </c>
      <c r="VB7">
        <v>0.80518199999999995</v>
      </c>
      <c r="VC7" t="s">
        <v>1599</v>
      </c>
      <c r="VD7">
        <v>2025</v>
      </c>
      <c r="VE7" t="s">
        <v>3348</v>
      </c>
      <c r="VF7" s="6">
        <v>46069</v>
      </c>
      <c r="VG7">
        <v>5</v>
      </c>
      <c r="VH7">
        <v>33600181.100000001</v>
      </c>
      <c r="VI7">
        <v>153809</v>
      </c>
      <c r="VJ7" t="s">
        <v>3349</v>
      </c>
      <c r="VM7" t="s">
        <v>618</v>
      </c>
      <c r="VN7">
        <v>13</v>
      </c>
      <c r="VO7" t="s">
        <v>1598</v>
      </c>
      <c r="VP7">
        <v>3.4525320000000002</v>
      </c>
      <c r="VQ7" t="s">
        <v>1594</v>
      </c>
      <c r="VR7">
        <v>2025</v>
      </c>
      <c r="VS7" t="s">
        <v>2824</v>
      </c>
      <c r="VT7" s="6">
        <v>46079</v>
      </c>
      <c r="VU7">
        <v>5</v>
      </c>
      <c r="VV7">
        <v>2033817472</v>
      </c>
      <c r="VW7">
        <v>102782</v>
      </c>
      <c r="VX7" t="s">
        <v>1626</v>
      </c>
    </row>
    <row r="8" spans="1:600" x14ac:dyDescent="0.25">
      <c r="AE8" t="s">
        <v>428</v>
      </c>
      <c r="AF8" t="s">
        <v>1598</v>
      </c>
      <c r="AG8">
        <v>17</v>
      </c>
      <c r="AH8">
        <v>3.5607669999999998</v>
      </c>
      <c r="AI8" t="s">
        <v>1594</v>
      </c>
      <c r="AJ8">
        <v>2025</v>
      </c>
      <c r="AK8" t="s">
        <v>2379</v>
      </c>
      <c r="AL8" s="6">
        <v>46077</v>
      </c>
      <c r="AM8">
        <v>5</v>
      </c>
      <c r="AN8">
        <v>452395488</v>
      </c>
      <c r="AO8">
        <v>210870</v>
      </c>
      <c r="AP8" t="s">
        <v>2380</v>
      </c>
      <c r="AS8" t="s">
        <v>2589</v>
      </c>
      <c r="AT8">
        <v>1.3672E-2</v>
      </c>
      <c r="AU8" t="s">
        <v>1598</v>
      </c>
      <c r="AV8">
        <v>7.3932999999999999E-2</v>
      </c>
      <c r="AW8" t="s">
        <v>1664</v>
      </c>
      <c r="AX8">
        <v>2026</v>
      </c>
      <c r="AY8" t="s">
        <v>2590</v>
      </c>
      <c r="AZ8" s="6">
        <v>46063</v>
      </c>
      <c r="BA8">
        <v>5</v>
      </c>
      <c r="BB8">
        <v>4181589</v>
      </c>
      <c r="BC8">
        <v>100142</v>
      </c>
      <c r="BD8" t="s">
        <v>2591</v>
      </c>
      <c r="BI8" t="s">
        <v>110</v>
      </c>
      <c r="BJ8" t="s">
        <v>1598</v>
      </c>
      <c r="BK8">
        <v>0.19926099999999999</v>
      </c>
      <c r="BL8">
        <v>1.1451750000000001</v>
      </c>
      <c r="BM8" t="s">
        <v>1664</v>
      </c>
      <c r="BN8">
        <v>2025</v>
      </c>
      <c r="BO8" t="s">
        <v>2129</v>
      </c>
      <c r="BP8" s="6">
        <v>45895</v>
      </c>
      <c r="BQ8">
        <v>5</v>
      </c>
      <c r="BR8">
        <v>197027360</v>
      </c>
      <c r="BS8">
        <v>100193</v>
      </c>
      <c r="BT8" t="s">
        <v>3708</v>
      </c>
      <c r="BW8" t="s">
        <v>1628</v>
      </c>
      <c r="BX8">
        <v>2.7185320000000002</v>
      </c>
      <c r="BY8" t="s">
        <v>1598</v>
      </c>
      <c r="BZ8">
        <v>3.3805040000000002</v>
      </c>
      <c r="CA8" t="s">
        <v>1664</v>
      </c>
      <c r="CB8">
        <v>2025</v>
      </c>
      <c r="CC8" t="s">
        <v>2129</v>
      </c>
      <c r="CD8" s="6">
        <v>45895</v>
      </c>
      <c r="CE8">
        <v>5</v>
      </c>
      <c r="CF8">
        <v>586686400</v>
      </c>
      <c r="CG8">
        <v>156923</v>
      </c>
      <c r="CH8" t="s">
        <v>1630</v>
      </c>
      <c r="CM8" t="s">
        <v>79</v>
      </c>
      <c r="CN8" t="s">
        <v>1598</v>
      </c>
      <c r="CO8">
        <v>0.787219</v>
      </c>
      <c r="CP8">
        <v>3.9592429999999998</v>
      </c>
      <c r="CQ8" t="s">
        <v>1599</v>
      </c>
      <c r="CR8">
        <v>2025</v>
      </c>
      <c r="CS8" t="s">
        <v>2126</v>
      </c>
      <c r="CT8" s="6">
        <v>45966</v>
      </c>
      <c r="CU8">
        <v>5</v>
      </c>
      <c r="CV8">
        <v>136000000</v>
      </c>
      <c r="CW8">
        <v>100978</v>
      </c>
      <c r="CX8" t="s">
        <v>2127</v>
      </c>
      <c r="DA8" t="s">
        <v>31</v>
      </c>
      <c r="DB8">
        <v>2.3733979999999999</v>
      </c>
      <c r="DC8" t="s">
        <v>1598</v>
      </c>
      <c r="DD8">
        <v>0.47723100000000002</v>
      </c>
      <c r="DE8" t="s">
        <v>1664</v>
      </c>
      <c r="DF8">
        <v>2025</v>
      </c>
      <c r="DG8" t="s">
        <v>1768</v>
      </c>
      <c r="DH8" s="6">
        <v>45929</v>
      </c>
      <c r="DI8">
        <v>5</v>
      </c>
      <c r="DJ8">
        <v>291192192</v>
      </c>
      <c r="DK8">
        <v>60401289</v>
      </c>
      <c r="DL8" t="s">
        <v>1769</v>
      </c>
      <c r="DQ8" t="s">
        <v>23</v>
      </c>
      <c r="DR8" t="s">
        <v>1598</v>
      </c>
      <c r="DS8">
        <v>0.238619</v>
      </c>
      <c r="DT8">
        <v>0.71575299999999997</v>
      </c>
      <c r="DU8" t="s">
        <v>1594</v>
      </c>
      <c r="DV8">
        <v>2025</v>
      </c>
      <c r="DW8" t="s">
        <v>1765</v>
      </c>
      <c r="DX8" s="6">
        <v>46064</v>
      </c>
      <c r="DY8">
        <v>5</v>
      </c>
      <c r="DZ8">
        <v>28750000</v>
      </c>
      <c r="EA8">
        <v>100225</v>
      </c>
      <c r="EB8" t="s">
        <v>2222</v>
      </c>
      <c r="EE8" t="s">
        <v>23</v>
      </c>
      <c r="EF8">
        <v>11.153900999999999</v>
      </c>
      <c r="EG8" t="s">
        <v>1598</v>
      </c>
      <c r="EH8">
        <v>50.086109</v>
      </c>
      <c r="EI8" t="s">
        <v>1594</v>
      </c>
      <c r="EJ8">
        <v>2025</v>
      </c>
      <c r="EK8" t="s">
        <v>1765</v>
      </c>
      <c r="EL8" s="6">
        <v>46064</v>
      </c>
      <c r="EM8">
        <v>5</v>
      </c>
      <c r="EN8">
        <v>1745000000</v>
      </c>
      <c r="EO8">
        <v>100225</v>
      </c>
      <c r="EP8" t="s">
        <v>2222</v>
      </c>
      <c r="EU8" t="s">
        <v>3803</v>
      </c>
      <c r="EV8" t="s">
        <v>1598</v>
      </c>
      <c r="EW8">
        <v>4.7842750000000001</v>
      </c>
      <c r="EX8">
        <v>1.8525640000000001</v>
      </c>
      <c r="EY8" t="s">
        <v>1599</v>
      </c>
      <c r="EZ8">
        <v>2025</v>
      </c>
      <c r="FA8" t="s">
        <v>3804</v>
      </c>
      <c r="FB8" s="6">
        <v>46073</v>
      </c>
      <c r="FC8">
        <v>5</v>
      </c>
      <c r="FD8">
        <v>98276993.629999995</v>
      </c>
      <c r="FE8">
        <v>156276</v>
      </c>
      <c r="FF8" t="s">
        <v>3805</v>
      </c>
      <c r="FI8" t="s">
        <v>240</v>
      </c>
      <c r="FJ8">
        <v>1.3419449999999999</v>
      </c>
      <c r="FK8" t="s">
        <v>1598</v>
      </c>
      <c r="FL8">
        <v>2.7987500000000001</v>
      </c>
      <c r="FM8" t="s">
        <v>1606</v>
      </c>
      <c r="FN8">
        <v>2025</v>
      </c>
      <c r="FO8" t="s">
        <v>2220</v>
      </c>
      <c r="FP8" s="6">
        <v>46077</v>
      </c>
      <c r="FQ8">
        <v>5</v>
      </c>
      <c r="FR8">
        <v>223004416</v>
      </c>
      <c r="FS8">
        <v>100828</v>
      </c>
      <c r="FT8" t="s">
        <v>1865</v>
      </c>
      <c r="FY8" t="s">
        <v>2329</v>
      </c>
      <c r="FZ8" t="s">
        <v>1598</v>
      </c>
      <c r="GA8">
        <v>2.0555249999999998</v>
      </c>
      <c r="GB8">
        <v>0.15715399999999999</v>
      </c>
      <c r="GC8" t="s">
        <v>1664</v>
      </c>
      <c r="GD8">
        <v>2025</v>
      </c>
      <c r="GE8" t="s">
        <v>2330</v>
      </c>
      <c r="GF8" s="6">
        <v>45884</v>
      </c>
      <c r="GG8">
        <v>5</v>
      </c>
      <c r="GH8">
        <v>22837664</v>
      </c>
      <c r="GI8">
        <v>17257533</v>
      </c>
      <c r="GJ8" t="s">
        <v>2331</v>
      </c>
      <c r="GM8" t="s">
        <v>1922</v>
      </c>
      <c r="GN8">
        <v>9.5700000000000004E-3</v>
      </c>
      <c r="GO8" t="s">
        <v>1598</v>
      </c>
      <c r="GP8">
        <v>7.616047</v>
      </c>
      <c r="GQ8" t="s">
        <v>1594</v>
      </c>
      <c r="GR8">
        <v>2025</v>
      </c>
      <c r="GS8" t="s">
        <v>1923</v>
      </c>
      <c r="GT8" s="6">
        <v>45869</v>
      </c>
      <c r="GU8">
        <v>5</v>
      </c>
      <c r="GV8">
        <v>2250536.7200000002</v>
      </c>
      <c r="GW8">
        <v>16852453</v>
      </c>
      <c r="GX8" t="s">
        <v>1924</v>
      </c>
      <c r="HC8" t="s">
        <v>428</v>
      </c>
      <c r="HD8" t="s">
        <v>1598</v>
      </c>
      <c r="HE8">
        <v>17</v>
      </c>
      <c r="HF8">
        <v>3.5607669999999998</v>
      </c>
      <c r="HG8" t="s">
        <v>1594</v>
      </c>
      <c r="HH8">
        <v>2025</v>
      </c>
      <c r="HI8" t="s">
        <v>2379</v>
      </c>
      <c r="HJ8" s="6">
        <v>46077</v>
      </c>
      <c r="HK8">
        <v>5</v>
      </c>
      <c r="HL8">
        <v>452395488</v>
      </c>
      <c r="HM8">
        <v>210870</v>
      </c>
      <c r="HN8" t="s">
        <v>2380</v>
      </c>
      <c r="HQ8" t="s">
        <v>2589</v>
      </c>
      <c r="HR8">
        <v>1.3672E-2</v>
      </c>
      <c r="HS8" t="s">
        <v>1598</v>
      </c>
      <c r="HT8">
        <v>7.3932999999999999E-2</v>
      </c>
      <c r="HU8" t="s">
        <v>1664</v>
      </c>
      <c r="HV8">
        <v>2026</v>
      </c>
      <c r="HW8" t="s">
        <v>2590</v>
      </c>
      <c r="HX8" s="6">
        <v>46063</v>
      </c>
      <c r="HY8">
        <v>5</v>
      </c>
      <c r="HZ8">
        <v>4181589</v>
      </c>
      <c r="IA8">
        <v>100142</v>
      </c>
      <c r="IB8" t="s">
        <v>2591</v>
      </c>
      <c r="IG8" t="s">
        <v>5151</v>
      </c>
      <c r="IH8" t="s">
        <v>1634</v>
      </c>
      <c r="II8">
        <v>32.900002000000001</v>
      </c>
      <c r="IJ8">
        <v>5.66669</v>
      </c>
      <c r="IK8" t="s">
        <v>1594</v>
      </c>
      <c r="IL8">
        <v>2024</v>
      </c>
      <c r="IM8" t="s">
        <v>5152</v>
      </c>
      <c r="IN8" s="6">
        <v>45743</v>
      </c>
      <c r="IO8">
        <v>5</v>
      </c>
      <c r="IP8">
        <v>344336416</v>
      </c>
      <c r="IQ8">
        <v>8137095</v>
      </c>
      <c r="IR8" t="s">
        <v>5153</v>
      </c>
      <c r="IU8" t="s">
        <v>2419</v>
      </c>
      <c r="IV8">
        <v>2.1413999999999999E-2</v>
      </c>
      <c r="IW8" t="s">
        <v>1598</v>
      </c>
      <c r="IX8">
        <v>1.474397</v>
      </c>
      <c r="IY8" t="s">
        <v>1664</v>
      </c>
      <c r="IZ8">
        <v>2025</v>
      </c>
      <c r="JA8" t="s">
        <v>4945</v>
      </c>
      <c r="JB8" s="6">
        <v>45909</v>
      </c>
      <c r="JC8">
        <v>5</v>
      </c>
      <c r="JD8">
        <v>19031939.82</v>
      </c>
      <c r="JE8">
        <v>9074473</v>
      </c>
      <c r="JF8" t="s">
        <v>2420</v>
      </c>
      <c r="KO8" t="s">
        <v>2381</v>
      </c>
      <c r="KP8" t="s">
        <v>1598</v>
      </c>
      <c r="KQ8">
        <v>0.38197399999999998</v>
      </c>
      <c r="KR8">
        <v>2.6527189999999998</v>
      </c>
      <c r="KS8" t="s">
        <v>1664</v>
      </c>
      <c r="KT8">
        <v>2025</v>
      </c>
      <c r="KU8" t="s">
        <v>2375</v>
      </c>
      <c r="KV8" s="6">
        <v>45862</v>
      </c>
      <c r="KW8">
        <v>5</v>
      </c>
      <c r="KX8">
        <v>368330048</v>
      </c>
      <c r="KY8">
        <v>46946968</v>
      </c>
      <c r="KZ8" t="s">
        <v>2382</v>
      </c>
      <c r="LC8" t="s">
        <v>1894</v>
      </c>
      <c r="LD8">
        <v>4.8992000000000001E-2</v>
      </c>
      <c r="LE8" t="s">
        <v>1598</v>
      </c>
      <c r="LF8">
        <v>1.135372</v>
      </c>
      <c r="LG8" t="s">
        <v>1606</v>
      </c>
      <c r="LH8">
        <v>2025</v>
      </c>
      <c r="LI8" t="s">
        <v>1895</v>
      </c>
      <c r="LJ8" s="6">
        <v>46091</v>
      </c>
      <c r="LK8">
        <v>5</v>
      </c>
      <c r="LL8">
        <v>17823852</v>
      </c>
      <c r="LM8">
        <v>156637</v>
      </c>
      <c r="LN8" t="s">
        <v>1896</v>
      </c>
      <c r="LS8" t="s">
        <v>3836</v>
      </c>
      <c r="LT8" t="s">
        <v>1598</v>
      </c>
      <c r="LU8">
        <v>1.0791219999999999</v>
      </c>
      <c r="LV8">
        <v>2.0365000000000001E-2</v>
      </c>
      <c r="LW8" t="s">
        <v>1606</v>
      </c>
      <c r="LX8">
        <v>2024</v>
      </c>
      <c r="LY8" t="s">
        <v>3837</v>
      </c>
      <c r="LZ8" s="6">
        <v>45709</v>
      </c>
      <c r="MA8">
        <v>5</v>
      </c>
      <c r="MB8">
        <v>2698409</v>
      </c>
      <c r="MC8">
        <v>1713474</v>
      </c>
      <c r="MD8" t="s">
        <v>3838</v>
      </c>
      <c r="MG8" t="s">
        <v>1117</v>
      </c>
      <c r="MH8">
        <v>-2.4245362661989844E-14</v>
      </c>
      <c r="MJ8">
        <v>-2.4245362661989844E-14</v>
      </c>
      <c r="MK8" t="s">
        <v>1594</v>
      </c>
      <c r="ML8">
        <v>2024</v>
      </c>
      <c r="MM8" t="s">
        <v>3669</v>
      </c>
      <c r="MN8" s="6">
        <v>45320</v>
      </c>
      <c r="MO8">
        <v>5</v>
      </c>
      <c r="MP8">
        <v>-2.4245362661989844E-14</v>
      </c>
      <c r="MQ8">
        <v>100460</v>
      </c>
      <c r="MR8" t="s">
        <v>3670</v>
      </c>
      <c r="MW8" t="s">
        <v>24</v>
      </c>
      <c r="MX8" t="s">
        <v>1598</v>
      </c>
      <c r="MY8">
        <v>3.967965</v>
      </c>
      <c r="MZ8">
        <v>0.95289199999999996</v>
      </c>
      <c r="NA8" t="s">
        <v>1664</v>
      </c>
      <c r="NB8">
        <v>2025</v>
      </c>
      <c r="NC8" t="s">
        <v>3358</v>
      </c>
      <c r="ND8" s="6">
        <v>45914</v>
      </c>
      <c r="NE8">
        <v>5</v>
      </c>
      <c r="NF8">
        <v>581425920</v>
      </c>
      <c r="NG8">
        <v>101166</v>
      </c>
      <c r="NH8" t="s">
        <v>2119</v>
      </c>
      <c r="NK8" t="s">
        <v>4717</v>
      </c>
      <c r="NL8">
        <v>-2.4245362661989844E-14</v>
      </c>
      <c r="NN8">
        <v>-2.4245362661989844E-14</v>
      </c>
      <c r="NO8" t="s">
        <v>1594</v>
      </c>
      <c r="NP8">
        <v>2025</v>
      </c>
      <c r="NQ8" t="s">
        <v>4716</v>
      </c>
      <c r="NR8" s="6">
        <v>46079</v>
      </c>
      <c r="NS8">
        <v>5</v>
      </c>
      <c r="NT8">
        <v>-2.4245362661989844E-14</v>
      </c>
      <c r="NU8">
        <v>20081197</v>
      </c>
      <c r="NV8" t="s">
        <v>4718</v>
      </c>
      <c r="OA8" t="s">
        <v>240</v>
      </c>
      <c r="OB8" t="s">
        <v>1598</v>
      </c>
      <c r="OC8">
        <v>1.8476189999999999</v>
      </c>
      <c r="OD8">
        <v>0.497726</v>
      </c>
      <c r="OE8" t="s">
        <v>1599</v>
      </c>
      <c r="OF8">
        <v>2025</v>
      </c>
      <c r="OG8" t="s">
        <v>2219</v>
      </c>
      <c r="OH8" s="6">
        <v>46018</v>
      </c>
      <c r="OI8">
        <v>5</v>
      </c>
      <c r="OJ8">
        <v>443299232</v>
      </c>
      <c r="OK8">
        <v>100828</v>
      </c>
      <c r="OL8" t="s">
        <v>1865</v>
      </c>
      <c r="OO8" t="s">
        <v>3589</v>
      </c>
      <c r="OP8">
        <v>-2.4245362661989844E-14</v>
      </c>
      <c r="OR8">
        <v>-2.4245362661989844E-14</v>
      </c>
      <c r="OS8" t="s">
        <v>1594</v>
      </c>
      <c r="OT8">
        <v>2023</v>
      </c>
      <c r="OU8" t="s">
        <v>3588</v>
      </c>
      <c r="OV8" s="6">
        <v>44964</v>
      </c>
      <c r="OW8">
        <v>5</v>
      </c>
      <c r="OX8">
        <v>-2.4245362661989844E-14</v>
      </c>
      <c r="OY8">
        <v>33578464</v>
      </c>
      <c r="OZ8" t="s">
        <v>3590</v>
      </c>
      <c r="PE8" t="s">
        <v>428</v>
      </c>
      <c r="PF8" t="s">
        <v>1598</v>
      </c>
      <c r="PG8">
        <v>18</v>
      </c>
      <c r="PH8">
        <v>5.8461829999999999</v>
      </c>
      <c r="PI8" t="s">
        <v>1594</v>
      </c>
      <c r="PJ8">
        <v>2025</v>
      </c>
      <c r="PK8" t="s">
        <v>2379</v>
      </c>
      <c r="PL8" s="6">
        <v>46077</v>
      </c>
      <c r="PM8">
        <v>5</v>
      </c>
      <c r="PN8">
        <v>479007008</v>
      </c>
      <c r="PO8">
        <v>210870</v>
      </c>
      <c r="PP8" t="s">
        <v>2380</v>
      </c>
      <c r="PS8" t="s">
        <v>2589</v>
      </c>
      <c r="PT8">
        <v>1.384E-2</v>
      </c>
      <c r="PU8" t="s">
        <v>1598</v>
      </c>
      <c r="PV8">
        <v>5.3727999999999998E-2</v>
      </c>
      <c r="PW8" t="s">
        <v>1664</v>
      </c>
      <c r="PX8">
        <v>2026</v>
      </c>
      <c r="PY8" t="s">
        <v>2590</v>
      </c>
      <c r="PZ8" s="6">
        <v>46063</v>
      </c>
      <c r="QA8">
        <v>5</v>
      </c>
      <c r="QB8">
        <v>3038811</v>
      </c>
      <c r="QC8">
        <v>100142</v>
      </c>
      <c r="QD8" t="s">
        <v>2591</v>
      </c>
      <c r="QI8" t="s">
        <v>428</v>
      </c>
      <c r="QJ8" t="s">
        <v>1598</v>
      </c>
      <c r="QK8">
        <v>17</v>
      </c>
      <c r="QL8">
        <v>3.5607669999999998</v>
      </c>
      <c r="QM8" t="s">
        <v>1594</v>
      </c>
      <c r="QN8">
        <v>2025</v>
      </c>
      <c r="QO8" t="s">
        <v>2379</v>
      </c>
      <c r="QP8" s="6">
        <v>46077</v>
      </c>
      <c r="QQ8">
        <v>5</v>
      </c>
      <c r="QR8">
        <v>452395488</v>
      </c>
      <c r="QS8">
        <v>210870</v>
      </c>
      <c r="QT8" t="s">
        <v>2380</v>
      </c>
      <c r="QW8" t="s">
        <v>2589</v>
      </c>
      <c r="QX8">
        <v>1.3672E-2</v>
      </c>
      <c r="QY8" t="s">
        <v>1598</v>
      </c>
      <c r="QZ8">
        <v>7.3932999999999999E-2</v>
      </c>
      <c r="RA8" t="s">
        <v>1664</v>
      </c>
      <c r="RB8">
        <v>2026</v>
      </c>
      <c r="RC8" t="s">
        <v>2590</v>
      </c>
      <c r="RD8" s="6">
        <v>46063</v>
      </c>
      <c r="RE8">
        <v>5</v>
      </c>
      <c r="RF8">
        <v>4181589</v>
      </c>
      <c r="RG8">
        <v>100142</v>
      </c>
      <c r="RH8" t="s">
        <v>2591</v>
      </c>
      <c r="RM8" t="s">
        <v>428</v>
      </c>
      <c r="RN8" t="s">
        <v>1598</v>
      </c>
      <c r="RO8">
        <v>17</v>
      </c>
      <c r="RP8">
        <v>3.5607669999999998</v>
      </c>
      <c r="RQ8" t="s">
        <v>1594</v>
      </c>
      <c r="RR8">
        <v>2025</v>
      </c>
      <c r="RS8" t="s">
        <v>2379</v>
      </c>
      <c r="RT8" s="6">
        <v>46077</v>
      </c>
      <c r="RU8">
        <v>5</v>
      </c>
      <c r="RV8">
        <v>452395488</v>
      </c>
      <c r="RW8">
        <v>210870</v>
      </c>
      <c r="RX8" t="s">
        <v>2380</v>
      </c>
      <c r="SA8" t="s">
        <v>2589</v>
      </c>
      <c r="SB8">
        <v>1.3672E-2</v>
      </c>
      <c r="SC8" t="s">
        <v>1598</v>
      </c>
      <c r="SD8">
        <v>7.3932999999999999E-2</v>
      </c>
      <c r="SE8" t="s">
        <v>1664</v>
      </c>
      <c r="SF8">
        <v>2026</v>
      </c>
      <c r="SG8" t="s">
        <v>2590</v>
      </c>
      <c r="SH8" s="6">
        <v>46063</v>
      </c>
      <c r="SI8">
        <v>5</v>
      </c>
      <c r="SJ8">
        <v>4181589</v>
      </c>
      <c r="SK8">
        <v>100142</v>
      </c>
      <c r="SL8" t="s">
        <v>2591</v>
      </c>
      <c r="SQ8" t="s">
        <v>2088</v>
      </c>
      <c r="SR8" t="s">
        <v>1598</v>
      </c>
      <c r="SS8">
        <v>0.124469</v>
      </c>
      <c r="ST8">
        <v>0.198931</v>
      </c>
      <c r="SU8" t="s">
        <v>1603</v>
      </c>
      <c r="SV8">
        <v>2025</v>
      </c>
      <c r="SW8" t="s">
        <v>2089</v>
      </c>
      <c r="SX8" s="6">
        <v>45849</v>
      </c>
      <c r="SY8">
        <v>5</v>
      </c>
      <c r="SZ8">
        <v>3819444.94</v>
      </c>
      <c r="TA8">
        <v>179551</v>
      </c>
      <c r="TB8" t="s">
        <v>2090</v>
      </c>
      <c r="TE8" t="s">
        <v>1739</v>
      </c>
      <c r="TF8">
        <v>0.82311599999999996</v>
      </c>
      <c r="TG8" t="s">
        <v>1598</v>
      </c>
      <c r="TH8">
        <v>0.16905600000000001</v>
      </c>
      <c r="TI8" t="s">
        <v>1664</v>
      </c>
      <c r="TJ8">
        <v>2026</v>
      </c>
      <c r="TK8" t="s">
        <v>1740</v>
      </c>
      <c r="TL8" s="6">
        <v>45940</v>
      </c>
      <c r="TM8">
        <v>5</v>
      </c>
      <c r="TN8">
        <v>26808900</v>
      </c>
      <c r="TO8">
        <v>100916</v>
      </c>
      <c r="TP8" t="s">
        <v>1741</v>
      </c>
      <c r="TU8" t="s">
        <v>110</v>
      </c>
      <c r="TW8">
        <v>-2.4245362661989844E-14</v>
      </c>
      <c r="TX8">
        <v>-2.4245362661989844E-14</v>
      </c>
      <c r="TY8" t="s">
        <v>1594</v>
      </c>
      <c r="TZ8">
        <v>2021</v>
      </c>
      <c r="UA8" t="s">
        <v>4239</v>
      </c>
      <c r="UB8" s="6">
        <v>44693</v>
      </c>
      <c r="UC8">
        <v>5</v>
      </c>
      <c r="UD8">
        <v>-2.4245362661989844E-14</v>
      </c>
      <c r="UE8">
        <v>100193</v>
      </c>
      <c r="UF8" t="s">
        <v>3708</v>
      </c>
      <c r="UY8" t="s">
        <v>23</v>
      </c>
      <c r="UZ8" t="s">
        <v>1598</v>
      </c>
      <c r="VA8">
        <v>0.238619</v>
      </c>
      <c r="VB8">
        <v>0.71575299999999997</v>
      </c>
      <c r="VC8" t="s">
        <v>1594</v>
      </c>
      <c r="VD8">
        <v>2025</v>
      </c>
      <c r="VE8" t="s">
        <v>1765</v>
      </c>
      <c r="VF8" s="6">
        <v>46064</v>
      </c>
      <c r="VG8">
        <v>5</v>
      </c>
      <c r="VH8">
        <v>28750000</v>
      </c>
      <c r="VI8">
        <v>100225</v>
      </c>
      <c r="VJ8" t="s">
        <v>2222</v>
      </c>
      <c r="VM8" t="s">
        <v>23</v>
      </c>
      <c r="VN8">
        <v>11.153900999999999</v>
      </c>
      <c r="VO8" t="s">
        <v>1598</v>
      </c>
      <c r="VP8">
        <v>50.086109</v>
      </c>
      <c r="VQ8" t="s">
        <v>1594</v>
      </c>
      <c r="VR8">
        <v>2025</v>
      </c>
      <c r="VS8" t="s">
        <v>1765</v>
      </c>
      <c r="VT8" s="6">
        <v>46064</v>
      </c>
      <c r="VU8">
        <v>5</v>
      </c>
      <c r="VV8">
        <v>1745000000</v>
      </c>
      <c r="VW8">
        <v>100225</v>
      </c>
      <c r="VX8" t="s">
        <v>2222</v>
      </c>
    </row>
    <row r="9" spans="1:600" x14ac:dyDescent="0.25">
      <c r="AE9" t="s">
        <v>3184</v>
      </c>
      <c r="AF9" t="s">
        <v>1634</v>
      </c>
      <c r="AG9">
        <v>24.9</v>
      </c>
      <c r="AH9">
        <v>7.4053610000000001</v>
      </c>
      <c r="AI9" t="s">
        <v>1599</v>
      </c>
      <c r="AJ9">
        <v>2026</v>
      </c>
      <c r="AK9" t="s">
        <v>3185</v>
      </c>
      <c r="AL9" s="6">
        <v>45981</v>
      </c>
      <c r="AM9">
        <v>5</v>
      </c>
      <c r="AN9">
        <v>361900000</v>
      </c>
      <c r="AO9">
        <v>100487</v>
      </c>
      <c r="AP9" t="s">
        <v>3186</v>
      </c>
      <c r="AS9" t="s">
        <v>2592</v>
      </c>
      <c r="AT9">
        <v>7.0479999999999996E-3</v>
      </c>
      <c r="AU9" t="s">
        <v>1598</v>
      </c>
      <c r="AV9">
        <v>0.37631900000000001</v>
      </c>
      <c r="AW9" t="s">
        <v>1606</v>
      </c>
      <c r="AX9">
        <v>2024</v>
      </c>
      <c r="AY9" t="s">
        <v>2593</v>
      </c>
      <c r="AZ9" s="6">
        <v>45742</v>
      </c>
      <c r="BA9">
        <v>5</v>
      </c>
      <c r="BB9">
        <v>2163480.08</v>
      </c>
      <c r="BC9">
        <v>153672</v>
      </c>
      <c r="BD9" t="s">
        <v>2594</v>
      </c>
      <c r="BI9" t="s">
        <v>862</v>
      </c>
      <c r="BJ9" t="s">
        <v>1598</v>
      </c>
      <c r="BK9">
        <v>3.715757</v>
      </c>
      <c r="BL9">
        <v>1.143508</v>
      </c>
      <c r="BM9" t="s">
        <v>1599</v>
      </c>
      <c r="BN9">
        <v>2025</v>
      </c>
      <c r="BO9" t="s">
        <v>2137</v>
      </c>
      <c r="BP9" s="6">
        <v>45782</v>
      </c>
      <c r="BQ9">
        <v>5</v>
      </c>
      <c r="BR9">
        <v>185133936</v>
      </c>
      <c r="BS9">
        <v>101149</v>
      </c>
      <c r="BT9" t="s">
        <v>2138</v>
      </c>
      <c r="BW9" t="s">
        <v>1116</v>
      </c>
      <c r="BX9">
        <v>1.2661089999999999</v>
      </c>
      <c r="BY9" t="s">
        <v>1598</v>
      </c>
      <c r="BZ9">
        <v>2.0610919999999999</v>
      </c>
      <c r="CA9" t="s">
        <v>1664</v>
      </c>
      <c r="CB9">
        <v>2025</v>
      </c>
      <c r="CC9" t="s">
        <v>2129</v>
      </c>
      <c r="CD9" s="6">
        <v>45895</v>
      </c>
      <c r="CE9">
        <v>5</v>
      </c>
      <c r="CF9">
        <v>273238976</v>
      </c>
      <c r="CG9">
        <v>100090</v>
      </c>
      <c r="CH9" t="s">
        <v>1960</v>
      </c>
      <c r="CM9" t="s">
        <v>240</v>
      </c>
      <c r="CN9" t="s">
        <v>2128</v>
      </c>
      <c r="CO9">
        <v>0.29407699999999998</v>
      </c>
      <c r="CP9">
        <v>2.7836400000000001</v>
      </c>
      <c r="CQ9" t="s">
        <v>1594</v>
      </c>
      <c r="CR9">
        <v>2025</v>
      </c>
      <c r="CS9" t="s">
        <v>1765</v>
      </c>
      <c r="CT9" s="6">
        <v>46064</v>
      </c>
      <c r="CU9">
        <v>5</v>
      </c>
      <c r="CV9">
        <v>69250000</v>
      </c>
      <c r="CW9">
        <v>100828</v>
      </c>
      <c r="CX9" t="s">
        <v>1865</v>
      </c>
      <c r="DA9" t="s">
        <v>306</v>
      </c>
      <c r="DB9">
        <v>1.0236080000000001</v>
      </c>
      <c r="DC9" t="s">
        <v>1598</v>
      </c>
      <c r="DD9">
        <v>0.137097</v>
      </c>
      <c r="DE9" t="s">
        <v>1664</v>
      </c>
      <c r="DF9">
        <v>2025</v>
      </c>
      <c r="DG9" t="s">
        <v>1768</v>
      </c>
      <c r="DH9" s="6">
        <v>45929</v>
      </c>
      <c r="DI9">
        <v>5</v>
      </c>
      <c r="DJ9">
        <v>125586464</v>
      </c>
      <c r="DK9">
        <v>101548</v>
      </c>
      <c r="DL9" t="s">
        <v>1770</v>
      </c>
      <c r="DQ9" t="s">
        <v>3350</v>
      </c>
      <c r="DR9" t="s">
        <v>1598</v>
      </c>
      <c r="DS9">
        <v>0.82792200000000005</v>
      </c>
      <c r="DT9">
        <v>0.75151400000000002</v>
      </c>
      <c r="DU9" t="s">
        <v>1664</v>
      </c>
      <c r="DV9">
        <v>2025</v>
      </c>
      <c r="DW9" t="s">
        <v>3351</v>
      </c>
      <c r="DX9" s="6">
        <v>45959</v>
      </c>
      <c r="DY9">
        <v>5</v>
      </c>
      <c r="DZ9">
        <v>28398061.84</v>
      </c>
      <c r="EA9">
        <v>113332</v>
      </c>
      <c r="EB9" t="s">
        <v>3352</v>
      </c>
      <c r="EE9" t="s">
        <v>1621</v>
      </c>
      <c r="EF9">
        <v>6</v>
      </c>
      <c r="EH9">
        <v>-2.4245362661989844E-14</v>
      </c>
      <c r="EI9" t="s">
        <v>1594</v>
      </c>
      <c r="EJ9">
        <v>2024</v>
      </c>
      <c r="EK9" t="s">
        <v>2825</v>
      </c>
      <c r="EL9" s="6">
        <v>45715</v>
      </c>
      <c r="EM9">
        <v>5</v>
      </c>
      <c r="EN9">
        <v>954404992</v>
      </c>
      <c r="EO9">
        <v>218252</v>
      </c>
      <c r="EP9" t="s">
        <v>1622</v>
      </c>
      <c r="EU9" t="s">
        <v>2947</v>
      </c>
      <c r="EV9" t="s">
        <v>1598</v>
      </c>
      <c r="EW9">
        <v>99</v>
      </c>
      <c r="EX9">
        <v>2.0580690000000001</v>
      </c>
      <c r="EY9" t="s">
        <v>1594</v>
      </c>
      <c r="EZ9">
        <v>2024</v>
      </c>
      <c r="FA9" t="s">
        <v>2948</v>
      </c>
      <c r="FB9" s="6">
        <v>45747</v>
      </c>
      <c r="FC9">
        <v>5</v>
      </c>
      <c r="FD9">
        <v>86973976</v>
      </c>
      <c r="FE9">
        <v>1479519</v>
      </c>
      <c r="FF9" t="s">
        <v>2949</v>
      </c>
      <c r="FI9" t="s">
        <v>2947</v>
      </c>
      <c r="FJ9">
        <v>1.3136E-2</v>
      </c>
      <c r="FK9" t="s">
        <v>2128</v>
      </c>
      <c r="FL9">
        <v>6.6414770000000001</v>
      </c>
      <c r="FM9" t="s">
        <v>1594</v>
      </c>
      <c r="FN9">
        <v>2024</v>
      </c>
      <c r="FO9" t="s">
        <v>2948</v>
      </c>
      <c r="FP9" s="6">
        <v>45747</v>
      </c>
      <c r="FQ9">
        <v>5</v>
      </c>
      <c r="FR9">
        <v>1850000</v>
      </c>
      <c r="FS9">
        <v>1479519</v>
      </c>
      <c r="FT9" t="s">
        <v>2949</v>
      </c>
      <c r="FY9" t="s">
        <v>2332</v>
      </c>
      <c r="FZ9" t="s">
        <v>1598</v>
      </c>
      <c r="GA9">
        <v>0.29686099999999999</v>
      </c>
      <c r="GB9">
        <v>6.9705000000000003E-2</v>
      </c>
      <c r="GC9" t="s">
        <v>1606</v>
      </c>
      <c r="GD9">
        <v>2025</v>
      </c>
      <c r="GE9" t="s">
        <v>2333</v>
      </c>
      <c r="GF9" s="6">
        <v>46087</v>
      </c>
      <c r="GG9">
        <v>5</v>
      </c>
      <c r="GH9">
        <v>11619140</v>
      </c>
      <c r="GI9">
        <v>101204</v>
      </c>
      <c r="GJ9" t="s">
        <v>2334</v>
      </c>
      <c r="GM9" t="s">
        <v>1925</v>
      </c>
      <c r="GN9">
        <v>5.3379999999999999E-3</v>
      </c>
      <c r="GO9" t="s">
        <v>1598</v>
      </c>
      <c r="GP9">
        <v>1.0343059999999999</v>
      </c>
      <c r="GQ9" t="s">
        <v>1603</v>
      </c>
      <c r="GR9">
        <v>2026</v>
      </c>
      <c r="GS9" t="s">
        <v>1926</v>
      </c>
      <c r="GT9" s="6">
        <v>45852</v>
      </c>
      <c r="GU9">
        <v>5</v>
      </c>
      <c r="GV9">
        <v>1261005</v>
      </c>
      <c r="GW9">
        <v>9515683</v>
      </c>
      <c r="GX9" t="s">
        <v>1927</v>
      </c>
      <c r="HC9" t="s">
        <v>3184</v>
      </c>
      <c r="HD9" t="s">
        <v>1634</v>
      </c>
      <c r="HE9">
        <v>24.9</v>
      </c>
      <c r="HF9">
        <v>7.4053610000000001</v>
      </c>
      <c r="HG9" t="s">
        <v>1599</v>
      </c>
      <c r="HH9">
        <v>2026</v>
      </c>
      <c r="HI9" t="s">
        <v>3185</v>
      </c>
      <c r="HJ9" s="6">
        <v>45981</v>
      </c>
      <c r="HK9">
        <v>5</v>
      </c>
      <c r="HL9">
        <v>361900000</v>
      </c>
      <c r="HM9">
        <v>100487</v>
      </c>
      <c r="HN9" t="s">
        <v>3186</v>
      </c>
      <c r="HQ9" t="s">
        <v>2592</v>
      </c>
      <c r="HR9">
        <v>7.0479999999999996E-3</v>
      </c>
      <c r="HS9" t="s">
        <v>1598</v>
      </c>
      <c r="HT9">
        <v>0.37631900000000001</v>
      </c>
      <c r="HU9" t="s">
        <v>1606</v>
      </c>
      <c r="HV9">
        <v>2024</v>
      </c>
      <c r="HW9" t="s">
        <v>2593</v>
      </c>
      <c r="HX9" s="6">
        <v>45742</v>
      </c>
      <c r="HY9">
        <v>5</v>
      </c>
      <c r="HZ9">
        <v>2163480.08</v>
      </c>
      <c r="IA9">
        <v>153672</v>
      </c>
      <c r="IB9" t="s">
        <v>2594</v>
      </c>
      <c r="IG9" t="s">
        <v>3957</v>
      </c>
      <c r="IH9" t="s">
        <v>1634</v>
      </c>
      <c r="II9">
        <v>19.700001</v>
      </c>
      <c r="IJ9">
        <v>2.2824490000000002</v>
      </c>
      <c r="IK9" t="s">
        <v>1594</v>
      </c>
      <c r="IL9">
        <v>2025</v>
      </c>
      <c r="IM9" t="s">
        <v>5154</v>
      </c>
      <c r="IN9" s="6">
        <v>46065</v>
      </c>
      <c r="IO9">
        <v>5</v>
      </c>
      <c r="IP9">
        <v>161814224</v>
      </c>
      <c r="IQ9">
        <v>69554276</v>
      </c>
      <c r="IR9" t="s">
        <v>3959</v>
      </c>
      <c r="IU9" t="s">
        <v>4946</v>
      </c>
      <c r="IV9">
        <v>4.3600000000000003E-4</v>
      </c>
      <c r="IW9" t="s">
        <v>1598</v>
      </c>
      <c r="IX9">
        <v>13.57766</v>
      </c>
      <c r="IY9" t="s">
        <v>1594</v>
      </c>
      <c r="IZ9">
        <v>2024</v>
      </c>
      <c r="JA9" t="s">
        <v>4947</v>
      </c>
      <c r="JB9" s="6">
        <v>45806</v>
      </c>
      <c r="JC9">
        <v>5</v>
      </c>
      <c r="JD9">
        <v>374184</v>
      </c>
      <c r="JE9">
        <v>812681</v>
      </c>
      <c r="JF9" t="s">
        <v>4948</v>
      </c>
      <c r="KO9" t="s">
        <v>2383</v>
      </c>
      <c r="KP9" t="s">
        <v>1634</v>
      </c>
      <c r="KQ9">
        <v>5.5977880000000004</v>
      </c>
      <c r="KR9">
        <v>7.6756450000000003</v>
      </c>
      <c r="KS9" t="s">
        <v>1599</v>
      </c>
      <c r="KT9">
        <v>2025</v>
      </c>
      <c r="KU9" t="s">
        <v>2384</v>
      </c>
      <c r="KV9" s="6">
        <v>46029</v>
      </c>
      <c r="KW9">
        <v>5</v>
      </c>
      <c r="KX9">
        <v>330895084.14999998</v>
      </c>
      <c r="KY9">
        <v>115705</v>
      </c>
      <c r="KZ9" t="s">
        <v>2385</v>
      </c>
      <c r="LC9" t="s">
        <v>1645</v>
      </c>
      <c r="LD9">
        <v>4.8830999999999999E-2</v>
      </c>
      <c r="LE9" t="s">
        <v>1598</v>
      </c>
      <c r="LF9">
        <v>2.7042419999999998</v>
      </c>
      <c r="LG9" t="s">
        <v>1599</v>
      </c>
      <c r="LH9">
        <v>2025</v>
      </c>
      <c r="LI9" t="s">
        <v>1897</v>
      </c>
      <c r="LJ9" s="6">
        <v>45840</v>
      </c>
      <c r="LK9">
        <v>5</v>
      </c>
      <c r="LL9">
        <v>16351064</v>
      </c>
      <c r="LM9">
        <v>136424</v>
      </c>
      <c r="LN9" t="s">
        <v>1647</v>
      </c>
      <c r="LS9" t="s">
        <v>3839</v>
      </c>
      <c r="LT9" t="s">
        <v>1685</v>
      </c>
      <c r="LU9">
        <v>0.89682700000000004</v>
      </c>
      <c r="LV9">
        <v>1.9151000000000001E-2</v>
      </c>
      <c r="LW9" t="s">
        <v>1594</v>
      </c>
      <c r="LX9">
        <v>2025</v>
      </c>
      <c r="LY9" t="s">
        <v>3840</v>
      </c>
      <c r="LZ9" s="6">
        <v>46058</v>
      </c>
      <c r="MA9">
        <v>5</v>
      </c>
      <c r="MB9">
        <v>2640312.86</v>
      </c>
      <c r="MC9">
        <v>7890735</v>
      </c>
      <c r="MD9" t="s">
        <v>3841</v>
      </c>
      <c r="MG9" t="s">
        <v>3671</v>
      </c>
      <c r="MH9">
        <v>-2.4245362661989844E-14</v>
      </c>
      <c r="MJ9">
        <v>-2.4245362661989844E-14</v>
      </c>
      <c r="MK9" t="s">
        <v>1594</v>
      </c>
      <c r="ML9">
        <v>2023</v>
      </c>
      <c r="MM9" t="s">
        <v>3665</v>
      </c>
      <c r="MN9" s="6">
        <v>45187</v>
      </c>
      <c r="MO9">
        <v>5</v>
      </c>
      <c r="MP9">
        <v>-2.4245362661989844E-14</v>
      </c>
      <c r="MQ9">
        <v>136124</v>
      </c>
      <c r="MR9" t="s">
        <v>3672</v>
      </c>
      <c r="MW9" t="s">
        <v>3407</v>
      </c>
      <c r="MX9" t="s">
        <v>1598</v>
      </c>
      <c r="MY9">
        <v>2.9907159999999999</v>
      </c>
      <c r="MZ9">
        <v>0.70191599999999998</v>
      </c>
      <c r="NA9" t="s">
        <v>1599</v>
      </c>
      <c r="NB9">
        <v>2025</v>
      </c>
      <c r="NC9" t="s">
        <v>3408</v>
      </c>
      <c r="ND9" s="6">
        <v>46080</v>
      </c>
      <c r="NE9">
        <v>5</v>
      </c>
      <c r="NF9">
        <v>463650688</v>
      </c>
      <c r="NG9">
        <v>111093</v>
      </c>
      <c r="NH9" t="s">
        <v>3409</v>
      </c>
      <c r="NK9" t="s">
        <v>4719</v>
      </c>
      <c r="NL9">
        <v>-2.4245362661989844E-14</v>
      </c>
      <c r="NN9">
        <v>-2.4245362661989844E-14</v>
      </c>
      <c r="NO9" t="s">
        <v>1594</v>
      </c>
      <c r="NP9">
        <v>2022</v>
      </c>
      <c r="NQ9" t="s">
        <v>4720</v>
      </c>
      <c r="NR9" s="6">
        <v>44641</v>
      </c>
      <c r="NS9">
        <v>5</v>
      </c>
      <c r="NT9">
        <v>-2.4245362661989844E-14</v>
      </c>
      <c r="NU9">
        <v>193709</v>
      </c>
      <c r="NV9" t="s">
        <v>4721</v>
      </c>
      <c r="OA9" t="s">
        <v>4153</v>
      </c>
      <c r="OB9" t="s">
        <v>1598</v>
      </c>
      <c r="OC9">
        <v>3.2864840000000002</v>
      </c>
      <c r="OD9">
        <v>0.48448999999999998</v>
      </c>
      <c r="OE9" t="s">
        <v>1599</v>
      </c>
      <c r="OF9">
        <v>2025</v>
      </c>
      <c r="OG9" t="s">
        <v>4154</v>
      </c>
      <c r="OH9" s="6">
        <v>45981</v>
      </c>
      <c r="OI9">
        <v>5</v>
      </c>
      <c r="OJ9">
        <v>431591971.77999997</v>
      </c>
      <c r="OK9">
        <v>115414</v>
      </c>
      <c r="OL9" t="s">
        <v>4155</v>
      </c>
      <c r="OO9" t="s">
        <v>2727</v>
      </c>
      <c r="OP9">
        <v>-2.4245362661989844E-14</v>
      </c>
      <c r="OR9">
        <v>-2.4245362661989844E-14</v>
      </c>
      <c r="OS9" t="s">
        <v>1594</v>
      </c>
      <c r="OT9">
        <v>2025</v>
      </c>
      <c r="OU9" t="s">
        <v>3587</v>
      </c>
      <c r="OV9" s="6">
        <v>46063</v>
      </c>
      <c r="OW9">
        <v>5</v>
      </c>
      <c r="OX9">
        <v>-2.4245362661989844E-14</v>
      </c>
      <c r="OY9">
        <v>17483390</v>
      </c>
      <c r="OZ9" t="s">
        <v>2729</v>
      </c>
      <c r="PE9" t="s">
        <v>3474</v>
      </c>
      <c r="PF9" t="s">
        <v>1685</v>
      </c>
      <c r="PG9">
        <v>19.899999999999999</v>
      </c>
      <c r="PH9">
        <v>4.0537919999999996</v>
      </c>
      <c r="PI9" t="s">
        <v>1594</v>
      </c>
      <c r="PJ9">
        <v>2025</v>
      </c>
      <c r="PK9" t="s">
        <v>3475</v>
      </c>
      <c r="PL9" s="6">
        <v>46006</v>
      </c>
      <c r="PM9">
        <v>5</v>
      </c>
      <c r="PN9">
        <v>225512416</v>
      </c>
      <c r="PO9">
        <v>305698</v>
      </c>
      <c r="PP9" t="s">
        <v>3476</v>
      </c>
      <c r="PS9" t="s">
        <v>1645</v>
      </c>
      <c r="PT9">
        <v>9.7520000000000003E-3</v>
      </c>
      <c r="PU9" t="s">
        <v>1598</v>
      </c>
      <c r="PV9">
        <v>0.33684199999999997</v>
      </c>
      <c r="PW9" t="s">
        <v>1599</v>
      </c>
      <c r="PX9">
        <v>2025</v>
      </c>
      <c r="PY9" t="s">
        <v>1897</v>
      </c>
      <c r="PZ9" s="6">
        <v>45840</v>
      </c>
      <c r="QA9">
        <v>5</v>
      </c>
      <c r="QB9">
        <v>2036698</v>
      </c>
      <c r="QC9">
        <v>136424</v>
      </c>
      <c r="QD9" t="s">
        <v>1647</v>
      </c>
      <c r="QI9" t="s">
        <v>3184</v>
      </c>
      <c r="QJ9" t="s">
        <v>1634</v>
      </c>
      <c r="QK9">
        <v>24.9</v>
      </c>
      <c r="QL9">
        <v>7.4053610000000001</v>
      </c>
      <c r="QM9" t="s">
        <v>1599</v>
      </c>
      <c r="QN9">
        <v>2026</v>
      </c>
      <c r="QO9" t="s">
        <v>3185</v>
      </c>
      <c r="QP9" s="6">
        <v>45981</v>
      </c>
      <c r="QQ9">
        <v>5</v>
      </c>
      <c r="QR9">
        <v>361900000</v>
      </c>
      <c r="QS9">
        <v>100487</v>
      </c>
      <c r="QT9" t="s">
        <v>3186</v>
      </c>
      <c r="QW9" t="s">
        <v>2592</v>
      </c>
      <c r="QX9">
        <v>7.0479999999999996E-3</v>
      </c>
      <c r="QY9" t="s">
        <v>1598</v>
      </c>
      <c r="QZ9">
        <v>0.37631900000000001</v>
      </c>
      <c r="RA9" t="s">
        <v>1606</v>
      </c>
      <c r="RB9">
        <v>2024</v>
      </c>
      <c r="RC9" t="s">
        <v>2593</v>
      </c>
      <c r="RD9" s="6">
        <v>45742</v>
      </c>
      <c r="RE9">
        <v>5</v>
      </c>
      <c r="RF9">
        <v>2163480.08</v>
      </c>
      <c r="RG9">
        <v>153672</v>
      </c>
      <c r="RH9" t="s">
        <v>2594</v>
      </c>
      <c r="RM9" t="s">
        <v>3184</v>
      </c>
      <c r="RN9" t="s">
        <v>1634</v>
      </c>
      <c r="RO9">
        <v>24.9</v>
      </c>
      <c r="RP9">
        <v>7.4053610000000001</v>
      </c>
      <c r="RQ9" t="s">
        <v>1599</v>
      </c>
      <c r="RR9">
        <v>2026</v>
      </c>
      <c r="RS9" t="s">
        <v>3185</v>
      </c>
      <c r="RT9" s="6">
        <v>45981</v>
      </c>
      <c r="RU9">
        <v>5</v>
      </c>
      <c r="RV9">
        <v>361900000</v>
      </c>
      <c r="RW9">
        <v>100487</v>
      </c>
      <c r="RX9" t="s">
        <v>3186</v>
      </c>
      <c r="SA9" t="s">
        <v>2592</v>
      </c>
      <c r="SB9">
        <v>7.0479999999999996E-3</v>
      </c>
      <c r="SC9" t="s">
        <v>1598</v>
      </c>
      <c r="SD9">
        <v>0.37631900000000001</v>
      </c>
      <c r="SE9" t="s">
        <v>1606</v>
      </c>
      <c r="SF9">
        <v>2024</v>
      </c>
      <c r="SG9" t="s">
        <v>2593</v>
      </c>
      <c r="SH9" s="6">
        <v>45742</v>
      </c>
      <c r="SI9">
        <v>5</v>
      </c>
      <c r="SJ9">
        <v>2163480.08</v>
      </c>
      <c r="SK9">
        <v>153672</v>
      </c>
      <c r="SL9" t="s">
        <v>2594</v>
      </c>
      <c r="SQ9" t="s">
        <v>2091</v>
      </c>
      <c r="SR9" t="s">
        <v>1598</v>
      </c>
      <c r="SS9">
        <v>7.3293999999999998E-2</v>
      </c>
      <c r="ST9">
        <v>0.120736</v>
      </c>
      <c r="SU9" t="s">
        <v>1664</v>
      </c>
      <c r="SV9">
        <v>2025</v>
      </c>
      <c r="SW9" t="s">
        <v>1733</v>
      </c>
      <c r="SX9" s="6">
        <v>45947</v>
      </c>
      <c r="SY9">
        <v>5</v>
      </c>
      <c r="SZ9">
        <v>2464222</v>
      </c>
      <c r="TA9">
        <v>182691</v>
      </c>
      <c r="TB9" t="s">
        <v>2092</v>
      </c>
      <c r="TE9" t="s">
        <v>1742</v>
      </c>
      <c r="TF9">
        <v>0.75997400000000004</v>
      </c>
      <c r="TG9" t="s">
        <v>1598</v>
      </c>
      <c r="TH9">
        <v>0.60341699999999998</v>
      </c>
      <c r="TI9" t="s">
        <v>1664</v>
      </c>
      <c r="TJ9">
        <v>2025</v>
      </c>
      <c r="TK9" t="s">
        <v>1733</v>
      </c>
      <c r="TL9" s="6">
        <v>45947</v>
      </c>
      <c r="TM9">
        <v>5</v>
      </c>
      <c r="TN9">
        <v>24752352</v>
      </c>
      <c r="TO9">
        <v>115688</v>
      </c>
      <c r="TP9" t="s">
        <v>1743</v>
      </c>
      <c r="TU9" t="s">
        <v>172</v>
      </c>
      <c r="TW9">
        <v>-2.4245362661989844E-14</v>
      </c>
      <c r="TX9">
        <v>-2.4245362661989844E-14</v>
      </c>
      <c r="TY9" t="s">
        <v>1594</v>
      </c>
      <c r="TZ9">
        <v>2021</v>
      </c>
      <c r="UA9" t="s">
        <v>4240</v>
      </c>
      <c r="UB9" s="6">
        <v>44693</v>
      </c>
      <c r="UC9">
        <v>5</v>
      </c>
      <c r="UD9">
        <v>-2.4245362661989844E-14</v>
      </c>
      <c r="UE9">
        <v>100481</v>
      </c>
      <c r="UF9" t="s">
        <v>4241</v>
      </c>
      <c r="UY9" t="s">
        <v>3350</v>
      </c>
      <c r="UZ9" t="s">
        <v>1598</v>
      </c>
      <c r="VA9">
        <v>0.82792200000000005</v>
      </c>
      <c r="VB9">
        <v>0.75151400000000002</v>
      </c>
      <c r="VC9" t="s">
        <v>1664</v>
      </c>
      <c r="VD9">
        <v>2025</v>
      </c>
      <c r="VE9" t="s">
        <v>3351</v>
      </c>
      <c r="VF9" s="6">
        <v>45959</v>
      </c>
      <c r="VG9">
        <v>5</v>
      </c>
      <c r="VH9">
        <v>28398061.84</v>
      </c>
      <c r="VI9">
        <v>113332</v>
      </c>
      <c r="VJ9" t="s">
        <v>3352</v>
      </c>
      <c r="VM9" t="s">
        <v>1621</v>
      </c>
      <c r="VN9">
        <v>6</v>
      </c>
      <c r="VP9">
        <v>-2.4245362661989844E-14</v>
      </c>
      <c r="VQ9" t="s">
        <v>1594</v>
      </c>
      <c r="VR9">
        <v>2024</v>
      </c>
      <c r="VS9" t="s">
        <v>2825</v>
      </c>
      <c r="VT9" s="6">
        <v>45715</v>
      </c>
      <c r="VU9">
        <v>5</v>
      </c>
      <c r="VV9">
        <v>954404992</v>
      </c>
      <c r="VW9">
        <v>218252</v>
      </c>
      <c r="VX9" t="s">
        <v>1622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B9"/>
  <sheetViews>
    <sheetView workbookViewId="0">
      <selection activeCell="G10" sqref="G10"/>
    </sheetView>
  </sheetViews>
  <sheetFormatPr defaultRowHeight="15" x14ac:dyDescent="0.25"/>
  <cols>
    <col min="1" max="600" width="14" customWidth="1"/>
  </cols>
  <sheetData>
    <row r="1" spans="1:600" x14ac:dyDescent="0.25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24</v>
      </c>
      <c r="AE2" s="3" t="s">
        <v>70</v>
      </c>
      <c r="BI2" s="3" t="s">
        <v>71</v>
      </c>
      <c r="CM2" s="3" t="s">
        <v>72</v>
      </c>
      <c r="DQ2" s="3" t="s">
        <v>73</v>
      </c>
      <c r="EU2" s="3" t="s">
        <v>74</v>
      </c>
      <c r="FY2" s="3" t="s">
        <v>75</v>
      </c>
      <c r="HC2" s="3" t="s">
        <v>76</v>
      </c>
      <c r="IG2" s="3" t="s">
        <v>77</v>
      </c>
      <c r="JK2" s="3" t="s">
        <v>78</v>
      </c>
      <c r="KO2" s="3" t="s">
        <v>71</v>
      </c>
      <c r="LS2" s="3" t="s">
        <v>79</v>
      </c>
      <c r="MW2" s="3" t="s">
        <v>80</v>
      </c>
      <c r="OA2" s="3" t="s">
        <v>81</v>
      </c>
      <c r="PE2" s="3" t="s">
        <v>82</v>
      </c>
      <c r="QI2" s="3" t="s">
        <v>83</v>
      </c>
      <c r="RM2" s="3" t="s">
        <v>84</v>
      </c>
      <c r="SQ2" s="3" t="s">
        <v>27</v>
      </c>
      <c r="TU2" s="3" t="s">
        <v>85</v>
      </c>
      <c r="UY2" s="3" t="s">
        <v>71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_xll.BDS("PFE US Equity","SUPPLY_CHAIN_SUPPLIERS_ALL_DATA","cols=12;rows=5")</f>
        <v>BNTX US Equity</v>
      </c>
      <c r="B5" t="s">
        <v>1598</v>
      </c>
      <c r="C5">
        <v>73</v>
      </c>
      <c r="D5">
        <v>12.187704999999999</v>
      </c>
      <c r="E5" t="s">
        <v>1594</v>
      </c>
      <c r="F5">
        <v>2024</v>
      </c>
      <c r="G5" t="s">
        <v>3345</v>
      </c>
      <c r="H5" s="6">
        <v>45726</v>
      </c>
      <c r="I5">
        <v>5</v>
      </c>
      <c r="J5">
        <v>544064265</v>
      </c>
      <c r="K5">
        <v>65839686</v>
      </c>
      <c r="L5" t="s">
        <v>3346</v>
      </c>
      <c r="O5" t="str">
        <f>_xll.BDS("PFE US Equity","SUPPLY_CHAIN_CUSTOMERS_ALL_DATA","cols=12;rows=5")</f>
        <v>MCK US Equity</v>
      </c>
      <c r="P5">
        <v>25</v>
      </c>
      <c r="Q5" t="s">
        <v>1598</v>
      </c>
      <c r="R5">
        <v>4.0761390000000004</v>
      </c>
      <c r="S5" t="s">
        <v>1594</v>
      </c>
      <c r="T5">
        <v>2025</v>
      </c>
      <c r="U5" t="s">
        <v>2824</v>
      </c>
      <c r="V5" s="6">
        <v>46079</v>
      </c>
      <c r="W5">
        <v>5</v>
      </c>
      <c r="X5">
        <v>3911187456</v>
      </c>
      <c r="Y5">
        <v>154936</v>
      </c>
      <c r="Z5" t="s">
        <v>1766</v>
      </c>
      <c r="AE5" t="str">
        <f>_xll.BDS("ET US Equity","SUPPLY_CHAIN_SUPPLIERS_ALL_DATA","cols=12;rows=5")</f>
        <v>CNR CN Equity</v>
      </c>
      <c r="AF5" t="s">
        <v>1598</v>
      </c>
      <c r="AG5">
        <v>1.0582020000000001</v>
      </c>
      <c r="AH5">
        <v>0.20854300000000001</v>
      </c>
      <c r="AI5" t="s">
        <v>1603</v>
      </c>
      <c r="AJ5">
        <v>2025</v>
      </c>
      <c r="AK5" t="s">
        <v>2089</v>
      </c>
      <c r="AL5" s="6">
        <v>45849</v>
      </c>
      <c r="AM5">
        <v>5</v>
      </c>
      <c r="AN5">
        <v>32471893.800000001</v>
      </c>
      <c r="AO5">
        <v>179551</v>
      </c>
      <c r="AP5" t="s">
        <v>2090</v>
      </c>
      <c r="AS5" t="str">
        <f>_xll.BDS("ET US Equity","SUPPLY_CHAIN_CUSTOMERS_ALL_DATA","cols=12;rows=5")</f>
        <v>384 HK Equity</v>
      </c>
      <c r="AT5">
        <v>-2.4245362661989844E-14</v>
      </c>
      <c r="AV5">
        <v>-2.4245362661989844E-14</v>
      </c>
      <c r="AW5" t="s">
        <v>1594</v>
      </c>
      <c r="AX5">
        <v>2022</v>
      </c>
      <c r="AY5" t="s">
        <v>1982</v>
      </c>
      <c r="AZ5" s="6">
        <v>44717</v>
      </c>
      <c r="BA5">
        <v>5</v>
      </c>
      <c r="BB5">
        <v>-2.4245362661989844E-14</v>
      </c>
      <c r="BC5">
        <v>178275</v>
      </c>
      <c r="BD5" t="s">
        <v>1983</v>
      </c>
      <c r="BI5" t="str">
        <f>_xll.BDS("BAC US Equity","SUPPLY_CHAIN_SUPPLIERS_ALL_DATA","cols=12;rows=5")</f>
        <v>ORCL US Equity</v>
      </c>
      <c r="BJ5" t="s">
        <v>1598</v>
      </c>
      <c r="BK5">
        <v>0.27107500000000001</v>
      </c>
      <c r="BL5">
        <v>0.24259500000000001</v>
      </c>
      <c r="BM5" t="s">
        <v>1606</v>
      </c>
      <c r="BN5">
        <v>2025</v>
      </c>
      <c r="BO5" t="s">
        <v>2251</v>
      </c>
      <c r="BP5" s="6">
        <v>45848</v>
      </c>
      <c r="BQ5">
        <v>5</v>
      </c>
      <c r="BR5">
        <v>43109056</v>
      </c>
      <c r="BS5">
        <v>101752</v>
      </c>
      <c r="BT5" t="s">
        <v>2265</v>
      </c>
      <c r="BW5" t="str">
        <f>_xll.BDS("BAC US Equity","SUPPLY_CHAIN_CUSTOMERS_ALL_DATA","cols=12;rows=4")</f>
        <v>3147564Z US Equity</v>
      </c>
      <c r="BX5">
        <v>-2.4245362661989844E-14</v>
      </c>
      <c r="BZ5">
        <v>-2.4245362661989844E-14</v>
      </c>
      <c r="CA5" t="s">
        <v>1594</v>
      </c>
      <c r="CB5">
        <v>2022</v>
      </c>
      <c r="CC5" t="s">
        <v>6104</v>
      </c>
      <c r="CD5" s="6">
        <v>44875</v>
      </c>
      <c r="CE5">
        <v>4</v>
      </c>
      <c r="CF5">
        <v>-2.4245362661989844E-14</v>
      </c>
      <c r="CG5">
        <v>15504092</v>
      </c>
      <c r="CH5" t="s">
        <v>6105</v>
      </c>
      <c r="CM5" t="str">
        <f>_xll.BDS("PG US Equity","SUPPLY_CHAIN_SUPPLIERS_ALL_DATA","cols=12;rows=5")</f>
        <v>BABA US Equity</v>
      </c>
      <c r="CN5" t="s">
        <v>1685</v>
      </c>
      <c r="CO5">
        <v>0.77906699999999995</v>
      </c>
      <c r="CP5">
        <v>5.1980690000000003</v>
      </c>
      <c r="CQ5" t="s">
        <v>1603</v>
      </c>
      <c r="CR5">
        <v>2026</v>
      </c>
      <c r="CS5" t="s">
        <v>2797</v>
      </c>
      <c r="CT5" s="6">
        <v>45973</v>
      </c>
      <c r="CU5">
        <v>5</v>
      </c>
      <c r="CV5">
        <v>266852521.37</v>
      </c>
      <c r="CW5">
        <v>16857643</v>
      </c>
      <c r="CX5" t="s">
        <v>2798</v>
      </c>
      <c r="DA5" t="str">
        <f>_xll.BDS("PG US Equity","SUPPLY_CHAIN_CUSTOMERS_ALL_DATA","cols=12;rows=5")</f>
        <v>WMT US Equity</v>
      </c>
      <c r="DB5">
        <v>16</v>
      </c>
      <c r="DC5" t="s">
        <v>1598</v>
      </c>
      <c r="DD5">
        <v>2.6204399999999999</v>
      </c>
      <c r="DE5" t="s">
        <v>1594</v>
      </c>
      <c r="DF5">
        <v>2025</v>
      </c>
      <c r="DG5" t="s">
        <v>5704</v>
      </c>
      <c r="DH5" s="6">
        <v>45873</v>
      </c>
      <c r="DI5">
        <v>5</v>
      </c>
      <c r="DJ5">
        <v>3371360000</v>
      </c>
      <c r="DK5">
        <v>101616</v>
      </c>
      <c r="DL5" t="s">
        <v>1666</v>
      </c>
      <c r="DQ5" t="str">
        <f>_xll.BDS("653707Q US Equity","SUPPLY_CHAIN_SUPPLIERS_ALL_DATA")</f>
        <v>#N/A N/A</v>
      </c>
      <c r="EE5" t="str">
        <f>_xll.BDS("653707Q US Equity","SUPPLY_CHAIN_CUSTOMERS_ALL_DATA")</f>
        <v>#N/A N/A</v>
      </c>
      <c r="EU5" t="str">
        <f>_xll.BDS("OXY US Equity","SUPPLY_CHAIN_SUPPLIERS_ALL_DATA","cols=12;rows=5")</f>
        <v>TEN IM Equity</v>
      </c>
      <c r="EV5" t="s">
        <v>1634</v>
      </c>
      <c r="EW5">
        <v>4.1556490000000004</v>
      </c>
      <c r="EX5">
        <v>6.1942469999999998</v>
      </c>
      <c r="EY5" t="s">
        <v>1599</v>
      </c>
      <c r="EZ5">
        <v>2025</v>
      </c>
      <c r="FA5" t="s">
        <v>3361</v>
      </c>
      <c r="FB5" s="6">
        <v>45971</v>
      </c>
      <c r="FC5">
        <v>5</v>
      </c>
      <c r="FD5">
        <v>123761048</v>
      </c>
      <c r="FE5">
        <v>7912227</v>
      </c>
      <c r="FF5" t="s">
        <v>3362</v>
      </c>
      <c r="FI5" t="str">
        <f>_xll.BDS("OXY US Equity","SUPPLY_CHAIN_CUSTOMERS_ALL_DATA","cols=12;rows=5")</f>
        <v>0611520D US Equity</v>
      </c>
      <c r="FJ5">
        <v>-2.4245362661989844E-14</v>
      </c>
      <c r="FL5">
        <v>-2.4245362661989844E-14</v>
      </c>
      <c r="FM5" t="s">
        <v>1594</v>
      </c>
      <c r="FN5">
        <v>2022</v>
      </c>
      <c r="FO5" t="s">
        <v>5566</v>
      </c>
      <c r="FP5" s="6">
        <v>44865</v>
      </c>
      <c r="FQ5">
        <v>5</v>
      </c>
      <c r="FR5">
        <v>-2.4245362661989844E-14</v>
      </c>
      <c r="FS5">
        <v>1419908</v>
      </c>
      <c r="FT5" t="s">
        <v>5567</v>
      </c>
      <c r="FY5" t="str">
        <f>_xll.BDS("JPM US Equity","SUPPLY_CHAIN_SUPPLIERS_ALL_DATA","cols=12;rows=5")</f>
        <v>LUV US Equity</v>
      </c>
      <c r="GA5">
        <v>10.404375</v>
      </c>
      <c r="GB5">
        <v>-2.4245362661989844E-14</v>
      </c>
      <c r="GC5" t="s">
        <v>1599</v>
      </c>
      <c r="GD5">
        <v>2025</v>
      </c>
      <c r="GE5" t="s">
        <v>4879</v>
      </c>
      <c r="GF5" s="6">
        <v>45953</v>
      </c>
      <c r="GG5">
        <v>5</v>
      </c>
      <c r="GH5">
        <v>723000000</v>
      </c>
      <c r="GI5">
        <v>101374</v>
      </c>
      <c r="GJ5" t="s">
        <v>2597</v>
      </c>
      <c r="GM5" t="str">
        <f>_xll.BDS("JPM US Equity","SUPPLY_CHAIN_CUSTOMERS_ALL_DATA","cols=12;rows=5")</f>
        <v>000737 CH Equity</v>
      </c>
      <c r="GN5">
        <v>-2.4245362661989844E-14</v>
      </c>
      <c r="GP5">
        <v>-2.4245362661989844E-14</v>
      </c>
      <c r="GQ5" t="s">
        <v>1594</v>
      </c>
      <c r="GR5">
        <v>2022</v>
      </c>
      <c r="GS5" t="s">
        <v>5051</v>
      </c>
      <c r="GT5" s="6">
        <v>45027</v>
      </c>
      <c r="GU5">
        <v>5</v>
      </c>
      <c r="GV5">
        <v>-2.4245362661989844E-14</v>
      </c>
      <c r="GW5">
        <v>223099</v>
      </c>
      <c r="GX5" t="s">
        <v>5052</v>
      </c>
      <c r="HC5" t="str">
        <f>_xll.BDS("ETP US Equity","SUPPLY_CHAIN_SUPPLIERS_ALL_DATA")</f>
        <v>#N/A N/A</v>
      </c>
      <c r="HQ5" t="str">
        <f>_xll.BDS("ETP US Equity","SUPPLY_CHAIN_CUSTOMERS_ALL_DATA")</f>
        <v>#N/A N/A</v>
      </c>
      <c r="IG5" t="str">
        <f>_xll.BDS("KMI US Equity","SUPPLY_CHAIN_SUPPLIERS_ALL_DATA","cols=12;rows=5")</f>
        <v>PWR US Equity</v>
      </c>
      <c r="IH5" t="s">
        <v>1634</v>
      </c>
      <c r="II5">
        <v>0.33276499999999998</v>
      </c>
      <c r="IJ5">
        <v>3.2023519999999999</v>
      </c>
      <c r="IK5" t="s">
        <v>1599</v>
      </c>
      <c r="IL5">
        <v>2025</v>
      </c>
      <c r="IM5" t="s">
        <v>2321</v>
      </c>
      <c r="IN5" s="6">
        <v>45975</v>
      </c>
      <c r="IO5">
        <v>5</v>
      </c>
      <c r="IP5">
        <v>25394656</v>
      </c>
      <c r="IQ5">
        <v>305366</v>
      </c>
      <c r="IR5" t="s">
        <v>2322</v>
      </c>
      <c r="IU5" t="str">
        <f>_xll.BDS("KMI US Equity","SUPPLY_CHAIN_CUSTOMERS_ALL_DATA","cols=12;rows=5")</f>
        <v>TX US Equity</v>
      </c>
      <c r="IV5">
        <v>0.29628300000000002</v>
      </c>
      <c r="IW5" t="s">
        <v>1598</v>
      </c>
      <c r="IX5">
        <v>0.33289200000000002</v>
      </c>
      <c r="IY5" t="s">
        <v>1599</v>
      </c>
      <c r="IZ5">
        <v>2025</v>
      </c>
      <c r="JA5" t="s">
        <v>4729</v>
      </c>
      <c r="JB5" s="6">
        <v>45959</v>
      </c>
      <c r="JC5">
        <v>5</v>
      </c>
      <c r="JD5">
        <v>12283901</v>
      </c>
      <c r="JE5">
        <v>10106947</v>
      </c>
      <c r="JF5" t="s">
        <v>4730</v>
      </c>
      <c r="JK5" t="str">
        <f>_xll.BDS("nan Equity","SUPPLY_CHAIN_SUPPLIERS_ALL_DATA")</f>
        <v>#N/A N/A</v>
      </c>
      <c r="JY5" t="str">
        <f>_xll.BDS("nan Equity","SUPPLY_CHAIN_CUSTOMERS_ALL_DATA")</f>
        <v>#N/A N/A</v>
      </c>
      <c r="KO5" t="str">
        <f>_xll.BDS("BAC US Equity","SUPPLY_CHAIN_SUPPLIERS_ALL_DATA","cols=12;rows=5")</f>
        <v>ORCL US Equity</v>
      </c>
      <c r="KP5" t="s">
        <v>1598</v>
      </c>
      <c r="KQ5">
        <v>0.27107500000000001</v>
      </c>
      <c r="KR5">
        <v>0.24259500000000001</v>
      </c>
      <c r="KS5" t="s">
        <v>1606</v>
      </c>
      <c r="KT5">
        <v>2025</v>
      </c>
      <c r="KU5" t="s">
        <v>2251</v>
      </c>
      <c r="KV5" s="6">
        <v>45848</v>
      </c>
      <c r="KW5">
        <v>5</v>
      </c>
      <c r="KX5">
        <v>43109056</v>
      </c>
      <c r="KY5">
        <v>101752</v>
      </c>
      <c r="KZ5" t="s">
        <v>2265</v>
      </c>
      <c r="LC5" t="str">
        <f>_xll.BDS("BAC US Equity","SUPPLY_CHAIN_CUSTOMERS_ALL_DATA","cols=12;rows=4")</f>
        <v>3147564Z US Equity</v>
      </c>
      <c r="LD5">
        <v>-2.4245362661989844E-14</v>
      </c>
      <c r="LF5">
        <v>-2.4245362661989844E-14</v>
      </c>
      <c r="LG5" t="s">
        <v>1594</v>
      </c>
      <c r="LH5">
        <v>2022</v>
      </c>
      <c r="LI5" t="s">
        <v>6104</v>
      </c>
      <c r="LJ5" s="6">
        <v>44875</v>
      </c>
      <c r="LK5">
        <v>4</v>
      </c>
      <c r="LL5">
        <v>-2.4245362661989844E-14</v>
      </c>
      <c r="LM5">
        <v>15504092</v>
      </c>
      <c r="LN5" t="s">
        <v>6105</v>
      </c>
      <c r="LS5" t="str">
        <f>_xll.BDS("MRK US Equity","SUPPLY_CHAIN_SUPPLIERS_ALL_DATA","cols=12;rows=5")</f>
        <v>AZN LN Equity</v>
      </c>
      <c r="LT5" t="s">
        <v>1598</v>
      </c>
      <c r="LU5">
        <v>1.1917120000000001</v>
      </c>
      <c r="LV5">
        <v>4.272983</v>
      </c>
      <c r="LW5" t="s">
        <v>1594</v>
      </c>
      <c r="LX5">
        <v>2025</v>
      </c>
      <c r="LY5" t="s">
        <v>4869</v>
      </c>
      <c r="LZ5" s="6">
        <v>46077</v>
      </c>
      <c r="MA5">
        <v>5</v>
      </c>
      <c r="MB5">
        <v>175000000</v>
      </c>
      <c r="MC5">
        <v>111093</v>
      </c>
      <c r="MD5" t="s">
        <v>3409</v>
      </c>
      <c r="MG5" t="str">
        <f>_xll.BDS("MRK US Equity","SUPPLY_CHAIN_CUSTOMERS_ALL_DATA","cols=12;rows=5")</f>
        <v>COR US Equity</v>
      </c>
      <c r="MH5">
        <v>9.6931790000000007</v>
      </c>
      <c r="MI5" t="s">
        <v>1598</v>
      </c>
      <c r="MJ5">
        <v>2.073159</v>
      </c>
      <c r="MK5" t="s">
        <v>1599</v>
      </c>
      <c r="ML5">
        <v>2025</v>
      </c>
      <c r="MM5" t="s">
        <v>5050</v>
      </c>
      <c r="MN5" s="6">
        <v>45985</v>
      </c>
      <c r="MO5">
        <v>5</v>
      </c>
      <c r="MP5">
        <v>1674593664</v>
      </c>
      <c r="MQ5">
        <v>156969</v>
      </c>
      <c r="MR5" t="s">
        <v>1767</v>
      </c>
      <c r="MW5" t="str">
        <f>_xll.BDS("MDT US Equity","SUPPLY_CHAIN_SUPPLIERS_ALL_DATA","cols=12;rows=5")</f>
        <v>FLEX US Equity</v>
      </c>
      <c r="MX5" t="s">
        <v>1598</v>
      </c>
      <c r="MY5">
        <v>1.2190190000000001</v>
      </c>
      <c r="MZ5">
        <v>2.8758149999999998</v>
      </c>
      <c r="NA5" t="s">
        <v>1599</v>
      </c>
      <c r="NB5">
        <v>2025</v>
      </c>
      <c r="NC5" t="s">
        <v>2557</v>
      </c>
      <c r="ND5" s="6">
        <v>45763</v>
      </c>
      <c r="NE5">
        <v>5</v>
      </c>
      <c r="NF5">
        <v>79918888</v>
      </c>
      <c r="NG5">
        <v>136547</v>
      </c>
      <c r="NH5" t="s">
        <v>2558</v>
      </c>
      <c r="NK5" t="str">
        <f>_xll.BDS("MDT US Equity","SUPPLY_CHAIN_CUSTOMERS_ALL_DATA","cols=12;rows=5")</f>
        <v>4104 TT Equity</v>
      </c>
      <c r="NL5">
        <v>0.20070099999999999</v>
      </c>
      <c r="NM5" t="s">
        <v>1598</v>
      </c>
      <c r="NN5">
        <v>32.397697000000001</v>
      </c>
      <c r="NO5" t="s">
        <v>1594</v>
      </c>
      <c r="NP5">
        <v>2024</v>
      </c>
      <c r="NQ5" t="s">
        <v>3693</v>
      </c>
      <c r="NR5" s="6">
        <v>45814</v>
      </c>
      <c r="NS5">
        <v>5</v>
      </c>
      <c r="NT5">
        <v>17028014.890000001</v>
      </c>
      <c r="NU5">
        <v>7324380</v>
      </c>
      <c r="NV5" t="s">
        <v>3694</v>
      </c>
      <c r="OA5" t="str">
        <f>_xll.BDS("0772031D US Equity","SUPPLY_CHAIN_SUPPLIERS_ALL_DATA")</f>
        <v>#N/A N/A</v>
      </c>
      <c r="OO5" t="str">
        <f>_xll.BDS("0772031D US Equity","SUPPLY_CHAIN_CUSTOMERS_ALL_DATA")</f>
        <v>#N/A N/A</v>
      </c>
      <c r="PE5" t="str">
        <f>_xll.BDS("CVX US Equity","SUPPLY_CHAIN_SUPPLIERS_ALL_DATA","cols=12;rows=5")</f>
        <v>RIG US Equity</v>
      </c>
      <c r="PF5" t="s">
        <v>1634</v>
      </c>
      <c r="PG5">
        <v>14.893827999999999</v>
      </c>
      <c r="PH5">
        <v>3.5820059999999998</v>
      </c>
      <c r="PI5" t="s">
        <v>1606</v>
      </c>
      <c r="PJ5">
        <v>2025</v>
      </c>
      <c r="PK5" t="s">
        <v>4441</v>
      </c>
      <c r="PL5" s="6">
        <v>46090</v>
      </c>
      <c r="PM5">
        <v>5</v>
      </c>
      <c r="PN5">
        <v>155342624</v>
      </c>
      <c r="PO5">
        <v>119077</v>
      </c>
      <c r="PP5" t="s">
        <v>4442</v>
      </c>
      <c r="PS5" t="str">
        <f>_xll.BDS("CVX US Equity","SUPPLY_CHAIN_CUSTOMERS_ALL_DATA","cols=12;rows=5")</f>
        <v>UGPA3 BZ Equity</v>
      </c>
      <c r="PT5">
        <v>8.6980000000000002E-2</v>
      </c>
      <c r="PU5" t="s">
        <v>1598</v>
      </c>
      <c r="PV5">
        <v>0.76061900000000005</v>
      </c>
      <c r="PW5" t="s">
        <v>1594</v>
      </c>
      <c r="PX5">
        <v>2024</v>
      </c>
      <c r="PY5" t="s">
        <v>3563</v>
      </c>
      <c r="PZ5" s="6">
        <v>45770</v>
      </c>
      <c r="QA5">
        <v>5</v>
      </c>
      <c r="QB5">
        <v>43856224.539999999</v>
      </c>
      <c r="QC5">
        <v>825248</v>
      </c>
      <c r="QD5" t="s">
        <v>3564</v>
      </c>
      <c r="QI5" t="str">
        <f>_xll.BDS("SPGI US Equity","SUPPLY_CHAIN_SUPPLIERS_ALL_DATA","cols=12;rows=5")</f>
        <v>CRISIL IN Equity</v>
      </c>
      <c r="QJ5" t="s">
        <v>1685</v>
      </c>
      <c r="QK5">
        <v>11.765825</v>
      </c>
      <c r="QL5">
        <v>1.406657</v>
      </c>
      <c r="QM5" t="s">
        <v>1594</v>
      </c>
      <c r="QN5">
        <v>2024</v>
      </c>
      <c r="QO5" t="s">
        <v>4886</v>
      </c>
      <c r="QP5" s="6">
        <v>45751</v>
      </c>
      <c r="QQ5">
        <v>5</v>
      </c>
      <c r="QR5">
        <v>11460822.43</v>
      </c>
      <c r="QS5">
        <v>152024</v>
      </c>
      <c r="QT5" t="s">
        <v>4887</v>
      </c>
      <c r="QW5" t="str">
        <f>_xll.BDS("SPGI US Equity","SUPPLY_CHAIN_CUSTOMERS_ALL_DATA","cols=12;rows=5")</f>
        <v>CRISIL IN Equity</v>
      </c>
      <c r="QX5">
        <v>3.3050000000000002E-3</v>
      </c>
      <c r="QY5" t="s">
        <v>1685</v>
      </c>
      <c r="QZ5">
        <v>0.16743</v>
      </c>
      <c r="RA5" t="s">
        <v>1594</v>
      </c>
      <c r="RB5">
        <v>2024</v>
      </c>
      <c r="RC5" t="s">
        <v>4886</v>
      </c>
      <c r="RD5" s="6">
        <v>45751</v>
      </c>
      <c r="RE5">
        <v>5</v>
      </c>
      <c r="RF5">
        <v>121020.76</v>
      </c>
      <c r="RG5">
        <v>152024</v>
      </c>
      <c r="RH5" t="s">
        <v>4887</v>
      </c>
      <c r="RM5" t="str">
        <f>_xll.BDS("0848680D US Equity","SUPPLY_CHAIN_SUPPLIERS_ALL_DATA")</f>
        <v>#N/A N/A</v>
      </c>
      <c r="SA5" t="str">
        <f>_xll.BDS("0848680D US Equity","SUPPLY_CHAIN_CUSTOMERS_ALL_DATA")</f>
        <v>#N/A N/A</v>
      </c>
      <c r="SQ5" t="str">
        <f>_xll.BDS("XOM US Equity","SUPPLY_CHAIN_SUPPLIERS_ALL_DATA","cols=12;rows=5")</f>
        <v>PAA US Equity</v>
      </c>
      <c r="SR5" t="s">
        <v>1598</v>
      </c>
      <c r="SS5">
        <v>30</v>
      </c>
      <c r="ST5">
        <v>5.2016150000000003</v>
      </c>
      <c r="SU5" t="s">
        <v>1594</v>
      </c>
      <c r="SV5">
        <v>2024</v>
      </c>
      <c r="SW5" t="s">
        <v>4334</v>
      </c>
      <c r="SX5" s="6">
        <v>45716</v>
      </c>
      <c r="SY5">
        <v>5</v>
      </c>
      <c r="SZ5">
        <v>3755474944</v>
      </c>
      <c r="TA5">
        <v>344604</v>
      </c>
      <c r="TB5" t="s">
        <v>5149</v>
      </c>
      <c r="TE5" t="str">
        <f>_xll.BDS("XOM US Equity","SUPPLY_CHAIN_CUSTOMERS_ALL_DATA","cols=12;rows=5")</f>
        <v>IMO CN Equity</v>
      </c>
      <c r="TF5">
        <v>0.77814300000000003</v>
      </c>
      <c r="TG5" t="s">
        <v>1598</v>
      </c>
      <c r="TH5">
        <v>8.6601540000000004</v>
      </c>
      <c r="TI5" t="s">
        <v>1594</v>
      </c>
      <c r="TJ5">
        <v>2024</v>
      </c>
      <c r="TK5" t="s">
        <v>4943</v>
      </c>
      <c r="TL5" s="6">
        <v>45707</v>
      </c>
      <c r="TM5">
        <v>5</v>
      </c>
      <c r="TN5">
        <v>660135575.35000002</v>
      </c>
      <c r="TO5">
        <v>104669</v>
      </c>
      <c r="TP5" t="s">
        <v>4944</v>
      </c>
      <c r="TU5" t="str">
        <f>_xll.BDS("FIS US Equity","SUPPLY_CHAIN_SUPPLIERS_ALL_DATA","cols=12;rows=5")</f>
        <v>HPE US Equity</v>
      </c>
      <c r="TV5" t="s">
        <v>1598</v>
      </c>
      <c r="TW5">
        <v>0.337399</v>
      </c>
      <c r="TX5">
        <v>1.5567709999999999</v>
      </c>
      <c r="TY5" t="s">
        <v>1664</v>
      </c>
      <c r="TZ5">
        <v>2025</v>
      </c>
      <c r="UA5" t="s">
        <v>3110</v>
      </c>
      <c r="UB5" s="6">
        <v>45846</v>
      </c>
      <c r="UC5">
        <v>5</v>
      </c>
      <c r="UD5">
        <v>25733422</v>
      </c>
      <c r="UE5">
        <v>42602315</v>
      </c>
      <c r="UF5" t="s">
        <v>3111</v>
      </c>
      <c r="UI5" t="str">
        <f>_xll.BDS("FIS US Equity","SUPPLY_CHAIN_CUSTOMERS_ALL_DATA","cols=12;rows=5")</f>
        <v>IBM US Equity</v>
      </c>
      <c r="UJ5">
        <v>0.52327299999999999</v>
      </c>
      <c r="UK5" t="s">
        <v>1598</v>
      </c>
      <c r="UL5">
        <v>0.20352200000000001</v>
      </c>
      <c r="UM5" t="s">
        <v>1603</v>
      </c>
      <c r="UN5">
        <v>2025</v>
      </c>
      <c r="UO5" t="s">
        <v>1744</v>
      </c>
      <c r="UP5" s="6">
        <v>45797</v>
      </c>
      <c r="UQ5">
        <v>5</v>
      </c>
      <c r="UR5">
        <v>13249282</v>
      </c>
      <c r="US5">
        <v>100801</v>
      </c>
      <c r="UT5" t="s">
        <v>1745</v>
      </c>
      <c r="UY5" t="str">
        <f>_xll.BDS("BAC US Equity","SUPPLY_CHAIN_SUPPLIERS_ALL_DATA","cols=12;rows=5")</f>
        <v>ORCL US Equity</v>
      </c>
      <c r="UZ5" t="s">
        <v>1598</v>
      </c>
      <c r="VA5">
        <v>0.27107500000000001</v>
      </c>
      <c r="VB5">
        <v>0.24259500000000001</v>
      </c>
      <c r="VC5" t="s">
        <v>1606</v>
      </c>
      <c r="VD5">
        <v>2025</v>
      </c>
      <c r="VE5" t="s">
        <v>2251</v>
      </c>
      <c r="VF5" s="6">
        <v>45848</v>
      </c>
      <c r="VG5">
        <v>5</v>
      </c>
      <c r="VH5">
        <v>43109056</v>
      </c>
      <c r="VI5">
        <v>101752</v>
      </c>
      <c r="VJ5" t="s">
        <v>2265</v>
      </c>
      <c r="VM5" t="str">
        <f>_xll.BDS("BAC US Equity","SUPPLY_CHAIN_CUSTOMERS_ALL_DATA","cols=12;rows=4")</f>
        <v>3147564Z US Equity</v>
      </c>
      <c r="VN5">
        <v>-2.4245362661989844E-14</v>
      </c>
      <c r="VP5">
        <v>-2.4245362661989844E-14</v>
      </c>
      <c r="VQ5" t="s">
        <v>1594</v>
      </c>
      <c r="VR5">
        <v>2022</v>
      </c>
      <c r="VS5" t="s">
        <v>6104</v>
      </c>
      <c r="VT5" s="6">
        <v>44875</v>
      </c>
      <c r="VU5">
        <v>4</v>
      </c>
      <c r="VV5">
        <v>-2.4245362661989844E-14</v>
      </c>
      <c r="VW5">
        <v>15504092</v>
      </c>
      <c r="VX5" t="s">
        <v>6105</v>
      </c>
    </row>
    <row r="6" spans="1:600" x14ac:dyDescent="0.25">
      <c r="A6" t="s">
        <v>143</v>
      </c>
      <c r="B6" t="s">
        <v>1598</v>
      </c>
      <c r="C6">
        <v>0.22900000000000001</v>
      </c>
      <c r="D6">
        <v>1.2800659999999999</v>
      </c>
      <c r="E6" t="s">
        <v>1606</v>
      </c>
      <c r="F6">
        <v>2025</v>
      </c>
      <c r="G6" t="s">
        <v>2251</v>
      </c>
      <c r="H6" s="6">
        <v>45848</v>
      </c>
      <c r="I6">
        <v>5</v>
      </c>
      <c r="J6">
        <v>36417872</v>
      </c>
      <c r="K6">
        <v>101752</v>
      </c>
      <c r="L6" t="s">
        <v>2265</v>
      </c>
      <c r="O6" t="s">
        <v>959</v>
      </c>
      <c r="P6">
        <v>16</v>
      </c>
      <c r="Q6" t="s">
        <v>1598</v>
      </c>
      <c r="R6">
        <v>3.190922</v>
      </c>
      <c r="S6" t="s">
        <v>1594</v>
      </c>
      <c r="T6">
        <v>2025</v>
      </c>
      <c r="U6" t="s">
        <v>2824</v>
      </c>
      <c r="V6" s="6">
        <v>46079</v>
      </c>
      <c r="W6">
        <v>5</v>
      </c>
      <c r="X6">
        <v>2503160064</v>
      </c>
      <c r="Y6">
        <v>156969</v>
      </c>
      <c r="Z6" t="s">
        <v>1767</v>
      </c>
      <c r="AE6" t="s">
        <v>462</v>
      </c>
      <c r="AF6" t="s">
        <v>1634</v>
      </c>
      <c r="AG6">
        <v>0.122599</v>
      </c>
      <c r="AH6">
        <v>1.659594</v>
      </c>
      <c r="AI6" t="s">
        <v>1664</v>
      </c>
      <c r="AJ6">
        <v>2025</v>
      </c>
      <c r="AK6" t="s">
        <v>3366</v>
      </c>
      <c r="AL6" s="6">
        <v>45876</v>
      </c>
      <c r="AM6">
        <v>5</v>
      </c>
      <c r="AN6">
        <v>20313428</v>
      </c>
      <c r="AO6">
        <v>100285</v>
      </c>
      <c r="AP6" t="s">
        <v>1764</v>
      </c>
      <c r="AS6" t="s">
        <v>82</v>
      </c>
      <c r="AT6">
        <v>-2.4245362661989844E-14</v>
      </c>
      <c r="AV6">
        <v>-2.4245362661989844E-14</v>
      </c>
      <c r="AW6" t="s">
        <v>1594</v>
      </c>
      <c r="AX6">
        <v>2025</v>
      </c>
      <c r="AY6" t="s">
        <v>1984</v>
      </c>
      <c r="AZ6" s="6">
        <v>45833</v>
      </c>
      <c r="BA6">
        <v>5</v>
      </c>
      <c r="BB6">
        <v>-2.4245362661989844E-14</v>
      </c>
      <c r="BC6">
        <v>100315</v>
      </c>
      <c r="BD6" t="s">
        <v>1985</v>
      </c>
      <c r="BI6" t="s">
        <v>1084</v>
      </c>
      <c r="BJ6" t="s">
        <v>1685</v>
      </c>
      <c r="BK6">
        <v>0.46972799999999998</v>
      </c>
      <c r="BL6">
        <v>0.155246</v>
      </c>
      <c r="BM6" t="s">
        <v>1664</v>
      </c>
      <c r="BN6">
        <v>2025</v>
      </c>
      <c r="BO6" t="s">
        <v>2052</v>
      </c>
      <c r="BP6" s="6">
        <v>45838</v>
      </c>
      <c r="BQ6">
        <v>5</v>
      </c>
      <c r="BR6">
        <v>27587124</v>
      </c>
      <c r="BS6">
        <v>101689</v>
      </c>
      <c r="BT6" t="s">
        <v>2053</v>
      </c>
      <c r="BW6" t="s">
        <v>1420</v>
      </c>
      <c r="BX6">
        <v>-2.4245362661989844E-14</v>
      </c>
      <c r="BZ6">
        <v>-2.4245362661989844E-14</v>
      </c>
      <c r="CA6" t="s">
        <v>1594</v>
      </c>
      <c r="CB6">
        <v>2025</v>
      </c>
      <c r="CC6" t="s">
        <v>4802</v>
      </c>
      <c r="CD6" s="6">
        <v>46065</v>
      </c>
      <c r="CE6">
        <v>4</v>
      </c>
      <c r="CF6">
        <v>-2.4245362661989844E-14</v>
      </c>
      <c r="CG6">
        <v>100024</v>
      </c>
      <c r="CH6" t="s">
        <v>5440</v>
      </c>
      <c r="CM6" t="s">
        <v>1866</v>
      </c>
      <c r="CN6" t="s">
        <v>1598</v>
      </c>
      <c r="CO6">
        <v>0.53945900000000002</v>
      </c>
      <c r="CP6">
        <v>1.342249</v>
      </c>
      <c r="CQ6" t="s">
        <v>1664</v>
      </c>
      <c r="CR6">
        <v>2025</v>
      </c>
      <c r="CS6" t="s">
        <v>5617</v>
      </c>
      <c r="CT6" s="6">
        <v>45896</v>
      </c>
      <c r="CU6">
        <v>5</v>
      </c>
      <c r="CV6">
        <v>144937335.84</v>
      </c>
      <c r="CW6">
        <v>112571</v>
      </c>
      <c r="CX6" t="s">
        <v>1867</v>
      </c>
      <c r="DA6" t="s">
        <v>303</v>
      </c>
      <c r="DB6">
        <v>7.5533060000000001</v>
      </c>
      <c r="DC6" t="s">
        <v>1598</v>
      </c>
      <c r="DD6">
        <v>1.96953</v>
      </c>
      <c r="DE6" t="s">
        <v>1606</v>
      </c>
      <c r="DF6">
        <v>2025</v>
      </c>
      <c r="DG6" t="s">
        <v>2670</v>
      </c>
      <c r="DH6" s="6">
        <v>45883</v>
      </c>
      <c r="DI6">
        <v>5</v>
      </c>
      <c r="DJ6">
        <v>1591557120</v>
      </c>
      <c r="DK6">
        <v>216952</v>
      </c>
      <c r="DL6" t="s">
        <v>1631</v>
      </c>
      <c r="EU6" t="s">
        <v>3957</v>
      </c>
      <c r="EV6" t="s">
        <v>1634</v>
      </c>
      <c r="EW6">
        <v>5.7508549999999996</v>
      </c>
      <c r="EX6">
        <v>2.5957469999999998</v>
      </c>
      <c r="EY6" t="s">
        <v>1599</v>
      </c>
      <c r="EZ6">
        <v>2025</v>
      </c>
      <c r="FA6" t="s">
        <v>3958</v>
      </c>
      <c r="FB6" s="6">
        <v>46006</v>
      </c>
      <c r="FC6">
        <v>5</v>
      </c>
      <c r="FD6">
        <v>45892800</v>
      </c>
      <c r="FE6">
        <v>69554276</v>
      </c>
      <c r="FF6" t="s">
        <v>3959</v>
      </c>
      <c r="FI6" t="s">
        <v>5568</v>
      </c>
      <c r="FJ6">
        <v>-2.4245362661989844E-14</v>
      </c>
      <c r="FL6">
        <v>-2.4245362661989844E-14</v>
      </c>
      <c r="FM6" t="s">
        <v>1594</v>
      </c>
      <c r="FN6">
        <v>2022</v>
      </c>
      <c r="FO6" t="s">
        <v>5569</v>
      </c>
      <c r="FP6" s="6">
        <v>44642</v>
      </c>
      <c r="FQ6">
        <v>5</v>
      </c>
      <c r="FR6">
        <v>-2.4245362661989844E-14</v>
      </c>
      <c r="FS6">
        <v>11787621</v>
      </c>
      <c r="FT6" t="s">
        <v>5570</v>
      </c>
      <c r="FY6" t="s">
        <v>4880</v>
      </c>
      <c r="FZ6" t="s">
        <v>1598</v>
      </c>
      <c r="GA6">
        <v>11</v>
      </c>
      <c r="GB6">
        <v>2.6129229999999999</v>
      </c>
      <c r="GC6" t="s">
        <v>1594</v>
      </c>
      <c r="GD6">
        <v>2025</v>
      </c>
      <c r="GE6" t="s">
        <v>4881</v>
      </c>
      <c r="GF6" s="6">
        <v>46072</v>
      </c>
      <c r="GG6">
        <v>5</v>
      </c>
      <c r="GH6">
        <v>624750000</v>
      </c>
      <c r="GI6">
        <v>101068</v>
      </c>
      <c r="GJ6" t="s">
        <v>4882</v>
      </c>
      <c r="GM6" t="s">
        <v>5053</v>
      </c>
      <c r="GN6">
        <v>-2.4245362661989844E-14</v>
      </c>
      <c r="GP6">
        <v>-2.4245362661989844E-14</v>
      </c>
      <c r="GQ6" t="s">
        <v>1594</v>
      </c>
      <c r="GR6">
        <v>2026</v>
      </c>
      <c r="GS6" t="s">
        <v>5054</v>
      </c>
      <c r="GT6" s="6">
        <v>46076</v>
      </c>
      <c r="GU6">
        <v>5</v>
      </c>
      <c r="GV6">
        <v>-2.4245362661989844E-14</v>
      </c>
      <c r="GW6">
        <v>70451011</v>
      </c>
      <c r="GX6" t="s">
        <v>5055</v>
      </c>
      <c r="IG6" t="s">
        <v>2317</v>
      </c>
      <c r="IH6" t="s">
        <v>1598</v>
      </c>
      <c r="II6">
        <v>1.424056</v>
      </c>
      <c r="IJ6">
        <v>0.865734</v>
      </c>
      <c r="IK6" t="s">
        <v>1603</v>
      </c>
      <c r="IL6">
        <v>2025</v>
      </c>
      <c r="IM6" t="s">
        <v>2318</v>
      </c>
      <c r="IN6" s="6">
        <v>45863</v>
      </c>
      <c r="IO6">
        <v>5</v>
      </c>
      <c r="IP6">
        <v>23470038</v>
      </c>
      <c r="IQ6">
        <v>10832677</v>
      </c>
      <c r="IR6" t="s">
        <v>2319</v>
      </c>
      <c r="IU6" t="s">
        <v>2108</v>
      </c>
      <c r="IV6">
        <v>-2.4245362661989844E-14</v>
      </c>
      <c r="IX6">
        <v>-2.4245362661989844E-14</v>
      </c>
      <c r="IY6" t="s">
        <v>1594</v>
      </c>
      <c r="IZ6">
        <v>2024</v>
      </c>
      <c r="JA6" t="s">
        <v>4731</v>
      </c>
      <c r="JB6" s="6">
        <v>45734</v>
      </c>
      <c r="JC6">
        <v>5</v>
      </c>
      <c r="JD6">
        <v>-2.4245362661989844E-14</v>
      </c>
      <c r="JE6">
        <v>227699</v>
      </c>
      <c r="JF6" t="s">
        <v>2110</v>
      </c>
      <c r="KO6" t="s">
        <v>1084</v>
      </c>
      <c r="KP6" t="s">
        <v>1685</v>
      </c>
      <c r="KQ6">
        <v>0.46972799999999998</v>
      </c>
      <c r="KR6">
        <v>0.155246</v>
      </c>
      <c r="KS6" t="s">
        <v>1664</v>
      </c>
      <c r="KT6">
        <v>2025</v>
      </c>
      <c r="KU6" t="s">
        <v>2052</v>
      </c>
      <c r="KV6" s="6">
        <v>45838</v>
      </c>
      <c r="KW6">
        <v>5</v>
      </c>
      <c r="KX6">
        <v>27587124</v>
      </c>
      <c r="KY6">
        <v>101689</v>
      </c>
      <c r="KZ6" t="s">
        <v>2053</v>
      </c>
      <c r="LC6" t="s">
        <v>1420</v>
      </c>
      <c r="LD6">
        <v>-2.4245362661989844E-14</v>
      </c>
      <c r="LF6">
        <v>-2.4245362661989844E-14</v>
      </c>
      <c r="LG6" t="s">
        <v>1594</v>
      </c>
      <c r="LH6">
        <v>2025</v>
      </c>
      <c r="LI6" t="s">
        <v>4802</v>
      </c>
      <c r="LJ6" s="6">
        <v>46065</v>
      </c>
      <c r="LK6">
        <v>4</v>
      </c>
      <c r="LL6">
        <v>-2.4245362661989844E-14</v>
      </c>
      <c r="LM6">
        <v>100024</v>
      </c>
      <c r="LN6" t="s">
        <v>5440</v>
      </c>
      <c r="LS6" t="s">
        <v>240</v>
      </c>
      <c r="LT6" t="s">
        <v>1598</v>
      </c>
      <c r="LU6">
        <v>0.57338800000000001</v>
      </c>
      <c r="LV6">
        <v>3.5686900000000001</v>
      </c>
      <c r="LW6" t="s">
        <v>1599</v>
      </c>
      <c r="LX6">
        <v>2025</v>
      </c>
      <c r="LY6" t="s">
        <v>2219</v>
      </c>
      <c r="LZ6" s="6">
        <v>46018</v>
      </c>
      <c r="MA6">
        <v>5</v>
      </c>
      <c r="MB6">
        <v>137572976</v>
      </c>
      <c r="MC6">
        <v>100828</v>
      </c>
      <c r="MD6" t="s">
        <v>1865</v>
      </c>
      <c r="MG6" t="s">
        <v>277</v>
      </c>
      <c r="MH6">
        <v>9.6462509999999995</v>
      </c>
      <c r="MI6" t="s">
        <v>1598</v>
      </c>
      <c r="MJ6">
        <v>2.2510729999999999</v>
      </c>
      <c r="MK6" t="s">
        <v>1599</v>
      </c>
      <c r="ML6">
        <v>2025</v>
      </c>
      <c r="MM6" t="s">
        <v>5050</v>
      </c>
      <c r="MN6" s="6">
        <v>45985</v>
      </c>
      <c r="MO6">
        <v>5</v>
      </c>
      <c r="MP6">
        <v>1666486272</v>
      </c>
      <c r="MQ6">
        <v>154936</v>
      </c>
      <c r="MR6" t="s">
        <v>1766</v>
      </c>
      <c r="MW6" t="s">
        <v>2975</v>
      </c>
      <c r="MX6" t="s">
        <v>1598</v>
      </c>
      <c r="MY6">
        <v>2.3008839999999999</v>
      </c>
      <c r="MZ6">
        <v>1.9882420000000001</v>
      </c>
      <c r="NA6" t="s">
        <v>1606</v>
      </c>
      <c r="NB6">
        <v>2024</v>
      </c>
      <c r="NC6" t="s">
        <v>2976</v>
      </c>
      <c r="ND6" s="6">
        <v>45694</v>
      </c>
      <c r="NE6">
        <v>5</v>
      </c>
      <c r="NF6">
        <v>58573604</v>
      </c>
      <c r="NG6">
        <v>349266</v>
      </c>
      <c r="NH6" t="s">
        <v>2977</v>
      </c>
      <c r="NK6" t="s">
        <v>3695</v>
      </c>
      <c r="NL6">
        <v>-2.4245362661989844E-14</v>
      </c>
      <c r="NN6">
        <v>-2.4245362661989844E-14</v>
      </c>
      <c r="NO6" t="s">
        <v>1594</v>
      </c>
      <c r="NP6">
        <v>2021</v>
      </c>
      <c r="NQ6" t="s">
        <v>3696</v>
      </c>
      <c r="NR6" s="6">
        <v>44676</v>
      </c>
      <c r="NS6">
        <v>5</v>
      </c>
      <c r="NT6">
        <v>-2.4245362661989844E-14</v>
      </c>
      <c r="NU6">
        <v>24598477</v>
      </c>
      <c r="NV6" t="s">
        <v>3697</v>
      </c>
      <c r="PE6" t="s">
        <v>3360</v>
      </c>
      <c r="PF6" t="s">
        <v>1634</v>
      </c>
      <c r="PG6">
        <v>3.5035419999999999</v>
      </c>
      <c r="PH6">
        <v>2.537461</v>
      </c>
      <c r="PI6" t="s">
        <v>1599</v>
      </c>
      <c r="PJ6">
        <v>2025</v>
      </c>
      <c r="PK6" t="s">
        <v>3361</v>
      </c>
      <c r="PL6" s="6">
        <v>45971</v>
      </c>
      <c r="PM6">
        <v>5</v>
      </c>
      <c r="PN6">
        <v>104340384</v>
      </c>
      <c r="PO6">
        <v>7912227</v>
      </c>
      <c r="PP6" t="s">
        <v>3362</v>
      </c>
      <c r="PS6" t="s">
        <v>3565</v>
      </c>
      <c r="PT6">
        <v>1.7881000000000001E-2</v>
      </c>
      <c r="PU6" t="s">
        <v>1598</v>
      </c>
      <c r="PV6">
        <v>0.27887899999999999</v>
      </c>
      <c r="PW6" t="s">
        <v>1664</v>
      </c>
      <c r="PX6">
        <v>2025</v>
      </c>
      <c r="PY6" t="s">
        <v>3566</v>
      </c>
      <c r="PZ6" s="6">
        <v>45882</v>
      </c>
      <c r="QA6">
        <v>5</v>
      </c>
      <c r="QB6">
        <v>8645070.5399999991</v>
      </c>
      <c r="QC6">
        <v>115777</v>
      </c>
      <c r="QD6" t="s">
        <v>3567</v>
      </c>
      <c r="QI6" t="s">
        <v>4900</v>
      </c>
      <c r="QK6">
        <v>-2.4245362661989844E-14</v>
      </c>
      <c r="QL6">
        <v>-2.4245362661989844E-14</v>
      </c>
      <c r="QM6" t="s">
        <v>1594</v>
      </c>
      <c r="QN6">
        <v>2023</v>
      </c>
      <c r="QO6" t="s">
        <v>4901</v>
      </c>
      <c r="QP6" s="6">
        <v>45301</v>
      </c>
      <c r="QQ6">
        <v>5</v>
      </c>
      <c r="QR6">
        <v>-2.4245362661989844E-14</v>
      </c>
      <c r="QS6">
        <v>27540814</v>
      </c>
      <c r="QT6" t="s">
        <v>4902</v>
      </c>
      <c r="QW6" t="s">
        <v>4888</v>
      </c>
      <c r="QX6">
        <v>-2.4245362661989844E-14</v>
      </c>
      <c r="QZ6">
        <v>-2.4245362661989844E-14</v>
      </c>
      <c r="RA6" t="s">
        <v>1599</v>
      </c>
      <c r="RB6">
        <v>2025</v>
      </c>
      <c r="RC6" t="s">
        <v>4889</v>
      </c>
      <c r="RD6" s="6">
        <v>46009</v>
      </c>
      <c r="RE6">
        <v>5</v>
      </c>
      <c r="RF6">
        <v>-2.4245362661989844E-14</v>
      </c>
      <c r="RG6">
        <v>53409858</v>
      </c>
      <c r="RH6" t="s">
        <v>4890</v>
      </c>
      <c r="SQ6" t="s">
        <v>2408</v>
      </c>
      <c r="SR6" t="s">
        <v>1598</v>
      </c>
      <c r="SS6">
        <v>30</v>
      </c>
      <c r="ST6">
        <v>5.2016150000000003</v>
      </c>
      <c r="SU6" t="s">
        <v>1594</v>
      </c>
      <c r="SV6">
        <v>2024</v>
      </c>
      <c r="SW6" t="s">
        <v>5150</v>
      </c>
      <c r="SX6" s="6">
        <v>45716</v>
      </c>
      <c r="SY6">
        <v>5</v>
      </c>
      <c r="SZ6">
        <v>3755474944</v>
      </c>
      <c r="TA6">
        <v>13161367</v>
      </c>
      <c r="TB6" t="s">
        <v>2409</v>
      </c>
      <c r="TE6" t="s">
        <v>2413</v>
      </c>
      <c r="TF6">
        <v>0.174377</v>
      </c>
      <c r="TG6" t="s">
        <v>1598</v>
      </c>
      <c r="TH6">
        <v>4.7234530000000001</v>
      </c>
      <c r="TI6" t="s">
        <v>1664</v>
      </c>
      <c r="TJ6">
        <v>2025</v>
      </c>
      <c r="TK6" t="s">
        <v>4412</v>
      </c>
      <c r="TL6" s="6">
        <v>45944</v>
      </c>
      <c r="TM6">
        <v>5</v>
      </c>
      <c r="TN6">
        <v>154977288.11000001</v>
      </c>
      <c r="TO6">
        <v>1135366</v>
      </c>
      <c r="TP6" t="s">
        <v>2414</v>
      </c>
      <c r="TU6" t="s">
        <v>2095</v>
      </c>
      <c r="TV6" t="s">
        <v>1685</v>
      </c>
      <c r="TW6">
        <v>1.2</v>
      </c>
      <c r="TX6">
        <v>0.120341</v>
      </c>
      <c r="TY6" t="s">
        <v>1594</v>
      </c>
      <c r="TZ6">
        <v>2024</v>
      </c>
      <c r="UA6" t="s">
        <v>2096</v>
      </c>
      <c r="UB6" s="6">
        <v>45722</v>
      </c>
      <c r="UC6">
        <v>5</v>
      </c>
      <c r="UD6">
        <v>657841.06999999995</v>
      </c>
      <c r="UE6">
        <v>8674508</v>
      </c>
      <c r="UF6" t="s">
        <v>2097</v>
      </c>
      <c r="UI6" t="s">
        <v>4396</v>
      </c>
      <c r="UJ6">
        <v>-2.4245362661989844E-14</v>
      </c>
      <c r="UL6">
        <v>-2.4245362661989844E-14</v>
      </c>
      <c r="UM6" t="s">
        <v>1594</v>
      </c>
      <c r="UN6">
        <v>2025</v>
      </c>
      <c r="UO6" t="s">
        <v>4397</v>
      </c>
      <c r="UP6" s="6">
        <v>45750</v>
      </c>
      <c r="UQ6">
        <v>5</v>
      </c>
      <c r="UR6">
        <v>-2.4245362661989844E-14</v>
      </c>
      <c r="US6">
        <v>69744938</v>
      </c>
      <c r="UT6" t="s">
        <v>4398</v>
      </c>
      <c r="UY6" t="s">
        <v>1084</v>
      </c>
      <c r="UZ6" t="s">
        <v>1685</v>
      </c>
      <c r="VA6">
        <v>0.46972799999999998</v>
      </c>
      <c r="VB6">
        <v>0.155246</v>
      </c>
      <c r="VC6" t="s">
        <v>1664</v>
      </c>
      <c r="VD6">
        <v>2025</v>
      </c>
      <c r="VE6" t="s">
        <v>2052</v>
      </c>
      <c r="VF6" s="6">
        <v>45838</v>
      </c>
      <c r="VG6">
        <v>5</v>
      </c>
      <c r="VH6">
        <v>27587124</v>
      </c>
      <c r="VI6">
        <v>101689</v>
      </c>
      <c r="VJ6" t="s">
        <v>2053</v>
      </c>
      <c r="VM6" t="s">
        <v>1420</v>
      </c>
      <c r="VN6">
        <v>-2.4245362661989844E-14</v>
      </c>
      <c r="VP6">
        <v>-2.4245362661989844E-14</v>
      </c>
      <c r="VQ6" t="s">
        <v>1594</v>
      </c>
      <c r="VR6">
        <v>2025</v>
      </c>
      <c r="VS6" t="s">
        <v>4802</v>
      </c>
      <c r="VT6" s="6">
        <v>46065</v>
      </c>
      <c r="VU6">
        <v>4</v>
      </c>
      <c r="VV6">
        <v>-2.4245362661989844E-14</v>
      </c>
      <c r="VW6">
        <v>100024</v>
      </c>
      <c r="VX6" t="s">
        <v>5440</v>
      </c>
    </row>
    <row r="7" spans="1:600" x14ac:dyDescent="0.25">
      <c r="A7" t="s">
        <v>3347</v>
      </c>
      <c r="B7" t="s">
        <v>1598</v>
      </c>
      <c r="C7">
        <v>3.7231350000000001</v>
      </c>
      <c r="D7">
        <v>0.80518199999999995</v>
      </c>
      <c r="E7" t="s">
        <v>1599</v>
      </c>
      <c r="F7">
        <v>2025</v>
      </c>
      <c r="G7" t="s">
        <v>3348</v>
      </c>
      <c r="H7" s="6">
        <v>46069</v>
      </c>
      <c r="I7">
        <v>5</v>
      </c>
      <c r="J7">
        <v>33600181.100000001</v>
      </c>
      <c r="K7">
        <v>153809</v>
      </c>
      <c r="L7" t="s">
        <v>3349</v>
      </c>
      <c r="O7" t="s">
        <v>618</v>
      </c>
      <c r="P7">
        <v>13</v>
      </c>
      <c r="Q7" t="s">
        <v>1598</v>
      </c>
      <c r="R7">
        <v>3.4525320000000002</v>
      </c>
      <c r="S7" t="s">
        <v>1594</v>
      </c>
      <c r="T7">
        <v>2025</v>
      </c>
      <c r="U7" t="s">
        <v>2824</v>
      </c>
      <c r="V7" s="6">
        <v>46079</v>
      </c>
      <c r="W7">
        <v>5</v>
      </c>
      <c r="X7">
        <v>2033817472</v>
      </c>
      <c r="Y7">
        <v>102782</v>
      </c>
      <c r="Z7" t="s">
        <v>1626</v>
      </c>
      <c r="AE7" t="s">
        <v>3894</v>
      </c>
      <c r="AF7" t="s">
        <v>1634</v>
      </c>
      <c r="AG7">
        <v>0.87248300000000001</v>
      </c>
      <c r="AH7">
        <v>1.0253380000000001</v>
      </c>
      <c r="AI7" t="s">
        <v>1664</v>
      </c>
      <c r="AJ7">
        <v>2025</v>
      </c>
      <c r="AK7" t="s">
        <v>3895</v>
      </c>
      <c r="AL7" s="6">
        <v>45925</v>
      </c>
      <c r="AM7">
        <v>5</v>
      </c>
      <c r="AN7">
        <v>17030868</v>
      </c>
      <c r="AO7">
        <v>10659312</v>
      </c>
      <c r="AP7" t="s">
        <v>3896</v>
      </c>
      <c r="AS7" t="s">
        <v>1986</v>
      </c>
      <c r="AT7">
        <v>-2.4245362661989844E-14</v>
      </c>
      <c r="AV7">
        <v>-2.4245362661989844E-14</v>
      </c>
      <c r="AW7" t="s">
        <v>1594</v>
      </c>
      <c r="AX7">
        <v>2025</v>
      </c>
      <c r="AY7" t="s">
        <v>1987</v>
      </c>
      <c r="AZ7" s="6">
        <v>46063</v>
      </c>
      <c r="BA7">
        <v>5</v>
      </c>
      <c r="BB7">
        <v>-2.4245362661989844E-14</v>
      </c>
      <c r="BC7">
        <v>100348</v>
      </c>
      <c r="BD7" t="s">
        <v>1988</v>
      </c>
      <c r="BI7" t="s">
        <v>2057</v>
      </c>
      <c r="BJ7" t="s">
        <v>1685</v>
      </c>
      <c r="BK7">
        <v>8.5077940000000005</v>
      </c>
      <c r="BL7">
        <v>8.9352000000000001E-2</v>
      </c>
      <c r="BM7" t="s">
        <v>1603</v>
      </c>
      <c r="BN7">
        <v>2026</v>
      </c>
      <c r="BO7" t="s">
        <v>2058</v>
      </c>
      <c r="BP7" s="6">
        <v>45898</v>
      </c>
      <c r="BQ7">
        <v>5</v>
      </c>
      <c r="BR7">
        <v>15354149.300000001</v>
      </c>
      <c r="BS7">
        <v>178651</v>
      </c>
      <c r="BT7" t="s">
        <v>2059</v>
      </c>
      <c r="BW7" t="s">
        <v>5525</v>
      </c>
      <c r="BX7">
        <v>-2.4245362661989844E-14</v>
      </c>
      <c r="BZ7">
        <v>-2.4245362661989844E-14</v>
      </c>
      <c r="CA7" t="s">
        <v>1594</v>
      </c>
      <c r="CB7">
        <v>2023</v>
      </c>
      <c r="CC7" t="s">
        <v>5526</v>
      </c>
      <c r="CD7" s="6">
        <v>45175</v>
      </c>
      <c r="CE7">
        <v>4</v>
      </c>
      <c r="CF7">
        <v>-2.4245362661989844E-14</v>
      </c>
      <c r="CG7">
        <v>100555</v>
      </c>
      <c r="CH7" t="s">
        <v>5527</v>
      </c>
      <c r="CM7" t="s">
        <v>178</v>
      </c>
      <c r="CN7" t="s">
        <v>1598</v>
      </c>
      <c r="CO7">
        <v>0.13490199999999999</v>
      </c>
      <c r="CP7">
        <v>0.92558200000000002</v>
      </c>
      <c r="CQ7" t="s">
        <v>1599</v>
      </c>
      <c r="CR7">
        <v>2025</v>
      </c>
      <c r="CS7" t="s">
        <v>1735</v>
      </c>
      <c r="CT7" s="6">
        <v>45843</v>
      </c>
      <c r="CU7">
        <v>5</v>
      </c>
      <c r="CV7">
        <v>94520432</v>
      </c>
      <c r="CW7">
        <v>101743</v>
      </c>
      <c r="CX7" t="s">
        <v>1736</v>
      </c>
      <c r="DA7" t="s">
        <v>2643</v>
      </c>
      <c r="DB7">
        <v>4.5519569999999998</v>
      </c>
      <c r="DC7" t="s">
        <v>1598</v>
      </c>
      <c r="DD7">
        <v>5.5998530000000004</v>
      </c>
      <c r="DE7" t="s">
        <v>1606</v>
      </c>
      <c r="DF7">
        <v>2025</v>
      </c>
      <c r="DG7" t="s">
        <v>2670</v>
      </c>
      <c r="DH7" s="6">
        <v>45883</v>
      </c>
      <c r="DI7">
        <v>5</v>
      </c>
      <c r="DJ7">
        <v>959142848</v>
      </c>
      <c r="DK7">
        <v>100436</v>
      </c>
      <c r="DL7" t="s">
        <v>2644</v>
      </c>
      <c r="EU7" t="s">
        <v>3960</v>
      </c>
      <c r="EV7" t="s">
        <v>1634</v>
      </c>
      <c r="EW7">
        <v>5.8407960000000001</v>
      </c>
      <c r="EX7">
        <v>1.798427</v>
      </c>
      <c r="EY7" t="s">
        <v>1664</v>
      </c>
      <c r="EZ7">
        <v>2025</v>
      </c>
      <c r="FA7" t="s">
        <v>3961</v>
      </c>
      <c r="FB7" s="6">
        <v>45943</v>
      </c>
      <c r="FC7">
        <v>5</v>
      </c>
      <c r="FD7">
        <v>35932576</v>
      </c>
      <c r="FE7">
        <v>69563033</v>
      </c>
      <c r="FF7" t="s">
        <v>3962</v>
      </c>
      <c r="FI7" t="s">
        <v>5571</v>
      </c>
      <c r="FJ7">
        <v>-2.4245362661989844E-14</v>
      </c>
      <c r="FL7">
        <v>-2.4245362661989844E-14</v>
      </c>
      <c r="FM7" t="s">
        <v>1594</v>
      </c>
      <c r="FN7">
        <v>2023</v>
      </c>
      <c r="FO7" t="s">
        <v>5566</v>
      </c>
      <c r="FP7" s="6">
        <v>45302</v>
      </c>
      <c r="FQ7">
        <v>5</v>
      </c>
      <c r="FR7">
        <v>-2.4245362661989844E-14</v>
      </c>
      <c r="FS7">
        <v>907617</v>
      </c>
      <c r="FT7" t="s">
        <v>5572</v>
      </c>
      <c r="FY7" t="s">
        <v>4883</v>
      </c>
      <c r="FZ7" t="s">
        <v>1598</v>
      </c>
      <c r="GA7">
        <v>20</v>
      </c>
      <c r="GB7">
        <v>1.2621329999999999</v>
      </c>
      <c r="GC7" t="s">
        <v>1594</v>
      </c>
      <c r="GD7">
        <v>2024</v>
      </c>
      <c r="GE7" t="s">
        <v>4884</v>
      </c>
      <c r="GF7" s="6">
        <v>45742</v>
      </c>
      <c r="GG7">
        <v>5</v>
      </c>
      <c r="GH7">
        <v>289649984</v>
      </c>
      <c r="GI7">
        <v>71080909</v>
      </c>
      <c r="GJ7" t="s">
        <v>4885</v>
      </c>
      <c r="GM7" t="s">
        <v>5056</v>
      </c>
      <c r="GN7">
        <v>-2.4245362661989844E-14</v>
      </c>
      <c r="GP7">
        <v>-2.4245362661989844E-14</v>
      </c>
      <c r="GQ7" t="s">
        <v>1594</v>
      </c>
      <c r="GR7">
        <v>2023</v>
      </c>
      <c r="GS7" t="s">
        <v>5057</v>
      </c>
      <c r="GT7" s="6">
        <v>45196</v>
      </c>
      <c r="GU7">
        <v>5</v>
      </c>
      <c r="GV7">
        <v>-2.4245362661989844E-14</v>
      </c>
      <c r="GW7">
        <v>7362545</v>
      </c>
      <c r="GX7" t="s">
        <v>5058</v>
      </c>
      <c r="IG7" t="s">
        <v>3238</v>
      </c>
      <c r="IH7" t="s">
        <v>1634</v>
      </c>
      <c r="II7">
        <v>0.609344</v>
      </c>
      <c r="IJ7">
        <v>0.38486500000000001</v>
      </c>
      <c r="IK7" t="s">
        <v>1664</v>
      </c>
      <c r="IL7">
        <v>2026</v>
      </c>
      <c r="IM7" t="s">
        <v>3239</v>
      </c>
      <c r="IN7" s="6">
        <v>45980</v>
      </c>
      <c r="IO7">
        <v>5</v>
      </c>
      <c r="IP7">
        <v>3053214.9</v>
      </c>
      <c r="IQ7">
        <v>223067</v>
      </c>
      <c r="IR7" t="s">
        <v>3240</v>
      </c>
      <c r="IU7" t="s">
        <v>4732</v>
      </c>
      <c r="IV7">
        <v>-2.4245362661989844E-14</v>
      </c>
      <c r="IX7">
        <v>-2.4245362661989844E-14</v>
      </c>
      <c r="IY7" t="s">
        <v>1603</v>
      </c>
      <c r="IZ7">
        <v>2025</v>
      </c>
      <c r="JA7" t="s">
        <v>4733</v>
      </c>
      <c r="JB7" s="6">
        <v>45768</v>
      </c>
      <c r="JC7">
        <v>5</v>
      </c>
      <c r="JD7">
        <v>-2.4245362661989844E-14</v>
      </c>
      <c r="JE7">
        <v>38897489</v>
      </c>
      <c r="JF7" t="s">
        <v>4734</v>
      </c>
      <c r="KO7" t="s">
        <v>2057</v>
      </c>
      <c r="KP7" t="s">
        <v>1685</v>
      </c>
      <c r="KQ7">
        <v>8.5077940000000005</v>
      </c>
      <c r="KR7">
        <v>8.9352000000000001E-2</v>
      </c>
      <c r="KS7" t="s">
        <v>1603</v>
      </c>
      <c r="KT7">
        <v>2026</v>
      </c>
      <c r="KU7" t="s">
        <v>2058</v>
      </c>
      <c r="KV7" s="6">
        <v>45898</v>
      </c>
      <c r="KW7">
        <v>5</v>
      </c>
      <c r="KX7">
        <v>15354149.300000001</v>
      </c>
      <c r="KY7">
        <v>178651</v>
      </c>
      <c r="KZ7" t="s">
        <v>2059</v>
      </c>
      <c r="LC7" t="s">
        <v>5525</v>
      </c>
      <c r="LD7">
        <v>-2.4245362661989844E-14</v>
      </c>
      <c r="LF7">
        <v>-2.4245362661989844E-14</v>
      </c>
      <c r="LG7" t="s">
        <v>1594</v>
      </c>
      <c r="LH7">
        <v>2023</v>
      </c>
      <c r="LI7" t="s">
        <v>5526</v>
      </c>
      <c r="LJ7" s="6">
        <v>45175</v>
      </c>
      <c r="LK7">
        <v>4</v>
      </c>
      <c r="LL7">
        <v>-2.4245362661989844E-14</v>
      </c>
      <c r="LM7">
        <v>100555</v>
      </c>
      <c r="LN7" t="s">
        <v>5527</v>
      </c>
      <c r="LS7" t="s">
        <v>4870</v>
      </c>
      <c r="LT7" t="s">
        <v>1598</v>
      </c>
      <c r="LU7">
        <v>6.0908949999999997</v>
      </c>
      <c r="LV7">
        <v>2.5669719999999998</v>
      </c>
      <c r="LW7" t="s">
        <v>1594</v>
      </c>
      <c r="LX7">
        <v>2024</v>
      </c>
      <c r="LY7" t="s">
        <v>4871</v>
      </c>
      <c r="LZ7" s="6">
        <v>45713</v>
      </c>
      <c r="MA7">
        <v>5</v>
      </c>
      <c r="MB7">
        <v>97500000</v>
      </c>
      <c r="MC7">
        <v>69483676</v>
      </c>
      <c r="MD7" t="s">
        <v>4872</v>
      </c>
      <c r="MG7" t="s">
        <v>618</v>
      </c>
      <c r="MH7">
        <v>7.5766629999999999</v>
      </c>
      <c r="MI7" t="s">
        <v>1598</v>
      </c>
      <c r="MJ7">
        <v>2.12181</v>
      </c>
      <c r="MK7" t="s">
        <v>1599</v>
      </c>
      <c r="ML7">
        <v>2025</v>
      </c>
      <c r="MM7" t="s">
        <v>5050</v>
      </c>
      <c r="MN7" s="6">
        <v>45985</v>
      </c>
      <c r="MO7">
        <v>5</v>
      </c>
      <c r="MP7">
        <v>1308944256</v>
      </c>
      <c r="MQ7">
        <v>102782</v>
      </c>
      <c r="MR7" t="s">
        <v>1626</v>
      </c>
      <c r="MW7" t="s">
        <v>2559</v>
      </c>
      <c r="MX7" t="s">
        <v>1598</v>
      </c>
      <c r="MY7">
        <v>0.23526900000000001</v>
      </c>
      <c r="MZ7">
        <v>0.58521900000000004</v>
      </c>
      <c r="NA7" t="s">
        <v>1599</v>
      </c>
      <c r="NB7">
        <v>2025</v>
      </c>
      <c r="NC7" t="s">
        <v>2560</v>
      </c>
      <c r="ND7" s="6">
        <v>45867</v>
      </c>
      <c r="NE7">
        <v>5</v>
      </c>
      <c r="NF7">
        <v>18416856</v>
      </c>
      <c r="NG7">
        <v>117092</v>
      </c>
      <c r="NH7" t="s">
        <v>2561</v>
      </c>
      <c r="NK7" t="s">
        <v>3698</v>
      </c>
      <c r="NL7">
        <v>-2.4245362661989844E-14</v>
      </c>
      <c r="NN7">
        <v>-2.4245362661989844E-14</v>
      </c>
      <c r="NO7" t="s">
        <v>1594</v>
      </c>
      <c r="NP7">
        <v>2023</v>
      </c>
      <c r="NQ7" t="s">
        <v>3699</v>
      </c>
      <c r="NR7" s="6">
        <v>45135</v>
      </c>
      <c r="NS7">
        <v>5</v>
      </c>
      <c r="NT7">
        <v>-2.4245362661989844E-14</v>
      </c>
      <c r="NU7">
        <v>103017</v>
      </c>
      <c r="NV7" t="s">
        <v>3700</v>
      </c>
      <c r="PE7" t="s">
        <v>4636</v>
      </c>
      <c r="PF7" t="s">
        <v>1598</v>
      </c>
      <c r="PG7">
        <v>13</v>
      </c>
      <c r="PH7">
        <v>0.25396000000000002</v>
      </c>
      <c r="PI7" t="s">
        <v>1594</v>
      </c>
      <c r="PJ7">
        <v>2024</v>
      </c>
      <c r="PK7" t="s">
        <v>4637</v>
      </c>
      <c r="PL7" s="6">
        <v>45715</v>
      </c>
      <c r="PM7">
        <v>5</v>
      </c>
      <c r="PN7">
        <v>98048960</v>
      </c>
      <c r="PO7">
        <v>101024</v>
      </c>
      <c r="PP7" t="s">
        <v>4638</v>
      </c>
      <c r="PS7" t="s">
        <v>3568</v>
      </c>
      <c r="PT7">
        <v>1.465E-2</v>
      </c>
      <c r="PU7" t="s">
        <v>1598</v>
      </c>
      <c r="PV7">
        <v>56.435763999999999</v>
      </c>
      <c r="PW7" t="s">
        <v>1594</v>
      </c>
      <c r="PX7">
        <v>2024</v>
      </c>
      <c r="PY7" t="s">
        <v>3569</v>
      </c>
      <c r="PZ7" s="6">
        <v>45782</v>
      </c>
      <c r="QA7">
        <v>5</v>
      </c>
      <c r="QB7">
        <v>6975801.29</v>
      </c>
      <c r="QC7">
        <v>193841</v>
      </c>
      <c r="QD7" t="s">
        <v>3570</v>
      </c>
      <c r="QI7" t="s">
        <v>4903</v>
      </c>
      <c r="QK7">
        <v>-2.4245362661989844E-14</v>
      </c>
      <c r="QL7">
        <v>-2.4245362661989844E-14</v>
      </c>
      <c r="QM7" t="s">
        <v>1594</v>
      </c>
      <c r="QN7">
        <v>2024</v>
      </c>
      <c r="QO7" t="s">
        <v>4904</v>
      </c>
      <c r="QP7" s="6">
        <v>45314</v>
      </c>
      <c r="QQ7">
        <v>5</v>
      </c>
      <c r="QR7">
        <v>-2.4245362661989844E-14</v>
      </c>
      <c r="QS7">
        <v>54185525</v>
      </c>
      <c r="QT7" t="s">
        <v>4905</v>
      </c>
      <c r="QW7" t="s">
        <v>4891</v>
      </c>
      <c r="QX7">
        <v>-2.4245362661989844E-14</v>
      </c>
      <c r="QZ7">
        <v>-2.4245362661989844E-14</v>
      </c>
      <c r="RA7" t="s">
        <v>1606</v>
      </c>
      <c r="RB7">
        <v>2023</v>
      </c>
      <c r="RC7" t="s">
        <v>4892</v>
      </c>
      <c r="RD7" s="6">
        <v>45278</v>
      </c>
      <c r="RE7">
        <v>5</v>
      </c>
      <c r="RF7">
        <v>-2.4245362661989844E-14</v>
      </c>
      <c r="RG7">
        <v>103388</v>
      </c>
      <c r="RH7" t="s">
        <v>4893</v>
      </c>
      <c r="SQ7" t="s">
        <v>4942</v>
      </c>
      <c r="SR7" t="s">
        <v>1598</v>
      </c>
      <c r="SS7">
        <v>24.014828000000001</v>
      </c>
      <c r="ST7">
        <v>2.9631460000000001</v>
      </c>
      <c r="SU7" t="s">
        <v>1594</v>
      </c>
      <c r="SV7">
        <v>2024</v>
      </c>
      <c r="SW7" t="s">
        <v>4943</v>
      </c>
      <c r="SX7" s="6">
        <v>45707</v>
      </c>
      <c r="SY7">
        <v>5</v>
      </c>
      <c r="SZ7">
        <v>2139919718.28</v>
      </c>
      <c r="TA7">
        <v>104669</v>
      </c>
      <c r="TB7" t="s">
        <v>4944</v>
      </c>
      <c r="TE7" t="s">
        <v>3565</v>
      </c>
      <c r="TF7">
        <v>3.9305E-2</v>
      </c>
      <c r="TG7" t="s">
        <v>1598</v>
      </c>
      <c r="TH7">
        <v>1.0752060000000001</v>
      </c>
      <c r="TI7" t="s">
        <v>1664</v>
      </c>
      <c r="TJ7">
        <v>2025</v>
      </c>
      <c r="TK7" t="s">
        <v>3566</v>
      </c>
      <c r="TL7" s="6">
        <v>45882</v>
      </c>
      <c r="TM7">
        <v>5</v>
      </c>
      <c r="TN7">
        <v>33330697.18</v>
      </c>
      <c r="TO7">
        <v>115777</v>
      </c>
      <c r="TP7" t="s">
        <v>3567</v>
      </c>
      <c r="TU7" t="s">
        <v>2098</v>
      </c>
      <c r="TV7" t="s">
        <v>1685</v>
      </c>
      <c r="TW7">
        <v>5.0314999999999999E-2</v>
      </c>
      <c r="TX7">
        <v>3.3623E-2</v>
      </c>
      <c r="TY7" t="s">
        <v>1603</v>
      </c>
      <c r="TZ7">
        <v>2026</v>
      </c>
      <c r="UA7" t="s">
        <v>2099</v>
      </c>
      <c r="UB7" s="6">
        <v>45944</v>
      </c>
      <c r="UC7">
        <v>5</v>
      </c>
      <c r="UD7">
        <v>192328.72</v>
      </c>
      <c r="UE7">
        <v>14882485</v>
      </c>
      <c r="UF7" t="s">
        <v>2100</v>
      </c>
      <c r="UI7" t="s">
        <v>4399</v>
      </c>
      <c r="UJ7">
        <v>-2.4245362661989844E-14</v>
      </c>
      <c r="UL7">
        <v>-2.4245362661989844E-14</v>
      </c>
      <c r="UM7" t="s">
        <v>1599</v>
      </c>
      <c r="UN7">
        <v>2025</v>
      </c>
      <c r="UO7" t="s">
        <v>4400</v>
      </c>
      <c r="UP7" s="6">
        <v>45966</v>
      </c>
      <c r="UQ7">
        <v>5</v>
      </c>
      <c r="UR7">
        <v>-2.4245362661989844E-14</v>
      </c>
      <c r="US7">
        <v>38748702</v>
      </c>
      <c r="UT7" t="s">
        <v>4401</v>
      </c>
      <c r="UY7" t="s">
        <v>2057</v>
      </c>
      <c r="UZ7" t="s">
        <v>1685</v>
      </c>
      <c r="VA7">
        <v>8.5077940000000005</v>
      </c>
      <c r="VB7">
        <v>8.9352000000000001E-2</v>
      </c>
      <c r="VC7" t="s">
        <v>1603</v>
      </c>
      <c r="VD7">
        <v>2026</v>
      </c>
      <c r="VE7" t="s">
        <v>2058</v>
      </c>
      <c r="VF7" s="6">
        <v>45898</v>
      </c>
      <c r="VG7">
        <v>5</v>
      </c>
      <c r="VH7">
        <v>15354149.300000001</v>
      </c>
      <c r="VI7">
        <v>178651</v>
      </c>
      <c r="VJ7" t="s">
        <v>2059</v>
      </c>
      <c r="VM7" t="s">
        <v>5525</v>
      </c>
      <c r="VN7">
        <v>-2.4245362661989844E-14</v>
      </c>
      <c r="VP7">
        <v>-2.4245362661989844E-14</v>
      </c>
      <c r="VQ7" t="s">
        <v>1594</v>
      </c>
      <c r="VR7">
        <v>2023</v>
      </c>
      <c r="VS7" t="s">
        <v>5526</v>
      </c>
      <c r="VT7" s="6">
        <v>45175</v>
      </c>
      <c r="VU7">
        <v>4</v>
      </c>
      <c r="VV7">
        <v>-2.4245362661989844E-14</v>
      </c>
      <c r="VW7">
        <v>100555</v>
      </c>
      <c r="VX7" t="s">
        <v>5527</v>
      </c>
    </row>
    <row r="8" spans="1:600" x14ac:dyDescent="0.25">
      <c r="A8" t="s">
        <v>23</v>
      </c>
      <c r="B8" t="s">
        <v>1598</v>
      </c>
      <c r="C8">
        <v>0.238619</v>
      </c>
      <c r="D8">
        <v>0.71575299999999997</v>
      </c>
      <c r="E8" t="s">
        <v>1594</v>
      </c>
      <c r="F8">
        <v>2025</v>
      </c>
      <c r="G8" t="s">
        <v>1765</v>
      </c>
      <c r="H8" s="6">
        <v>46064</v>
      </c>
      <c r="I8">
        <v>5</v>
      </c>
      <c r="J8">
        <v>28750000</v>
      </c>
      <c r="K8">
        <v>100225</v>
      </c>
      <c r="L8" t="s">
        <v>2222</v>
      </c>
      <c r="O8" t="s">
        <v>23</v>
      </c>
      <c r="P8">
        <v>11.153900999999999</v>
      </c>
      <c r="Q8" t="s">
        <v>1598</v>
      </c>
      <c r="R8">
        <v>50.086109</v>
      </c>
      <c r="S8" t="s">
        <v>1594</v>
      </c>
      <c r="T8">
        <v>2025</v>
      </c>
      <c r="U8" t="s">
        <v>1765</v>
      </c>
      <c r="V8" s="6">
        <v>46064</v>
      </c>
      <c r="W8">
        <v>5</v>
      </c>
      <c r="X8">
        <v>1745000000</v>
      </c>
      <c r="Y8">
        <v>100225</v>
      </c>
      <c r="Z8" t="s">
        <v>2222</v>
      </c>
      <c r="AE8" t="s">
        <v>3897</v>
      </c>
      <c r="AF8" t="s">
        <v>1598</v>
      </c>
      <c r="AG8">
        <v>4.2</v>
      </c>
      <c r="AH8">
        <v>7.9800999999999997E-2</v>
      </c>
      <c r="AI8" t="s">
        <v>1594</v>
      </c>
      <c r="AJ8">
        <v>2024</v>
      </c>
      <c r="AK8" t="s">
        <v>3898</v>
      </c>
      <c r="AL8" s="6">
        <v>45842</v>
      </c>
      <c r="AM8">
        <v>5</v>
      </c>
      <c r="AN8">
        <v>12195268.279999999</v>
      </c>
      <c r="AO8">
        <v>193849</v>
      </c>
      <c r="AP8" t="s">
        <v>3899</v>
      </c>
      <c r="AS8" t="s">
        <v>1989</v>
      </c>
      <c r="AT8">
        <v>-2.4245362661989844E-14</v>
      </c>
      <c r="AV8">
        <v>-2.4245362661989844E-14</v>
      </c>
      <c r="AW8" t="s">
        <v>1594</v>
      </c>
      <c r="AX8">
        <v>2025</v>
      </c>
      <c r="AY8" t="s">
        <v>1982</v>
      </c>
      <c r="AZ8" s="6">
        <v>45965</v>
      </c>
      <c r="BA8">
        <v>5</v>
      </c>
      <c r="BB8">
        <v>-2.4245362661989844E-14</v>
      </c>
      <c r="BC8">
        <v>100532</v>
      </c>
      <c r="BD8" t="s">
        <v>1990</v>
      </c>
      <c r="BI8" t="s">
        <v>3065</v>
      </c>
      <c r="BJ8" t="s">
        <v>1685</v>
      </c>
      <c r="BK8">
        <v>4.256977</v>
      </c>
      <c r="BL8">
        <v>4.9215000000000002E-2</v>
      </c>
      <c r="BM8" t="s">
        <v>1594</v>
      </c>
      <c r="BN8">
        <v>2025</v>
      </c>
      <c r="BO8" t="s">
        <v>3066</v>
      </c>
      <c r="BP8" s="6">
        <v>46063</v>
      </c>
      <c r="BQ8">
        <v>5</v>
      </c>
      <c r="BR8">
        <v>8579000</v>
      </c>
      <c r="BS8">
        <v>143096</v>
      </c>
      <c r="BT8" t="s">
        <v>3067</v>
      </c>
      <c r="BW8" t="s">
        <v>6106</v>
      </c>
      <c r="BX8">
        <v>-2.4245362661989844E-14</v>
      </c>
      <c r="BZ8">
        <v>-2.4245362661989844E-14</v>
      </c>
      <c r="CA8" t="s">
        <v>1594</v>
      </c>
      <c r="CB8">
        <v>2023</v>
      </c>
      <c r="CC8" t="s">
        <v>6107</v>
      </c>
      <c r="CD8" s="6">
        <v>45008</v>
      </c>
      <c r="CE8">
        <v>4</v>
      </c>
      <c r="CF8">
        <v>-2.4245362661989844E-14</v>
      </c>
      <c r="CG8">
        <v>11889410</v>
      </c>
      <c r="CH8" t="s">
        <v>6108</v>
      </c>
      <c r="CM8" t="s">
        <v>5580</v>
      </c>
      <c r="CN8" t="s">
        <v>1598</v>
      </c>
      <c r="CO8">
        <v>3.8767209999999999</v>
      </c>
      <c r="CP8">
        <v>0.83925799999999995</v>
      </c>
      <c r="CQ8" t="s">
        <v>1664</v>
      </c>
      <c r="CR8">
        <v>2025</v>
      </c>
      <c r="CS8" t="s">
        <v>5581</v>
      </c>
      <c r="CT8" s="6">
        <v>45890</v>
      </c>
      <c r="CU8">
        <v>5</v>
      </c>
      <c r="CV8">
        <v>90623891.780000001</v>
      </c>
      <c r="CW8">
        <v>1197437</v>
      </c>
      <c r="CX8" t="s">
        <v>5582</v>
      </c>
      <c r="DA8" t="s">
        <v>32</v>
      </c>
      <c r="DB8">
        <v>3.3501690000000002</v>
      </c>
      <c r="DC8" t="s">
        <v>1598</v>
      </c>
      <c r="DD8">
        <v>0.82735300000000001</v>
      </c>
      <c r="DE8" t="s">
        <v>1606</v>
      </c>
      <c r="DF8">
        <v>2025</v>
      </c>
      <c r="DG8" t="s">
        <v>2670</v>
      </c>
      <c r="DH8" s="6">
        <v>45883</v>
      </c>
      <c r="DI8">
        <v>5</v>
      </c>
      <c r="DJ8">
        <v>705914112</v>
      </c>
      <c r="DK8">
        <v>100976</v>
      </c>
      <c r="DL8" t="s">
        <v>1820</v>
      </c>
      <c r="EU8" t="s">
        <v>3963</v>
      </c>
      <c r="EV8" t="s">
        <v>1598</v>
      </c>
      <c r="EW8">
        <v>19</v>
      </c>
      <c r="EX8">
        <v>0.73628199999999999</v>
      </c>
      <c r="EY8" t="s">
        <v>1594</v>
      </c>
      <c r="EZ8">
        <v>2024</v>
      </c>
      <c r="FA8" t="s">
        <v>3964</v>
      </c>
      <c r="FB8" s="6">
        <v>45707</v>
      </c>
      <c r="FC8">
        <v>5</v>
      </c>
      <c r="FD8">
        <v>33526592</v>
      </c>
      <c r="FE8">
        <v>69395531</v>
      </c>
      <c r="FF8" t="s">
        <v>3965</v>
      </c>
      <c r="FI8" t="s">
        <v>5573</v>
      </c>
      <c r="FJ8">
        <v>-2.4245362661989844E-14</v>
      </c>
      <c r="FL8">
        <v>-2.4245362661989844E-14</v>
      </c>
      <c r="FM8" t="s">
        <v>1594</v>
      </c>
      <c r="FN8">
        <v>2025</v>
      </c>
      <c r="FO8" t="s">
        <v>5566</v>
      </c>
      <c r="FP8" s="6">
        <v>46035</v>
      </c>
      <c r="FQ8">
        <v>5</v>
      </c>
      <c r="FR8">
        <v>-2.4245362661989844E-14</v>
      </c>
      <c r="FS8">
        <v>904924</v>
      </c>
      <c r="FT8" t="s">
        <v>5574</v>
      </c>
      <c r="FY8" t="s">
        <v>143</v>
      </c>
      <c r="FZ8" t="s">
        <v>1598</v>
      </c>
      <c r="GA8">
        <v>0.35996400000000001</v>
      </c>
      <c r="GB8">
        <v>0.24259500000000001</v>
      </c>
      <c r="GC8" t="s">
        <v>1606</v>
      </c>
      <c r="GD8">
        <v>2025</v>
      </c>
      <c r="GE8" t="s">
        <v>2251</v>
      </c>
      <c r="GF8" s="6">
        <v>45848</v>
      </c>
      <c r="GG8">
        <v>5</v>
      </c>
      <c r="GH8">
        <v>57245076</v>
      </c>
      <c r="GI8">
        <v>101752</v>
      </c>
      <c r="GJ8" t="s">
        <v>2265</v>
      </c>
      <c r="GM8" t="s">
        <v>1621</v>
      </c>
      <c r="GN8">
        <v>-2.4245362661989844E-14</v>
      </c>
      <c r="GP8">
        <v>-2.4245362661989844E-14</v>
      </c>
      <c r="GQ8" t="s">
        <v>1594</v>
      </c>
      <c r="GR8">
        <v>2023</v>
      </c>
      <c r="GS8" t="s">
        <v>5057</v>
      </c>
      <c r="GT8" s="6">
        <v>45196</v>
      </c>
      <c r="GU8">
        <v>5</v>
      </c>
      <c r="GV8">
        <v>-2.4245362661989844E-14</v>
      </c>
      <c r="GW8">
        <v>218252</v>
      </c>
      <c r="GX8" t="s">
        <v>1622</v>
      </c>
      <c r="IG8" t="s">
        <v>2072</v>
      </c>
      <c r="IH8" t="s">
        <v>1598</v>
      </c>
      <c r="II8">
        <v>0.44718999999999998</v>
      </c>
      <c r="IJ8">
        <v>9.7730999999999998E-2</v>
      </c>
      <c r="IK8" t="s">
        <v>1599</v>
      </c>
      <c r="IL8">
        <v>2025</v>
      </c>
      <c r="IM8" t="s">
        <v>2073</v>
      </c>
      <c r="IN8" s="6">
        <v>46027</v>
      </c>
      <c r="IO8">
        <v>5</v>
      </c>
      <c r="IP8">
        <v>2835185</v>
      </c>
      <c r="IQ8">
        <v>36965288</v>
      </c>
      <c r="IR8" t="s">
        <v>2074</v>
      </c>
      <c r="IU8" t="s">
        <v>4735</v>
      </c>
      <c r="IV8">
        <v>-2.4245362661989844E-14</v>
      </c>
      <c r="IX8">
        <v>-2.4245362661989844E-14</v>
      </c>
      <c r="IY8" t="s">
        <v>1603</v>
      </c>
      <c r="IZ8">
        <v>2023</v>
      </c>
      <c r="JA8" t="s">
        <v>4736</v>
      </c>
      <c r="JB8" s="6">
        <v>44950</v>
      </c>
      <c r="JC8">
        <v>5</v>
      </c>
      <c r="JD8">
        <v>-2.4245362661989844E-14</v>
      </c>
      <c r="JE8">
        <v>65060614</v>
      </c>
      <c r="JF8" t="s">
        <v>4737</v>
      </c>
      <c r="KO8" t="s">
        <v>3065</v>
      </c>
      <c r="KP8" t="s">
        <v>1685</v>
      </c>
      <c r="KQ8">
        <v>4.256977</v>
      </c>
      <c r="KR8">
        <v>4.9215000000000002E-2</v>
      </c>
      <c r="KS8" t="s">
        <v>1594</v>
      </c>
      <c r="KT8">
        <v>2025</v>
      </c>
      <c r="KU8" t="s">
        <v>3066</v>
      </c>
      <c r="KV8" s="6">
        <v>46063</v>
      </c>
      <c r="KW8">
        <v>5</v>
      </c>
      <c r="KX8">
        <v>8579000</v>
      </c>
      <c r="KY8">
        <v>143096</v>
      </c>
      <c r="KZ8" t="s">
        <v>3067</v>
      </c>
      <c r="LC8" t="s">
        <v>6106</v>
      </c>
      <c r="LD8">
        <v>-2.4245362661989844E-14</v>
      </c>
      <c r="LF8">
        <v>-2.4245362661989844E-14</v>
      </c>
      <c r="LG8" t="s">
        <v>1594</v>
      </c>
      <c r="LH8">
        <v>2023</v>
      </c>
      <c r="LI8" t="s">
        <v>6107</v>
      </c>
      <c r="LJ8" s="6">
        <v>45008</v>
      </c>
      <c r="LK8">
        <v>4</v>
      </c>
      <c r="LL8">
        <v>-2.4245362661989844E-14</v>
      </c>
      <c r="LM8">
        <v>11889410</v>
      </c>
      <c r="LN8" t="s">
        <v>6108</v>
      </c>
      <c r="LS8" t="s">
        <v>4873</v>
      </c>
      <c r="LT8" t="s">
        <v>2128</v>
      </c>
      <c r="LU8">
        <v>-2.4245362661989844E-14</v>
      </c>
      <c r="LV8">
        <v>1.9000570000000001</v>
      </c>
      <c r="LW8" t="s">
        <v>1594</v>
      </c>
      <c r="LX8">
        <v>2025</v>
      </c>
      <c r="LY8" t="s">
        <v>4869</v>
      </c>
      <c r="LZ8" s="6">
        <v>46077</v>
      </c>
      <c r="MA8">
        <v>5</v>
      </c>
      <c r="MB8">
        <v>75000000</v>
      </c>
      <c r="MC8">
        <v>71999429</v>
      </c>
      <c r="MD8" t="s">
        <v>4874</v>
      </c>
      <c r="MG8" t="s">
        <v>23</v>
      </c>
      <c r="MH8">
        <v>0.787219</v>
      </c>
      <c r="MI8" t="s">
        <v>1598</v>
      </c>
      <c r="MJ8">
        <v>3.9592429999999998</v>
      </c>
      <c r="MK8" t="s">
        <v>1599</v>
      </c>
      <c r="ML8">
        <v>2025</v>
      </c>
      <c r="MM8" t="s">
        <v>2126</v>
      </c>
      <c r="MN8" s="6">
        <v>45966</v>
      </c>
      <c r="MO8">
        <v>5</v>
      </c>
      <c r="MP8">
        <v>136000000</v>
      </c>
      <c r="MQ8">
        <v>100225</v>
      </c>
      <c r="MR8" t="s">
        <v>2222</v>
      </c>
      <c r="MW8" t="s">
        <v>2185</v>
      </c>
      <c r="MX8" t="s">
        <v>1598</v>
      </c>
      <c r="MY8">
        <v>1.69564</v>
      </c>
      <c r="MZ8">
        <v>0.41697800000000002</v>
      </c>
      <c r="NA8" t="s">
        <v>1599</v>
      </c>
      <c r="NB8">
        <v>2025</v>
      </c>
      <c r="NC8" t="s">
        <v>2186</v>
      </c>
      <c r="ND8" s="6">
        <v>46001</v>
      </c>
      <c r="NE8">
        <v>5</v>
      </c>
      <c r="NF8">
        <v>12763693</v>
      </c>
      <c r="NG8">
        <v>1182195</v>
      </c>
      <c r="NH8" t="s">
        <v>2187</v>
      </c>
      <c r="NK8" t="s">
        <v>3701</v>
      </c>
      <c r="NL8">
        <v>-2.4245362661989844E-14</v>
      </c>
      <c r="NN8">
        <v>-2.4245362661989844E-14</v>
      </c>
      <c r="NO8" t="s">
        <v>1594</v>
      </c>
      <c r="NP8">
        <v>2022</v>
      </c>
      <c r="NQ8" t="s">
        <v>3702</v>
      </c>
      <c r="NR8" s="6">
        <v>44887</v>
      </c>
      <c r="NS8">
        <v>5</v>
      </c>
      <c r="NT8">
        <v>-2.4245362661989844E-14</v>
      </c>
      <c r="NU8">
        <v>104917</v>
      </c>
      <c r="NV8" t="s">
        <v>3703</v>
      </c>
      <c r="PE8" t="s">
        <v>247</v>
      </c>
      <c r="PF8" t="s">
        <v>1634</v>
      </c>
      <c r="PG8">
        <v>0.69574199999999997</v>
      </c>
      <c r="PH8">
        <v>1.510599</v>
      </c>
      <c r="PI8" t="s">
        <v>1599</v>
      </c>
      <c r="PJ8">
        <v>2025</v>
      </c>
      <c r="PK8" t="s">
        <v>1809</v>
      </c>
      <c r="PL8" s="6">
        <v>45985</v>
      </c>
      <c r="PM8">
        <v>5</v>
      </c>
      <c r="PN8">
        <v>62115848</v>
      </c>
      <c r="PO8">
        <v>101318</v>
      </c>
      <c r="PP8" t="s">
        <v>3724</v>
      </c>
      <c r="PS8" t="s">
        <v>3571</v>
      </c>
      <c r="PT8">
        <v>1.655E-3</v>
      </c>
      <c r="PU8" t="s">
        <v>1598</v>
      </c>
      <c r="PV8">
        <v>0.59815600000000002</v>
      </c>
      <c r="PW8" t="s">
        <v>1651</v>
      </c>
      <c r="PX8">
        <v>2025</v>
      </c>
      <c r="PY8" t="s">
        <v>3572</v>
      </c>
      <c r="PZ8" s="6">
        <v>45958</v>
      </c>
      <c r="QA8">
        <v>5</v>
      </c>
      <c r="QB8">
        <v>766849.86</v>
      </c>
      <c r="QC8">
        <v>153668</v>
      </c>
      <c r="QD8" t="s">
        <v>3573</v>
      </c>
      <c r="QI8" t="s">
        <v>4906</v>
      </c>
      <c r="QK8">
        <v>-2.4245362661989844E-14</v>
      </c>
      <c r="QL8">
        <v>-2.4245362661989844E-14</v>
      </c>
      <c r="QM8" t="s">
        <v>1594</v>
      </c>
      <c r="QN8">
        <v>2023</v>
      </c>
      <c r="QO8" t="s">
        <v>4907</v>
      </c>
      <c r="QP8" s="6">
        <v>45300</v>
      </c>
      <c r="QQ8">
        <v>5</v>
      </c>
      <c r="QR8">
        <v>-2.4245362661989844E-14</v>
      </c>
      <c r="QS8">
        <v>54910709</v>
      </c>
      <c r="QT8" t="s">
        <v>4908</v>
      </c>
      <c r="QW8" t="s">
        <v>4894</v>
      </c>
      <c r="QX8">
        <v>-2.4245362661989844E-14</v>
      </c>
      <c r="QZ8">
        <v>-2.4245362661989844E-14</v>
      </c>
      <c r="RA8" t="s">
        <v>1594</v>
      </c>
      <c r="RB8">
        <v>2021</v>
      </c>
      <c r="RC8" t="s">
        <v>4895</v>
      </c>
      <c r="RD8" s="6">
        <v>44650</v>
      </c>
      <c r="RE8">
        <v>5</v>
      </c>
      <c r="RF8">
        <v>-2.4245362661989844E-14</v>
      </c>
      <c r="RG8">
        <v>68557906</v>
      </c>
      <c r="RH8" t="s">
        <v>4896</v>
      </c>
      <c r="SQ8" t="s">
        <v>5151</v>
      </c>
      <c r="SR8" t="s">
        <v>1634</v>
      </c>
      <c r="SS8">
        <v>32.900002000000001</v>
      </c>
      <c r="ST8">
        <v>5.66669</v>
      </c>
      <c r="SU8" t="s">
        <v>1594</v>
      </c>
      <c r="SV8">
        <v>2024</v>
      </c>
      <c r="SW8" t="s">
        <v>5152</v>
      </c>
      <c r="SX8" s="6">
        <v>45743</v>
      </c>
      <c r="SY8">
        <v>5</v>
      </c>
      <c r="SZ8">
        <v>344336416</v>
      </c>
      <c r="TA8">
        <v>8137095</v>
      </c>
      <c r="TB8" t="s">
        <v>5153</v>
      </c>
      <c r="TE8" t="s">
        <v>2419</v>
      </c>
      <c r="TF8">
        <v>2.1413999999999999E-2</v>
      </c>
      <c r="TG8" t="s">
        <v>1598</v>
      </c>
      <c r="TH8">
        <v>1.474397</v>
      </c>
      <c r="TI8" t="s">
        <v>1664</v>
      </c>
      <c r="TJ8">
        <v>2025</v>
      </c>
      <c r="TK8" t="s">
        <v>4945</v>
      </c>
      <c r="TL8" s="6">
        <v>45909</v>
      </c>
      <c r="TM8">
        <v>5</v>
      </c>
      <c r="TN8">
        <v>19031939.82</v>
      </c>
      <c r="TO8">
        <v>9074473</v>
      </c>
      <c r="TP8" t="s">
        <v>2420</v>
      </c>
      <c r="TU8" t="s">
        <v>3410</v>
      </c>
      <c r="TW8">
        <v>-2.4245362661989844E-14</v>
      </c>
      <c r="TX8">
        <v>-2.4245362661989844E-14</v>
      </c>
      <c r="TY8" t="s">
        <v>1594</v>
      </c>
      <c r="TZ8">
        <v>2024</v>
      </c>
      <c r="UA8" t="s">
        <v>3411</v>
      </c>
      <c r="UB8" s="6">
        <v>45716</v>
      </c>
      <c r="UC8">
        <v>5</v>
      </c>
      <c r="UD8">
        <v>-2.4245362661989844E-14</v>
      </c>
      <c r="UE8">
        <v>101145</v>
      </c>
      <c r="UF8" t="s">
        <v>3412</v>
      </c>
      <c r="UI8" t="s">
        <v>1700</v>
      </c>
      <c r="UJ8">
        <v>-2.4245362661989844E-14</v>
      </c>
      <c r="UL8">
        <v>-2.4245362661989844E-14</v>
      </c>
      <c r="UM8" t="s">
        <v>1594</v>
      </c>
      <c r="UN8">
        <v>2021</v>
      </c>
      <c r="UO8" t="s">
        <v>4265</v>
      </c>
      <c r="UP8" s="6">
        <v>44656</v>
      </c>
      <c r="UQ8">
        <v>5</v>
      </c>
      <c r="UR8">
        <v>-2.4245362661989844E-14</v>
      </c>
      <c r="US8">
        <v>1499717</v>
      </c>
      <c r="UT8" t="s">
        <v>1702</v>
      </c>
      <c r="UY8" t="s">
        <v>3065</v>
      </c>
      <c r="UZ8" t="s">
        <v>1685</v>
      </c>
      <c r="VA8">
        <v>4.256977</v>
      </c>
      <c r="VB8">
        <v>4.9215000000000002E-2</v>
      </c>
      <c r="VC8" t="s">
        <v>1594</v>
      </c>
      <c r="VD8">
        <v>2025</v>
      </c>
      <c r="VE8" t="s">
        <v>3066</v>
      </c>
      <c r="VF8" s="6">
        <v>46063</v>
      </c>
      <c r="VG8">
        <v>5</v>
      </c>
      <c r="VH8">
        <v>8579000</v>
      </c>
      <c r="VI8">
        <v>143096</v>
      </c>
      <c r="VJ8" t="s">
        <v>3067</v>
      </c>
      <c r="VM8" t="s">
        <v>6106</v>
      </c>
      <c r="VN8">
        <v>-2.4245362661989844E-14</v>
      </c>
      <c r="VP8">
        <v>-2.4245362661989844E-14</v>
      </c>
      <c r="VQ8" t="s">
        <v>1594</v>
      </c>
      <c r="VR8">
        <v>2023</v>
      </c>
      <c r="VS8" t="s">
        <v>6107</v>
      </c>
      <c r="VT8" s="6">
        <v>45008</v>
      </c>
      <c r="VU8">
        <v>4</v>
      </c>
      <c r="VV8">
        <v>-2.4245362661989844E-14</v>
      </c>
      <c r="VW8">
        <v>11889410</v>
      </c>
      <c r="VX8" t="s">
        <v>6108</v>
      </c>
    </row>
    <row r="9" spans="1:600" x14ac:dyDescent="0.25">
      <c r="A9" t="s">
        <v>3350</v>
      </c>
      <c r="B9" t="s">
        <v>1598</v>
      </c>
      <c r="C9">
        <v>0.82792200000000005</v>
      </c>
      <c r="D9">
        <v>0.75151400000000002</v>
      </c>
      <c r="E9" t="s">
        <v>1664</v>
      </c>
      <c r="F9">
        <v>2025</v>
      </c>
      <c r="G9" t="s">
        <v>3351</v>
      </c>
      <c r="H9" s="6">
        <v>45959</v>
      </c>
      <c r="I9">
        <v>5</v>
      </c>
      <c r="J9">
        <v>28398061.84</v>
      </c>
      <c r="K9">
        <v>113332</v>
      </c>
      <c r="L9" t="s">
        <v>3352</v>
      </c>
      <c r="O9" t="s">
        <v>1621</v>
      </c>
      <c r="P9">
        <v>6</v>
      </c>
      <c r="R9">
        <v>-2.4245362661989844E-14</v>
      </c>
      <c r="S9" t="s">
        <v>1594</v>
      </c>
      <c r="T9">
        <v>2024</v>
      </c>
      <c r="U9" t="s">
        <v>2825</v>
      </c>
      <c r="V9" s="6">
        <v>45715</v>
      </c>
      <c r="W9">
        <v>5</v>
      </c>
      <c r="X9">
        <v>954404992</v>
      </c>
      <c r="Y9">
        <v>218252</v>
      </c>
      <c r="Z9" t="s">
        <v>1622</v>
      </c>
      <c r="AE9" t="s">
        <v>2298</v>
      </c>
      <c r="AF9" t="s">
        <v>1598</v>
      </c>
      <c r="AG9">
        <v>0.181587</v>
      </c>
      <c r="AH9">
        <v>4.4729999999999999E-2</v>
      </c>
      <c r="AI9" t="s">
        <v>1599</v>
      </c>
      <c r="AJ9">
        <v>2025</v>
      </c>
      <c r="AK9" t="s">
        <v>2299</v>
      </c>
      <c r="AL9" s="6">
        <v>45993</v>
      </c>
      <c r="AM9">
        <v>5</v>
      </c>
      <c r="AN9">
        <v>6513526</v>
      </c>
      <c r="AO9">
        <v>100415</v>
      </c>
      <c r="AP9" t="s">
        <v>2300</v>
      </c>
      <c r="AS9" t="s">
        <v>1991</v>
      </c>
      <c r="AT9">
        <v>-2.4245362661989844E-14</v>
      </c>
      <c r="AV9">
        <v>-2.4245362661989844E-14</v>
      </c>
      <c r="AW9" t="s">
        <v>1594</v>
      </c>
      <c r="AX9">
        <v>2025</v>
      </c>
      <c r="AY9" t="s">
        <v>1992</v>
      </c>
      <c r="AZ9" s="6">
        <v>45975</v>
      </c>
      <c r="BA9">
        <v>5</v>
      </c>
      <c r="BB9">
        <v>-2.4245362661989844E-14</v>
      </c>
      <c r="BC9">
        <v>100875</v>
      </c>
      <c r="BD9" t="s">
        <v>1993</v>
      </c>
      <c r="BI9" t="s">
        <v>3370</v>
      </c>
      <c r="BK9">
        <v>0.824349</v>
      </c>
      <c r="BL9">
        <v>-2.4245362661989844E-14</v>
      </c>
      <c r="BM9" t="s">
        <v>1599</v>
      </c>
      <c r="BN9">
        <v>2025</v>
      </c>
      <c r="BO9" t="s">
        <v>3371</v>
      </c>
      <c r="BP9" s="6">
        <v>45996</v>
      </c>
      <c r="BQ9">
        <v>5</v>
      </c>
      <c r="BR9">
        <v>7184285</v>
      </c>
      <c r="BS9">
        <v>225275</v>
      </c>
      <c r="BT9" t="s">
        <v>3372</v>
      </c>
      <c r="CM9" t="s">
        <v>3376</v>
      </c>
      <c r="CN9" t="s">
        <v>1598</v>
      </c>
      <c r="CO9">
        <v>1.6510830000000001</v>
      </c>
      <c r="CP9">
        <v>0.55792699999999995</v>
      </c>
      <c r="CQ9" t="s">
        <v>1606</v>
      </c>
      <c r="CR9">
        <v>2025</v>
      </c>
      <c r="CS9" t="s">
        <v>3377</v>
      </c>
      <c r="CT9" s="6">
        <v>46072</v>
      </c>
      <c r="CU9">
        <v>5</v>
      </c>
      <c r="CV9">
        <v>61510583.75</v>
      </c>
      <c r="CW9">
        <v>70579391</v>
      </c>
      <c r="CX9" t="s">
        <v>3378</v>
      </c>
      <c r="DA9" t="s">
        <v>311</v>
      </c>
      <c r="DB9">
        <v>2.936461</v>
      </c>
      <c r="DC9" t="s">
        <v>1598</v>
      </c>
      <c r="DD9">
        <v>1.790807</v>
      </c>
      <c r="DE9" t="s">
        <v>1606</v>
      </c>
      <c r="DF9">
        <v>2025</v>
      </c>
      <c r="DG9" t="s">
        <v>2670</v>
      </c>
      <c r="DH9" s="6">
        <v>45883</v>
      </c>
      <c r="DI9">
        <v>5</v>
      </c>
      <c r="DJ9">
        <v>618741696</v>
      </c>
      <c r="DK9">
        <v>100864</v>
      </c>
      <c r="DL9" t="s">
        <v>1668</v>
      </c>
      <c r="EU9" t="s">
        <v>3966</v>
      </c>
      <c r="EV9" t="s">
        <v>1634</v>
      </c>
      <c r="EW9">
        <v>54</v>
      </c>
      <c r="EX9">
        <v>1.206051</v>
      </c>
      <c r="EY9" t="s">
        <v>1594</v>
      </c>
      <c r="EZ9">
        <v>2024</v>
      </c>
      <c r="FA9" t="s">
        <v>3967</v>
      </c>
      <c r="FB9" s="6">
        <v>45733</v>
      </c>
      <c r="FC9">
        <v>5</v>
      </c>
      <c r="FD9">
        <v>21160170</v>
      </c>
      <c r="FE9">
        <v>7287344</v>
      </c>
      <c r="FF9" t="s">
        <v>3968</v>
      </c>
      <c r="FI9" t="s">
        <v>5575</v>
      </c>
      <c r="FJ9">
        <v>-2.4245362661989844E-14</v>
      </c>
      <c r="FL9">
        <v>-2.4245362661989844E-14</v>
      </c>
      <c r="FM9" t="s">
        <v>1792</v>
      </c>
      <c r="FN9">
        <v>2024</v>
      </c>
      <c r="FO9" t="s">
        <v>5576</v>
      </c>
      <c r="FP9" s="6">
        <v>45505</v>
      </c>
      <c r="FQ9">
        <v>5</v>
      </c>
      <c r="FR9">
        <v>-2.4245362661989844E-14</v>
      </c>
      <c r="FS9">
        <v>8148143</v>
      </c>
      <c r="FT9" t="s">
        <v>5577</v>
      </c>
      <c r="FY9" t="s">
        <v>1084</v>
      </c>
      <c r="FZ9" t="s">
        <v>1685</v>
      </c>
      <c r="GA9">
        <v>0.60699000000000003</v>
      </c>
      <c r="GB9">
        <v>0.15107200000000001</v>
      </c>
      <c r="GC9" t="s">
        <v>1664</v>
      </c>
      <c r="GD9">
        <v>2025</v>
      </c>
      <c r="GE9" t="s">
        <v>2052</v>
      </c>
      <c r="GF9" s="6">
        <v>45838</v>
      </c>
      <c r="GG9">
        <v>5</v>
      </c>
      <c r="GH9">
        <v>35648524</v>
      </c>
      <c r="GI9">
        <v>101689</v>
      </c>
      <c r="GJ9" t="s">
        <v>2053</v>
      </c>
      <c r="GM9" t="s">
        <v>5059</v>
      </c>
      <c r="GN9">
        <v>-2.4245362661989844E-14</v>
      </c>
      <c r="GP9">
        <v>-2.4245362661989844E-14</v>
      </c>
      <c r="GQ9" t="s">
        <v>1594</v>
      </c>
      <c r="GR9">
        <v>2023</v>
      </c>
      <c r="GS9" t="s">
        <v>5060</v>
      </c>
      <c r="GT9" s="6">
        <v>45189</v>
      </c>
      <c r="GU9">
        <v>5</v>
      </c>
      <c r="GV9">
        <v>-2.4245362661989844E-14</v>
      </c>
      <c r="GW9">
        <v>118666</v>
      </c>
      <c r="GX9" t="s">
        <v>5061</v>
      </c>
      <c r="IG9" t="s">
        <v>3820</v>
      </c>
      <c r="IH9" t="s">
        <v>1598</v>
      </c>
      <c r="II9">
        <v>9.5227000000000006E-2</v>
      </c>
      <c r="IJ9">
        <v>9.3220999999999998E-2</v>
      </c>
      <c r="IK9" t="s">
        <v>1603</v>
      </c>
      <c r="IL9">
        <v>2025</v>
      </c>
      <c r="IM9" t="s">
        <v>3821</v>
      </c>
      <c r="IN9" s="6">
        <v>45849</v>
      </c>
      <c r="IO9">
        <v>5</v>
      </c>
      <c r="IP9">
        <v>2711796</v>
      </c>
      <c r="IQ9">
        <v>102595</v>
      </c>
      <c r="IR9" t="s">
        <v>3822</v>
      </c>
      <c r="IU9" t="s">
        <v>2550</v>
      </c>
      <c r="IV9">
        <v>-2.4245362661989844E-14</v>
      </c>
      <c r="IX9">
        <v>-2.4245362661989844E-14</v>
      </c>
      <c r="IY9" t="s">
        <v>1594</v>
      </c>
      <c r="IZ9">
        <v>2025</v>
      </c>
      <c r="JA9" t="s">
        <v>4738</v>
      </c>
      <c r="JB9" s="6">
        <v>46064</v>
      </c>
      <c r="JC9">
        <v>5</v>
      </c>
      <c r="JD9">
        <v>-2.4245362661989844E-14</v>
      </c>
      <c r="JE9">
        <v>17312199</v>
      </c>
      <c r="JF9" t="s">
        <v>2552</v>
      </c>
      <c r="KO9" t="s">
        <v>3370</v>
      </c>
      <c r="KQ9">
        <v>0.824349</v>
      </c>
      <c r="KR9">
        <v>-2.4245362661989844E-14</v>
      </c>
      <c r="KS9" t="s">
        <v>1599</v>
      </c>
      <c r="KT9">
        <v>2025</v>
      </c>
      <c r="KU9" t="s">
        <v>3371</v>
      </c>
      <c r="KV9" s="6">
        <v>45996</v>
      </c>
      <c r="KW9">
        <v>5</v>
      </c>
      <c r="KX9">
        <v>7184285</v>
      </c>
      <c r="KY9">
        <v>225275</v>
      </c>
      <c r="KZ9" t="s">
        <v>3372</v>
      </c>
      <c r="LS9" t="s">
        <v>3208</v>
      </c>
      <c r="LT9" t="s">
        <v>1685</v>
      </c>
      <c r="LU9">
        <v>1.6404799999999999</v>
      </c>
      <c r="LV9">
        <v>2.2485889999999999</v>
      </c>
      <c r="LW9" t="s">
        <v>1606</v>
      </c>
      <c r="LX9">
        <v>2025</v>
      </c>
      <c r="LY9" t="s">
        <v>3209</v>
      </c>
      <c r="LZ9" s="6">
        <v>45796</v>
      </c>
      <c r="MA9">
        <v>5</v>
      </c>
      <c r="MB9">
        <v>57397160.810000002</v>
      </c>
      <c r="MC9">
        <v>995671</v>
      </c>
      <c r="MD9" t="s">
        <v>3210</v>
      </c>
      <c r="MG9" t="s">
        <v>4870</v>
      </c>
      <c r="MH9">
        <v>0.61089599999999999</v>
      </c>
      <c r="MI9" t="s">
        <v>1598</v>
      </c>
      <c r="MJ9">
        <v>14.583333</v>
      </c>
      <c r="MK9" t="s">
        <v>1594</v>
      </c>
      <c r="ML9">
        <v>2024</v>
      </c>
      <c r="MM9" t="s">
        <v>4871</v>
      </c>
      <c r="MN9" s="6">
        <v>45713</v>
      </c>
      <c r="MO9">
        <v>5</v>
      </c>
      <c r="MP9">
        <v>98000000</v>
      </c>
      <c r="MQ9">
        <v>69483676</v>
      </c>
      <c r="MR9" t="s">
        <v>4872</v>
      </c>
      <c r="MW9" t="s">
        <v>3891</v>
      </c>
      <c r="MX9" t="s">
        <v>1598</v>
      </c>
      <c r="MY9">
        <v>1.749268</v>
      </c>
      <c r="MZ9">
        <v>0.29281299999999999</v>
      </c>
      <c r="NA9" t="s">
        <v>1664</v>
      </c>
      <c r="NB9">
        <v>2025</v>
      </c>
      <c r="NC9" t="s">
        <v>3892</v>
      </c>
      <c r="ND9" s="6">
        <v>45867</v>
      </c>
      <c r="NE9">
        <v>5</v>
      </c>
      <c r="NF9">
        <v>9701879.8399999999</v>
      </c>
      <c r="NG9">
        <v>157487</v>
      </c>
      <c r="NH9" t="s">
        <v>3893</v>
      </c>
      <c r="NK9" t="s">
        <v>3704</v>
      </c>
      <c r="NL9">
        <v>-2.4245362661989844E-14</v>
      </c>
      <c r="NN9">
        <v>-2.4245362661989844E-14</v>
      </c>
      <c r="NO9" t="s">
        <v>1594</v>
      </c>
      <c r="NP9">
        <v>2025</v>
      </c>
      <c r="NQ9" t="s">
        <v>3705</v>
      </c>
      <c r="NR9" s="6">
        <v>45834</v>
      </c>
      <c r="NS9">
        <v>5</v>
      </c>
      <c r="NT9">
        <v>-2.4245362661989844E-14</v>
      </c>
      <c r="NU9">
        <v>11745327</v>
      </c>
      <c r="NV9" t="s">
        <v>3706</v>
      </c>
      <c r="PE9" t="s">
        <v>5126</v>
      </c>
      <c r="PF9" t="s">
        <v>1598</v>
      </c>
      <c r="PG9">
        <v>28</v>
      </c>
      <c r="PH9">
        <v>0.140787</v>
      </c>
      <c r="PI9" t="s">
        <v>1594</v>
      </c>
      <c r="PJ9">
        <v>2024</v>
      </c>
      <c r="PK9" t="s">
        <v>5127</v>
      </c>
      <c r="PL9" s="6">
        <v>45729</v>
      </c>
      <c r="PM9">
        <v>5</v>
      </c>
      <c r="PN9">
        <v>54355072</v>
      </c>
      <c r="PO9">
        <v>54325602</v>
      </c>
      <c r="PP9" t="s">
        <v>5128</v>
      </c>
      <c r="PS9" t="s">
        <v>3574</v>
      </c>
      <c r="PT9">
        <v>-2.4245362661989844E-14</v>
      </c>
      <c r="PV9">
        <v>-2.4245362661989844E-14</v>
      </c>
      <c r="PW9" t="s">
        <v>1651</v>
      </c>
      <c r="PX9">
        <v>2023</v>
      </c>
      <c r="PY9" t="s">
        <v>3575</v>
      </c>
      <c r="PZ9" s="6">
        <v>45244</v>
      </c>
      <c r="QA9">
        <v>5</v>
      </c>
      <c r="QB9">
        <v>-2.4245362661989844E-14</v>
      </c>
      <c r="QC9">
        <v>129148</v>
      </c>
      <c r="QD9" t="s">
        <v>3576</v>
      </c>
      <c r="QI9" t="s">
        <v>4909</v>
      </c>
      <c r="QK9">
        <v>-2.4245362661989844E-14</v>
      </c>
      <c r="QL9">
        <v>-2.4245362661989844E-14</v>
      </c>
      <c r="QM9" t="s">
        <v>1594</v>
      </c>
      <c r="QN9">
        <v>2022</v>
      </c>
      <c r="QO9" t="s">
        <v>4910</v>
      </c>
      <c r="QP9" s="6">
        <v>45009</v>
      </c>
      <c r="QQ9">
        <v>5</v>
      </c>
      <c r="QR9">
        <v>-2.4245362661989844E-14</v>
      </c>
      <c r="QS9">
        <v>30118121</v>
      </c>
      <c r="QT9" t="s">
        <v>4911</v>
      </c>
      <c r="QW9" t="s">
        <v>4897</v>
      </c>
      <c r="QX9">
        <v>-2.4245362661989844E-14</v>
      </c>
      <c r="QZ9">
        <v>-2.4245362661989844E-14</v>
      </c>
      <c r="RA9" t="s">
        <v>1594</v>
      </c>
      <c r="RB9">
        <v>2022</v>
      </c>
      <c r="RC9" t="s">
        <v>4898</v>
      </c>
      <c r="RD9" s="6">
        <v>44985</v>
      </c>
      <c r="RE9">
        <v>5</v>
      </c>
      <c r="RF9">
        <v>-2.4245362661989844E-14</v>
      </c>
      <c r="RG9">
        <v>28340906</v>
      </c>
      <c r="RH9" t="s">
        <v>4899</v>
      </c>
      <c r="SQ9" t="s">
        <v>3957</v>
      </c>
      <c r="SR9" t="s">
        <v>1634</v>
      </c>
      <c r="SS9">
        <v>19.700001</v>
      </c>
      <c r="ST9">
        <v>2.2824490000000002</v>
      </c>
      <c r="SU9" t="s">
        <v>1594</v>
      </c>
      <c r="SV9">
        <v>2025</v>
      </c>
      <c r="SW9" t="s">
        <v>5154</v>
      </c>
      <c r="SX9" s="6">
        <v>46065</v>
      </c>
      <c r="SY9">
        <v>5</v>
      </c>
      <c r="SZ9">
        <v>161814224</v>
      </c>
      <c r="TA9">
        <v>69554276</v>
      </c>
      <c r="TB9" t="s">
        <v>3959</v>
      </c>
      <c r="TE9" t="s">
        <v>4946</v>
      </c>
      <c r="TF9">
        <v>4.3600000000000003E-4</v>
      </c>
      <c r="TG9" t="s">
        <v>1598</v>
      </c>
      <c r="TH9">
        <v>13.57766</v>
      </c>
      <c r="TI9" t="s">
        <v>1594</v>
      </c>
      <c r="TJ9">
        <v>2024</v>
      </c>
      <c r="TK9" t="s">
        <v>4947</v>
      </c>
      <c r="TL9" s="6">
        <v>45806</v>
      </c>
      <c r="TM9">
        <v>5</v>
      </c>
      <c r="TN9">
        <v>374184</v>
      </c>
      <c r="TO9">
        <v>812681</v>
      </c>
      <c r="TP9" t="s">
        <v>4948</v>
      </c>
      <c r="TU9" t="s">
        <v>3413</v>
      </c>
      <c r="TW9">
        <v>-2.4245362661989844E-14</v>
      </c>
      <c r="TX9">
        <v>-2.4245362661989844E-14</v>
      </c>
      <c r="TY9" t="s">
        <v>1599</v>
      </c>
      <c r="TZ9">
        <v>2024</v>
      </c>
      <c r="UA9" t="s">
        <v>3414</v>
      </c>
      <c r="UB9" s="6">
        <v>45617</v>
      </c>
      <c r="UC9">
        <v>5</v>
      </c>
      <c r="UD9">
        <v>-2.4245362661989844E-14</v>
      </c>
      <c r="UE9">
        <v>10166446</v>
      </c>
      <c r="UF9" t="s">
        <v>3415</v>
      </c>
      <c r="UI9" t="s">
        <v>4402</v>
      </c>
      <c r="UJ9">
        <v>-2.4245362661989844E-14</v>
      </c>
      <c r="UL9">
        <v>-2.4245362661989844E-14</v>
      </c>
      <c r="UM9" t="s">
        <v>1594</v>
      </c>
      <c r="UN9">
        <v>2022</v>
      </c>
      <c r="UO9" t="s">
        <v>4403</v>
      </c>
      <c r="UP9" s="6">
        <v>44840</v>
      </c>
      <c r="UQ9">
        <v>5</v>
      </c>
      <c r="UR9">
        <v>-2.4245362661989844E-14</v>
      </c>
      <c r="US9">
        <v>14699050</v>
      </c>
      <c r="UT9" t="s">
        <v>4404</v>
      </c>
      <c r="UY9" t="s">
        <v>3370</v>
      </c>
      <c r="VA9">
        <v>0.824349</v>
      </c>
      <c r="VB9">
        <v>-2.4245362661989844E-14</v>
      </c>
      <c r="VC9" t="s">
        <v>1599</v>
      </c>
      <c r="VD9">
        <v>2025</v>
      </c>
      <c r="VE9" t="s">
        <v>3371</v>
      </c>
      <c r="VF9" s="6">
        <v>45996</v>
      </c>
      <c r="VG9">
        <v>5</v>
      </c>
      <c r="VH9">
        <v>7184285</v>
      </c>
      <c r="VI9">
        <v>225275</v>
      </c>
      <c r="VJ9" t="s">
        <v>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73</v>
      </c>
      <c r="AE2" s="3" t="s">
        <v>106</v>
      </c>
      <c r="BI2" s="3" t="s">
        <v>77</v>
      </c>
      <c r="CM2" s="3" t="s">
        <v>107</v>
      </c>
      <c r="DQ2" s="3" t="s">
        <v>108</v>
      </c>
      <c r="EU2" s="3" t="s">
        <v>109</v>
      </c>
      <c r="FY2" s="3" t="s">
        <v>110</v>
      </c>
      <c r="HC2" s="3" t="s">
        <v>110</v>
      </c>
      <c r="IG2" s="3" t="s">
        <v>71</v>
      </c>
      <c r="JK2" s="3" t="s">
        <v>107</v>
      </c>
      <c r="KO2" s="3" t="s">
        <v>111</v>
      </c>
      <c r="LS2" s="3" t="s">
        <v>112</v>
      </c>
      <c r="MW2" s="3" t="s">
        <v>113</v>
      </c>
      <c r="OA2" s="3" t="s">
        <v>114</v>
      </c>
      <c r="PE2" s="3" t="s">
        <v>115</v>
      </c>
      <c r="QI2" s="3" t="s">
        <v>116</v>
      </c>
      <c r="RM2" s="3" t="s">
        <v>75</v>
      </c>
      <c r="SQ2" s="3" t="s">
        <v>78</v>
      </c>
      <c r="TU2" s="3" t="s">
        <v>117</v>
      </c>
      <c r="UY2" s="3" t="s">
        <v>118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_xll.BDS("653707Q US Equity","SUPPLY_CHAIN_SUPPLIERS_ALL_DATA")</f>
        <v>#N/A N/A</v>
      </c>
      <c r="O5" t="str">
        <f>_xll.BDS("653707Q US Equity","SUPPLY_CHAIN_CUSTOMERS_ALL_DATA")</f>
        <v>#N/A N/A</v>
      </c>
      <c r="AE5" t="str">
        <f>_xll.BDS("FISV US Equity","SUPPLY_CHAIN_SUPPLIERS_ALL_DATA","cols=12;rows=5")</f>
        <v>ADBE US Equity</v>
      </c>
      <c r="AF5" t="s">
        <v>1685</v>
      </c>
      <c r="AG5">
        <v>4.4098999999999999E-2</v>
      </c>
      <c r="AH5">
        <v>0.153979</v>
      </c>
      <c r="AI5" t="s">
        <v>1664</v>
      </c>
      <c r="AJ5">
        <v>2025</v>
      </c>
      <c r="AK5" t="s">
        <v>2052</v>
      </c>
      <c r="AL5" s="6">
        <v>45838</v>
      </c>
      <c r="AM5">
        <v>5</v>
      </c>
      <c r="AN5">
        <v>2589934</v>
      </c>
      <c r="AO5">
        <v>101689</v>
      </c>
      <c r="AP5" t="s">
        <v>2053</v>
      </c>
      <c r="AS5" t="str">
        <f>_xll.BDS("FISV US Equity","SUPPLY_CHAIN_CUSTOMERS_ALL_DATA","cols=12;rows=5")</f>
        <v>ALE PW Equity</v>
      </c>
      <c r="AT5">
        <v>9.0300000000000005E-4</v>
      </c>
      <c r="AU5" t="s">
        <v>1598</v>
      </c>
      <c r="AV5">
        <v>4.8596E-2</v>
      </c>
      <c r="AW5" t="s">
        <v>1594</v>
      </c>
      <c r="AX5">
        <v>2024</v>
      </c>
      <c r="AY5" t="s">
        <v>5764</v>
      </c>
      <c r="AZ5" s="6">
        <v>45729</v>
      </c>
      <c r="BA5">
        <v>5</v>
      </c>
      <c r="BB5">
        <v>46174.74</v>
      </c>
      <c r="BC5">
        <v>68856100</v>
      </c>
      <c r="BD5" t="s">
        <v>5765</v>
      </c>
      <c r="BI5" t="str">
        <f>_xll.BDS("KMI US Equity","SUPPLY_CHAIN_SUPPLIERS_ALL_DATA","cols=12;rows=5")</f>
        <v>PWR US Equity</v>
      </c>
      <c r="BJ5" t="s">
        <v>1634</v>
      </c>
      <c r="BK5">
        <v>0.33276499999999998</v>
      </c>
      <c r="BL5">
        <v>3.2023519999999999</v>
      </c>
      <c r="BM5" t="s">
        <v>1599</v>
      </c>
      <c r="BN5">
        <v>2025</v>
      </c>
      <c r="BO5" t="s">
        <v>2321</v>
      </c>
      <c r="BP5" s="6">
        <v>45975</v>
      </c>
      <c r="BQ5">
        <v>5</v>
      </c>
      <c r="BR5">
        <v>25394656</v>
      </c>
      <c r="BS5">
        <v>305366</v>
      </c>
      <c r="BT5" t="s">
        <v>2322</v>
      </c>
      <c r="BW5" t="str">
        <f>_xll.BDS("KMI US Equity","SUPPLY_CHAIN_CUSTOMERS_ALL_DATA","cols=12;rows=5")</f>
        <v>TX US Equity</v>
      </c>
      <c r="BX5">
        <v>0.29628300000000002</v>
      </c>
      <c r="BY5" t="s">
        <v>1598</v>
      </c>
      <c r="BZ5">
        <v>0.33289200000000002</v>
      </c>
      <c r="CA5" t="s">
        <v>1599</v>
      </c>
      <c r="CB5">
        <v>2025</v>
      </c>
      <c r="CC5" t="s">
        <v>4729</v>
      </c>
      <c r="CD5" s="6">
        <v>45959</v>
      </c>
      <c r="CE5">
        <v>5</v>
      </c>
      <c r="CF5">
        <v>12283901</v>
      </c>
      <c r="CG5">
        <v>10106947</v>
      </c>
      <c r="CH5" t="s">
        <v>4730</v>
      </c>
      <c r="CM5" t="str">
        <f>_xll.BDS("VIAV US Equity","SUPPLY_CHAIN_SUPPLIERS_ALL_DATA","cols=12;rows=5")</f>
        <v>TCS IN Equity</v>
      </c>
      <c r="CN5" t="s">
        <v>1685</v>
      </c>
      <c r="CO5">
        <v>5.8825000000000002E-2</v>
      </c>
      <c r="CP5">
        <v>3.4862989999999998</v>
      </c>
      <c r="CQ5" t="s">
        <v>1599</v>
      </c>
      <c r="CR5">
        <v>2026</v>
      </c>
      <c r="CS5" t="s">
        <v>3113</v>
      </c>
      <c r="CT5" s="6">
        <v>46058</v>
      </c>
      <c r="CU5">
        <v>5</v>
      </c>
      <c r="CV5">
        <v>4429338.2300000004</v>
      </c>
      <c r="CW5">
        <v>7259059</v>
      </c>
      <c r="CX5" t="s">
        <v>3114</v>
      </c>
      <c r="DA5" t="str">
        <f>_xll.BDS("VIAV US Equity","SUPPLY_CHAIN_CUSTOMERS_ALL_DATA","cols=12;rows=5")</f>
        <v>582647Z SW Equity</v>
      </c>
      <c r="DB5">
        <v>14.345955</v>
      </c>
      <c r="DD5">
        <v>-2.4245362661989844E-14</v>
      </c>
      <c r="DE5" t="s">
        <v>1606</v>
      </c>
      <c r="DF5">
        <v>2025</v>
      </c>
      <c r="DG5" t="s">
        <v>3619</v>
      </c>
      <c r="DH5" s="6">
        <v>45894</v>
      </c>
      <c r="DI5">
        <v>5</v>
      </c>
      <c r="DJ5">
        <v>41675000</v>
      </c>
      <c r="DK5">
        <v>9020850</v>
      </c>
      <c r="DL5" t="s">
        <v>3620</v>
      </c>
      <c r="DQ5" t="str">
        <f>_xll.BDS("COP US Equity","SUPPLY_CHAIN_SUPPLIERS_ALL_DATA","cols=12;rows=5")</f>
        <v>TEN IM Equity</v>
      </c>
      <c r="DR5" t="s">
        <v>1634</v>
      </c>
      <c r="DS5">
        <v>4.8862709999999998</v>
      </c>
      <c r="DT5">
        <v>5.0774600000000003</v>
      </c>
      <c r="DU5" t="s">
        <v>1599</v>
      </c>
      <c r="DV5">
        <v>2025</v>
      </c>
      <c r="DW5" t="s">
        <v>3361</v>
      </c>
      <c r="DX5" s="6">
        <v>45971</v>
      </c>
      <c r="DY5">
        <v>5</v>
      </c>
      <c r="DZ5">
        <v>145519984</v>
      </c>
      <c r="EA5">
        <v>7912227</v>
      </c>
      <c r="EB5" t="s">
        <v>3362</v>
      </c>
      <c r="EE5" t="str">
        <f>_xll.BDS("COP US Equity","SUPPLY_CHAIN_CUSTOMERS_ALL_DATA","cols=12;rows=5")</f>
        <v>386 HK Equity</v>
      </c>
      <c r="EF5">
        <v>-2.4245362661989844E-14</v>
      </c>
      <c r="EH5">
        <v>-2.4245362661989844E-14</v>
      </c>
      <c r="EI5" t="s">
        <v>1594</v>
      </c>
      <c r="EJ5">
        <v>2024</v>
      </c>
      <c r="EK5" t="s">
        <v>2881</v>
      </c>
      <c r="EL5" s="6">
        <v>45706</v>
      </c>
      <c r="EM5">
        <v>5</v>
      </c>
      <c r="EN5">
        <v>-2.4245362661989844E-14</v>
      </c>
      <c r="EO5">
        <v>157909</v>
      </c>
      <c r="EP5" t="s">
        <v>2882</v>
      </c>
      <c r="EU5" t="str">
        <f>_xll.BDS("WCOEQ US Equity","SUPPLY_CHAIN_SUPPLIERS_ALL_DATA")</f>
        <v>#N/A N/A</v>
      </c>
      <c r="FI5" t="str">
        <f>_xll.BDS("WCOEQ US Equity","SUPPLY_CHAIN_CUSTOMERS_ALL_DATA")</f>
        <v>#N/A N/A</v>
      </c>
      <c r="FY5" t="str">
        <f>_xll.BDS("BRK/A US Equity","SUPPLY_CHAIN_SUPPLIERS_ALL_DATA","cols=12;rows=5")</f>
        <v>HSY US Equity</v>
      </c>
      <c r="FZ5" t="s">
        <v>1598</v>
      </c>
      <c r="GA5">
        <v>27</v>
      </c>
      <c r="GB5">
        <v>1.2151259999999999</v>
      </c>
      <c r="GC5" t="s">
        <v>1594</v>
      </c>
      <c r="GD5">
        <v>2025</v>
      </c>
      <c r="GE5" t="s">
        <v>3395</v>
      </c>
      <c r="GF5" s="6">
        <v>46070</v>
      </c>
      <c r="GG5">
        <v>5</v>
      </c>
      <c r="GH5">
        <v>789248896</v>
      </c>
      <c r="GI5">
        <v>100731</v>
      </c>
      <c r="GJ5" t="s">
        <v>3396</v>
      </c>
      <c r="GM5" t="str">
        <f>_xll.BDS("BRK/A US Equity","SUPPLY_CHAIN_CUSTOMERS_ALL_DATA","cols=12;rows=5")</f>
        <v>WMT US Equity</v>
      </c>
      <c r="GN5">
        <v>2.1167449999999999</v>
      </c>
      <c r="GO5" t="s">
        <v>1598</v>
      </c>
      <c r="GP5">
        <v>1.7547349999999999</v>
      </c>
      <c r="GQ5" t="s">
        <v>1594</v>
      </c>
      <c r="GR5">
        <v>2024</v>
      </c>
      <c r="GS5" t="s">
        <v>2944</v>
      </c>
      <c r="GT5" s="6">
        <v>45712</v>
      </c>
      <c r="GU5">
        <v>5</v>
      </c>
      <c r="GV5">
        <v>2244977664</v>
      </c>
      <c r="GW5">
        <v>101616</v>
      </c>
      <c r="GX5" t="s">
        <v>1666</v>
      </c>
      <c r="HC5" t="str">
        <f>_xll.BDS("BRK/A US Equity","SUPPLY_CHAIN_SUPPLIERS_ALL_DATA","cols=12;rows=5")</f>
        <v>HSY US Equity</v>
      </c>
      <c r="HD5" t="s">
        <v>1598</v>
      </c>
      <c r="HE5">
        <v>27</v>
      </c>
      <c r="HF5">
        <v>1.2151259999999999</v>
      </c>
      <c r="HG5" t="s">
        <v>1594</v>
      </c>
      <c r="HH5">
        <v>2025</v>
      </c>
      <c r="HI5" t="s">
        <v>3395</v>
      </c>
      <c r="HJ5" s="6">
        <v>46070</v>
      </c>
      <c r="HK5">
        <v>5</v>
      </c>
      <c r="HL5">
        <v>789248896</v>
      </c>
      <c r="HM5">
        <v>100731</v>
      </c>
      <c r="HN5" t="s">
        <v>3396</v>
      </c>
      <c r="HQ5" t="str">
        <f>_xll.BDS("BRK/A US Equity","SUPPLY_CHAIN_CUSTOMERS_ALL_DATA","cols=12;rows=5")</f>
        <v>WMT US Equity</v>
      </c>
      <c r="HR5">
        <v>2.1167449999999999</v>
      </c>
      <c r="HS5" t="s">
        <v>1598</v>
      </c>
      <c r="HT5">
        <v>1.7547349999999999</v>
      </c>
      <c r="HU5" t="s">
        <v>1594</v>
      </c>
      <c r="HV5">
        <v>2024</v>
      </c>
      <c r="HW5" t="s">
        <v>2944</v>
      </c>
      <c r="HX5" s="6">
        <v>45712</v>
      </c>
      <c r="HY5">
        <v>5</v>
      </c>
      <c r="HZ5">
        <v>2244977664</v>
      </c>
      <c r="IA5">
        <v>101616</v>
      </c>
      <c r="IB5" t="s">
        <v>1666</v>
      </c>
      <c r="IG5" t="str">
        <f>_xll.BDS("BAC US Equity","SUPPLY_CHAIN_SUPPLIERS_ALL_DATA","cols=12;rows=5")</f>
        <v>ORCL US Equity</v>
      </c>
      <c r="IH5" t="s">
        <v>1598</v>
      </c>
      <c r="II5">
        <v>0.27107500000000001</v>
      </c>
      <c r="IJ5">
        <v>0.24259500000000001</v>
      </c>
      <c r="IK5" t="s">
        <v>1606</v>
      </c>
      <c r="IL5">
        <v>2025</v>
      </c>
      <c r="IM5" t="s">
        <v>2251</v>
      </c>
      <c r="IN5" s="6">
        <v>45848</v>
      </c>
      <c r="IO5">
        <v>5</v>
      </c>
      <c r="IP5">
        <v>43109056</v>
      </c>
      <c r="IQ5">
        <v>101752</v>
      </c>
      <c r="IR5" t="s">
        <v>2265</v>
      </c>
      <c r="IU5" t="str">
        <f>_xll.BDS("BAC US Equity","SUPPLY_CHAIN_CUSTOMERS_ALL_DATA","cols=12;rows=4")</f>
        <v>3147564Z US Equity</v>
      </c>
      <c r="IV5">
        <v>-2.4245362661989844E-14</v>
      </c>
      <c r="IX5">
        <v>-2.4245362661989844E-14</v>
      </c>
      <c r="IY5" t="s">
        <v>1594</v>
      </c>
      <c r="IZ5">
        <v>2022</v>
      </c>
      <c r="JA5" t="s">
        <v>6104</v>
      </c>
      <c r="JB5" s="6">
        <v>44875</v>
      </c>
      <c r="JC5">
        <v>4</v>
      </c>
      <c r="JD5">
        <v>-2.4245362661989844E-14</v>
      </c>
      <c r="JE5">
        <v>15504092</v>
      </c>
      <c r="JF5" t="s">
        <v>6105</v>
      </c>
      <c r="JK5" t="str">
        <f>_xll.BDS("VIAV US Equity","SUPPLY_CHAIN_SUPPLIERS_ALL_DATA","cols=12;rows=5")</f>
        <v>TCS IN Equity</v>
      </c>
      <c r="JL5" t="s">
        <v>1685</v>
      </c>
      <c r="JM5">
        <v>5.8825000000000002E-2</v>
      </c>
      <c r="JN5">
        <v>3.4862989999999998</v>
      </c>
      <c r="JO5" t="s">
        <v>1599</v>
      </c>
      <c r="JP5">
        <v>2026</v>
      </c>
      <c r="JQ5" t="s">
        <v>3113</v>
      </c>
      <c r="JR5" s="6">
        <v>46058</v>
      </c>
      <c r="JS5">
        <v>5</v>
      </c>
      <c r="JT5">
        <v>4429338.2300000004</v>
      </c>
      <c r="JU5">
        <v>7259059</v>
      </c>
      <c r="JV5" t="s">
        <v>3114</v>
      </c>
      <c r="JY5" t="str">
        <f>_xll.BDS("VIAV US Equity","SUPPLY_CHAIN_CUSTOMERS_ALL_DATA","cols=12;rows=5")</f>
        <v>582647Z SW Equity</v>
      </c>
      <c r="JZ5">
        <v>14.345955</v>
      </c>
      <c r="KB5">
        <v>-2.4245362661989844E-14</v>
      </c>
      <c r="KC5" t="s">
        <v>1606</v>
      </c>
      <c r="KD5">
        <v>2025</v>
      </c>
      <c r="KE5" t="s">
        <v>3619</v>
      </c>
      <c r="KF5" s="6">
        <v>45894</v>
      </c>
      <c r="KG5">
        <v>5</v>
      </c>
      <c r="KH5">
        <v>41675000</v>
      </c>
      <c r="KI5">
        <v>9020850</v>
      </c>
      <c r="KJ5" t="s">
        <v>3620</v>
      </c>
      <c r="KO5" t="str">
        <f>_xll.BDS("ESRX US Equity","SUPPLY_CHAIN_SUPPLIERS_ALL_DATA","cols=12;rows=1")</f>
        <v>FE US Equity</v>
      </c>
      <c r="KQ5">
        <v>-2.4245362661989844E-14</v>
      </c>
      <c r="KR5">
        <v>-2.4245362661989844E-14</v>
      </c>
      <c r="KS5" t="s">
        <v>1594</v>
      </c>
      <c r="KT5">
        <v>2021</v>
      </c>
      <c r="KU5" t="s">
        <v>3048</v>
      </c>
      <c r="KV5" s="6">
        <v>44693</v>
      </c>
      <c r="KW5">
        <v>1</v>
      </c>
      <c r="KX5">
        <v>-2.4245362661989844E-14</v>
      </c>
      <c r="KY5">
        <v>302916</v>
      </c>
      <c r="KZ5" t="s">
        <v>3049</v>
      </c>
      <c r="LC5" t="str">
        <f>_xll.BDS("ESRX US Equity","SUPPLY_CHAIN_CUSTOMERS_ALL_DATA")</f>
        <v>#N/A N/A</v>
      </c>
      <c r="LS5" t="str">
        <f>_xll.BDS("PARA US Equity","SUPPLY_CHAIN_SUPPLIERS_ALL_DATA","cols=12;rows=5")</f>
        <v>GTN US Equity</v>
      </c>
      <c r="LT5" t="s">
        <v>1685</v>
      </c>
      <c r="LU5">
        <v>38</v>
      </c>
      <c r="LV5">
        <v>20.797836</v>
      </c>
      <c r="LW5" t="s">
        <v>1594</v>
      </c>
      <c r="LX5">
        <v>2024</v>
      </c>
      <c r="LY5" t="s">
        <v>2324</v>
      </c>
      <c r="LZ5" s="6">
        <v>45715</v>
      </c>
      <c r="MA5">
        <v>5</v>
      </c>
      <c r="MB5">
        <v>346180000</v>
      </c>
      <c r="MC5">
        <v>104103</v>
      </c>
      <c r="MD5" t="s">
        <v>2325</v>
      </c>
      <c r="MG5" t="str">
        <f>_xll.BDS("PARA US Equity","SUPPLY_CHAIN_CUSTOMERS_ALL_DATA","cols=12;rows=5")</f>
        <v>002293 CH Equity</v>
      </c>
      <c r="MH5">
        <v>-2.4245362661989844E-14</v>
      </c>
      <c r="MJ5">
        <v>-2.4245362661989844E-14</v>
      </c>
      <c r="MK5" t="s">
        <v>1594</v>
      </c>
      <c r="ML5">
        <v>2021</v>
      </c>
      <c r="MM5" t="s">
        <v>3297</v>
      </c>
      <c r="MN5" s="6">
        <v>44670</v>
      </c>
      <c r="MO5">
        <v>5</v>
      </c>
      <c r="MP5">
        <v>-2.4245362661989844E-14</v>
      </c>
      <c r="MQ5">
        <v>15166198</v>
      </c>
      <c r="MR5" t="s">
        <v>3298</v>
      </c>
      <c r="MW5" t="str">
        <f>_xll.BDS("BX US Equity","SUPPLY_CHAIN_SUPPLIERS_ALL_DATA","cols=12;rows=5")</f>
        <v>ORCL US Equity</v>
      </c>
      <c r="MX5" t="s">
        <v>1598</v>
      </c>
      <c r="MY5">
        <v>3.7003000000000001E-2</v>
      </c>
      <c r="MZ5">
        <v>0.33128000000000002</v>
      </c>
      <c r="NA5" t="s">
        <v>1606</v>
      </c>
      <c r="NB5">
        <v>2025</v>
      </c>
      <c r="NC5" t="s">
        <v>2251</v>
      </c>
      <c r="ND5" s="6">
        <v>45848</v>
      </c>
      <c r="NE5">
        <v>5</v>
      </c>
      <c r="NF5">
        <v>5884587</v>
      </c>
      <c r="NG5">
        <v>101752</v>
      </c>
      <c r="NH5" t="s">
        <v>2265</v>
      </c>
      <c r="NK5" t="str">
        <f>_xll.BDS("BX US Equity","SUPPLY_CHAIN_CUSTOMERS_ALL_DATA","cols=12;rows=5")</f>
        <v>002284 CH Equity</v>
      </c>
      <c r="NL5">
        <v>-2.4245362661989844E-14</v>
      </c>
      <c r="NN5">
        <v>-2.4245362661989844E-14</v>
      </c>
      <c r="NO5" t="s">
        <v>1594</v>
      </c>
      <c r="NP5">
        <v>2024</v>
      </c>
      <c r="NQ5" t="s">
        <v>1789</v>
      </c>
      <c r="NR5" s="6">
        <v>45744</v>
      </c>
      <c r="NS5">
        <v>5</v>
      </c>
      <c r="NT5">
        <v>-2.4245362661989844E-14</v>
      </c>
      <c r="NU5">
        <v>15069854</v>
      </c>
      <c r="NV5" t="s">
        <v>1790</v>
      </c>
      <c r="OA5" t="str">
        <f>_xll.BDS("AMD US Equity","SUPPLY_CHAIN_SUPPLIERS_ALL_DATA","cols=12;rows=5")</f>
        <v>2330 TT Equity</v>
      </c>
      <c r="OB5" t="s">
        <v>1598</v>
      </c>
      <c r="OC5">
        <v>4.6131500000000001</v>
      </c>
      <c r="OD5">
        <v>32.810158000000001</v>
      </c>
      <c r="OE5" t="s">
        <v>1606</v>
      </c>
      <c r="OF5">
        <v>2024</v>
      </c>
      <c r="OG5" t="s">
        <v>3144</v>
      </c>
      <c r="OH5" s="6">
        <v>45741</v>
      </c>
      <c r="OI5">
        <v>5</v>
      </c>
      <c r="OJ5">
        <v>1238441608.6099999</v>
      </c>
      <c r="OK5">
        <v>153737</v>
      </c>
      <c r="OL5" t="s">
        <v>2584</v>
      </c>
      <c r="OO5" t="str">
        <f>_xll.BDS("AMD US Equity","SUPPLY_CHAIN_CUSTOMERS_ALL_DATA","cols=12;rows=5")</f>
        <v>HPQ US Equity</v>
      </c>
      <c r="OP5">
        <v>5.750972</v>
      </c>
      <c r="OQ5" t="s">
        <v>1598</v>
      </c>
      <c r="OR5">
        <v>3.9884689999999998</v>
      </c>
      <c r="OS5" t="s">
        <v>1664</v>
      </c>
      <c r="OT5">
        <v>2025</v>
      </c>
      <c r="OU5" t="s">
        <v>3353</v>
      </c>
      <c r="OV5" s="6">
        <v>45947</v>
      </c>
      <c r="OW5">
        <v>5</v>
      </c>
      <c r="OX5">
        <v>441962208</v>
      </c>
      <c r="OY5">
        <v>100732</v>
      </c>
      <c r="OZ5" t="s">
        <v>1869</v>
      </c>
      <c r="PE5" t="str">
        <f>_xll.BDS("WPZ US Equity","SUPPLY_CHAIN_SUPPLIERS_ALL_DATA")</f>
        <v>#N/A N/A</v>
      </c>
      <c r="PS5" t="str">
        <f>_xll.BDS("WPZ US Equity","SUPPLY_CHAIN_CUSTOMERS_ALL_DATA")</f>
        <v>#N/A N/A</v>
      </c>
      <c r="QI5" t="str">
        <f>_xll.BDS("LUMN US Equity","SUPPLY_CHAIN_SUPPLIERS_ALL_DATA","cols=12;rows=5")</f>
        <v>DY US Equity</v>
      </c>
      <c r="QJ5" t="s">
        <v>1634</v>
      </c>
      <c r="QK5">
        <v>11.7</v>
      </c>
      <c r="QL5">
        <v>16.359269999999999</v>
      </c>
      <c r="QM5" t="s">
        <v>1599</v>
      </c>
      <c r="QN5">
        <v>2026</v>
      </c>
      <c r="QO5" t="s">
        <v>3185</v>
      </c>
      <c r="QP5" s="6">
        <v>45981</v>
      </c>
      <c r="QQ5">
        <v>5</v>
      </c>
      <c r="QR5">
        <v>170300000</v>
      </c>
      <c r="QS5">
        <v>100487</v>
      </c>
      <c r="QT5" t="s">
        <v>3186</v>
      </c>
      <c r="QW5" t="str">
        <f>_xll.BDS("LUMN US Equity","SUPPLY_CHAIN_CUSTOMERS_ALL_DATA","cols=12;rows=5")</f>
        <v>728 HK Equity</v>
      </c>
      <c r="QX5">
        <v>1.3918710000000001</v>
      </c>
      <c r="QY5" t="s">
        <v>1598</v>
      </c>
      <c r="QZ5">
        <v>0.33867900000000001</v>
      </c>
      <c r="RA5" t="s">
        <v>1664</v>
      </c>
      <c r="RB5">
        <v>2025</v>
      </c>
      <c r="RC5" t="s">
        <v>3725</v>
      </c>
      <c r="RD5" s="6">
        <v>45888</v>
      </c>
      <c r="RE5">
        <v>5</v>
      </c>
      <c r="RF5">
        <v>42968957.090000004</v>
      </c>
      <c r="RG5">
        <v>7001331</v>
      </c>
      <c r="RH5" t="s">
        <v>3726</v>
      </c>
      <c r="RM5" t="str">
        <f>_xll.BDS("JPM US Equity","SUPPLY_CHAIN_SUPPLIERS_ALL_DATA","cols=12;rows=5")</f>
        <v>LUV US Equity</v>
      </c>
      <c r="RO5">
        <v>10.404375</v>
      </c>
      <c r="RP5">
        <v>-2.4245362661989844E-14</v>
      </c>
      <c r="RQ5" t="s">
        <v>1599</v>
      </c>
      <c r="RR5">
        <v>2025</v>
      </c>
      <c r="RS5" t="s">
        <v>4879</v>
      </c>
      <c r="RT5" s="6">
        <v>45953</v>
      </c>
      <c r="RU5">
        <v>5</v>
      </c>
      <c r="RV5">
        <v>723000000</v>
      </c>
      <c r="RW5">
        <v>101374</v>
      </c>
      <c r="RX5" t="s">
        <v>2597</v>
      </c>
      <c r="SA5" t="str">
        <f>_xll.BDS("JPM US Equity","SUPPLY_CHAIN_CUSTOMERS_ALL_DATA","cols=12;rows=5")</f>
        <v>000737 CH Equity</v>
      </c>
      <c r="SB5">
        <v>-2.4245362661989844E-14</v>
      </c>
      <c r="SD5">
        <v>-2.4245362661989844E-14</v>
      </c>
      <c r="SE5" t="s">
        <v>1594</v>
      </c>
      <c r="SF5">
        <v>2022</v>
      </c>
      <c r="SG5" t="s">
        <v>5051</v>
      </c>
      <c r="SH5" s="6">
        <v>45027</v>
      </c>
      <c r="SI5">
        <v>5</v>
      </c>
      <c r="SJ5">
        <v>-2.4245362661989844E-14</v>
      </c>
      <c r="SK5">
        <v>223099</v>
      </c>
      <c r="SL5" t="s">
        <v>5052</v>
      </c>
      <c r="SQ5" t="str">
        <f>_xll.BDS("nan Equity","SUPPLY_CHAIN_SUPPLIERS_ALL_DATA")</f>
        <v>#N/A N/A</v>
      </c>
      <c r="TE5" t="str">
        <f>_xll.BDS("nan Equity","SUPPLY_CHAIN_CUSTOMERS_ALL_DATA")</f>
        <v>#N/A N/A</v>
      </c>
      <c r="TU5" t="str">
        <f>_xll.BDS("IBM US Equity","SUPPLY_CHAIN_SUPPLIERS_ALL_DATA","cols=12;rows=5")</f>
        <v>005930 KS Equity</v>
      </c>
      <c r="TV5" t="s">
        <v>1598</v>
      </c>
      <c r="TW5">
        <v>0.49490499999999998</v>
      </c>
      <c r="TX5">
        <v>4.1423690000000004</v>
      </c>
      <c r="TY5" t="s">
        <v>1603</v>
      </c>
      <c r="TZ5">
        <v>2025</v>
      </c>
      <c r="UA5" t="s">
        <v>1744</v>
      </c>
      <c r="UB5" s="6">
        <v>45797</v>
      </c>
      <c r="UC5">
        <v>5</v>
      </c>
      <c r="UD5">
        <v>269668224</v>
      </c>
      <c r="UE5">
        <v>117929</v>
      </c>
      <c r="UF5" t="s">
        <v>2378</v>
      </c>
      <c r="UI5" t="str">
        <f>_xll.BDS("IBM US Equity","SUPPLY_CHAIN_CUSTOMERS_ALL_DATA","cols=12;rows=5")</f>
        <v>AMZN US Equity</v>
      </c>
      <c r="UJ5">
        <v>4.454224</v>
      </c>
      <c r="UK5" t="s">
        <v>1598</v>
      </c>
      <c r="UL5">
        <v>0.84141600000000005</v>
      </c>
      <c r="UM5" t="s">
        <v>1603</v>
      </c>
      <c r="UN5">
        <v>2025</v>
      </c>
      <c r="UO5" t="s">
        <v>1744</v>
      </c>
      <c r="UP5" s="6">
        <v>45797</v>
      </c>
      <c r="UQ5">
        <v>5</v>
      </c>
      <c r="UR5">
        <v>647688704</v>
      </c>
      <c r="US5">
        <v>216952</v>
      </c>
      <c r="UT5" t="s">
        <v>1631</v>
      </c>
      <c r="UY5" t="str">
        <f>_xll.BDS("WFC US Equity","SUPPLY_CHAIN_SUPPLIERS_ALL_DATA","cols=12;rows=5")</f>
        <v>ADBE US Equity</v>
      </c>
      <c r="UZ5" t="s">
        <v>1685</v>
      </c>
      <c r="VA5">
        <v>0.357321</v>
      </c>
      <c r="VB5">
        <v>0.15107200000000001</v>
      </c>
      <c r="VC5" t="s">
        <v>1664</v>
      </c>
      <c r="VD5">
        <v>2025</v>
      </c>
      <c r="VE5" t="s">
        <v>2052</v>
      </c>
      <c r="VF5" s="6">
        <v>45838</v>
      </c>
      <c r="VG5">
        <v>5</v>
      </c>
      <c r="VH5">
        <v>20985462</v>
      </c>
      <c r="VI5">
        <v>101689</v>
      </c>
      <c r="VJ5" t="s">
        <v>2053</v>
      </c>
      <c r="VM5" t="str">
        <f>_xll.BDS("WFC US Equity","SUPPLY_CHAIN_CUSTOMERS_ALL_DATA","cols=12;rows=5")</f>
        <v>CDW US Equity</v>
      </c>
      <c r="VN5">
        <v>4.1894000000000001E-2</v>
      </c>
      <c r="VO5" t="s">
        <v>1598</v>
      </c>
      <c r="VP5">
        <v>0.304456</v>
      </c>
      <c r="VQ5" t="s">
        <v>1603</v>
      </c>
      <c r="VR5">
        <v>2025</v>
      </c>
      <c r="VS5" t="s">
        <v>1680</v>
      </c>
      <c r="VT5" s="6">
        <v>45820</v>
      </c>
      <c r="VU5">
        <v>5</v>
      </c>
      <c r="VV5">
        <v>12412062</v>
      </c>
      <c r="VW5">
        <v>12129192</v>
      </c>
      <c r="VX5" t="s">
        <v>1681</v>
      </c>
    </row>
    <row r="6" spans="1:600" x14ac:dyDescent="0.25">
      <c r="AE6" t="s">
        <v>3906</v>
      </c>
      <c r="AF6" t="s">
        <v>1685</v>
      </c>
      <c r="AG6">
        <v>1.337661</v>
      </c>
      <c r="AH6">
        <v>0.11622499999999999</v>
      </c>
      <c r="AI6" t="s">
        <v>1594</v>
      </c>
      <c r="AJ6">
        <v>2024</v>
      </c>
      <c r="AK6" t="s">
        <v>3907</v>
      </c>
      <c r="AL6" s="6">
        <v>45702</v>
      </c>
      <c r="AM6">
        <v>5</v>
      </c>
      <c r="AN6">
        <v>1907250</v>
      </c>
      <c r="AO6">
        <v>225922</v>
      </c>
      <c r="AP6" t="s">
        <v>3908</v>
      </c>
      <c r="AS6" t="s">
        <v>5766</v>
      </c>
      <c r="AT6">
        <v>-2.4245362661989844E-14</v>
      </c>
      <c r="AV6">
        <v>-2.4245362661989844E-14</v>
      </c>
      <c r="AW6" t="s">
        <v>1594</v>
      </c>
      <c r="AX6">
        <v>2023</v>
      </c>
      <c r="AY6" t="s">
        <v>5767</v>
      </c>
      <c r="AZ6" s="6">
        <v>45196</v>
      </c>
      <c r="BA6">
        <v>5</v>
      </c>
      <c r="BB6">
        <v>-2.4245362661989844E-14</v>
      </c>
      <c r="BC6">
        <v>29517823</v>
      </c>
      <c r="BD6" t="s">
        <v>5768</v>
      </c>
      <c r="BI6" t="s">
        <v>2317</v>
      </c>
      <c r="BJ6" t="s">
        <v>1598</v>
      </c>
      <c r="BK6">
        <v>1.424056</v>
      </c>
      <c r="BL6">
        <v>0.865734</v>
      </c>
      <c r="BM6" t="s">
        <v>1603</v>
      </c>
      <c r="BN6">
        <v>2025</v>
      </c>
      <c r="BO6" t="s">
        <v>2318</v>
      </c>
      <c r="BP6" s="6">
        <v>45863</v>
      </c>
      <c r="BQ6">
        <v>5</v>
      </c>
      <c r="BR6">
        <v>23470038</v>
      </c>
      <c r="BS6">
        <v>10832677</v>
      </c>
      <c r="BT6" t="s">
        <v>2319</v>
      </c>
      <c r="BW6" t="s">
        <v>2108</v>
      </c>
      <c r="BX6">
        <v>-2.4245362661989844E-14</v>
      </c>
      <c r="BZ6">
        <v>-2.4245362661989844E-14</v>
      </c>
      <c r="CA6" t="s">
        <v>1594</v>
      </c>
      <c r="CB6">
        <v>2024</v>
      </c>
      <c r="CC6" t="s">
        <v>4731</v>
      </c>
      <c r="CD6" s="6">
        <v>45734</v>
      </c>
      <c r="CE6">
        <v>5</v>
      </c>
      <c r="CF6">
        <v>-2.4245362661989844E-14</v>
      </c>
      <c r="CG6">
        <v>227699</v>
      </c>
      <c r="CH6" t="s">
        <v>2110</v>
      </c>
      <c r="CM6" t="s">
        <v>3738</v>
      </c>
      <c r="CN6" t="s">
        <v>1598</v>
      </c>
      <c r="CO6">
        <v>7.7144000000000004E-2</v>
      </c>
      <c r="CP6">
        <v>0.39272200000000002</v>
      </c>
      <c r="CQ6" t="s">
        <v>1603</v>
      </c>
      <c r="CR6">
        <v>2025</v>
      </c>
      <c r="CS6" t="s">
        <v>3739</v>
      </c>
      <c r="CT6" s="6">
        <v>45793</v>
      </c>
      <c r="CU6">
        <v>5</v>
      </c>
      <c r="CV6">
        <v>487368</v>
      </c>
      <c r="CW6">
        <v>102417</v>
      </c>
      <c r="CX6" t="s">
        <v>3740</v>
      </c>
      <c r="DA6" t="s">
        <v>1917</v>
      </c>
      <c r="DB6">
        <v>3.4109419999999999</v>
      </c>
      <c r="DC6" t="s">
        <v>1598</v>
      </c>
      <c r="DD6">
        <v>1.9692000000000001E-2</v>
      </c>
      <c r="DE6" t="s">
        <v>1606</v>
      </c>
      <c r="DF6">
        <v>2025</v>
      </c>
      <c r="DG6" t="s">
        <v>3619</v>
      </c>
      <c r="DH6" s="6">
        <v>45894</v>
      </c>
      <c r="DI6">
        <v>5</v>
      </c>
      <c r="DJ6">
        <v>9908787</v>
      </c>
      <c r="DK6">
        <v>101695</v>
      </c>
      <c r="DL6" t="s">
        <v>1919</v>
      </c>
      <c r="DQ6" t="s">
        <v>3363</v>
      </c>
      <c r="DR6" t="s">
        <v>1598</v>
      </c>
      <c r="DS6">
        <v>16.5</v>
      </c>
      <c r="DT6">
        <v>1.195584</v>
      </c>
      <c r="DU6" t="s">
        <v>1594</v>
      </c>
      <c r="DV6">
        <v>2024</v>
      </c>
      <c r="DW6" t="s">
        <v>3364</v>
      </c>
      <c r="DX6" s="6">
        <v>45714</v>
      </c>
      <c r="DY6">
        <v>5</v>
      </c>
      <c r="DZ6">
        <v>120900408</v>
      </c>
      <c r="EA6">
        <v>69848998</v>
      </c>
      <c r="EB6" t="s">
        <v>3365</v>
      </c>
      <c r="EE6" t="s">
        <v>2883</v>
      </c>
      <c r="EF6">
        <v>-2.4245362661989844E-14</v>
      </c>
      <c r="EH6">
        <v>-2.4245362661989844E-14</v>
      </c>
      <c r="EI6" t="s">
        <v>1594</v>
      </c>
      <c r="EJ6">
        <v>2024</v>
      </c>
      <c r="EK6" t="s">
        <v>2881</v>
      </c>
      <c r="EL6" s="6">
        <v>45706</v>
      </c>
      <c r="EM6">
        <v>5</v>
      </c>
      <c r="EN6">
        <v>-2.4245362661989844E-14</v>
      </c>
      <c r="EO6">
        <v>113896</v>
      </c>
      <c r="EP6" t="s">
        <v>2884</v>
      </c>
      <c r="FY6" t="s">
        <v>3397</v>
      </c>
      <c r="FZ6" t="s">
        <v>1634</v>
      </c>
      <c r="GA6">
        <v>6.6028770000000003</v>
      </c>
      <c r="GB6">
        <v>5.0506979999999997</v>
      </c>
      <c r="GC6" t="s">
        <v>1664</v>
      </c>
      <c r="GD6">
        <v>2025</v>
      </c>
      <c r="GE6" t="s">
        <v>3398</v>
      </c>
      <c r="GF6" s="6">
        <v>45915</v>
      </c>
      <c r="GG6">
        <v>5</v>
      </c>
      <c r="GH6">
        <v>245362912</v>
      </c>
      <c r="GI6">
        <v>101464</v>
      </c>
      <c r="GJ6" t="s">
        <v>3399</v>
      </c>
      <c r="GM6" t="s">
        <v>2492</v>
      </c>
      <c r="GN6">
        <v>1.615089</v>
      </c>
      <c r="GO6" t="s">
        <v>1598</v>
      </c>
      <c r="GP6">
        <v>12.136977999999999</v>
      </c>
      <c r="GQ6" t="s">
        <v>1594</v>
      </c>
      <c r="GR6">
        <v>2024</v>
      </c>
      <c r="GS6" t="s">
        <v>2944</v>
      </c>
      <c r="GT6" s="6">
        <v>45712</v>
      </c>
      <c r="GU6">
        <v>5</v>
      </c>
      <c r="GV6">
        <v>1712931072</v>
      </c>
      <c r="GW6">
        <v>9917432</v>
      </c>
      <c r="GX6" t="s">
        <v>2493</v>
      </c>
      <c r="HC6" t="s">
        <v>3397</v>
      </c>
      <c r="HD6" t="s">
        <v>1634</v>
      </c>
      <c r="HE6">
        <v>6.6028770000000003</v>
      </c>
      <c r="HF6">
        <v>5.0506979999999997</v>
      </c>
      <c r="HG6" t="s">
        <v>1664</v>
      </c>
      <c r="HH6">
        <v>2025</v>
      </c>
      <c r="HI6" t="s">
        <v>3398</v>
      </c>
      <c r="HJ6" s="6">
        <v>45915</v>
      </c>
      <c r="HK6">
        <v>5</v>
      </c>
      <c r="HL6">
        <v>245362912</v>
      </c>
      <c r="HM6">
        <v>101464</v>
      </c>
      <c r="HN6" t="s">
        <v>3399</v>
      </c>
      <c r="HQ6" t="s">
        <v>2492</v>
      </c>
      <c r="HR6">
        <v>1.615089</v>
      </c>
      <c r="HS6" t="s">
        <v>1598</v>
      </c>
      <c r="HT6">
        <v>12.136977999999999</v>
      </c>
      <c r="HU6" t="s">
        <v>1594</v>
      </c>
      <c r="HV6">
        <v>2024</v>
      </c>
      <c r="HW6" t="s">
        <v>2944</v>
      </c>
      <c r="HX6" s="6">
        <v>45712</v>
      </c>
      <c r="HY6">
        <v>5</v>
      </c>
      <c r="HZ6">
        <v>1712931072</v>
      </c>
      <c r="IA6">
        <v>9917432</v>
      </c>
      <c r="IB6" t="s">
        <v>2493</v>
      </c>
      <c r="IG6" t="s">
        <v>1084</v>
      </c>
      <c r="IH6" t="s">
        <v>1685</v>
      </c>
      <c r="II6">
        <v>0.46972799999999998</v>
      </c>
      <c r="IJ6">
        <v>0.155246</v>
      </c>
      <c r="IK6" t="s">
        <v>1664</v>
      </c>
      <c r="IL6">
        <v>2025</v>
      </c>
      <c r="IM6" t="s">
        <v>2052</v>
      </c>
      <c r="IN6" s="6">
        <v>45838</v>
      </c>
      <c r="IO6">
        <v>5</v>
      </c>
      <c r="IP6">
        <v>27587124</v>
      </c>
      <c r="IQ6">
        <v>101689</v>
      </c>
      <c r="IR6" t="s">
        <v>2053</v>
      </c>
      <c r="IU6" t="s">
        <v>1420</v>
      </c>
      <c r="IV6">
        <v>-2.4245362661989844E-14</v>
      </c>
      <c r="IX6">
        <v>-2.4245362661989844E-14</v>
      </c>
      <c r="IY6" t="s">
        <v>1594</v>
      </c>
      <c r="IZ6">
        <v>2025</v>
      </c>
      <c r="JA6" t="s">
        <v>4802</v>
      </c>
      <c r="JB6" s="6">
        <v>46065</v>
      </c>
      <c r="JC6">
        <v>4</v>
      </c>
      <c r="JD6">
        <v>-2.4245362661989844E-14</v>
      </c>
      <c r="JE6">
        <v>100024</v>
      </c>
      <c r="JF6" t="s">
        <v>5440</v>
      </c>
      <c r="JK6" t="s">
        <v>3738</v>
      </c>
      <c r="JL6" t="s">
        <v>1598</v>
      </c>
      <c r="JM6">
        <v>7.7144000000000004E-2</v>
      </c>
      <c r="JN6">
        <v>0.39272200000000002</v>
      </c>
      <c r="JO6" t="s">
        <v>1603</v>
      </c>
      <c r="JP6">
        <v>2025</v>
      </c>
      <c r="JQ6" t="s">
        <v>3739</v>
      </c>
      <c r="JR6" s="6">
        <v>45793</v>
      </c>
      <c r="JS6">
        <v>5</v>
      </c>
      <c r="JT6">
        <v>487368</v>
      </c>
      <c r="JU6">
        <v>102417</v>
      </c>
      <c r="JV6" t="s">
        <v>3740</v>
      </c>
      <c r="JY6" t="s">
        <v>1917</v>
      </c>
      <c r="JZ6">
        <v>3.4109419999999999</v>
      </c>
      <c r="KA6" t="s">
        <v>1598</v>
      </c>
      <c r="KB6">
        <v>1.9692000000000001E-2</v>
      </c>
      <c r="KC6" t="s">
        <v>1606</v>
      </c>
      <c r="KD6">
        <v>2025</v>
      </c>
      <c r="KE6" t="s">
        <v>3619</v>
      </c>
      <c r="KF6" s="6">
        <v>45894</v>
      </c>
      <c r="KG6">
        <v>5</v>
      </c>
      <c r="KH6">
        <v>9908787</v>
      </c>
      <c r="KI6">
        <v>101695</v>
      </c>
      <c r="KJ6" t="s">
        <v>1919</v>
      </c>
      <c r="LS6" t="s">
        <v>2329</v>
      </c>
      <c r="LT6" t="s">
        <v>1598</v>
      </c>
      <c r="LU6">
        <v>0.89060499999999998</v>
      </c>
      <c r="LV6">
        <v>0.18792300000000001</v>
      </c>
      <c r="LW6" t="s">
        <v>1606</v>
      </c>
      <c r="LX6">
        <v>2024</v>
      </c>
      <c r="LY6" t="s">
        <v>2330</v>
      </c>
      <c r="LZ6" s="6">
        <v>45747</v>
      </c>
      <c r="MA6">
        <v>5</v>
      </c>
      <c r="MB6">
        <v>10696585</v>
      </c>
      <c r="MC6">
        <v>17257533</v>
      </c>
      <c r="MD6" t="s">
        <v>2331</v>
      </c>
      <c r="MG6" t="s">
        <v>3299</v>
      </c>
      <c r="MH6">
        <v>-2.4245362661989844E-14</v>
      </c>
      <c r="MJ6">
        <v>-2.4245362661989844E-14</v>
      </c>
      <c r="MK6" t="s">
        <v>2469</v>
      </c>
      <c r="ML6">
        <v>2024</v>
      </c>
      <c r="MM6" t="s">
        <v>3300</v>
      </c>
      <c r="MN6" s="6">
        <v>45518</v>
      </c>
      <c r="MO6">
        <v>5</v>
      </c>
      <c r="MP6">
        <v>-2.4245362661989844E-14</v>
      </c>
      <c r="MQ6">
        <v>129195</v>
      </c>
      <c r="MR6" t="s">
        <v>3301</v>
      </c>
      <c r="MW6" t="s">
        <v>2266</v>
      </c>
      <c r="MX6" t="s">
        <v>1685</v>
      </c>
      <c r="MY6">
        <v>0.597939</v>
      </c>
      <c r="MZ6">
        <v>5.9714000000000003E-2</v>
      </c>
      <c r="NA6" t="s">
        <v>1594</v>
      </c>
      <c r="NB6">
        <v>2024</v>
      </c>
      <c r="NC6" t="s">
        <v>2267</v>
      </c>
      <c r="ND6" s="6">
        <v>45694</v>
      </c>
      <c r="NE6">
        <v>5</v>
      </c>
      <c r="NF6">
        <v>957052.25</v>
      </c>
      <c r="NG6">
        <v>103579</v>
      </c>
      <c r="NH6" t="s">
        <v>2268</v>
      </c>
      <c r="NK6" t="s">
        <v>1791</v>
      </c>
      <c r="NL6">
        <v>-2.4245362661989844E-14</v>
      </c>
      <c r="NN6">
        <v>-2.4245362661989844E-14</v>
      </c>
      <c r="NO6" t="s">
        <v>1792</v>
      </c>
      <c r="NP6">
        <v>2025</v>
      </c>
      <c r="NQ6" t="s">
        <v>1793</v>
      </c>
      <c r="NR6" s="6">
        <v>45894</v>
      </c>
      <c r="NS6">
        <v>5</v>
      </c>
      <c r="NT6">
        <v>-2.4245362661989844E-14</v>
      </c>
      <c r="NU6">
        <v>15149577</v>
      </c>
      <c r="NV6" t="s">
        <v>1794</v>
      </c>
      <c r="OA6" t="s">
        <v>2376</v>
      </c>
      <c r="OB6" t="s">
        <v>1598</v>
      </c>
      <c r="OC6">
        <v>0.99026199999999998</v>
      </c>
      <c r="OD6">
        <v>11.390169</v>
      </c>
      <c r="OE6" t="s">
        <v>1664</v>
      </c>
      <c r="OF6">
        <v>2025</v>
      </c>
      <c r="OG6" t="s">
        <v>2377</v>
      </c>
      <c r="OH6" s="6">
        <v>45952</v>
      </c>
      <c r="OI6">
        <v>5</v>
      </c>
      <c r="OJ6">
        <v>527529850.05000001</v>
      </c>
      <c r="OK6">
        <v>117929</v>
      </c>
      <c r="OL6" t="s">
        <v>2378</v>
      </c>
      <c r="OO6" t="s">
        <v>2693</v>
      </c>
      <c r="OP6">
        <v>5.492127</v>
      </c>
      <c r="OQ6" t="s">
        <v>1634</v>
      </c>
      <c r="OR6">
        <v>2.5521219999999998</v>
      </c>
      <c r="OS6" t="s">
        <v>1664</v>
      </c>
      <c r="OT6">
        <v>2025</v>
      </c>
      <c r="OU6" t="s">
        <v>3353</v>
      </c>
      <c r="OV6" s="6">
        <v>45947</v>
      </c>
      <c r="OW6">
        <v>5</v>
      </c>
      <c r="OX6">
        <v>422069952</v>
      </c>
      <c r="OY6">
        <v>11092218</v>
      </c>
      <c r="OZ6" t="s">
        <v>2694</v>
      </c>
      <c r="QI6" t="s">
        <v>3886</v>
      </c>
      <c r="QJ6" t="s">
        <v>1634</v>
      </c>
      <c r="QK6">
        <v>0.87257700000000005</v>
      </c>
      <c r="QL6">
        <v>3.4366629999999998</v>
      </c>
      <c r="QM6" t="s">
        <v>1599</v>
      </c>
      <c r="QN6">
        <v>2025</v>
      </c>
      <c r="QO6" t="s">
        <v>3887</v>
      </c>
      <c r="QP6" s="6">
        <v>45982</v>
      </c>
      <c r="QQ6">
        <v>5</v>
      </c>
      <c r="QR6">
        <v>35775656</v>
      </c>
      <c r="QS6">
        <v>100399</v>
      </c>
      <c r="QT6" t="s">
        <v>3888</v>
      </c>
      <c r="QW6" t="s">
        <v>1679</v>
      </c>
      <c r="QX6">
        <v>0.23341500000000001</v>
      </c>
      <c r="QY6" t="s">
        <v>1598</v>
      </c>
      <c r="QZ6">
        <v>0.18218400000000001</v>
      </c>
      <c r="RA6" t="s">
        <v>1603</v>
      </c>
      <c r="RB6">
        <v>2025</v>
      </c>
      <c r="RC6" t="s">
        <v>1680</v>
      </c>
      <c r="RD6" s="6">
        <v>45820</v>
      </c>
      <c r="RE6">
        <v>5</v>
      </c>
      <c r="RF6">
        <v>7427277</v>
      </c>
      <c r="RG6">
        <v>12129192</v>
      </c>
      <c r="RH6" t="s">
        <v>1681</v>
      </c>
      <c r="RM6" t="s">
        <v>4880</v>
      </c>
      <c r="RN6" t="s">
        <v>1598</v>
      </c>
      <c r="RO6">
        <v>11</v>
      </c>
      <c r="RP6">
        <v>2.6129229999999999</v>
      </c>
      <c r="RQ6" t="s">
        <v>1594</v>
      </c>
      <c r="RR6">
        <v>2025</v>
      </c>
      <c r="RS6" t="s">
        <v>4881</v>
      </c>
      <c r="RT6" s="6">
        <v>46072</v>
      </c>
      <c r="RU6">
        <v>5</v>
      </c>
      <c r="RV6">
        <v>624750000</v>
      </c>
      <c r="RW6">
        <v>101068</v>
      </c>
      <c r="RX6" t="s">
        <v>4882</v>
      </c>
      <c r="SA6" t="s">
        <v>5053</v>
      </c>
      <c r="SB6">
        <v>-2.4245362661989844E-14</v>
      </c>
      <c r="SD6">
        <v>-2.4245362661989844E-14</v>
      </c>
      <c r="SE6" t="s">
        <v>1594</v>
      </c>
      <c r="SF6">
        <v>2026</v>
      </c>
      <c r="SG6" t="s">
        <v>5054</v>
      </c>
      <c r="SH6" s="6">
        <v>46076</v>
      </c>
      <c r="SI6">
        <v>5</v>
      </c>
      <c r="SJ6">
        <v>-2.4245362661989844E-14</v>
      </c>
      <c r="SK6">
        <v>70451011</v>
      </c>
      <c r="SL6" t="s">
        <v>5055</v>
      </c>
      <c r="TU6" t="s">
        <v>21</v>
      </c>
      <c r="TV6" t="s">
        <v>1598</v>
      </c>
      <c r="TW6">
        <v>0.86485599999999996</v>
      </c>
      <c r="TX6">
        <v>4.0630959999999998</v>
      </c>
      <c r="TY6" t="s">
        <v>1603</v>
      </c>
      <c r="TZ6">
        <v>2025</v>
      </c>
      <c r="UA6" t="s">
        <v>1744</v>
      </c>
      <c r="UB6" s="6">
        <v>45797</v>
      </c>
      <c r="UC6">
        <v>5</v>
      </c>
      <c r="UD6">
        <v>264507552</v>
      </c>
      <c r="UE6">
        <v>101376</v>
      </c>
      <c r="UF6" t="s">
        <v>3621</v>
      </c>
      <c r="UI6" t="s">
        <v>178</v>
      </c>
      <c r="UJ6">
        <v>3.8131789999999999</v>
      </c>
      <c r="UK6" t="s">
        <v>1598</v>
      </c>
      <c r="UL6">
        <v>2.529652</v>
      </c>
      <c r="UM6" t="s">
        <v>1603</v>
      </c>
      <c r="UN6">
        <v>2025</v>
      </c>
      <c r="UO6" t="s">
        <v>1744</v>
      </c>
      <c r="UP6" s="6">
        <v>45797</v>
      </c>
      <c r="UQ6">
        <v>5</v>
      </c>
      <c r="UR6">
        <v>554474368</v>
      </c>
      <c r="US6">
        <v>101743</v>
      </c>
      <c r="UT6" t="s">
        <v>1736</v>
      </c>
      <c r="UY6" t="s">
        <v>2057</v>
      </c>
      <c r="UZ6" t="s">
        <v>1685</v>
      </c>
      <c r="VA6">
        <v>5.2993949999999996</v>
      </c>
      <c r="VB6">
        <v>7.1481000000000003E-2</v>
      </c>
      <c r="VC6" t="s">
        <v>1603</v>
      </c>
      <c r="VD6">
        <v>2026</v>
      </c>
      <c r="VE6" t="s">
        <v>2058</v>
      </c>
      <c r="VF6" s="6">
        <v>45898</v>
      </c>
      <c r="VG6">
        <v>5</v>
      </c>
      <c r="VH6">
        <v>9563900.9100000001</v>
      </c>
      <c r="VI6">
        <v>178651</v>
      </c>
      <c r="VJ6" t="s">
        <v>2059</v>
      </c>
      <c r="VM6" t="s">
        <v>5519</v>
      </c>
      <c r="VN6">
        <v>-2.4245362661989844E-14</v>
      </c>
      <c r="VP6">
        <v>-2.4245362661989844E-14</v>
      </c>
      <c r="VQ6" t="s">
        <v>1594</v>
      </c>
      <c r="VR6">
        <v>2024</v>
      </c>
      <c r="VS6" t="s">
        <v>5520</v>
      </c>
      <c r="VT6" s="6">
        <v>45756</v>
      </c>
      <c r="VU6">
        <v>5</v>
      </c>
      <c r="VV6">
        <v>-2.4245362661989844E-14</v>
      </c>
      <c r="VW6">
        <v>23063237</v>
      </c>
      <c r="VX6" t="s">
        <v>5521</v>
      </c>
    </row>
    <row r="7" spans="1:600" x14ac:dyDescent="0.25">
      <c r="AE7" t="s">
        <v>2341</v>
      </c>
      <c r="AF7" t="s">
        <v>1598</v>
      </c>
      <c r="AG7">
        <v>2.7681999999999998E-2</v>
      </c>
      <c r="AH7">
        <v>1.5102000000000001E-2</v>
      </c>
      <c r="AI7" t="s">
        <v>1599</v>
      </c>
      <c r="AJ7">
        <v>2025</v>
      </c>
      <c r="AK7" t="s">
        <v>2342</v>
      </c>
      <c r="AL7" s="6">
        <v>46042</v>
      </c>
      <c r="AM7">
        <v>5</v>
      </c>
      <c r="AN7">
        <v>326950</v>
      </c>
      <c r="AO7">
        <v>16555266</v>
      </c>
      <c r="AP7" t="s">
        <v>2343</v>
      </c>
      <c r="AS7" t="s">
        <v>5769</v>
      </c>
      <c r="AT7">
        <v>-2.4245362661989844E-14</v>
      </c>
      <c r="AV7">
        <v>-2.4245362661989844E-14</v>
      </c>
      <c r="AW7" t="s">
        <v>1599</v>
      </c>
      <c r="AX7">
        <v>2023</v>
      </c>
      <c r="AY7" t="s">
        <v>5770</v>
      </c>
      <c r="AZ7" s="6">
        <v>45223</v>
      </c>
      <c r="BA7">
        <v>5</v>
      </c>
      <c r="BB7">
        <v>-2.4245362661989844E-14</v>
      </c>
      <c r="BC7">
        <v>29720733</v>
      </c>
      <c r="BD7" t="s">
        <v>5771</v>
      </c>
      <c r="BI7" t="s">
        <v>3238</v>
      </c>
      <c r="BJ7" t="s">
        <v>1634</v>
      </c>
      <c r="BK7">
        <v>0.609344</v>
      </c>
      <c r="BL7">
        <v>0.38486500000000001</v>
      </c>
      <c r="BM7" t="s">
        <v>1664</v>
      </c>
      <c r="BN7">
        <v>2026</v>
      </c>
      <c r="BO7" t="s">
        <v>3239</v>
      </c>
      <c r="BP7" s="6">
        <v>45980</v>
      </c>
      <c r="BQ7">
        <v>5</v>
      </c>
      <c r="BR7">
        <v>3053214.9</v>
      </c>
      <c r="BS7">
        <v>223067</v>
      </c>
      <c r="BT7" t="s">
        <v>3240</v>
      </c>
      <c r="BW7" t="s">
        <v>4732</v>
      </c>
      <c r="BX7">
        <v>-2.4245362661989844E-14</v>
      </c>
      <c r="BZ7">
        <v>-2.4245362661989844E-14</v>
      </c>
      <c r="CA7" t="s">
        <v>1603</v>
      </c>
      <c r="CB7">
        <v>2025</v>
      </c>
      <c r="CC7" t="s">
        <v>4733</v>
      </c>
      <c r="CD7" s="6">
        <v>45768</v>
      </c>
      <c r="CE7">
        <v>5</v>
      </c>
      <c r="CF7">
        <v>-2.4245362661989844E-14</v>
      </c>
      <c r="CG7">
        <v>38897489</v>
      </c>
      <c r="CH7" t="s">
        <v>4734</v>
      </c>
      <c r="CM7" t="s">
        <v>3741</v>
      </c>
      <c r="CN7" t="s">
        <v>1598</v>
      </c>
      <c r="CO7">
        <v>1.5336000000000001E-2</v>
      </c>
      <c r="CP7">
        <v>6.4000000000000005E-4</v>
      </c>
      <c r="CQ7" t="s">
        <v>1606</v>
      </c>
      <c r="CR7">
        <v>2025</v>
      </c>
      <c r="CS7" t="s">
        <v>3742</v>
      </c>
      <c r="CT7" s="6">
        <v>45984</v>
      </c>
      <c r="CU7">
        <v>5</v>
      </c>
      <c r="CV7">
        <v>777.3</v>
      </c>
      <c r="CW7">
        <v>31895721</v>
      </c>
      <c r="CX7" t="s">
        <v>3743</v>
      </c>
      <c r="DA7" t="s">
        <v>21</v>
      </c>
      <c r="DB7">
        <v>3.3635120000000001</v>
      </c>
      <c r="DC7" t="s">
        <v>1634</v>
      </c>
      <c r="DD7">
        <v>0.192884</v>
      </c>
      <c r="DE7" t="s">
        <v>1606</v>
      </c>
      <c r="DF7">
        <v>2025</v>
      </c>
      <c r="DG7" t="s">
        <v>3619</v>
      </c>
      <c r="DH7" s="6">
        <v>45894</v>
      </c>
      <c r="DI7">
        <v>5</v>
      </c>
      <c r="DJ7">
        <v>9771002</v>
      </c>
      <c r="DK7">
        <v>101376</v>
      </c>
      <c r="DL7" t="s">
        <v>3621</v>
      </c>
      <c r="DQ7" t="s">
        <v>462</v>
      </c>
      <c r="DR7" t="s">
        <v>1634</v>
      </c>
      <c r="DS7">
        <v>0.23721100000000001</v>
      </c>
      <c r="DT7">
        <v>1.1635139999999999</v>
      </c>
      <c r="DU7" t="s">
        <v>1664</v>
      </c>
      <c r="DV7">
        <v>2025</v>
      </c>
      <c r="DW7" t="s">
        <v>3366</v>
      </c>
      <c r="DX7" s="6">
        <v>45876</v>
      </c>
      <c r="DY7">
        <v>5</v>
      </c>
      <c r="DZ7">
        <v>39303492</v>
      </c>
      <c r="EA7">
        <v>100285</v>
      </c>
      <c r="EB7" t="s">
        <v>1764</v>
      </c>
      <c r="EE7" t="s">
        <v>2885</v>
      </c>
      <c r="EF7">
        <v>-2.4245362661989844E-14</v>
      </c>
      <c r="EH7">
        <v>-2.4245362661989844E-14</v>
      </c>
      <c r="EI7" t="s">
        <v>1594</v>
      </c>
      <c r="EJ7">
        <v>2025</v>
      </c>
      <c r="EK7" t="s">
        <v>2886</v>
      </c>
      <c r="EL7" s="6">
        <v>45989</v>
      </c>
      <c r="EM7">
        <v>5</v>
      </c>
      <c r="EN7">
        <v>-2.4245362661989844E-14</v>
      </c>
      <c r="EO7">
        <v>8762380</v>
      </c>
      <c r="EP7" t="s">
        <v>2887</v>
      </c>
      <c r="FY7" t="s">
        <v>3400</v>
      </c>
      <c r="FZ7" t="s">
        <v>1598</v>
      </c>
      <c r="GA7">
        <v>18</v>
      </c>
      <c r="GB7">
        <v>0.28558099999999997</v>
      </c>
      <c r="GC7" t="s">
        <v>1594</v>
      </c>
      <c r="GD7">
        <v>2025</v>
      </c>
      <c r="GE7" t="s">
        <v>3401</v>
      </c>
      <c r="GF7" s="6">
        <v>46079</v>
      </c>
      <c r="GG7">
        <v>5</v>
      </c>
      <c r="GH7">
        <v>185490768</v>
      </c>
      <c r="GI7">
        <v>103442</v>
      </c>
      <c r="GJ7" t="s">
        <v>3402</v>
      </c>
      <c r="GM7" t="s">
        <v>2945</v>
      </c>
      <c r="GN7">
        <v>1.5294399999999999</v>
      </c>
      <c r="GP7">
        <v>-2.4245362661989844E-14</v>
      </c>
      <c r="GQ7" t="s">
        <v>1594</v>
      </c>
      <c r="GR7">
        <v>2024</v>
      </c>
      <c r="GS7" t="s">
        <v>2944</v>
      </c>
      <c r="GT7" s="6">
        <v>45712</v>
      </c>
      <c r="GU7">
        <v>5</v>
      </c>
      <c r="GV7">
        <v>1622093696</v>
      </c>
      <c r="GW7">
        <v>302359</v>
      </c>
      <c r="GX7" t="s">
        <v>2946</v>
      </c>
      <c r="HC7" t="s">
        <v>3400</v>
      </c>
      <c r="HD7" t="s">
        <v>1598</v>
      </c>
      <c r="HE7">
        <v>18</v>
      </c>
      <c r="HF7">
        <v>0.28558099999999997</v>
      </c>
      <c r="HG7" t="s">
        <v>1594</v>
      </c>
      <c r="HH7">
        <v>2025</v>
      </c>
      <c r="HI7" t="s">
        <v>3401</v>
      </c>
      <c r="HJ7" s="6">
        <v>46079</v>
      </c>
      <c r="HK7">
        <v>5</v>
      </c>
      <c r="HL7">
        <v>185490768</v>
      </c>
      <c r="HM7">
        <v>103442</v>
      </c>
      <c r="HN7" t="s">
        <v>3402</v>
      </c>
      <c r="HQ7" t="s">
        <v>2945</v>
      </c>
      <c r="HR7">
        <v>1.5294399999999999</v>
      </c>
      <c r="HT7">
        <v>-2.4245362661989844E-14</v>
      </c>
      <c r="HU7" t="s">
        <v>1594</v>
      </c>
      <c r="HV7">
        <v>2024</v>
      </c>
      <c r="HW7" t="s">
        <v>2944</v>
      </c>
      <c r="HX7" s="6">
        <v>45712</v>
      </c>
      <c r="HY7">
        <v>5</v>
      </c>
      <c r="HZ7">
        <v>1622093696</v>
      </c>
      <c r="IA7">
        <v>302359</v>
      </c>
      <c r="IB7" t="s">
        <v>2946</v>
      </c>
      <c r="IG7" t="s">
        <v>2057</v>
      </c>
      <c r="IH7" t="s">
        <v>1685</v>
      </c>
      <c r="II7">
        <v>8.5077940000000005</v>
      </c>
      <c r="IJ7">
        <v>8.9352000000000001E-2</v>
      </c>
      <c r="IK7" t="s">
        <v>1603</v>
      </c>
      <c r="IL7">
        <v>2026</v>
      </c>
      <c r="IM7" t="s">
        <v>2058</v>
      </c>
      <c r="IN7" s="6">
        <v>45898</v>
      </c>
      <c r="IO7">
        <v>5</v>
      </c>
      <c r="IP7">
        <v>15354149.300000001</v>
      </c>
      <c r="IQ7">
        <v>178651</v>
      </c>
      <c r="IR7" t="s">
        <v>2059</v>
      </c>
      <c r="IU7" t="s">
        <v>5525</v>
      </c>
      <c r="IV7">
        <v>-2.4245362661989844E-14</v>
      </c>
      <c r="IX7">
        <v>-2.4245362661989844E-14</v>
      </c>
      <c r="IY7" t="s">
        <v>1594</v>
      </c>
      <c r="IZ7">
        <v>2023</v>
      </c>
      <c r="JA7" t="s">
        <v>5526</v>
      </c>
      <c r="JB7" s="6">
        <v>45175</v>
      </c>
      <c r="JC7">
        <v>4</v>
      </c>
      <c r="JD7">
        <v>-2.4245362661989844E-14</v>
      </c>
      <c r="JE7">
        <v>100555</v>
      </c>
      <c r="JF7" t="s">
        <v>5527</v>
      </c>
      <c r="JK7" t="s">
        <v>3741</v>
      </c>
      <c r="JL7" t="s">
        <v>1598</v>
      </c>
      <c r="JM7">
        <v>1.5336000000000001E-2</v>
      </c>
      <c r="JN7">
        <v>6.4000000000000005E-4</v>
      </c>
      <c r="JO7" t="s">
        <v>1606</v>
      </c>
      <c r="JP7">
        <v>2025</v>
      </c>
      <c r="JQ7" t="s">
        <v>3742</v>
      </c>
      <c r="JR7" s="6">
        <v>45984</v>
      </c>
      <c r="JS7">
        <v>5</v>
      </c>
      <c r="JT7">
        <v>777.3</v>
      </c>
      <c r="JU7">
        <v>31895721</v>
      </c>
      <c r="JV7" t="s">
        <v>3743</v>
      </c>
      <c r="JY7" t="s">
        <v>21</v>
      </c>
      <c r="JZ7">
        <v>3.3635120000000001</v>
      </c>
      <c r="KA7" t="s">
        <v>1634</v>
      </c>
      <c r="KB7">
        <v>0.192884</v>
      </c>
      <c r="KC7" t="s">
        <v>1606</v>
      </c>
      <c r="KD7">
        <v>2025</v>
      </c>
      <c r="KE7" t="s">
        <v>3619</v>
      </c>
      <c r="KF7" s="6">
        <v>45894</v>
      </c>
      <c r="KG7">
        <v>5</v>
      </c>
      <c r="KH7">
        <v>9771002</v>
      </c>
      <c r="KI7">
        <v>101376</v>
      </c>
      <c r="KJ7" t="s">
        <v>3621</v>
      </c>
      <c r="LS7" t="s">
        <v>3429</v>
      </c>
      <c r="LT7" t="s">
        <v>1598</v>
      </c>
      <c r="LU7">
        <v>1.8761030000000001</v>
      </c>
      <c r="LV7">
        <v>0.11766799999999999</v>
      </c>
      <c r="LW7" t="s">
        <v>1603</v>
      </c>
      <c r="LX7">
        <v>2025</v>
      </c>
      <c r="LY7" t="s">
        <v>3430</v>
      </c>
      <c r="LZ7" s="6">
        <v>45764</v>
      </c>
      <c r="MA7">
        <v>5</v>
      </c>
      <c r="MB7">
        <v>6697669</v>
      </c>
      <c r="MC7">
        <v>916504</v>
      </c>
      <c r="MD7" t="s">
        <v>3431</v>
      </c>
      <c r="MG7" t="s">
        <v>3302</v>
      </c>
      <c r="MH7">
        <v>-2.4245362661989844E-14</v>
      </c>
      <c r="MJ7">
        <v>-2.4245362661989844E-14</v>
      </c>
      <c r="MK7" t="s">
        <v>1594</v>
      </c>
      <c r="ML7">
        <v>2025</v>
      </c>
      <c r="MM7" t="s">
        <v>3303</v>
      </c>
      <c r="MN7" s="6">
        <v>45691</v>
      </c>
      <c r="MO7">
        <v>5</v>
      </c>
      <c r="MP7">
        <v>-2.4245362661989844E-14</v>
      </c>
      <c r="MQ7">
        <v>26993503</v>
      </c>
      <c r="MR7" t="s">
        <v>3304</v>
      </c>
      <c r="MW7" t="s">
        <v>2269</v>
      </c>
      <c r="MX7" t="s">
        <v>1598</v>
      </c>
      <c r="MY7">
        <v>7.4065000000000006E-2</v>
      </c>
      <c r="MZ7">
        <v>2.879E-3</v>
      </c>
      <c r="NA7" t="s">
        <v>1594</v>
      </c>
      <c r="NB7">
        <v>2024</v>
      </c>
      <c r="NC7" t="s">
        <v>2270</v>
      </c>
      <c r="ND7" s="6">
        <v>45758</v>
      </c>
      <c r="NE7">
        <v>5</v>
      </c>
      <c r="NF7">
        <v>46697.46</v>
      </c>
      <c r="NG7">
        <v>130878</v>
      </c>
      <c r="NH7" t="s">
        <v>2271</v>
      </c>
      <c r="NK7" t="s">
        <v>1795</v>
      </c>
      <c r="NL7">
        <v>-2.4245362661989844E-14</v>
      </c>
      <c r="NN7">
        <v>-2.4245362661989844E-14</v>
      </c>
      <c r="NO7" t="s">
        <v>1664</v>
      </c>
      <c r="NP7">
        <v>2024</v>
      </c>
      <c r="NQ7" t="s">
        <v>1796</v>
      </c>
      <c r="NR7" s="6">
        <v>45433</v>
      </c>
      <c r="NS7">
        <v>5</v>
      </c>
      <c r="NT7">
        <v>-2.4245362661989844E-14</v>
      </c>
      <c r="NU7">
        <v>27196144</v>
      </c>
      <c r="NV7" t="s">
        <v>1797</v>
      </c>
      <c r="OA7" t="s">
        <v>4912</v>
      </c>
      <c r="OB7" t="s">
        <v>1598</v>
      </c>
      <c r="OC7">
        <v>53.603763999999998</v>
      </c>
      <c r="OD7">
        <v>11.437068</v>
      </c>
      <c r="OE7" t="s">
        <v>1594</v>
      </c>
      <c r="OF7">
        <v>2025</v>
      </c>
      <c r="OG7" t="s">
        <v>4913</v>
      </c>
      <c r="OH7" s="6">
        <v>46057</v>
      </c>
      <c r="OI7">
        <v>5</v>
      </c>
      <c r="OJ7">
        <v>500000000</v>
      </c>
      <c r="OK7">
        <v>12279575</v>
      </c>
      <c r="OL7" t="s">
        <v>4914</v>
      </c>
      <c r="OO7" t="s">
        <v>2589</v>
      </c>
      <c r="OP7">
        <v>4.4623819999999998</v>
      </c>
      <c r="OQ7" t="s">
        <v>1598</v>
      </c>
      <c r="OR7">
        <v>8.1027819999999995</v>
      </c>
      <c r="OS7" t="s">
        <v>1664</v>
      </c>
      <c r="OT7">
        <v>2026</v>
      </c>
      <c r="OU7" t="s">
        <v>2590</v>
      </c>
      <c r="OV7" s="6">
        <v>46063</v>
      </c>
      <c r="OW7">
        <v>5</v>
      </c>
      <c r="OX7">
        <v>458286624</v>
      </c>
      <c r="OY7">
        <v>100142</v>
      </c>
      <c r="OZ7" t="s">
        <v>2591</v>
      </c>
      <c r="QI7" t="s">
        <v>2320</v>
      </c>
      <c r="QJ7" t="s">
        <v>1634</v>
      </c>
      <c r="QK7">
        <v>0.32499299999999998</v>
      </c>
      <c r="QL7">
        <v>2.3824730000000001</v>
      </c>
      <c r="QM7" t="s">
        <v>1599</v>
      </c>
      <c r="QN7">
        <v>2025</v>
      </c>
      <c r="QO7" t="s">
        <v>2321</v>
      </c>
      <c r="QP7" s="6">
        <v>45975</v>
      </c>
      <c r="QQ7">
        <v>5</v>
      </c>
      <c r="QR7">
        <v>24801542</v>
      </c>
      <c r="QS7">
        <v>305366</v>
      </c>
      <c r="QT7" t="s">
        <v>2322</v>
      </c>
      <c r="QW7" t="s">
        <v>1645</v>
      </c>
      <c r="QX7">
        <v>0.103657</v>
      </c>
      <c r="QY7" t="s">
        <v>1598</v>
      </c>
      <c r="QZ7">
        <v>0.54550299999999996</v>
      </c>
      <c r="RA7" t="s">
        <v>1599</v>
      </c>
      <c r="RB7">
        <v>2025</v>
      </c>
      <c r="RC7" t="s">
        <v>1897</v>
      </c>
      <c r="RD7" s="6">
        <v>45840</v>
      </c>
      <c r="RE7">
        <v>5</v>
      </c>
      <c r="RF7">
        <v>3298357</v>
      </c>
      <c r="RG7">
        <v>136424</v>
      </c>
      <c r="RH7" t="s">
        <v>1647</v>
      </c>
      <c r="RM7" t="s">
        <v>4883</v>
      </c>
      <c r="RN7" t="s">
        <v>1598</v>
      </c>
      <c r="RO7">
        <v>20</v>
      </c>
      <c r="RP7">
        <v>1.2621329999999999</v>
      </c>
      <c r="RQ7" t="s">
        <v>1594</v>
      </c>
      <c r="RR7">
        <v>2024</v>
      </c>
      <c r="RS7" t="s">
        <v>4884</v>
      </c>
      <c r="RT7" s="6">
        <v>45742</v>
      </c>
      <c r="RU7">
        <v>5</v>
      </c>
      <c r="RV7">
        <v>289649984</v>
      </c>
      <c r="RW7">
        <v>71080909</v>
      </c>
      <c r="RX7" t="s">
        <v>4885</v>
      </c>
      <c r="SA7" t="s">
        <v>5056</v>
      </c>
      <c r="SB7">
        <v>-2.4245362661989844E-14</v>
      </c>
      <c r="SD7">
        <v>-2.4245362661989844E-14</v>
      </c>
      <c r="SE7" t="s">
        <v>1594</v>
      </c>
      <c r="SF7">
        <v>2023</v>
      </c>
      <c r="SG7" t="s">
        <v>5057</v>
      </c>
      <c r="SH7" s="6">
        <v>45196</v>
      </c>
      <c r="SI7">
        <v>5</v>
      </c>
      <c r="SJ7">
        <v>-2.4245362661989844E-14</v>
      </c>
      <c r="SK7">
        <v>7362545</v>
      </c>
      <c r="SL7" t="s">
        <v>5058</v>
      </c>
      <c r="TU7" t="s">
        <v>303</v>
      </c>
      <c r="TV7" t="s">
        <v>1598</v>
      </c>
      <c r="TW7">
        <v>0.167933</v>
      </c>
      <c r="TX7">
        <v>4.0156150000000004</v>
      </c>
      <c r="TY7" t="s">
        <v>1603</v>
      </c>
      <c r="TZ7">
        <v>2025</v>
      </c>
      <c r="UA7" t="s">
        <v>1744</v>
      </c>
      <c r="UB7" s="6">
        <v>45797</v>
      </c>
      <c r="UC7">
        <v>5</v>
      </c>
      <c r="UD7">
        <v>261416544</v>
      </c>
      <c r="UE7">
        <v>216952</v>
      </c>
      <c r="UF7" t="s">
        <v>1631</v>
      </c>
      <c r="UI7" t="s">
        <v>2376</v>
      </c>
      <c r="UJ7">
        <v>3.1054590000000002</v>
      </c>
      <c r="UK7" t="s">
        <v>1598</v>
      </c>
      <c r="UL7">
        <v>1.2857479999999999</v>
      </c>
      <c r="UM7" t="s">
        <v>1603</v>
      </c>
      <c r="UN7">
        <v>2025</v>
      </c>
      <c r="UO7" t="s">
        <v>1744</v>
      </c>
      <c r="UP7" s="6">
        <v>45797</v>
      </c>
      <c r="UQ7">
        <v>5</v>
      </c>
      <c r="UR7">
        <v>451564800</v>
      </c>
      <c r="US7">
        <v>117929</v>
      </c>
      <c r="UT7" t="s">
        <v>2378</v>
      </c>
      <c r="UY7" t="s">
        <v>656</v>
      </c>
      <c r="UZ7" t="s">
        <v>1685</v>
      </c>
      <c r="VA7">
        <v>0.56072500000000003</v>
      </c>
      <c r="VB7">
        <v>1.5883999999999999E-2</v>
      </c>
      <c r="VC7" t="s">
        <v>1594</v>
      </c>
      <c r="VD7">
        <v>2025</v>
      </c>
      <c r="VE7" t="s">
        <v>4166</v>
      </c>
      <c r="VF7" s="6">
        <v>46066</v>
      </c>
      <c r="VG7">
        <v>5</v>
      </c>
      <c r="VH7">
        <v>2177750</v>
      </c>
      <c r="VI7">
        <v>126273</v>
      </c>
      <c r="VJ7" t="s">
        <v>4167</v>
      </c>
      <c r="VM7" t="s">
        <v>2858</v>
      </c>
      <c r="VN7">
        <v>-2.4245362661989844E-14</v>
      </c>
      <c r="VP7">
        <v>-2.4245362661989844E-14</v>
      </c>
      <c r="VQ7" t="s">
        <v>1603</v>
      </c>
      <c r="VR7">
        <v>2025</v>
      </c>
      <c r="VS7" t="s">
        <v>5125</v>
      </c>
      <c r="VT7" s="6">
        <v>45799</v>
      </c>
      <c r="VU7">
        <v>5</v>
      </c>
      <c r="VV7">
        <v>-2.4245362661989844E-14</v>
      </c>
      <c r="VW7">
        <v>313021</v>
      </c>
      <c r="VX7" t="s">
        <v>2860</v>
      </c>
    </row>
    <row r="8" spans="1:600" x14ac:dyDescent="0.25">
      <c r="AE8" t="s">
        <v>2063</v>
      </c>
      <c r="AG8">
        <v>-2.4245362661989844E-14</v>
      </c>
      <c r="AH8">
        <v>-2.4245362661989844E-14</v>
      </c>
      <c r="AI8" t="s">
        <v>2438</v>
      </c>
      <c r="AJ8">
        <v>2022</v>
      </c>
      <c r="AK8" t="s">
        <v>3909</v>
      </c>
      <c r="AL8" s="6">
        <v>44697</v>
      </c>
      <c r="AM8">
        <v>5</v>
      </c>
      <c r="AN8">
        <v>-2.4245362661989844E-14</v>
      </c>
      <c r="AO8">
        <v>118099</v>
      </c>
      <c r="AP8" t="s">
        <v>2065</v>
      </c>
      <c r="AS8" t="s">
        <v>5772</v>
      </c>
      <c r="AT8">
        <v>-2.4245362661989844E-14</v>
      </c>
      <c r="AV8">
        <v>-2.4245362661989844E-14</v>
      </c>
      <c r="AW8" t="s">
        <v>1651</v>
      </c>
      <c r="AX8">
        <v>2023</v>
      </c>
      <c r="AY8" t="s">
        <v>2174</v>
      </c>
      <c r="AZ8" s="6">
        <v>45245</v>
      </c>
      <c r="BA8">
        <v>5</v>
      </c>
      <c r="BB8">
        <v>-2.4245362661989844E-14</v>
      </c>
      <c r="BC8">
        <v>8562684</v>
      </c>
      <c r="BD8" t="s">
        <v>5773</v>
      </c>
      <c r="BI8" t="s">
        <v>2072</v>
      </c>
      <c r="BJ8" t="s">
        <v>1598</v>
      </c>
      <c r="BK8">
        <v>0.44718999999999998</v>
      </c>
      <c r="BL8">
        <v>9.7730999999999998E-2</v>
      </c>
      <c r="BM8" t="s">
        <v>1599</v>
      </c>
      <c r="BN8">
        <v>2025</v>
      </c>
      <c r="BO8" t="s">
        <v>2073</v>
      </c>
      <c r="BP8" s="6">
        <v>46027</v>
      </c>
      <c r="BQ8">
        <v>5</v>
      </c>
      <c r="BR8">
        <v>2835185</v>
      </c>
      <c r="BS8">
        <v>36965288</v>
      </c>
      <c r="BT8" t="s">
        <v>2074</v>
      </c>
      <c r="BW8" t="s">
        <v>4735</v>
      </c>
      <c r="BX8">
        <v>-2.4245362661989844E-14</v>
      </c>
      <c r="BZ8">
        <v>-2.4245362661989844E-14</v>
      </c>
      <c r="CA8" t="s">
        <v>1603</v>
      </c>
      <c r="CB8">
        <v>2023</v>
      </c>
      <c r="CC8" t="s">
        <v>4736</v>
      </c>
      <c r="CD8" s="6">
        <v>44950</v>
      </c>
      <c r="CE8">
        <v>5</v>
      </c>
      <c r="CF8">
        <v>-2.4245362661989844E-14</v>
      </c>
      <c r="CG8">
        <v>65060614</v>
      </c>
      <c r="CH8" t="s">
        <v>4737</v>
      </c>
      <c r="CM8" t="s">
        <v>3744</v>
      </c>
      <c r="CO8">
        <v>-2.4245362661989844E-14</v>
      </c>
      <c r="CP8">
        <v>-2.4245362661989844E-14</v>
      </c>
      <c r="CQ8" t="s">
        <v>1594</v>
      </c>
      <c r="CR8">
        <v>2026</v>
      </c>
      <c r="CS8" t="s">
        <v>3745</v>
      </c>
      <c r="CT8" s="6">
        <v>46042</v>
      </c>
      <c r="CU8">
        <v>5</v>
      </c>
      <c r="CV8">
        <v>-2.4245362661989844E-14</v>
      </c>
      <c r="CW8">
        <v>69341782</v>
      </c>
      <c r="CX8" t="s">
        <v>3746</v>
      </c>
      <c r="DA8" t="s">
        <v>617</v>
      </c>
      <c r="DB8">
        <v>2.8136109999999999</v>
      </c>
      <c r="DC8" t="s">
        <v>1598</v>
      </c>
      <c r="DD8">
        <v>0.16223799999999999</v>
      </c>
      <c r="DE8" t="s">
        <v>1606</v>
      </c>
      <c r="DF8">
        <v>2025</v>
      </c>
      <c r="DG8" t="s">
        <v>3619</v>
      </c>
      <c r="DH8" s="6">
        <v>45894</v>
      </c>
      <c r="DI8">
        <v>5</v>
      </c>
      <c r="DJ8">
        <v>8173540</v>
      </c>
      <c r="DK8">
        <v>69423747</v>
      </c>
      <c r="DL8" t="s">
        <v>3228</v>
      </c>
      <c r="DQ8" t="s">
        <v>3367</v>
      </c>
      <c r="DR8" t="s">
        <v>1598</v>
      </c>
      <c r="DS8">
        <v>55</v>
      </c>
      <c r="DT8">
        <v>0.35220200000000002</v>
      </c>
      <c r="DU8" t="s">
        <v>1594</v>
      </c>
      <c r="DV8">
        <v>2024</v>
      </c>
      <c r="DW8" t="s">
        <v>3368</v>
      </c>
      <c r="DX8" s="6">
        <v>45744</v>
      </c>
      <c r="DY8">
        <v>5</v>
      </c>
      <c r="DZ8">
        <v>35615524</v>
      </c>
      <c r="EA8">
        <v>71973585</v>
      </c>
      <c r="EB8" t="s">
        <v>3369</v>
      </c>
      <c r="EE8" t="s">
        <v>2888</v>
      </c>
      <c r="EF8">
        <v>-2.4245362661989844E-14</v>
      </c>
      <c r="EH8">
        <v>-2.4245362661989844E-14</v>
      </c>
      <c r="EI8" t="s">
        <v>1594</v>
      </c>
      <c r="EJ8">
        <v>2025</v>
      </c>
      <c r="EK8" t="s">
        <v>2889</v>
      </c>
      <c r="EL8" s="6">
        <v>45834</v>
      </c>
      <c r="EM8">
        <v>5</v>
      </c>
      <c r="EN8">
        <v>-2.4245362661989844E-14</v>
      </c>
      <c r="EO8">
        <v>108241</v>
      </c>
      <c r="EP8" t="s">
        <v>2890</v>
      </c>
      <c r="FY8" t="s">
        <v>3403</v>
      </c>
      <c r="FZ8" t="s">
        <v>1598</v>
      </c>
      <c r="GA8">
        <v>4.630776</v>
      </c>
      <c r="GB8">
        <v>0.19183800000000001</v>
      </c>
      <c r="GC8" t="s">
        <v>1599</v>
      </c>
      <c r="GD8">
        <v>2025</v>
      </c>
      <c r="GE8" t="s">
        <v>3404</v>
      </c>
      <c r="GF8" s="6">
        <v>45952</v>
      </c>
      <c r="GG8">
        <v>5</v>
      </c>
      <c r="GH8">
        <v>125308800</v>
      </c>
      <c r="GI8">
        <v>171010</v>
      </c>
      <c r="GJ8" t="s">
        <v>3405</v>
      </c>
      <c r="GM8" t="s">
        <v>872</v>
      </c>
      <c r="GN8">
        <v>0.34598400000000001</v>
      </c>
      <c r="GO8" t="s">
        <v>1598</v>
      </c>
      <c r="GP8">
        <v>1.684086</v>
      </c>
      <c r="GQ8" t="s">
        <v>1664</v>
      </c>
      <c r="GR8">
        <v>2025</v>
      </c>
      <c r="GS8" t="s">
        <v>2179</v>
      </c>
      <c r="GT8" s="6">
        <v>45873</v>
      </c>
      <c r="GU8">
        <v>5</v>
      </c>
      <c r="GV8">
        <v>342105216</v>
      </c>
      <c r="GW8">
        <v>100211</v>
      </c>
      <c r="GX8" t="s">
        <v>1632</v>
      </c>
      <c r="HC8" t="s">
        <v>3403</v>
      </c>
      <c r="HD8" t="s">
        <v>1598</v>
      </c>
      <c r="HE8">
        <v>4.630776</v>
      </c>
      <c r="HF8">
        <v>0.19183800000000001</v>
      </c>
      <c r="HG8" t="s">
        <v>1599</v>
      </c>
      <c r="HH8">
        <v>2025</v>
      </c>
      <c r="HI8" t="s">
        <v>3404</v>
      </c>
      <c r="HJ8" s="6">
        <v>45952</v>
      </c>
      <c r="HK8">
        <v>5</v>
      </c>
      <c r="HL8">
        <v>125308800</v>
      </c>
      <c r="HM8">
        <v>171010</v>
      </c>
      <c r="HN8" t="s">
        <v>3405</v>
      </c>
      <c r="HQ8" t="s">
        <v>872</v>
      </c>
      <c r="HR8">
        <v>0.34598400000000001</v>
      </c>
      <c r="HS8" t="s">
        <v>1598</v>
      </c>
      <c r="HT8">
        <v>1.684086</v>
      </c>
      <c r="HU8" t="s">
        <v>1664</v>
      </c>
      <c r="HV8">
        <v>2025</v>
      </c>
      <c r="HW8" t="s">
        <v>2179</v>
      </c>
      <c r="HX8" s="6">
        <v>45873</v>
      </c>
      <c r="HY8">
        <v>5</v>
      </c>
      <c r="HZ8">
        <v>342105216</v>
      </c>
      <c r="IA8">
        <v>100211</v>
      </c>
      <c r="IB8" t="s">
        <v>1632</v>
      </c>
      <c r="IG8" t="s">
        <v>3065</v>
      </c>
      <c r="IH8" t="s">
        <v>1685</v>
      </c>
      <c r="II8">
        <v>4.256977</v>
      </c>
      <c r="IJ8">
        <v>4.9215000000000002E-2</v>
      </c>
      <c r="IK8" t="s">
        <v>1594</v>
      </c>
      <c r="IL8">
        <v>2025</v>
      </c>
      <c r="IM8" t="s">
        <v>3066</v>
      </c>
      <c r="IN8" s="6">
        <v>46063</v>
      </c>
      <c r="IO8">
        <v>5</v>
      </c>
      <c r="IP8">
        <v>8579000</v>
      </c>
      <c r="IQ8">
        <v>143096</v>
      </c>
      <c r="IR8" t="s">
        <v>3067</v>
      </c>
      <c r="IU8" t="s">
        <v>6106</v>
      </c>
      <c r="IV8">
        <v>-2.4245362661989844E-14</v>
      </c>
      <c r="IX8">
        <v>-2.4245362661989844E-14</v>
      </c>
      <c r="IY8" t="s">
        <v>1594</v>
      </c>
      <c r="IZ8">
        <v>2023</v>
      </c>
      <c r="JA8" t="s">
        <v>6107</v>
      </c>
      <c r="JB8" s="6">
        <v>45008</v>
      </c>
      <c r="JC8">
        <v>4</v>
      </c>
      <c r="JD8">
        <v>-2.4245362661989844E-14</v>
      </c>
      <c r="JE8">
        <v>11889410</v>
      </c>
      <c r="JF8" t="s">
        <v>6108</v>
      </c>
      <c r="JK8" t="s">
        <v>3744</v>
      </c>
      <c r="JM8">
        <v>-2.4245362661989844E-14</v>
      </c>
      <c r="JN8">
        <v>-2.4245362661989844E-14</v>
      </c>
      <c r="JO8" t="s">
        <v>1594</v>
      </c>
      <c r="JP8">
        <v>2026</v>
      </c>
      <c r="JQ8" t="s">
        <v>3745</v>
      </c>
      <c r="JR8" s="6">
        <v>46042</v>
      </c>
      <c r="JS8">
        <v>5</v>
      </c>
      <c r="JT8">
        <v>-2.4245362661989844E-14</v>
      </c>
      <c r="JU8">
        <v>69341782</v>
      </c>
      <c r="JV8" t="s">
        <v>3746</v>
      </c>
      <c r="JY8" t="s">
        <v>617</v>
      </c>
      <c r="JZ8">
        <v>2.8136109999999999</v>
      </c>
      <c r="KA8" t="s">
        <v>1598</v>
      </c>
      <c r="KB8">
        <v>0.16223799999999999</v>
      </c>
      <c r="KC8" t="s">
        <v>1606</v>
      </c>
      <c r="KD8">
        <v>2025</v>
      </c>
      <c r="KE8" t="s">
        <v>3619</v>
      </c>
      <c r="KF8" s="6">
        <v>45894</v>
      </c>
      <c r="KG8">
        <v>5</v>
      </c>
      <c r="KH8">
        <v>8173540</v>
      </c>
      <c r="KI8">
        <v>69423747</v>
      </c>
      <c r="KJ8" t="s">
        <v>3228</v>
      </c>
      <c r="LS8" t="s">
        <v>3432</v>
      </c>
      <c r="LT8" t="s">
        <v>1685</v>
      </c>
      <c r="LU8">
        <v>13</v>
      </c>
      <c r="LV8">
        <v>0.32028699999999999</v>
      </c>
      <c r="LW8" t="s">
        <v>1594</v>
      </c>
      <c r="LX8">
        <v>2024</v>
      </c>
      <c r="LY8" t="s">
        <v>3433</v>
      </c>
      <c r="LZ8" s="6">
        <v>45761</v>
      </c>
      <c r="MA8">
        <v>5</v>
      </c>
      <c r="MB8">
        <v>5277818.2300000004</v>
      </c>
      <c r="MC8">
        <v>115383</v>
      </c>
      <c r="MD8" t="s">
        <v>3434</v>
      </c>
      <c r="MG8" t="s">
        <v>3305</v>
      </c>
      <c r="MH8">
        <v>-2.4245362661989844E-14</v>
      </c>
      <c r="MJ8">
        <v>-2.4245362661989844E-14</v>
      </c>
      <c r="MK8" t="s">
        <v>1594</v>
      </c>
      <c r="ML8">
        <v>2024</v>
      </c>
      <c r="MM8" t="s">
        <v>3306</v>
      </c>
      <c r="MN8" s="6">
        <v>45734</v>
      </c>
      <c r="MO8">
        <v>5</v>
      </c>
      <c r="MP8">
        <v>-2.4245362661989844E-14</v>
      </c>
      <c r="MQ8">
        <v>7980587</v>
      </c>
      <c r="MR8" t="s">
        <v>3307</v>
      </c>
      <c r="MW8" t="s">
        <v>2272</v>
      </c>
      <c r="MX8" t="s">
        <v>1634</v>
      </c>
      <c r="MY8">
        <v>2.0240000000000002E-3</v>
      </c>
      <c r="MZ8">
        <v>2.6168E-2</v>
      </c>
      <c r="NA8" t="s">
        <v>1599</v>
      </c>
      <c r="NB8">
        <v>2025</v>
      </c>
      <c r="NC8" t="s">
        <v>2273</v>
      </c>
      <c r="ND8" s="6">
        <v>45964</v>
      </c>
      <c r="NE8">
        <v>5</v>
      </c>
      <c r="NF8">
        <v>10506</v>
      </c>
      <c r="NG8">
        <v>16546862</v>
      </c>
      <c r="NH8" t="s">
        <v>2274</v>
      </c>
      <c r="NK8" t="s">
        <v>1798</v>
      </c>
      <c r="NL8">
        <v>-2.4245362661989844E-14</v>
      </c>
      <c r="NN8">
        <v>-2.4245362661989844E-14</v>
      </c>
      <c r="NO8" t="s">
        <v>1594</v>
      </c>
      <c r="NP8">
        <v>2024</v>
      </c>
      <c r="NQ8" t="s">
        <v>1799</v>
      </c>
      <c r="NR8" s="6">
        <v>45771</v>
      </c>
      <c r="NS8">
        <v>5</v>
      </c>
      <c r="NT8">
        <v>-2.4245362661989844E-14</v>
      </c>
      <c r="NU8">
        <v>135686</v>
      </c>
      <c r="NV8" t="s">
        <v>1800</v>
      </c>
      <c r="OA8" t="s">
        <v>4645</v>
      </c>
      <c r="OB8" t="s">
        <v>1598</v>
      </c>
      <c r="OC8">
        <v>11.040501000000001</v>
      </c>
      <c r="OD8">
        <v>4.7269569999999996</v>
      </c>
      <c r="OE8" t="s">
        <v>1603</v>
      </c>
      <c r="OF8">
        <v>2025</v>
      </c>
      <c r="OG8" t="s">
        <v>4646</v>
      </c>
      <c r="OH8" s="6">
        <v>45792</v>
      </c>
      <c r="OI8">
        <v>5</v>
      </c>
      <c r="OJ8">
        <v>174991936</v>
      </c>
      <c r="OK8">
        <v>15242973</v>
      </c>
      <c r="OL8" t="s">
        <v>4647</v>
      </c>
      <c r="OO8" t="s">
        <v>3675</v>
      </c>
      <c r="OP8">
        <v>4.2609469999999998</v>
      </c>
      <c r="OQ8" t="s">
        <v>1598</v>
      </c>
      <c r="OR8">
        <v>1.3459399999999999</v>
      </c>
      <c r="OS8" t="s">
        <v>1664</v>
      </c>
      <c r="OT8">
        <v>2025</v>
      </c>
      <c r="OU8" t="s">
        <v>3353</v>
      </c>
      <c r="OV8" s="6">
        <v>45947</v>
      </c>
      <c r="OW8">
        <v>5</v>
      </c>
      <c r="OX8">
        <v>327453792</v>
      </c>
      <c r="OY8">
        <v>50985605</v>
      </c>
      <c r="OZ8" t="s">
        <v>3676</v>
      </c>
      <c r="QI8" t="s">
        <v>1639</v>
      </c>
      <c r="QJ8" t="s">
        <v>1634</v>
      </c>
      <c r="QK8">
        <v>3.774562</v>
      </c>
      <c r="QL8">
        <v>1.7094309999999999</v>
      </c>
      <c r="QM8" t="s">
        <v>1606</v>
      </c>
      <c r="QN8">
        <v>2024</v>
      </c>
      <c r="QO8" t="s">
        <v>3889</v>
      </c>
      <c r="QP8" s="6">
        <v>45736</v>
      </c>
      <c r="QQ8">
        <v>5</v>
      </c>
      <c r="QR8">
        <v>15641294</v>
      </c>
      <c r="QS8">
        <v>10092517</v>
      </c>
      <c r="QT8" t="s">
        <v>1641</v>
      </c>
      <c r="QW8" t="s">
        <v>1894</v>
      </c>
      <c r="QX8">
        <v>4.7757000000000001E-2</v>
      </c>
      <c r="QY8" t="s">
        <v>1598</v>
      </c>
      <c r="QZ8">
        <v>9.2510999999999996E-2</v>
      </c>
      <c r="RA8" t="s">
        <v>1606</v>
      </c>
      <c r="RB8">
        <v>2025</v>
      </c>
      <c r="RC8" t="s">
        <v>1895</v>
      </c>
      <c r="RD8" s="6">
        <v>46091</v>
      </c>
      <c r="RE8">
        <v>5</v>
      </c>
      <c r="RF8">
        <v>1452302</v>
      </c>
      <c r="RG8">
        <v>156637</v>
      </c>
      <c r="RH8" t="s">
        <v>1896</v>
      </c>
      <c r="RM8" t="s">
        <v>143</v>
      </c>
      <c r="RN8" t="s">
        <v>1598</v>
      </c>
      <c r="RO8">
        <v>0.35996400000000001</v>
      </c>
      <c r="RP8">
        <v>0.24259500000000001</v>
      </c>
      <c r="RQ8" t="s">
        <v>1606</v>
      </c>
      <c r="RR8">
        <v>2025</v>
      </c>
      <c r="RS8" t="s">
        <v>2251</v>
      </c>
      <c r="RT8" s="6">
        <v>45848</v>
      </c>
      <c r="RU8">
        <v>5</v>
      </c>
      <c r="RV8">
        <v>57245076</v>
      </c>
      <c r="RW8">
        <v>101752</v>
      </c>
      <c r="RX8" t="s">
        <v>2265</v>
      </c>
      <c r="SA8" t="s">
        <v>1621</v>
      </c>
      <c r="SB8">
        <v>-2.4245362661989844E-14</v>
      </c>
      <c r="SD8">
        <v>-2.4245362661989844E-14</v>
      </c>
      <c r="SE8" t="s">
        <v>1594</v>
      </c>
      <c r="SF8">
        <v>2023</v>
      </c>
      <c r="SG8" t="s">
        <v>5057</v>
      </c>
      <c r="SH8" s="6">
        <v>45196</v>
      </c>
      <c r="SI8">
        <v>5</v>
      </c>
      <c r="SJ8">
        <v>-2.4245362661989844E-14</v>
      </c>
      <c r="SK8">
        <v>218252</v>
      </c>
      <c r="SL8" t="s">
        <v>1622</v>
      </c>
      <c r="TU8" t="s">
        <v>1700</v>
      </c>
      <c r="TV8" t="s">
        <v>1598</v>
      </c>
      <c r="TW8">
        <v>0.893262</v>
      </c>
      <c r="TX8">
        <v>1.9939499999999999</v>
      </c>
      <c r="TY8" t="s">
        <v>1603</v>
      </c>
      <c r="TZ8">
        <v>2025</v>
      </c>
      <c r="UA8" t="s">
        <v>1744</v>
      </c>
      <c r="UB8" s="6">
        <v>45797</v>
      </c>
      <c r="UC8">
        <v>5</v>
      </c>
      <c r="UD8">
        <v>129806144</v>
      </c>
      <c r="UE8">
        <v>1499717</v>
      </c>
      <c r="UF8" t="s">
        <v>1702</v>
      </c>
      <c r="UI8" t="s">
        <v>1891</v>
      </c>
      <c r="UJ8">
        <v>0.94301500000000005</v>
      </c>
      <c r="UK8" t="s">
        <v>1598</v>
      </c>
      <c r="UL8">
        <v>2.2702520000000002</v>
      </c>
      <c r="UM8" t="s">
        <v>1603</v>
      </c>
      <c r="UN8">
        <v>2025</v>
      </c>
      <c r="UO8" t="s">
        <v>1892</v>
      </c>
      <c r="UP8" s="6">
        <v>45784</v>
      </c>
      <c r="UQ8">
        <v>5</v>
      </c>
      <c r="UR8">
        <v>137123792</v>
      </c>
      <c r="US8">
        <v>100115</v>
      </c>
      <c r="UT8" t="s">
        <v>1893</v>
      </c>
      <c r="UY8" t="s">
        <v>992</v>
      </c>
      <c r="UZ8" t="s">
        <v>1685</v>
      </c>
      <c r="VA8">
        <v>0.78817400000000004</v>
      </c>
      <c r="VB8">
        <v>1.4283000000000001E-2</v>
      </c>
      <c r="VC8" t="s">
        <v>1594</v>
      </c>
      <c r="VD8">
        <v>2025</v>
      </c>
      <c r="VE8" t="s">
        <v>4168</v>
      </c>
      <c r="VF8" s="6">
        <v>46058</v>
      </c>
      <c r="VG8">
        <v>5</v>
      </c>
      <c r="VH8">
        <v>1958250</v>
      </c>
      <c r="VI8">
        <v>106045</v>
      </c>
      <c r="VJ8" t="s">
        <v>2847</v>
      </c>
      <c r="VM8" t="s">
        <v>5522</v>
      </c>
      <c r="VN8">
        <v>-2.4245362661989844E-14</v>
      </c>
      <c r="VP8">
        <v>-2.4245362661989844E-14</v>
      </c>
      <c r="VQ8" t="s">
        <v>1594</v>
      </c>
      <c r="VR8">
        <v>2022</v>
      </c>
      <c r="VS8" t="s">
        <v>5523</v>
      </c>
      <c r="VT8" s="6">
        <v>44986</v>
      </c>
      <c r="VU8">
        <v>5</v>
      </c>
      <c r="VV8">
        <v>-2.4245362661989844E-14</v>
      </c>
      <c r="VW8">
        <v>394590</v>
      </c>
      <c r="VX8" t="s">
        <v>5524</v>
      </c>
    </row>
    <row r="9" spans="1:600" x14ac:dyDescent="0.25">
      <c r="AE9" t="s">
        <v>3910</v>
      </c>
      <c r="AG9">
        <v>-2.4245362661989844E-14</v>
      </c>
      <c r="AH9">
        <v>-2.4245362661989844E-14</v>
      </c>
      <c r="AI9" t="s">
        <v>1664</v>
      </c>
      <c r="AJ9">
        <v>2025</v>
      </c>
      <c r="AK9" t="s">
        <v>3911</v>
      </c>
      <c r="AL9" s="6">
        <v>45861</v>
      </c>
      <c r="AM9">
        <v>5</v>
      </c>
      <c r="AN9">
        <v>-2.4245362661989844E-14</v>
      </c>
      <c r="AO9">
        <v>38030711</v>
      </c>
      <c r="AP9" t="s">
        <v>3912</v>
      </c>
      <c r="AS9" t="s">
        <v>5774</v>
      </c>
      <c r="AT9">
        <v>-2.4245362661989844E-14</v>
      </c>
      <c r="AV9">
        <v>-2.4245362661989844E-14</v>
      </c>
      <c r="AW9" t="s">
        <v>1651</v>
      </c>
      <c r="AX9">
        <v>2023</v>
      </c>
      <c r="AY9" t="s">
        <v>2174</v>
      </c>
      <c r="AZ9" s="6">
        <v>45245</v>
      </c>
      <c r="BA9">
        <v>5</v>
      </c>
      <c r="BB9">
        <v>-2.4245362661989844E-14</v>
      </c>
      <c r="BC9">
        <v>21300729</v>
      </c>
      <c r="BD9" t="s">
        <v>5775</v>
      </c>
      <c r="BI9" t="s">
        <v>3820</v>
      </c>
      <c r="BJ9" t="s">
        <v>1598</v>
      </c>
      <c r="BK9">
        <v>9.5227000000000006E-2</v>
      </c>
      <c r="BL9">
        <v>9.3220999999999998E-2</v>
      </c>
      <c r="BM9" t="s">
        <v>1603</v>
      </c>
      <c r="BN9">
        <v>2025</v>
      </c>
      <c r="BO9" t="s">
        <v>3821</v>
      </c>
      <c r="BP9" s="6">
        <v>45849</v>
      </c>
      <c r="BQ9">
        <v>5</v>
      </c>
      <c r="BR9">
        <v>2711796</v>
      </c>
      <c r="BS9">
        <v>102595</v>
      </c>
      <c r="BT9" t="s">
        <v>3822</v>
      </c>
      <c r="BW9" t="s">
        <v>2550</v>
      </c>
      <c r="BX9">
        <v>-2.4245362661989844E-14</v>
      </c>
      <c r="BZ9">
        <v>-2.4245362661989844E-14</v>
      </c>
      <c r="CA9" t="s">
        <v>1594</v>
      </c>
      <c r="CB9">
        <v>2025</v>
      </c>
      <c r="CC9" t="s">
        <v>4738</v>
      </c>
      <c r="CD9" s="6">
        <v>46064</v>
      </c>
      <c r="CE9">
        <v>5</v>
      </c>
      <c r="CF9">
        <v>-2.4245362661989844E-14</v>
      </c>
      <c r="CG9">
        <v>17312199</v>
      </c>
      <c r="CH9" t="s">
        <v>2552</v>
      </c>
      <c r="CM9" t="s">
        <v>460</v>
      </c>
      <c r="CO9">
        <v>-2.4245362661989844E-14</v>
      </c>
      <c r="CP9">
        <v>-2.4245362661989844E-14</v>
      </c>
      <c r="CQ9" t="s">
        <v>1594</v>
      </c>
      <c r="CR9">
        <v>2021</v>
      </c>
      <c r="CS9" t="s">
        <v>3010</v>
      </c>
      <c r="CT9" s="6">
        <v>44693</v>
      </c>
      <c r="CU9">
        <v>5</v>
      </c>
      <c r="CV9">
        <v>-2.4245362661989844E-14</v>
      </c>
      <c r="CW9">
        <v>54282724</v>
      </c>
      <c r="CX9" t="s">
        <v>3011</v>
      </c>
      <c r="DA9" t="s">
        <v>3622</v>
      </c>
      <c r="DB9">
        <v>2.2803619999999998</v>
      </c>
      <c r="DC9" t="s">
        <v>1598</v>
      </c>
      <c r="DD9">
        <v>0.22684099999999999</v>
      </c>
      <c r="DE9" t="s">
        <v>1606</v>
      </c>
      <c r="DF9">
        <v>2025</v>
      </c>
      <c r="DG9" t="s">
        <v>3619</v>
      </c>
      <c r="DH9" s="6">
        <v>45894</v>
      </c>
      <c r="DI9">
        <v>5</v>
      </c>
      <c r="DJ9">
        <v>6624452</v>
      </c>
      <c r="DK9">
        <v>115790</v>
      </c>
      <c r="DL9" t="s">
        <v>3623</v>
      </c>
      <c r="DQ9" t="s">
        <v>2066</v>
      </c>
      <c r="DR9" t="s">
        <v>1634</v>
      </c>
      <c r="DS9">
        <v>8.3740509999999997</v>
      </c>
      <c r="DT9">
        <v>0.97642600000000002</v>
      </c>
      <c r="DU9" t="s">
        <v>1664</v>
      </c>
      <c r="DV9">
        <v>2025</v>
      </c>
      <c r="DW9" t="s">
        <v>2067</v>
      </c>
      <c r="DX9" s="6">
        <v>45929</v>
      </c>
      <c r="DY9">
        <v>5</v>
      </c>
      <c r="DZ9">
        <v>32085344</v>
      </c>
      <c r="EA9">
        <v>13070762</v>
      </c>
      <c r="EB9" t="s">
        <v>2068</v>
      </c>
      <c r="EE9" t="s">
        <v>2746</v>
      </c>
      <c r="EF9">
        <v>-2.4245362661989844E-14</v>
      </c>
      <c r="EH9">
        <v>-2.4245362661989844E-14</v>
      </c>
      <c r="EI9" t="s">
        <v>1594</v>
      </c>
      <c r="EJ9">
        <v>2025</v>
      </c>
      <c r="EK9" t="s">
        <v>2747</v>
      </c>
      <c r="EL9" s="6">
        <v>45975</v>
      </c>
      <c r="EM9">
        <v>5</v>
      </c>
      <c r="EN9">
        <v>-2.4245362661989844E-14</v>
      </c>
      <c r="EO9">
        <v>100131</v>
      </c>
      <c r="EP9" t="s">
        <v>2748</v>
      </c>
      <c r="FY9" t="s">
        <v>2383</v>
      </c>
      <c r="FZ9" t="s">
        <v>1634</v>
      </c>
      <c r="GA9">
        <v>1.650523</v>
      </c>
      <c r="GB9">
        <v>1.7462089999999999</v>
      </c>
      <c r="GC9" t="s">
        <v>1599</v>
      </c>
      <c r="GD9">
        <v>2025</v>
      </c>
      <c r="GE9" t="s">
        <v>2384</v>
      </c>
      <c r="GF9" s="6">
        <v>46029</v>
      </c>
      <c r="GG9">
        <v>5</v>
      </c>
      <c r="GH9">
        <v>97565313.560000002</v>
      </c>
      <c r="GI9">
        <v>115705</v>
      </c>
      <c r="GJ9" t="s">
        <v>2385</v>
      </c>
      <c r="GM9" t="s">
        <v>22</v>
      </c>
      <c r="GN9">
        <v>0.19926099999999999</v>
      </c>
      <c r="GO9" t="s">
        <v>1598</v>
      </c>
      <c r="GP9">
        <v>1.1451750000000001</v>
      </c>
      <c r="GQ9" t="s">
        <v>1664</v>
      </c>
      <c r="GR9">
        <v>2025</v>
      </c>
      <c r="GS9" t="s">
        <v>2129</v>
      </c>
      <c r="GT9" s="6">
        <v>45895</v>
      </c>
      <c r="GU9">
        <v>5</v>
      </c>
      <c r="GV9">
        <v>197027360</v>
      </c>
      <c r="GW9">
        <v>101555</v>
      </c>
      <c r="GX9" t="s">
        <v>2130</v>
      </c>
      <c r="HC9" t="s">
        <v>2383</v>
      </c>
      <c r="HD9" t="s">
        <v>1634</v>
      </c>
      <c r="HE9">
        <v>1.650523</v>
      </c>
      <c r="HF9">
        <v>1.7462089999999999</v>
      </c>
      <c r="HG9" t="s">
        <v>1599</v>
      </c>
      <c r="HH9">
        <v>2025</v>
      </c>
      <c r="HI9" t="s">
        <v>2384</v>
      </c>
      <c r="HJ9" s="6">
        <v>46029</v>
      </c>
      <c r="HK9">
        <v>5</v>
      </c>
      <c r="HL9">
        <v>97565313.560000002</v>
      </c>
      <c r="HM9">
        <v>115705</v>
      </c>
      <c r="HN9" t="s">
        <v>2385</v>
      </c>
      <c r="HQ9" t="s">
        <v>22</v>
      </c>
      <c r="HR9">
        <v>0.19926099999999999</v>
      </c>
      <c r="HS9" t="s">
        <v>1598</v>
      </c>
      <c r="HT9">
        <v>1.1451750000000001</v>
      </c>
      <c r="HU9" t="s">
        <v>1664</v>
      </c>
      <c r="HV9">
        <v>2025</v>
      </c>
      <c r="HW9" t="s">
        <v>2129</v>
      </c>
      <c r="HX9" s="6">
        <v>45895</v>
      </c>
      <c r="HY9">
        <v>5</v>
      </c>
      <c r="HZ9">
        <v>197027360</v>
      </c>
      <c r="IA9">
        <v>101555</v>
      </c>
      <c r="IB9" t="s">
        <v>2130</v>
      </c>
      <c r="IG9" t="s">
        <v>3370</v>
      </c>
      <c r="II9">
        <v>0.824349</v>
      </c>
      <c r="IJ9">
        <v>-2.4245362661989844E-14</v>
      </c>
      <c r="IK9" t="s">
        <v>1599</v>
      </c>
      <c r="IL9">
        <v>2025</v>
      </c>
      <c r="IM9" t="s">
        <v>3371</v>
      </c>
      <c r="IN9" s="6">
        <v>45996</v>
      </c>
      <c r="IO9">
        <v>5</v>
      </c>
      <c r="IP9">
        <v>7184285</v>
      </c>
      <c r="IQ9">
        <v>225275</v>
      </c>
      <c r="IR9" t="s">
        <v>3372</v>
      </c>
      <c r="JK9" t="s">
        <v>460</v>
      </c>
      <c r="JM9">
        <v>-2.4245362661989844E-14</v>
      </c>
      <c r="JN9">
        <v>-2.4245362661989844E-14</v>
      </c>
      <c r="JO9" t="s">
        <v>1594</v>
      </c>
      <c r="JP9">
        <v>2021</v>
      </c>
      <c r="JQ9" t="s">
        <v>3010</v>
      </c>
      <c r="JR9" s="6">
        <v>44693</v>
      </c>
      <c r="JS9">
        <v>5</v>
      </c>
      <c r="JT9">
        <v>-2.4245362661989844E-14</v>
      </c>
      <c r="JU9">
        <v>54282724</v>
      </c>
      <c r="JV9" t="s">
        <v>3011</v>
      </c>
      <c r="JY9" t="s">
        <v>3622</v>
      </c>
      <c r="JZ9">
        <v>2.2803619999999998</v>
      </c>
      <c r="KA9" t="s">
        <v>1598</v>
      </c>
      <c r="KB9">
        <v>0.22684099999999999</v>
      </c>
      <c r="KC9" t="s">
        <v>1606</v>
      </c>
      <c r="KD9">
        <v>2025</v>
      </c>
      <c r="KE9" t="s">
        <v>3619</v>
      </c>
      <c r="KF9" s="6">
        <v>45894</v>
      </c>
      <c r="KG9">
        <v>5</v>
      </c>
      <c r="KH9">
        <v>6624452</v>
      </c>
      <c r="KI9">
        <v>115790</v>
      </c>
      <c r="KJ9" t="s">
        <v>3623</v>
      </c>
      <c r="LS9" t="s">
        <v>3082</v>
      </c>
      <c r="LT9" t="s">
        <v>1685</v>
      </c>
      <c r="LU9">
        <v>2.3601529999999999</v>
      </c>
      <c r="LV9">
        <v>0.26850400000000002</v>
      </c>
      <c r="LW9" t="s">
        <v>1594</v>
      </c>
      <c r="LX9">
        <v>2024</v>
      </c>
      <c r="LY9" t="s">
        <v>3083</v>
      </c>
      <c r="LZ9" s="6">
        <v>45715</v>
      </c>
      <c r="MA9">
        <v>5</v>
      </c>
      <c r="MB9">
        <v>4469251</v>
      </c>
      <c r="MC9">
        <v>979463</v>
      </c>
      <c r="MD9" t="s">
        <v>3084</v>
      </c>
      <c r="MG9" t="s">
        <v>3308</v>
      </c>
      <c r="MH9">
        <v>-2.4245362661989844E-14</v>
      </c>
      <c r="MJ9">
        <v>-2.4245362661989844E-14</v>
      </c>
      <c r="MK9" t="s">
        <v>1594</v>
      </c>
      <c r="ML9">
        <v>2024</v>
      </c>
      <c r="MM9" t="s">
        <v>3309</v>
      </c>
      <c r="MN9" s="6">
        <v>45333</v>
      </c>
      <c r="MO9">
        <v>5</v>
      </c>
      <c r="MP9">
        <v>-2.4245362661989844E-14</v>
      </c>
      <c r="MQ9">
        <v>136993</v>
      </c>
      <c r="MR9" t="s">
        <v>3310</v>
      </c>
      <c r="MW9" t="s">
        <v>2275</v>
      </c>
      <c r="MX9" t="s">
        <v>1598</v>
      </c>
      <c r="MY9">
        <v>1.2467000000000001E-2</v>
      </c>
      <c r="MZ9">
        <v>4.5800000000000002E-4</v>
      </c>
      <c r="NA9" t="s">
        <v>1664</v>
      </c>
      <c r="NB9">
        <v>2025</v>
      </c>
      <c r="NC9" t="s">
        <v>2276</v>
      </c>
      <c r="ND9" s="6">
        <v>45744</v>
      </c>
      <c r="NE9">
        <v>5</v>
      </c>
      <c r="NF9">
        <v>6232.4</v>
      </c>
      <c r="NG9">
        <v>28653435</v>
      </c>
      <c r="NH9" t="s">
        <v>2277</v>
      </c>
      <c r="NK9" t="s">
        <v>1801</v>
      </c>
      <c r="NL9">
        <v>-2.4245362661989844E-14</v>
      </c>
      <c r="NN9">
        <v>-2.4245362661989844E-14</v>
      </c>
      <c r="NO9" t="s">
        <v>1594</v>
      </c>
      <c r="NP9">
        <v>2022</v>
      </c>
      <c r="NQ9" t="s">
        <v>1802</v>
      </c>
      <c r="NR9" s="6">
        <v>45083</v>
      </c>
      <c r="NS9">
        <v>5</v>
      </c>
      <c r="NT9">
        <v>-2.4245362661989844E-14</v>
      </c>
      <c r="NU9">
        <v>34532225</v>
      </c>
      <c r="NV9" t="s">
        <v>1803</v>
      </c>
      <c r="OA9" t="s">
        <v>2585</v>
      </c>
      <c r="OB9" t="s">
        <v>1598</v>
      </c>
      <c r="OC9">
        <v>1.00623</v>
      </c>
      <c r="OD9">
        <v>2.9252069999999999</v>
      </c>
      <c r="OE9" t="s">
        <v>1603</v>
      </c>
      <c r="OF9">
        <v>2026</v>
      </c>
      <c r="OG9" t="s">
        <v>3997</v>
      </c>
      <c r="OH9" s="6">
        <v>46079</v>
      </c>
      <c r="OI9">
        <v>5</v>
      </c>
      <c r="OJ9">
        <v>137279952</v>
      </c>
      <c r="OK9">
        <v>100995</v>
      </c>
      <c r="OL9" t="s">
        <v>2586</v>
      </c>
      <c r="OO9" t="s">
        <v>143</v>
      </c>
      <c r="OP9">
        <v>3.5808580000000001</v>
      </c>
      <c r="OQ9" t="s">
        <v>1634</v>
      </c>
      <c r="OR9">
        <v>3.236755</v>
      </c>
      <c r="OS9" t="s">
        <v>1664</v>
      </c>
      <c r="OT9">
        <v>2025</v>
      </c>
      <c r="OU9" t="s">
        <v>3353</v>
      </c>
      <c r="OV9" s="6">
        <v>45947</v>
      </c>
      <c r="OW9">
        <v>5</v>
      </c>
      <c r="OX9">
        <v>275188928</v>
      </c>
      <c r="OY9">
        <v>101752</v>
      </c>
      <c r="OZ9" t="s">
        <v>2265</v>
      </c>
      <c r="QI9" t="s">
        <v>2041</v>
      </c>
      <c r="QJ9" t="s">
        <v>1634</v>
      </c>
      <c r="QK9">
        <v>1.4444140000000001</v>
      </c>
      <c r="QL9">
        <v>1.9580120000000001</v>
      </c>
      <c r="QM9" t="s">
        <v>1603</v>
      </c>
      <c r="QN9">
        <v>2025</v>
      </c>
      <c r="QO9" t="s">
        <v>3890</v>
      </c>
      <c r="QP9" s="6">
        <v>45812</v>
      </c>
      <c r="QQ9">
        <v>5</v>
      </c>
      <c r="QR9">
        <v>15487874</v>
      </c>
      <c r="QS9">
        <v>211040</v>
      </c>
      <c r="QT9" t="s">
        <v>2043</v>
      </c>
      <c r="QW9" t="s">
        <v>3727</v>
      </c>
      <c r="QX9">
        <v>-2.4245362661989844E-14</v>
      </c>
      <c r="QZ9">
        <v>-2.4245362661989844E-14</v>
      </c>
      <c r="RA9" t="s">
        <v>1606</v>
      </c>
      <c r="RB9">
        <v>2025</v>
      </c>
      <c r="RC9" t="s">
        <v>3728</v>
      </c>
      <c r="RD9" s="6">
        <v>46056</v>
      </c>
      <c r="RE9">
        <v>5</v>
      </c>
      <c r="RF9">
        <v>-2.4245362661989844E-14</v>
      </c>
      <c r="RG9">
        <v>202508</v>
      </c>
      <c r="RH9" t="s">
        <v>3729</v>
      </c>
      <c r="RM9" t="s">
        <v>1084</v>
      </c>
      <c r="RN9" t="s">
        <v>1685</v>
      </c>
      <c r="RO9">
        <v>0.60699000000000003</v>
      </c>
      <c r="RP9">
        <v>0.15107200000000001</v>
      </c>
      <c r="RQ9" t="s">
        <v>1664</v>
      </c>
      <c r="RR9">
        <v>2025</v>
      </c>
      <c r="RS9" t="s">
        <v>2052</v>
      </c>
      <c r="RT9" s="6">
        <v>45838</v>
      </c>
      <c r="RU9">
        <v>5</v>
      </c>
      <c r="RV9">
        <v>35648524</v>
      </c>
      <c r="RW9">
        <v>101689</v>
      </c>
      <c r="RX9" t="s">
        <v>2053</v>
      </c>
      <c r="SA9" t="s">
        <v>5059</v>
      </c>
      <c r="SB9">
        <v>-2.4245362661989844E-14</v>
      </c>
      <c r="SD9">
        <v>-2.4245362661989844E-14</v>
      </c>
      <c r="SE9" t="s">
        <v>1594</v>
      </c>
      <c r="SF9">
        <v>2023</v>
      </c>
      <c r="SG9" t="s">
        <v>5060</v>
      </c>
      <c r="SH9" s="6">
        <v>45189</v>
      </c>
      <c r="SI9">
        <v>5</v>
      </c>
      <c r="SJ9">
        <v>-2.4245362661989844E-14</v>
      </c>
      <c r="SK9">
        <v>118666</v>
      </c>
      <c r="SL9" t="s">
        <v>5061</v>
      </c>
      <c r="TU9" t="s">
        <v>3659</v>
      </c>
      <c r="TV9" t="s">
        <v>1598</v>
      </c>
      <c r="TW9">
        <v>0.59890299999999996</v>
      </c>
      <c r="TX9">
        <v>1.729209</v>
      </c>
      <c r="TY9" t="s">
        <v>1603</v>
      </c>
      <c r="TZ9">
        <v>2025</v>
      </c>
      <c r="UA9" t="s">
        <v>1744</v>
      </c>
      <c r="UB9" s="6">
        <v>45797</v>
      </c>
      <c r="UC9">
        <v>5</v>
      </c>
      <c r="UD9">
        <v>112571504</v>
      </c>
      <c r="UE9">
        <v>130929</v>
      </c>
      <c r="UF9" t="s">
        <v>3661</v>
      </c>
      <c r="UI9" t="s">
        <v>617</v>
      </c>
      <c r="UJ9">
        <v>0.76780499999999996</v>
      </c>
      <c r="UK9" t="s">
        <v>1598</v>
      </c>
      <c r="UL9">
        <v>2.2920660000000002</v>
      </c>
      <c r="UM9" t="s">
        <v>1603</v>
      </c>
      <c r="UN9">
        <v>2025</v>
      </c>
      <c r="UO9" t="s">
        <v>1744</v>
      </c>
      <c r="UP9" s="6">
        <v>45797</v>
      </c>
      <c r="UQ9">
        <v>5</v>
      </c>
      <c r="UR9">
        <v>111646528</v>
      </c>
      <c r="US9">
        <v>69423747</v>
      </c>
      <c r="UT9" t="s">
        <v>3228</v>
      </c>
      <c r="UY9" t="s">
        <v>2280</v>
      </c>
      <c r="UZ9" t="s">
        <v>1685</v>
      </c>
      <c r="VA9">
        <v>0.777281</v>
      </c>
      <c r="VB9">
        <v>1.0723999999999999E-2</v>
      </c>
      <c r="VC9" t="s">
        <v>1594</v>
      </c>
      <c r="VD9">
        <v>2024</v>
      </c>
      <c r="VE9" t="s">
        <v>2281</v>
      </c>
      <c r="VF9" s="6">
        <v>45694</v>
      </c>
      <c r="VG9">
        <v>5</v>
      </c>
      <c r="VH9">
        <v>1463750</v>
      </c>
      <c r="VI9">
        <v>106543</v>
      </c>
      <c r="VJ9" t="s">
        <v>2282</v>
      </c>
      <c r="VM9" t="s">
        <v>5525</v>
      </c>
      <c r="VN9">
        <v>-2.4245362661989844E-14</v>
      </c>
      <c r="VP9">
        <v>-2.4245362661989844E-14</v>
      </c>
      <c r="VQ9" t="s">
        <v>1594</v>
      </c>
      <c r="VR9">
        <v>2023</v>
      </c>
      <c r="VS9" t="s">
        <v>5526</v>
      </c>
      <c r="VT9" s="6">
        <v>45175</v>
      </c>
      <c r="VU9">
        <v>5</v>
      </c>
      <c r="VV9">
        <v>-2.4245362661989844E-14</v>
      </c>
      <c r="VW9">
        <v>100555</v>
      </c>
      <c r="VX9" t="s">
        <v>5527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78</v>
      </c>
      <c r="AE2" s="3" t="s">
        <v>30</v>
      </c>
      <c r="BI2" s="3" t="s">
        <v>139</v>
      </c>
      <c r="CM2" s="3" t="s">
        <v>140</v>
      </c>
      <c r="DQ2" s="3" t="s">
        <v>141</v>
      </c>
      <c r="EU2" s="3" t="s">
        <v>22</v>
      </c>
      <c r="FY2" s="3" t="s">
        <v>142</v>
      </c>
      <c r="HC2" s="3" t="s">
        <v>143</v>
      </c>
      <c r="IG2" s="3" t="s">
        <v>144</v>
      </c>
      <c r="JK2" s="3" t="s">
        <v>145</v>
      </c>
      <c r="KO2" s="3" t="s">
        <v>146</v>
      </c>
      <c r="LS2" s="3" t="s">
        <v>147</v>
      </c>
      <c r="MW2" s="3" t="s">
        <v>78</v>
      </c>
      <c r="OA2" s="3" t="s">
        <v>78</v>
      </c>
      <c r="PE2" s="3" t="s">
        <v>78</v>
      </c>
      <c r="QI2" s="3" t="s">
        <v>78</v>
      </c>
      <c r="RM2" s="3" t="s">
        <v>78</v>
      </c>
      <c r="SQ2" s="3" t="s">
        <v>148</v>
      </c>
      <c r="TU2" s="3" t="s">
        <v>149</v>
      </c>
      <c r="UY2" s="3" t="s">
        <v>78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_xll.BDS("nan Equity","SUPPLY_CHAIN_SUPPLIERS_ALL_DATA")</f>
        <v>#N/A N/A</v>
      </c>
      <c r="O5" t="str">
        <f>_xll.BDS("nan Equity","SUPPLY_CHAIN_CUSTOMERS_ALL_DATA")</f>
        <v>#N/A N/A</v>
      </c>
      <c r="AE5" t="str">
        <f>_xll.BDS("C US Equity","SUPPLY_CHAIN_SUPPLIERS_ALL_DATA","cols=12;rows=5")</f>
        <v>ORCL US Equity</v>
      </c>
      <c r="AF5" t="s">
        <v>1598</v>
      </c>
      <c r="AG5">
        <v>0.204793</v>
      </c>
      <c r="AH5">
        <v>0.242594</v>
      </c>
      <c r="AI5" t="s">
        <v>1606</v>
      </c>
      <c r="AJ5">
        <v>2025</v>
      </c>
      <c r="AK5" t="s">
        <v>2251</v>
      </c>
      <c r="AL5" s="6">
        <v>45848</v>
      </c>
      <c r="AM5">
        <v>5</v>
      </c>
      <c r="AN5">
        <v>32568232</v>
      </c>
      <c r="AO5">
        <v>101752</v>
      </c>
      <c r="AP5" t="s">
        <v>2265</v>
      </c>
      <c r="AS5" t="str">
        <f>_xll.BDS("C US Equity","SUPPLY_CHAIN_CUSTOMERS_ALL_DATA","cols=12;rows=5")</f>
        <v>ANTO LN Equity</v>
      </c>
      <c r="AT5">
        <v>1.76E-4</v>
      </c>
      <c r="AU5" t="s">
        <v>1598</v>
      </c>
      <c r="AV5">
        <v>7.3010000000000002E-3</v>
      </c>
      <c r="AW5" t="s">
        <v>1594</v>
      </c>
      <c r="AX5">
        <v>2024</v>
      </c>
      <c r="AY5" t="s">
        <v>3662</v>
      </c>
      <c r="AZ5" s="6">
        <v>45743</v>
      </c>
      <c r="BA5">
        <v>5</v>
      </c>
      <c r="BB5">
        <v>74999.5</v>
      </c>
      <c r="BC5">
        <v>111100</v>
      </c>
      <c r="BD5" t="s">
        <v>3663</v>
      </c>
      <c r="BI5" t="str">
        <f>_xll.BDS("ABT US Equity","SUPPLY_CHAIN_SUPPLIERS_ALL_DATA","cols=12;rows=5")</f>
        <v>MSFT US Equity</v>
      </c>
      <c r="BJ5" t="s">
        <v>1598</v>
      </c>
      <c r="BK5">
        <v>5.0347999999999997E-2</v>
      </c>
      <c r="BL5">
        <v>0.78954400000000002</v>
      </c>
      <c r="BM5" t="s">
        <v>1599</v>
      </c>
      <c r="BN5">
        <v>2025</v>
      </c>
      <c r="BO5" t="s">
        <v>1735</v>
      </c>
      <c r="BP5" s="6">
        <v>45843</v>
      </c>
      <c r="BQ5">
        <v>5</v>
      </c>
      <c r="BR5">
        <v>35276832</v>
      </c>
      <c r="BS5">
        <v>101743</v>
      </c>
      <c r="BT5" t="s">
        <v>1736</v>
      </c>
      <c r="BW5" t="str">
        <f>_xll.BDS("ABT US Equity","SUPPLY_CHAIN_CUSTOMERS_ALL_DATA","cols=12;rows=5")</f>
        <v>SNX US Equity</v>
      </c>
      <c r="BX5">
        <v>0.37113800000000002</v>
      </c>
      <c r="BY5" t="s">
        <v>1598</v>
      </c>
      <c r="BZ5">
        <v>0.260712</v>
      </c>
      <c r="CA5" t="s">
        <v>1606</v>
      </c>
      <c r="CB5">
        <v>2025</v>
      </c>
      <c r="CC5" t="s">
        <v>1701</v>
      </c>
      <c r="CD5" s="6">
        <v>46056</v>
      </c>
      <c r="CE5">
        <v>5</v>
      </c>
      <c r="CF5">
        <v>42194648</v>
      </c>
      <c r="CG5">
        <v>1499717</v>
      </c>
      <c r="CH5" t="s">
        <v>1702</v>
      </c>
      <c r="CM5" t="str">
        <f>_xll.BDS("SCHW US Equity","SUPPLY_CHAIN_SUPPLIERS_ALL_DATA","cols=12;rows=5")</f>
        <v>ADBE US Equity</v>
      </c>
      <c r="CN5" t="s">
        <v>1685</v>
      </c>
      <c r="CO5">
        <v>0.101092</v>
      </c>
      <c r="CP5">
        <v>0.18884000000000001</v>
      </c>
      <c r="CQ5" t="s">
        <v>1664</v>
      </c>
      <c r="CR5">
        <v>2025</v>
      </c>
      <c r="CS5" t="s">
        <v>2052</v>
      </c>
      <c r="CT5" s="6">
        <v>45838</v>
      </c>
      <c r="CU5">
        <v>5</v>
      </c>
      <c r="CV5">
        <v>5937133</v>
      </c>
      <c r="CW5">
        <v>101689</v>
      </c>
      <c r="CX5" t="s">
        <v>2053</v>
      </c>
      <c r="DA5" t="str">
        <f>_xll.BDS("SCHW US Equity","SUPPLY_CHAIN_CUSTOMERS_ALL_DATA","cols=12;rows=1")</f>
        <v>CNDT US Equity</v>
      </c>
      <c r="DB5">
        <v>-2.4245362661989844E-14</v>
      </c>
      <c r="DD5">
        <v>-2.4245362661989844E-14</v>
      </c>
      <c r="DE5" t="s">
        <v>1594</v>
      </c>
      <c r="DF5">
        <v>2023</v>
      </c>
      <c r="DG5" t="s">
        <v>5359</v>
      </c>
      <c r="DH5" s="6">
        <v>45133</v>
      </c>
      <c r="DI5">
        <v>1</v>
      </c>
      <c r="DJ5">
        <v>-2.4245362661989844E-14</v>
      </c>
      <c r="DK5">
        <v>48777406</v>
      </c>
      <c r="DL5" t="s">
        <v>5360</v>
      </c>
      <c r="DQ5" t="str">
        <f>_xll.BDS("3621240Q US Equity","SUPPLY_CHAIN_SUPPLIERS_ALL_DATA")</f>
        <v>#N/A N/A</v>
      </c>
      <c r="EE5" t="str">
        <f>_xll.BDS("3621240Q US Equity","SUPPLY_CHAIN_CUSTOMERS_ALL_DATA")</f>
        <v>#N/A N/A</v>
      </c>
      <c r="EU5" t="str">
        <f>_xll.BDS("RTX US Equity","SUPPLY_CHAIN_SUPPLIERS_ALL_DATA","cols=12;rows=5")</f>
        <v>MTX GR Equity</v>
      </c>
      <c r="EV5" t="s">
        <v>1598</v>
      </c>
      <c r="EW5">
        <v>24.749371</v>
      </c>
      <c r="EX5">
        <v>3.4020609999999998</v>
      </c>
      <c r="EY5" t="s">
        <v>1664</v>
      </c>
      <c r="EZ5">
        <v>2025</v>
      </c>
      <c r="FA5" t="s">
        <v>2629</v>
      </c>
      <c r="FB5" s="6">
        <v>45937</v>
      </c>
      <c r="FC5">
        <v>5</v>
      </c>
      <c r="FD5">
        <v>585090912.53999996</v>
      </c>
      <c r="FE5">
        <v>8445936</v>
      </c>
      <c r="FF5" t="s">
        <v>2630</v>
      </c>
      <c r="FI5" t="str">
        <f>_xll.BDS("RTX US Equity","SUPPLY_CHAIN_CUSTOMERS_ALL_DATA","cols=12;rows=5")</f>
        <v>3352Z US Equity</v>
      </c>
      <c r="FJ5">
        <v>37.559677000000001</v>
      </c>
      <c r="FL5">
        <v>-2.4245362661989844E-14</v>
      </c>
      <c r="FM5" t="s">
        <v>1594</v>
      </c>
      <c r="FN5">
        <v>2025</v>
      </c>
      <c r="FO5" t="s">
        <v>4803</v>
      </c>
      <c r="FP5" s="6">
        <v>46059</v>
      </c>
      <c r="FQ5">
        <v>5</v>
      </c>
      <c r="FR5">
        <v>8319750000</v>
      </c>
      <c r="FS5">
        <v>218252</v>
      </c>
      <c r="FT5" t="s">
        <v>1622</v>
      </c>
      <c r="FY5" t="str">
        <f>_xll.BDS("MPC US Equity","SUPPLY_CHAIN_SUPPLIERS_ALL_DATA","cols=12;rows=5")</f>
        <v>MPLX US Equity</v>
      </c>
      <c r="FZ5" t="s">
        <v>1598</v>
      </c>
      <c r="GA5">
        <v>49</v>
      </c>
      <c r="GB5">
        <v>4.4841980000000001</v>
      </c>
      <c r="GC5" t="s">
        <v>1594</v>
      </c>
      <c r="GD5">
        <v>2024</v>
      </c>
      <c r="GE5" t="s">
        <v>2548</v>
      </c>
      <c r="GF5" s="6">
        <v>45715</v>
      </c>
      <c r="GG5">
        <v>5</v>
      </c>
      <c r="GH5">
        <v>1461792512</v>
      </c>
      <c r="GI5">
        <v>31969391</v>
      </c>
      <c r="GJ5" t="s">
        <v>5810</v>
      </c>
      <c r="GM5" t="str">
        <f>_xll.BDS("MPC US Equity","SUPPLY_CHAIN_CUSTOMERS_ALL_DATA","cols=12;rows=5")</f>
        <v>3382 JP Equity</v>
      </c>
      <c r="GN5">
        <v>-2.4245362661989844E-14</v>
      </c>
      <c r="GP5">
        <v>-2.4245362661989844E-14</v>
      </c>
      <c r="GQ5" t="s">
        <v>1594</v>
      </c>
      <c r="GR5">
        <v>2023</v>
      </c>
      <c r="GS5" t="s">
        <v>6032</v>
      </c>
      <c r="GT5" s="6">
        <v>45350</v>
      </c>
      <c r="GU5">
        <v>5</v>
      </c>
      <c r="GV5">
        <v>-2.4245362661989844E-14</v>
      </c>
      <c r="GW5">
        <v>9917432</v>
      </c>
      <c r="GX5" t="s">
        <v>2493</v>
      </c>
      <c r="HC5" t="str">
        <f>_xll.BDS("ORCL US Equity","SUPPLY_CHAIN_SUPPLIERS_ALL_DATA","cols=12;rows=5")</f>
        <v>NVDA US Equity</v>
      </c>
      <c r="HD5" t="s">
        <v>1634</v>
      </c>
      <c r="HE5">
        <v>1.9751799999999999</v>
      </c>
      <c r="HF5">
        <v>11.182838</v>
      </c>
      <c r="HG5" t="s">
        <v>1606</v>
      </c>
      <c r="HH5">
        <v>2026</v>
      </c>
      <c r="HI5" t="s">
        <v>2004</v>
      </c>
      <c r="HJ5" s="6">
        <v>46087</v>
      </c>
      <c r="HK5">
        <v>5</v>
      </c>
      <c r="HL5">
        <v>1345630848</v>
      </c>
      <c r="HM5">
        <v>313657</v>
      </c>
      <c r="HN5" t="s">
        <v>2005</v>
      </c>
      <c r="HQ5" t="str">
        <f>_xll.BDS("ORCL US Equity","SUPPLY_CHAIN_CUSTOMERS_ALL_DATA","cols=12;rows=5")</f>
        <v>ACN US Equity</v>
      </c>
      <c r="HR5">
        <v>1.9061380000000001</v>
      </c>
      <c r="HS5" t="s">
        <v>1598</v>
      </c>
      <c r="HT5">
        <v>2.7725070000000001</v>
      </c>
      <c r="HU5" t="s">
        <v>1606</v>
      </c>
      <c r="HV5">
        <v>2025</v>
      </c>
      <c r="HW5" t="s">
        <v>2251</v>
      </c>
      <c r="HX5" s="6">
        <v>45848</v>
      </c>
      <c r="HY5">
        <v>5</v>
      </c>
      <c r="HZ5">
        <v>303133120</v>
      </c>
      <c r="IA5">
        <v>300787</v>
      </c>
      <c r="IB5" t="s">
        <v>2252</v>
      </c>
      <c r="IG5" t="str">
        <f>_xll.BDS("CB US Equity","SUPPLY_CHAIN_SUPPLIERS_ALL_DATA","cols=12;rows=5")</f>
        <v>049480 KS Equity</v>
      </c>
      <c r="II5">
        <v>-2.4245362661989844E-14</v>
      </c>
      <c r="IJ5">
        <v>-2.4245362661989844E-14</v>
      </c>
      <c r="IK5" t="s">
        <v>1651</v>
      </c>
      <c r="IL5">
        <v>2025</v>
      </c>
      <c r="IM5" t="s">
        <v>5898</v>
      </c>
      <c r="IN5" s="6">
        <v>45975</v>
      </c>
      <c r="IO5">
        <v>5</v>
      </c>
      <c r="IP5">
        <v>-2.4245362661989844E-14</v>
      </c>
      <c r="IQ5">
        <v>7120437</v>
      </c>
      <c r="IR5" t="s">
        <v>5899</v>
      </c>
      <c r="IU5" t="str">
        <f>_xll.BDS("CB US Equity","SUPPLY_CHAIN_CUSTOMERS_ALL_DATA","cols=12;rows=1")</f>
        <v>NSP US Equity</v>
      </c>
      <c r="IV5">
        <v>-2.4245362661989844E-14</v>
      </c>
      <c r="IX5">
        <v>-2.4245362661989844E-14</v>
      </c>
      <c r="IY5" t="s">
        <v>1594</v>
      </c>
      <c r="IZ5">
        <v>2025</v>
      </c>
      <c r="JA5" t="s">
        <v>5737</v>
      </c>
      <c r="JB5" s="6">
        <v>46064</v>
      </c>
      <c r="JC5">
        <v>1</v>
      </c>
      <c r="JD5">
        <v>-2.4245362661989844E-14</v>
      </c>
      <c r="JE5">
        <v>201622</v>
      </c>
      <c r="JF5" t="s">
        <v>5738</v>
      </c>
      <c r="JK5" t="str">
        <f>_xll.BDS("JCI US Equity","SUPPLY_CHAIN_SUPPLIERS_ALL_DATA","cols=12;rows=5")</f>
        <v>KE US Equity</v>
      </c>
      <c r="JL5" t="s">
        <v>1598</v>
      </c>
      <c r="JM5">
        <v>3.1006740000000002</v>
      </c>
      <c r="JN5">
        <v>0.35738700000000001</v>
      </c>
      <c r="JO5" t="s">
        <v>1599</v>
      </c>
      <c r="JP5">
        <v>2025</v>
      </c>
      <c r="JQ5" t="s">
        <v>3995</v>
      </c>
      <c r="JR5" s="6">
        <v>45797</v>
      </c>
      <c r="JS5">
        <v>5</v>
      </c>
      <c r="JT5">
        <v>13290341</v>
      </c>
      <c r="JU5">
        <v>21175033</v>
      </c>
      <c r="JV5" t="s">
        <v>3996</v>
      </c>
      <c r="JY5" t="str">
        <f>_xll.BDS("JCI US Equity","SUPPLY_CHAIN_CUSTOMERS_ALL_DATA","cols=12;rows=5")</f>
        <v>WSO US Equity</v>
      </c>
      <c r="JZ5">
        <v>0.35668800000000001</v>
      </c>
      <c r="KA5" t="s">
        <v>1598</v>
      </c>
      <c r="KB5">
        <v>1.402836</v>
      </c>
      <c r="KC5" t="s">
        <v>1664</v>
      </c>
      <c r="KD5">
        <v>2025</v>
      </c>
      <c r="KE5" t="s">
        <v>5215</v>
      </c>
      <c r="KF5" s="6">
        <v>45889</v>
      </c>
      <c r="KG5">
        <v>5</v>
      </c>
      <c r="KH5">
        <v>20466732</v>
      </c>
      <c r="KI5">
        <v>107907</v>
      </c>
      <c r="KJ5" t="s">
        <v>4345</v>
      </c>
      <c r="KO5" t="str">
        <f>_xll.BDS("CZR US Equity","SUPPLY_CHAIN_SUPPLIERS_ALL_DATA","cols=12;rows=5")</f>
        <v>VICI US Equity</v>
      </c>
      <c r="KP5" t="s">
        <v>1685</v>
      </c>
      <c r="KQ5">
        <v>39</v>
      </c>
      <c r="KR5">
        <v>78.186974000000006</v>
      </c>
      <c r="KS5" t="s">
        <v>1594</v>
      </c>
      <c r="KT5">
        <v>2024</v>
      </c>
      <c r="KU5" t="s">
        <v>2351</v>
      </c>
      <c r="KV5" s="6">
        <v>45708</v>
      </c>
      <c r="KW5">
        <v>5</v>
      </c>
      <c r="KX5">
        <v>375297472</v>
      </c>
      <c r="KY5">
        <v>55267607</v>
      </c>
      <c r="KZ5" t="s">
        <v>2352</v>
      </c>
      <c r="LC5" t="str">
        <f>_xll.BDS("CZR US Equity","SUPPLY_CHAIN_CUSTOMERS_ALL_DATA","cols=12;rows=4")</f>
        <v>0127957D US Equity</v>
      </c>
      <c r="LD5">
        <v>-2.4245362661989844E-14</v>
      </c>
      <c r="LF5">
        <v>-2.4245362661989844E-14</v>
      </c>
      <c r="LG5" t="s">
        <v>1594</v>
      </c>
      <c r="LH5">
        <v>2024</v>
      </c>
      <c r="LI5" t="s">
        <v>2870</v>
      </c>
      <c r="LJ5" s="6">
        <v>45747</v>
      </c>
      <c r="LK5">
        <v>4</v>
      </c>
      <c r="LL5">
        <v>-2.4245362661989844E-14</v>
      </c>
      <c r="LM5">
        <v>19488118</v>
      </c>
      <c r="LN5" t="s">
        <v>2871</v>
      </c>
      <c r="LS5" t="str">
        <f>_xll.BDS("TFC US Equity","SUPPLY_CHAIN_SUPPLIERS_ALL_DATA","cols=12;rows=5")</f>
        <v>ADBE US Equity</v>
      </c>
      <c r="LT5" t="s">
        <v>1685</v>
      </c>
      <c r="LU5">
        <v>9.3438999999999994E-2</v>
      </c>
      <c r="LV5">
        <v>0.18883900000000001</v>
      </c>
      <c r="LW5" t="s">
        <v>1664</v>
      </c>
      <c r="LX5">
        <v>2025</v>
      </c>
      <c r="LY5" t="s">
        <v>2052</v>
      </c>
      <c r="LZ5" s="6">
        <v>45838</v>
      </c>
      <c r="MA5">
        <v>5</v>
      </c>
      <c r="MB5">
        <v>5487672</v>
      </c>
      <c r="MC5">
        <v>101689</v>
      </c>
      <c r="MD5" t="s">
        <v>2053</v>
      </c>
      <c r="MG5" t="str">
        <f>_xll.BDS("TFC US Equity","SUPPLY_CHAIN_CUSTOMERS_ALL_DATA","cols=12;rows=1")</f>
        <v>RENG IN Equity</v>
      </c>
      <c r="MH5">
        <v>-2.4245362661989844E-14</v>
      </c>
      <c r="MJ5">
        <v>-2.4245362661989844E-14</v>
      </c>
      <c r="MK5" t="s">
        <v>1594</v>
      </c>
      <c r="ML5">
        <v>2025</v>
      </c>
      <c r="MM5" t="s">
        <v>1673</v>
      </c>
      <c r="MN5" s="6">
        <v>45901</v>
      </c>
      <c r="MO5">
        <v>1</v>
      </c>
      <c r="MP5">
        <v>-2.4245362661989844E-14</v>
      </c>
      <c r="MQ5">
        <v>182734</v>
      </c>
      <c r="MR5" t="s">
        <v>1674</v>
      </c>
      <c r="MW5" t="str">
        <f>_xll.BDS("nan Equity","SUPPLY_CHAIN_SUPPLIERS_ALL_DATA")</f>
        <v>#N/A N/A</v>
      </c>
      <c r="NK5" t="str">
        <f>_xll.BDS("nan Equity","SUPPLY_CHAIN_CUSTOMERS_ALL_DATA")</f>
        <v>#N/A N/A</v>
      </c>
      <c r="OA5" t="str">
        <f>_xll.BDS("nan Equity","SUPPLY_CHAIN_SUPPLIERS_ALL_DATA")</f>
        <v>#N/A N/A</v>
      </c>
      <c r="OO5" t="str">
        <f>_xll.BDS("nan Equity","SUPPLY_CHAIN_CUSTOMERS_ALL_DATA")</f>
        <v>#N/A N/A</v>
      </c>
      <c r="PE5" t="str">
        <f>_xll.BDS("nan Equity","SUPPLY_CHAIN_SUPPLIERS_ALL_DATA")</f>
        <v>#N/A N/A</v>
      </c>
      <c r="PS5" t="str">
        <f>_xll.BDS("nan Equity","SUPPLY_CHAIN_CUSTOMERS_ALL_DATA")</f>
        <v>#N/A N/A</v>
      </c>
      <c r="QI5" t="str">
        <f>_xll.BDS("nan Equity","SUPPLY_CHAIN_SUPPLIERS_ALL_DATA")</f>
        <v>#N/A N/A</v>
      </c>
      <c r="QW5" t="str">
        <f>_xll.BDS("nan Equity","SUPPLY_CHAIN_CUSTOMERS_ALL_DATA")</f>
        <v>#N/A N/A</v>
      </c>
      <c r="RM5" t="str">
        <f>_xll.BDS("nan Equity","SUPPLY_CHAIN_SUPPLIERS_ALL_DATA")</f>
        <v>#N/A N/A</v>
      </c>
      <c r="SA5" t="str">
        <f>_xll.BDS("nan Equity","SUPPLY_CHAIN_CUSTOMERS_ALL_DATA")</f>
        <v>#N/A N/A</v>
      </c>
      <c r="SQ5" t="str">
        <f>_xll.BDS("RAI US Equity","SUPPLY_CHAIN_SUPPLIERS_ALL_DATA")</f>
        <v>#N/A N/A</v>
      </c>
      <c r="TE5" t="str">
        <f>_xll.BDS("RAI US Equity","SUPPLY_CHAIN_CUSTOMERS_ALL_DATA")</f>
        <v>#N/A N/A</v>
      </c>
      <c r="TU5" t="str">
        <f>_xll.BDS("PLD US Equity","SUPPLY_CHAIN_SUPPLIERS_ALL_DATA","cols=12;rows=5")</f>
        <v>SALFACOR CI Equity</v>
      </c>
      <c r="TV5" t="s">
        <v>1598</v>
      </c>
      <c r="TW5">
        <v>1.0878749999999999</v>
      </c>
      <c r="TX5">
        <v>25.782067999999999</v>
      </c>
      <c r="TY5" t="s">
        <v>1594</v>
      </c>
      <c r="TZ5">
        <v>2024</v>
      </c>
      <c r="UA5" t="s">
        <v>2301</v>
      </c>
      <c r="UB5" s="6">
        <v>45714</v>
      </c>
      <c r="UC5">
        <v>5</v>
      </c>
      <c r="UD5">
        <v>3034787.67</v>
      </c>
      <c r="UE5">
        <v>9218729</v>
      </c>
      <c r="UF5" t="s">
        <v>2302</v>
      </c>
      <c r="UI5" t="str">
        <f>_xll.BDS("PLD US Equity","SUPPLY_CHAIN_CUSTOMERS_ALL_DATA","cols=12;rows=5")</f>
        <v>AMZN US Equity</v>
      </c>
      <c r="UJ5">
        <v>5.4977010000000002</v>
      </c>
      <c r="UK5" t="s">
        <v>1685</v>
      </c>
      <c r="UL5">
        <v>0.81587200000000004</v>
      </c>
      <c r="UM5" t="s">
        <v>1594</v>
      </c>
      <c r="UN5">
        <v>2024</v>
      </c>
      <c r="UO5" t="s">
        <v>1903</v>
      </c>
      <c r="UP5" s="6">
        <v>45702</v>
      </c>
      <c r="UQ5">
        <v>5</v>
      </c>
      <c r="UR5">
        <v>112725000</v>
      </c>
      <c r="US5">
        <v>216952</v>
      </c>
      <c r="UT5" t="s">
        <v>1631</v>
      </c>
      <c r="UY5" t="str">
        <f>_xll.BDS("nan Equity","SUPPLY_CHAIN_SUPPLIERS_ALL_DATA")</f>
        <v>#N/A N/A</v>
      </c>
      <c r="VM5" t="str">
        <f>_xll.BDS("nan Equity","SUPPLY_CHAIN_CUSTOMERS_ALL_DATA")</f>
        <v>#N/A N/A</v>
      </c>
    </row>
    <row r="6" spans="1:600" x14ac:dyDescent="0.25">
      <c r="AE6" t="s">
        <v>1084</v>
      </c>
      <c r="AF6" t="s">
        <v>1685</v>
      </c>
      <c r="AG6">
        <v>0.1295</v>
      </c>
      <c r="AH6">
        <v>5.6652000000000001E-2</v>
      </c>
      <c r="AI6" t="s">
        <v>1664</v>
      </c>
      <c r="AJ6">
        <v>2025</v>
      </c>
      <c r="AK6" t="s">
        <v>2052</v>
      </c>
      <c r="AL6" s="6">
        <v>45838</v>
      </c>
      <c r="AM6">
        <v>5</v>
      </c>
      <c r="AN6">
        <v>7605535</v>
      </c>
      <c r="AO6">
        <v>101689</v>
      </c>
      <c r="AP6" t="s">
        <v>2053</v>
      </c>
      <c r="AS6" t="s">
        <v>3664</v>
      </c>
      <c r="AT6">
        <v>-2.4245362661989844E-14</v>
      </c>
      <c r="AV6">
        <v>-2.4245362661989844E-14</v>
      </c>
      <c r="AW6" t="s">
        <v>1594</v>
      </c>
      <c r="AX6">
        <v>2023</v>
      </c>
      <c r="AY6" t="s">
        <v>3665</v>
      </c>
      <c r="AZ6" s="6">
        <v>45198</v>
      </c>
      <c r="BA6">
        <v>5</v>
      </c>
      <c r="BB6">
        <v>-2.4245362661989844E-14</v>
      </c>
      <c r="BC6">
        <v>61660379</v>
      </c>
      <c r="BD6" t="s">
        <v>3666</v>
      </c>
      <c r="BI6" t="s">
        <v>2796</v>
      </c>
      <c r="BJ6" t="s">
        <v>1685</v>
      </c>
      <c r="BK6">
        <v>9.5382999999999996E-2</v>
      </c>
      <c r="BL6">
        <v>1.0817209999999999</v>
      </c>
      <c r="BM6" t="s">
        <v>1603</v>
      </c>
      <c r="BN6">
        <v>2026</v>
      </c>
      <c r="BO6" t="s">
        <v>2797</v>
      </c>
      <c r="BP6" s="6">
        <v>45973</v>
      </c>
      <c r="BQ6">
        <v>5</v>
      </c>
      <c r="BR6">
        <v>32671380.140000001</v>
      </c>
      <c r="BS6">
        <v>16857643</v>
      </c>
      <c r="BT6" t="s">
        <v>2798</v>
      </c>
      <c r="BW6" t="s">
        <v>2896</v>
      </c>
      <c r="BX6">
        <v>0.16034200000000001</v>
      </c>
      <c r="BY6" t="s">
        <v>1598</v>
      </c>
      <c r="BZ6">
        <v>12.286398</v>
      </c>
      <c r="CA6" t="s">
        <v>1594</v>
      </c>
      <c r="CB6">
        <v>2025</v>
      </c>
      <c r="CC6" t="s">
        <v>2897</v>
      </c>
      <c r="CD6" s="6">
        <v>45856</v>
      </c>
      <c r="CE6">
        <v>5</v>
      </c>
      <c r="CF6">
        <v>17393065.039999999</v>
      </c>
      <c r="CG6">
        <v>169572</v>
      </c>
      <c r="CH6" t="s">
        <v>2898</v>
      </c>
      <c r="CM6" t="s">
        <v>3466</v>
      </c>
      <c r="CO6">
        <v>-2.4245362661989844E-14</v>
      </c>
      <c r="CP6">
        <v>-2.4245362661989844E-14</v>
      </c>
      <c r="CQ6" t="s">
        <v>1603</v>
      </c>
      <c r="CR6">
        <v>2024</v>
      </c>
      <c r="CS6" t="s">
        <v>3467</v>
      </c>
      <c r="CT6" s="6">
        <v>45421</v>
      </c>
      <c r="CU6">
        <v>5</v>
      </c>
      <c r="CV6">
        <v>-2.4245362661989844E-14</v>
      </c>
      <c r="CW6">
        <v>65608618</v>
      </c>
      <c r="CX6" t="s">
        <v>3468</v>
      </c>
      <c r="EU6" t="s">
        <v>2981</v>
      </c>
      <c r="EV6" t="s">
        <v>1598</v>
      </c>
      <c r="EW6">
        <v>24.639126000000001</v>
      </c>
      <c r="EX6">
        <v>1.5545880000000001</v>
      </c>
      <c r="EY6" t="s">
        <v>1664</v>
      </c>
      <c r="EZ6">
        <v>2025</v>
      </c>
      <c r="FA6" t="s">
        <v>2982</v>
      </c>
      <c r="FB6" s="6">
        <v>45961</v>
      </c>
      <c r="FC6">
        <v>5</v>
      </c>
      <c r="FD6">
        <v>275439546.58999997</v>
      </c>
      <c r="FE6">
        <v>47700205</v>
      </c>
      <c r="FF6" t="s">
        <v>2983</v>
      </c>
      <c r="FI6" t="s">
        <v>1732</v>
      </c>
      <c r="FJ6">
        <v>14</v>
      </c>
      <c r="FK6" t="s">
        <v>1598</v>
      </c>
      <c r="FL6">
        <v>18.408752</v>
      </c>
      <c r="FM6" t="s">
        <v>1594</v>
      </c>
      <c r="FN6">
        <v>2025</v>
      </c>
      <c r="FO6" t="s">
        <v>4803</v>
      </c>
      <c r="FP6" s="6">
        <v>46059</v>
      </c>
      <c r="FQ6">
        <v>5</v>
      </c>
      <c r="FR6">
        <v>3101104896</v>
      </c>
      <c r="FS6">
        <v>876285</v>
      </c>
      <c r="FT6" t="s">
        <v>1734</v>
      </c>
      <c r="FY6" t="s">
        <v>2088</v>
      </c>
      <c r="FZ6" t="s">
        <v>1598</v>
      </c>
      <c r="GA6">
        <v>2.317482</v>
      </c>
      <c r="GB6">
        <v>0.23408399999999999</v>
      </c>
      <c r="GC6" t="s">
        <v>1603</v>
      </c>
      <c r="GD6">
        <v>2025</v>
      </c>
      <c r="GE6" t="s">
        <v>2089</v>
      </c>
      <c r="GF6" s="6">
        <v>45849</v>
      </c>
      <c r="GG6">
        <v>5</v>
      </c>
      <c r="GH6">
        <v>71114055.099999994</v>
      </c>
      <c r="GI6">
        <v>179551</v>
      </c>
      <c r="GJ6" t="s">
        <v>2090</v>
      </c>
      <c r="GM6" t="s">
        <v>6033</v>
      </c>
      <c r="GN6">
        <v>-2.4245362661989844E-14</v>
      </c>
      <c r="GP6">
        <v>-2.4245362661989844E-14</v>
      </c>
      <c r="GQ6" t="s">
        <v>1594</v>
      </c>
      <c r="GR6">
        <v>2023</v>
      </c>
      <c r="GS6" t="s">
        <v>6034</v>
      </c>
      <c r="GT6" s="6">
        <v>45047</v>
      </c>
      <c r="GU6">
        <v>5</v>
      </c>
      <c r="GV6">
        <v>-2.4245362661989844E-14</v>
      </c>
      <c r="GW6">
        <v>7320340</v>
      </c>
      <c r="GX6" t="s">
        <v>6035</v>
      </c>
      <c r="HC6" t="s">
        <v>114</v>
      </c>
      <c r="HD6" t="s">
        <v>1634</v>
      </c>
      <c r="HE6">
        <v>3.5808580000000001</v>
      </c>
      <c r="HF6">
        <v>3.236755</v>
      </c>
      <c r="HG6" t="s">
        <v>1664</v>
      </c>
      <c r="HH6">
        <v>2025</v>
      </c>
      <c r="HI6" t="s">
        <v>3353</v>
      </c>
      <c r="HJ6" s="6">
        <v>45947</v>
      </c>
      <c r="HK6">
        <v>5</v>
      </c>
      <c r="HL6">
        <v>275188928</v>
      </c>
      <c r="HM6">
        <v>100010</v>
      </c>
      <c r="HN6" t="s">
        <v>1996</v>
      </c>
      <c r="HQ6" t="s">
        <v>303</v>
      </c>
      <c r="HR6">
        <v>1.3419890000000001</v>
      </c>
      <c r="HS6" t="s">
        <v>1598</v>
      </c>
      <c r="HT6">
        <v>0.27725100000000003</v>
      </c>
      <c r="HU6" t="s">
        <v>1606</v>
      </c>
      <c r="HV6">
        <v>2025</v>
      </c>
      <c r="HW6" t="s">
        <v>2251</v>
      </c>
      <c r="HX6" s="6">
        <v>45848</v>
      </c>
      <c r="HY6">
        <v>5</v>
      </c>
      <c r="HZ6">
        <v>213416512</v>
      </c>
      <c r="IA6">
        <v>216952</v>
      </c>
      <c r="IB6" t="s">
        <v>1631</v>
      </c>
      <c r="IG6" t="s">
        <v>5900</v>
      </c>
      <c r="II6">
        <v>-2.4245362661989844E-14</v>
      </c>
      <c r="IJ6">
        <v>-2.4245362661989844E-14</v>
      </c>
      <c r="IK6" t="s">
        <v>1594</v>
      </c>
      <c r="IL6">
        <v>2023</v>
      </c>
      <c r="IM6" t="s">
        <v>5901</v>
      </c>
      <c r="IN6" s="6">
        <v>45369</v>
      </c>
      <c r="IO6">
        <v>5</v>
      </c>
      <c r="IP6">
        <v>-2.4245362661989844E-14</v>
      </c>
      <c r="IQ6">
        <v>47667620</v>
      </c>
      <c r="IR6" t="s">
        <v>5902</v>
      </c>
      <c r="JK6" t="s">
        <v>401</v>
      </c>
      <c r="JL6" t="s">
        <v>1598</v>
      </c>
      <c r="JM6">
        <v>0.643787</v>
      </c>
      <c r="JN6">
        <v>0.19742499999999999</v>
      </c>
      <c r="JO6" t="s">
        <v>1664</v>
      </c>
      <c r="JP6">
        <v>2026</v>
      </c>
      <c r="JQ6" t="s">
        <v>5170</v>
      </c>
      <c r="JR6" s="6">
        <v>46035</v>
      </c>
      <c r="JS6">
        <v>5</v>
      </c>
      <c r="JT6">
        <v>7341747</v>
      </c>
      <c r="JU6">
        <v>116749</v>
      </c>
      <c r="JV6" t="s">
        <v>5733</v>
      </c>
      <c r="JY6" t="s">
        <v>1645</v>
      </c>
      <c r="JZ6">
        <v>6.3850000000000004E-2</v>
      </c>
      <c r="KA6" t="s">
        <v>1598</v>
      </c>
      <c r="KB6">
        <v>0.60592900000000005</v>
      </c>
      <c r="KC6" t="s">
        <v>1599</v>
      </c>
      <c r="KD6">
        <v>2025</v>
      </c>
      <c r="KE6" t="s">
        <v>1897</v>
      </c>
      <c r="KF6" s="6">
        <v>45840</v>
      </c>
      <c r="KG6">
        <v>5</v>
      </c>
      <c r="KH6">
        <v>3663719</v>
      </c>
      <c r="KI6">
        <v>136424</v>
      </c>
      <c r="KJ6" t="s">
        <v>1647</v>
      </c>
      <c r="KO6" t="s">
        <v>685</v>
      </c>
      <c r="KP6" t="s">
        <v>1685</v>
      </c>
      <c r="KQ6">
        <v>6.9504669999999997</v>
      </c>
      <c r="KR6">
        <v>5.5442499999999999</v>
      </c>
      <c r="KS6" t="s">
        <v>1594</v>
      </c>
      <c r="KT6">
        <v>2024</v>
      </c>
      <c r="KU6" t="s">
        <v>3390</v>
      </c>
      <c r="KV6" s="6">
        <v>45708</v>
      </c>
      <c r="KW6">
        <v>5</v>
      </c>
      <c r="KX6">
        <v>26612400</v>
      </c>
      <c r="KY6">
        <v>33372374</v>
      </c>
      <c r="KZ6" t="s">
        <v>3391</v>
      </c>
      <c r="LC6" t="s">
        <v>2872</v>
      </c>
      <c r="LD6">
        <v>-2.4245362661989844E-14</v>
      </c>
      <c r="LF6">
        <v>-2.4245362661989844E-14</v>
      </c>
      <c r="LG6" t="s">
        <v>1594</v>
      </c>
      <c r="LH6">
        <v>2025</v>
      </c>
      <c r="LI6" t="s">
        <v>2873</v>
      </c>
      <c r="LJ6" s="6">
        <v>45786</v>
      </c>
      <c r="LK6">
        <v>4</v>
      </c>
      <c r="LL6">
        <v>-2.4245362661989844E-14</v>
      </c>
      <c r="LM6">
        <v>9351493</v>
      </c>
      <c r="LN6" t="s">
        <v>2874</v>
      </c>
      <c r="LS6" t="s">
        <v>2054</v>
      </c>
      <c r="LT6" t="s">
        <v>1685</v>
      </c>
      <c r="LU6">
        <v>1.151538</v>
      </c>
      <c r="LV6">
        <v>7.7191999999999997E-2</v>
      </c>
      <c r="LW6" t="s">
        <v>1594</v>
      </c>
      <c r="LX6">
        <v>2024</v>
      </c>
      <c r="LY6" t="s">
        <v>2055</v>
      </c>
      <c r="LZ6" s="6">
        <v>45716</v>
      </c>
      <c r="MA6">
        <v>5</v>
      </c>
      <c r="MB6">
        <v>2317499</v>
      </c>
      <c r="MC6">
        <v>35300053</v>
      </c>
      <c r="MD6" t="s">
        <v>2056</v>
      </c>
      <c r="TU6" t="s">
        <v>2303</v>
      </c>
      <c r="TW6">
        <v>-2.4245362661989844E-14</v>
      </c>
      <c r="TX6">
        <v>-2.4245362661989844E-14</v>
      </c>
      <c r="TY6" t="s">
        <v>1594</v>
      </c>
      <c r="TZ6">
        <v>2023</v>
      </c>
      <c r="UA6" t="s">
        <v>2304</v>
      </c>
      <c r="UB6" s="6">
        <v>45042</v>
      </c>
      <c r="UC6">
        <v>5</v>
      </c>
      <c r="UD6">
        <v>-2.4245362661989844E-14</v>
      </c>
      <c r="UE6">
        <v>41727115</v>
      </c>
      <c r="UF6" t="s">
        <v>2305</v>
      </c>
      <c r="UI6" t="s">
        <v>365</v>
      </c>
      <c r="UJ6">
        <v>2.5655939999999999</v>
      </c>
      <c r="UK6" t="s">
        <v>1685</v>
      </c>
      <c r="UL6">
        <v>0.75958400000000004</v>
      </c>
      <c r="UM6" t="s">
        <v>1594</v>
      </c>
      <c r="UN6">
        <v>2024</v>
      </c>
      <c r="UO6" t="s">
        <v>1903</v>
      </c>
      <c r="UP6" s="6">
        <v>45702</v>
      </c>
      <c r="UQ6">
        <v>5</v>
      </c>
      <c r="UR6">
        <v>52605000</v>
      </c>
      <c r="US6">
        <v>100743</v>
      </c>
      <c r="UT6" t="s">
        <v>1904</v>
      </c>
    </row>
    <row r="7" spans="1:600" x14ac:dyDescent="0.25">
      <c r="AE7" t="s">
        <v>3333</v>
      </c>
      <c r="AF7" t="s">
        <v>1685</v>
      </c>
      <c r="AG7">
        <v>0.91660699999999995</v>
      </c>
      <c r="AH7">
        <v>2.2012E-2</v>
      </c>
      <c r="AI7" t="s">
        <v>1606</v>
      </c>
      <c r="AJ7">
        <v>2024</v>
      </c>
      <c r="AK7" t="s">
        <v>3334</v>
      </c>
      <c r="AL7" s="6">
        <v>45776</v>
      </c>
      <c r="AM7">
        <v>5</v>
      </c>
      <c r="AN7">
        <v>2902454</v>
      </c>
      <c r="AO7">
        <v>171490</v>
      </c>
      <c r="AP7" t="s">
        <v>3335</v>
      </c>
      <c r="AS7" t="s">
        <v>3667</v>
      </c>
      <c r="AT7">
        <v>-2.4245362661989844E-14</v>
      </c>
      <c r="AV7">
        <v>-2.4245362661989844E-14</v>
      </c>
      <c r="AW7" t="s">
        <v>1594</v>
      </c>
      <c r="AX7">
        <v>2023</v>
      </c>
      <c r="AY7" t="s">
        <v>3665</v>
      </c>
      <c r="AZ7" s="6">
        <v>45188</v>
      </c>
      <c r="BA7">
        <v>5</v>
      </c>
      <c r="BB7">
        <v>-2.4245362661989844E-14</v>
      </c>
      <c r="BC7">
        <v>71227770</v>
      </c>
      <c r="BD7" t="s">
        <v>3668</v>
      </c>
      <c r="BI7" t="s">
        <v>2335</v>
      </c>
      <c r="BJ7" t="s">
        <v>1598</v>
      </c>
      <c r="BK7">
        <v>0.54199799999999998</v>
      </c>
      <c r="BL7">
        <v>0.58194000000000001</v>
      </c>
      <c r="BM7" t="s">
        <v>1664</v>
      </c>
      <c r="BN7">
        <v>2026</v>
      </c>
      <c r="BO7" t="s">
        <v>2336</v>
      </c>
      <c r="BP7" s="6">
        <v>46071</v>
      </c>
      <c r="BQ7">
        <v>5</v>
      </c>
      <c r="BR7">
        <v>29533472</v>
      </c>
      <c r="BS7">
        <v>61417091</v>
      </c>
      <c r="BT7" t="s">
        <v>2337</v>
      </c>
      <c r="BW7" t="s">
        <v>2899</v>
      </c>
      <c r="BX7">
        <v>4.6823999999999998E-2</v>
      </c>
      <c r="BY7" t="s">
        <v>1598</v>
      </c>
      <c r="BZ7">
        <v>12.031086999999999</v>
      </c>
      <c r="CA7" t="s">
        <v>1594</v>
      </c>
      <c r="CB7">
        <v>2024</v>
      </c>
      <c r="CC7" t="s">
        <v>2900</v>
      </c>
      <c r="CD7" s="6">
        <v>45785</v>
      </c>
      <c r="CE7">
        <v>5</v>
      </c>
      <c r="CF7">
        <v>5010938.38</v>
      </c>
      <c r="CG7">
        <v>33604341</v>
      </c>
      <c r="CH7" t="s">
        <v>2901</v>
      </c>
      <c r="CM7" t="s">
        <v>5246</v>
      </c>
      <c r="CO7">
        <v>-2.4245362661989844E-14</v>
      </c>
      <c r="CP7">
        <v>-2.4245362661989844E-14</v>
      </c>
      <c r="CQ7" t="s">
        <v>1606</v>
      </c>
      <c r="CR7">
        <v>2023</v>
      </c>
      <c r="CS7" t="s">
        <v>5247</v>
      </c>
      <c r="CT7" s="6">
        <v>45329</v>
      </c>
      <c r="CU7">
        <v>5</v>
      </c>
      <c r="CV7">
        <v>-2.4245362661989844E-14</v>
      </c>
      <c r="CW7">
        <v>11213545</v>
      </c>
      <c r="CX7" t="s">
        <v>5248</v>
      </c>
      <c r="EU7" t="s">
        <v>2631</v>
      </c>
      <c r="EV7" t="s">
        <v>1598</v>
      </c>
      <c r="EW7">
        <v>11</v>
      </c>
      <c r="EX7">
        <v>1.2818369999999999</v>
      </c>
      <c r="EY7" t="s">
        <v>1594</v>
      </c>
      <c r="EZ7">
        <v>2025</v>
      </c>
      <c r="FA7" t="s">
        <v>2632</v>
      </c>
      <c r="FB7" s="6">
        <v>46065</v>
      </c>
      <c r="FC7">
        <v>5</v>
      </c>
      <c r="FD7">
        <v>226930000</v>
      </c>
      <c r="FE7">
        <v>59099358</v>
      </c>
      <c r="FF7" t="s">
        <v>2633</v>
      </c>
      <c r="FI7" t="s">
        <v>872</v>
      </c>
      <c r="FJ7">
        <v>5.3565009999999997</v>
      </c>
      <c r="FK7" t="s">
        <v>1598</v>
      </c>
      <c r="FL7">
        <v>5.6905900000000003</v>
      </c>
      <c r="FM7" t="s">
        <v>1664</v>
      </c>
      <c r="FN7">
        <v>2025</v>
      </c>
      <c r="FO7" t="s">
        <v>2129</v>
      </c>
      <c r="FP7" s="6">
        <v>45895</v>
      </c>
      <c r="FQ7">
        <v>5</v>
      </c>
      <c r="FR7">
        <v>1155986432</v>
      </c>
      <c r="FS7">
        <v>100211</v>
      </c>
      <c r="FT7" t="s">
        <v>1632</v>
      </c>
      <c r="FY7" t="s">
        <v>2320</v>
      </c>
      <c r="FZ7" t="s">
        <v>1634</v>
      </c>
      <c r="GA7">
        <v>0.81095600000000001</v>
      </c>
      <c r="GB7">
        <v>6.5350960000000002</v>
      </c>
      <c r="GC7" t="s">
        <v>1599</v>
      </c>
      <c r="GD7">
        <v>2025</v>
      </c>
      <c r="GE7" t="s">
        <v>2321</v>
      </c>
      <c r="GF7" s="6">
        <v>45975</v>
      </c>
      <c r="GG7">
        <v>5</v>
      </c>
      <c r="GH7">
        <v>61887360</v>
      </c>
      <c r="GI7">
        <v>305366</v>
      </c>
      <c r="GJ7" t="s">
        <v>2322</v>
      </c>
      <c r="GM7" t="s">
        <v>2410</v>
      </c>
      <c r="GN7">
        <v>-2.4245362661989844E-14</v>
      </c>
      <c r="GP7">
        <v>-2.4245362661989844E-14</v>
      </c>
      <c r="GQ7" t="s">
        <v>1594</v>
      </c>
      <c r="GR7">
        <v>2024</v>
      </c>
      <c r="GS7" t="s">
        <v>6036</v>
      </c>
      <c r="GT7" s="6">
        <v>45737</v>
      </c>
      <c r="GU7">
        <v>5</v>
      </c>
      <c r="GV7">
        <v>-2.4245362661989844E-14</v>
      </c>
      <c r="GW7">
        <v>70642886</v>
      </c>
      <c r="GX7" t="s">
        <v>2412</v>
      </c>
      <c r="HC7" t="s">
        <v>211</v>
      </c>
      <c r="HD7" t="s">
        <v>1634</v>
      </c>
      <c r="HE7">
        <v>0.91127400000000003</v>
      </c>
      <c r="HF7">
        <v>1.364298</v>
      </c>
      <c r="HG7" t="s">
        <v>1606</v>
      </c>
      <c r="HH7">
        <v>2025</v>
      </c>
      <c r="HI7" t="s">
        <v>2691</v>
      </c>
      <c r="HJ7" s="6">
        <v>46010</v>
      </c>
      <c r="HK7">
        <v>5</v>
      </c>
      <c r="HL7">
        <v>164166016</v>
      </c>
      <c r="HM7">
        <v>59907412</v>
      </c>
      <c r="HN7" t="s">
        <v>3354</v>
      </c>
      <c r="HQ7" t="s">
        <v>1700</v>
      </c>
      <c r="HR7">
        <v>1.0301469999999999</v>
      </c>
      <c r="HS7" t="s">
        <v>1598</v>
      </c>
      <c r="HT7">
        <v>1.0221020000000001</v>
      </c>
      <c r="HU7" t="s">
        <v>1606</v>
      </c>
      <c r="HV7">
        <v>2025</v>
      </c>
      <c r="HW7" t="s">
        <v>1701</v>
      </c>
      <c r="HX7" s="6">
        <v>46056</v>
      </c>
      <c r="HY7">
        <v>5</v>
      </c>
      <c r="HZ7">
        <v>165420976</v>
      </c>
      <c r="IA7">
        <v>1499717</v>
      </c>
      <c r="IB7" t="s">
        <v>1702</v>
      </c>
      <c r="IG7" t="s">
        <v>5903</v>
      </c>
      <c r="II7">
        <v>-2.4245362661989844E-14</v>
      </c>
      <c r="IJ7">
        <v>-2.4245362661989844E-14</v>
      </c>
      <c r="IK7" t="s">
        <v>1651</v>
      </c>
      <c r="IL7">
        <v>2025</v>
      </c>
      <c r="IM7" t="s">
        <v>5904</v>
      </c>
      <c r="IN7" s="6">
        <v>45975</v>
      </c>
      <c r="IO7">
        <v>5</v>
      </c>
      <c r="IP7">
        <v>-2.4245362661989844E-14</v>
      </c>
      <c r="IQ7">
        <v>62710836</v>
      </c>
      <c r="IR7" t="s">
        <v>5905</v>
      </c>
      <c r="JK7" t="s">
        <v>205</v>
      </c>
      <c r="JL7" t="s">
        <v>1598</v>
      </c>
      <c r="JM7">
        <v>0.22470799999999999</v>
      </c>
      <c r="JN7">
        <v>0.17404700000000001</v>
      </c>
      <c r="JO7" t="s">
        <v>1599</v>
      </c>
      <c r="JP7">
        <v>2025</v>
      </c>
      <c r="JQ7" t="s">
        <v>2562</v>
      </c>
      <c r="JR7" s="6">
        <v>45891</v>
      </c>
      <c r="JS7">
        <v>5</v>
      </c>
      <c r="JT7">
        <v>6472372</v>
      </c>
      <c r="JU7">
        <v>100097</v>
      </c>
      <c r="JV7" t="s">
        <v>2563</v>
      </c>
      <c r="JY7" t="s">
        <v>5605</v>
      </c>
      <c r="JZ7">
        <v>3.1300000000000002E-4</v>
      </c>
      <c r="KA7" t="s">
        <v>1598</v>
      </c>
      <c r="KB7">
        <v>2.4125000000000001E-2</v>
      </c>
      <c r="KC7" t="s">
        <v>1594</v>
      </c>
      <c r="KD7">
        <v>2025</v>
      </c>
      <c r="KE7" t="s">
        <v>5606</v>
      </c>
      <c r="KF7" s="6">
        <v>45810</v>
      </c>
      <c r="KG7">
        <v>5</v>
      </c>
      <c r="KH7">
        <v>19224.740000000002</v>
      </c>
      <c r="KI7">
        <v>191239</v>
      </c>
      <c r="KJ7" t="s">
        <v>5607</v>
      </c>
      <c r="KO7" t="s">
        <v>143</v>
      </c>
      <c r="KP7" t="s">
        <v>1598</v>
      </c>
      <c r="KQ7">
        <v>2.0341999999999999E-2</v>
      </c>
      <c r="KR7">
        <v>0.23408000000000001</v>
      </c>
      <c r="KS7" t="s">
        <v>1606</v>
      </c>
      <c r="KT7">
        <v>2025</v>
      </c>
      <c r="KU7" t="s">
        <v>2251</v>
      </c>
      <c r="KV7" s="6">
        <v>45848</v>
      </c>
      <c r="KW7">
        <v>5</v>
      </c>
      <c r="KX7">
        <v>3234988</v>
      </c>
      <c r="KY7">
        <v>101752</v>
      </c>
      <c r="KZ7" t="s">
        <v>2265</v>
      </c>
      <c r="LC7" t="s">
        <v>2875</v>
      </c>
      <c r="LD7">
        <v>-2.4245362661989844E-14</v>
      </c>
      <c r="LF7">
        <v>-2.4245362661989844E-14</v>
      </c>
      <c r="LG7" t="s">
        <v>1594</v>
      </c>
      <c r="LH7">
        <v>2024</v>
      </c>
      <c r="LI7" t="s">
        <v>2876</v>
      </c>
      <c r="LJ7" s="6">
        <v>45786</v>
      </c>
      <c r="LK7">
        <v>4</v>
      </c>
      <c r="LL7">
        <v>-2.4245362661989844E-14</v>
      </c>
      <c r="LM7">
        <v>7321067</v>
      </c>
      <c r="LN7" t="s">
        <v>2877</v>
      </c>
      <c r="LS7" t="s">
        <v>2057</v>
      </c>
      <c r="LT7" t="s">
        <v>1685</v>
      </c>
      <c r="LU7">
        <v>0.492811</v>
      </c>
      <c r="LV7">
        <v>2.9784000000000001E-2</v>
      </c>
      <c r="LW7" t="s">
        <v>1603</v>
      </c>
      <c r="LX7">
        <v>2026</v>
      </c>
      <c r="LY7" t="s">
        <v>2058</v>
      </c>
      <c r="LZ7" s="6">
        <v>45898</v>
      </c>
      <c r="MA7">
        <v>5</v>
      </c>
      <c r="MB7">
        <v>889383.69</v>
      </c>
      <c r="MC7">
        <v>178651</v>
      </c>
      <c r="MD7" t="s">
        <v>2059</v>
      </c>
      <c r="TU7" t="s">
        <v>2306</v>
      </c>
      <c r="TW7">
        <v>-2.4245362661989844E-14</v>
      </c>
      <c r="TX7">
        <v>-2.4245362661989844E-14</v>
      </c>
      <c r="TY7" t="s">
        <v>1603</v>
      </c>
      <c r="TZ7">
        <v>2026</v>
      </c>
      <c r="UA7" t="s">
        <v>2307</v>
      </c>
      <c r="UB7" s="6">
        <v>46002</v>
      </c>
      <c r="UC7">
        <v>5</v>
      </c>
      <c r="UD7">
        <v>-2.4245362661989844E-14</v>
      </c>
      <c r="UE7">
        <v>65904199</v>
      </c>
      <c r="UF7" t="s">
        <v>2308</v>
      </c>
      <c r="UI7" t="s">
        <v>1905</v>
      </c>
      <c r="UJ7">
        <v>1.557682</v>
      </c>
      <c r="UK7" t="s">
        <v>1685</v>
      </c>
      <c r="UL7">
        <v>0.86001300000000003</v>
      </c>
      <c r="UM7" t="s">
        <v>1594</v>
      </c>
      <c r="UN7">
        <v>2024</v>
      </c>
      <c r="UO7" t="s">
        <v>1903</v>
      </c>
      <c r="UP7" s="6">
        <v>45702</v>
      </c>
      <c r="UQ7">
        <v>5</v>
      </c>
      <c r="UR7">
        <v>31938750</v>
      </c>
      <c r="US7">
        <v>100554</v>
      </c>
      <c r="UT7" t="s">
        <v>1906</v>
      </c>
    </row>
    <row r="8" spans="1:600" x14ac:dyDescent="0.25">
      <c r="AE8" t="s">
        <v>3836</v>
      </c>
      <c r="AF8" t="s">
        <v>1598</v>
      </c>
      <c r="AG8">
        <v>1.0791219999999999</v>
      </c>
      <c r="AH8">
        <v>2.0365000000000001E-2</v>
      </c>
      <c r="AI8" t="s">
        <v>1606</v>
      </c>
      <c r="AJ8">
        <v>2024</v>
      </c>
      <c r="AK8" t="s">
        <v>3837</v>
      </c>
      <c r="AL8" s="6">
        <v>45709</v>
      </c>
      <c r="AM8">
        <v>5</v>
      </c>
      <c r="AN8">
        <v>2698409</v>
      </c>
      <c r="AO8">
        <v>1713474</v>
      </c>
      <c r="AP8" t="s">
        <v>3838</v>
      </c>
      <c r="AS8" t="s">
        <v>1117</v>
      </c>
      <c r="AT8">
        <v>-2.4245362661989844E-14</v>
      </c>
      <c r="AV8">
        <v>-2.4245362661989844E-14</v>
      </c>
      <c r="AW8" t="s">
        <v>1594</v>
      </c>
      <c r="AX8">
        <v>2024</v>
      </c>
      <c r="AY8" t="s">
        <v>3669</v>
      </c>
      <c r="AZ8" s="6">
        <v>45320</v>
      </c>
      <c r="BA8">
        <v>5</v>
      </c>
      <c r="BB8">
        <v>-2.4245362661989844E-14</v>
      </c>
      <c r="BC8">
        <v>100460</v>
      </c>
      <c r="BD8" t="s">
        <v>3670</v>
      </c>
      <c r="BI8" t="s">
        <v>3376</v>
      </c>
      <c r="BJ8" t="s">
        <v>1598</v>
      </c>
      <c r="BK8">
        <v>0.634911</v>
      </c>
      <c r="BL8">
        <v>0.46775099999999997</v>
      </c>
      <c r="BM8" t="s">
        <v>1606</v>
      </c>
      <c r="BN8">
        <v>2025</v>
      </c>
      <c r="BO8" t="s">
        <v>3377</v>
      </c>
      <c r="BP8" s="6">
        <v>46072</v>
      </c>
      <c r="BQ8">
        <v>5</v>
      </c>
      <c r="BR8">
        <v>23653411.170000002</v>
      </c>
      <c r="BS8">
        <v>70579391</v>
      </c>
      <c r="BT8" t="s">
        <v>3378</v>
      </c>
      <c r="BW8" t="s">
        <v>2902</v>
      </c>
      <c r="BX8">
        <v>1.312E-2</v>
      </c>
      <c r="BY8" t="s">
        <v>1598</v>
      </c>
      <c r="BZ8">
        <v>1.7301280000000001</v>
      </c>
      <c r="CA8" t="s">
        <v>1651</v>
      </c>
      <c r="CB8">
        <v>2025</v>
      </c>
      <c r="CC8" t="s">
        <v>2903</v>
      </c>
      <c r="CD8" s="6">
        <v>45975</v>
      </c>
      <c r="CE8">
        <v>5</v>
      </c>
      <c r="CF8">
        <v>1435299.06</v>
      </c>
      <c r="CG8">
        <v>12025725</v>
      </c>
      <c r="CH8" t="s">
        <v>2904</v>
      </c>
      <c r="CM8" t="s">
        <v>3024</v>
      </c>
      <c r="CO8">
        <v>-2.4245362661989844E-14</v>
      </c>
      <c r="CP8">
        <v>-2.4245362661989844E-14</v>
      </c>
      <c r="CQ8" t="s">
        <v>1599</v>
      </c>
      <c r="CR8">
        <v>2023</v>
      </c>
      <c r="CS8" t="s">
        <v>5148</v>
      </c>
      <c r="CT8" s="6">
        <v>45231</v>
      </c>
      <c r="CU8">
        <v>5</v>
      </c>
      <c r="CV8">
        <v>-2.4245362661989844E-14</v>
      </c>
      <c r="CW8">
        <v>69762655</v>
      </c>
      <c r="CX8" t="s">
        <v>3026</v>
      </c>
      <c r="EU8" t="s">
        <v>110</v>
      </c>
      <c r="EV8" t="s">
        <v>1598</v>
      </c>
      <c r="EW8">
        <v>0.19926099999999999</v>
      </c>
      <c r="EX8">
        <v>1.1451750000000001</v>
      </c>
      <c r="EY8" t="s">
        <v>1664</v>
      </c>
      <c r="EZ8">
        <v>2025</v>
      </c>
      <c r="FA8" t="s">
        <v>2129</v>
      </c>
      <c r="FB8" s="6">
        <v>45895</v>
      </c>
      <c r="FC8">
        <v>5</v>
      </c>
      <c r="FD8">
        <v>197027360</v>
      </c>
      <c r="FE8">
        <v>100193</v>
      </c>
      <c r="FF8" t="s">
        <v>3708</v>
      </c>
      <c r="FI8" t="s">
        <v>1628</v>
      </c>
      <c r="FJ8">
        <v>2.7185320000000002</v>
      </c>
      <c r="FK8" t="s">
        <v>1598</v>
      </c>
      <c r="FL8">
        <v>3.3805040000000002</v>
      </c>
      <c r="FM8" t="s">
        <v>1664</v>
      </c>
      <c r="FN8">
        <v>2025</v>
      </c>
      <c r="FO8" t="s">
        <v>2129</v>
      </c>
      <c r="FP8" s="6">
        <v>45895</v>
      </c>
      <c r="FQ8">
        <v>5</v>
      </c>
      <c r="FR8">
        <v>586686400</v>
      </c>
      <c r="FS8">
        <v>156923</v>
      </c>
      <c r="FT8" t="s">
        <v>1630</v>
      </c>
      <c r="FY8" t="s">
        <v>2289</v>
      </c>
      <c r="FZ8" t="s">
        <v>1598</v>
      </c>
      <c r="GA8">
        <v>0.80465900000000001</v>
      </c>
      <c r="GB8">
        <v>0.17802999999999999</v>
      </c>
      <c r="GC8" t="s">
        <v>1599</v>
      </c>
      <c r="GD8">
        <v>2024</v>
      </c>
      <c r="GE8" t="s">
        <v>2290</v>
      </c>
      <c r="GF8" s="6">
        <v>45688</v>
      </c>
      <c r="GG8">
        <v>5</v>
      </c>
      <c r="GH8">
        <v>59127922.520000003</v>
      </c>
      <c r="GI8">
        <v>115230</v>
      </c>
      <c r="GJ8" t="s">
        <v>2291</v>
      </c>
      <c r="GM8" t="s">
        <v>3714</v>
      </c>
      <c r="GN8">
        <v>-2.4245362661989844E-14</v>
      </c>
      <c r="GP8">
        <v>-2.4245362661989844E-14</v>
      </c>
      <c r="GQ8" t="s">
        <v>1594</v>
      </c>
      <c r="GR8">
        <v>2024</v>
      </c>
      <c r="GS8" t="s">
        <v>5032</v>
      </c>
      <c r="GT8" s="6">
        <v>45714</v>
      </c>
      <c r="GU8">
        <v>5</v>
      </c>
      <c r="GV8">
        <v>-2.4245362661989844E-14</v>
      </c>
      <c r="GW8">
        <v>69344989</v>
      </c>
      <c r="GX8" t="s">
        <v>3715</v>
      </c>
      <c r="HC8" t="s">
        <v>1997</v>
      </c>
      <c r="HD8" t="s">
        <v>1634</v>
      </c>
      <c r="HE8">
        <v>6.234559</v>
      </c>
      <c r="HF8">
        <v>1.5138720000000001</v>
      </c>
      <c r="HG8" t="s">
        <v>1664</v>
      </c>
      <c r="HH8">
        <v>2025</v>
      </c>
      <c r="HI8" t="s">
        <v>3355</v>
      </c>
      <c r="HJ8" s="6">
        <v>45897</v>
      </c>
      <c r="HK8">
        <v>5</v>
      </c>
      <c r="HL8">
        <v>137459552</v>
      </c>
      <c r="HM8">
        <v>16532368</v>
      </c>
      <c r="HN8" t="s">
        <v>1999</v>
      </c>
      <c r="HQ8" t="s">
        <v>32</v>
      </c>
      <c r="HR8">
        <v>0.69902799999999998</v>
      </c>
      <c r="HS8" t="s">
        <v>1598</v>
      </c>
      <c r="HT8">
        <v>0.138625</v>
      </c>
      <c r="HU8" t="s">
        <v>1606</v>
      </c>
      <c r="HV8">
        <v>2025</v>
      </c>
      <c r="HW8" t="s">
        <v>2251</v>
      </c>
      <c r="HX8" s="6">
        <v>45848</v>
      </c>
      <c r="HY8">
        <v>5</v>
      </c>
      <c r="HZ8">
        <v>111166424</v>
      </c>
      <c r="IA8">
        <v>100976</v>
      </c>
      <c r="IB8" t="s">
        <v>1820</v>
      </c>
      <c r="IG8" t="s">
        <v>5091</v>
      </c>
      <c r="II8">
        <v>-2.4245362661989844E-14</v>
      </c>
      <c r="IJ8">
        <v>-2.4245362661989844E-14</v>
      </c>
      <c r="IK8" t="s">
        <v>1594</v>
      </c>
      <c r="IL8">
        <v>2024</v>
      </c>
      <c r="IM8" t="s">
        <v>5092</v>
      </c>
      <c r="IN8" s="6">
        <v>45719</v>
      </c>
      <c r="IO8">
        <v>5</v>
      </c>
      <c r="IP8">
        <v>-2.4245362661989844E-14</v>
      </c>
      <c r="IQ8">
        <v>71713725</v>
      </c>
      <c r="IR8" t="s">
        <v>5093</v>
      </c>
      <c r="JK8" t="s">
        <v>3832</v>
      </c>
      <c r="JL8" t="s">
        <v>1598</v>
      </c>
      <c r="JM8">
        <v>0.38449499999999998</v>
      </c>
      <c r="JN8">
        <v>0.120767</v>
      </c>
      <c r="JO8" t="s">
        <v>1603</v>
      </c>
      <c r="JP8">
        <v>2026</v>
      </c>
      <c r="JQ8" t="s">
        <v>3833</v>
      </c>
      <c r="JR8" s="6">
        <v>45903</v>
      </c>
      <c r="JS8">
        <v>5</v>
      </c>
      <c r="JT8">
        <v>4373941.3899999997</v>
      </c>
      <c r="JU8">
        <v>8433051</v>
      </c>
      <c r="JV8" t="s">
        <v>3834</v>
      </c>
      <c r="JY8" t="s">
        <v>1234</v>
      </c>
      <c r="JZ8">
        <v>-2.4245362661989844E-14</v>
      </c>
      <c r="KB8">
        <v>-2.4245362661989844E-14</v>
      </c>
      <c r="KC8" t="s">
        <v>1599</v>
      </c>
      <c r="KD8">
        <v>2022</v>
      </c>
      <c r="KE8" t="s">
        <v>1619</v>
      </c>
      <c r="KF8" s="6">
        <v>44789</v>
      </c>
      <c r="KG8">
        <v>5</v>
      </c>
      <c r="KH8">
        <v>-2.4245362661989844E-14</v>
      </c>
      <c r="KI8">
        <v>1175643</v>
      </c>
      <c r="KJ8" t="s">
        <v>5608</v>
      </c>
      <c r="KO8" t="s">
        <v>1084</v>
      </c>
      <c r="KP8" t="s">
        <v>1685</v>
      </c>
      <c r="KQ8">
        <v>1.1539000000000001E-2</v>
      </c>
      <c r="KR8">
        <v>0.14030799999999999</v>
      </c>
      <c r="KS8" t="s">
        <v>1664</v>
      </c>
      <c r="KT8">
        <v>2025</v>
      </c>
      <c r="KU8" t="s">
        <v>2052</v>
      </c>
      <c r="KV8" s="6">
        <v>45838</v>
      </c>
      <c r="KW8">
        <v>5</v>
      </c>
      <c r="KX8">
        <v>677685</v>
      </c>
      <c r="KY8">
        <v>101689</v>
      </c>
      <c r="KZ8" t="s">
        <v>2053</v>
      </c>
      <c r="LC8" t="s">
        <v>2878</v>
      </c>
      <c r="LD8">
        <v>-2.4245362661989844E-14</v>
      </c>
      <c r="LF8">
        <v>-2.4245362661989844E-14</v>
      </c>
      <c r="LG8" t="s">
        <v>1594</v>
      </c>
      <c r="LH8">
        <v>2025</v>
      </c>
      <c r="LI8" t="s">
        <v>2879</v>
      </c>
      <c r="LJ8" s="6">
        <v>46079</v>
      </c>
      <c r="LK8">
        <v>4</v>
      </c>
      <c r="LL8">
        <v>-2.4245362661989844E-14</v>
      </c>
      <c r="LM8">
        <v>66329315</v>
      </c>
      <c r="LN8" t="s">
        <v>2880</v>
      </c>
      <c r="LS8" t="s">
        <v>2060</v>
      </c>
      <c r="LU8">
        <v>0.44397199999999998</v>
      </c>
      <c r="LV8">
        <v>-2.4245362661989844E-14</v>
      </c>
      <c r="LW8" t="s">
        <v>1606</v>
      </c>
      <c r="LX8">
        <v>2024</v>
      </c>
      <c r="LY8" t="s">
        <v>2061</v>
      </c>
      <c r="LZ8" s="6">
        <v>45699</v>
      </c>
      <c r="MA8">
        <v>5</v>
      </c>
      <c r="MB8">
        <v>316250</v>
      </c>
      <c r="MC8">
        <v>10086577</v>
      </c>
      <c r="MD8" t="s">
        <v>2062</v>
      </c>
      <c r="TU8" t="s">
        <v>2309</v>
      </c>
      <c r="TW8">
        <v>-2.4245362661989844E-14</v>
      </c>
      <c r="TX8">
        <v>-2.4245362661989844E-14</v>
      </c>
      <c r="TY8" t="s">
        <v>1594</v>
      </c>
      <c r="TZ8">
        <v>2023</v>
      </c>
      <c r="UA8" t="s">
        <v>2310</v>
      </c>
      <c r="UB8" s="6">
        <v>45369</v>
      </c>
      <c r="UC8">
        <v>5</v>
      </c>
      <c r="UD8">
        <v>-2.4245362661989844E-14</v>
      </c>
      <c r="UE8">
        <v>29973420</v>
      </c>
      <c r="UF8" t="s">
        <v>2311</v>
      </c>
      <c r="UI8" t="s">
        <v>1907</v>
      </c>
      <c r="UJ8">
        <v>0.91628399999999999</v>
      </c>
      <c r="UK8" t="s">
        <v>1685</v>
      </c>
      <c r="UL8">
        <v>0.75112400000000001</v>
      </c>
      <c r="UM8" t="s">
        <v>1594</v>
      </c>
      <c r="UN8">
        <v>2024</v>
      </c>
      <c r="UO8" t="s">
        <v>1903</v>
      </c>
      <c r="UP8" s="6">
        <v>45702</v>
      </c>
      <c r="UQ8">
        <v>5</v>
      </c>
      <c r="UR8">
        <v>18787500</v>
      </c>
      <c r="US8">
        <v>143027</v>
      </c>
      <c r="UT8" t="s">
        <v>1908</v>
      </c>
    </row>
    <row r="9" spans="1:600" x14ac:dyDescent="0.25">
      <c r="AE9" t="s">
        <v>3839</v>
      </c>
      <c r="AF9" t="s">
        <v>1685</v>
      </c>
      <c r="AG9">
        <v>0.89682700000000004</v>
      </c>
      <c r="AH9">
        <v>1.9151000000000001E-2</v>
      </c>
      <c r="AI9" t="s">
        <v>1594</v>
      </c>
      <c r="AJ9">
        <v>2025</v>
      </c>
      <c r="AK9" t="s">
        <v>3840</v>
      </c>
      <c r="AL9" s="6">
        <v>46058</v>
      </c>
      <c r="AM9">
        <v>5</v>
      </c>
      <c r="AN9">
        <v>2640312.86</v>
      </c>
      <c r="AO9">
        <v>7890735</v>
      </c>
      <c r="AP9" t="s">
        <v>3841</v>
      </c>
      <c r="AS9" t="s">
        <v>3671</v>
      </c>
      <c r="AT9">
        <v>-2.4245362661989844E-14</v>
      </c>
      <c r="AV9">
        <v>-2.4245362661989844E-14</v>
      </c>
      <c r="AW9" t="s">
        <v>1594</v>
      </c>
      <c r="AX9">
        <v>2023</v>
      </c>
      <c r="AY9" t="s">
        <v>3665</v>
      </c>
      <c r="AZ9" s="6">
        <v>45187</v>
      </c>
      <c r="BA9">
        <v>5</v>
      </c>
      <c r="BB9">
        <v>-2.4245362661989844E-14</v>
      </c>
      <c r="BC9">
        <v>136124</v>
      </c>
      <c r="BD9" t="s">
        <v>3672</v>
      </c>
      <c r="BI9" t="s">
        <v>3379</v>
      </c>
      <c r="BJ9" t="s">
        <v>1598</v>
      </c>
      <c r="BK9">
        <v>0.81015999999999999</v>
      </c>
      <c r="BL9">
        <v>0.38313000000000003</v>
      </c>
      <c r="BM9" t="s">
        <v>1599</v>
      </c>
      <c r="BN9">
        <v>2025</v>
      </c>
      <c r="BO9" t="s">
        <v>3380</v>
      </c>
      <c r="BP9" s="6">
        <v>46050</v>
      </c>
      <c r="BQ9">
        <v>5</v>
      </c>
      <c r="BR9">
        <v>19443840</v>
      </c>
      <c r="BS9">
        <v>32348903</v>
      </c>
      <c r="BT9" t="s">
        <v>3381</v>
      </c>
      <c r="BW9" t="s">
        <v>2905</v>
      </c>
      <c r="BX9">
        <v>1.312E-2</v>
      </c>
      <c r="BY9" t="s">
        <v>1598</v>
      </c>
      <c r="BZ9">
        <v>1.9811540000000001</v>
      </c>
      <c r="CA9" t="s">
        <v>1651</v>
      </c>
      <c r="CB9">
        <v>2025</v>
      </c>
      <c r="CC9" t="s">
        <v>2906</v>
      </c>
      <c r="CD9" s="6">
        <v>45975</v>
      </c>
      <c r="CE9">
        <v>5</v>
      </c>
      <c r="CF9">
        <v>1435298.82</v>
      </c>
      <c r="CG9">
        <v>128948</v>
      </c>
      <c r="CH9" t="s">
        <v>2907</v>
      </c>
      <c r="CM9" t="s">
        <v>5249</v>
      </c>
      <c r="CO9">
        <v>-2.4245362661989844E-14</v>
      </c>
      <c r="CP9">
        <v>-2.4245362661989844E-14</v>
      </c>
      <c r="CQ9" t="s">
        <v>1599</v>
      </c>
      <c r="CR9">
        <v>2025</v>
      </c>
      <c r="CS9" t="s">
        <v>5250</v>
      </c>
      <c r="CT9" s="6">
        <v>45971</v>
      </c>
      <c r="CU9">
        <v>5</v>
      </c>
      <c r="CV9">
        <v>-2.4245362661989844E-14</v>
      </c>
      <c r="CW9">
        <v>835670</v>
      </c>
      <c r="CX9" t="s">
        <v>5251</v>
      </c>
      <c r="EU9" t="s">
        <v>862</v>
      </c>
      <c r="EV9" t="s">
        <v>1598</v>
      </c>
      <c r="EW9">
        <v>3.715757</v>
      </c>
      <c r="EX9">
        <v>1.143508</v>
      </c>
      <c r="EY9" t="s">
        <v>1599</v>
      </c>
      <c r="EZ9">
        <v>2025</v>
      </c>
      <c r="FA9" t="s">
        <v>2137</v>
      </c>
      <c r="FB9" s="6">
        <v>45782</v>
      </c>
      <c r="FC9">
        <v>5</v>
      </c>
      <c r="FD9">
        <v>185133936</v>
      </c>
      <c r="FE9">
        <v>101149</v>
      </c>
      <c r="FF9" t="s">
        <v>2138</v>
      </c>
      <c r="FI9" t="s">
        <v>1116</v>
      </c>
      <c r="FJ9">
        <v>1.2661089999999999</v>
      </c>
      <c r="FK9" t="s">
        <v>1598</v>
      </c>
      <c r="FL9">
        <v>2.0610919999999999</v>
      </c>
      <c r="FM9" t="s">
        <v>1664</v>
      </c>
      <c r="FN9">
        <v>2025</v>
      </c>
      <c r="FO9" t="s">
        <v>2129</v>
      </c>
      <c r="FP9" s="6">
        <v>45895</v>
      </c>
      <c r="FQ9">
        <v>5</v>
      </c>
      <c r="FR9">
        <v>273238976</v>
      </c>
      <c r="FS9">
        <v>100090</v>
      </c>
      <c r="FT9" t="s">
        <v>1960</v>
      </c>
      <c r="FY9" t="s">
        <v>2298</v>
      </c>
      <c r="FZ9" t="s">
        <v>1598</v>
      </c>
      <c r="GA9">
        <v>1.2465310000000001</v>
      </c>
      <c r="GB9">
        <v>0.138546</v>
      </c>
      <c r="GC9" t="s">
        <v>1599</v>
      </c>
      <c r="GD9">
        <v>2025</v>
      </c>
      <c r="GE9" t="s">
        <v>2299</v>
      </c>
      <c r="GF9" s="6">
        <v>45993</v>
      </c>
      <c r="GG9">
        <v>5</v>
      </c>
      <c r="GH9">
        <v>44713068</v>
      </c>
      <c r="GI9">
        <v>100415</v>
      </c>
      <c r="GJ9" t="s">
        <v>2300</v>
      </c>
      <c r="GM9" t="s">
        <v>4732</v>
      </c>
      <c r="GN9">
        <v>-2.4245362661989844E-14</v>
      </c>
      <c r="GP9">
        <v>-2.4245362661989844E-14</v>
      </c>
      <c r="GQ9" t="s">
        <v>1603</v>
      </c>
      <c r="GR9">
        <v>2025</v>
      </c>
      <c r="GS9" t="s">
        <v>4733</v>
      </c>
      <c r="GT9" s="6">
        <v>45768</v>
      </c>
      <c r="GU9">
        <v>5</v>
      </c>
      <c r="GV9">
        <v>-2.4245362661989844E-14</v>
      </c>
      <c r="GW9">
        <v>38897489</v>
      </c>
      <c r="GX9" t="s">
        <v>4734</v>
      </c>
      <c r="HC9" t="s">
        <v>276</v>
      </c>
      <c r="HD9" t="s">
        <v>1634</v>
      </c>
      <c r="HE9">
        <v>3.6037650000000001</v>
      </c>
      <c r="HF9">
        <v>0.90356199999999998</v>
      </c>
      <c r="HG9" t="s">
        <v>1664</v>
      </c>
      <c r="HH9">
        <v>2026</v>
      </c>
      <c r="HI9" t="s">
        <v>3356</v>
      </c>
      <c r="HJ9" s="6">
        <v>46059</v>
      </c>
      <c r="HK9">
        <v>5</v>
      </c>
      <c r="HL9">
        <v>108725592</v>
      </c>
      <c r="HM9">
        <v>101643</v>
      </c>
      <c r="HN9" t="s">
        <v>3357</v>
      </c>
      <c r="HQ9" t="s">
        <v>306</v>
      </c>
      <c r="HR9">
        <v>0.66108800000000001</v>
      </c>
      <c r="HS9" t="s">
        <v>1598</v>
      </c>
      <c r="HT9">
        <v>0.122531</v>
      </c>
      <c r="HU9" t="s">
        <v>1606</v>
      </c>
      <c r="HV9">
        <v>2025</v>
      </c>
      <c r="HW9" t="s">
        <v>2251</v>
      </c>
      <c r="HX9" s="6">
        <v>45848</v>
      </c>
      <c r="HY9">
        <v>5</v>
      </c>
      <c r="HZ9">
        <v>105132824</v>
      </c>
      <c r="IA9">
        <v>101548</v>
      </c>
      <c r="IB9" t="s">
        <v>1770</v>
      </c>
      <c r="IG9" t="s">
        <v>5906</v>
      </c>
      <c r="II9">
        <v>-2.4245362661989844E-14</v>
      </c>
      <c r="IJ9">
        <v>-2.4245362661989844E-14</v>
      </c>
      <c r="IK9" t="s">
        <v>1594</v>
      </c>
      <c r="IL9">
        <v>2023</v>
      </c>
      <c r="IM9" t="s">
        <v>5907</v>
      </c>
      <c r="IN9" s="6">
        <v>45414</v>
      </c>
      <c r="IO9">
        <v>5</v>
      </c>
      <c r="IP9">
        <v>-2.4245362661989844E-14</v>
      </c>
      <c r="IQ9">
        <v>41220988</v>
      </c>
      <c r="IR9" t="s">
        <v>5908</v>
      </c>
      <c r="JK9" t="s">
        <v>5734</v>
      </c>
      <c r="JL9" t="s">
        <v>1598</v>
      </c>
      <c r="JM9">
        <v>0.65867399999999998</v>
      </c>
      <c r="JN9">
        <v>0.112715</v>
      </c>
      <c r="JO9" t="s">
        <v>1664</v>
      </c>
      <c r="JP9">
        <v>2025</v>
      </c>
      <c r="JQ9" t="s">
        <v>5735</v>
      </c>
      <c r="JR9" s="6">
        <v>45833</v>
      </c>
      <c r="JS9">
        <v>5</v>
      </c>
      <c r="JT9">
        <v>4191577</v>
      </c>
      <c r="JU9">
        <v>106173</v>
      </c>
      <c r="JV9" t="s">
        <v>5736</v>
      </c>
      <c r="JY9" t="s">
        <v>5609</v>
      </c>
      <c r="JZ9">
        <v>-2.4245362661989844E-14</v>
      </c>
      <c r="KB9">
        <v>-2.4245362661989844E-14</v>
      </c>
      <c r="KC9" t="s">
        <v>1664</v>
      </c>
      <c r="KD9">
        <v>2025</v>
      </c>
      <c r="KE9" t="s">
        <v>5610</v>
      </c>
      <c r="KF9" s="6">
        <v>45808</v>
      </c>
      <c r="KG9">
        <v>5</v>
      </c>
      <c r="KH9">
        <v>-2.4245362661989844E-14</v>
      </c>
      <c r="KI9">
        <v>171397</v>
      </c>
      <c r="KJ9" t="s">
        <v>5611</v>
      </c>
      <c r="KO9" t="s">
        <v>3392</v>
      </c>
      <c r="KQ9">
        <v>-2.4245362661989844E-14</v>
      </c>
      <c r="KR9">
        <v>-2.4245362661989844E-14</v>
      </c>
      <c r="KS9" t="s">
        <v>1594</v>
      </c>
      <c r="KT9">
        <v>2022</v>
      </c>
      <c r="KU9" t="s">
        <v>2873</v>
      </c>
      <c r="KV9" s="6">
        <v>44776</v>
      </c>
      <c r="KW9">
        <v>5</v>
      </c>
      <c r="KX9">
        <v>-2.4245362661989844E-14</v>
      </c>
      <c r="KY9">
        <v>968833</v>
      </c>
      <c r="KZ9" t="s">
        <v>3393</v>
      </c>
      <c r="LS9" t="s">
        <v>2063</v>
      </c>
      <c r="LU9">
        <v>-2.4245362661989844E-14</v>
      </c>
      <c r="LV9">
        <v>-2.4245362661989844E-14</v>
      </c>
      <c r="LW9" t="s">
        <v>1651</v>
      </c>
      <c r="LX9">
        <v>2025</v>
      </c>
      <c r="LY9" t="s">
        <v>2064</v>
      </c>
      <c r="LZ9" s="6">
        <v>45974</v>
      </c>
      <c r="MA9">
        <v>5</v>
      </c>
      <c r="MB9">
        <v>-2.4245362661989844E-14</v>
      </c>
      <c r="MC9">
        <v>118099</v>
      </c>
      <c r="MD9" t="s">
        <v>2065</v>
      </c>
      <c r="TU9" t="s">
        <v>2312</v>
      </c>
      <c r="TW9">
        <v>-2.4245362661989844E-14</v>
      </c>
      <c r="TX9">
        <v>-2.4245362661989844E-14</v>
      </c>
      <c r="TY9" t="s">
        <v>1594</v>
      </c>
      <c r="TZ9">
        <v>2024</v>
      </c>
      <c r="UA9" t="s">
        <v>2313</v>
      </c>
      <c r="UB9" s="6">
        <v>45476</v>
      </c>
      <c r="UC9">
        <v>5</v>
      </c>
      <c r="UD9">
        <v>-2.4245362661989844E-14</v>
      </c>
      <c r="UE9">
        <v>117406</v>
      </c>
      <c r="UF9" t="s">
        <v>2314</v>
      </c>
      <c r="UI9" t="s">
        <v>1909</v>
      </c>
      <c r="UJ9">
        <v>0.82465500000000003</v>
      </c>
      <c r="UL9">
        <v>-2.4245362661989844E-14</v>
      </c>
      <c r="UM9" t="s">
        <v>1594</v>
      </c>
      <c r="UN9">
        <v>2024</v>
      </c>
      <c r="UO9" t="s">
        <v>1903</v>
      </c>
      <c r="UP9" s="6">
        <v>45702</v>
      </c>
      <c r="UQ9">
        <v>5</v>
      </c>
      <c r="UR9">
        <v>16908750</v>
      </c>
      <c r="US9">
        <v>117322</v>
      </c>
      <c r="UT9" t="s">
        <v>1910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170</v>
      </c>
      <c r="AE2" s="3" t="s">
        <v>171</v>
      </c>
      <c r="BI2" s="3" t="s">
        <v>172</v>
      </c>
      <c r="CM2" s="3" t="s">
        <v>173</v>
      </c>
      <c r="DQ2" s="3" t="s">
        <v>174</v>
      </c>
      <c r="EU2" s="3" t="s">
        <v>175</v>
      </c>
      <c r="FY2" s="3" t="s">
        <v>176</v>
      </c>
      <c r="HC2" s="3" t="s">
        <v>177</v>
      </c>
      <c r="IG2" s="3" t="s">
        <v>178</v>
      </c>
      <c r="JK2" s="3" t="s">
        <v>179</v>
      </c>
      <c r="KO2" s="3" t="s">
        <v>180</v>
      </c>
      <c r="LS2" s="3" t="s">
        <v>181</v>
      </c>
      <c r="MW2" s="3" t="s">
        <v>21</v>
      </c>
      <c r="OA2" s="3" t="s">
        <v>116</v>
      </c>
      <c r="PE2" s="3" t="s">
        <v>112</v>
      </c>
      <c r="QI2" s="3" t="s">
        <v>182</v>
      </c>
      <c r="RM2" s="3" t="s">
        <v>32</v>
      </c>
      <c r="SQ2" s="3" t="s">
        <v>35</v>
      </c>
      <c r="TU2" s="3" t="s">
        <v>183</v>
      </c>
      <c r="UY2" s="3" t="s">
        <v>184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_xll.BDS("8375930Q US Equity","SUPPLY_CHAIN_SUPPLIERS_ALL_DATA")</f>
        <v>#N/A N/A</v>
      </c>
      <c r="O5" t="str">
        <f>_xll.BDS("8375930Q US Equity","SUPPLY_CHAIN_CUSTOMERS_ALL_DATA")</f>
        <v>#N/A N/A</v>
      </c>
      <c r="AE5" t="str">
        <f>_xll.BDS("CRM US Equity","SUPPLY_CHAIN_SUPPLIERS_ALL_DATA","cols=12;rows=5")</f>
        <v>BXP US Equity</v>
      </c>
      <c r="AF5" t="s">
        <v>1685</v>
      </c>
      <c r="AG5">
        <v>3.2392069999999999</v>
      </c>
      <c r="AH5">
        <v>0.72514800000000001</v>
      </c>
      <c r="AI5" t="s">
        <v>1599</v>
      </c>
      <c r="AJ5">
        <v>2025</v>
      </c>
      <c r="AK5" t="s">
        <v>3371</v>
      </c>
      <c r="AL5" s="6">
        <v>45996</v>
      </c>
      <c r="AM5">
        <v>5</v>
      </c>
      <c r="AN5">
        <v>28230014</v>
      </c>
      <c r="AO5">
        <v>225275</v>
      </c>
      <c r="AP5" t="s">
        <v>3372</v>
      </c>
      <c r="AS5" t="str">
        <f>_xll.BDS("CRM US Equity","SUPPLY_CHAIN_CUSTOMERS_ALL_DATA","cols=12;rows=5")</f>
        <v>SNX US Equity</v>
      </c>
      <c r="AT5">
        <v>1.073215</v>
      </c>
      <c r="AU5" t="s">
        <v>1598</v>
      </c>
      <c r="AV5">
        <v>0.68029200000000001</v>
      </c>
      <c r="AW5" t="s">
        <v>1606</v>
      </c>
      <c r="AX5">
        <v>2025</v>
      </c>
      <c r="AY5" t="s">
        <v>1701</v>
      </c>
      <c r="AZ5" s="6">
        <v>46056</v>
      </c>
      <c r="BA5">
        <v>5</v>
      </c>
      <c r="BB5">
        <v>110101112</v>
      </c>
      <c r="BC5">
        <v>1499717</v>
      </c>
      <c r="BD5" t="s">
        <v>1702</v>
      </c>
      <c r="BI5" t="str">
        <f>_xll.BDS("DUK US Equity","SUPPLY_CHAIN_SUPPLIERS_ALL_DATA","cols=12;rows=5")</f>
        <v>PWR US Equity</v>
      </c>
      <c r="BJ5" t="s">
        <v>1634</v>
      </c>
      <c r="BK5">
        <v>3.994469</v>
      </c>
      <c r="BL5">
        <v>8.8280980000000007</v>
      </c>
      <c r="BM5" t="s">
        <v>1599</v>
      </c>
      <c r="BN5">
        <v>2025</v>
      </c>
      <c r="BO5" t="s">
        <v>2321</v>
      </c>
      <c r="BP5" s="6">
        <v>45975</v>
      </c>
      <c r="BQ5">
        <v>5</v>
      </c>
      <c r="BR5">
        <v>304834240</v>
      </c>
      <c r="BS5">
        <v>305366</v>
      </c>
      <c r="BT5" t="s">
        <v>2322</v>
      </c>
      <c r="BW5" t="str">
        <f>_xll.BDS("DUK US Equity","SUPPLY_CHAIN_CUSTOMERS_ALL_DATA","cols=12;rows=5")</f>
        <v>000150 KS Equity</v>
      </c>
      <c r="BX5">
        <v>-2.4245362661989844E-14</v>
      </c>
      <c r="BZ5">
        <v>-2.4245362661989844E-14</v>
      </c>
      <c r="CA5" t="s">
        <v>1594</v>
      </c>
      <c r="CB5">
        <v>2021</v>
      </c>
      <c r="CC5" t="s">
        <v>4240</v>
      </c>
      <c r="CD5" s="6">
        <v>44693</v>
      </c>
      <c r="CE5">
        <v>5</v>
      </c>
      <c r="CF5">
        <v>-2.4245362661989844E-14</v>
      </c>
      <c r="CG5">
        <v>117832</v>
      </c>
      <c r="CH5" t="s">
        <v>2732</v>
      </c>
      <c r="CM5" t="str">
        <f>_xll.BDS("HPQ US Equity","SUPPLY_CHAIN_SUPPLIERS_ALL_DATA","cols=12;rows=5")</f>
        <v>2356 TT Equity</v>
      </c>
      <c r="CN5" t="s">
        <v>1598</v>
      </c>
      <c r="CO5">
        <v>36.343342</v>
      </c>
      <c r="CP5">
        <v>18.051394999999999</v>
      </c>
      <c r="CQ5" t="s">
        <v>1599</v>
      </c>
      <c r="CR5">
        <v>2025</v>
      </c>
      <c r="CS5" t="s">
        <v>2226</v>
      </c>
      <c r="CT5" s="6">
        <v>46035</v>
      </c>
      <c r="CU5">
        <v>5</v>
      </c>
      <c r="CV5">
        <v>2141270971.6500001</v>
      </c>
      <c r="CW5">
        <v>193712</v>
      </c>
      <c r="CX5" t="s">
        <v>2227</v>
      </c>
      <c r="DA5" t="str">
        <f>_xll.BDS("HPQ US Equity","SUPPLY_CHAIN_CUSTOMERS_ALL_DATA","cols=12;rows=5")</f>
        <v>SNX US Equity</v>
      </c>
      <c r="DB5">
        <v>12</v>
      </c>
      <c r="DC5" t="s">
        <v>1598</v>
      </c>
      <c r="DD5">
        <v>11.690618000000001</v>
      </c>
      <c r="DE5" t="s">
        <v>1594</v>
      </c>
      <c r="DF5">
        <v>2025</v>
      </c>
      <c r="DG5" t="s">
        <v>1781</v>
      </c>
      <c r="DH5" s="6">
        <v>46001</v>
      </c>
      <c r="DI5">
        <v>5</v>
      </c>
      <c r="DJ5">
        <v>1658850048</v>
      </c>
      <c r="DK5">
        <v>1499717</v>
      </c>
      <c r="DL5" t="s">
        <v>1702</v>
      </c>
      <c r="DQ5" t="str">
        <f>_xll.BDS("BSX US Equity","SUPPLY_CHAIN_SUPPLIERS_ALL_DATA","cols=12;rows=5")</f>
        <v>FLEX US Equity</v>
      </c>
      <c r="DR5" t="s">
        <v>1598</v>
      </c>
      <c r="DS5">
        <v>0.45866000000000001</v>
      </c>
      <c r="DT5">
        <v>2.0511430000000002</v>
      </c>
      <c r="DU5" t="s">
        <v>1599</v>
      </c>
      <c r="DV5">
        <v>2025</v>
      </c>
      <c r="DW5" t="s">
        <v>2557</v>
      </c>
      <c r="DX5" s="6">
        <v>45763</v>
      </c>
      <c r="DY5">
        <v>5</v>
      </c>
      <c r="DZ5">
        <v>30069750</v>
      </c>
      <c r="EA5">
        <v>136547</v>
      </c>
      <c r="EB5" t="s">
        <v>2558</v>
      </c>
      <c r="EE5" t="str">
        <f>_xll.BDS("BSX US Equity","SUPPLY_CHAIN_CUSTOMERS_ALL_DATA","cols=12;rows=5")</f>
        <v>000078 CH Equity</v>
      </c>
      <c r="EF5">
        <v>-2.4245362661989844E-14</v>
      </c>
      <c r="EH5">
        <v>-2.4245362661989844E-14</v>
      </c>
      <c r="EI5" t="s">
        <v>1792</v>
      </c>
      <c r="EJ5">
        <v>2025</v>
      </c>
      <c r="EK5" t="s">
        <v>6181</v>
      </c>
      <c r="EL5" s="6">
        <v>45898</v>
      </c>
      <c r="EM5">
        <v>5</v>
      </c>
      <c r="EN5">
        <v>-2.4245362661989844E-14</v>
      </c>
      <c r="EO5">
        <v>812235</v>
      </c>
      <c r="EP5" t="s">
        <v>6182</v>
      </c>
      <c r="EU5" t="str">
        <f>_xll.BDS("748957Q US Equity","SUPPLY_CHAIN_SUPPLIERS_ALL_DATA")</f>
        <v>#N/A N/A</v>
      </c>
      <c r="FI5" t="str">
        <f>_xll.BDS("748957Q US Equity","SUPPLY_CHAIN_CUSTOMERS_ALL_DATA")</f>
        <v>#N/A N/A</v>
      </c>
      <c r="FY5" t="str">
        <f>_xll.BDS("GPN US Equity","SUPPLY_CHAIN_SUPPLIERS_ALL_DATA","cols=12;rows=5")</f>
        <v>HIW US Equity</v>
      </c>
      <c r="FZ5" t="s">
        <v>1685</v>
      </c>
      <c r="GA5">
        <v>0.650034</v>
      </c>
      <c r="GB5">
        <v>0.12584699999999999</v>
      </c>
      <c r="GC5" t="s">
        <v>1594</v>
      </c>
      <c r="GD5">
        <v>2025</v>
      </c>
      <c r="GE5" t="s">
        <v>3066</v>
      </c>
      <c r="GF5" s="6">
        <v>46063</v>
      </c>
      <c r="GG5">
        <v>5</v>
      </c>
      <c r="GH5">
        <v>1310000</v>
      </c>
      <c r="GI5">
        <v>143096</v>
      </c>
      <c r="GJ5" t="s">
        <v>3067</v>
      </c>
      <c r="GM5" t="str">
        <f>_xll.BDS("GPN US Equity","SUPPLY_CHAIN_CUSTOMERS_ALL_DATA","cols=12;rows=5")</f>
        <v>SCSC US Equity</v>
      </c>
      <c r="GN5">
        <v>8.9513999999999996E-2</v>
      </c>
      <c r="GO5" t="s">
        <v>1598</v>
      </c>
      <c r="GP5">
        <v>0.357095</v>
      </c>
      <c r="GQ5" t="s">
        <v>1599</v>
      </c>
      <c r="GR5">
        <v>2025</v>
      </c>
      <c r="GS5" t="s">
        <v>1897</v>
      </c>
      <c r="GT5" s="6">
        <v>45840</v>
      </c>
      <c r="GU5">
        <v>5</v>
      </c>
      <c r="GV5">
        <v>2159157</v>
      </c>
      <c r="GW5">
        <v>136424</v>
      </c>
      <c r="GX5" t="s">
        <v>1647</v>
      </c>
      <c r="HC5" t="str">
        <f>_xll.BDS("1255173D US Equity","SUPPLY_CHAIN_SUPPLIERS_ALL_DATA")</f>
        <v>#N/A N/A</v>
      </c>
      <c r="HQ5" t="str">
        <f>_xll.BDS("1255173D US Equity","SUPPLY_CHAIN_CUSTOMERS_ALL_DATA")</f>
        <v>#N/A N/A</v>
      </c>
      <c r="IG5" t="str">
        <f>_xll.BDS("MSFT US Equity","SUPPLY_CHAIN_SUPPLIERS_ALL_DATA","cols=12;rows=5")</f>
        <v>NVDA US Equity</v>
      </c>
      <c r="IH5" t="s">
        <v>1634</v>
      </c>
      <c r="II5">
        <v>22.047934000000001</v>
      </c>
      <c r="IJ5">
        <v>50.276459000000003</v>
      </c>
      <c r="IK5" t="s">
        <v>1606</v>
      </c>
      <c r="IL5">
        <v>2026</v>
      </c>
      <c r="IM5" t="s">
        <v>2004</v>
      </c>
      <c r="IN5" s="6">
        <v>46087</v>
      </c>
      <c r="IO5">
        <v>5</v>
      </c>
      <c r="IP5">
        <v>15020595200</v>
      </c>
      <c r="IQ5">
        <v>313657</v>
      </c>
      <c r="IR5" t="s">
        <v>2005</v>
      </c>
      <c r="IU5" t="str">
        <f>_xll.BDS("MSFT US Equity","SUPPLY_CHAIN_CUSTOMERS_ALL_DATA","cols=12;rows=5")</f>
        <v>SNX US Equity</v>
      </c>
      <c r="IV5">
        <v>0.94513400000000003</v>
      </c>
      <c r="IW5" t="s">
        <v>1598</v>
      </c>
      <c r="IX5">
        <v>4.7461719999999996</v>
      </c>
      <c r="IY5" t="s">
        <v>1606</v>
      </c>
      <c r="IZ5">
        <v>2025</v>
      </c>
      <c r="JA5" t="s">
        <v>1701</v>
      </c>
      <c r="JB5" s="6">
        <v>46056</v>
      </c>
      <c r="JC5">
        <v>5</v>
      </c>
      <c r="JD5">
        <v>768139008</v>
      </c>
      <c r="JE5">
        <v>1499717</v>
      </c>
      <c r="JF5" t="s">
        <v>1702</v>
      </c>
      <c r="JK5" t="str">
        <f>_xll.BDS("BDX US Equity","SUPPLY_CHAIN_SUPPLIERS_ALL_DATA","cols=12;rows=5")</f>
        <v>FLEX US Equity</v>
      </c>
      <c r="JL5" t="s">
        <v>1598</v>
      </c>
      <c r="JM5">
        <v>0.65342299999999998</v>
      </c>
      <c r="JN5">
        <v>1.460566</v>
      </c>
      <c r="JO5" t="s">
        <v>1599</v>
      </c>
      <c r="JP5">
        <v>2025</v>
      </c>
      <c r="JQ5" t="s">
        <v>2557</v>
      </c>
      <c r="JR5" s="6">
        <v>45763</v>
      </c>
      <c r="JS5">
        <v>5</v>
      </c>
      <c r="JT5">
        <v>42838412</v>
      </c>
      <c r="JU5">
        <v>136547</v>
      </c>
      <c r="JV5" t="s">
        <v>2558</v>
      </c>
      <c r="JY5" t="str">
        <f>_xll.BDS("BDX US Equity","SUPPLY_CHAIN_CUSTOMERS_ALL_DATA","cols=12;rows=5")</f>
        <v>300326 CH Equity</v>
      </c>
      <c r="JZ5">
        <v>4.1838E-2</v>
      </c>
      <c r="KA5" t="s">
        <v>1598</v>
      </c>
      <c r="KB5">
        <v>12.966013999999999</v>
      </c>
      <c r="KC5" t="s">
        <v>1594</v>
      </c>
      <c r="KD5">
        <v>2024</v>
      </c>
      <c r="KE5" t="s">
        <v>4782</v>
      </c>
      <c r="KF5" s="6">
        <v>45777</v>
      </c>
      <c r="KG5">
        <v>5</v>
      </c>
      <c r="KH5">
        <v>2189021.09</v>
      </c>
      <c r="KI5">
        <v>28668877</v>
      </c>
      <c r="KJ5" t="s">
        <v>4783</v>
      </c>
      <c r="KO5" t="str">
        <f>_xll.BDS("AIG US Equity","SUPPLY_CHAIN_SUPPLIERS_ALL_DATA","cols=12;rows=5")</f>
        <v>PEGA US Equity</v>
      </c>
      <c r="KP5" t="s">
        <v>1685</v>
      </c>
      <c r="KQ5">
        <v>1.12E-4</v>
      </c>
      <c r="KR5">
        <v>1.7756999999999998E-2</v>
      </c>
      <c r="KS5" t="s">
        <v>1603</v>
      </c>
      <c r="KT5">
        <v>2025</v>
      </c>
      <c r="KU5" t="s">
        <v>3163</v>
      </c>
      <c r="KV5" s="6">
        <v>45855</v>
      </c>
      <c r="KW5">
        <v>5</v>
      </c>
      <c r="KX5">
        <v>533</v>
      </c>
      <c r="KY5">
        <v>171977</v>
      </c>
      <c r="KZ5" t="s">
        <v>3164</v>
      </c>
      <c r="LC5" t="str">
        <f>_xll.BDS("AIG US Equity","SUPPLY_CHAIN_CUSTOMERS_ALL_DATA","cols=12;rows=5")</f>
        <v>002348 CH Equity</v>
      </c>
      <c r="LD5">
        <v>-2.4245362661989844E-14</v>
      </c>
      <c r="LF5">
        <v>-2.4245362661989844E-14</v>
      </c>
      <c r="LG5" t="s">
        <v>1594</v>
      </c>
      <c r="LH5">
        <v>2024</v>
      </c>
      <c r="LI5" t="s">
        <v>2695</v>
      </c>
      <c r="LJ5" s="6">
        <v>45775</v>
      </c>
      <c r="LK5">
        <v>5</v>
      </c>
      <c r="LL5">
        <v>-2.4245362661989844E-14</v>
      </c>
      <c r="LM5">
        <v>17498579</v>
      </c>
      <c r="LN5" t="s">
        <v>2696</v>
      </c>
      <c r="LS5" t="str">
        <f>_xll.BDS("FCX US Equity","SUPPLY_CHAIN_SUPPLIERS_ALL_DATA","cols=12;rows=5")</f>
        <v>5711 JP Equity</v>
      </c>
      <c r="LT5" t="s">
        <v>1598</v>
      </c>
      <c r="LU5">
        <v>2.2275749999999999</v>
      </c>
      <c r="LV5">
        <v>1.311104</v>
      </c>
      <c r="LW5" t="s">
        <v>1599</v>
      </c>
      <c r="LX5">
        <v>2025</v>
      </c>
      <c r="LY5" t="s">
        <v>5334</v>
      </c>
      <c r="LZ5" s="6">
        <v>46009</v>
      </c>
      <c r="MA5">
        <v>5</v>
      </c>
      <c r="MB5">
        <v>63326324</v>
      </c>
      <c r="MC5">
        <v>114158</v>
      </c>
      <c r="MD5" t="s">
        <v>5071</v>
      </c>
      <c r="MG5" t="str">
        <f>_xll.BDS("FCX US Equity","SUPPLY_CHAIN_CUSTOMERS_ALL_DATA","cols=12;rows=5")</f>
        <v>5711 JP Equity</v>
      </c>
      <c r="MH5">
        <v>6.5599069999999999</v>
      </c>
      <c r="MI5" t="s">
        <v>1598</v>
      </c>
      <c r="MJ5">
        <v>15.883946</v>
      </c>
      <c r="MK5" t="s">
        <v>1594</v>
      </c>
      <c r="ML5">
        <v>2025</v>
      </c>
      <c r="MM5" t="s">
        <v>5070</v>
      </c>
      <c r="MN5" s="6">
        <v>46066</v>
      </c>
      <c r="MO5">
        <v>5</v>
      </c>
      <c r="MP5">
        <v>425000000</v>
      </c>
      <c r="MQ5">
        <v>114158</v>
      </c>
      <c r="MR5" t="s">
        <v>5071</v>
      </c>
      <c r="MW5" t="str">
        <f>_xll.BDS("T US Equity","SUPPLY_CHAIN_SUPPLIERS_ALL_DATA","cols=12;rows=5")</f>
        <v>AAPL US Equity</v>
      </c>
      <c r="MX5" t="s">
        <v>1598</v>
      </c>
      <c r="MY5">
        <v>1.2812509999999999</v>
      </c>
      <c r="MZ5">
        <v>9.9289989999999992</v>
      </c>
      <c r="NA5" t="s">
        <v>1664</v>
      </c>
      <c r="NB5">
        <v>2025</v>
      </c>
      <c r="NC5" t="s">
        <v>3183</v>
      </c>
      <c r="ND5" s="6">
        <v>45863</v>
      </c>
      <c r="NE5">
        <v>5</v>
      </c>
      <c r="NF5">
        <v>1221788160</v>
      </c>
      <c r="NG5">
        <v>101695</v>
      </c>
      <c r="NH5" t="s">
        <v>1919</v>
      </c>
      <c r="NK5" t="str">
        <f>_xll.BDS("T US Equity","SUPPLY_CHAIN_CUSTOMERS_ALL_DATA","cols=12;rows=5")</f>
        <v>IBM US Equity</v>
      </c>
      <c r="NL5">
        <v>0.86485599999999996</v>
      </c>
      <c r="NM5" t="s">
        <v>1598</v>
      </c>
      <c r="NN5">
        <v>4.0630959999999998</v>
      </c>
      <c r="NO5" t="s">
        <v>1603</v>
      </c>
      <c r="NP5">
        <v>2025</v>
      </c>
      <c r="NQ5" t="s">
        <v>1744</v>
      </c>
      <c r="NR5" s="6">
        <v>45797</v>
      </c>
      <c r="NS5">
        <v>5</v>
      </c>
      <c r="NT5">
        <v>264507552</v>
      </c>
      <c r="NU5">
        <v>100801</v>
      </c>
      <c r="NV5" t="s">
        <v>1745</v>
      </c>
      <c r="OA5" t="str">
        <f>_xll.BDS("LUMN US Equity","SUPPLY_CHAIN_SUPPLIERS_ALL_DATA","cols=12;rows=5")</f>
        <v>DY US Equity</v>
      </c>
      <c r="OB5" t="s">
        <v>1634</v>
      </c>
      <c r="OC5">
        <v>11.7</v>
      </c>
      <c r="OD5">
        <v>16.359269999999999</v>
      </c>
      <c r="OE5" t="s">
        <v>1599</v>
      </c>
      <c r="OF5">
        <v>2026</v>
      </c>
      <c r="OG5" t="s">
        <v>3185</v>
      </c>
      <c r="OH5" s="6">
        <v>45981</v>
      </c>
      <c r="OI5">
        <v>5</v>
      </c>
      <c r="OJ5">
        <v>170300000</v>
      </c>
      <c r="OK5">
        <v>100487</v>
      </c>
      <c r="OL5" t="s">
        <v>3186</v>
      </c>
      <c r="OO5" t="str">
        <f>_xll.BDS("LUMN US Equity","SUPPLY_CHAIN_CUSTOMERS_ALL_DATA","cols=12;rows=5")</f>
        <v>728 HK Equity</v>
      </c>
      <c r="OP5">
        <v>1.3918710000000001</v>
      </c>
      <c r="OQ5" t="s">
        <v>1598</v>
      </c>
      <c r="OR5">
        <v>0.33867900000000001</v>
      </c>
      <c r="OS5" t="s">
        <v>1664</v>
      </c>
      <c r="OT5">
        <v>2025</v>
      </c>
      <c r="OU5" t="s">
        <v>3725</v>
      </c>
      <c r="OV5" s="6">
        <v>45888</v>
      </c>
      <c r="OW5">
        <v>5</v>
      </c>
      <c r="OX5">
        <v>42968957.090000004</v>
      </c>
      <c r="OY5">
        <v>7001331</v>
      </c>
      <c r="OZ5" t="s">
        <v>3726</v>
      </c>
      <c r="PE5" t="str">
        <f>_xll.BDS("PARA US Equity","SUPPLY_CHAIN_SUPPLIERS_ALL_DATA","cols=12;rows=5")</f>
        <v>GTN US Equity</v>
      </c>
      <c r="PF5" t="s">
        <v>1685</v>
      </c>
      <c r="PG5">
        <v>38</v>
      </c>
      <c r="PH5">
        <v>20.797836</v>
      </c>
      <c r="PI5" t="s">
        <v>1594</v>
      </c>
      <c r="PJ5">
        <v>2024</v>
      </c>
      <c r="PK5" t="s">
        <v>2324</v>
      </c>
      <c r="PL5" s="6">
        <v>45715</v>
      </c>
      <c r="PM5">
        <v>5</v>
      </c>
      <c r="PN5">
        <v>346180000</v>
      </c>
      <c r="PO5">
        <v>104103</v>
      </c>
      <c r="PP5" t="s">
        <v>2325</v>
      </c>
      <c r="PS5" t="str">
        <f>_xll.BDS("PARA US Equity","SUPPLY_CHAIN_CUSTOMERS_ALL_DATA","cols=12;rows=5")</f>
        <v>002293 CH Equity</v>
      </c>
      <c r="PT5">
        <v>-2.4245362661989844E-14</v>
      </c>
      <c r="PV5">
        <v>-2.4245362661989844E-14</v>
      </c>
      <c r="PW5" t="s">
        <v>1594</v>
      </c>
      <c r="PX5">
        <v>2021</v>
      </c>
      <c r="PY5" t="s">
        <v>3297</v>
      </c>
      <c r="PZ5" s="6">
        <v>44670</v>
      </c>
      <c r="QA5">
        <v>5</v>
      </c>
      <c r="QB5">
        <v>-2.4245362661989844E-14</v>
      </c>
      <c r="QC5">
        <v>15166198</v>
      </c>
      <c r="QD5" t="s">
        <v>3298</v>
      </c>
      <c r="QI5" t="str">
        <f>_xll.BDS("USB US Equity","SUPPLY_CHAIN_SUPPLIERS_ALL_DATA","cols=12;rows=5")</f>
        <v>INFO IN Equity</v>
      </c>
      <c r="QJ5" t="s">
        <v>1685</v>
      </c>
      <c r="QK5">
        <v>1.3519060000000001</v>
      </c>
      <c r="QL5">
        <v>1.509646</v>
      </c>
      <c r="QM5" t="s">
        <v>1664</v>
      </c>
      <c r="QN5">
        <v>2026</v>
      </c>
      <c r="QO5" t="s">
        <v>3374</v>
      </c>
      <c r="QP5" s="6">
        <v>46022</v>
      </c>
      <c r="QQ5">
        <v>5</v>
      </c>
      <c r="QR5">
        <v>63385504.969999999</v>
      </c>
      <c r="QS5">
        <v>174545</v>
      </c>
      <c r="QT5" t="s">
        <v>3375</v>
      </c>
      <c r="QW5" t="str">
        <f>_xll.BDS("USB US Equity","SUPPLY_CHAIN_CUSTOMERS_ALL_DATA","cols=12;rows=2")</f>
        <v>FISV US Equity</v>
      </c>
      <c r="QX5">
        <v>-2.4245362661989844E-14</v>
      </c>
      <c r="QZ5">
        <v>-2.4245362661989844E-14</v>
      </c>
      <c r="RA5" t="s">
        <v>1594</v>
      </c>
      <c r="RB5">
        <v>2023</v>
      </c>
      <c r="RC5" t="s">
        <v>4423</v>
      </c>
      <c r="RD5" s="6">
        <v>45344</v>
      </c>
      <c r="RE5">
        <v>2</v>
      </c>
      <c r="RF5">
        <v>-2.4245362661989844E-14</v>
      </c>
      <c r="RG5">
        <v>103882</v>
      </c>
      <c r="RH5" t="s">
        <v>2175</v>
      </c>
      <c r="RM5" t="str">
        <f>_xll.BDS("CVS US Equity","SUPPLY_CHAIN_SUPPLIERS_ALL_DATA","cols=12;rows=5")</f>
        <v>MCK US Equity</v>
      </c>
      <c r="RN5" t="s">
        <v>1598</v>
      </c>
      <c r="RO5">
        <v>24</v>
      </c>
      <c r="RP5">
        <v>26.455601000000001</v>
      </c>
      <c r="RQ5" t="s">
        <v>1594</v>
      </c>
      <c r="RR5">
        <v>2025</v>
      </c>
      <c r="RS5" t="s">
        <v>2431</v>
      </c>
      <c r="RT5" s="6">
        <v>45786</v>
      </c>
      <c r="RU5">
        <v>5</v>
      </c>
      <c r="RV5">
        <v>21543059456</v>
      </c>
      <c r="RW5">
        <v>154936</v>
      </c>
      <c r="RX5" t="s">
        <v>1766</v>
      </c>
      <c r="SA5" t="str">
        <f>_xll.BDS("CVS US Equity","SUPPLY_CHAIN_CUSTOMERS_ALL_DATA","cols=12;rows=5")</f>
        <v>3352Z US Equity</v>
      </c>
      <c r="SB5">
        <v>20</v>
      </c>
      <c r="SD5">
        <v>-2.4245362661989844E-14</v>
      </c>
      <c r="SE5" t="s">
        <v>1594</v>
      </c>
      <c r="SF5">
        <v>2025</v>
      </c>
      <c r="SG5" t="s">
        <v>3587</v>
      </c>
      <c r="SH5" s="6">
        <v>46063</v>
      </c>
      <c r="SI5">
        <v>5</v>
      </c>
      <c r="SJ5">
        <v>20103350272</v>
      </c>
      <c r="SK5">
        <v>218252</v>
      </c>
      <c r="SL5" t="s">
        <v>1622</v>
      </c>
      <c r="SQ5" t="str">
        <f>_xll.BDS("AGN US Equity","SUPPLY_CHAIN_SUPPLIERS_ALL_DATA","cols=12;rows=5")</f>
        <v>AEE US Equity</v>
      </c>
      <c r="SS5">
        <v>-2.4245362661989844E-14</v>
      </c>
      <c r="ST5">
        <v>-2.4245362661989844E-14</v>
      </c>
      <c r="SU5" t="s">
        <v>1594</v>
      </c>
      <c r="SV5">
        <v>2021</v>
      </c>
      <c r="SW5" t="s">
        <v>2150</v>
      </c>
      <c r="SX5" s="6">
        <v>44693</v>
      </c>
      <c r="SY5">
        <v>5</v>
      </c>
      <c r="SZ5">
        <v>-2.4245362661989844E-14</v>
      </c>
      <c r="TA5">
        <v>313098</v>
      </c>
      <c r="TB5" t="s">
        <v>2151</v>
      </c>
      <c r="TE5" t="str">
        <f>_xll.BDS("AGN US Equity","SUPPLY_CHAIN_CUSTOMERS_ALL_DATA","cols=12;rows=1")</f>
        <v>4569 JP Equity</v>
      </c>
      <c r="TF5">
        <v>-2.4245362661989844E-14</v>
      </c>
      <c r="TH5">
        <v>-2.4245362661989844E-14</v>
      </c>
      <c r="TI5" t="s">
        <v>1594</v>
      </c>
      <c r="TJ5">
        <v>2022</v>
      </c>
      <c r="TK5" t="s">
        <v>4037</v>
      </c>
      <c r="TL5" s="6">
        <v>44736</v>
      </c>
      <c r="TM5">
        <v>1</v>
      </c>
      <c r="TN5">
        <v>-2.4245362661989844E-14</v>
      </c>
      <c r="TO5">
        <v>10499395</v>
      </c>
      <c r="TP5" t="s">
        <v>4038</v>
      </c>
      <c r="TU5" t="str">
        <f>_xll.BDS("2968900Q US Equity","SUPPLY_CHAIN_SUPPLIERS_ALL_DATA")</f>
        <v>#N/A N/A</v>
      </c>
      <c r="UI5" t="str">
        <f>_xll.BDS("2968900Q US Equity","SUPPLY_CHAIN_CUSTOMERS_ALL_DATA")</f>
        <v>#N/A N/A</v>
      </c>
      <c r="UY5" t="str">
        <f>_xll.BDS("TMO US Equity","SUPPLY_CHAIN_SUPPLIERS_ALL_DATA","cols=12;rows=5")</f>
        <v>EMR US Equity</v>
      </c>
      <c r="UZ5" t="s">
        <v>1598</v>
      </c>
      <c r="VA5">
        <v>4.2224550000000001</v>
      </c>
      <c r="VB5">
        <v>2.8645350000000001</v>
      </c>
      <c r="VC5" t="s">
        <v>1599</v>
      </c>
      <c r="VD5">
        <v>2025</v>
      </c>
      <c r="VE5" t="s">
        <v>2931</v>
      </c>
      <c r="VF5" s="6">
        <v>45881</v>
      </c>
      <c r="VG5">
        <v>5</v>
      </c>
      <c r="VH5">
        <v>184647952</v>
      </c>
      <c r="VI5">
        <v>100515</v>
      </c>
      <c r="VJ5" t="s">
        <v>2932</v>
      </c>
      <c r="VM5" t="str">
        <f>_xll.BDS("TMO US Equity","SUPPLY_CHAIN_CUSTOMERS_ALL_DATA","cols=12;rows=5")</f>
        <v>4195 TT Equity</v>
      </c>
      <c r="VN5">
        <v>9.7099999999999999E-3</v>
      </c>
      <c r="VO5" t="s">
        <v>1598</v>
      </c>
      <c r="VP5">
        <v>37.527434999999997</v>
      </c>
      <c r="VQ5" t="s">
        <v>1594</v>
      </c>
      <c r="VR5">
        <v>2024</v>
      </c>
      <c r="VS5" t="s">
        <v>2828</v>
      </c>
      <c r="VT5" s="6">
        <v>45803</v>
      </c>
      <c r="VU5">
        <v>5</v>
      </c>
      <c r="VV5">
        <v>1052629.3999999999</v>
      </c>
      <c r="VW5">
        <v>38166930</v>
      </c>
      <c r="VX5" t="s">
        <v>2829</v>
      </c>
    </row>
    <row r="6" spans="1:600" x14ac:dyDescent="0.25">
      <c r="AE6" t="s">
        <v>2003</v>
      </c>
      <c r="AF6" t="s">
        <v>1634</v>
      </c>
      <c r="AG6">
        <v>4.1180000000000001E-2</v>
      </c>
      <c r="AH6">
        <v>13.423301</v>
      </c>
      <c r="AI6" t="s">
        <v>1606</v>
      </c>
      <c r="AJ6">
        <v>2026</v>
      </c>
      <c r="AK6" t="s">
        <v>2004</v>
      </c>
      <c r="AL6" s="6">
        <v>46087</v>
      </c>
      <c r="AM6">
        <v>5</v>
      </c>
      <c r="AN6">
        <v>28054700</v>
      </c>
      <c r="AO6">
        <v>313657</v>
      </c>
      <c r="AP6" t="s">
        <v>2005</v>
      </c>
      <c r="AS6" t="s">
        <v>117</v>
      </c>
      <c r="AT6">
        <v>0.84484700000000001</v>
      </c>
      <c r="AU6" t="s">
        <v>1598</v>
      </c>
      <c r="AV6">
        <v>1.296859</v>
      </c>
      <c r="AW6" t="s">
        <v>1603</v>
      </c>
      <c r="AX6">
        <v>2025</v>
      </c>
      <c r="AY6" t="s">
        <v>1744</v>
      </c>
      <c r="AZ6" s="6">
        <v>45797</v>
      </c>
      <c r="BA6">
        <v>5</v>
      </c>
      <c r="BB6">
        <v>84425520</v>
      </c>
      <c r="BC6">
        <v>100801</v>
      </c>
      <c r="BD6" t="s">
        <v>1745</v>
      </c>
      <c r="BI6" t="s">
        <v>3820</v>
      </c>
      <c r="BJ6" t="s">
        <v>1598</v>
      </c>
      <c r="BK6">
        <v>5.3509349999999998</v>
      </c>
      <c r="BL6">
        <v>6.1617280000000001</v>
      </c>
      <c r="BM6" t="s">
        <v>1603</v>
      </c>
      <c r="BN6">
        <v>2025</v>
      </c>
      <c r="BO6" t="s">
        <v>3821</v>
      </c>
      <c r="BP6" s="6">
        <v>45849</v>
      </c>
      <c r="BQ6">
        <v>5</v>
      </c>
      <c r="BR6">
        <v>152379536</v>
      </c>
      <c r="BS6">
        <v>102595</v>
      </c>
      <c r="BT6" t="s">
        <v>3822</v>
      </c>
      <c r="BW6" t="s">
        <v>2032</v>
      </c>
      <c r="BX6">
        <v>-2.4245362661989844E-14</v>
      </c>
      <c r="BZ6">
        <v>-2.4245362661989844E-14</v>
      </c>
      <c r="CA6" t="s">
        <v>1594</v>
      </c>
      <c r="CB6">
        <v>2021</v>
      </c>
      <c r="CC6" t="s">
        <v>4240</v>
      </c>
      <c r="CD6" s="6">
        <v>44693</v>
      </c>
      <c r="CE6">
        <v>5</v>
      </c>
      <c r="CF6">
        <v>-2.4245362661989844E-14</v>
      </c>
      <c r="CG6">
        <v>128990</v>
      </c>
      <c r="CH6" t="s">
        <v>2034</v>
      </c>
      <c r="CM6" t="s">
        <v>275</v>
      </c>
      <c r="CN6" t="s">
        <v>1598</v>
      </c>
      <c r="CO6">
        <v>12.003353000000001</v>
      </c>
      <c r="CP6">
        <v>14.056165999999999</v>
      </c>
      <c r="CQ6" t="s">
        <v>1606</v>
      </c>
      <c r="CR6">
        <v>2025</v>
      </c>
      <c r="CS6" t="s">
        <v>2228</v>
      </c>
      <c r="CT6" s="6">
        <v>46048</v>
      </c>
      <c r="CU6">
        <v>5</v>
      </c>
      <c r="CV6">
        <v>1641338496</v>
      </c>
      <c r="CW6">
        <v>101729</v>
      </c>
      <c r="CX6" t="s">
        <v>2229</v>
      </c>
      <c r="DA6" t="s">
        <v>1774</v>
      </c>
      <c r="DB6">
        <v>1.5894710000000001</v>
      </c>
      <c r="DC6" t="s">
        <v>1598</v>
      </c>
      <c r="DD6">
        <v>2.6168589999999998</v>
      </c>
      <c r="DE6" t="s">
        <v>1664</v>
      </c>
      <c r="DF6">
        <v>2026</v>
      </c>
      <c r="DG6" t="s">
        <v>1782</v>
      </c>
      <c r="DH6" s="6">
        <v>45932</v>
      </c>
      <c r="DI6">
        <v>5</v>
      </c>
      <c r="DJ6">
        <v>221445152</v>
      </c>
      <c r="DK6">
        <v>100197</v>
      </c>
      <c r="DL6" t="s">
        <v>1775</v>
      </c>
      <c r="DQ6" t="s">
        <v>2559</v>
      </c>
      <c r="DR6" t="s">
        <v>1598</v>
      </c>
      <c r="DS6">
        <v>0.108844</v>
      </c>
      <c r="DT6">
        <v>0.58639399999999997</v>
      </c>
      <c r="DU6" t="s">
        <v>1599</v>
      </c>
      <c r="DV6">
        <v>2025</v>
      </c>
      <c r="DW6" t="s">
        <v>2560</v>
      </c>
      <c r="DX6" s="6">
        <v>45867</v>
      </c>
      <c r="DY6">
        <v>5</v>
      </c>
      <c r="DZ6">
        <v>8520308</v>
      </c>
      <c r="EA6">
        <v>117092</v>
      </c>
      <c r="EB6" t="s">
        <v>2561</v>
      </c>
      <c r="EE6" t="s">
        <v>6183</v>
      </c>
      <c r="EF6">
        <v>-2.4245362661989844E-14</v>
      </c>
      <c r="EH6">
        <v>-2.4245362661989844E-14</v>
      </c>
      <c r="EI6" t="s">
        <v>1651</v>
      </c>
      <c r="EJ6">
        <v>2025</v>
      </c>
      <c r="EK6" t="s">
        <v>6184</v>
      </c>
      <c r="EL6" s="6">
        <v>45975</v>
      </c>
      <c r="EM6">
        <v>5</v>
      </c>
      <c r="EN6">
        <v>-2.4245362661989844E-14</v>
      </c>
      <c r="EO6">
        <v>866542</v>
      </c>
      <c r="EP6" t="s">
        <v>6185</v>
      </c>
      <c r="FY6" t="s">
        <v>3869</v>
      </c>
      <c r="GA6">
        <v>-2.4245362661989844E-14</v>
      </c>
      <c r="GB6">
        <v>-2.4245362661989844E-14</v>
      </c>
      <c r="GC6" t="s">
        <v>1594</v>
      </c>
      <c r="GD6">
        <v>2023</v>
      </c>
      <c r="GE6" t="s">
        <v>3870</v>
      </c>
      <c r="GF6" s="6">
        <v>45408</v>
      </c>
      <c r="GG6">
        <v>5</v>
      </c>
      <c r="GH6">
        <v>-2.4245362661989844E-14</v>
      </c>
      <c r="GI6">
        <v>17283663</v>
      </c>
      <c r="GJ6" t="s">
        <v>3871</v>
      </c>
      <c r="GM6" t="s">
        <v>2858</v>
      </c>
      <c r="GN6">
        <v>4.48E-2</v>
      </c>
      <c r="GO6" t="s">
        <v>1598</v>
      </c>
      <c r="GP6">
        <v>0.15767700000000001</v>
      </c>
      <c r="GQ6" t="s">
        <v>1599</v>
      </c>
      <c r="GR6">
        <v>2025</v>
      </c>
      <c r="GS6" t="s">
        <v>2859</v>
      </c>
      <c r="GT6" s="6">
        <v>46034</v>
      </c>
      <c r="GU6">
        <v>5</v>
      </c>
      <c r="GV6">
        <v>899426</v>
      </c>
      <c r="GW6">
        <v>313021</v>
      </c>
      <c r="GX6" t="s">
        <v>2860</v>
      </c>
      <c r="IG6" t="s">
        <v>3655</v>
      </c>
      <c r="IH6" t="s">
        <v>1634</v>
      </c>
      <c r="II6">
        <v>5.2401160000000004</v>
      </c>
      <c r="IJ6">
        <v>17.831610000000001</v>
      </c>
      <c r="IK6" t="s">
        <v>1664</v>
      </c>
      <c r="IL6">
        <v>2025</v>
      </c>
      <c r="IM6" t="s">
        <v>3656</v>
      </c>
      <c r="IN6" s="6">
        <v>45889</v>
      </c>
      <c r="IO6">
        <v>5</v>
      </c>
      <c r="IP6">
        <v>3047941433.54</v>
      </c>
      <c r="IQ6">
        <v>119133</v>
      </c>
      <c r="IR6" t="s">
        <v>3657</v>
      </c>
      <c r="IU6" t="s">
        <v>1894</v>
      </c>
      <c r="IV6">
        <v>0.67946300000000004</v>
      </c>
      <c r="IW6" t="s">
        <v>1598</v>
      </c>
      <c r="IX6">
        <v>32</v>
      </c>
      <c r="IY6" t="s">
        <v>1594</v>
      </c>
      <c r="IZ6">
        <v>2025</v>
      </c>
      <c r="JA6" t="s">
        <v>4663</v>
      </c>
      <c r="JB6" s="6">
        <v>46065</v>
      </c>
      <c r="JC6">
        <v>5</v>
      </c>
      <c r="JD6">
        <v>518860224</v>
      </c>
      <c r="JE6">
        <v>156637</v>
      </c>
      <c r="JF6" t="s">
        <v>1896</v>
      </c>
      <c r="JK6" t="s">
        <v>2675</v>
      </c>
      <c r="JL6" t="s">
        <v>1598</v>
      </c>
      <c r="JM6">
        <v>1.4071180000000001</v>
      </c>
      <c r="JN6">
        <v>0.43839600000000001</v>
      </c>
      <c r="JO6" t="s">
        <v>1664</v>
      </c>
      <c r="JP6">
        <v>2025</v>
      </c>
      <c r="JQ6" t="s">
        <v>2676</v>
      </c>
      <c r="JR6" s="6">
        <v>45914</v>
      </c>
      <c r="JS6">
        <v>5</v>
      </c>
      <c r="JT6">
        <v>12603873</v>
      </c>
      <c r="JU6">
        <v>117116</v>
      </c>
      <c r="JV6" t="s">
        <v>2677</v>
      </c>
      <c r="JY6" t="s">
        <v>4784</v>
      </c>
      <c r="JZ6">
        <v>2.3125E-2</v>
      </c>
      <c r="KA6" t="s">
        <v>1598</v>
      </c>
      <c r="KB6">
        <v>1.6582479999999999</v>
      </c>
      <c r="KC6" t="s">
        <v>1651</v>
      </c>
      <c r="KD6">
        <v>2025</v>
      </c>
      <c r="KE6" t="s">
        <v>4785</v>
      </c>
      <c r="KF6" s="6">
        <v>45975</v>
      </c>
      <c r="KG6">
        <v>5</v>
      </c>
      <c r="KH6">
        <v>1260135.7</v>
      </c>
      <c r="KI6">
        <v>33043329</v>
      </c>
      <c r="KJ6" t="s">
        <v>4786</v>
      </c>
      <c r="KO6" t="s">
        <v>3165</v>
      </c>
      <c r="KQ6">
        <v>-2.4245362661989844E-14</v>
      </c>
      <c r="KR6">
        <v>-2.4245362661989844E-14</v>
      </c>
      <c r="KS6" t="s">
        <v>1651</v>
      </c>
      <c r="KT6">
        <v>2024</v>
      </c>
      <c r="KU6" t="s">
        <v>3166</v>
      </c>
      <c r="KV6" s="6">
        <v>45607</v>
      </c>
      <c r="KW6">
        <v>5</v>
      </c>
      <c r="KX6">
        <v>-2.4245362661989844E-14</v>
      </c>
      <c r="KY6">
        <v>7192714</v>
      </c>
      <c r="KZ6" t="s">
        <v>3167</v>
      </c>
      <c r="LC6" t="s">
        <v>2697</v>
      </c>
      <c r="LD6">
        <v>-2.4245362661989844E-14</v>
      </c>
      <c r="LF6">
        <v>-2.4245362661989844E-14</v>
      </c>
      <c r="LG6" t="s">
        <v>1594</v>
      </c>
      <c r="LH6">
        <v>2022</v>
      </c>
      <c r="LI6" t="s">
        <v>2698</v>
      </c>
      <c r="LJ6" s="6">
        <v>44986</v>
      </c>
      <c r="LK6">
        <v>5</v>
      </c>
      <c r="LL6">
        <v>-2.4245362661989844E-14</v>
      </c>
      <c r="LM6">
        <v>17149569</v>
      </c>
      <c r="LN6" t="s">
        <v>2699</v>
      </c>
      <c r="LS6" t="s">
        <v>5335</v>
      </c>
      <c r="LT6" t="s">
        <v>1598</v>
      </c>
      <c r="LU6">
        <v>3.2912219999999999</v>
      </c>
      <c r="LV6">
        <v>0.54136600000000001</v>
      </c>
      <c r="LW6" t="s">
        <v>1599</v>
      </c>
      <c r="LX6">
        <v>2025</v>
      </c>
      <c r="LY6" t="s">
        <v>5334</v>
      </c>
      <c r="LZ6" s="6">
        <v>46009</v>
      </c>
      <c r="MA6">
        <v>5</v>
      </c>
      <c r="MB6">
        <v>26147978</v>
      </c>
      <c r="MC6">
        <v>223412</v>
      </c>
      <c r="MD6" t="s">
        <v>5336</v>
      </c>
      <c r="MG6" t="s">
        <v>2081</v>
      </c>
      <c r="MH6">
        <v>-2.4245362661989844E-14</v>
      </c>
      <c r="MJ6">
        <v>-2.4245362661989844E-14</v>
      </c>
      <c r="MK6" t="s">
        <v>1792</v>
      </c>
      <c r="ML6">
        <v>2022</v>
      </c>
      <c r="MM6" t="s">
        <v>5072</v>
      </c>
      <c r="MN6" s="6">
        <v>44802</v>
      </c>
      <c r="MO6">
        <v>5</v>
      </c>
      <c r="MP6">
        <v>-2.4245362661989844E-14</v>
      </c>
      <c r="MQ6">
        <v>116630</v>
      </c>
      <c r="MR6" t="s">
        <v>2083</v>
      </c>
      <c r="MW6" t="s">
        <v>2376</v>
      </c>
      <c r="MX6" t="s">
        <v>1598</v>
      </c>
      <c r="MY6">
        <v>2.0413640000000002</v>
      </c>
      <c r="MZ6">
        <v>9.0393749999999997</v>
      </c>
      <c r="NA6" t="s">
        <v>1664</v>
      </c>
      <c r="NB6">
        <v>2025</v>
      </c>
      <c r="NC6" t="s">
        <v>3183</v>
      </c>
      <c r="ND6" s="6">
        <v>45863</v>
      </c>
      <c r="NE6">
        <v>5</v>
      </c>
      <c r="NF6">
        <v>1112317696</v>
      </c>
      <c r="NG6">
        <v>117929</v>
      </c>
      <c r="NH6" t="s">
        <v>2378</v>
      </c>
      <c r="NK6" t="s">
        <v>1700</v>
      </c>
      <c r="NL6">
        <v>0.112041</v>
      </c>
      <c r="NM6" t="s">
        <v>1598</v>
      </c>
      <c r="NN6">
        <v>0.211726</v>
      </c>
      <c r="NO6" t="s">
        <v>1606</v>
      </c>
      <c r="NP6">
        <v>2025</v>
      </c>
      <c r="NQ6" t="s">
        <v>1701</v>
      </c>
      <c r="NR6" s="6">
        <v>46056</v>
      </c>
      <c r="NS6">
        <v>5</v>
      </c>
      <c r="NT6">
        <v>34266560</v>
      </c>
      <c r="NU6">
        <v>1499717</v>
      </c>
      <c r="NV6" t="s">
        <v>1702</v>
      </c>
      <c r="OA6" t="s">
        <v>3886</v>
      </c>
      <c r="OB6" t="s">
        <v>1634</v>
      </c>
      <c r="OC6">
        <v>0.87257700000000005</v>
      </c>
      <c r="OD6">
        <v>3.4366629999999998</v>
      </c>
      <c r="OE6" t="s">
        <v>1599</v>
      </c>
      <c r="OF6">
        <v>2025</v>
      </c>
      <c r="OG6" t="s">
        <v>3887</v>
      </c>
      <c r="OH6" s="6">
        <v>45982</v>
      </c>
      <c r="OI6">
        <v>5</v>
      </c>
      <c r="OJ6">
        <v>35775656</v>
      </c>
      <c r="OK6">
        <v>100399</v>
      </c>
      <c r="OL6" t="s">
        <v>3888</v>
      </c>
      <c r="OO6" t="s">
        <v>1679</v>
      </c>
      <c r="OP6">
        <v>0.23341500000000001</v>
      </c>
      <c r="OQ6" t="s">
        <v>1598</v>
      </c>
      <c r="OR6">
        <v>0.18218400000000001</v>
      </c>
      <c r="OS6" t="s">
        <v>1603</v>
      </c>
      <c r="OT6">
        <v>2025</v>
      </c>
      <c r="OU6" t="s">
        <v>1680</v>
      </c>
      <c r="OV6" s="6">
        <v>45820</v>
      </c>
      <c r="OW6">
        <v>5</v>
      </c>
      <c r="OX6">
        <v>7427277</v>
      </c>
      <c r="OY6">
        <v>12129192</v>
      </c>
      <c r="OZ6" t="s">
        <v>1681</v>
      </c>
      <c r="PE6" t="s">
        <v>2329</v>
      </c>
      <c r="PF6" t="s">
        <v>1598</v>
      </c>
      <c r="PG6">
        <v>0.89060499999999998</v>
      </c>
      <c r="PH6">
        <v>0.18792300000000001</v>
      </c>
      <c r="PI6" t="s">
        <v>1606</v>
      </c>
      <c r="PJ6">
        <v>2024</v>
      </c>
      <c r="PK6" t="s">
        <v>2330</v>
      </c>
      <c r="PL6" s="6">
        <v>45747</v>
      </c>
      <c r="PM6">
        <v>5</v>
      </c>
      <c r="PN6">
        <v>10696585</v>
      </c>
      <c r="PO6">
        <v>17257533</v>
      </c>
      <c r="PP6" t="s">
        <v>2331</v>
      </c>
      <c r="PS6" t="s">
        <v>3299</v>
      </c>
      <c r="PT6">
        <v>-2.4245362661989844E-14</v>
      </c>
      <c r="PV6">
        <v>-2.4245362661989844E-14</v>
      </c>
      <c r="PW6" t="s">
        <v>2469</v>
      </c>
      <c r="PX6">
        <v>2024</v>
      </c>
      <c r="PY6" t="s">
        <v>3300</v>
      </c>
      <c r="PZ6" s="6">
        <v>45518</v>
      </c>
      <c r="QA6">
        <v>5</v>
      </c>
      <c r="QB6">
        <v>-2.4245362661989844E-14</v>
      </c>
      <c r="QC6">
        <v>129195</v>
      </c>
      <c r="QD6" t="s">
        <v>3301</v>
      </c>
      <c r="QI6" t="s">
        <v>178</v>
      </c>
      <c r="QJ6" t="s">
        <v>1598</v>
      </c>
      <c r="QK6">
        <v>1.2899000000000001E-2</v>
      </c>
      <c r="QL6">
        <v>0.213559</v>
      </c>
      <c r="QM6" t="s">
        <v>1599</v>
      </c>
      <c r="QN6">
        <v>2025</v>
      </c>
      <c r="QO6" t="s">
        <v>1735</v>
      </c>
      <c r="QP6" s="6">
        <v>45843</v>
      </c>
      <c r="QQ6">
        <v>5</v>
      </c>
      <c r="QR6">
        <v>9037813</v>
      </c>
      <c r="QS6">
        <v>101743</v>
      </c>
      <c r="QT6" t="s">
        <v>1736</v>
      </c>
      <c r="QW6" t="s">
        <v>4399</v>
      </c>
      <c r="QX6">
        <v>-2.4245362661989844E-14</v>
      </c>
      <c r="QZ6">
        <v>-2.4245362661989844E-14</v>
      </c>
      <c r="RA6" t="s">
        <v>1599</v>
      </c>
      <c r="RB6">
        <v>2025</v>
      </c>
      <c r="RC6" t="s">
        <v>4400</v>
      </c>
      <c r="RD6" s="6">
        <v>45966</v>
      </c>
      <c r="RE6">
        <v>2</v>
      </c>
      <c r="RF6">
        <v>-2.4245362661989844E-14</v>
      </c>
      <c r="RG6">
        <v>38748702</v>
      </c>
      <c r="RH6" t="s">
        <v>4401</v>
      </c>
      <c r="RM6" t="s">
        <v>618</v>
      </c>
      <c r="RN6" t="s">
        <v>1598</v>
      </c>
      <c r="RO6">
        <v>30</v>
      </c>
      <c r="RP6">
        <v>20.040337000000001</v>
      </c>
      <c r="RQ6" t="s">
        <v>1594</v>
      </c>
      <c r="RR6">
        <v>2025</v>
      </c>
      <c r="RS6" t="s">
        <v>1819</v>
      </c>
      <c r="RT6" s="6">
        <v>45881</v>
      </c>
      <c r="RU6">
        <v>5</v>
      </c>
      <c r="RV6">
        <v>16693350400</v>
      </c>
      <c r="RW6">
        <v>102782</v>
      </c>
      <c r="RX6" t="s">
        <v>1626</v>
      </c>
      <c r="SA6" t="s">
        <v>1898</v>
      </c>
      <c r="SB6">
        <v>-2.4245362661989844E-14</v>
      </c>
      <c r="SD6">
        <v>-2.4245362661989844E-14</v>
      </c>
      <c r="SE6" t="s">
        <v>1594</v>
      </c>
      <c r="SF6">
        <v>2025</v>
      </c>
      <c r="SG6" t="s">
        <v>3588</v>
      </c>
      <c r="SH6" s="6">
        <v>45828</v>
      </c>
      <c r="SI6">
        <v>5</v>
      </c>
      <c r="SJ6">
        <v>-2.4245362661989844E-14</v>
      </c>
      <c r="SK6">
        <v>20735187</v>
      </c>
      <c r="SL6" t="s">
        <v>1900</v>
      </c>
      <c r="SQ6" t="s">
        <v>2152</v>
      </c>
      <c r="SS6">
        <v>-2.4245362661989844E-14</v>
      </c>
      <c r="ST6">
        <v>-2.4245362661989844E-14</v>
      </c>
      <c r="SU6" t="s">
        <v>1594</v>
      </c>
      <c r="SV6">
        <v>2021</v>
      </c>
      <c r="SW6" t="s">
        <v>2153</v>
      </c>
      <c r="SX6" s="6">
        <v>44693</v>
      </c>
      <c r="SY6">
        <v>5</v>
      </c>
      <c r="SZ6">
        <v>-2.4245362661989844E-14</v>
      </c>
      <c r="TA6">
        <v>100060</v>
      </c>
      <c r="TB6" t="s">
        <v>2154</v>
      </c>
      <c r="UY6" t="s">
        <v>24</v>
      </c>
      <c r="UZ6" t="s">
        <v>1598</v>
      </c>
      <c r="VA6">
        <v>0.39111600000000002</v>
      </c>
      <c r="VB6">
        <v>0.88908200000000004</v>
      </c>
      <c r="VC6" t="s">
        <v>1664</v>
      </c>
      <c r="VD6">
        <v>2025</v>
      </c>
      <c r="VE6" t="s">
        <v>3358</v>
      </c>
      <c r="VF6" s="6">
        <v>45914</v>
      </c>
      <c r="VG6">
        <v>5</v>
      </c>
      <c r="VH6">
        <v>57310228</v>
      </c>
      <c r="VI6">
        <v>101166</v>
      </c>
      <c r="VJ6" t="s">
        <v>2119</v>
      </c>
      <c r="VM6" t="s">
        <v>1706</v>
      </c>
      <c r="VN6">
        <v>2.545E-3</v>
      </c>
      <c r="VO6" t="s">
        <v>1598</v>
      </c>
      <c r="VP6">
        <v>3.8306200000000001</v>
      </c>
      <c r="VQ6" t="s">
        <v>1594</v>
      </c>
      <c r="VR6">
        <v>2024</v>
      </c>
      <c r="VS6" t="s">
        <v>1707</v>
      </c>
      <c r="VT6" s="6">
        <v>45819</v>
      </c>
      <c r="VU6">
        <v>5</v>
      </c>
      <c r="VV6">
        <v>275861.17</v>
      </c>
      <c r="VW6">
        <v>15291339</v>
      </c>
      <c r="VX6" t="s">
        <v>1708</v>
      </c>
    </row>
    <row r="7" spans="1:600" x14ac:dyDescent="0.25">
      <c r="AE7" t="s">
        <v>117</v>
      </c>
      <c r="AF7" t="s">
        <v>1598</v>
      </c>
      <c r="AG7">
        <v>0.16295799999999999</v>
      </c>
      <c r="AH7">
        <v>1.068819</v>
      </c>
      <c r="AI7" t="s">
        <v>1603</v>
      </c>
      <c r="AJ7">
        <v>2025</v>
      </c>
      <c r="AK7" t="s">
        <v>1744</v>
      </c>
      <c r="AL7" s="6">
        <v>45797</v>
      </c>
      <c r="AM7">
        <v>5</v>
      </c>
      <c r="AN7">
        <v>23695724</v>
      </c>
      <c r="AO7">
        <v>100801</v>
      </c>
      <c r="AP7" t="s">
        <v>1745</v>
      </c>
      <c r="AS7" t="s">
        <v>2796</v>
      </c>
      <c r="AT7">
        <v>0.41590500000000002</v>
      </c>
      <c r="AU7" t="s">
        <v>1598</v>
      </c>
      <c r="AV7">
        <v>0.224246</v>
      </c>
      <c r="AW7" t="s">
        <v>1603</v>
      </c>
      <c r="AX7">
        <v>2026</v>
      </c>
      <c r="AY7" t="s">
        <v>2797</v>
      </c>
      <c r="AZ7" s="6">
        <v>45973</v>
      </c>
      <c r="BA7">
        <v>5</v>
      </c>
      <c r="BB7">
        <v>42314193.82</v>
      </c>
      <c r="BC7">
        <v>16857643</v>
      </c>
      <c r="BD7" t="s">
        <v>2798</v>
      </c>
      <c r="BI7" t="s">
        <v>3975</v>
      </c>
      <c r="BJ7" t="s">
        <v>1634</v>
      </c>
      <c r="BK7">
        <v>0.69737099999999996</v>
      </c>
      <c r="BL7">
        <v>1.9371179999999999</v>
      </c>
      <c r="BM7" t="s">
        <v>1664</v>
      </c>
      <c r="BN7">
        <v>2025</v>
      </c>
      <c r="BO7" t="s">
        <v>3976</v>
      </c>
      <c r="BP7" s="6">
        <v>45937</v>
      </c>
      <c r="BQ7">
        <v>5</v>
      </c>
      <c r="BR7">
        <v>63537472</v>
      </c>
      <c r="BS7">
        <v>69818593</v>
      </c>
      <c r="BT7" t="s">
        <v>3977</v>
      </c>
      <c r="BW7" t="s">
        <v>1848</v>
      </c>
      <c r="BX7">
        <v>-2.4245362661989844E-14</v>
      </c>
      <c r="BZ7">
        <v>-2.4245362661989844E-14</v>
      </c>
      <c r="CA7" t="s">
        <v>1594</v>
      </c>
      <c r="CB7">
        <v>2021</v>
      </c>
      <c r="CC7" t="s">
        <v>4240</v>
      </c>
      <c r="CD7" s="6">
        <v>44693</v>
      </c>
      <c r="CE7">
        <v>5</v>
      </c>
      <c r="CF7">
        <v>-2.4245362661989844E-14</v>
      </c>
      <c r="CG7">
        <v>9288162</v>
      </c>
      <c r="CH7" t="s">
        <v>1850</v>
      </c>
      <c r="CM7" t="s">
        <v>2230</v>
      </c>
      <c r="CN7" t="s">
        <v>1598</v>
      </c>
      <c r="CO7">
        <v>6.8536460000000003</v>
      </c>
      <c r="CP7">
        <v>9.6768190000000001</v>
      </c>
      <c r="CQ7" t="s">
        <v>1603</v>
      </c>
      <c r="CR7">
        <v>2025</v>
      </c>
      <c r="CS7" t="s">
        <v>2231</v>
      </c>
      <c r="CT7" s="6">
        <v>45812</v>
      </c>
      <c r="CU7">
        <v>5</v>
      </c>
      <c r="CV7">
        <v>1011895282.72</v>
      </c>
      <c r="CW7">
        <v>330541</v>
      </c>
      <c r="CX7" t="s">
        <v>2232</v>
      </c>
      <c r="DA7" t="s">
        <v>1783</v>
      </c>
      <c r="DB7">
        <v>1.3641749999999999</v>
      </c>
      <c r="DC7" t="s">
        <v>1598</v>
      </c>
      <c r="DD7">
        <v>0.69426200000000005</v>
      </c>
      <c r="DE7" t="s">
        <v>1603</v>
      </c>
      <c r="DF7">
        <v>2025</v>
      </c>
      <c r="DG7" t="s">
        <v>1784</v>
      </c>
      <c r="DH7" s="6">
        <v>45797</v>
      </c>
      <c r="DI7">
        <v>5</v>
      </c>
      <c r="DJ7">
        <v>183924678.06999999</v>
      </c>
      <c r="DK7">
        <v>223340</v>
      </c>
      <c r="DL7" t="s">
        <v>1785</v>
      </c>
      <c r="DQ7" t="s">
        <v>3891</v>
      </c>
      <c r="DR7" t="s">
        <v>1598</v>
      </c>
      <c r="DS7">
        <v>0.82896099999999995</v>
      </c>
      <c r="DT7">
        <v>0.29375299999999999</v>
      </c>
      <c r="DU7" t="s">
        <v>1664</v>
      </c>
      <c r="DV7">
        <v>2025</v>
      </c>
      <c r="DW7" t="s">
        <v>3892</v>
      </c>
      <c r="DX7" s="6">
        <v>45867</v>
      </c>
      <c r="DY7">
        <v>5</v>
      </c>
      <c r="DZ7">
        <v>4597625.84</v>
      </c>
      <c r="EA7">
        <v>157487</v>
      </c>
      <c r="EB7" t="s">
        <v>3893</v>
      </c>
      <c r="EE7" t="s">
        <v>6186</v>
      </c>
      <c r="EF7">
        <v>-2.4245362661989844E-14</v>
      </c>
      <c r="EH7">
        <v>-2.4245362661989844E-14</v>
      </c>
      <c r="EI7" t="s">
        <v>1651</v>
      </c>
      <c r="EJ7">
        <v>2025</v>
      </c>
      <c r="EK7" t="s">
        <v>6187</v>
      </c>
      <c r="EL7" s="6">
        <v>45975</v>
      </c>
      <c r="EM7">
        <v>5</v>
      </c>
      <c r="EN7">
        <v>-2.4245362661989844E-14</v>
      </c>
      <c r="EO7">
        <v>16631023</v>
      </c>
      <c r="EP7" t="s">
        <v>6188</v>
      </c>
      <c r="FY7" t="s">
        <v>3872</v>
      </c>
      <c r="GA7">
        <v>-2.4245362661989844E-14</v>
      </c>
      <c r="GB7">
        <v>-2.4245362661989844E-14</v>
      </c>
      <c r="GC7" t="s">
        <v>1594</v>
      </c>
      <c r="GD7">
        <v>2023</v>
      </c>
      <c r="GE7" t="s">
        <v>3873</v>
      </c>
      <c r="GF7" s="6">
        <v>45365</v>
      </c>
      <c r="GG7">
        <v>5</v>
      </c>
      <c r="GH7">
        <v>-2.4245362661989844E-14</v>
      </c>
      <c r="GI7">
        <v>22158447</v>
      </c>
      <c r="GJ7" t="s">
        <v>3874</v>
      </c>
      <c r="GM7" t="s">
        <v>2861</v>
      </c>
      <c r="GN7">
        <v>-2.4245362661989844E-14</v>
      </c>
      <c r="GP7">
        <v>-2.4245362661989844E-14</v>
      </c>
      <c r="GQ7" t="s">
        <v>1599</v>
      </c>
      <c r="GR7">
        <v>2023</v>
      </c>
      <c r="GS7" t="s">
        <v>2862</v>
      </c>
      <c r="GT7" s="6">
        <v>45224</v>
      </c>
      <c r="GU7">
        <v>5</v>
      </c>
      <c r="GV7">
        <v>-2.4245362661989844E-14</v>
      </c>
      <c r="GW7">
        <v>50234217</v>
      </c>
      <c r="GX7" t="s">
        <v>2863</v>
      </c>
      <c r="IG7" t="s">
        <v>2587</v>
      </c>
      <c r="IH7" t="s">
        <v>1634</v>
      </c>
      <c r="II7">
        <v>8.8760320000000004</v>
      </c>
      <c r="IJ7">
        <v>5.0127040000000003</v>
      </c>
      <c r="IK7" t="s">
        <v>1599</v>
      </c>
      <c r="IL7">
        <v>2025</v>
      </c>
      <c r="IM7" t="s">
        <v>3857</v>
      </c>
      <c r="IN7" s="6">
        <v>46080</v>
      </c>
      <c r="IO7">
        <v>5</v>
      </c>
      <c r="IP7">
        <v>1565479588.27</v>
      </c>
      <c r="IQ7">
        <v>193974</v>
      </c>
      <c r="IR7" t="s">
        <v>2588</v>
      </c>
      <c r="IU7" t="s">
        <v>4664</v>
      </c>
      <c r="IV7">
        <v>0.257766</v>
      </c>
      <c r="IW7" t="s">
        <v>1598</v>
      </c>
      <c r="IX7">
        <v>3.7523520000000001</v>
      </c>
      <c r="IY7" t="s">
        <v>1664</v>
      </c>
      <c r="IZ7">
        <v>2025</v>
      </c>
      <c r="JA7" t="s">
        <v>4665</v>
      </c>
      <c r="JB7" s="6">
        <v>45910</v>
      </c>
      <c r="JC7">
        <v>5</v>
      </c>
      <c r="JD7">
        <v>197200308.5</v>
      </c>
      <c r="JE7">
        <v>193775</v>
      </c>
      <c r="JF7" t="s">
        <v>4666</v>
      </c>
      <c r="JK7" t="s">
        <v>2559</v>
      </c>
      <c r="JL7" t="s">
        <v>1598</v>
      </c>
      <c r="JM7">
        <v>0.112723</v>
      </c>
      <c r="JN7">
        <v>0.29266900000000001</v>
      </c>
      <c r="JO7" t="s">
        <v>1599</v>
      </c>
      <c r="JP7">
        <v>2025</v>
      </c>
      <c r="JQ7" t="s">
        <v>2560</v>
      </c>
      <c r="JR7" s="6">
        <v>45867</v>
      </c>
      <c r="JS7">
        <v>5</v>
      </c>
      <c r="JT7">
        <v>8823956</v>
      </c>
      <c r="JU7">
        <v>117092</v>
      </c>
      <c r="JV7" t="s">
        <v>2561</v>
      </c>
      <c r="JY7" t="s">
        <v>4787</v>
      </c>
      <c r="JZ7">
        <v>1.9157E-2</v>
      </c>
      <c r="KA7" t="s">
        <v>1598</v>
      </c>
      <c r="KB7">
        <v>1.0409630000000001</v>
      </c>
      <c r="KC7" t="s">
        <v>1651</v>
      </c>
      <c r="KD7">
        <v>2025</v>
      </c>
      <c r="KE7" t="s">
        <v>4788</v>
      </c>
      <c r="KF7" s="6">
        <v>45975</v>
      </c>
      <c r="KG7">
        <v>5</v>
      </c>
      <c r="KH7">
        <v>1043896.27</v>
      </c>
      <c r="KI7">
        <v>44623346</v>
      </c>
      <c r="KJ7" t="s">
        <v>4789</v>
      </c>
      <c r="KO7" t="s">
        <v>3168</v>
      </c>
      <c r="KQ7">
        <v>-2.4245362661989844E-14</v>
      </c>
      <c r="KR7">
        <v>-2.4245362661989844E-14</v>
      </c>
      <c r="KS7" t="s">
        <v>1792</v>
      </c>
      <c r="KT7">
        <v>2025</v>
      </c>
      <c r="KU7" t="s">
        <v>3169</v>
      </c>
      <c r="KV7" s="6">
        <v>45890</v>
      </c>
      <c r="KW7">
        <v>5</v>
      </c>
      <c r="KX7">
        <v>-2.4245362661989844E-14</v>
      </c>
      <c r="KY7">
        <v>38007258</v>
      </c>
      <c r="KZ7" t="s">
        <v>3170</v>
      </c>
      <c r="LC7" t="s">
        <v>2700</v>
      </c>
      <c r="LD7">
        <v>-2.4245362661989844E-14</v>
      </c>
      <c r="LF7">
        <v>-2.4245362661989844E-14</v>
      </c>
      <c r="LG7" t="s">
        <v>1651</v>
      </c>
      <c r="LH7">
        <v>2022</v>
      </c>
      <c r="LI7" t="s">
        <v>2701</v>
      </c>
      <c r="LJ7" s="6">
        <v>44895</v>
      </c>
      <c r="LK7">
        <v>5</v>
      </c>
      <c r="LL7">
        <v>-2.4245362661989844E-14</v>
      </c>
      <c r="LM7">
        <v>67286948</v>
      </c>
      <c r="LN7" t="s">
        <v>2702</v>
      </c>
      <c r="LS7" t="s">
        <v>5337</v>
      </c>
      <c r="LT7" t="s">
        <v>1598</v>
      </c>
      <c r="LU7">
        <v>0.54734099999999997</v>
      </c>
      <c r="LV7">
        <v>0.52038600000000002</v>
      </c>
      <c r="LW7" t="s">
        <v>1599</v>
      </c>
      <c r="LX7">
        <v>2025</v>
      </c>
      <c r="LY7" t="s">
        <v>5334</v>
      </c>
      <c r="LZ7" s="6">
        <v>46009</v>
      </c>
      <c r="MA7">
        <v>5</v>
      </c>
      <c r="MB7">
        <v>25134644</v>
      </c>
      <c r="MC7">
        <v>117567</v>
      </c>
      <c r="MD7" t="s">
        <v>5338</v>
      </c>
      <c r="MG7" t="s">
        <v>5073</v>
      </c>
      <c r="MH7">
        <v>-2.4245362661989844E-14</v>
      </c>
      <c r="MJ7">
        <v>-2.4245362661989844E-14</v>
      </c>
      <c r="MK7" t="s">
        <v>1594</v>
      </c>
      <c r="ML7">
        <v>2024</v>
      </c>
      <c r="MM7" t="s">
        <v>5074</v>
      </c>
      <c r="MN7" s="6">
        <v>45777</v>
      </c>
      <c r="MO7">
        <v>5</v>
      </c>
      <c r="MP7">
        <v>-2.4245362661989844E-14</v>
      </c>
      <c r="MQ7">
        <v>154157</v>
      </c>
      <c r="MR7" t="s">
        <v>5075</v>
      </c>
      <c r="MW7" t="s">
        <v>2383</v>
      </c>
      <c r="MX7" t="s">
        <v>1634</v>
      </c>
      <c r="MY7">
        <v>13.01698</v>
      </c>
      <c r="MZ7">
        <v>13.663121</v>
      </c>
      <c r="NA7" t="s">
        <v>1599</v>
      </c>
      <c r="NB7">
        <v>2025</v>
      </c>
      <c r="NC7" t="s">
        <v>2384</v>
      </c>
      <c r="ND7" s="6">
        <v>46029</v>
      </c>
      <c r="NE7">
        <v>5</v>
      </c>
      <c r="NF7">
        <v>769456564.02999997</v>
      </c>
      <c r="NG7">
        <v>115705</v>
      </c>
      <c r="NH7" t="s">
        <v>2385</v>
      </c>
      <c r="NK7" t="s">
        <v>1645</v>
      </c>
      <c r="NL7">
        <v>3.6669E-2</v>
      </c>
      <c r="NM7" t="s">
        <v>1598</v>
      </c>
      <c r="NN7">
        <v>1.85477</v>
      </c>
      <c r="NO7" t="s">
        <v>1599</v>
      </c>
      <c r="NP7">
        <v>2025</v>
      </c>
      <c r="NQ7" t="s">
        <v>1897</v>
      </c>
      <c r="NR7" s="6">
        <v>45840</v>
      </c>
      <c r="NS7">
        <v>5</v>
      </c>
      <c r="NT7">
        <v>11214774</v>
      </c>
      <c r="NU7">
        <v>136424</v>
      </c>
      <c r="NV7" t="s">
        <v>1647</v>
      </c>
      <c r="OA7" t="s">
        <v>2320</v>
      </c>
      <c r="OB7" t="s">
        <v>1634</v>
      </c>
      <c r="OC7">
        <v>0.32499299999999998</v>
      </c>
      <c r="OD7">
        <v>2.3824730000000001</v>
      </c>
      <c r="OE7" t="s">
        <v>1599</v>
      </c>
      <c r="OF7">
        <v>2025</v>
      </c>
      <c r="OG7" t="s">
        <v>2321</v>
      </c>
      <c r="OH7" s="6">
        <v>45975</v>
      </c>
      <c r="OI7">
        <v>5</v>
      </c>
      <c r="OJ7">
        <v>24801542</v>
      </c>
      <c r="OK7">
        <v>305366</v>
      </c>
      <c r="OL7" t="s">
        <v>2322</v>
      </c>
      <c r="OO7" t="s">
        <v>1645</v>
      </c>
      <c r="OP7">
        <v>0.103657</v>
      </c>
      <c r="OQ7" t="s">
        <v>1598</v>
      </c>
      <c r="OR7">
        <v>0.54550299999999996</v>
      </c>
      <c r="OS7" t="s">
        <v>1599</v>
      </c>
      <c r="OT7">
        <v>2025</v>
      </c>
      <c r="OU7" t="s">
        <v>1897</v>
      </c>
      <c r="OV7" s="6">
        <v>45840</v>
      </c>
      <c r="OW7">
        <v>5</v>
      </c>
      <c r="OX7">
        <v>3298357</v>
      </c>
      <c r="OY7">
        <v>136424</v>
      </c>
      <c r="OZ7" t="s">
        <v>1647</v>
      </c>
      <c r="PE7" t="s">
        <v>3429</v>
      </c>
      <c r="PF7" t="s">
        <v>1598</v>
      </c>
      <c r="PG7">
        <v>1.8761030000000001</v>
      </c>
      <c r="PH7">
        <v>0.11766799999999999</v>
      </c>
      <c r="PI7" t="s">
        <v>1603</v>
      </c>
      <c r="PJ7">
        <v>2025</v>
      </c>
      <c r="PK7" t="s">
        <v>3430</v>
      </c>
      <c r="PL7" s="6">
        <v>45764</v>
      </c>
      <c r="PM7">
        <v>5</v>
      </c>
      <c r="PN7">
        <v>6697669</v>
      </c>
      <c r="PO7">
        <v>916504</v>
      </c>
      <c r="PP7" t="s">
        <v>3431</v>
      </c>
      <c r="PS7" t="s">
        <v>3302</v>
      </c>
      <c r="PT7">
        <v>-2.4245362661989844E-14</v>
      </c>
      <c r="PV7">
        <v>-2.4245362661989844E-14</v>
      </c>
      <c r="PW7" t="s">
        <v>1594</v>
      </c>
      <c r="PX7">
        <v>2025</v>
      </c>
      <c r="PY7" t="s">
        <v>3303</v>
      </c>
      <c r="PZ7" s="6">
        <v>45691</v>
      </c>
      <c r="QA7">
        <v>5</v>
      </c>
      <c r="QB7">
        <v>-2.4245362661989844E-14</v>
      </c>
      <c r="QC7">
        <v>26993503</v>
      </c>
      <c r="QD7" t="s">
        <v>3304</v>
      </c>
      <c r="QI7" t="s">
        <v>1084</v>
      </c>
      <c r="QJ7" t="s">
        <v>1685</v>
      </c>
      <c r="QK7">
        <v>0.108861</v>
      </c>
      <c r="QL7">
        <v>0.15107300000000001</v>
      </c>
      <c r="QM7" t="s">
        <v>1664</v>
      </c>
      <c r="QN7">
        <v>2025</v>
      </c>
      <c r="QO7" t="s">
        <v>2052</v>
      </c>
      <c r="QP7" s="6">
        <v>45838</v>
      </c>
      <c r="QQ7">
        <v>5</v>
      </c>
      <c r="QR7">
        <v>6393407</v>
      </c>
      <c r="QS7">
        <v>101689</v>
      </c>
      <c r="QT7" t="s">
        <v>2053</v>
      </c>
      <c r="RM7" t="s">
        <v>72</v>
      </c>
      <c r="RN7" t="s">
        <v>1598</v>
      </c>
      <c r="RO7">
        <v>3.3501690000000002</v>
      </c>
      <c r="RP7">
        <v>0.82735300000000001</v>
      </c>
      <c r="RQ7" t="s">
        <v>1606</v>
      </c>
      <c r="RR7">
        <v>2025</v>
      </c>
      <c r="RS7" t="s">
        <v>2670</v>
      </c>
      <c r="RT7" s="6">
        <v>45883</v>
      </c>
      <c r="RU7">
        <v>5</v>
      </c>
      <c r="RV7">
        <v>705914112</v>
      </c>
      <c r="RW7">
        <v>101215</v>
      </c>
      <c r="RX7" t="s">
        <v>1868</v>
      </c>
      <c r="SA7" t="s">
        <v>1901</v>
      </c>
      <c r="SB7">
        <v>-2.4245362661989844E-14</v>
      </c>
      <c r="SD7">
        <v>-2.4245362661989844E-14</v>
      </c>
      <c r="SE7" t="s">
        <v>1594</v>
      </c>
      <c r="SF7">
        <v>2025</v>
      </c>
      <c r="SG7" t="s">
        <v>3588</v>
      </c>
      <c r="SH7" s="6">
        <v>45828</v>
      </c>
      <c r="SI7">
        <v>5</v>
      </c>
      <c r="SJ7">
        <v>-2.4245362661989844E-14</v>
      </c>
      <c r="SK7">
        <v>31261592</v>
      </c>
      <c r="SL7" t="s">
        <v>1902</v>
      </c>
      <c r="SQ7" t="s">
        <v>810</v>
      </c>
      <c r="SS7">
        <v>-2.4245362661989844E-14</v>
      </c>
      <c r="ST7">
        <v>-2.4245362661989844E-14</v>
      </c>
      <c r="SU7" t="s">
        <v>1594</v>
      </c>
      <c r="SV7">
        <v>2021</v>
      </c>
      <c r="SW7" t="s">
        <v>2346</v>
      </c>
      <c r="SX7" s="6">
        <v>44693</v>
      </c>
      <c r="SY7">
        <v>5</v>
      </c>
      <c r="SZ7">
        <v>-2.4245362661989844E-14</v>
      </c>
      <c r="TA7">
        <v>101690</v>
      </c>
      <c r="TB7" t="s">
        <v>2347</v>
      </c>
      <c r="UY7" t="s">
        <v>2556</v>
      </c>
      <c r="UZ7" t="s">
        <v>1598</v>
      </c>
      <c r="VA7">
        <v>0.56451700000000005</v>
      </c>
      <c r="VB7">
        <v>0.57008199999999998</v>
      </c>
      <c r="VC7" t="s">
        <v>1599</v>
      </c>
      <c r="VD7">
        <v>2025</v>
      </c>
      <c r="VE7" t="s">
        <v>2557</v>
      </c>
      <c r="VF7" s="6">
        <v>45763</v>
      </c>
      <c r="VG7">
        <v>5</v>
      </c>
      <c r="VH7">
        <v>37009736</v>
      </c>
      <c r="VI7">
        <v>136547</v>
      </c>
      <c r="VJ7" t="s">
        <v>2558</v>
      </c>
      <c r="VM7" t="s">
        <v>2830</v>
      </c>
      <c r="VN7">
        <v>8.6300000000000005E-4</v>
      </c>
      <c r="VO7" t="s">
        <v>1598</v>
      </c>
      <c r="VP7">
        <v>0.46444600000000003</v>
      </c>
      <c r="VQ7" t="s">
        <v>1594</v>
      </c>
      <c r="VR7">
        <v>2024</v>
      </c>
      <c r="VS7" t="s">
        <v>2831</v>
      </c>
      <c r="VT7" s="6">
        <v>45730</v>
      </c>
      <c r="VU7">
        <v>5</v>
      </c>
      <c r="VV7">
        <v>92615.79</v>
      </c>
      <c r="VW7">
        <v>7369845</v>
      </c>
      <c r="VX7" t="s">
        <v>2832</v>
      </c>
    </row>
    <row r="8" spans="1:600" x14ac:dyDescent="0.25">
      <c r="AE8" t="s">
        <v>3112</v>
      </c>
      <c r="AF8" t="s">
        <v>1685</v>
      </c>
      <c r="AG8">
        <v>0.25859599999999999</v>
      </c>
      <c r="AH8">
        <v>0.50587199999999999</v>
      </c>
      <c r="AI8" t="s">
        <v>1599</v>
      </c>
      <c r="AJ8">
        <v>2026</v>
      </c>
      <c r="AK8" t="s">
        <v>3113</v>
      </c>
      <c r="AL8" s="6">
        <v>46058</v>
      </c>
      <c r="AM8">
        <v>5</v>
      </c>
      <c r="AN8">
        <v>19471469.66</v>
      </c>
      <c r="AO8">
        <v>7259059</v>
      </c>
      <c r="AP8" t="s">
        <v>3114</v>
      </c>
      <c r="AS8" t="s">
        <v>1679</v>
      </c>
      <c r="AT8">
        <v>0.111719</v>
      </c>
      <c r="AU8" t="s">
        <v>1598</v>
      </c>
      <c r="AV8">
        <v>0.26934900000000001</v>
      </c>
      <c r="AW8" t="s">
        <v>1603</v>
      </c>
      <c r="AX8">
        <v>2025</v>
      </c>
      <c r="AY8" t="s">
        <v>1680</v>
      </c>
      <c r="AZ8" s="6">
        <v>45820</v>
      </c>
      <c r="BA8">
        <v>5</v>
      </c>
      <c r="BB8">
        <v>10980820</v>
      </c>
      <c r="BC8">
        <v>12129192</v>
      </c>
      <c r="BD8" t="s">
        <v>1681</v>
      </c>
      <c r="BI8" t="s">
        <v>2317</v>
      </c>
      <c r="BJ8" t="s">
        <v>1598</v>
      </c>
      <c r="BK8">
        <v>3.4728490000000001</v>
      </c>
      <c r="BL8">
        <v>2.314454</v>
      </c>
      <c r="BM8" t="s">
        <v>1603</v>
      </c>
      <c r="BN8">
        <v>2025</v>
      </c>
      <c r="BO8" t="s">
        <v>2318</v>
      </c>
      <c r="BP8" s="6">
        <v>45863</v>
      </c>
      <c r="BQ8">
        <v>5</v>
      </c>
      <c r="BR8">
        <v>57236440</v>
      </c>
      <c r="BS8">
        <v>10832677</v>
      </c>
      <c r="BT8" t="s">
        <v>2319</v>
      </c>
      <c r="BW8" t="s">
        <v>4368</v>
      </c>
      <c r="BX8">
        <v>-2.4245362661989844E-14</v>
      </c>
      <c r="BZ8">
        <v>-2.4245362661989844E-14</v>
      </c>
      <c r="CA8" t="s">
        <v>1594</v>
      </c>
      <c r="CB8">
        <v>2021</v>
      </c>
      <c r="CC8" t="s">
        <v>4240</v>
      </c>
      <c r="CD8" s="6">
        <v>44693</v>
      </c>
      <c r="CE8">
        <v>5</v>
      </c>
      <c r="CF8">
        <v>-2.4245362661989844E-14</v>
      </c>
      <c r="CG8">
        <v>209135</v>
      </c>
      <c r="CH8" t="s">
        <v>4369</v>
      </c>
      <c r="CM8" t="s">
        <v>2233</v>
      </c>
      <c r="CN8" t="s">
        <v>1598</v>
      </c>
      <c r="CO8">
        <v>4.2738360000000002</v>
      </c>
      <c r="CP8">
        <v>6.6693020000000001</v>
      </c>
      <c r="CQ8" t="s">
        <v>1599</v>
      </c>
      <c r="CR8">
        <v>2025</v>
      </c>
      <c r="CS8" t="s">
        <v>2234</v>
      </c>
      <c r="CT8" s="6">
        <v>46087</v>
      </c>
      <c r="CU8">
        <v>5</v>
      </c>
      <c r="CV8">
        <v>811049598.16999996</v>
      </c>
      <c r="CW8">
        <v>7975354</v>
      </c>
      <c r="CX8" t="s">
        <v>2235</v>
      </c>
      <c r="DA8" t="s">
        <v>1679</v>
      </c>
      <c r="DB8">
        <v>0.59423499999999996</v>
      </c>
      <c r="DC8" t="s">
        <v>1598</v>
      </c>
      <c r="DD8">
        <v>1.9269499999999999</v>
      </c>
      <c r="DE8" t="s">
        <v>1603</v>
      </c>
      <c r="DF8">
        <v>2025</v>
      </c>
      <c r="DG8" t="s">
        <v>1680</v>
      </c>
      <c r="DH8" s="6">
        <v>45820</v>
      </c>
      <c r="DI8">
        <v>5</v>
      </c>
      <c r="DJ8">
        <v>78557896</v>
      </c>
      <c r="DK8">
        <v>12129192</v>
      </c>
      <c r="DL8" t="s">
        <v>1681</v>
      </c>
      <c r="DQ8" t="s">
        <v>4001</v>
      </c>
      <c r="DR8" t="s">
        <v>1598</v>
      </c>
      <c r="DS8">
        <v>0.224579</v>
      </c>
      <c r="DT8">
        <v>0.108293</v>
      </c>
      <c r="DU8" t="s">
        <v>1599</v>
      </c>
      <c r="DV8">
        <v>2025</v>
      </c>
      <c r="DW8" t="s">
        <v>4002</v>
      </c>
      <c r="DX8" s="6">
        <v>46009</v>
      </c>
      <c r="DY8">
        <v>5</v>
      </c>
      <c r="DZ8">
        <v>1649301</v>
      </c>
      <c r="EA8">
        <v>101601</v>
      </c>
      <c r="EB8" t="s">
        <v>4003</v>
      </c>
      <c r="EE8" t="s">
        <v>3704</v>
      </c>
      <c r="EF8">
        <v>-2.4245362661989844E-14</v>
      </c>
      <c r="EH8">
        <v>-2.4245362661989844E-14</v>
      </c>
      <c r="EI8" t="s">
        <v>1594</v>
      </c>
      <c r="EJ8">
        <v>2025</v>
      </c>
      <c r="EK8" t="s">
        <v>3705</v>
      </c>
      <c r="EL8" s="6">
        <v>45834</v>
      </c>
      <c r="EM8">
        <v>5</v>
      </c>
      <c r="EN8">
        <v>-2.4245362661989844E-14</v>
      </c>
      <c r="EO8">
        <v>11745327</v>
      </c>
      <c r="EP8" t="s">
        <v>3706</v>
      </c>
      <c r="FY8" t="s">
        <v>3875</v>
      </c>
      <c r="GA8">
        <v>-2.4245362661989844E-14</v>
      </c>
      <c r="GB8">
        <v>-2.4245362661989844E-14</v>
      </c>
      <c r="GC8" t="s">
        <v>1594</v>
      </c>
      <c r="GD8">
        <v>2022</v>
      </c>
      <c r="GE8" t="s">
        <v>3876</v>
      </c>
      <c r="GF8" s="6">
        <v>44697</v>
      </c>
      <c r="GG8">
        <v>5</v>
      </c>
      <c r="GH8">
        <v>-2.4245362661989844E-14</v>
      </c>
      <c r="GI8">
        <v>1725059</v>
      </c>
      <c r="GJ8" t="s">
        <v>3877</v>
      </c>
      <c r="GM8" t="s">
        <v>2864</v>
      </c>
      <c r="GN8">
        <v>-2.4245362661989844E-14</v>
      </c>
      <c r="GP8">
        <v>-2.4245362661989844E-14</v>
      </c>
      <c r="GQ8" t="s">
        <v>1594</v>
      </c>
      <c r="GR8">
        <v>2025</v>
      </c>
      <c r="GS8" t="s">
        <v>2865</v>
      </c>
      <c r="GT8" s="6">
        <v>46073</v>
      </c>
      <c r="GU8">
        <v>5</v>
      </c>
      <c r="GV8">
        <v>-2.4245362661989844E-14</v>
      </c>
      <c r="GW8">
        <v>61158366</v>
      </c>
      <c r="GX8" t="s">
        <v>2866</v>
      </c>
      <c r="IG8" t="s">
        <v>4961</v>
      </c>
      <c r="IH8" t="s">
        <v>1598</v>
      </c>
      <c r="II8">
        <v>10.491263999999999</v>
      </c>
      <c r="IJ8">
        <v>3.784764</v>
      </c>
      <c r="IK8" t="s">
        <v>1664</v>
      </c>
      <c r="IL8">
        <v>2025</v>
      </c>
      <c r="IM8" t="s">
        <v>4962</v>
      </c>
      <c r="IN8" s="6">
        <v>45891</v>
      </c>
      <c r="IO8">
        <v>5</v>
      </c>
      <c r="IP8">
        <v>909613718.26999998</v>
      </c>
      <c r="IQ8">
        <v>12279743</v>
      </c>
      <c r="IR8" t="s">
        <v>4963</v>
      </c>
      <c r="IU8" t="s">
        <v>1786</v>
      </c>
      <c r="IV8">
        <v>0.24043100000000001</v>
      </c>
      <c r="IW8" t="s">
        <v>1598</v>
      </c>
      <c r="IX8">
        <v>7.9492950000000002</v>
      </c>
      <c r="IY8" t="s">
        <v>1664</v>
      </c>
      <c r="IZ8">
        <v>2025</v>
      </c>
      <c r="JA8" t="s">
        <v>1787</v>
      </c>
      <c r="JB8" s="6">
        <v>46008</v>
      </c>
      <c r="JC8">
        <v>5</v>
      </c>
      <c r="JD8">
        <v>184870547.49000001</v>
      </c>
      <c r="JE8">
        <v>349049</v>
      </c>
      <c r="JF8" t="s">
        <v>1788</v>
      </c>
      <c r="JK8" t="s">
        <v>143</v>
      </c>
      <c r="JL8" t="s">
        <v>1598</v>
      </c>
      <c r="JM8">
        <v>5.2456999999999997E-2</v>
      </c>
      <c r="JN8">
        <v>0.27669100000000002</v>
      </c>
      <c r="JO8" t="s">
        <v>1606</v>
      </c>
      <c r="JP8">
        <v>2025</v>
      </c>
      <c r="JQ8" t="s">
        <v>2251</v>
      </c>
      <c r="JR8" s="6">
        <v>45848</v>
      </c>
      <c r="JS8">
        <v>5</v>
      </c>
      <c r="JT8">
        <v>8342237</v>
      </c>
      <c r="JU8">
        <v>101752</v>
      </c>
      <c r="JV8" t="s">
        <v>2265</v>
      </c>
      <c r="JY8" t="s">
        <v>4790</v>
      </c>
      <c r="JZ8">
        <v>1.9157E-2</v>
      </c>
      <c r="KA8" t="s">
        <v>1598</v>
      </c>
      <c r="KB8">
        <v>0.30064800000000003</v>
      </c>
      <c r="KC8" t="s">
        <v>1651</v>
      </c>
      <c r="KD8">
        <v>2025</v>
      </c>
      <c r="KE8" t="s">
        <v>4791</v>
      </c>
      <c r="KF8" s="6">
        <v>45975</v>
      </c>
      <c r="KG8">
        <v>5</v>
      </c>
      <c r="KH8">
        <v>1043897.85</v>
      </c>
      <c r="KI8">
        <v>31500775</v>
      </c>
      <c r="KJ8" t="s">
        <v>4792</v>
      </c>
      <c r="KO8" t="s">
        <v>3171</v>
      </c>
      <c r="KQ8">
        <v>-2.4245362661989844E-14</v>
      </c>
      <c r="KR8">
        <v>-2.4245362661989844E-14</v>
      </c>
      <c r="KS8" t="s">
        <v>1792</v>
      </c>
      <c r="KT8">
        <v>2026</v>
      </c>
      <c r="KU8" t="s">
        <v>3172</v>
      </c>
      <c r="KV8" s="6">
        <v>45996</v>
      </c>
      <c r="KW8">
        <v>5</v>
      </c>
      <c r="KX8">
        <v>-2.4245362661989844E-14</v>
      </c>
      <c r="KY8">
        <v>114153</v>
      </c>
      <c r="KZ8" t="s">
        <v>3173</v>
      </c>
      <c r="LC8" t="s">
        <v>2703</v>
      </c>
      <c r="LD8">
        <v>-2.4245362661989844E-14</v>
      </c>
      <c r="LF8">
        <v>-2.4245362661989844E-14</v>
      </c>
      <c r="LG8" t="s">
        <v>1594</v>
      </c>
      <c r="LH8">
        <v>2021</v>
      </c>
      <c r="LI8" t="s">
        <v>2704</v>
      </c>
      <c r="LJ8" s="6">
        <v>44683</v>
      </c>
      <c r="LK8">
        <v>5</v>
      </c>
      <c r="LL8">
        <v>-2.4245362661989844E-14</v>
      </c>
      <c r="LM8">
        <v>10758505</v>
      </c>
      <c r="LN8" t="s">
        <v>2705</v>
      </c>
      <c r="LS8" t="s">
        <v>5339</v>
      </c>
      <c r="LT8" t="s">
        <v>1598</v>
      </c>
      <c r="LU8">
        <v>4.5196880000000004</v>
      </c>
      <c r="LV8">
        <v>0.25710499999999997</v>
      </c>
      <c r="LW8" t="s">
        <v>1599</v>
      </c>
      <c r="LX8">
        <v>2025</v>
      </c>
      <c r="LY8" t="s">
        <v>5334</v>
      </c>
      <c r="LZ8" s="6">
        <v>46009</v>
      </c>
      <c r="MA8">
        <v>5</v>
      </c>
      <c r="MB8">
        <v>12418171</v>
      </c>
      <c r="MC8">
        <v>28305618</v>
      </c>
      <c r="MD8" t="s">
        <v>5340</v>
      </c>
      <c r="MG8" t="s">
        <v>5076</v>
      </c>
      <c r="MH8">
        <v>-2.4245362661989844E-14</v>
      </c>
      <c r="MJ8">
        <v>-2.4245362661989844E-14</v>
      </c>
      <c r="MK8" t="s">
        <v>1594</v>
      </c>
      <c r="ML8">
        <v>2024</v>
      </c>
      <c r="MM8" t="s">
        <v>5077</v>
      </c>
      <c r="MN8" s="6">
        <v>45709</v>
      </c>
      <c r="MO8">
        <v>5</v>
      </c>
      <c r="MP8">
        <v>-2.4245362661989844E-14</v>
      </c>
      <c r="MQ8">
        <v>7022586</v>
      </c>
      <c r="MR8" t="s">
        <v>5078</v>
      </c>
      <c r="MW8" t="s">
        <v>428</v>
      </c>
      <c r="MX8" t="s">
        <v>1598</v>
      </c>
      <c r="MY8">
        <v>17</v>
      </c>
      <c r="MZ8">
        <v>3.5607669999999998</v>
      </c>
      <c r="NA8" t="s">
        <v>1594</v>
      </c>
      <c r="NB8">
        <v>2025</v>
      </c>
      <c r="NC8" t="s">
        <v>2379</v>
      </c>
      <c r="ND8" s="6">
        <v>46077</v>
      </c>
      <c r="NE8">
        <v>5</v>
      </c>
      <c r="NF8">
        <v>452395488</v>
      </c>
      <c r="NG8">
        <v>210870</v>
      </c>
      <c r="NH8" t="s">
        <v>2380</v>
      </c>
      <c r="NK8" t="s">
        <v>2589</v>
      </c>
      <c r="NL8">
        <v>1.3672E-2</v>
      </c>
      <c r="NM8" t="s">
        <v>1598</v>
      </c>
      <c r="NN8">
        <v>7.3932999999999999E-2</v>
      </c>
      <c r="NO8" t="s">
        <v>1664</v>
      </c>
      <c r="NP8">
        <v>2026</v>
      </c>
      <c r="NQ8" t="s">
        <v>2590</v>
      </c>
      <c r="NR8" s="6">
        <v>46063</v>
      </c>
      <c r="NS8">
        <v>5</v>
      </c>
      <c r="NT8">
        <v>4181589</v>
      </c>
      <c r="NU8">
        <v>100142</v>
      </c>
      <c r="NV8" t="s">
        <v>2591</v>
      </c>
      <c r="OA8" t="s">
        <v>1639</v>
      </c>
      <c r="OB8" t="s">
        <v>1634</v>
      </c>
      <c r="OC8">
        <v>3.774562</v>
      </c>
      <c r="OD8">
        <v>1.7094309999999999</v>
      </c>
      <c r="OE8" t="s">
        <v>1606</v>
      </c>
      <c r="OF8">
        <v>2024</v>
      </c>
      <c r="OG8" t="s">
        <v>3889</v>
      </c>
      <c r="OH8" s="6">
        <v>45736</v>
      </c>
      <c r="OI8">
        <v>5</v>
      </c>
      <c r="OJ8">
        <v>15641294</v>
      </c>
      <c r="OK8">
        <v>10092517</v>
      </c>
      <c r="OL8" t="s">
        <v>1641</v>
      </c>
      <c r="OO8" t="s">
        <v>1894</v>
      </c>
      <c r="OP8">
        <v>4.7757000000000001E-2</v>
      </c>
      <c r="OQ8" t="s">
        <v>1598</v>
      </c>
      <c r="OR8">
        <v>9.2510999999999996E-2</v>
      </c>
      <c r="OS8" t="s">
        <v>1606</v>
      </c>
      <c r="OT8">
        <v>2025</v>
      </c>
      <c r="OU8" t="s">
        <v>1895</v>
      </c>
      <c r="OV8" s="6">
        <v>46091</v>
      </c>
      <c r="OW8">
        <v>5</v>
      </c>
      <c r="OX8">
        <v>1452302</v>
      </c>
      <c r="OY8">
        <v>156637</v>
      </c>
      <c r="OZ8" t="s">
        <v>1896</v>
      </c>
      <c r="PE8" t="s">
        <v>3432</v>
      </c>
      <c r="PF8" t="s">
        <v>1685</v>
      </c>
      <c r="PG8">
        <v>13</v>
      </c>
      <c r="PH8">
        <v>0.32028699999999999</v>
      </c>
      <c r="PI8" t="s">
        <v>1594</v>
      </c>
      <c r="PJ8">
        <v>2024</v>
      </c>
      <c r="PK8" t="s">
        <v>3433</v>
      </c>
      <c r="PL8" s="6">
        <v>45761</v>
      </c>
      <c r="PM8">
        <v>5</v>
      </c>
      <c r="PN8">
        <v>5277818.2300000004</v>
      </c>
      <c r="PO8">
        <v>115383</v>
      </c>
      <c r="PP8" t="s">
        <v>3434</v>
      </c>
      <c r="PS8" t="s">
        <v>3305</v>
      </c>
      <c r="PT8">
        <v>-2.4245362661989844E-14</v>
      </c>
      <c r="PV8">
        <v>-2.4245362661989844E-14</v>
      </c>
      <c r="PW8" t="s">
        <v>1594</v>
      </c>
      <c r="PX8">
        <v>2024</v>
      </c>
      <c r="PY8" t="s">
        <v>3306</v>
      </c>
      <c r="PZ8" s="6">
        <v>45734</v>
      </c>
      <c r="QA8">
        <v>5</v>
      </c>
      <c r="QB8">
        <v>-2.4245362661989844E-14</v>
      </c>
      <c r="QC8">
        <v>7980587</v>
      </c>
      <c r="QD8" t="s">
        <v>3307</v>
      </c>
      <c r="QI8" t="s">
        <v>493</v>
      </c>
      <c r="QJ8" t="s">
        <v>1598</v>
      </c>
      <c r="QK8">
        <v>0.124473</v>
      </c>
      <c r="QL8">
        <v>0.116713</v>
      </c>
      <c r="QM8" t="s">
        <v>1606</v>
      </c>
      <c r="QN8">
        <v>2025</v>
      </c>
      <c r="QO8" t="s">
        <v>2093</v>
      </c>
      <c r="QP8" s="6">
        <v>46071</v>
      </c>
      <c r="QQ8">
        <v>5</v>
      </c>
      <c r="QR8">
        <v>4898448</v>
      </c>
      <c r="QS8">
        <v>100499</v>
      </c>
      <c r="QT8" t="s">
        <v>2094</v>
      </c>
      <c r="RM8" t="s">
        <v>240</v>
      </c>
      <c r="RN8" t="s">
        <v>1598</v>
      </c>
      <c r="RO8">
        <v>1.8476189999999999</v>
      </c>
      <c r="RP8">
        <v>0.497726</v>
      </c>
      <c r="RQ8" t="s">
        <v>1599</v>
      </c>
      <c r="RR8">
        <v>2025</v>
      </c>
      <c r="RS8" t="s">
        <v>2219</v>
      </c>
      <c r="RT8" s="6">
        <v>46018</v>
      </c>
      <c r="RU8">
        <v>5</v>
      </c>
      <c r="RV8">
        <v>443299232</v>
      </c>
      <c r="RW8">
        <v>100828</v>
      </c>
      <c r="RX8" t="s">
        <v>1865</v>
      </c>
      <c r="SA8" t="s">
        <v>3589</v>
      </c>
      <c r="SB8">
        <v>-2.4245362661989844E-14</v>
      </c>
      <c r="SD8">
        <v>-2.4245362661989844E-14</v>
      </c>
      <c r="SE8" t="s">
        <v>1594</v>
      </c>
      <c r="SF8">
        <v>2023</v>
      </c>
      <c r="SG8" t="s">
        <v>3588</v>
      </c>
      <c r="SH8" s="6">
        <v>44964</v>
      </c>
      <c r="SI8">
        <v>5</v>
      </c>
      <c r="SJ8">
        <v>-2.4245362661989844E-14</v>
      </c>
      <c r="SK8">
        <v>33578464</v>
      </c>
      <c r="SL8" t="s">
        <v>3590</v>
      </c>
      <c r="SQ8" t="s">
        <v>110</v>
      </c>
      <c r="SS8">
        <v>-2.4245362661989844E-14</v>
      </c>
      <c r="ST8">
        <v>-2.4245362661989844E-14</v>
      </c>
      <c r="SU8" t="s">
        <v>1594</v>
      </c>
      <c r="SV8">
        <v>2021</v>
      </c>
      <c r="SW8" t="s">
        <v>4239</v>
      </c>
      <c r="SX8" s="6">
        <v>44693</v>
      </c>
      <c r="SY8">
        <v>5</v>
      </c>
      <c r="SZ8">
        <v>-2.4245362661989844E-14</v>
      </c>
      <c r="TA8">
        <v>100193</v>
      </c>
      <c r="TB8" t="s">
        <v>3708</v>
      </c>
      <c r="UY8" t="s">
        <v>2559</v>
      </c>
      <c r="UZ8" t="s">
        <v>1598</v>
      </c>
      <c r="VA8">
        <v>0.30367300000000003</v>
      </c>
      <c r="VB8">
        <v>0.37271100000000001</v>
      </c>
      <c r="VC8" t="s">
        <v>1599</v>
      </c>
      <c r="VD8">
        <v>2025</v>
      </c>
      <c r="VE8" t="s">
        <v>2560</v>
      </c>
      <c r="VF8" s="6">
        <v>45867</v>
      </c>
      <c r="VG8">
        <v>5</v>
      </c>
      <c r="VH8">
        <v>23771522</v>
      </c>
      <c r="VI8">
        <v>117092</v>
      </c>
      <c r="VJ8" t="s">
        <v>2561</v>
      </c>
      <c r="VM8" t="s">
        <v>2833</v>
      </c>
      <c r="VN8">
        <v>-2.4245362661989844E-14</v>
      </c>
      <c r="VP8">
        <v>-2.4245362661989844E-14</v>
      </c>
      <c r="VQ8" t="s">
        <v>1651</v>
      </c>
      <c r="VR8">
        <v>2025</v>
      </c>
      <c r="VS8" t="s">
        <v>2834</v>
      </c>
      <c r="VT8" s="6">
        <v>45975</v>
      </c>
      <c r="VU8">
        <v>5</v>
      </c>
      <c r="VV8">
        <v>-2.4245362661989844E-14</v>
      </c>
      <c r="VW8">
        <v>1459457</v>
      </c>
      <c r="VX8" t="s">
        <v>2835</v>
      </c>
    </row>
    <row r="9" spans="1:600" x14ac:dyDescent="0.25">
      <c r="AE9" t="s">
        <v>3373</v>
      </c>
      <c r="AF9" t="s">
        <v>1685</v>
      </c>
      <c r="AG9">
        <v>0.23294300000000001</v>
      </c>
      <c r="AH9">
        <v>0.27798299999999998</v>
      </c>
      <c r="AI9" t="s">
        <v>1664</v>
      </c>
      <c r="AJ9">
        <v>2026</v>
      </c>
      <c r="AK9" t="s">
        <v>3374</v>
      </c>
      <c r="AL9" s="6">
        <v>46022</v>
      </c>
      <c r="AM9">
        <v>5</v>
      </c>
      <c r="AN9">
        <v>10921772.949999999</v>
      </c>
      <c r="AO9">
        <v>174545</v>
      </c>
      <c r="AP9" t="s">
        <v>3375</v>
      </c>
      <c r="AS9" t="s">
        <v>1786</v>
      </c>
      <c r="AT9">
        <v>7.2431999999999996E-2</v>
      </c>
      <c r="AU9" t="s">
        <v>1598</v>
      </c>
      <c r="AV9">
        <v>0.31743900000000003</v>
      </c>
      <c r="AW9" t="s">
        <v>1664</v>
      </c>
      <c r="AX9">
        <v>2025</v>
      </c>
      <c r="AY9" t="s">
        <v>1787</v>
      </c>
      <c r="AZ9" s="6">
        <v>46008</v>
      </c>
      <c r="BA9">
        <v>5</v>
      </c>
      <c r="BB9">
        <v>7382431.75</v>
      </c>
      <c r="BC9">
        <v>349049</v>
      </c>
      <c r="BD9" t="s">
        <v>1788</v>
      </c>
      <c r="BI9" t="s">
        <v>493</v>
      </c>
      <c r="BJ9" t="s">
        <v>1598</v>
      </c>
      <c r="BK9">
        <v>0.123136</v>
      </c>
      <c r="BL9">
        <v>0.19595000000000001</v>
      </c>
      <c r="BM9" t="s">
        <v>1603</v>
      </c>
      <c r="BN9">
        <v>2025</v>
      </c>
      <c r="BO9" t="s">
        <v>2093</v>
      </c>
      <c r="BP9" s="6">
        <v>45795</v>
      </c>
      <c r="BQ9">
        <v>5</v>
      </c>
      <c r="BR9">
        <v>4845833</v>
      </c>
      <c r="BS9">
        <v>100499</v>
      </c>
      <c r="BT9" t="s">
        <v>2094</v>
      </c>
      <c r="BW9" t="s">
        <v>4370</v>
      </c>
      <c r="BX9">
        <v>-2.4245362661989844E-14</v>
      </c>
      <c r="BZ9">
        <v>-2.4245362661989844E-14</v>
      </c>
      <c r="CA9" t="s">
        <v>1594</v>
      </c>
      <c r="CB9">
        <v>2021</v>
      </c>
      <c r="CC9" t="s">
        <v>4240</v>
      </c>
      <c r="CD9" s="6">
        <v>44693</v>
      </c>
      <c r="CE9">
        <v>5</v>
      </c>
      <c r="CF9">
        <v>-2.4245362661989844E-14</v>
      </c>
      <c r="CG9">
        <v>227360</v>
      </c>
      <c r="CH9" t="s">
        <v>4371</v>
      </c>
      <c r="CM9" t="s">
        <v>2236</v>
      </c>
      <c r="CN9" t="s">
        <v>1598</v>
      </c>
      <c r="CO9">
        <v>10.5</v>
      </c>
      <c r="CP9">
        <v>7.349405</v>
      </c>
      <c r="CQ9" t="s">
        <v>1594</v>
      </c>
      <c r="CR9">
        <v>2024</v>
      </c>
      <c r="CS9" t="s">
        <v>2237</v>
      </c>
      <c r="CT9" s="6">
        <v>45744</v>
      </c>
      <c r="CU9">
        <v>5</v>
      </c>
      <c r="CV9">
        <v>778954139.5</v>
      </c>
      <c r="CW9">
        <v>113389</v>
      </c>
      <c r="CX9" t="s">
        <v>2238</v>
      </c>
      <c r="DA9" t="s">
        <v>1786</v>
      </c>
      <c r="DB9">
        <v>0.56558799999999998</v>
      </c>
      <c r="DC9" t="s">
        <v>1598</v>
      </c>
      <c r="DD9">
        <v>3.5370110000000001</v>
      </c>
      <c r="DE9" t="s">
        <v>1664</v>
      </c>
      <c r="DF9">
        <v>2025</v>
      </c>
      <c r="DG9" t="s">
        <v>1787</v>
      </c>
      <c r="DH9" s="6">
        <v>46008</v>
      </c>
      <c r="DI9">
        <v>5</v>
      </c>
      <c r="DJ9">
        <v>82257509.170000002</v>
      </c>
      <c r="DK9">
        <v>349049</v>
      </c>
      <c r="DL9" t="s">
        <v>1788</v>
      </c>
      <c r="DQ9" t="s">
        <v>3042</v>
      </c>
      <c r="DR9" t="s">
        <v>1634</v>
      </c>
      <c r="DS9">
        <v>4.7656999999999998E-2</v>
      </c>
      <c r="DT9">
        <v>0.32179200000000002</v>
      </c>
      <c r="DU9" t="s">
        <v>1606</v>
      </c>
      <c r="DV9">
        <v>2024</v>
      </c>
      <c r="DW9" t="s">
        <v>3043</v>
      </c>
      <c r="DX9" s="6">
        <v>45770</v>
      </c>
      <c r="DY9">
        <v>5</v>
      </c>
      <c r="DZ9">
        <v>892312.96</v>
      </c>
      <c r="EA9">
        <v>186659</v>
      </c>
      <c r="EB9" t="s">
        <v>3044</v>
      </c>
      <c r="EE9" t="s">
        <v>6189</v>
      </c>
      <c r="EF9">
        <v>-2.4245362661989844E-14</v>
      </c>
      <c r="EH9">
        <v>-2.4245362661989844E-14</v>
      </c>
      <c r="EI9" t="s">
        <v>1792</v>
      </c>
      <c r="EJ9">
        <v>2025</v>
      </c>
      <c r="EK9" t="s">
        <v>6190</v>
      </c>
      <c r="EL9" s="6">
        <v>45895</v>
      </c>
      <c r="EM9">
        <v>5</v>
      </c>
      <c r="EN9">
        <v>-2.4245362661989844E-14</v>
      </c>
      <c r="EO9">
        <v>20515250</v>
      </c>
      <c r="EP9" t="s">
        <v>6191</v>
      </c>
      <c r="FY9" t="s">
        <v>3235</v>
      </c>
      <c r="GA9">
        <v>-2.4245362661989844E-14</v>
      </c>
      <c r="GB9">
        <v>-2.4245362661989844E-14</v>
      </c>
      <c r="GC9" t="s">
        <v>1594</v>
      </c>
      <c r="GD9">
        <v>2023</v>
      </c>
      <c r="GE9" t="s">
        <v>3236</v>
      </c>
      <c r="GF9" s="6">
        <v>45462</v>
      </c>
      <c r="GG9">
        <v>5</v>
      </c>
      <c r="GH9">
        <v>-2.4245362661989844E-14</v>
      </c>
      <c r="GI9">
        <v>48621208</v>
      </c>
      <c r="GJ9" t="s">
        <v>3237</v>
      </c>
      <c r="GM9" t="s">
        <v>2867</v>
      </c>
      <c r="GN9">
        <v>-2.4245362661989844E-14</v>
      </c>
      <c r="GP9">
        <v>-2.4245362661989844E-14</v>
      </c>
      <c r="GQ9" t="s">
        <v>1594</v>
      </c>
      <c r="GR9">
        <v>2022</v>
      </c>
      <c r="GS9" t="s">
        <v>2868</v>
      </c>
      <c r="GT9" s="6">
        <v>44974</v>
      </c>
      <c r="GU9">
        <v>5</v>
      </c>
      <c r="GV9">
        <v>-2.4245362661989844E-14</v>
      </c>
      <c r="GW9">
        <v>36379759</v>
      </c>
      <c r="GX9" t="s">
        <v>2869</v>
      </c>
      <c r="IG9" t="s">
        <v>4964</v>
      </c>
      <c r="IH9" t="s">
        <v>1598</v>
      </c>
      <c r="II9">
        <v>67</v>
      </c>
      <c r="IJ9">
        <v>3.5827270000000002</v>
      </c>
      <c r="IK9" t="s">
        <v>1594</v>
      </c>
      <c r="IL9">
        <v>2025</v>
      </c>
      <c r="IM9" t="s">
        <v>4965</v>
      </c>
      <c r="IN9" s="6">
        <v>46083</v>
      </c>
      <c r="IO9">
        <v>5</v>
      </c>
      <c r="IP9">
        <v>859442496</v>
      </c>
      <c r="IQ9">
        <v>69597326</v>
      </c>
      <c r="IR9" t="s">
        <v>4966</v>
      </c>
      <c r="IU9" t="s">
        <v>1663</v>
      </c>
      <c r="IV9">
        <v>0.23485800000000001</v>
      </c>
      <c r="IW9" t="s">
        <v>1598</v>
      </c>
      <c r="IX9">
        <v>0.132383</v>
      </c>
      <c r="IY9" t="s">
        <v>1599</v>
      </c>
      <c r="IZ9">
        <v>2025</v>
      </c>
      <c r="JA9" t="s">
        <v>1735</v>
      </c>
      <c r="JB9" s="6">
        <v>45843</v>
      </c>
      <c r="JC9">
        <v>5</v>
      </c>
      <c r="JD9">
        <v>164555600</v>
      </c>
      <c r="JE9">
        <v>101616</v>
      </c>
      <c r="JF9" t="s">
        <v>1666</v>
      </c>
      <c r="JK9" t="s">
        <v>2335</v>
      </c>
      <c r="JL9" t="s">
        <v>1598</v>
      </c>
      <c r="JM9">
        <v>0.122061</v>
      </c>
      <c r="JN9">
        <v>0.23411100000000001</v>
      </c>
      <c r="JO9" t="s">
        <v>1664</v>
      </c>
      <c r="JP9">
        <v>2026</v>
      </c>
      <c r="JQ9" t="s">
        <v>2336</v>
      </c>
      <c r="JR9" s="6">
        <v>46071</v>
      </c>
      <c r="JS9">
        <v>5</v>
      </c>
      <c r="JT9">
        <v>6651104</v>
      </c>
      <c r="JU9">
        <v>61417091</v>
      </c>
      <c r="JV9" t="s">
        <v>2337</v>
      </c>
      <c r="JY9" t="s">
        <v>4793</v>
      </c>
      <c r="JZ9">
        <v>1.6264000000000001E-2</v>
      </c>
      <c r="KA9" t="s">
        <v>1598</v>
      </c>
      <c r="KB9">
        <v>9.9381559999999993</v>
      </c>
      <c r="KC9" t="s">
        <v>1594</v>
      </c>
      <c r="KD9">
        <v>2024</v>
      </c>
      <c r="KE9" t="s">
        <v>4794</v>
      </c>
      <c r="KF9" s="6">
        <v>45810</v>
      </c>
      <c r="KG9">
        <v>5</v>
      </c>
      <c r="KH9">
        <v>857742.71</v>
      </c>
      <c r="KI9">
        <v>11741814</v>
      </c>
      <c r="KJ9" t="s">
        <v>4795</v>
      </c>
      <c r="KO9" t="s">
        <v>3174</v>
      </c>
      <c r="KQ9">
        <v>-2.4245362661989844E-14</v>
      </c>
      <c r="KR9">
        <v>-2.4245362661989844E-14</v>
      </c>
      <c r="KS9" t="s">
        <v>1599</v>
      </c>
      <c r="KT9">
        <v>2022</v>
      </c>
      <c r="KU9" t="s">
        <v>3175</v>
      </c>
      <c r="KV9" s="6">
        <v>44896</v>
      </c>
      <c r="KW9">
        <v>5</v>
      </c>
      <c r="KX9">
        <v>-2.4245362661989844E-14</v>
      </c>
      <c r="KY9">
        <v>10418343</v>
      </c>
      <c r="KZ9" t="s">
        <v>3176</v>
      </c>
      <c r="LC9" t="s">
        <v>2706</v>
      </c>
      <c r="LD9">
        <v>-2.4245362661989844E-14</v>
      </c>
      <c r="LF9">
        <v>-2.4245362661989844E-14</v>
      </c>
      <c r="LG9" t="s">
        <v>1651</v>
      </c>
      <c r="LH9">
        <v>2025</v>
      </c>
      <c r="LI9" t="s">
        <v>2707</v>
      </c>
      <c r="LJ9" s="6">
        <v>45961</v>
      </c>
      <c r="LK9">
        <v>5</v>
      </c>
      <c r="LL9">
        <v>-2.4245362661989844E-14</v>
      </c>
      <c r="LM9">
        <v>157171</v>
      </c>
      <c r="LN9" t="s">
        <v>2708</v>
      </c>
      <c r="LS9" t="s">
        <v>5076</v>
      </c>
      <c r="LT9" t="s">
        <v>1598</v>
      </c>
      <c r="LU9">
        <v>0.93358799999999997</v>
      </c>
      <c r="LV9">
        <v>0.24143200000000001</v>
      </c>
      <c r="LW9" t="s">
        <v>1603</v>
      </c>
      <c r="LX9">
        <v>2025</v>
      </c>
      <c r="LY9" t="s">
        <v>5334</v>
      </c>
      <c r="LZ9" s="6">
        <v>45859</v>
      </c>
      <c r="MA9">
        <v>5</v>
      </c>
      <c r="MB9">
        <v>10193259</v>
      </c>
      <c r="MC9">
        <v>7022586</v>
      </c>
      <c r="MD9" t="s">
        <v>5078</v>
      </c>
      <c r="MG9" t="s">
        <v>5079</v>
      </c>
      <c r="MH9">
        <v>-2.4245362661989844E-14</v>
      </c>
      <c r="MJ9">
        <v>-2.4245362661989844E-14</v>
      </c>
      <c r="MK9" t="s">
        <v>1651</v>
      </c>
      <c r="ML9">
        <v>2023</v>
      </c>
      <c r="MM9" t="s">
        <v>5080</v>
      </c>
      <c r="MN9" s="6">
        <v>45230</v>
      </c>
      <c r="MO9">
        <v>5</v>
      </c>
      <c r="MP9">
        <v>-2.4245362661989844E-14</v>
      </c>
      <c r="MQ9">
        <v>128416</v>
      </c>
      <c r="MR9" t="s">
        <v>5081</v>
      </c>
      <c r="MW9" t="s">
        <v>3184</v>
      </c>
      <c r="MX9" t="s">
        <v>1634</v>
      </c>
      <c r="MY9">
        <v>24.9</v>
      </c>
      <c r="MZ9">
        <v>7.4053610000000001</v>
      </c>
      <c r="NA9" t="s">
        <v>1599</v>
      </c>
      <c r="NB9">
        <v>2026</v>
      </c>
      <c r="NC9" t="s">
        <v>3185</v>
      </c>
      <c r="ND9" s="6">
        <v>45981</v>
      </c>
      <c r="NE9">
        <v>5</v>
      </c>
      <c r="NF9">
        <v>361900000</v>
      </c>
      <c r="NG9">
        <v>100487</v>
      </c>
      <c r="NH9" t="s">
        <v>3186</v>
      </c>
      <c r="NK9" t="s">
        <v>2592</v>
      </c>
      <c r="NL9">
        <v>7.0479999999999996E-3</v>
      </c>
      <c r="NM9" t="s">
        <v>1598</v>
      </c>
      <c r="NN9">
        <v>0.37631900000000001</v>
      </c>
      <c r="NO9" t="s">
        <v>1606</v>
      </c>
      <c r="NP9">
        <v>2024</v>
      </c>
      <c r="NQ9" t="s">
        <v>2593</v>
      </c>
      <c r="NR9" s="6">
        <v>45742</v>
      </c>
      <c r="NS9">
        <v>5</v>
      </c>
      <c r="NT9">
        <v>2163480.08</v>
      </c>
      <c r="NU9">
        <v>153672</v>
      </c>
      <c r="NV9" t="s">
        <v>2594</v>
      </c>
      <c r="OA9" t="s">
        <v>2041</v>
      </c>
      <c r="OB9" t="s">
        <v>1634</v>
      </c>
      <c r="OC9">
        <v>1.4444140000000001</v>
      </c>
      <c r="OD9">
        <v>1.9580120000000001</v>
      </c>
      <c r="OE9" t="s">
        <v>1603</v>
      </c>
      <c r="OF9">
        <v>2025</v>
      </c>
      <c r="OG9" t="s">
        <v>3890</v>
      </c>
      <c r="OH9" s="6">
        <v>45812</v>
      </c>
      <c r="OI9">
        <v>5</v>
      </c>
      <c r="OJ9">
        <v>15487874</v>
      </c>
      <c r="OK9">
        <v>211040</v>
      </c>
      <c r="OL9" t="s">
        <v>2043</v>
      </c>
      <c r="OO9" t="s">
        <v>3727</v>
      </c>
      <c r="OP9">
        <v>-2.4245362661989844E-14</v>
      </c>
      <c r="OR9">
        <v>-2.4245362661989844E-14</v>
      </c>
      <c r="OS9" t="s">
        <v>1606</v>
      </c>
      <c r="OT9">
        <v>2025</v>
      </c>
      <c r="OU9" t="s">
        <v>3728</v>
      </c>
      <c r="OV9" s="6">
        <v>46056</v>
      </c>
      <c r="OW9">
        <v>5</v>
      </c>
      <c r="OX9">
        <v>-2.4245362661989844E-14</v>
      </c>
      <c r="OY9">
        <v>202508</v>
      </c>
      <c r="OZ9" t="s">
        <v>3729</v>
      </c>
      <c r="PE9" t="s">
        <v>3082</v>
      </c>
      <c r="PF9" t="s">
        <v>1685</v>
      </c>
      <c r="PG9">
        <v>2.3601529999999999</v>
      </c>
      <c r="PH9">
        <v>0.26850400000000002</v>
      </c>
      <c r="PI9" t="s">
        <v>1594</v>
      </c>
      <c r="PJ9">
        <v>2024</v>
      </c>
      <c r="PK9" t="s">
        <v>3083</v>
      </c>
      <c r="PL9" s="6">
        <v>45715</v>
      </c>
      <c r="PM9">
        <v>5</v>
      </c>
      <c r="PN9">
        <v>4469251</v>
      </c>
      <c r="PO9">
        <v>979463</v>
      </c>
      <c r="PP9" t="s">
        <v>3084</v>
      </c>
      <c r="PS9" t="s">
        <v>3308</v>
      </c>
      <c r="PT9">
        <v>-2.4245362661989844E-14</v>
      </c>
      <c r="PV9">
        <v>-2.4245362661989844E-14</v>
      </c>
      <c r="PW9" t="s">
        <v>1594</v>
      </c>
      <c r="PX9">
        <v>2024</v>
      </c>
      <c r="PY9" t="s">
        <v>3309</v>
      </c>
      <c r="PZ9" s="6">
        <v>45333</v>
      </c>
      <c r="QA9">
        <v>5</v>
      </c>
      <c r="QB9">
        <v>-2.4245362661989844E-14</v>
      </c>
      <c r="QC9">
        <v>136993</v>
      </c>
      <c r="QD9" t="s">
        <v>3310</v>
      </c>
      <c r="QI9" t="s">
        <v>3906</v>
      </c>
      <c r="QJ9" t="s">
        <v>1685</v>
      </c>
      <c r="QK9">
        <v>2.7852589999999999</v>
      </c>
      <c r="QL9">
        <v>9.2419000000000001E-2</v>
      </c>
      <c r="QM9" t="s">
        <v>1594</v>
      </c>
      <c r="QN9">
        <v>2024</v>
      </c>
      <c r="QO9" t="s">
        <v>3907</v>
      </c>
      <c r="QP9" s="6">
        <v>45702</v>
      </c>
      <c r="QQ9">
        <v>5</v>
      </c>
      <c r="QR9">
        <v>3971250</v>
      </c>
      <c r="QS9">
        <v>225922</v>
      </c>
      <c r="QT9" t="s">
        <v>3908</v>
      </c>
      <c r="RM9" t="s">
        <v>4153</v>
      </c>
      <c r="RN9" t="s">
        <v>1598</v>
      </c>
      <c r="RO9">
        <v>3.2864840000000002</v>
      </c>
      <c r="RP9">
        <v>0.48448999999999998</v>
      </c>
      <c r="RQ9" t="s">
        <v>1599</v>
      </c>
      <c r="RR9">
        <v>2025</v>
      </c>
      <c r="RS9" t="s">
        <v>4154</v>
      </c>
      <c r="RT9" s="6">
        <v>45981</v>
      </c>
      <c r="RU9">
        <v>5</v>
      </c>
      <c r="RV9">
        <v>431591971.77999997</v>
      </c>
      <c r="RW9">
        <v>115414</v>
      </c>
      <c r="RX9" t="s">
        <v>4155</v>
      </c>
      <c r="SA9" t="s">
        <v>2727</v>
      </c>
      <c r="SB9">
        <v>-2.4245362661989844E-14</v>
      </c>
      <c r="SD9">
        <v>-2.4245362661989844E-14</v>
      </c>
      <c r="SE9" t="s">
        <v>1594</v>
      </c>
      <c r="SF9">
        <v>2025</v>
      </c>
      <c r="SG9" t="s">
        <v>3587</v>
      </c>
      <c r="SH9" s="6">
        <v>46063</v>
      </c>
      <c r="SI9">
        <v>5</v>
      </c>
      <c r="SJ9">
        <v>-2.4245362661989844E-14</v>
      </c>
      <c r="SK9">
        <v>17483390</v>
      </c>
      <c r="SL9" t="s">
        <v>2729</v>
      </c>
      <c r="SQ9" t="s">
        <v>172</v>
      </c>
      <c r="SS9">
        <v>-2.4245362661989844E-14</v>
      </c>
      <c r="ST9">
        <v>-2.4245362661989844E-14</v>
      </c>
      <c r="SU9" t="s">
        <v>1594</v>
      </c>
      <c r="SV9">
        <v>2021</v>
      </c>
      <c r="SW9" t="s">
        <v>4240</v>
      </c>
      <c r="SX9" s="6">
        <v>44693</v>
      </c>
      <c r="SY9">
        <v>5</v>
      </c>
      <c r="SZ9">
        <v>-2.4245362661989844E-14</v>
      </c>
      <c r="TA9">
        <v>100481</v>
      </c>
      <c r="TB9" t="s">
        <v>4241</v>
      </c>
      <c r="UY9" t="s">
        <v>1905</v>
      </c>
      <c r="UZ9" t="s">
        <v>1598</v>
      </c>
      <c r="VA9">
        <v>8.0865999999999993E-2</v>
      </c>
      <c r="VB9">
        <v>0.27508500000000002</v>
      </c>
      <c r="VC9" t="s">
        <v>1603</v>
      </c>
      <c r="VD9">
        <v>2026</v>
      </c>
      <c r="VE9" t="s">
        <v>3359</v>
      </c>
      <c r="VF9" s="6">
        <v>45980</v>
      </c>
      <c r="VG9">
        <v>5</v>
      </c>
      <c r="VH9">
        <v>17987832</v>
      </c>
      <c r="VI9">
        <v>100554</v>
      </c>
      <c r="VJ9" t="s">
        <v>1906</v>
      </c>
      <c r="VM9" t="s">
        <v>2836</v>
      </c>
      <c r="VN9">
        <v>-2.4245362661989844E-14</v>
      </c>
      <c r="VP9">
        <v>-2.4245362661989844E-14</v>
      </c>
      <c r="VQ9" t="s">
        <v>1594</v>
      </c>
      <c r="VR9">
        <v>2024</v>
      </c>
      <c r="VS9" t="s">
        <v>2837</v>
      </c>
      <c r="VT9" s="6">
        <v>45774</v>
      </c>
      <c r="VU9">
        <v>5</v>
      </c>
      <c r="VV9">
        <v>-2.4245362661989844E-14</v>
      </c>
      <c r="VW9">
        <v>9020238</v>
      </c>
      <c r="VX9" t="s">
        <v>2838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186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187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188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189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190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191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192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193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194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195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196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197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198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199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200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201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202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203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204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82</v>
      </c>
      <c r="AE2" s="3" t="s">
        <v>78</v>
      </c>
      <c r="BI2" s="3" t="s">
        <v>25</v>
      </c>
      <c r="CM2" s="3" t="s">
        <v>205</v>
      </c>
      <c r="DQ2" s="3" t="s">
        <v>180</v>
      </c>
      <c r="EU2" s="3" t="s">
        <v>206</v>
      </c>
      <c r="FY2" s="3" t="s">
        <v>26</v>
      </c>
      <c r="HC2" s="3" t="s">
        <v>207</v>
      </c>
      <c r="IG2" s="3" t="s">
        <v>208</v>
      </c>
      <c r="JK2" s="3" t="s">
        <v>34</v>
      </c>
      <c r="KO2" s="3" t="s">
        <v>209</v>
      </c>
      <c r="LS2" s="3" t="s">
        <v>210</v>
      </c>
      <c r="MW2" s="3" t="s">
        <v>211</v>
      </c>
      <c r="OA2" s="3" t="s">
        <v>22</v>
      </c>
      <c r="PE2" s="3" t="s">
        <v>212</v>
      </c>
      <c r="QI2" s="3" t="s">
        <v>110</v>
      </c>
      <c r="RM2" s="3" t="s">
        <v>213</v>
      </c>
      <c r="SQ2" s="3" t="s">
        <v>214</v>
      </c>
      <c r="TU2" s="3" t="s">
        <v>215</v>
      </c>
      <c r="UY2" s="3" t="s">
        <v>178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_xll.BDS("CVX US Equity","SUPPLY_CHAIN_SUPPLIERS_ALL_DATA","cols=12;rows=5")</f>
        <v>RIG US Equity</v>
      </c>
      <c r="B5" t="s">
        <v>1634</v>
      </c>
      <c r="C5">
        <v>14.893827999999999</v>
      </c>
      <c r="D5">
        <v>3.5820059999999998</v>
      </c>
      <c r="E5" t="s">
        <v>1606</v>
      </c>
      <c r="F5">
        <v>2025</v>
      </c>
      <c r="G5" t="s">
        <v>4441</v>
      </c>
      <c r="H5" s="6">
        <v>46090</v>
      </c>
      <c r="I5">
        <v>5</v>
      </c>
      <c r="J5">
        <v>155342624</v>
      </c>
      <c r="K5">
        <v>119077</v>
      </c>
      <c r="L5" t="s">
        <v>4442</v>
      </c>
      <c r="O5" t="str">
        <f>_xll.BDS("CVX US Equity","SUPPLY_CHAIN_CUSTOMERS_ALL_DATA","cols=12;rows=5")</f>
        <v>UGPA3 BZ Equity</v>
      </c>
      <c r="P5">
        <v>8.6980000000000002E-2</v>
      </c>
      <c r="Q5" t="s">
        <v>1598</v>
      </c>
      <c r="R5">
        <v>0.76061900000000005</v>
      </c>
      <c r="S5" t="s">
        <v>1594</v>
      </c>
      <c r="T5">
        <v>2024</v>
      </c>
      <c r="U5" t="s">
        <v>3563</v>
      </c>
      <c r="V5" s="6">
        <v>45770</v>
      </c>
      <c r="W5">
        <v>5</v>
      </c>
      <c r="X5">
        <v>43856224.539999999</v>
      </c>
      <c r="Y5">
        <v>825248</v>
      </c>
      <c r="Z5" t="s">
        <v>3564</v>
      </c>
      <c r="AE5" t="str">
        <f>_xll.BDS("nan Equity","SUPPLY_CHAIN_SUPPLIERS_ALL_DATA")</f>
        <v>#N/A N/A</v>
      </c>
      <c r="AS5" t="str">
        <f>_xll.BDS("nan Equity","SUPPLY_CHAIN_CUSTOMERS_ALL_DATA")</f>
        <v>#N/A N/A</v>
      </c>
      <c r="BI5" t="str">
        <f>_xll.BDS("ABBV US Equity","SUPPLY_CHAIN_SUPPLIERS_ALL_DATA","cols=12;rows=5")</f>
        <v>ROG SW Equity</v>
      </c>
      <c r="BJ5" t="s">
        <v>1598</v>
      </c>
      <c r="BK5">
        <v>1.433017</v>
      </c>
      <c r="BL5">
        <v>5.8448690000000001</v>
      </c>
      <c r="BM5" t="s">
        <v>1594</v>
      </c>
      <c r="BN5">
        <v>2025</v>
      </c>
      <c r="BO5" t="s">
        <v>3798</v>
      </c>
      <c r="BP5" s="6">
        <v>46073</v>
      </c>
      <c r="BQ5">
        <v>5</v>
      </c>
      <c r="BR5">
        <v>265999984</v>
      </c>
      <c r="BS5">
        <v>115785</v>
      </c>
      <c r="BT5" t="s">
        <v>3799</v>
      </c>
      <c r="BW5" t="str">
        <f>_xll.BDS("ABBV US Equity","SUPPLY_CHAIN_CUSTOMERS_ALL_DATA","cols=12;rows=5")</f>
        <v>MCK US Equity</v>
      </c>
      <c r="BX5">
        <v>30.713249000000001</v>
      </c>
      <c r="BY5" t="s">
        <v>1598</v>
      </c>
      <c r="BZ5">
        <v>6.8943349999999999</v>
      </c>
      <c r="CA5" t="s">
        <v>1606</v>
      </c>
      <c r="CB5">
        <v>2025</v>
      </c>
      <c r="CC5" t="s">
        <v>2220</v>
      </c>
      <c r="CD5" s="6">
        <v>46077</v>
      </c>
      <c r="CE5">
        <v>5</v>
      </c>
      <c r="CF5">
        <v>5103927808</v>
      </c>
      <c r="CG5">
        <v>154936</v>
      </c>
      <c r="CH5" t="s">
        <v>1766</v>
      </c>
      <c r="CM5" t="str">
        <f>_xll.BDS("ADI US Equity","SUPPLY_CHAIN_SUPPLIERS_ALL_DATA","cols=12;rows=5")</f>
        <v>2330 TT Equity</v>
      </c>
      <c r="CN5" t="s">
        <v>1598</v>
      </c>
      <c r="CO5">
        <v>0.61123300000000003</v>
      </c>
      <c r="CP5">
        <v>16.418195999999998</v>
      </c>
      <c r="CQ5" t="s">
        <v>1606</v>
      </c>
      <c r="CR5">
        <v>2024</v>
      </c>
      <c r="CS5" t="s">
        <v>3144</v>
      </c>
      <c r="CT5" s="6">
        <v>45741</v>
      </c>
      <c r="CU5">
        <v>5</v>
      </c>
      <c r="CV5">
        <v>164090989.06</v>
      </c>
      <c r="CW5">
        <v>153737</v>
      </c>
      <c r="CX5" t="s">
        <v>2584</v>
      </c>
      <c r="DA5" t="str">
        <f>_xll.BDS("ADI US Equity","SUPPLY_CHAIN_CUSTOMERS_ALL_DATA","cols=12;rows=5")</f>
        <v>ARW US Equity</v>
      </c>
      <c r="DB5">
        <v>23.97711</v>
      </c>
      <c r="DC5" t="s">
        <v>1598</v>
      </c>
      <c r="DD5">
        <v>10.259909</v>
      </c>
      <c r="DE5" t="s">
        <v>1599</v>
      </c>
      <c r="DF5">
        <v>2025</v>
      </c>
      <c r="DG5" t="s">
        <v>2562</v>
      </c>
      <c r="DH5" s="6">
        <v>45891</v>
      </c>
      <c r="DI5">
        <v>5</v>
      </c>
      <c r="DJ5">
        <v>690624192</v>
      </c>
      <c r="DK5">
        <v>100115</v>
      </c>
      <c r="DL5" t="s">
        <v>1893</v>
      </c>
      <c r="DQ5" t="str">
        <f>_xll.BDS("AIG US Equity","SUPPLY_CHAIN_SUPPLIERS_ALL_DATA","cols=12;rows=5")</f>
        <v>PEGA US Equity</v>
      </c>
      <c r="DR5" t="s">
        <v>1685</v>
      </c>
      <c r="DS5">
        <v>1.12E-4</v>
      </c>
      <c r="DT5">
        <v>1.7756999999999998E-2</v>
      </c>
      <c r="DU5" t="s">
        <v>1603</v>
      </c>
      <c r="DV5">
        <v>2025</v>
      </c>
      <c r="DW5" t="s">
        <v>3163</v>
      </c>
      <c r="DX5" s="6">
        <v>45855</v>
      </c>
      <c r="DY5">
        <v>5</v>
      </c>
      <c r="DZ5">
        <v>533</v>
      </c>
      <c r="EA5">
        <v>171977</v>
      </c>
      <c r="EB5" t="s">
        <v>3164</v>
      </c>
      <c r="EE5" t="str">
        <f>_xll.BDS("AIG US Equity","SUPPLY_CHAIN_CUSTOMERS_ALL_DATA","cols=12;rows=5")</f>
        <v>002348 CH Equity</v>
      </c>
      <c r="EF5">
        <v>-2.4245362661989844E-14</v>
      </c>
      <c r="EH5">
        <v>-2.4245362661989844E-14</v>
      </c>
      <c r="EI5" t="s">
        <v>1594</v>
      </c>
      <c r="EJ5">
        <v>2024</v>
      </c>
      <c r="EK5" t="s">
        <v>2695</v>
      </c>
      <c r="EL5" s="6">
        <v>45775</v>
      </c>
      <c r="EM5">
        <v>5</v>
      </c>
      <c r="EN5">
        <v>-2.4245362661989844E-14</v>
      </c>
      <c r="EO5">
        <v>17498579</v>
      </c>
      <c r="EP5" t="s">
        <v>2696</v>
      </c>
      <c r="EU5" t="str">
        <f>_xll.BDS("LHX US Equity","SUPPLY_CHAIN_SUPPLIERS_ALL_DATA","cols=12;rows=5")</f>
        <v>HON US Equity</v>
      </c>
      <c r="EV5" t="s">
        <v>1598</v>
      </c>
      <c r="EW5">
        <v>0.21166299999999999</v>
      </c>
      <c r="EX5">
        <v>0.55468300000000004</v>
      </c>
      <c r="EY5" t="s">
        <v>1664</v>
      </c>
      <c r="EZ5">
        <v>2025</v>
      </c>
      <c r="FA5" t="s">
        <v>2180</v>
      </c>
      <c r="FB5" s="6">
        <v>45898</v>
      </c>
      <c r="FC5">
        <v>5</v>
      </c>
      <c r="FD5">
        <v>21911354</v>
      </c>
      <c r="FE5">
        <v>100043</v>
      </c>
      <c r="FF5" t="s">
        <v>2181</v>
      </c>
      <c r="FI5" t="str">
        <f>_xll.BDS("LHX US Equity","SUPPLY_CHAIN_CUSTOMERS_ALL_DATA","cols=12;rows=5")</f>
        <v>3352Z US Equity</v>
      </c>
      <c r="FJ5">
        <v>75</v>
      </c>
      <c r="FL5">
        <v>-2.4245362661989844E-14</v>
      </c>
      <c r="FM5" t="s">
        <v>1594</v>
      </c>
      <c r="FN5">
        <v>2025</v>
      </c>
      <c r="FO5" t="s">
        <v>5578</v>
      </c>
      <c r="FP5" s="6">
        <v>46065</v>
      </c>
      <c r="FQ5">
        <v>5</v>
      </c>
      <c r="FR5">
        <v>4099687424</v>
      </c>
      <c r="FS5">
        <v>218252</v>
      </c>
      <c r="FT5" t="s">
        <v>1622</v>
      </c>
      <c r="FY5" t="str">
        <f>_xll.BDS("DIS US Equity","SUPPLY_CHAIN_SUPPLIERS_ALL_DATA","cols=12;rows=5")</f>
        <v>GTN US Equity</v>
      </c>
      <c r="FZ5" t="s">
        <v>1685</v>
      </c>
      <c r="GA5">
        <v>11</v>
      </c>
      <c r="GB5">
        <v>2.5200550000000002</v>
      </c>
      <c r="GC5" t="s">
        <v>1594</v>
      </c>
      <c r="GD5">
        <v>2024</v>
      </c>
      <c r="GE5" t="s">
        <v>2324</v>
      </c>
      <c r="GF5" s="6">
        <v>45715</v>
      </c>
      <c r="GG5">
        <v>5</v>
      </c>
      <c r="GH5">
        <v>100210000</v>
      </c>
      <c r="GI5">
        <v>104103</v>
      </c>
      <c r="GJ5" t="s">
        <v>2325</v>
      </c>
      <c r="GM5" t="str">
        <f>_xll.BDS("DIS US Equity","SUPPLY_CHAIN_CUSTOMERS_ALL_DATA","cols=12;rows=5")</f>
        <v>AD NA Equity</v>
      </c>
      <c r="GN5">
        <v>0.105923</v>
      </c>
      <c r="GO5" t="s">
        <v>1598</v>
      </c>
      <c r="GP5">
        <v>0.13025800000000001</v>
      </c>
      <c r="GQ5" t="s">
        <v>1664</v>
      </c>
      <c r="GR5">
        <v>2025</v>
      </c>
      <c r="GS5" t="s">
        <v>1920</v>
      </c>
      <c r="GT5" s="6">
        <v>45887</v>
      </c>
      <c r="GU5">
        <v>5</v>
      </c>
      <c r="GV5">
        <v>25058004.829999998</v>
      </c>
      <c r="GW5">
        <v>115643</v>
      </c>
      <c r="GX5" t="s">
        <v>1672</v>
      </c>
      <c r="HC5" t="str">
        <f>_xll.BDS("GILD US Equity","SUPPLY_CHAIN_SUPPLIERS_ALL_DATA","cols=12;rows=5")</f>
        <v>JNJ US Equity</v>
      </c>
      <c r="HD5" t="s">
        <v>1598</v>
      </c>
      <c r="HE5">
        <v>0.39174900000000001</v>
      </c>
      <c r="HF5">
        <v>5.9191529999999997</v>
      </c>
      <c r="HG5" t="s">
        <v>1594</v>
      </c>
      <c r="HH5">
        <v>2025</v>
      </c>
      <c r="HI5" t="s">
        <v>2373</v>
      </c>
      <c r="HJ5" s="6">
        <v>46077</v>
      </c>
      <c r="HK5">
        <v>5</v>
      </c>
      <c r="HL5">
        <v>92250000</v>
      </c>
      <c r="HM5">
        <v>100828</v>
      </c>
      <c r="HN5" t="s">
        <v>1865</v>
      </c>
      <c r="HQ5" t="str">
        <f>_xll.BDS("GILD US Equity","SUPPLY_CHAIN_CUSTOMERS_ALL_DATA","cols=12;rows=5")</f>
        <v>CAH US Equity</v>
      </c>
      <c r="HR5">
        <v>29</v>
      </c>
      <c r="HS5" t="s">
        <v>1598</v>
      </c>
      <c r="HT5">
        <v>3.6236459999999999</v>
      </c>
      <c r="HU5" t="s">
        <v>1594</v>
      </c>
      <c r="HV5">
        <v>2025</v>
      </c>
      <c r="HW5" t="s">
        <v>2373</v>
      </c>
      <c r="HX5" s="6">
        <v>46077</v>
      </c>
      <c r="HY5">
        <v>5</v>
      </c>
      <c r="HZ5">
        <v>2134617472</v>
      </c>
      <c r="IA5">
        <v>102782</v>
      </c>
      <c r="IB5" t="s">
        <v>1626</v>
      </c>
      <c r="IG5" t="str">
        <f>_xll.BDS("WM US Equity","SUPPLY_CHAIN_SUPPLIERS_ALL_DATA","cols=12;rows=5")</f>
        <v>CNR CN Equity</v>
      </c>
      <c r="IH5" t="s">
        <v>1598</v>
      </c>
      <c r="II5">
        <v>0.30433300000000002</v>
      </c>
      <c r="IJ5">
        <v>0.25606899999999999</v>
      </c>
      <c r="IK5" t="s">
        <v>1603</v>
      </c>
      <c r="IL5">
        <v>2025</v>
      </c>
      <c r="IM5" t="s">
        <v>2089</v>
      </c>
      <c r="IN5" s="6">
        <v>45849</v>
      </c>
      <c r="IO5">
        <v>5</v>
      </c>
      <c r="IP5">
        <v>9338736.1799999997</v>
      </c>
      <c r="IQ5">
        <v>179551</v>
      </c>
      <c r="IR5" t="s">
        <v>2090</v>
      </c>
      <c r="IU5" t="str">
        <f>_xll.BDS("WM US Equity","SUPPLY_CHAIN_CUSTOMERS_ALL_DATA","cols=12;rows=1")</f>
        <v>FLCM US Equity</v>
      </c>
      <c r="IV5">
        <v>-2.4245362661989844E-14</v>
      </c>
      <c r="IX5">
        <v>-2.4245362661989844E-14</v>
      </c>
      <c r="IY5" t="s">
        <v>1664</v>
      </c>
      <c r="IZ5">
        <v>2024</v>
      </c>
      <c r="JA5" t="s">
        <v>3644</v>
      </c>
      <c r="JB5" s="6">
        <v>45546</v>
      </c>
      <c r="JC5">
        <v>1</v>
      </c>
      <c r="JD5">
        <v>-2.4245362661989844E-14</v>
      </c>
      <c r="JE5">
        <v>27386014</v>
      </c>
      <c r="JF5" t="s">
        <v>3645</v>
      </c>
      <c r="JK5" t="str">
        <f>_xll.BDS("DD US Equity","SUPPLY_CHAIN_SUPPLIERS_ALL_DATA","cols=12;rows=5")</f>
        <v>900909 CH Equity</v>
      </c>
      <c r="JL5" t="s">
        <v>1598</v>
      </c>
      <c r="JM5">
        <v>0.65608200000000005</v>
      </c>
      <c r="JN5">
        <v>0.55485600000000002</v>
      </c>
      <c r="JO5" t="s">
        <v>1792</v>
      </c>
      <c r="JP5">
        <v>2025</v>
      </c>
      <c r="JQ5" t="s">
        <v>2082</v>
      </c>
      <c r="JR5" s="6">
        <v>45894</v>
      </c>
      <c r="JS5">
        <v>5</v>
      </c>
      <c r="JT5">
        <v>10942894</v>
      </c>
      <c r="JU5">
        <v>116630</v>
      </c>
      <c r="JV5" t="s">
        <v>2083</v>
      </c>
      <c r="JY5" t="str">
        <f>_xll.BDS("DD US Equity","SUPPLY_CHAIN_CUSTOMERS_ALL_DATA","cols=12;rows=5")</f>
        <v>AIR FP Equity</v>
      </c>
      <c r="JZ5">
        <v>3.8555679999999999</v>
      </c>
      <c r="KA5" t="s">
        <v>1598</v>
      </c>
      <c r="KB5">
        <v>0.80846600000000002</v>
      </c>
      <c r="KC5" t="s">
        <v>1664</v>
      </c>
      <c r="KD5">
        <v>2025</v>
      </c>
      <c r="KE5" t="s">
        <v>1733</v>
      </c>
      <c r="KF5" s="6">
        <v>45947</v>
      </c>
      <c r="KG5">
        <v>5</v>
      </c>
      <c r="KH5">
        <v>125575848</v>
      </c>
      <c r="KI5">
        <v>876285</v>
      </c>
      <c r="KJ5" t="s">
        <v>1734</v>
      </c>
      <c r="KO5" t="str">
        <f>_xll.BDS("MO US Equity","SUPPLY_CHAIN_SUPPLIERS_ALL_DATA","cols=12;rows=5")</f>
        <v>UVV US Equity</v>
      </c>
      <c r="KP5" t="s">
        <v>1598</v>
      </c>
      <c r="KQ5">
        <v>6.3903869999999996</v>
      </c>
      <c r="KR5">
        <v>2.8869959999999999</v>
      </c>
      <c r="KS5" t="s">
        <v>1606</v>
      </c>
      <c r="KT5">
        <v>2025</v>
      </c>
      <c r="KU5" t="s">
        <v>3458</v>
      </c>
      <c r="KV5" s="6">
        <v>45860</v>
      </c>
      <c r="KW5">
        <v>5</v>
      </c>
      <c r="KX5">
        <v>44878344</v>
      </c>
      <c r="KY5">
        <v>101564</v>
      </c>
      <c r="KZ5" t="s">
        <v>3459</v>
      </c>
      <c r="LC5" t="str">
        <f>_xll.BDS("MO US Equity","SUPPLY_CHAIN_CUSTOMERS_ALL_DATA","cols=12;rows=5")</f>
        <v>0835017D US Equity</v>
      </c>
      <c r="LD5">
        <v>-2.4245362661989844E-14</v>
      </c>
      <c r="LF5">
        <v>-2.4245362661989844E-14</v>
      </c>
      <c r="LG5" t="s">
        <v>1594</v>
      </c>
      <c r="LH5">
        <v>2022</v>
      </c>
      <c r="LI5" t="s">
        <v>2908</v>
      </c>
      <c r="LJ5" s="6">
        <v>45008</v>
      </c>
      <c r="LK5">
        <v>5</v>
      </c>
      <c r="LL5">
        <v>-2.4245362661989844E-14</v>
      </c>
      <c r="LM5">
        <v>17495090</v>
      </c>
      <c r="LN5" t="s">
        <v>2909</v>
      </c>
      <c r="LS5" t="str">
        <f>_xll.BDS("APC US Equity","SUPPLY_CHAIN_SUPPLIERS_ALL_DATA")</f>
        <v>#N/A N/A</v>
      </c>
      <c r="MG5" t="str">
        <f>_xll.BDS("APC US Equity","SUPPLY_CHAIN_CUSTOMERS_ALL_DATA")</f>
        <v>#N/A N/A</v>
      </c>
      <c r="MW5" t="str">
        <f>_xll.BDS("AVGO US Equity","SUPPLY_CHAIN_SUPPLIERS_ALL_DATA","cols=12;rows=5")</f>
        <v>2330 TT Equity</v>
      </c>
      <c r="MX5" t="s">
        <v>1598</v>
      </c>
      <c r="MY5">
        <v>4.2638720000000001</v>
      </c>
      <c r="MZ5">
        <v>24.305762999999999</v>
      </c>
      <c r="NA5" t="s">
        <v>1606</v>
      </c>
      <c r="NB5">
        <v>2024</v>
      </c>
      <c r="NC5" t="s">
        <v>3144</v>
      </c>
      <c r="ND5" s="6">
        <v>45741</v>
      </c>
      <c r="NE5">
        <v>5</v>
      </c>
      <c r="NF5">
        <v>1144674723.2</v>
      </c>
      <c r="NG5">
        <v>153737</v>
      </c>
      <c r="NH5" t="s">
        <v>2584</v>
      </c>
      <c r="NK5" t="str">
        <f>_xll.BDS("AVGO US Equity","SUPPLY_CHAIN_CUSTOMERS_ALL_DATA","cols=12;rows=5")</f>
        <v>3036 TT Equity</v>
      </c>
      <c r="NL5">
        <v>31.898064000000002</v>
      </c>
      <c r="NM5" t="s">
        <v>1598</v>
      </c>
      <c r="NN5">
        <v>54.319256000000003</v>
      </c>
      <c r="NO5" t="s">
        <v>1606</v>
      </c>
      <c r="NP5">
        <v>2025</v>
      </c>
      <c r="NQ5" t="s">
        <v>2691</v>
      </c>
      <c r="NR5" s="6">
        <v>46010</v>
      </c>
      <c r="NS5">
        <v>5</v>
      </c>
      <c r="NT5">
        <v>5746436096</v>
      </c>
      <c r="NU5">
        <v>1459396</v>
      </c>
      <c r="NV5" t="s">
        <v>2692</v>
      </c>
      <c r="OA5" t="str">
        <f>_xll.BDS("RTX US Equity","SUPPLY_CHAIN_SUPPLIERS_ALL_DATA","cols=12;rows=5")</f>
        <v>MTX GR Equity</v>
      </c>
      <c r="OB5" t="s">
        <v>1598</v>
      </c>
      <c r="OC5">
        <v>24.749371</v>
      </c>
      <c r="OD5">
        <v>3.4020609999999998</v>
      </c>
      <c r="OE5" t="s">
        <v>1664</v>
      </c>
      <c r="OF5">
        <v>2025</v>
      </c>
      <c r="OG5" t="s">
        <v>2629</v>
      </c>
      <c r="OH5" s="6">
        <v>45937</v>
      </c>
      <c r="OI5">
        <v>5</v>
      </c>
      <c r="OJ5">
        <v>585090912.53999996</v>
      </c>
      <c r="OK5">
        <v>8445936</v>
      </c>
      <c r="OL5" t="s">
        <v>2630</v>
      </c>
      <c r="OO5" t="str">
        <f>_xll.BDS("RTX US Equity","SUPPLY_CHAIN_CUSTOMERS_ALL_DATA","cols=12;rows=5")</f>
        <v>3352Z US Equity</v>
      </c>
      <c r="OP5">
        <v>37.559677000000001</v>
      </c>
      <c r="OR5">
        <v>-2.4245362661989844E-14</v>
      </c>
      <c r="OS5" t="s">
        <v>1594</v>
      </c>
      <c r="OT5">
        <v>2025</v>
      </c>
      <c r="OU5" t="s">
        <v>4803</v>
      </c>
      <c r="OV5" s="6">
        <v>46059</v>
      </c>
      <c r="OW5">
        <v>5</v>
      </c>
      <c r="OX5">
        <v>8319750000</v>
      </c>
      <c r="OY5">
        <v>218252</v>
      </c>
      <c r="OZ5" t="s">
        <v>1622</v>
      </c>
      <c r="PE5" t="str">
        <f>_xll.BDS("NWL US Equity","SUPPLY_CHAIN_SUPPLIERS_ALL_DATA","cols=12;rows=5")</f>
        <v>ORCL US Equity</v>
      </c>
      <c r="PF5" t="s">
        <v>1598</v>
      </c>
      <c r="PG5">
        <v>2.1940999999999999E-2</v>
      </c>
      <c r="PH5">
        <v>0.27725699999999998</v>
      </c>
      <c r="PI5" t="s">
        <v>1606</v>
      </c>
      <c r="PJ5">
        <v>2025</v>
      </c>
      <c r="PK5" t="s">
        <v>2251</v>
      </c>
      <c r="PL5" s="6">
        <v>45848</v>
      </c>
      <c r="PM5">
        <v>5</v>
      </c>
      <c r="PN5">
        <v>3489277</v>
      </c>
      <c r="PO5">
        <v>101752</v>
      </c>
      <c r="PP5" t="s">
        <v>2265</v>
      </c>
      <c r="PS5" t="str">
        <f>_xll.BDS("NWL US Equity","SUPPLY_CHAIN_CUSTOMERS_ALL_DATA","cols=12;rows=5")</f>
        <v>AMZN US Equity</v>
      </c>
      <c r="PT5">
        <v>17</v>
      </c>
      <c r="PU5" t="s">
        <v>1598</v>
      </c>
      <c r="PV5">
        <v>0.34361199999999997</v>
      </c>
      <c r="PW5" t="s">
        <v>1594</v>
      </c>
      <c r="PX5">
        <v>2025</v>
      </c>
      <c r="PY5" t="s">
        <v>3267</v>
      </c>
      <c r="PZ5" s="6">
        <v>46066</v>
      </c>
      <c r="QA5">
        <v>5</v>
      </c>
      <c r="QB5">
        <v>306169984</v>
      </c>
      <c r="QC5">
        <v>216952</v>
      </c>
      <c r="QD5" t="s">
        <v>1631</v>
      </c>
      <c r="QI5" t="str">
        <f>_xll.BDS("BRK/A US Equity","SUPPLY_CHAIN_SUPPLIERS_ALL_DATA","cols=12;rows=5")</f>
        <v>HSY US Equity</v>
      </c>
      <c r="QJ5" t="s">
        <v>1598</v>
      </c>
      <c r="QK5">
        <v>27</v>
      </c>
      <c r="QL5">
        <v>1.2151259999999999</v>
      </c>
      <c r="QM5" t="s">
        <v>1594</v>
      </c>
      <c r="QN5">
        <v>2025</v>
      </c>
      <c r="QO5" t="s">
        <v>3395</v>
      </c>
      <c r="QP5" s="6">
        <v>46070</v>
      </c>
      <c r="QQ5">
        <v>5</v>
      </c>
      <c r="QR5">
        <v>789248896</v>
      </c>
      <c r="QS5">
        <v>100731</v>
      </c>
      <c r="QT5" t="s">
        <v>3396</v>
      </c>
      <c r="QW5" t="str">
        <f>_xll.BDS("BRK/A US Equity","SUPPLY_CHAIN_CUSTOMERS_ALL_DATA","cols=12;rows=5")</f>
        <v>WMT US Equity</v>
      </c>
      <c r="QX5">
        <v>2.1167449999999999</v>
      </c>
      <c r="QY5" t="s">
        <v>1598</v>
      </c>
      <c r="QZ5">
        <v>1.7547349999999999</v>
      </c>
      <c r="RA5" t="s">
        <v>1594</v>
      </c>
      <c r="RB5">
        <v>2024</v>
      </c>
      <c r="RC5" t="s">
        <v>2944</v>
      </c>
      <c r="RD5" s="6">
        <v>45712</v>
      </c>
      <c r="RE5">
        <v>5</v>
      </c>
      <c r="RF5">
        <v>2244977664</v>
      </c>
      <c r="RG5">
        <v>101616</v>
      </c>
      <c r="RH5" t="s">
        <v>1666</v>
      </c>
      <c r="RM5" t="str">
        <f>_xll.BDS("RIG US Equity","SUPPLY_CHAIN_SUPPLIERS_ALL_DATA","cols=12;rows=5")</f>
        <v>PDM US Equity</v>
      </c>
      <c r="RN5" t="s">
        <v>1685</v>
      </c>
      <c r="RO5">
        <v>2.0547970000000002</v>
      </c>
      <c r="RP5">
        <v>5.4761680000000004</v>
      </c>
      <c r="RQ5" t="s">
        <v>1594</v>
      </c>
      <c r="RR5">
        <v>2024</v>
      </c>
      <c r="RS5" t="s">
        <v>3907</v>
      </c>
      <c r="RT5" s="6">
        <v>45702</v>
      </c>
      <c r="RU5">
        <v>5</v>
      </c>
      <c r="RV5">
        <v>2929750</v>
      </c>
      <c r="RW5">
        <v>225922</v>
      </c>
      <c r="RX5" t="s">
        <v>3908</v>
      </c>
      <c r="SA5" t="str">
        <f>_xll.BDS("RIG US Equity","SUPPLY_CHAIN_CUSTOMERS_ALL_DATA","cols=12;rows=5")</f>
        <v>PETR4 BZ Equity</v>
      </c>
      <c r="SB5">
        <v>22</v>
      </c>
      <c r="SC5" t="s">
        <v>1634</v>
      </c>
      <c r="SD5">
        <v>5.0154269999999999</v>
      </c>
      <c r="SE5" t="s">
        <v>1594</v>
      </c>
      <c r="SF5">
        <v>2025</v>
      </c>
      <c r="SG5" t="s">
        <v>5345</v>
      </c>
      <c r="SH5" s="6">
        <v>46076</v>
      </c>
      <c r="SI5">
        <v>5</v>
      </c>
      <c r="SJ5">
        <v>218075008</v>
      </c>
      <c r="SK5">
        <v>136114</v>
      </c>
      <c r="SL5" t="s">
        <v>1810</v>
      </c>
      <c r="SQ5" t="str">
        <f>_xll.BDS("9876456D US Equity","SUPPLY_CHAIN_SUPPLIERS_ALL_DATA")</f>
        <v>#N/A N/A</v>
      </c>
      <c r="TE5" t="str">
        <f>_xll.BDS("9876456D US Equity","SUPPLY_CHAIN_CUSTOMERS_ALL_DATA")</f>
        <v>#N/A N/A</v>
      </c>
      <c r="TU5" t="str">
        <f>_xll.BDS("OKE US Equity","SUPPLY_CHAIN_SUPPLIERS_ALL_DATA","cols=12;rows=5")</f>
        <v>AROC US Equity</v>
      </c>
      <c r="TV5" t="s">
        <v>1634</v>
      </c>
      <c r="TW5">
        <v>5.8905950000000002</v>
      </c>
      <c r="TX5">
        <v>3.0568909999999998</v>
      </c>
      <c r="TY5" t="s">
        <v>1606</v>
      </c>
      <c r="TZ5">
        <v>2024</v>
      </c>
      <c r="UA5" t="s">
        <v>2067</v>
      </c>
      <c r="UB5" s="6">
        <v>45777</v>
      </c>
      <c r="UC5">
        <v>5</v>
      </c>
      <c r="UD5">
        <v>19227844</v>
      </c>
      <c r="UE5">
        <v>13070762</v>
      </c>
      <c r="UF5" t="s">
        <v>2068</v>
      </c>
      <c r="UI5" t="str">
        <f>_xll.BDS("OKE US Equity","SUPPLY_CHAIN_CUSTOMERS_ALL_DATA","cols=12;rows=5")</f>
        <v>DOW US Equity</v>
      </c>
      <c r="UJ5">
        <v>2.0892499999999998</v>
      </c>
      <c r="UK5" t="s">
        <v>1598</v>
      </c>
      <c r="UL5">
        <v>1.721705</v>
      </c>
      <c r="UM5" t="s">
        <v>1603</v>
      </c>
      <c r="UN5">
        <v>2025</v>
      </c>
      <c r="UO5" t="s">
        <v>2919</v>
      </c>
      <c r="UP5" s="6">
        <v>45786</v>
      </c>
      <c r="UQ5">
        <v>5</v>
      </c>
      <c r="UR5">
        <v>168038400</v>
      </c>
      <c r="US5">
        <v>48365107</v>
      </c>
      <c r="UT5" t="s">
        <v>2920</v>
      </c>
      <c r="UY5" t="str">
        <f>_xll.BDS("MSFT US Equity","SUPPLY_CHAIN_SUPPLIERS_ALL_DATA","cols=12;rows=5")</f>
        <v>NVDA US Equity</v>
      </c>
      <c r="UZ5" t="s">
        <v>1634</v>
      </c>
      <c r="VA5">
        <v>22.047934000000001</v>
      </c>
      <c r="VB5">
        <v>50.276459000000003</v>
      </c>
      <c r="VC5" t="s">
        <v>1606</v>
      </c>
      <c r="VD5">
        <v>2026</v>
      </c>
      <c r="VE5" t="s">
        <v>2004</v>
      </c>
      <c r="VF5" s="6">
        <v>46087</v>
      </c>
      <c r="VG5">
        <v>5</v>
      </c>
      <c r="VH5">
        <v>15020595200</v>
      </c>
      <c r="VI5">
        <v>313657</v>
      </c>
      <c r="VJ5" t="s">
        <v>2005</v>
      </c>
      <c r="VM5" t="str">
        <f>_xll.BDS("MSFT US Equity","SUPPLY_CHAIN_CUSTOMERS_ALL_DATA","cols=12;rows=5")</f>
        <v>SNX US Equity</v>
      </c>
      <c r="VN5">
        <v>0.94513400000000003</v>
      </c>
      <c r="VO5" t="s">
        <v>1598</v>
      </c>
      <c r="VP5">
        <v>4.7461719999999996</v>
      </c>
      <c r="VQ5" t="s">
        <v>1606</v>
      </c>
      <c r="VR5">
        <v>2025</v>
      </c>
      <c r="VS5" t="s">
        <v>1701</v>
      </c>
      <c r="VT5" s="6">
        <v>46056</v>
      </c>
      <c r="VU5">
        <v>5</v>
      </c>
      <c r="VV5">
        <v>768139008</v>
      </c>
      <c r="VW5">
        <v>1499717</v>
      </c>
      <c r="VX5" t="s">
        <v>1702</v>
      </c>
    </row>
    <row r="6" spans="1:600" x14ac:dyDescent="0.25">
      <c r="A6" t="s">
        <v>3360</v>
      </c>
      <c r="B6" t="s">
        <v>1634</v>
      </c>
      <c r="C6">
        <v>3.5035419999999999</v>
      </c>
      <c r="D6">
        <v>2.537461</v>
      </c>
      <c r="E6" t="s">
        <v>1599</v>
      </c>
      <c r="F6">
        <v>2025</v>
      </c>
      <c r="G6" t="s">
        <v>3361</v>
      </c>
      <c r="H6" s="6">
        <v>45971</v>
      </c>
      <c r="I6">
        <v>5</v>
      </c>
      <c r="J6">
        <v>104340384</v>
      </c>
      <c r="K6">
        <v>7912227</v>
      </c>
      <c r="L6" t="s">
        <v>3362</v>
      </c>
      <c r="O6" t="s">
        <v>3565</v>
      </c>
      <c r="P6">
        <v>1.7881000000000001E-2</v>
      </c>
      <c r="Q6" t="s">
        <v>1598</v>
      </c>
      <c r="R6">
        <v>0.27887899999999999</v>
      </c>
      <c r="S6" t="s">
        <v>1664</v>
      </c>
      <c r="T6">
        <v>2025</v>
      </c>
      <c r="U6" t="s">
        <v>3566</v>
      </c>
      <c r="V6" s="6">
        <v>45882</v>
      </c>
      <c r="W6">
        <v>5</v>
      </c>
      <c r="X6">
        <v>8645070.5399999991</v>
      </c>
      <c r="Y6">
        <v>115777</v>
      </c>
      <c r="Z6" t="s">
        <v>3567</v>
      </c>
      <c r="BI6" t="s">
        <v>240</v>
      </c>
      <c r="BJ6" t="s">
        <v>1598</v>
      </c>
      <c r="BK6">
        <v>1.0128140000000001</v>
      </c>
      <c r="BL6">
        <v>5.2406059999999997</v>
      </c>
      <c r="BM6" t="s">
        <v>1594</v>
      </c>
      <c r="BN6">
        <v>2025</v>
      </c>
      <c r="BO6" t="s">
        <v>3798</v>
      </c>
      <c r="BP6" s="6">
        <v>46073</v>
      </c>
      <c r="BQ6">
        <v>5</v>
      </c>
      <c r="BR6">
        <v>238499984</v>
      </c>
      <c r="BS6">
        <v>100828</v>
      </c>
      <c r="BT6" t="s">
        <v>1865</v>
      </c>
      <c r="BW6" t="s">
        <v>959</v>
      </c>
      <c r="BX6">
        <v>22.158524</v>
      </c>
      <c r="BY6" t="s">
        <v>1598</v>
      </c>
      <c r="BZ6">
        <v>4.4440090000000003</v>
      </c>
      <c r="CA6" t="s">
        <v>1606</v>
      </c>
      <c r="CB6">
        <v>2025</v>
      </c>
      <c r="CC6" t="s">
        <v>2220</v>
      </c>
      <c r="CD6" s="6">
        <v>46077</v>
      </c>
      <c r="CE6">
        <v>5</v>
      </c>
      <c r="CF6">
        <v>3682303488</v>
      </c>
      <c r="CG6">
        <v>156969</v>
      </c>
      <c r="CH6" t="s">
        <v>1767</v>
      </c>
      <c r="CM6" t="s">
        <v>3151</v>
      </c>
      <c r="CN6" t="s">
        <v>1598</v>
      </c>
      <c r="CO6">
        <v>2.6911640000000001</v>
      </c>
      <c r="CP6">
        <v>3.358209</v>
      </c>
      <c r="CQ6" t="s">
        <v>1603</v>
      </c>
      <c r="CR6">
        <v>2025</v>
      </c>
      <c r="CS6" t="s">
        <v>3152</v>
      </c>
      <c r="CT6" s="6">
        <v>45804</v>
      </c>
      <c r="CU6">
        <v>5</v>
      </c>
      <c r="CV6">
        <v>34530392.880000003</v>
      </c>
      <c r="CW6">
        <v>8118223</v>
      </c>
      <c r="CX6" t="s">
        <v>3153</v>
      </c>
      <c r="DA6" t="s">
        <v>2690</v>
      </c>
      <c r="DB6">
        <v>10.175205999999999</v>
      </c>
      <c r="DC6" t="s">
        <v>1598</v>
      </c>
      <c r="DD6">
        <v>3.635691</v>
      </c>
      <c r="DE6" t="s">
        <v>1599</v>
      </c>
      <c r="DF6">
        <v>2025</v>
      </c>
      <c r="DG6" t="s">
        <v>2562</v>
      </c>
      <c r="DH6" s="6">
        <v>45891</v>
      </c>
      <c r="DI6">
        <v>5</v>
      </c>
      <c r="DJ6">
        <v>293081344</v>
      </c>
      <c r="DK6">
        <v>1459396</v>
      </c>
      <c r="DL6" t="s">
        <v>2692</v>
      </c>
      <c r="DQ6" t="s">
        <v>3165</v>
      </c>
      <c r="DS6">
        <v>-2.4245362661989844E-14</v>
      </c>
      <c r="DT6">
        <v>-2.4245362661989844E-14</v>
      </c>
      <c r="DU6" t="s">
        <v>1651</v>
      </c>
      <c r="DV6">
        <v>2024</v>
      </c>
      <c r="DW6" t="s">
        <v>3166</v>
      </c>
      <c r="DX6" s="6">
        <v>45607</v>
      </c>
      <c r="DY6">
        <v>5</v>
      </c>
      <c r="DZ6">
        <v>-2.4245362661989844E-14</v>
      </c>
      <c r="EA6">
        <v>7192714</v>
      </c>
      <c r="EB6" t="s">
        <v>3167</v>
      </c>
      <c r="EE6" t="s">
        <v>2697</v>
      </c>
      <c r="EF6">
        <v>-2.4245362661989844E-14</v>
      </c>
      <c r="EH6">
        <v>-2.4245362661989844E-14</v>
      </c>
      <c r="EI6" t="s">
        <v>1594</v>
      </c>
      <c r="EJ6">
        <v>2022</v>
      </c>
      <c r="EK6" t="s">
        <v>2698</v>
      </c>
      <c r="EL6" s="6">
        <v>44986</v>
      </c>
      <c r="EM6">
        <v>5</v>
      </c>
      <c r="EN6">
        <v>-2.4245362661989844E-14</v>
      </c>
      <c r="EO6">
        <v>17149569</v>
      </c>
      <c r="EP6" t="s">
        <v>2699</v>
      </c>
      <c r="EU6" t="s">
        <v>2185</v>
      </c>
      <c r="EV6" t="s">
        <v>1598</v>
      </c>
      <c r="EW6">
        <v>2.5126179999999998</v>
      </c>
      <c r="EX6">
        <v>0.47878900000000002</v>
      </c>
      <c r="EY6" t="s">
        <v>1599</v>
      </c>
      <c r="EZ6">
        <v>2025</v>
      </c>
      <c r="FA6" t="s">
        <v>2186</v>
      </c>
      <c r="FB6" s="6">
        <v>46001</v>
      </c>
      <c r="FC6">
        <v>5</v>
      </c>
      <c r="FD6">
        <v>18913380</v>
      </c>
      <c r="FE6">
        <v>1182195</v>
      </c>
      <c r="FF6" t="s">
        <v>2187</v>
      </c>
      <c r="FI6" t="s">
        <v>1628</v>
      </c>
      <c r="FJ6">
        <v>4.0109130000000004</v>
      </c>
      <c r="FK6" t="s">
        <v>1598</v>
      </c>
      <c r="FL6">
        <v>1.232105</v>
      </c>
      <c r="FM6" t="s">
        <v>1664</v>
      </c>
      <c r="FN6">
        <v>2025</v>
      </c>
      <c r="FO6" t="s">
        <v>5579</v>
      </c>
      <c r="FP6" s="6">
        <v>45897</v>
      </c>
      <c r="FQ6">
        <v>5</v>
      </c>
      <c r="FR6">
        <v>213831792</v>
      </c>
      <c r="FS6">
        <v>156923</v>
      </c>
      <c r="FT6" t="s">
        <v>1630</v>
      </c>
      <c r="FY6" t="s">
        <v>178</v>
      </c>
      <c r="FZ6" t="s">
        <v>1598</v>
      </c>
      <c r="GA6">
        <v>0.136354</v>
      </c>
      <c r="GB6">
        <v>0.64509000000000005</v>
      </c>
      <c r="GC6" t="s">
        <v>1599</v>
      </c>
      <c r="GD6">
        <v>2025</v>
      </c>
      <c r="GE6" t="s">
        <v>1735</v>
      </c>
      <c r="GF6" s="6">
        <v>45843</v>
      </c>
      <c r="GG6">
        <v>5</v>
      </c>
      <c r="GH6">
        <v>95537792</v>
      </c>
      <c r="GI6">
        <v>101743</v>
      </c>
      <c r="GJ6" t="s">
        <v>1736</v>
      </c>
      <c r="GM6" t="s">
        <v>1669</v>
      </c>
      <c r="GN6">
        <v>9.5786999999999997E-2</v>
      </c>
      <c r="GO6" t="s">
        <v>1598</v>
      </c>
      <c r="GP6">
        <v>0.115719</v>
      </c>
      <c r="GQ6" t="s">
        <v>1664</v>
      </c>
      <c r="GR6">
        <v>2025</v>
      </c>
      <c r="GS6" t="s">
        <v>1921</v>
      </c>
      <c r="GT6" s="6">
        <v>45919</v>
      </c>
      <c r="GU6">
        <v>5</v>
      </c>
      <c r="GV6">
        <v>22674200.559999999</v>
      </c>
      <c r="GW6">
        <v>115268</v>
      </c>
      <c r="GX6" t="s">
        <v>1670</v>
      </c>
      <c r="HC6" t="s">
        <v>4296</v>
      </c>
      <c r="HD6" t="s">
        <v>1598</v>
      </c>
      <c r="HE6">
        <v>87.357474999999994</v>
      </c>
      <c r="HF6">
        <v>4.166086</v>
      </c>
      <c r="HG6" t="s">
        <v>1594</v>
      </c>
      <c r="HH6">
        <v>2024</v>
      </c>
      <c r="HI6" t="s">
        <v>4297</v>
      </c>
      <c r="HJ6" s="6">
        <v>45744</v>
      </c>
      <c r="HK6">
        <v>5</v>
      </c>
      <c r="HL6">
        <v>65124360</v>
      </c>
      <c r="HM6">
        <v>1421851</v>
      </c>
      <c r="HN6" t="s">
        <v>4298</v>
      </c>
      <c r="HQ6" t="s">
        <v>277</v>
      </c>
      <c r="HR6">
        <v>24</v>
      </c>
      <c r="HS6" t="s">
        <v>1598</v>
      </c>
      <c r="HT6">
        <v>1.8410839999999999</v>
      </c>
      <c r="HU6" t="s">
        <v>1594</v>
      </c>
      <c r="HV6">
        <v>2025</v>
      </c>
      <c r="HW6" t="s">
        <v>2373</v>
      </c>
      <c r="HX6" s="6">
        <v>46077</v>
      </c>
      <c r="HY6">
        <v>5</v>
      </c>
      <c r="HZ6">
        <v>1766579968</v>
      </c>
      <c r="IA6">
        <v>154936</v>
      </c>
      <c r="IB6" t="s">
        <v>1766</v>
      </c>
      <c r="IG6" t="s">
        <v>143</v>
      </c>
      <c r="IH6" t="s">
        <v>1598</v>
      </c>
      <c r="II6">
        <v>5.7038999999999999E-2</v>
      </c>
      <c r="IJ6">
        <v>0.248723</v>
      </c>
      <c r="IK6" t="s">
        <v>1606</v>
      </c>
      <c r="IL6">
        <v>2025</v>
      </c>
      <c r="IM6" t="s">
        <v>2251</v>
      </c>
      <c r="IN6" s="6">
        <v>45848</v>
      </c>
      <c r="IO6">
        <v>5</v>
      </c>
      <c r="IP6">
        <v>9070912</v>
      </c>
      <c r="IQ6">
        <v>101752</v>
      </c>
      <c r="IR6" t="s">
        <v>2265</v>
      </c>
      <c r="JK6" t="s">
        <v>2084</v>
      </c>
      <c r="JL6" t="s">
        <v>1598</v>
      </c>
      <c r="JM6">
        <v>4.6310560000000001</v>
      </c>
      <c r="JN6">
        <v>0.48797499999999999</v>
      </c>
      <c r="JO6" t="s">
        <v>1664</v>
      </c>
      <c r="JP6">
        <v>2025</v>
      </c>
      <c r="JQ6" t="s">
        <v>1733</v>
      </c>
      <c r="JR6" s="6">
        <v>45947</v>
      </c>
      <c r="JS6">
        <v>5</v>
      </c>
      <c r="JT6">
        <v>9959570</v>
      </c>
      <c r="JU6">
        <v>157222</v>
      </c>
      <c r="JV6" t="s">
        <v>2085</v>
      </c>
      <c r="JY6" t="s">
        <v>178</v>
      </c>
      <c r="JZ6">
        <v>1.606857</v>
      </c>
      <c r="KA6" t="s">
        <v>1598</v>
      </c>
      <c r="KB6">
        <v>0.22476499999999999</v>
      </c>
      <c r="KC6" t="s">
        <v>1599</v>
      </c>
      <c r="KD6">
        <v>2025</v>
      </c>
      <c r="KE6" t="s">
        <v>1735</v>
      </c>
      <c r="KF6" s="6">
        <v>45843</v>
      </c>
      <c r="KG6">
        <v>5</v>
      </c>
      <c r="KH6">
        <v>49266240</v>
      </c>
      <c r="KI6">
        <v>101743</v>
      </c>
      <c r="KJ6" t="s">
        <v>1736</v>
      </c>
      <c r="KO6" t="s">
        <v>2671</v>
      </c>
      <c r="KP6" t="s">
        <v>1598</v>
      </c>
      <c r="KQ6">
        <v>0.330704</v>
      </c>
      <c r="KR6">
        <v>0.342885</v>
      </c>
      <c r="KS6" t="s">
        <v>1599</v>
      </c>
      <c r="KT6">
        <v>2025</v>
      </c>
      <c r="KU6" t="s">
        <v>2672</v>
      </c>
      <c r="KV6" s="6">
        <v>46027</v>
      </c>
      <c r="KW6">
        <v>5</v>
      </c>
      <c r="KX6">
        <v>4935037.9400000004</v>
      </c>
      <c r="KY6">
        <v>8082154</v>
      </c>
      <c r="KZ6" t="s">
        <v>2673</v>
      </c>
      <c r="LC6" t="s">
        <v>2910</v>
      </c>
      <c r="LD6">
        <v>-2.4245362661989844E-14</v>
      </c>
      <c r="LF6">
        <v>-2.4245362661989844E-14</v>
      </c>
      <c r="LG6" t="s">
        <v>1594</v>
      </c>
      <c r="LH6">
        <v>2022</v>
      </c>
      <c r="LI6" t="s">
        <v>2908</v>
      </c>
      <c r="LJ6" s="6">
        <v>45008</v>
      </c>
      <c r="LK6">
        <v>5</v>
      </c>
      <c r="LL6">
        <v>-2.4245362661989844E-14</v>
      </c>
      <c r="LM6">
        <v>217460</v>
      </c>
      <c r="LN6" t="s">
        <v>2911</v>
      </c>
      <c r="MW6" t="s">
        <v>2556</v>
      </c>
      <c r="MX6" t="s">
        <v>1598</v>
      </c>
      <c r="MY6">
        <v>1.719265</v>
      </c>
      <c r="MZ6">
        <v>2.3625029999999998</v>
      </c>
      <c r="NA6" t="s">
        <v>1599</v>
      </c>
      <c r="NB6">
        <v>2025</v>
      </c>
      <c r="NC6" t="s">
        <v>2557</v>
      </c>
      <c r="ND6" s="6">
        <v>45763</v>
      </c>
      <c r="NE6">
        <v>5</v>
      </c>
      <c r="NF6">
        <v>112715016</v>
      </c>
      <c r="NG6">
        <v>136547</v>
      </c>
      <c r="NH6" t="s">
        <v>2558</v>
      </c>
      <c r="NK6" t="s">
        <v>2381</v>
      </c>
      <c r="NL6">
        <v>12.78093</v>
      </c>
      <c r="NM6" t="s">
        <v>1634</v>
      </c>
      <c r="NN6">
        <v>9.6125100000000003</v>
      </c>
      <c r="NO6" t="s">
        <v>1606</v>
      </c>
      <c r="NP6">
        <v>2025</v>
      </c>
      <c r="NQ6" t="s">
        <v>2691</v>
      </c>
      <c r="NR6" s="6">
        <v>46010</v>
      </c>
      <c r="NS6">
        <v>5</v>
      </c>
      <c r="NT6">
        <v>2302484480</v>
      </c>
      <c r="NU6">
        <v>46946968</v>
      </c>
      <c r="NV6" t="s">
        <v>2382</v>
      </c>
      <c r="OA6" t="s">
        <v>2981</v>
      </c>
      <c r="OB6" t="s">
        <v>1598</v>
      </c>
      <c r="OC6">
        <v>24.639126000000001</v>
      </c>
      <c r="OD6">
        <v>1.5545880000000001</v>
      </c>
      <c r="OE6" t="s">
        <v>1664</v>
      </c>
      <c r="OF6">
        <v>2025</v>
      </c>
      <c r="OG6" t="s">
        <v>2982</v>
      </c>
      <c r="OH6" s="6">
        <v>45961</v>
      </c>
      <c r="OI6">
        <v>5</v>
      </c>
      <c r="OJ6">
        <v>275439546.58999997</v>
      </c>
      <c r="OK6">
        <v>47700205</v>
      </c>
      <c r="OL6" t="s">
        <v>2983</v>
      </c>
      <c r="OO6" t="s">
        <v>1732</v>
      </c>
      <c r="OP6">
        <v>14</v>
      </c>
      <c r="OQ6" t="s">
        <v>1598</v>
      </c>
      <c r="OR6">
        <v>18.408752</v>
      </c>
      <c r="OS6" t="s">
        <v>1594</v>
      </c>
      <c r="OT6">
        <v>2025</v>
      </c>
      <c r="OU6" t="s">
        <v>4803</v>
      </c>
      <c r="OV6" s="6">
        <v>46059</v>
      </c>
      <c r="OW6">
        <v>5</v>
      </c>
      <c r="OX6">
        <v>3101104896</v>
      </c>
      <c r="OY6">
        <v>876285</v>
      </c>
      <c r="OZ6" t="s">
        <v>1734</v>
      </c>
      <c r="PE6" t="s">
        <v>6072</v>
      </c>
      <c r="PF6" t="s">
        <v>1598</v>
      </c>
      <c r="PG6">
        <v>3.65</v>
      </c>
      <c r="PH6">
        <v>0.21015400000000001</v>
      </c>
      <c r="PI6" t="s">
        <v>1594</v>
      </c>
      <c r="PJ6">
        <v>2024</v>
      </c>
      <c r="PK6" t="s">
        <v>6073</v>
      </c>
      <c r="PL6" s="6">
        <v>45771</v>
      </c>
      <c r="PM6">
        <v>5</v>
      </c>
      <c r="PN6">
        <v>2607244.5299999998</v>
      </c>
      <c r="PO6">
        <v>24385844</v>
      </c>
      <c r="PP6" t="s">
        <v>6074</v>
      </c>
      <c r="PS6" t="s">
        <v>1663</v>
      </c>
      <c r="PT6">
        <v>13</v>
      </c>
      <c r="PU6" t="s">
        <v>1598</v>
      </c>
      <c r="PV6">
        <v>0.17738699999999999</v>
      </c>
      <c r="PW6" t="s">
        <v>1594</v>
      </c>
      <c r="PX6">
        <v>2025</v>
      </c>
      <c r="PY6" t="s">
        <v>3267</v>
      </c>
      <c r="PZ6" s="6">
        <v>46066</v>
      </c>
      <c r="QA6">
        <v>5</v>
      </c>
      <c r="QB6">
        <v>234130000</v>
      </c>
      <c r="QC6">
        <v>101616</v>
      </c>
      <c r="QD6" t="s">
        <v>1666</v>
      </c>
      <c r="QI6" t="s">
        <v>3397</v>
      </c>
      <c r="QJ6" t="s">
        <v>1634</v>
      </c>
      <c r="QK6">
        <v>6.6028770000000003</v>
      </c>
      <c r="QL6">
        <v>5.0506979999999997</v>
      </c>
      <c r="QM6" t="s">
        <v>1664</v>
      </c>
      <c r="QN6">
        <v>2025</v>
      </c>
      <c r="QO6" t="s">
        <v>3398</v>
      </c>
      <c r="QP6" s="6">
        <v>45915</v>
      </c>
      <c r="QQ6">
        <v>5</v>
      </c>
      <c r="QR6">
        <v>245362912</v>
      </c>
      <c r="QS6">
        <v>101464</v>
      </c>
      <c r="QT6" t="s">
        <v>3399</v>
      </c>
      <c r="QW6" t="s">
        <v>2492</v>
      </c>
      <c r="QX6">
        <v>1.615089</v>
      </c>
      <c r="QY6" t="s">
        <v>1598</v>
      </c>
      <c r="QZ6">
        <v>12.136977999999999</v>
      </c>
      <c r="RA6" t="s">
        <v>1594</v>
      </c>
      <c r="RB6">
        <v>2024</v>
      </c>
      <c r="RC6" t="s">
        <v>2944</v>
      </c>
      <c r="RD6" s="6">
        <v>45712</v>
      </c>
      <c r="RE6">
        <v>5</v>
      </c>
      <c r="RF6">
        <v>1712931072</v>
      </c>
      <c r="RG6">
        <v>9917432</v>
      </c>
      <c r="RH6" t="s">
        <v>2493</v>
      </c>
      <c r="RM6" t="s">
        <v>2072</v>
      </c>
      <c r="RN6" t="s">
        <v>1598</v>
      </c>
      <c r="RO6">
        <v>0.143071</v>
      </c>
      <c r="RP6">
        <v>0.121754</v>
      </c>
      <c r="RQ6" t="s">
        <v>1599</v>
      </c>
      <c r="RR6">
        <v>2025</v>
      </c>
      <c r="RS6" t="s">
        <v>2073</v>
      </c>
      <c r="RT6" s="6">
        <v>46027</v>
      </c>
      <c r="RU6">
        <v>5</v>
      </c>
      <c r="RV6">
        <v>907070</v>
      </c>
      <c r="RW6">
        <v>36965288</v>
      </c>
      <c r="RX6" t="s">
        <v>2074</v>
      </c>
      <c r="SA6" t="s">
        <v>82</v>
      </c>
      <c r="SB6">
        <v>14.893827999999999</v>
      </c>
      <c r="SC6" t="s">
        <v>1634</v>
      </c>
      <c r="SD6">
        <v>3.5820059999999998</v>
      </c>
      <c r="SE6" t="s">
        <v>1606</v>
      </c>
      <c r="SF6">
        <v>2025</v>
      </c>
      <c r="SG6" t="s">
        <v>4441</v>
      </c>
      <c r="SH6" s="6">
        <v>46090</v>
      </c>
      <c r="SI6">
        <v>5</v>
      </c>
      <c r="SJ6">
        <v>155342624</v>
      </c>
      <c r="SK6">
        <v>100315</v>
      </c>
      <c r="SL6" t="s">
        <v>1985</v>
      </c>
      <c r="TU6" t="s">
        <v>3624</v>
      </c>
      <c r="TV6" t="s">
        <v>1598</v>
      </c>
      <c r="TW6">
        <v>13</v>
      </c>
      <c r="TX6">
        <v>0.28099200000000002</v>
      </c>
      <c r="TY6" t="s">
        <v>1594</v>
      </c>
      <c r="TZ6">
        <v>2024</v>
      </c>
      <c r="UA6" t="s">
        <v>3625</v>
      </c>
      <c r="UB6" s="6">
        <v>45721</v>
      </c>
      <c r="UC6">
        <v>5</v>
      </c>
      <c r="UD6">
        <v>11905640</v>
      </c>
      <c r="UE6">
        <v>11637014</v>
      </c>
      <c r="UF6" t="s">
        <v>3626</v>
      </c>
      <c r="UI6" t="s">
        <v>2550</v>
      </c>
      <c r="UJ6">
        <v>-2.4245362661989844E-14</v>
      </c>
      <c r="UL6">
        <v>-2.4245362661989844E-14</v>
      </c>
      <c r="UM6" t="s">
        <v>1594</v>
      </c>
      <c r="UN6">
        <v>2024</v>
      </c>
      <c r="UO6" t="s">
        <v>2921</v>
      </c>
      <c r="UP6" s="6">
        <v>45700</v>
      </c>
      <c r="UQ6">
        <v>5</v>
      </c>
      <c r="UR6">
        <v>-2.4245362661989844E-14</v>
      </c>
      <c r="US6">
        <v>17312199</v>
      </c>
      <c r="UT6" t="s">
        <v>2552</v>
      </c>
      <c r="UY6" t="s">
        <v>3655</v>
      </c>
      <c r="UZ6" t="s">
        <v>1634</v>
      </c>
      <c r="VA6">
        <v>5.2401160000000004</v>
      </c>
      <c r="VB6">
        <v>17.831610000000001</v>
      </c>
      <c r="VC6" t="s">
        <v>1664</v>
      </c>
      <c r="VD6">
        <v>2025</v>
      </c>
      <c r="VE6" t="s">
        <v>3656</v>
      </c>
      <c r="VF6" s="6">
        <v>45889</v>
      </c>
      <c r="VG6">
        <v>5</v>
      </c>
      <c r="VH6">
        <v>3047941433.54</v>
      </c>
      <c r="VI6">
        <v>119133</v>
      </c>
      <c r="VJ6" t="s">
        <v>3657</v>
      </c>
      <c r="VM6" t="s">
        <v>1894</v>
      </c>
      <c r="VN6">
        <v>0.67946300000000004</v>
      </c>
      <c r="VO6" t="s">
        <v>1598</v>
      </c>
      <c r="VP6">
        <v>32</v>
      </c>
      <c r="VQ6" t="s">
        <v>1594</v>
      </c>
      <c r="VR6">
        <v>2025</v>
      </c>
      <c r="VS6" t="s">
        <v>4663</v>
      </c>
      <c r="VT6" s="6">
        <v>46065</v>
      </c>
      <c r="VU6">
        <v>5</v>
      </c>
      <c r="VV6">
        <v>518860224</v>
      </c>
      <c r="VW6">
        <v>156637</v>
      </c>
      <c r="VX6" t="s">
        <v>1896</v>
      </c>
    </row>
    <row r="7" spans="1:600" x14ac:dyDescent="0.25">
      <c r="A7" t="s">
        <v>4636</v>
      </c>
      <c r="B7" t="s">
        <v>1598</v>
      </c>
      <c r="C7">
        <v>13</v>
      </c>
      <c r="D7">
        <v>0.25396000000000002</v>
      </c>
      <c r="E7" t="s">
        <v>1594</v>
      </c>
      <c r="F7">
        <v>2024</v>
      </c>
      <c r="G7" t="s">
        <v>4637</v>
      </c>
      <c r="H7" s="6">
        <v>45715</v>
      </c>
      <c r="I7">
        <v>5</v>
      </c>
      <c r="J7">
        <v>98048960</v>
      </c>
      <c r="K7">
        <v>101024</v>
      </c>
      <c r="L7" t="s">
        <v>4638</v>
      </c>
      <c r="O7" t="s">
        <v>3568</v>
      </c>
      <c r="P7">
        <v>1.465E-2</v>
      </c>
      <c r="Q7" t="s">
        <v>1598</v>
      </c>
      <c r="R7">
        <v>56.435763999999999</v>
      </c>
      <c r="S7" t="s">
        <v>1594</v>
      </c>
      <c r="T7">
        <v>2024</v>
      </c>
      <c r="U7" t="s">
        <v>3569</v>
      </c>
      <c r="V7" s="6">
        <v>45782</v>
      </c>
      <c r="W7">
        <v>5</v>
      </c>
      <c r="X7">
        <v>6975801.29</v>
      </c>
      <c r="Y7">
        <v>193841</v>
      </c>
      <c r="Z7" t="s">
        <v>3570</v>
      </c>
      <c r="BI7" t="s">
        <v>3800</v>
      </c>
      <c r="BJ7" t="s">
        <v>1598</v>
      </c>
      <c r="BK7">
        <v>26.6</v>
      </c>
      <c r="BL7">
        <v>3.6498819999999998</v>
      </c>
      <c r="BM7" t="s">
        <v>1594</v>
      </c>
      <c r="BN7">
        <v>2024</v>
      </c>
      <c r="BO7" t="s">
        <v>3801</v>
      </c>
      <c r="BP7" s="6">
        <v>45776</v>
      </c>
      <c r="BQ7">
        <v>5</v>
      </c>
      <c r="BR7">
        <v>156371186.99000001</v>
      </c>
      <c r="BS7">
        <v>159134</v>
      </c>
      <c r="BT7" t="s">
        <v>3802</v>
      </c>
      <c r="BW7" t="s">
        <v>618</v>
      </c>
      <c r="BX7">
        <v>18.560427000000001</v>
      </c>
      <c r="BY7" t="s">
        <v>1598</v>
      </c>
      <c r="BZ7">
        <v>4.8780200000000002</v>
      </c>
      <c r="CA7" t="s">
        <v>1606</v>
      </c>
      <c r="CB7">
        <v>2025</v>
      </c>
      <c r="CC7" t="s">
        <v>2220</v>
      </c>
      <c r="CD7" s="6">
        <v>46077</v>
      </c>
      <c r="CE7">
        <v>5</v>
      </c>
      <c r="CF7">
        <v>3084371712</v>
      </c>
      <c r="CG7">
        <v>102782</v>
      </c>
      <c r="CH7" t="s">
        <v>1626</v>
      </c>
      <c r="CM7" t="s">
        <v>3145</v>
      </c>
      <c r="CN7" t="s">
        <v>1598</v>
      </c>
      <c r="CO7">
        <v>0.64693999999999996</v>
      </c>
      <c r="CP7">
        <v>2.8437610000000002</v>
      </c>
      <c r="CQ7" t="s">
        <v>1603</v>
      </c>
      <c r="CR7">
        <v>2025</v>
      </c>
      <c r="CS7" t="s">
        <v>3146</v>
      </c>
      <c r="CT7" s="6">
        <v>45819</v>
      </c>
      <c r="CU7">
        <v>5</v>
      </c>
      <c r="CV7">
        <v>29137083.59</v>
      </c>
      <c r="CW7">
        <v>58244711</v>
      </c>
      <c r="CX7" t="s">
        <v>3147</v>
      </c>
      <c r="DA7" t="s">
        <v>5204</v>
      </c>
      <c r="DB7">
        <v>2.1377619999999999</v>
      </c>
      <c r="DC7" t="s">
        <v>1598</v>
      </c>
      <c r="DD7">
        <v>0.45856599999999997</v>
      </c>
      <c r="DE7" t="s">
        <v>1599</v>
      </c>
      <c r="DF7">
        <v>2025</v>
      </c>
      <c r="DG7" t="s">
        <v>2562</v>
      </c>
      <c r="DH7" s="6">
        <v>45891</v>
      </c>
      <c r="DI7">
        <v>5</v>
      </c>
      <c r="DJ7">
        <v>61574984</v>
      </c>
      <c r="DK7">
        <v>115746</v>
      </c>
      <c r="DL7" t="s">
        <v>5205</v>
      </c>
      <c r="DQ7" t="s">
        <v>3168</v>
      </c>
      <c r="DS7">
        <v>-2.4245362661989844E-14</v>
      </c>
      <c r="DT7">
        <v>-2.4245362661989844E-14</v>
      </c>
      <c r="DU7" t="s">
        <v>1792</v>
      </c>
      <c r="DV7">
        <v>2025</v>
      </c>
      <c r="DW7" t="s">
        <v>3169</v>
      </c>
      <c r="DX7" s="6">
        <v>45890</v>
      </c>
      <c r="DY7">
        <v>5</v>
      </c>
      <c r="DZ7">
        <v>-2.4245362661989844E-14</v>
      </c>
      <c r="EA7">
        <v>38007258</v>
      </c>
      <c r="EB7" t="s">
        <v>3170</v>
      </c>
      <c r="EE7" t="s">
        <v>2700</v>
      </c>
      <c r="EF7">
        <v>-2.4245362661989844E-14</v>
      </c>
      <c r="EH7">
        <v>-2.4245362661989844E-14</v>
      </c>
      <c r="EI7" t="s">
        <v>1651</v>
      </c>
      <c r="EJ7">
        <v>2022</v>
      </c>
      <c r="EK7" t="s">
        <v>2701</v>
      </c>
      <c r="EL7" s="6">
        <v>44895</v>
      </c>
      <c r="EM7">
        <v>5</v>
      </c>
      <c r="EN7">
        <v>-2.4245362661989844E-14</v>
      </c>
      <c r="EO7">
        <v>67286948</v>
      </c>
      <c r="EP7" t="s">
        <v>2702</v>
      </c>
      <c r="EU7" t="s">
        <v>4147</v>
      </c>
      <c r="EV7" t="s">
        <v>1598</v>
      </c>
      <c r="EW7">
        <v>0.91415500000000005</v>
      </c>
      <c r="EX7">
        <v>0.41992099999999999</v>
      </c>
      <c r="EY7" t="s">
        <v>1664</v>
      </c>
      <c r="EZ7">
        <v>2025</v>
      </c>
      <c r="FA7" t="s">
        <v>4148</v>
      </c>
      <c r="FB7" s="6">
        <v>45903</v>
      </c>
      <c r="FC7">
        <v>5</v>
      </c>
      <c r="FD7">
        <v>16587928</v>
      </c>
      <c r="FE7">
        <v>1184444</v>
      </c>
      <c r="FF7" t="s">
        <v>4149</v>
      </c>
      <c r="FI7" t="s">
        <v>22</v>
      </c>
      <c r="FJ7">
        <v>2.3270849999999998</v>
      </c>
      <c r="FK7" t="s">
        <v>1598</v>
      </c>
      <c r="FL7">
        <v>0.72108499999999998</v>
      </c>
      <c r="FM7" t="s">
        <v>1664</v>
      </c>
      <c r="FN7">
        <v>2025</v>
      </c>
      <c r="FO7" t="s">
        <v>5579</v>
      </c>
      <c r="FP7" s="6">
        <v>45897</v>
      </c>
      <c r="FQ7">
        <v>5</v>
      </c>
      <c r="FR7">
        <v>124062720</v>
      </c>
      <c r="FS7">
        <v>101555</v>
      </c>
      <c r="FT7" t="s">
        <v>2130</v>
      </c>
      <c r="FY7" t="s">
        <v>2326</v>
      </c>
      <c r="FZ7" t="s">
        <v>1598</v>
      </c>
      <c r="GA7">
        <v>8.6999999999999993</v>
      </c>
      <c r="GB7">
        <v>0.35915200000000003</v>
      </c>
      <c r="GC7" t="s">
        <v>1594</v>
      </c>
      <c r="GD7">
        <v>2024</v>
      </c>
      <c r="GE7" t="s">
        <v>2327</v>
      </c>
      <c r="GF7" s="6">
        <v>45716</v>
      </c>
      <c r="GG7">
        <v>5</v>
      </c>
      <c r="GH7">
        <v>52541236</v>
      </c>
      <c r="GI7">
        <v>33838804</v>
      </c>
      <c r="GJ7" t="s">
        <v>2328</v>
      </c>
      <c r="GM7" t="s">
        <v>1703</v>
      </c>
      <c r="GN7">
        <v>2.0863E-2</v>
      </c>
      <c r="GO7" t="s">
        <v>1598</v>
      </c>
      <c r="GP7">
        <v>0.187834</v>
      </c>
      <c r="GQ7" t="s">
        <v>1599</v>
      </c>
      <c r="GR7">
        <v>2025</v>
      </c>
      <c r="GS7" t="s">
        <v>1704</v>
      </c>
      <c r="GT7" s="6">
        <v>45694</v>
      </c>
      <c r="GU7">
        <v>5</v>
      </c>
      <c r="GV7">
        <v>5247564.7699999996</v>
      </c>
      <c r="GW7">
        <v>111827</v>
      </c>
      <c r="GX7" t="s">
        <v>1705</v>
      </c>
      <c r="HC7" t="s">
        <v>4299</v>
      </c>
      <c r="HD7" t="s">
        <v>1598</v>
      </c>
      <c r="HE7">
        <v>0.48287799999999997</v>
      </c>
      <c r="HF7">
        <v>1.7965990000000001</v>
      </c>
      <c r="HG7" t="s">
        <v>1594</v>
      </c>
      <c r="HH7">
        <v>2025</v>
      </c>
      <c r="HI7" t="s">
        <v>2373</v>
      </c>
      <c r="HJ7" s="6">
        <v>46077</v>
      </c>
      <c r="HK7">
        <v>5</v>
      </c>
      <c r="HL7">
        <v>28000000</v>
      </c>
      <c r="HM7">
        <v>153205</v>
      </c>
      <c r="HN7" t="s">
        <v>4300</v>
      </c>
      <c r="HQ7" t="s">
        <v>959</v>
      </c>
      <c r="HR7">
        <v>21</v>
      </c>
      <c r="HS7" t="s">
        <v>1598</v>
      </c>
      <c r="HT7">
        <v>1.9704660000000001</v>
      </c>
      <c r="HU7" t="s">
        <v>1594</v>
      </c>
      <c r="HV7">
        <v>2025</v>
      </c>
      <c r="HW7" t="s">
        <v>2373</v>
      </c>
      <c r="HX7" s="6">
        <v>46077</v>
      </c>
      <c r="HY7">
        <v>5</v>
      </c>
      <c r="HZ7">
        <v>1545757440</v>
      </c>
      <c r="IA7">
        <v>156969</v>
      </c>
      <c r="IB7" t="s">
        <v>1767</v>
      </c>
      <c r="IG7" t="s">
        <v>3732</v>
      </c>
      <c r="IH7" t="s">
        <v>1634</v>
      </c>
      <c r="II7">
        <v>0.52299499999999999</v>
      </c>
      <c r="IJ7">
        <v>1.0624229999999999</v>
      </c>
      <c r="IK7" t="s">
        <v>1664</v>
      </c>
      <c r="IL7">
        <v>2025</v>
      </c>
      <c r="IM7" t="s">
        <v>3733</v>
      </c>
      <c r="IN7" s="6">
        <v>45912</v>
      </c>
      <c r="IO7">
        <v>5</v>
      </c>
      <c r="IP7">
        <v>7776936</v>
      </c>
      <c r="IQ7">
        <v>101455</v>
      </c>
      <c r="IR7" t="s">
        <v>3734</v>
      </c>
      <c r="JK7" t="s">
        <v>2086</v>
      </c>
      <c r="JL7" t="s">
        <v>1598</v>
      </c>
      <c r="JM7">
        <v>1.022999</v>
      </c>
      <c r="JN7">
        <v>0.223414</v>
      </c>
      <c r="JO7" t="s">
        <v>1664</v>
      </c>
      <c r="JP7">
        <v>2025</v>
      </c>
      <c r="JQ7" t="s">
        <v>1733</v>
      </c>
      <c r="JR7" s="6">
        <v>45947</v>
      </c>
      <c r="JS7">
        <v>5</v>
      </c>
      <c r="JT7">
        <v>4559880</v>
      </c>
      <c r="JU7">
        <v>17048425</v>
      </c>
      <c r="JV7" t="s">
        <v>2087</v>
      </c>
      <c r="JY7" t="s">
        <v>341</v>
      </c>
      <c r="JZ7">
        <v>0.88662700000000005</v>
      </c>
      <c r="KA7" t="s">
        <v>1598</v>
      </c>
      <c r="KB7">
        <v>0.85050899999999996</v>
      </c>
      <c r="KC7" t="s">
        <v>1664</v>
      </c>
      <c r="KD7">
        <v>2025</v>
      </c>
      <c r="KE7" t="s">
        <v>1737</v>
      </c>
      <c r="KF7" s="6">
        <v>45869</v>
      </c>
      <c r="KG7">
        <v>5</v>
      </c>
      <c r="KH7">
        <v>27183968</v>
      </c>
      <c r="KI7">
        <v>101341</v>
      </c>
      <c r="KJ7" t="s">
        <v>1738</v>
      </c>
      <c r="KO7" t="s">
        <v>3460</v>
      </c>
      <c r="KQ7">
        <v>-2.4245362661989844E-14</v>
      </c>
      <c r="KR7">
        <v>-2.4245362661989844E-14</v>
      </c>
      <c r="KS7" t="s">
        <v>1594</v>
      </c>
      <c r="KT7">
        <v>2021</v>
      </c>
      <c r="KU7" t="s">
        <v>3461</v>
      </c>
      <c r="KV7" s="6">
        <v>44665</v>
      </c>
      <c r="KW7">
        <v>5</v>
      </c>
      <c r="KX7">
        <v>-2.4245362661989844E-14</v>
      </c>
      <c r="KY7">
        <v>17598053</v>
      </c>
      <c r="KZ7" t="s">
        <v>3462</v>
      </c>
      <c r="LC7" t="s">
        <v>2912</v>
      </c>
      <c r="LD7">
        <v>-2.4245362661989844E-14</v>
      </c>
      <c r="LF7">
        <v>-2.4245362661989844E-14</v>
      </c>
      <c r="LG7" t="s">
        <v>1594</v>
      </c>
      <c r="LH7">
        <v>2022</v>
      </c>
      <c r="LI7" t="s">
        <v>2908</v>
      </c>
      <c r="LJ7" s="6">
        <v>45008</v>
      </c>
      <c r="LK7">
        <v>5</v>
      </c>
      <c r="LL7">
        <v>-2.4245362661989844E-14</v>
      </c>
      <c r="LM7">
        <v>959444</v>
      </c>
      <c r="LN7" t="s">
        <v>2913</v>
      </c>
      <c r="MW7" t="s">
        <v>3145</v>
      </c>
      <c r="MX7" t="s">
        <v>1598</v>
      </c>
      <c r="MY7">
        <v>2.2397900000000002</v>
      </c>
      <c r="MZ7">
        <v>2.1066569999999998</v>
      </c>
      <c r="NA7" t="s">
        <v>1603</v>
      </c>
      <c r="NB7">
        <v>2025</v>
      </c>
      <c r="NC7" t="s">
        <v>3146</v>
      </c>
      <c r="ND7" s="6">
        <v>45819</v>
      </c>
      <c r="NE7">
        <v>5</v>
      </c>
      <c r="NF7">
        <v>100876352.45999999</v>
      </c>
      <c r="NG7">
        <v>58244711</v>
      </c>
      <c r="NH7" t="s">
        <v>3147</v>
      </c>
      <c r="NK7" t="s">
        <v>1917</v>
      </c>
      <c r="NL7">
        <v>5.1662800000000004</v>
      </c>
      <c r="NM7" t="s">
        <v>1598</v>
      </c>
      <c r="NN7">
        <v>1.7195480000000001</v>
      </c>
      <c r="NO7" t="s">
        <v>1606</v>
      </c>
      <c r="NP7">
        <v>2025</v>
      </c>
      <c r="NQ7" t="s">
        <v>2691</v>
      </c>
      <c r="NR7" s="6">
        <v>46010</v>
      </c>
      <c r="NS7">
        <v>5</v>
      </c>
      <c r="NT7">
        <v>930705344</v>
      </c>
      <c r="NU7">
        <v>101695</v>
      </c>
      <c r="NV7" t="s">
        <v>1919</v>
      </c>
      <c r="OA7" t="s">
        <v>2631</v>
      </c>
      <c r="OB7" t="s">
        <v>1598</v>
      </c>
      <c r="OC7">
        <v>11</v>
      </c>
      <c r="OD7">
        <v>1.2818369999999999</v>
      </c>
      <c r="OE7" t="s">
        <v>1594</v>
      </c>
      <c r="OF7">
        <v>2025</v>
      </c>
      <c r="OG7" t="s">
        <v>2632</v>
      </c>
      <c r="OH7" s="6">
        <v>46065</v>
      </c>
      <c r="OI7">
        <v>5</v>
      </c>
      <c r="OJ7">
        <v>226930000</v>
      </c>
      <c r="OK7">
        <v>59099358</v>
      </c>
      <c r="OL7" t="s">
        <v>2633</v>
      </c>
      <c r="OO7" t="s">
        <v>872</v>
      </c>
      <c r="OP7">
        <v>5.3565009999999997</v>
      </c>
      <c r="OQ7" t="s">
        <v>1598</v>
      </c>
      <c r="OR7">
        <v>5.6905900000000003</v>
      </c>
      <c r="OS7" t="s">
        <v>1664</v>
      </c>
      <c r="OT7">
        <v>2025</v>
      </c>
      <c r="OU7" t="s">
        <v>2129</v>
      </c>
      <c r="OV7" s="6">
        <v>45895</v>
      </c>
      <c r="OW7">
        <v>5</v>
      </c>
      <c r="OX7">
        <v>1155986432</v>
      </c>
      <c r="OY7">
        <v>100211</v>
      </c>
      <c r="OZ7" t="s">
        <v>1632</v>
      </c>
      <c r="PE7" t="s">
        <v>1084</v>
      </c>
      <c r="PF7" t="s">
        <v>1685</v>
      </c>
      <c r="PG7">
        <v>1.4799E-2</v>
      </c>
      <c r="PH7">
        <v>0.166903</v>
      </c>
      <c r="PI7" t="s">
        <v>1664</v>
      </c>
      <c r="PJ7">
        <v>2025</v>
      </c>
      <c r="PK7" t="s">
        <v>2052</v>
      </c>
      <c r="PL7" s="6">
        <v>45838</v>
      </c>
      <c r="PM7">
        <v>5</v>
      </c>
      <c r="PN7">
        <v>869145</v>
      </c>
      <c r="PO7">
        <v>101689</v>
      </c>
      <c r="PP7" t="s">
        <v>2053</v>
      </c>
      <c r="PS7" t="s">
        <v>1943</v>
      </c>
      <c r="PT7">
        <v>8.2421959999999999</v>
      </c>
      <c r="PU7" t="s">
        <v>1598</v>
      </c>
      <c r="PV7">
        <v>0.28026499999999999</v>
      </c>
      <c r="PW7" t="s">
        <v>1606</v>
      </c>
      <c r="PX7">
        <v>2024</v>
      </c>
      <c r="PY7" t="s">
        <v>5806</v>
      </c>
      <c r="PZ7" s="6">
        <v>45776</v>
      </c>
      <c r="QA7">
        <v>5</v>
      </c>
      <c r="QB7">
        <v>156230832</v>
      </c>
      <c r="QC7">
        <v>101758</v>
      </c>
      <c r="QD7" t="s">
        <v>1944</v>
      </c>
      <c r="QI7" t="s">
        <v>3400</v>
      </c>
      <c r="QJ7" t="s">
        <v>1598</v>
      </c>
      <c r="QK7">
        <v>18</v>
      </c>
      <c r="QL7">
        <v>0.28558099999999997</v>
      </c>
      <c r="QM7" t="s">
        <v>1594</v>
      </c>
      <c r="QN7">
        <v>2025</v>
      </c>
      <c r="QO7" t="s">
        <v>3401</v>
      </c>
      <c r="QP7" s="6">
        <v>46079</v>
      </c>
      <c r="QQ7">
        <v>5</v>
      </c>
      <c r="QR7">
        <v>185490768</v>
      </c>
      <c r="QS7">
        <v>103442</v>
      </c>
      <c r="QT7" t="s">
        <v>3402</v>
      </c>
      <c r="QW7" t="s">
        <v>2945</v>
      </c>
      <c r="QX7">
        <v>1.5294399999999999</v>
      </c>
      <c r="QZ7">
        <v>-2.4245362661989844E-14</v>
      </c>
      <c r="RA7" t="s">
        <v>1594</v>
      </c>
      <c r="RB7">
        <v>2024</v>
      </c>
      <c r="RC7" t="s">
        <v>2944</v>
      </c>
      <c r="RD7" s="6">
        <v>45712</v>
      </c>
      <c r="RE7">
        <v>5</v>
      </c>
      <c r="RF7">
        <v>1622093696</v>
      </c>
      <c r="RG7">
        <v>302359</v>
      </c>
      <c r="RH7" t="s">
        <v>2946</v>
      </c>
      <c r="RM7" t="s">
        <v>2078</v>
      </c>
      <c r="RN7" t="s">
        <v>1598</v>
      </c>
      <c r="RO7">
        <v>2.92E-2</v>
      </c>
      <c r="RP7">
        <v>4.0926999999999998E-2</v>
      </c>
      <c r="RQ7" t="s">
        <v>1606</v>
      </c>
      <c r="RR7">
        <v>2025</v>
      </c>
      <c r="RS7" t="s">
        <v>2079</v>
      </c>
      <c r="RT7" s="6">
        <v>46079</v>
      </c>
      <c r="RU7">
        <v>5</v>
      </c>
      <c r="RV7">
        <v>307768</v>
      </c>
      <c r="RW7">
        <v>49689146</v>
      </c>
      <c r="RX7" t="s">
        <v>2080</v>
      </c>
      <c r="SA7" t="s">
        <v>1817</v>
      </c>
      <c r="SB7">
        <v>14.540621</v>
      </c>
      <c r="SC7" t="s">
        <v>1634</v>
      </c>
      <c r="SD7">
        <v>2.834212</v>
      </c>
      <c r="SE7" t="s">
        <v>1606</v>
      </c>
      <c r="SF7">
        <v>2025</v>
      </c>
      <c r="SG7" t="s">
        <v>4441</v>
      </c>
      <c r="SH7" s="6">
        <v>46090</v>
      </c>
      <c r="SI7">
        <v>5</v>
      </c>
      <c r="SJ7">
        <v>151658672</v>
      </c>
      <c r="SK7">
        <v>9268711</v>
      </c>
      <c r="SL7" t="s">
        <v>1818</v>
      </c>
      <c r="TU7" t="s">
        <v>2072</v>
      </c>
      <c r="TV7" t="s">
        <v>1598</v>
      </c>
      <c r="TW7">
        <v>1.1701870000000001</v>
      </c>
      <c r="TX7">
        <v>0.10481799999999999</v>
      </c>
      <c r="TY7" t="s">
        <v>1599</v>
      </c>
      <c r="TZ7">
        <v>2025</v>
      </c>
      <c r="UA7" t="s">
        <v>2073</v>
      </c>
      <c r="UB7" s="6">
        <v>46027</v>
      </c>
      <c r="UC7">
        <v>5</v>
      </c>
      <c r="UD7">
        <v>7418986</v>
      </c>
      <c r="UE7">
        <v>36965288</v>
      </c>
      <c r="UF7" t="s">
        <v>2074</v>
      </c>
      <c r="UI7" t="s">
        <v>2746</v>
      </c>
      <c r="UJ7">
        <v>-2.4245362661989844E-14</v>
      </c>
      <c r="UL7">
        <v>-2.4245362661989844E-14</v>
      </c>
      <c r="UM7" t="s">
        <v>1594</v>
      </c>
      <c r="UN7">
        <v>2025</v>
      </c>
      <c r="UO7" t="s">
        <v>2747</v>
      </c>
      <c r="UP7" s="6">
        <v>45975</v>
      </c>
      <c r="UQ7">
        <v>5</v>
      </c>
      <c r="UR7">
        <v>-2.4245362661989844E-14</v>
      </c>
      <c r="US7">
        <v>100131</v>
      </c>
      <c r="UT7" t="s">
        <v>2748</v>
      </c>
      <c r="UY7" t="s">
        <v>2587</v>
      </c>
      <c r="UZ7" t="s">
        <v>1634</v>
      </c>
      <c r="VA7">
        <v>8.8760320000000004</v>
      </c>
      <c r="VB7">
        <v>5.0127040000000003</v>
      </c>
      <c r="VC7" t="s">
        <v>1599</v>
      </c>
      <c r="VD7">
        <v>2025</v>
      </c>
      <c r="VE7" t="s">
        <v>3857</v>
      </c>
      <c r="VF7" s="6">
        <v>46080</v>
      </c>
      <c r="VG7">
        <v>5</v>
      </c>
      <c r="VH7">
        <v>1565479588.27</v>
      </c>
      <c r="VI7">
        <v>193974</v>
      </c>
      <c r="VJ7" t="s">
        <v>2588</v>
      </c>
      <c r="VM7" t="s">
        <v>4664</v>
      </c>
      <c r="VN7">
        <v>0.257766</v>
      </c>
      <c r="VO7" t="s">
        <v>1598</v>
      </c>
      <c r="VP7">
        <v>3.7523520000000001</v>
      </c>
      <c r="VQ7" t="s">
        <v>1664</v>
      </c>
      <c r="VR7">
        <v>2025</v>
      </c>
      <c r="VS7" t="s">
        <v>4665</v>
      </c>
      <c r="VT7" s="6">
        <v>45910</v>
      </c>
      <c r="VU7">
        <v>5</v>
      </c>
      <c r="VV7">
        <v>197200308.5</v>
      </c>
      <c r="VW7">
        <v>193775</v>
      </c>
      <c r="VX7" t="s">
        <v>4666</v>
      </c>
    </row>
    <row r="8" spans="1:600" x14ac:dyDescent="0.25">
      <c r="A8" t="s">
        <v>247</v>
      </c>
      <c r="B8" t="s">
        <v>1634</v>
      </c>
      <c r="C8">
        <v>0.69574199999999997</v>
      </c>
      <c r="D8">
        <v>1.510599</v>
      </c>
      <c r="E8" t="s">
        <v>1599</v>
      </c>
      <c r="F8">
        <v>2025</v>
      </c>
      <c r="G8" t="s">
        <v>1809</v>
      </c>
      <c r="H8" s="6">
        <v>45985</v>
      </c>
      <c r="I8">
        <v>5</v>
      </c>
      <c r="J8">
        <v>62115848</v>
      </c>
      <c r="K8">
        <v>101318</v>
      </c>
      <c r="L8" t="s">
        <v>3724</v>
      </c>
      <c r="O8" t="s">
        <v>3571</v>
      </c>
      <c r="P8">
        <v>1.655E-3</v>
      </c>
      <c r="Q8" t="s">
        <v>1598</v>
      </c>
      <c r="R8">
        <v>0.59815600000000002</v>
      </c>
      <c r="S8" t="s">
        <v>1651</v>
      </c>
      <c r="T8">
        <v>2025</v>
      </c>
      <c r="U8" t="s">
        <v>3572</v>
      </c>
      <c r="V8" s="6">
        <v>45958</v>
      </c>
      <c r="W8">
        <v>5</v>
      </c>
      <c r="X8">
        <v>766849.86</v>
      </c>
      <c r="Y8">
        <v>153668</v>
      </c>
      <c r="Z8" t="s">
        <v>3573</v>
      </c>
      <c r="BI8" t="s">
        <v>3803</v>
      </c>
      <c r="BJ8" t="s">
        <v>1598</v>
      </c>
      <c r="BK8">
        <v>4.7842750000000001</v>
      </c>
      <c r="BL8">
        <v>1.8525640000000001</v>
      </c>
      <c r="BM8" t="s">
        <v>1599</v>
      </c>
      <c r="BN8">
        <v>2025</v>
      </c>
      <c r="BO8" t="s">
        <v>3804</v>
      </c>
      <c r="BP8" s="6">
        <v>46073</v>
      </c>
      <c r="BQ8">
        <v>5</v>
      </c>
      <c r="BR8">
        <v>98276993.629999995</v>
      </c>
      <c r="BS8">
        <v>156276</v>
      </c>
      <c r="BT8" t="s">
        <v>3805</v>
      </c>
      <c r="BW8" t="s">
        <v>240</v>
      </c>
      <c r="BX8">
        <v>1.3419449999999999</v>
      </c>
      <c r="BY8" t="s">
        <v>1598</v>
      </c>
      <c r="BZ8">
        <v>2.7987500000000001</v>
      </c>
      <c r="CA8" t="s">
        <v>1606</v>
      </c>
      <c r="CB8">
        <v>2025</v>
      </c>
      <c r="CC8" t="s">
        <v>2220</v>
      </c>
      <c r="CD8" s="6">
        <v>46077</v>
      </c>
      <c r="CE8">
        <v>5</v>
      </c>
      <c r="CF8">
        <v>223004416</v>
      </c>
      <c r="CG8">
        <v>100828</v>
      </c>
      <c r="CH8" t="s">
        <v>1865</v>
      </c>
      <c r="CM8" t="s">
        <v>4690</v>
      </c>
      <c r="CN8" t="s">
        <v>1598</v>
      </c>
      <c r="CO8">
        <v>0.91817000000000004</v>
      </c>
      <c r="CP8">
        <v>1.576201</v>
      </c>
      <c r="CQ8" t="s">
        <v>1603</v>
      </c>
      <c r="CR8">
        <v>2025</v>
      </c>
      <c r="CS8" t="s">
        <v>4691</v>
      </c>
      <c r="CT8" s="6">
        <v>45820</v>
      </c>
      <c r="CU8">
        <v>5</v>
      </c>
      <c r="CV8">
        <v>16149703.470000001</v>
      </c>
      <c r="CW8">
        <v>118133</v>
      </c>
      <c r="CX8" t="s">
        <v>4692</v>
      </c>
      <c r="DA8" t="s">
        <v>303</v>
      </c>
      <c r="DB8">
        <v>1.0920540000000001</v>
      </c>
      <c r="DC8" t="s">
        <v>1598</v>
      </c>
      <c r="DD8">
        <v>3.8925000000000001E-2</v>
      </c>
      <c r="DE8" t="s">
        <v>1599</v>
      </c>
      <c r="DF8">
        <v>2025</v>
      </c>
      <c r="DG8" t="s">
        <v>2562</v>
      </c>
      <c r="DH8" s="6">
        <v>45891</v>
      </c>
      <c r="DI8">
        <v>5</v>
      </c>
      <c r="DJ8">
        <v>31454956</v>
      </c>
      <c r="DK8">
        <v>216952</v>
      </c>
      <c r="DL8" t="s">
        <v>1631</v>
      </c>
      <c r="DQ8" t="s">
        <v>3171</v>
      </c>
      <c r="DS8">
        <v>-2.4245362661989844E-14</v>
      </c>
      <c r="DT8">
        <v>-2.4245362661989844E-14</v>
      </c>
      <c r="DU8" t="s">
        <v>1792</v>
      </c>
      <c r="DV8">
        <v>2026</v>
      </c>
      <c r="DW8" t="s">
        <v>3172</v>
      </c>
      <c r="DX8" s="6">
        <v>45996</v>
      </c>
      <c r="DY8">
        <v>5</v>
      </c>
      <c r="DZ8">
        <v>-2.4245362661989844E-14</v>
      </c>
      <c r="EA8">
        <v>114153</v>
      </c>
      <c r="EB8" t="s">
        <v>3173</v>
      </c>
      <c r="EE8" t="s">
        <v>2703</v>
      </c>
      <c r="EF8">
        <v>-2.4245362661989844E-14</v>
      </c>
      <c r="EH8">
        <v>-2.4245362661989844E-14</v>
      </c>
      <c r="EI8" t="s">
        <v>1594</v>
      </c>
      <c r="EJ8">
        <v>2021</v>
      </c>
      <c r="EK8" t="s">
        <v>2704</v>
      </c>
      <c r="EL8" s="6">
        <v>44683</v>
      </c>
      <c r="EM8">
        <v>5</v>
      </c>
      <c r="EN8">
        <v>-2.4245362661989844E-14</v>
      </c>
      <c r="EO8">
        <v>10758505</v>
      </c>
      <c r="EP8" t="s">
        <v>2705</v>
      </c>
      <c r="EU8" t="s">
        <v>5909</v>
      </c>
      <c r="EV8" t="s">
        <v>1598</v>
      </c>
      <c r="EW8">
        <v>6.1110550000000003</v>
      </c>
      <c r="EX8">
        <v>0.36025400000000002</v>
      </c>
      <c r="EY8" t="s">
        <v>1664</v>
      </c>
      <c r="EZ8">
        <v>2026</v>
      </c>
      <c r="FA8" t="s">
        <v>5910</v>
      </c>
      <c r="FB8" s="6">
        <v>46059</v>
      </c>
      <c r="FC8">
        <v>5</v>
      </c>
      <c r="FD8">
        <v>14230936</v>
      </c>
      <c r="FE8">
        <v>313008</v>
      </c>
      <c r="FF8" t="s">
        <v>5911</v>
      </c>
      <c r="FI8" t="s">
        <v>1633</v>
      </c>
      <c r="FJ8">
        <v>0.49604900000000002</v>
      </c>
      <c r="FK8" t="s">
        <v>1634</v>
      </c>
      <c r="FL8">
        <v>-2.4245362661989844E-14</v>
      </c>
      <c r="FM8" t="s">
        <v>1594</v>
      </c>
      <c r="FN8">
        <v>2025</v>
      </c>
      <c r="FO8" t="s">
        <v>1635</v>
      </c>
      <c r="FP8" s="6">
        <v>45925</v>
      </c>
      <c r="FQ8">
        <v>5</v>
      </c>
      <c r="FR8">
        <v>26158000</v>
      </c>
      <c r="FS8">
        <v>340053</v>
      </c>
      <c r="FT8" t="s">
        <v>1636</v>
      </c>
      <c r="FY8" t="s">
        <v>2329</v>
      </c>
      <c r="FZ8" t="s">
        <v>1598</v>
      </c>
      <c r="GA8">
        <v>2.0555249999999998</v>
      </c>
      <c r="GB8">
        <v>0.15715399999999999</v>
      </c>
      <c r="GC8" t="s">
        <v>1664</v>
      </c>
      <c r="GD8">
        <v>2025</v>
      </c>
      <c r="GE8" t="s">
        <v>2330</v>
      </c>
      <c r="GF8" s="6">
        <v>45884</v>
      </c>
      <c r="GG8">
        <v>5</v>
      </c>
      <c r="GH8">
        <v>22837664</v>
      </c>
      <c r="GI8">
        <v>17257533</v>
      </c>
      <c r="GJ8" t="s">
        <v>2331</v>
      </c>
      <c r="GM8" t="s">
        <v>1922</v>
      </c>
      <c r="GN8">
        <v>9.5700000000000004E-3</v>
      </c>
      <c r="GO8" t="s">
        <v>1598</v>
      </c>
      <c r="GP8">
        <v>7.616047</v>
      </c>
      <c r="GQ8" t="s">
        <v>1594</v>
      </c>
      <c r="GR8">
        <v>2025</v>
      </c>
      <c r="GS8" t="s">
        <v>1923</v>
      </c>
      <c r="GT8" s="6">
        <v>45869</v>
      </c>
      <c r="GU8">
        <v>5</v>
      </c>
      <c r="GV8">
        <v>2250536.7200000002</v>
      </c>
      <c r="GW8">
        <v>16852453</v>
      </c>
      <c r="GX8" t="s">
        <v>1924</v>
      </c>
      <c r="HC8" t="s">
        <v>4301</v>
      </c>
      <c r="HD8" t="s">
        <v>2128</v>
      </c>
      <c r="HE8">
        <v>100</v>
      </c>
      <c r="HF8">
        <v>1.9316489999999999</v>
      </c>
      <c r="HG8" t="s">
        <v>1599</v>
      </c>
      <c r="HH8">
        <v>2025</v>
      </c>
      <c r="HI8" t="s">
        <v>4302</v>
      </c>
      <c r="HJ8" s="6">
        <v>45959</v>
      </c>
      <c r="HK8">
        <v>5</v>
      </c>
      <c r="HL8">
        <v>26000000</v>
      </c>
      <c r="HM8">
        <v>50914233</v>
      </c>
      <c r="HN8" t="s">
        <v>4303</v>
      </c>
      <c r="HQ8" t="s">
        <v>4031</v>
      </c>
      <c r="HR8">
        <v>-2.4245362661989844E-14</v>
      </c>
      <c r="HT8">
        <v>-2.4245362661989844E-14</v>
      </c>
      <c r="HU8" t="s">
        <v>1594</v>
      </c>
      <c r="HV8">
        <v>2022</v>
      </c>
      <c r="HW8" t="s">
        <v>4032</v>
      </c>
      <c r="HX8" s="6">
        <v>44979</v>
      </c>
      <c r="HY8">
        <v>5</v>
      </c>
      <c r="HZ8">
        <v>-2.4245362661989844E-14</v>
      </c>
      <c r="IA8">
        <v>29217228</v>
      </c>
      <c r="IB8" t="s">
        <v>4033</v>
      </c>
      <c r="IG8" t="s">
        <v>4062</v>
      </c>
      <c r="IH8" t="s">
        <v>1598</v>
      </c>
      <c r="II8">
        <v>2.5385999999999999E-2</v>
      </c>
      <c r="IJ8">
        <v>1.3454000000000001E-2</v>
      </c>
      <c r="IK8" t="s">
        <v>1606</v>
      </c>
      <c r="IL8">
        <v>2024</v>
      </c>
      <c r="IM8" t="s">
        <v>4063</v>
      </c>
      <c r="IN8" s="6">
        <v>45730</v>
      </c>
      <c r="IO8">
        <v>5</v>
      </c>
      <c r="IP8">
        <v>478529.29</v>
      </c>
      <c r="IQ8">
        <v>239787</v>
      </c>
      <c r="IR8" t="s">
        <v>4064</v>
      </c>
      <c r="JK8" t="s">
        <v>2088</v>
      </c>
      <c r="JL8" t="s">
        <v>1598</v>
      </c>
      <c r="JM8">
        <v>0.124469</v>
      </c>
      <c r="JN8">
        <v>0.198931</v>
      </c>
      <c r="JO8" t="s">
        <v>1603</v>
      </c>
      <c r="JP8">
        <v>2025</v>
      </c>
      <c r="JQ8" t="s">
        <v>2089</v>
      </c>
      <c r="JR8" s="6">
        <v>45849</v>
      </c>
      <c r="JS8">
        <v>5</v>
      </c>
      <c r="JT8">
        <v>3819444.94</v>
      </c>
      <c r="JU8">
        <v>179551</v>
      </c>
      <c r="JV8" t="s">
        <v>2090</v>
      </c>
      <c r="JY8" t="s">
        <v>1739</v>
      </c>
      <c r="JZ8">
        <v>0.82311599999999996</v>
      </c>
      <c r="KA8" t="s">
        <v>1598</v>
      </c>
      <c r="KB8">
        <v>0.16905600000000001</v>
      </c>
      <c r="KC8" t="s">
        <v>1664</v>
      </c>
      <c r="KD8">
        <v>2026</v>
      </c>
      <c r="KE8" t="s">
        <v>1740</v>
      </c>
      <c r="KF8" s="6">
        <v>45940</v>
      </c>
      <c r="KG8">
        <v>5</v>
      </c>
      <c r="KH8">
        <v>26808900</v>
      </c>
      <c r="KI8">
        <v>100916</v>
      </c>
      <c r="KJ8" t="s">
        <v>1741</v>
      </c>
      <c r="KO8" t="s">
        <v>3463</v>
      </c>
      <c r="KQ8">
        <v>-2.4245362661989844E-14</v>
      </c>
      <c r="KR8">
        <v>-2.4245362661989844E-14</v>
      </c>
      <c r="KS8" t="s">
        <v>1599</v>
      </c>
      <c r="KT8">
        <v>2025</v>
      </c>
      <c r="KU8" t="s">
        <v>3464</v>
      </c>
      <c r="KV8" s="6">
        <v>45989</v>
      </c>
      <c r="KW8">
        <v>5</v>
      </c>
      <c r="KX8">
        <v>-2.4245362661989844E-14</v>
      </c>
      <c r="KY8">
        <v>7783080</v>
      </c>
      <c r="KZ8" t="s">
        <v>3465</v>
      </c>
      <c r="LC8" t="s">
        <v>2914</v>
      </c>
      <c r="LD8">
        <v>-2.4245362661989844E-14</v>
      </c>
      <c r="LF8">
        <v>-2.4245362661989844E-14</v>
      </c>
      <c r="LG8" t="s">
        <v>1594</v>
      </c>
      <c r="LH8">
        <v>2022</v>
      </c>
      <c r="LI8" t="s">
        <v>2908</v>
      </c>
      <c r="LJ8" s="6">
        <v>45008</v>
      </c>
      <c r="LK8">
        <v>5</v>
      </c>
      <c r="LL8">
        <v>-2.4245362661989844E-14</v>
      </c>
      <c r="LM8">
        <v>949869</v>
      </c>
      <c r="LN8" t="s">
        <v>2915</v>
      </c>
      <c r="MW8" t="s">
        <v>3148</v>
      </c>
      <c r="MX8" t="s">
        <v>1598</v>
      </c>
      <c r="MY8">
        <v>4.102576</v>
      </c>
      <c r="MZ8">
        <v>1.707241</v>
      </c>
      <c r="NA8" t="s">
        <v>1599</v>
      </c>
      <c r="NB8">
        <v>2025</v>
      </c>
      <c r="NC8" t="s">
        <v>3149</v>
      </c>
      <c r="ND8" s="6">
        <v>46041</v>
      </c>
      <c r="NE8">
        <v>5</v>
      </c>
      <c r="NF8">
        <v>100021088.84999999</v>
      </c>
      <c r="NG8">
        <v>178387</v>
      </c>
      <c r="NH8" t="s">
        <v>3150</v>
      </c>
      <c r="NK8" t="s">
        <v>2693</v>
      </c>
      <c r="NL8">
        <v>5.1102369999999997</v>
      </c>
      <c r="NM8" t="s">
        <v>1634</v>
      </c>
      <c r="NN8">
        <v>4.8893149999999999</v>
      </c>
      <c r="NO8" t="s">
        <v>1606</v>
      </c>
      <c r="NP8">
        <v>2025</v>
      </c>
      <c r="NQ8" t="s">
        <v>2691</v>
      </c>
      <c r="NR8" s="6">
        <v>46010</v>
      </c>
      <c r="NS8">
        <v>5</v>
      </c>
      <c r="NT8">
        <v>920609216</v>
      </c>
      <c r="NU8">
        <v>11092218</v>
      </c>
      <c r="NV8" t="s">
        <v>2694</v>
      </c>
      <c r="OA8" t="s">
        <v>110</v>
      </c>
      <c r="OB8" t="s">
        <v>1598</v>
      </c>
      <c r="OC8">
        <v>0.19926099999999999</v>
      </c>
      <c r="OD8">
        <v>1.1451750000000001</v>
      </c>
      <c r="OE8" t="s">
        <v>1664</v>
      </c>
      <c r="OF8">
        <v>2025</v>
      </c>
      <c r="OG8" t="s">
        <v>2129</v>
      </c>
      <c r="OH8" s="6">
        <v>45895</v>
      </c>
      <c r="OI8">
        <v>5</v>
      </c>
      <c r="OJ8">
        <v>197027360</v>
      </c>
      <c r="OK8">
        <v>100193</v>
      </c>
      <c r="OL8" t="s">
        <v>3708</v>
      </c>
      <c r="OO8" t="s">
        <v>1628</v>
      </c>
      <c r="OP8">
        <v>2.7185320000000002</v>
      </c>
      <c r="OQ8" t="s">
        <v>1598</v>
      </c>
      <c r="OR8">
        <v>3.3805040000000002</v>
      </c>
      <c r="OS8" t="s">
        <v>1664</v>
      </c>
      <c r="OT8">
        <v>2025</v>
      </c>
      <c r="OU8" t="s">
        <v>2129</v>
      </c>
      <c r="OV8" s="6">
        <v>45895</v>
      </c>
      <c r="OW8">
        <v>5</v>
      </c>
      <c r="OX8">
        <v>586686400</v>
      </c>
      <c r="OY8">
        <v>156923</v>
      </c>
      <c r="OZ8" t="s">
        <v>1630</v>
      </c>
      <c r="PE8" t="s">
        <v>6075</v>
      </c>
      <c r="PF8" t="s">
        <v>1634</v>
      </c>
      <c r="PG8">
        <v>3.2053999999999999E-2</v>
      </c>
      <c r="PH8">
        <v>0.70691199999999998</v>
      </c>
      <c r="PI8" t="s">
        <v>1664</v>
      </c>
      <c r="PJ8">
        <v>2026</v>
      </c>
      <c r="PK8" t="s">
        <v>6076</v>
      </c>
      <c r="PL8" s="6">
        <v>46073</v>
      </c>
      <c r="PM8">
        <v>5</v>
      </c>
      <c r="PN8">
        <v>443162.44</v>
      </c>
      <c r="PO8">
        <v>113566</v>
      </c>
      <c r="PP8" t="s">
        <v>6077</v>
      </c>
      <c r="PS8" t="s">
        <v>365</v>
      </c>
      <c r="PT8">
        <v>4.8461939999999997</v>
      </c>
      <c r="PU8" t="s">
        <v>1598</v>
      </c>
      <c r="PV8">
        <v>0.34443000000000001</v>
      </c>
      <c r="PW8" t="s">
        <v>1606</v>
      </c>
      <c r="PX8">
        <v>2024</v>
      </c>
      <c r="PY8" t="s">
        <v>5806</v>
      </c>
      <c r="PZ8" s="6">
        <v>45776</v>
      </c>
      <c r="QA8">
        <v>5</v>
      </c>
      <c r="QB8">
        <v>91859608</v>
      </c>
      <c r="QC8">
        <v>100743</v>
      </c>
      <c r="QD8" t="s">
        <v>1904</v>
      </c>
      <c r="QI8" t="s">
        <v>3403</v>
      </c>
      <c r="QJ8" t="s">
        <v>1598</v>
      </c>
      <c r="QK8">
        <v>4.630776</v>
      </c>
      <c r="QL8">
        <v>0.19183800000000001</v>
      </c>
      <c r="QM8" t="s">
        <v>1599</v>
      </c>
      <c r="QN8">
        <v>2025</v>
      </c>
      <c r="QO8" t="s">
        <v>3404</v>
      </c>
      <c r="QP8" s="6">
        <v>45952</v>
      </c>
      <c r="QQ8">
        <v>5</v>
      </c>
      <c r="QR8">
        <v>125308800</v>
      </c>
      <c r="QS8">
        <v>171010</v>
      </c>
      <c r="QT8" t="s">
        <v>3405</v>
      </c>
      <c r="QW8" t="s">
        <v>872</v>
      </c>
      <c r="QX8">
        <v>0.34598400000000001</v>
      </c>
      <c r="QY8" t="s">
        <v>1598</v>
      </c>
      <c r="QZ8">
        <v>1.684086</v>
      </c>
      <c r="RA8" t="s">
        <v>1664</v>
      </c>
      <c r="RB8">
        <v>2025</v>
      </c>
      <c r="RC8" t="s">
        <v>2179</v>
      </c>
      <c r="RD8" s="6">
        <v>45873</v>
      </c>
      <c r="RE8">
        <v>5</v>
      </c>
      <c r="RF8">
        <v>342105216</v>
      </c>
      <c r="RG8">
        <v>100211</v>
      </c>
      <c r="RH8" t="s">
        <v>1632</v>
      </c>
      <c r="RM8" t="s">
        <v>5815</v>
      </c>
      <c r="RN8" t="s">
        <v>1598</v>
      </c>
      <c r="RO8">
        <v>26.017952000000001</v>
      </c>
      <c r="RP8">
        <v>9.0950000000000007E-3</v>
      </c>
      <c r="RQ8" t="s">
        <v>1594</v>
      </c>
      <c r="RR8">
        <v>2024</v>
      </c>
      <c r="RS8" t="s">
        <v>5816</v>
      </c>
      <c r="RT8" s="6">
        <v>45747</v>
      </c>
      <c r="RU8">
        <v>5</v>
      </c>
      <c r="RV8">
        <v>50000</v>
      </c>
      <c r="RW8">
        <v>179138</v>
      </c>
      <c r="RX8" t="s">
        <v>5817</v>
      </c>
      <c r="SA8" t="s">
        <v>1811</v>
      </c>
      <c r="SB8">
        <v>12</v>
      </c>
      <c r="SC8" t="s">
        <v>1634</v>
      </c>
      <c r="SD8">
        <v>3.400029</v>
      </c>
      <c r="SE8" t="s">
        <v>1594</v>
      </c>
      <c r="SF8">
        <v>2025</v>
      </c>
      <c r="SG8" t="s">
        <v>5345</v>
      </c>
      <c r="SH8" s="6">
        <v>46076</v>
      </c>
      <c r="SI8">
        <v>5</v>
      </c>
      <c r="SJ8">
        <v>118950000</v>
      </c>
      <c r="SK8">
        <v>182074</v>
      </c>
      <c r="SL8" t="s">
        <v>1812</v>
      </c>
      <c r="TU8" t="s">
        <v>3627</v>
      </c>
      <c r="TV8" t="s">
        <v>1598</v>
      </c>
      <c r="TW8">
        <v>7.7393650000000003</v>
      </c>
      <c r="TX8">
        <v>1.9430000000000001E-3</v>
      </c>
      <c r="TY8" t="s">
        <v>1594</v>
      </c>
      <c r="TZ8">
        <v>2024</v>
      </c>
      <c r="UA8" t="s">
        <v>3628</v>
      </c>
      <c r="UB8" s="6">
        <v>45762</v>
      </c>
      <c r="UC8">
        <v>5</v>
      </c>
      <c r="UD8">
        <v>82327.5</v>
      </c>
      <c r="UE8">
        <v>202967</v>
      </c>
      <c r="UF8" t="s">
        <v>3629</v>
      </c>
      <c r="UI8" t="s">
        <v>2922</v>
      </c>
      <c r="UJ8">
        <v>-2.4245362661989844E-14</v>
      </c>
      <c r="UL8">
        <v>-2.4245362661989844E-14</v>
      </c>
      <c r="UM8" t="s">
        <v>1594</v>
      </c>
      <c r="UN8">
        <v>2024</v>
      </c>
      <c r="UO8" t="s">
        <v>2923</v>
      </c>
      <c r="UP8" s="6">
        <v>45747</v>
      </c>
      <c r="UQ8">
        <v>5</v>
      </c>
      <c r="UR8">
        <v>-2.4245362661989844E-14</v>
      </c>
      <c r="US8">
        <v>69383984</v>
      </c>
      <c r="UT8" t="s">
        <v>2924</v>
      </c>
      <c r="UY8" t="s">
        <v>4961</v>
      </c>
      <c r="UZ8" t="s">
        <v>1598</v>
      </c>
      <c r="VA8">
        <v>10.491263999999999</v>
      </c>
      <c r="VB8">
        <v>3.784764</v>
      </c>
      <c r="VC8" t="s">
        <v>1664</v>
      </c>
      <c r="VD8">
        <v>2025</v>
      </c>
      <c r="VE8" t="s">
        <v>4962</v>
      </c>
      <c r="VF8" s="6">
        <v>45891</v>
      </c>
      <c r="VG8">
        <v>5</v>
      </c>
      <c r="VH8">
        <v>909613718.26999998</v>
      </c>
      <c r="VI8">
        <v>12279743</v>
      </c>
      <c r="VJ8" t="s">
        <v>4963</v>
      </c>
      <c r="VM8" t="s">
        <v>1786</v>
      </c>
      <c r="VN8">
        <v>0.24043100000000001</v>
      </c>
      <c r="VO8" t="s">
        <v>1598</v>
      </c>
      <c r="VP8">
        <v>7.9492950000000002</v>
      </c>
      <c r="VQ8" t="s">
        <v>1664</v>
      </c>
      <c r="VR8">
        <v>2025</v>
      </c>
      <c r="VS8" t="s">
        <v>1787</v>
      </c>
      <c r="VT8" s="6">
        <v>46008</v>
      </c>
      <c r="VU8">
        <v>5</v>
      </c>
      <c r="VV8">
        <v>184870547.49000001</v>
      </c>
      <c r="VW8">
        <v>349049</v>
      </c>
      <c r="VX8" t="s">
        <v>1788</v>
      </c>
    </row>
    <row r="9" spans="1:600" x14ac:dyDescent="0.25">
      <c r="A9" t="s">
        <v>5126</v>
      </c>
      <c r="B9" t="s">
        <v>1598</v>
      </c>
      <c r="C9">
        <v>28</v>
      </c>
      <c r="D9">
        <v>0.140787</v>
      </c>
      <c r="E9" t="s">
        <v>1594</v>
      </c>
      <c r="F9">
        <v>2024</v>
      </c>
      <c r="G9" t="s">
        <v>5127</v>
      </c>
      <c r="H9" s="6">
        <v>45729</v>
      </c>
      <c r="I9">
        <v>5</v>
      </c>
      <c r="J9">
        <v>54355072</v>
      </c>
      <c r="K9">
        <v>54325602</v>
      </c>
      <c r="L9" t="s">
        <v>5128</v>
      </c>
      <c r="O9" t="s">
        <v>3574</v>
      </c>
      <c r="P9">
        <v>-2.4245362661989844E-14</v>
      </c>
      <c r="R9">
        <v>-2.4245362661989844E-14</v>
      </c>
      <c r="S9" t="s">
        <v>1651</v>
      </c>
      <c r="T9">
        <v>2023</v>
      </c>
      <c r="U9" t="s">
        <v>3575</v>
      </c>
      <c r="V9" s="6">
        <v>45244</v>
      </c>
      <c r="W9">
        <v>5</v>
      </c>
      <c r="X9">
        <v>-2.4245362661989844E-14</v>
      </c>
      <c r="Y9">
        <v>129148</v>
      </c>
      <c r="Z9" t="s">
        <v>3576</v>
      </c>
      <c r="BI9" t="s">
        <v>2947</v>
      </c>
      <c r="BJ9" t="s">
        <v>1598</v>
      </c>
      <c r="BK9">
        <v>99</v>
      </c>
      <c r="BL9">
        <v>2.0580690000000001</v>
      </c>
      <c r="BM9" t="s">
        <v>1594</v>
      </c>
      <c r="BN9">
        <v>2024</v>
      </c>
      <c r="BO9" t="s">
        <v>2948</v>
      </c>
      <c r="BP9" s="6">
        <v>45747</v>
      </c>
      <c r="BQ9">
        <v>5</v>
      </c>
      <c r="BR9">
        <v>86973976</v>
      </c>
      <c r="BS9">
        <v>1479519</v>
      </c>
      <c r="BT9" t="s">
        <v>2949</v>
      </c>
      <c r="BW9" t="s">
        <v>2947</v>
      </c>
      <c r="BX9">
        <v>1.3136E-2</v>
      </c>
      <c r="BY9" t="s">
        <v>2128</v>
      </c>
      <c r="BZ9">
        <v>6.6414770000000001</v>
      </c>
      <c r="CA9" t="s">
        <v>1594</v>
      </c>
      <c r="CB9">
        <v>2024</v>
      </c>
      <c r="CC9" t="s">
        <v>2948</v>
      </c>
      <c r="CD9" s="6">
        <v>45747</v>
      </c>
      <c r="CE9">
        <v>5</v>
      </c>
      <c r="CF9">
        <v>1850000</v>
      </c>
      <c r="CG9">
        <v>1479519</v>
      </c>
      <c r="CH9" t="s">
        <v>2949</v>
      </c>
      <c r="CM9" t="s">
        <v>3808</v>
      </c>
      <c r="CN9" t="s">
        <v>1598</v>
      </c>
      <c r="CO9">
        <v>0.70987500000000003</v>
      </c>
      <c r="CP9">
        <v>1.2434970000000001</v>
      </c>
      <c r="CQ9" t="s">
        <v>1599</v>
      </c>
      <c r="CR9">
        <v>2025</v>
      </c>
      <c r="CS9" t="s">
        <v>3809</v>
      </c>
      <c r="CT9" s="6">
        <v>46035</v>
      </c>
      <c r="CU9">
        <v>5</v>
      </c>
      <c r="CV9">
        <v>14104989</v>
      </c>
      <c r="CW9">
        <v>302680</v>
      </c>
      <c r="CX9" t="s">
        <v>3810</v>
      </c>
      <c r="DA9" t="s">
        <v>22</v>
      </c>
      <c r="DB9">
        <v>1.0873699999999999</v>
      </c>
      <c r="DC9" t="s">
        <v>1598</v>
      </c>
      <c r="DD9">
        <v>0.18204000000000001</v>
      </c>
      <c r="DE9" t="s">
        <v>1599</v>
      </c>
      <c r="DF9">
        <v>2025</v>
      </c>
      <c r="DG9" t="s">
        <v>2562</v>
      </c>
      <c r="DH9" s="6">
        <v>45891</v>
      </c>
      <c r="DI9">
        <v>5</v>
      </c>
      <c r="DJ9">
        <v>31320040</v>
      </c>
      <c r="DK9">
        <v>101555</v>
      </c>
      <c r="DL9" t="s">
        <v>2130</v>
      </c>
      <c r="DQ9" t="s">
        <v>3174</v>
      </c>
      <c r="DS9">
        <v>-2.4245362661989844E-14</v>
      </c>
      <c r="DT9">
        <v>-2.4245362661989844E-14</v>
      </c>
      <c r="DU9" t="s">
        <v>1599</v>
      </c>
      <c r="DV9">
        <v>2022</v>
      </c>
      <c r="DW9" t="s">
        <v>3175</v>
      </c>
      <c r="DX9" s="6">
        <v>44896</v>
      </c>
      <c r="DY9">
        <v>5</v>
      </c>
      <c r="DZ9">
        <v>-2.4245362661989844E-14</v>
      </c>
      <c r="EA9">
        <v>10418343</v>
      </c>
      <c r="EB9" t="s">
        <v>3176</v>
      </c>
      <c r="EE9" t="s">
        <v>2706</v>
      </c>
      <c r="EF9">
        <v>-2.4245362661989844E-14</v>
      </c>
      <c r="EH9">
        <v>-2.4245362661989844E-14</v>
      </c>
      <c r="EI9" t="s">
        <v>1651</v>
      </c>
      <c r="EJ9">
        <v>2025</v>
      </c>
      <c r="EK9" t="s">
        <v>2707</v>
      </c>
      <c r="EL9" s="6">
        <v>45961</v>
      </c>
      <c r="EM9">
        <v>5</v>
      </c>
      <c r="EN9">
        <v>-2.4245362661989844E-14</v>
      </c>
      <c r="EO9">
        <v>157171</v>
      </c>
      <c r="EP9" t="s">
        <v>2708</v>
      </c>
      <c r="EU9" t="s">
        <v>874</v>
      </c>
      <c r="EV9" t="s">
        <v>1598</v>
      </c>
      <c r="EW9">
        <v>0.75061999999999995</v>
      </c>
      <c r="EX9">
        <v>0.28763100000000003</v>
      </c>
      <c r="EY9" t="s">
        <v>1664</v>
      </c>
      <c r="EZ9">
        <v>2025</v>
      </c>
      <c r="FA9" t="s">
        <v>4844</v>
      </c>
      <c r="FB9" s="6">
        <v>45874</v>
      </c>
      <c r="FC9">
        <v>5</v>
      </c>
      <c r="FD9">
        <v>11362135</v>
      </c>
      <c r="FE9">
        <v>1094198</v>
      </c>
      <c r="FF9" t="s">
        <v>5912</v>
      </c>
      <c r="FI9" t="s">
        <v>280</v>
      </c>
      <c r="FJ9">
        <v>0.43229800000000002</v>
      </c>
      <c r="FK9" t="s">
        <v>1598</v>
      </c>
      <c r="FL9">
        <v>0.282169</v>
      </c>
      <c r="FM9" t="s">
        <v>1664</v>
      </c>
      <c r="FN9">
        <v>2025</v>
      </c>
      <c r="FO9" t="s">
        <v>5579</v>
      </c>
      <c r="FP9" s="6">
        <v>45897</v>
      </c>
      <c r="FQ9">
        <v>5</v>
      </c>
      <c r="FR9">
        <v>23046888</v>
      </c>
      <c r="FS9">
        <v>101090</v>
      </c>
      <c r="FT9" t="s">
        <v>2388</v>
      </c>
      <c r="FY9" t="s">
        <v>2332</v>
      </c>
      <c r="FZ9" t="s">
        <v>1598</v>
      </c>
      <c r="GA9">
        <v>0.29686099999999999</v>
      </c>
      <c r="GB9">
        <v>6.9705000000000003E-2</v>
      </c>
      <c r="GC9" t="s">
        <v>1606</v>
      </c>
      <c r="GD9">
        <v>2025</v>
      </c>
      <c r="GE9" t="s">
        <v>2333</v>
      </c>
      <c r="GF9" s="6">
        <v>46087</v>
      </c>
      <c r="GG9">
        <v>5</v>
      </c>
      <c r="GH9">
        <v>11619140</v>
      </c>
      <c r="GI9">
        <v>101204</v>
      </c>
      <c r="GJ9" t="s">
        <v>2334</v>
      </c>
      <c r="GM9" t="s">
        <v>1925</v>
      </c>
      <c r="GN9">
        <v>5.3379999999999999E-3</v>
      </c>
      <c r="GO9" t="s">
        <v>1598</v>
      </c>
      <c r="GP9">
        <v>1.0343059999999999</v>
      </c>
      <c r="GQ9" t="s">
        <v>1603</v>
      </c>
      <c r="GR9">
        <v>2026</v>
      </c>
      <c r="GS9" t="s">
        <v>1926</v>
      </c>
      <c r="GT9" s="6">
        <v>45852</v>
      </c>
      <c r="GU9">
        <v>5</v>
      </c>
      <c r="GV9">
        <v>1261005</v>
      </c>
      <c r="GW9">
        <v>9515683</v>
      </c>
      <c r="GX9" t="s">
        <v>1927</v>
      </c>
      <c r="HC9" t="s">
        <v>3803</v>
      </c>
      <c r="HD9" t="s">
        <v>1598</v>
      </c>
      <c r="HE9">
        <v>1.03163</v>
      </c>
      <c r="HF9">
        <v>1.307437</v>
      </c>
      <c r="HG9" t="s">
        <v>1599</v>
      </c>
      <c r="HH9">
        <v>2025</v>
      </c>
      <c r="HI9" t="s">
        <v>3804</v>
      </c>
      <c r="HJ9" s="6">
        <v>46073</v>
      </c>
      <c r="HK9">
        <v>5</v>
      </c>
      <c r="HL9">
        <v>21191403.109999999</v>
      </c>
      <c r="HM9">
        <v>156276</v>
      </c>
      <c r="HN9" t="s">
        <v>3805</v>
      </c>
      <c r="HQ9" t="s">
        <v>4034</v>
      </c>
      <c r="HR9">
        <v>-2.4245362661989844E-14</v>
      </c>
      <c r="HT9">
        <v>-2.4245362661989844E-14</v>
      </c>
      <c r="HU9" t="s">
        <v>1594</v>
      </c>
      <c r="HV9">
        <v>2022</v>
      </c>
      <c r="HW9" t="s">
        <v>4035</v>
      </c>
      <c r="HX9" s="6">
        <v>44788</v>
      </c>
      <c r="HY9">
        <v>5</v>
      </c>
      <c r="HZ9">
        <v>-2.4245362661989844E-14</v>
      </c>
      <c r="IA9">
        <v>67962950</v>
      </c>
      <c r="IB9" t="s">
        <v>4036</v>
      </c>
      <c r="IG9" t="s">
        <v>4517</v>
      </c>
      <c r="IH9" t="s">
        <v>1598</v>
      </c>
      <c r="II9">
        <v>6.87E-4</v>
      </c>
      <c r="IJ9">
        <v>2.6999999999999999E-5</v>
      </c>
      <c r="IK9" t="s">
        <v>1599</v>
      </c>
      <c r="IL9">
        <v>2025</v>
      </c>
      <c r="IM9" t="s">
        <v>4518</v>
      </c>
      <c r="IN9" s="6">
        <v>45819</v>
      </c>
      <c r="IO9">
        <v>5</v>
      </c>
      <c r="IP9">
        <v>1000</v>
      </c>
      <c r="IQ9">
        <v>101531</v>
      </c>
      <c r="IR9" t="s">
        <v>4519</v>
      </c>
      <c r="JK9" t="s">
        <v>2091</v>
      </c>
      <c r="JL9" t="s">
        <v>1598</v>
      </c>
      <c r="JM9">
        <v>7.3293999999999998E-2</v>
      </c>
      <c r="JN9">
        <v>0.120736</v>
      </c>
      <c r="JO9" t="s">
        <v>1664</v>
      </c>
      <c r="JP9">
        <v>2025</v>
      </c>
      <c r="JQ9" t="s">
        <v>1733</v>
      </c>
      <c r="JR9" s="6">
        <v>45947</v>
      </c>
      <c r="JS9">
        <v>5</v>
      </c>
      <c r="JT9">
        <v>2464222</v>
      </c>
      <c r="JU9">
        <v>182691</v>
      </c>
      <c r="JV9" t="s">
        <v>2092</v>
      </c>
      <c r="JY9" t="s">
        <v>1742</v>
      </c>
      <c r="JZ9">
        <v>0.75997400000000004</v>
      </c>
      <c r="KA9" t="s">
        <v>1598</v>
      </c>
      <c r="KB9">
        <v>0.60341699999999998</v>
      </c>
      <c r="KC9" t="s">
        <v>1664</v>
      </c>
      <c r="KD9">
        <v>2025</v>
      </c>
      <c r="KE9" t="s">
        <v>1733</v>
      </c>
      <c r="KF9" s="6">
        <v>45947</v>
      </c>
      <c r="KG9">
        <v>5</v>
      </c>
      <c r="KH9">
        <v>24752352</v>
      </c>
      <c r="KI9">
        <v>115688</v>
      </c>
      <c r="KJ9" t="s">
        <v>1743</v>
      </c>
      <c r="KO9" t="s">
        <v>3466</v>
      </c>
      <c r="KQ9">
        <v>-2.4245362661989844E-14</v>
      </c>
      <c r="KR9">
        <v>-2.4245362661989844E-14</v>
      </c>
      <c r="KS9" t="s">
        <v>1603</v>
      </c>
      <c r="KT9">
        <v>2024</v>
      </c>
      <c r="KU9" t="s">
        <v>3467</v>
      </c>
      <c r="KV9" s="6">
        <v>45421</v>
      </c>
      <c r="KW9">
        <v>5</v>
      </c>
      <c r="KX9">
        <v>-2.4245362661989844E-14</v>
      </c>
      <c r="KY9">
        <v>65608618</v>
      </c>
      <c r="KZ9" t="s">
        <v>3468</v>
      </c>
      <c r="LC9" t="s">
        <v>2916</v>
      </c>
      <c r="LD9">
        <v>-2.4245362661989844E-14</v>
      </c>
      <c r="LF9">
        <v>-2.4245362661989844E-14</v>
      </c>
      <c r="LG9" t="s">
        <v>1594</v>
      </c>
      <c r="LH9">
        <v>2022</v>
      </c>
      <c r="LI9" t="s">
        <v>2908</v>
      </c>
      <c r="LJ9" s="6">
        <v>45008</v>
      </c>
      <c r="LK9">
        <v>5</v>
      </c>
      <c r="LL9">
        <v>-2.4245362661989844E-14</v>
      </c>
      <c r="LM9">
        <v>55455507</v>
      </c>
      <c r="LN9" t="s">
        <v>2917</v>
      </c>
      <c r="MW9" t="s">
        <v>3151</v>
      </c>
      <c r="MX9" t="s">
        <v>1598</v>
      </c>
      <c r="MY9">
        <v>6.2096989999999996</v>
      </c>
      <c r="MZ9">
        <v>1.6721649999999999</v>
      </c>
      <c r="NA9" t="s">
        <v>1603</v>
      </c>
      <c r="NB9">
        <v>2025</v>
      </c>
      <c r="NC9" t="s">
        <v>3152</v>
      </c>
      <c r="ND9" s="6">
        <v>45804</v>
      </c>
      <c r="NE9">
        <v>5</v>
      </c>
      <c r="NF9">
        <v>79676803.140000001</v>
      </c>
      <c r="NG9">
        <v>8118223</v>
      </c>
      <c r="NH9" t="s">
        <v>3153</v>
      </c>
      <c r="NK9" t="s">
        <v>1700</v>
      </c>
      <c r="NL9">
        <v>2.581083</v>
      </c>
      <c r="NM9" t="s">
        <v>1598</v>
      </c>
      <c r="NN9">
        <v>3.2021199999999999</v>
      </c>
      <c r="NO9" t="s">
        <v>1606</v>
      </c>
      <c r="NP9">
        <v>2025</v>
      </c>
      <c r="NQ9" t="s">
        <v>2691</v>
      </c>
      <c r="NR9" s="6">
        <v>46010</v>
      </c>
      <c r="NS9">
        <v>5</v>
      </c>
      <c r="NT9">
        <v>464982112</v>
      </c>
      <c r="NU9">
        <v>1499717</v>
      </c>
      <c r="NV9" t="s">
        <v>1702</v>
      </c>
      <c r="OA9" t="s">
        <v>862</v>
      </c>
      <c r="OB9" t="s">
        <v>1598</v>
      </c>
      <c r="OC9">
        <v>3.715757</v>
      </c>
      <c r="OD9">
        <v>1.143508</v>
      </c>
      <c r="OE9" t="s">
        <v>1599</v>
      </c>
      <c r="OF9">
        <v>2025</v>
      </c>
      <c r="OG9" t="s">
        <v>2137</v>
      </c>
      <c r="OH9" s="6">
        <v>45782</v>
      </c>
      <c r="OI9">
        <v>5</v>
      </c>
      <c r="OJ9">
        <v>185133936</v>
      </c>
      <c r="OK9">
        <v>101149</v>
      </c>
      <c r="OL9" t="s">
        <v>2138</v>
      </c>
      <c r="OO9" t="s">
        <v>1116</v>
      </c>
      <c r="OP9">
        <v>1.2661089999999999</v>
      </c>
      <c r="OQ9" t="s">
        <v>1598</v>
      </c>
      <c r="OR9">
        <v>2.0610919999999999</v>
      </c>
      <c r="OS9" t="s">
        <v>1664</v>
      </c>
      <c r="OT9">
        <v>2025</v>
      </c>
      <c r="OU9" t="s">
        <v>2129</v>
      </c>
      <c r="OV9" s="6">
        <v>45895</v>
      </c>
      <c r="OW9">
        <v>5</v>
      </c>
      <c r="OX9">
        <v>273238976</v>
      </c>
      <c r="OY9">
        <v>100090</v>
      </c>
      <c r="OZ9" t="s">
        <v>1960</v>
      </c>
      <c r="PE9" t="s">
        <v>6078</v>
      </c>
      <c r="PF9" t="s">
        <v>1598</v>
      </c>
      <c r="PG9">
        <v>2.0930000000000001E-2</v>
      </c>
      <c r="PH9">
        <v>1.5842999999999999E-2</v>
      </c>
      <c r="PI9" t="s">
        <v>1664</v>
      </c>
      <c r="PJ9">
        <v>2025</v>
      </c>
      <c r="PK9" t="s">
        <v>6079</v>
      </c>
      <c r="PL9" s="6">
        <v>45950</v>
      </c>
      <c r="PM9">
        <v>5</v>
      </c>
      <c r="PN9">
        <v>208941.99</v>
      </c>
      <c r="PO9">
        <v>22262012</v>
      </c>
      <c r="PP9" t="s">
        <v>6080</v>
      </c>
      <c r="PS9" t="s">
        <v>2643</v>
      </c>
      <c r="PT9">
        <v>3.0791019999999998</v>
      </c>
      <c r="PU9" t="s">
        <v>1598</v>
      </c>
      <c r="PV9">
        <v>0.25596200000000002</v>
      </c>
      <c r="PW9" t="s">
        <v>1606</v>
      </c>
      <c r="PX9">
        <v>2024</v>
      </c>
      <c r="PY9" t="s">
        <v>5806</v>
      </c>
      <c r="PZ9" s="6">
        <v>45776</v>
      </c>
      <c r="QA9">
        <v>5</v>
      </c>
      <c r="QB9">
        <v>58364376</v>
      </c>
      <c r="QC9">
        <v>100436</v>
      </c>
      <c r="QD9" t="s">
        <v>2644</v>
      </c>
      <c r="QI9" t="s">
        <v>2383</v>
      </c>
      <c r="QJ9" t="s">
        <v>1634</v>
      </c>
      <c r="QK9">
        <v>1.650523</v>
      </c>
      <c r="QL9">
        <v>1.7462089999999999</v>
      </c>
      <c r="QM9" t="s">
        <v>1599</v>
      </c>
      <c r="QN9">
        <v>2025</v>
      </c>
      <c r="QO9" t="s">
        <v>2384</v>
      </c>
      <c r="QP9" s="6">
        <v>46029</v>
      </c>
      <c r="QQ9">
        <v>5</v>
      </c>
      <c r="QR9">
        <v>97565313.560000002</v>
      </c>
      <c r="QS9">
        <v>115705</v>
      </c>
      <c r="QT9" t="s">
        <v>2385</v>
      </c>
      <c r="QW9" t="s">
        <v>22</v>
      </c>
      <c r="QX9">
        <v>0.19926099999999999</v>
      </c>
      <c r="QY9" t="s">
        <v>1598</v>
      </c>
      <c r="QZ9">
        <v>1.1451750000000001</v>
      </c>
      <c r="RA9" t="s">
        <v>1664</v>
      </c>
      <c r="RB9">
        <v>2025</v>
      </c>
      <c r="RC9" t="s">
        <v>2129</v>
      </c>
      <c r="RD9" s="6">
        <v>45895</v>
      </c>
      <c r="RE9">
        <v>5</v>
      </c>
      <c r="RF9">
        <v>197027360</v>
      </c>
      <c r="RG9">
        <v>101555</v>
      </c>
      <c r="RH9" t="s">
        <v>2130</v>
      </c>
      <c r="RM9" t="s">
        <v>5818</v>
      </c>
      <c r="RO9">
        <v>-2.4245362661989844E-14</v>
      </c>
      <c r="RP9">
        <v>-2.4245362661989844E-14</v>
      </c>
      <c r="RQ9" t="s">
        <v>1651</v>
      </c>
      <c r="RR9">
        <v>2025</v>
      </c>
      <c r="RS9" t="s">
        <v>5819</v>
      </c>
      <c r="RT9" s="6">
        <v>45965</v>
      </c>
      <c r="RU9">
        <v>5</v>
      </c>
      <c r="RV9">
        <v>-2.4245362661989844E-14</v>
      </c>
      <c r="RW9">
        <v>330633</v>
      </c>
      <c r="RX9" t="s">
        <v>5820</v>
      </c>
      <c r="SA9" t="s">
        <v>1422</v>
      </c>
      <c r="SB9">
        <v>5.1084389999999997</v>
      </c>
      <c r="SC9" t="s">
        <v>1634</v>
      </c>
      <c r="SD9">
        <v>2.769495</v>
      </c>
      <c r="SE9" t="s">
        <v>1606</v>
      </c>
      <c r="SF9">
        <v>2024</v>
      </c>
      <c r="SG9" t="s">
        <v>4441</v>
      </c>
      <c r="SH9" s="6">
        <v>45763</v>
      </c>
      <c r="SI9">
        <v>5</v>
      </c>
      <c r="SJ9">
        <v>48632340</v>
      </c>
      <c r="SK9">
        <v>100078</v>
      </c>
      <c r="SL9" t="s">
        <v>5346</v>
      </c>
      <c r="TU9" t="s">
        <v>3630</v>
      </c>
      <c r="TW9">
        <v>-2.4245362661989844E-14</v>
      </c>
      <c r="TX9">
        <v>-2.4245362661989844E-14</v>
      </c>
      <c r="TY9" t="s">
        <v>1594</v>
      </c>
      <c r="TZ9">
        <v>2022</v>
      </c>
      <c r="UA9" t="s">
        <v>3631</v>
      </c>
      <c r="UB9" s="6">
        <v>44840</v>
      </c>
      <c r="UC9">
        <v>5</v>
      </c>
      <c r="UD9">
        <v>-2.4245362661989844E-14</v>
      </c>
      <c r="UE9">
        <v>59958793</v>
      </c>
      <c r="UF9" t="s">
        <v>3632</v>
      </c>
      <c r="UI9" t="s">
        <v>1593</v>
      </c>
      <c r="UJ9">
        <v>-2.4245362661989844E-14</v>
      </c>
      <c r="UL9">
        <v>-2.4245362661989844E-14</v>
      </c>
      <c r="UM9" t="s">
        <v>1594</v>
      </c>
      <c r="UN9">
        <v>2024</v>
      </c>
      <c r="UO9" t="s">
        <v>2925</v>
      </c>
      <c r="UP9" s="6">
        <v>45708</v>
      </c>
      <c r="UQ9">
        <v>5</v>
      </c>
      <c r="UR9">
        <v>-2.4245362661989844E-14</v>
      </c>
      <c r="US9">
        <v>69792617</v>
      </c>
      <c r="UT9" t="s">
        <v>1596</v>
      </c>
      <c r="UY9" t="s">
        <v>4964</v>
      </c>
      <c r="UZ9" t="s">
        <v>1598</v>
      </c>
      <c r="VA9">
        <v>67</v>
      </c>
      <c r="VB9">
        <v>3.5827270000000002</v>
      </c>
      <c r="VC9" t="s">
        <v>1594</v>
      </c>
      <c r="VD9">
        <v>2025</v>
      </c>
      <c r="VE9" t="s">
        <v>4965</v>
      </c>
      <c r="VF9" s="6">
        <v>46083</v>
      </c>
      <c r="VG9">
        <v>5</v>
      </c>
      <c r="VH9">
        <v>859442496</v>
      </c>
      <c r="VI9">
        <v>69597326</v>
      </c>
      <c r="VJ9" t="s">
        <v>4966</v>
      </c>
      <c r="VM9" t="s">
        <v>1663</v>
      </c>
      <c r="VN9">
        <v>0.23485800000000001</v>
      </c>
      <c r="VO9" t="s">
        <v>1598</v>
      </c>
      <c r="VP9">
        <v>0.132383</v>
      </c>
      <c r="VQ9" t="s">
        <v>1599</v>
      </c>
      <c r="VR9">
        <v>2025</v>
      </c>
      <c r="VS9" t="s">
        <v>1735</v>
      </c>
      <c r="VT9" s="6">
        <v>45843</v>
      </c>
      <c r="VU9">
        <v>5</v>
      </c>
      <c r="VV9">
        <v>164555600</v>
      </c>
      <c r="VW9">
        <v>101616</v>
      </c>
      <c r="VX9" t="s">
        <v>1666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217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218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219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220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221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222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223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224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225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226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227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228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229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230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231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232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233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234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235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24</v>
      </c>
      <c r="AE2" s="3" t="s">
        <v>236</v>
      </c>
      <c r="BI2" s="3" t="s">
        <v>237</v>
      </c>
      <c r="CM2" s="3" t="s">
        <v>149</v>
      </c>
      <c r="DQ2" s="3" t="s">
        <v>238</v>
      </c>
      <c r="EU2" s="3" t="s">
        <v>239</v>
      </c>
      <c r="FY2" s="3" t="s">
        <v>240</v>
      </c>
      <c r="HC2" s="3" t="s">
        <v>78</v>
      </c>
      <c r="IG2" s="3" t="s">
        <v>241</v>
      </c>
      <c r="JK2" s="3" t="s">
        <v>242</v>
      </c>
      <c r="KO2" s="3" t="s">
        <v>78</v>
      </c>
      <c r="LS2" s="3" t="s">
        <v>243</v>
      </c>
      <c r="MW2" s="3" t="s">
        <v>244</v>
      </c>
      <c r="OA2" s="3" t="s">
        <v>78</v>
      </c>
      <c r="PE2" s="3" t="s">
        <v>184</v>
      </c>
      <c r="QI2" s="3" t="s">
        <v>245</v>
      </c>
      <c r="RM2" s="3" t="s">
        <v>246</v>
      </c>
      <c r="SQ2" s="3" t="s">
        <v>247</v>
      </c>
      <c r="TU2" s="3" t="s">
        <v>248</v>
      </c>
      <c r="UY2" s="3" t="s">
        <v>249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_xll.BDS("PFE US Equity","SUPPLY_CHAIN_SUPPLIERS_ALL_DATA","cols=12;rows=5")</f>
        <v>BNTX US Equity</v>
      </c>
      <c r="B5" t="s">
        <v>1598</v>
      </c>
      <c r="C5">
        <v>73</v>
      </c>
      <c r="D5">
        <v>12.187704999999999</v>
      </c>
      <c r="E5" t="s">
        <v>1594</v>
      </c>
      <c r="F5">
        <v>2024</v>
      </c>
      <c r="G5" t="s">
        <v>3345</v>
      </c>
      <c r="H5" s="6">
        <v>45726</v>
      </c>
      <c r="I5">
        <v>5</v>
      </c>
      <c r="J5">
        <v>544064265</v>
      </c>
      <c r="K5">
        <v>65839686</v>
      </c>
      <c r="L5" t="s">
        <v>3346</v>
      </c>
      <c r="O5" t="str">
        <f>_xll.BDS("PFE US Equity","SUPPLY_CHAIN_CUSTOMERS_ALL_DATA","cols=12;rows=5")</f>
        <v>MCK US Equity</v>
      </c>
      <c r="P5">
        <v>25</v>
      </c>
      <c r="Q5" t="s">
        <v>1598</v>
      </c>
      <c r="R5">
        <v>4.0761390000000004</v>
      </c>
      <c r="S5" t="s">
        <v>1594</v>
      </c>
      <c r="T5">
        <v>2025</v>
      </c>
      <c r="U5" t="s">
        <v>2824</v>
      </c>
      <c r="V5" s="6">
        <v>46079</v>
      </c>
      <c r="W5">
        <v>5</v>
      </c>
      <c r="X5">
        <v>3911187456</v>
      </c>
      <c r="Y5">
        <v>154936</v>
      </c>
      <c r="Z5" t="s">
        <v>1766</v>
      </c>
      <c r="AE5" t="str">
        <f>_xll.BDS("M US Equity","SUPPLY_CHAIN_SUPPLIERS_ALL_DATA","cols=12;rows=5")</f>
        <v>UPS US Equity</v>
      </c>
      <c r="AF5" t="s">
        <v>1598</v>
      </c>
      <c r="AG5">
        <v>0.92627999999999999</v>
      </c>
      <c r="AH5">
        <v>6.9479110000000004</v>
      </c>
      <c r="AI5" t="s">
        <v>1599</v>
      </c>
      <c r="AJ5">
        <v>2025</v>
      </c>
      <c r="AK5" t="s">
        <v>3068</v>
      </c>
      <c r="AL5" s="6">
        <v>46007</v>
      </c>
      <c r="AM5">
        <v>5</v>
      </c>
      <c r="AN5">
        <v>198362864</v>
      </c>
      <c r="AO5">
        <v>143027</v>
      </c>
      <c r="AP5" t="s">
        <v>1908</v>
      </c>
      <c r="AS5" t="str">
        <f>_xll.BDS("M US Equity","SUPPLY_CHAIN_CUSTOMERS_ALL_DATA","cols=12;rows=5")</f>
        <v>002790 KS Equity</v>
      </c>
      <c r="AT5">
        <v>-2.4245362661989844E-14</v>
      </c>
      <c r="AV5">
        <v>-2.4245362661989844E-14</v>
      </c>
      <c r="AW5" t="s">
        <v>1651</v>
      </c>
      <c r="AX5">
        <v>2025</v>
      </c>
      <c r="AY5" t="s">
        <v>6058</v>
      </c>
      <c r="AZ5" s="6">
        <v>45975</v>
      </c>
      <c r="BA5">
        <v>5</v>
      </c>
      <c r="BB5">
        <v>-2.4245362661989844E-14</v>
      </c>
      <c r="BC5">
        <v>129299</v>
      </c>
      <c r="BD5" t="s">
        <v>6059</v>
      </c>
      <c r="BI5" t="str">
        <f>_xll.BDS("BK US Equity","SUPPLY_CHAIN_SUPPLIERS_ALL_DATA","cols=12;rows=5")</f>
        <v>ORCL US Equity</v>
      </c>
      <c r="BJ5" t="s">
        <v>1598</v>
      </c>
      <c r="BK5">
        <v>7.0869000000000001E-2</v>
      </c>
      <c r="BL5">
        <v>0.34656500000000001</v>
      </c>
      <c r="BM5" t="s">
        <v>1606</v>
      </c>
      <c r="BN5">
        <v>2025</v>
      </c>
      <c r="BO5" t="s">
        <v>2251</v>
      </c>
      <c r="BP5" s="6">
        <v>45848</v>
      </c>
      <c r="BQ5">
        <v>5</v>
      </c>
      <c r="BR5">
        <v>11270297</v>
      </c>
      <c r="BS5">
        <v>101752</v>
      </c>
      <c r="BT5" t="s">
        <v>2265</v>
      </c>
      <c r="BW5" t="str">
        <f>_xll.BDS("BK US Equity","SUPPLY_CHAIN_CUSTOMERS_ALL_DATA")</f>
        <v>#N/A N/A</v>
      </c>
      <c r="CM5" t="str">
        <f>_xll.BDS("PLD US Equity","SUPPLY_CHAIN_SUPPLIERS_ALL_DATA","cols=12;rows=5")</f>
        <v>SALFACOR CI Equity</v>
      </c>
      <c r="CN5" t="s">
        <v>1598</v>
      </c>
      <c r="CO5">
        <v>1.0878749999999999</v>
      </c>
      <c r="CP5">
        <v>25.782067999999999</v>
      </c>
      <c r="CQ5" t="s">
        <v>1594</v>
      </c>
      <c r="CR5">
        <v>2024</v>
      </c>
      <c r="CS5" t="s">
        <v>2301</v>
      </c>
      <c r="CT5" s="6">
        <v>45714</v>
      </c>
      <c r="CU5">
        <v>5</v>
      </c>
      <c r="CV5">
        <v>3034787.67</v>
      </c>
      <c r="CW5">
        <v>9218729</v>
      </c>
      <c r="CX5" t="s">
        <v>2302</v>
      </c>
      <c r="DA5" t="str">
        <f>_xll.BDS("PLD US Equity","SUPPLY_CHAIN_CUSTOMERS_ALL_DATA","cols=12;rows=5")</f>
        <v>AMZN US Equity</v>
      </c>
      <c r="DB5">
        <v>5.4977010000000002</v>
      </c>
      <c r="DC5" t="s">
        <v>1685</v>
      </c>
      <c r="DD5">
        <v>0.81587200000000004</v>
      </c>
      <c r="DE5" t="s">
        <v>1594</v>
      </c>
      <c r="DF5">
        <v>2024</v>
      </c>
      <c r="DG5" t="s">
        <v>1903</v>
      </c>
      <c r="DH5" s="6">
        <v>45702</v>
      </c>
      <c r="DI5">
        <v>5</v>
      </c>
      <c r="DJ5">
        <v>112725000</v>
      </c>
      <c r="DK5">
        <v>216952</v>
      </c>
      <c r="DL5" t="s">
        <v>1631</v>
      </c>
      <c r="DQ5" t="str">
        <f>_xll.BDS("O US Equity","SUPPLY_CHAIN_SUPPLIERS_ALL_DATA")</f>
        <v>#N/A N/A</v>
      </c>
      <c r="EE5" t="str">
        <f>_xll.BDS("O US Equity","SUPPLY_CHAIN_CUSTOMERS_ALL_DATA","cols=12;rows=5")</f>
        <v>3382 JP Equity</v>
      </c>
      <c r="EF5">
        <v>3.3005909999999998</v>
      </c>
      <c r="EG5" t="s">
        <v>1685</v>
      </c>
      <c r="EH5">
        <v>0.96436999999999995</v>
      </c>
      <c r="EI5" t="s">
        <v>1594</v>
      </c>
      <c r="EJ5">
        <v>2024</v>
      </c>
      <c r="EK5" t="s">
        <v>2353</v>
      </c>
      <c r="EL5" s="6">
        <v>45713</v>
      </c>
      <c r="EM5">
        <v>5</v>
      </c>
      <c r="EN5">
        <v>43494708</v>
      </c>
      <c r="EO5">
        <v>9917432</v>
      </c>
      <c r="EP5" t="s">
        <v>2493</v>
      </c>
      <c r="EU5" t="str">
        <f>_xll.BDS("3153670Q US Equity","SUPPLY_CHAIN_SUPPLIERS_ALL_DATA")</f>
        <v>#N/A N/A</v>
      </c>
      <c r="FI5" t="str">
        <f>_xll.BDS("3153670Q US Equity","SUPPLY_CHAIN_CUSTOMERS_ALL_DATA","cols=12;rows=2")</f>
        <v>2427 TT Equity</v>
      </c>
      <c r="FJ5">
        <v>-2.4245362661989844E-14</v>
      </c>
      <c r="FL5">
        <v>-2.4245362661989844E-14</v>
      </c>
      <c r="FM5" t="s">
        <v>1594</v>
      </c>
      <c r="FN5">
        <v>2022</v>
      </c>
      <c r="FO5" t="s">
        <v>4949</v>
      </c>
      <c r="FP5" s="6">
        <v>45069</v>
      </c>
      <c r="FQ5">
        <v>2</v>
      </c>
      <c r="FR5">
        <v>-2.4245362661989844E-14</v>
      </c>
      <c r="FS5">
        <v>812726</v>
      </c>
      <c r="FT5" t="s">
        <v>4295</v>
      </c>
      <c r="FY5" t="str">
        <f>_xll.BDS("JNJ US Equity","SUPPLY_CHAIN_SUPPLIERS_ALL_DATA","cols=12;rows=5")</f>
        <v>GMAB DC Equity</v>
      </c>
      <c r="FZ5" t="s">
        <v>2128</v>
      </c>
      <c r="GA5">
        <v>66.998047</v>
      </c>
      <c r="GB5">
        <v>11.040321</v>
      </c>
      <c r="GC5" t="s">
        <v>1594</v>
      </c>
      <c r="GD5">
        <v>2024</v>
      </c>
      <c r="GE5" t="s">
        <v>3382</v>
      </c>
      <c r="GF5" s="6">
        <v>45701</v>
      </c>
      <c r="GG5">
        <v>5</v>
      </c>
      <c r="GH5">
        <v>522920364.22000003</v>
      </c>
      <c r="GI5">
        <v>1405715</v>
      </c>
      <c r="GJ5" t="s">
        <v>3383</v>
      </c>
      <c r="GM5" t="str">
        <f>_xll.BDS("JNJ US Equity","SUPPLY_CHAIN_CUSTOMERS_ALL_DATA","cols=12;rows=5")</f>
        <v>MCK US Equity</v>
      </c>
      <c r="GN5">
        <v>20.476745999999999</v>
      </c>
      <c r="GO5" t="s">
        <v>1598</v>
      </c>
      <c r="GP5">
        <v>6.636412</v>
      </c>
      <c r="GQ5" t="s">
        <v>1599</v>
      </c>
      <c r="GR5">
        <v>2025</v>
      </c>
      <c r="GS5" t="s">
        <v>2219</v>
      </c>
      <c r="GT5" s="6">
        <v>46018</v>
      </c>
      <c r="GU5">
        <v>5</v>
      </c>
      <c r="GV5">
        <v>4912985600</v>
      </c>
      <c r="GW5">
        <v>154936</v>
      </c>
      <c r="GX5" t="s">
        <v>1766</v>
      </c>
      <c r="HC5" t="str">
        <f>_xll.BDS("nan Equity","SUPPLY_CHAIN_SUPPLIERS_ALL_DATA")</f>
        <v>#N/A N/A</v>
      </c>
      <c r="HQ5" t="str">
        <f>_xll.BDS("nan Equity","SUPPLY_CHAIN_CUSTOMERS_ALL_DATA")</f>
        <v>#N/A N/A</v>
      </c>
      <c r="IG5" t="str">
        <f>_xll.BDS("TRV US Equity","SUPPLY_CHAIN_SUPPLIERS_ALL_DATA","cols=12;rows=5")</f>
        <v>1892140D US Equity</v>
      </c>
      <c r="II5">
        <v>-2.4245362661989844E-14</v>
      </c>
      <c r="IJ5">
        <v>-2.4245362661989844E-14</v>
      </c>
      <c r="IK5" t="s">
        <v>1594</v>
      </c>
      <c r="IL5">
        <v>2025</v>
      </c>
      <c r="IM5" t="s">
        <v>5089</v>
      </c>
      <c r="IN5" s="6">
        <v>46037</v>
      </c>
      <c r="IO5">
        <v>5</v>
      </c>
      <c r="IP5">
        <v>-2.4245362661989844E-14</v>
      </c>
      <c r="IQ5">
        <v>69602734</v>
      </c>
      <c r="IR5" t="s">
        <v>5090</v>
      </c>
      <c r="IU5" t="str">
        <f>_xll.BDS("TRV US Equity","SUPPLY_CHAIN_CUSTOMERS_ALL_DATA")</f>
        <v>#N/A N/A</v>
      </c>
      <c r="JK5" t="str">
        <f>_xll.BDS("VRSN US Equity","SUPPLY_CHAIN_SUPPLIERS_ALL_DATA","cols=12;rows=2")</f>
        <v>079940 KS Equity</v>
      </c>
      <c r="JM5">
        <v>-2.4245362661989844E-14</v>
      </c>
      <c r="JN5">
        <v>-2.4245362661989844E-14</v>
      </c>
      <c r="JO5" t="s">
        <v>1651</v>
      </c>
      <c r="JP5">
        <v>2025</v>
      </c>
      <c r="JQ5" t="s">
        <v>4875</v>
      </c>
      <c r="JR5" s="6">
        <v>45974</v>
      </c>
      <c r="JS5">
        <v>2</v>
      </c>
      <c r="JT5">
        <v>-2.4245362661989844E-14</v>
      </c>
      <c r="JU5">
        <v>9996300</v>
      </c>
      <c r="JV5" t="s">
        <v>4624</v>
      </c>
      <c r="JY5" t="str">
        <f>_xll.BDS("VRSN US Equity","SUPPLY_CHAIN_CUSTOMERS_ALL_DATA","cols=12;rows=3")</f>
        <v>079940 KS Equity</v>
      </c>
      <c r="JZ5">
        <v>-2.4245362661989844E-14</v>
      </c>
      <c r="KB5">
        <v>-2.4245362661989844E-14</v>
      </c>
      <c r="KC5" t="s">
        <v>2469</v>
      </c>
      <c r="KD5">
        <v>2025</v>
      </c>
      <c r="KE5" t="s">
        <v>4762</v>
      </c>
      <c r="KF5" s="6">
        <v>45883</v>
      </c>
      <c r="KG5">
        <v>3</v>
      </c>
      <c r="KH5">
        <v>-2.4245362661989844E-14</v>
      </c>
      <c r="KI5">
        <v>9996300</v>
      </c>
      <c r="KJ5" t="s">
        <v>4624</v>
      </c>
      <c r="KO5" t="str">
        <f>_xll.BDS("nan Equity","SUPPLY_CHAIN_SUPPLIERS_ALL_DATA")</f>
        <v>#N/A N/A</v>
      </c>
      <c r="LC5" t="str">
        <f>_xll.BDS("nan Equity","SUPPLY_CHAIN_CUSTOMERS_ALL_DATA")</f>
        <v>#N/A N/A</v>
      </c>
      <c r="LS5" t="str">
        <f>_xll.BDS("HON US Equity","SUPPLY_CHAIN_SUPPLIERS_ALL_DATA","cols=12;rows=5")</f>
        <v>CLS CN Equity</v>
      </c>
      <c r="LT5" t="s">
        <v>1598</v>
      </c>
      <c r="LU5">
        <v>4.9330850000000002</v>
      </c>
      <c r="LV5">
        <v>2.2964980000000002</v>
      </c>
      <c r="LW5" t="s">
        <v>1599</v>
      </c>
      <c r="LX5">
        <v>2025</v>
      </c>
      <c r="LY5" t="s">
        <v>2976</v>
      </c>
      <c r="LZ5" s="6">
        <v>46013</v>
      </c>
      <c r="MA5">
        <v>5</v>
      </c>
      <c r="MB5">
        <v>157562736</v>
      </c>
      <c r="MC5">
        <v>349266</v>
      </c>
      <c r="MD5" t="s">
        <v>2977</v>
      </c>
      <c r="MG5" t="str">
        <f>_xll.BDS("HON US Equity","SUPPLY_CHAIN_CUSTOMERS_ALL_DATA","cols=12;rows=5")</f>
        <v>3352Z US Equity</v>
      </c>
      <c r="MH5">
        <v>12.69163</v>
      </c>
      <c r="MJ5">
        <v>-2.4245362661989844E-14</v>
      </c>
      <c r="MK5" t="s">
        <v>1594</v>
      </c>
      <c r="ML5">
        <v>2025</v>
      </c>
      <c r="MM5" t="s">
        <v>2755</v>
      </c>
      <c r="MN5" s="6">
        <v>46070</v>
      </c>
      <c r="MO5">
        <v>5</v>
      </c>
      <c r="MP5">
        <v>1188000000</v>
      </c>
      <c r="MQ5">
        <v>218252</v>
      </c>
      <c r="MR5" t="s">
        <v>1622</v>
      </c>
      <c r="MW5" t="str">
        <f>_xll.BDS("VICI US Equity","SUPPLY_CHAIN_SUPPLIERS_ALL_DATA","cols=12;rows=2")</f>
        <v>AGYS US Equity</v>
      </c>
      <c r="MY5">
        <v>-2.4245362661989844E-14</v>
      </c>
      <c r="MZ5">
        <v>-2.4245362661989844E-14</v>
      </c>
      <c r="NA5" t="s">
        <v>1594</v>
      </c>
      <c r="NB5">
        <v>2025</v>
      </c>
      <c r="NC5" t="s">
        <v>3000</v>
      </c>
      <c r="ND5" s="6">
        <v>45800</v>
      </c>
      <c r="NE5">
        <v>2</v>
      </c>
      <c r="NF5">
        <v>-2.4245362661989844E-14</v>
      </c>
      <c r="NG5">
        <v>106119</v>
      </c>
      <c r="NH5" t="s">
        <v>3001</v>
      </c>
      <c r="NK5" t="str">
        <f>_xll.BDS("VICI US Equity","SUPPLY_CHAIN_CUSTOMERS_ALL_DATA","cols=12;rows=5")</f>
        <v>CZR US Equity</v>
      </c>
      <c r="NL5">
        <v>39</v>
      </c>
      <c r="NM5" t="s">
        <v>1685</v>
      </c>
      <c r="NN5">
        <v>78.186974000000006</v>
      </c>
      <c r="NO5" t="s">
        <v>1594</v>
      </c>
      <c r="NP5">
        <v>2024</v>
      </c>
      <c r="NQ5" t="s">
        <v>2351</v>
      </c>
      <c r="NR5" s="6">
        <v>45708</v>
      </c>
      <c r="NS5">
        <v>5</v>
      </c>
      <c r="NT5">
        <v>375297472</v>
      </c>
      <c r="NU5">
        <v>42293262</v>
      </c>
      <c r="NV5" t="s">
        <v>5549</v>
      </c>
      <c r="OA5" t="str">
        <f>_xll.BDS("nan Equity","SUPPLY_CHAIN_SUPPLIERS_ALL_DATA")</f>
        <v>#N/A N/A</v>
      </c>
      <c r="OO5" t="str">
        <f>_xll.BDS("nan Equity","SUPPLY_CHAIN_CUSTOMERS_ALL_DATA")</f>
        <v>#N/A N/A</v>
      </c>
      <c r="PE5" t="str">
        <f>_xll.BDS("TMO US Equity","SUPPLY_CHAIN_SUPPLIERS_ALL_DATA","cols=12;rows=5")</f>
        <v>EMR US Equity</v>
      </c>
      <c r="PF5" t="s">
        <v>1598</v>
      </c>
      <c r="PG5">
        <v>4.2224550000000001</v>
      </c>
      <c r="PH5">
        <v>2.8645350000000001</v>
      </c>
      <c r="PI5" t="s">
        <v>1599</v>
      </c>
      <c r="PJ5">
        <v>2025</v>
      </c>
      <c r="PK5" t="s">
        <v>2931</v>
      </c>
      <c r="PL5" s="6">
        <v>45881</v>
      </c>
      <c r="PM5">
        <v>5</v>
      </c>
      <c r="PN5">
        <v>184647952</v>
      </c>
      <c r="PO5">
        <v>100515</v>
      </c>
      <c r="PP5" t="s">
        <v>2932</v>
      </c>
      <c r="PS5" t="str">
        <f>_xll.BDS("TMO US Equity","SUPPLY_CHAIN_CUSTOMERS_ALL_DATA","cols=12;rows=5")</f>
        <v>4195 TT Equity</v>
      </c>
      <c r="PT5">
        <v>9.7099999999999999E-3</v>
      </c>
      <c r="PU5" t="s">
        <v>1598</v>
      </c>
      <c r="PV5">
        <v>37.527434999999997</v>
      </c>
      <c r="PW5" t="s">
        <v>1594</v>
      </c>
      <c r="PX5">
        <v>2024</v>
      </c>
      <c r="PY5" t="s">
        <v>2828</v>
      </c>
      <c r="PZ5" s="6">
        <v>45803</v>
      </c>
      <c r="QA5">
        <v>5</v>
      </c>
      <c r="QB5">
        <v>1052629.3999999999</v>
      </c>
      <c r="QC5">
        <v>38166930</v>
      </c>
      <c r="QD5" t="s">
        <v>2829</v>
      </c>
      <c r="QI5" t="str">
        <f>_xll.BDS("FBF US Equity","SUPPLY_CHAIN_SUPPLIERS_ALL_DATA")</f>
        <v>#N/A N/A</v>
      </c>
      <c r="QW5" t="str">
        <f>_xll.BDS("FBF US Equity","SUPPLY_CHAIN_CUSTOMERS_ALL_DATA")</f>
        <v>#N/A N/A</v>
      </c>
      <c r="RM5" t="str">
        <f>_xll.BDS("MAR US Equity","SUPPLY_CHAIN_SUPPLIERS_ALL_DATA","cols=12;rows=5")</f>
        <v>ORCL US Equity</v>
      </c>
      <c r="RN5" t="s">
        <v>1598</v>
      </c>
      <c r="RO5">
        <v>8.7483000000000005E-2</v>
      </c>
      <c r="RP5">
        <v>0.27725</v>
      </c>
      <c r="RQ5" t="s">
        <v>1606</v>
      </c>
      <c r="RR5">
        <v>2025</v>
      </c>
      <c r="RS5" t="s">
        <v>2251</v>
      </c>
      <c r="RT5" s="6">
        <v>45848</v>
      </c>
      <c r="RU5">
        <v>5</v>
      </c>
      <c r="RV5">
        <v>13912421</v>
      </c>
      <c r="RW5">
        <v>101752</v>
      </c>
      <c r="RX5" t="s">
        <v>2265</v>
      </c>
      <c r="SA5" t="str">
        <f>_xll.BDS("MAR US Equity","SUPPLY_CHAIN_CUSTOMERS_ALL_DATA","cols=12;rows=5")</f>
        <v>139480 KS Equity</v>
      </c>
      <c r="SB5">
        <v>2.4112000000000001E-2</v>
      </c>
      <c r="SC5" t="s">
        <v>1685</v>
      </c>
      <c r="SD5">
        <v>0.119986</v>
      </c>
      <c r="SE5" t="s">
        <v>1651</v>
      </c>
      <c r="SF5">
        <v>2025</v>
      </c>
      <c r="SG5" t="s">
        <v>5364</v>
      </c>
      <c r="SH5" s="6">
        <v>45975</v>
      </c>
      <c r="SI5">
        <v>5</v>
      </c>
      <c r="SJ5">
        <v>1559707.12</v>
      </c>
      <c r="SK5">
        <v>278509</v>
      </c>
      <c r="SL5" t="s">
        <v>5365</v>
      </c>
      <c r="SQ5" t="str">
        <f>_xll.BDS("SLB US Equity","SUPPLY_CHAIN_SUPPLIERS_ALL_DATA","cols=12;rows=5")</f>
        <v>ARABIAND AB Equity</v>
      </c>
      <c r="SR5" t="s">
        <v>1598</v>
      </c>
      <c r="SS5">
        <v>16.391817</v>
      </c>
      <c r="ST5">
        <v>0.548377</v>
      </c>
      <c r="SU5" t="s">
        <v>1594</v>
      </c>
      <c r="SV5">
        <v>2024</v>
      </c>
      <c r="SW5" t="s">
        <v>2240</v>
      </c>
      <c r="SX5" s="6">
        <v>45743</v>
      </c>
      <c r="SY5">
        <v>5</v>
      </c>
      <c r="SZ5">
        <v>39521386.840000004</v>
      </c>
      <c r="TA5">
        <v>64576000</v>
      </c>
      <c r="TB5" t="s">
        <v>2241</v>
      </c>
      <c r="TE5" t="str">
        <f>_xll.BDS("SLB US Equity","SUPPLY_CHAIN_CUSTOMERS_ALL_DATA","cols=12;rows=5")</f>
        <v>PETR4 BZ Equity</v>
      </c>
      <c r="TF5">
        <v>4.2082129999999998</v>
      </c>
      <c r="TG5" t="s">
        <v>1634</v>
      </c>
      <c r="TH5">
        <v>7.6857369999999996</v>
      </c>
      <c r="TI5" t="s">
        <v>1599</v>
      </c>
      <c r="TJ5">
        <v>2025</v>
      </c>
      <c r="TK5" t="s">
        <v>1809</v>
      </c>
      <c r="TL5" s="6">
        <v>45985</v>
      </c>
      <c r="TM5">
        <v>5</v>
      </c>
      <c r="TN5">
        <v>375709248</v>
      </c>
      <c r="TO5">
        <v>136114</v>
      </c>
      <c r="TP5" t="s">
        <v>1810</v>
      </c>
      <c r="TU5" t="str">
        <f>_xll.BDS("1996074D US Equity","SUPPLY_CHAIN_SUPPLIERS_ALL_DATA")</f>
        <v>#N/A N/A</v>
      </c>
      <c r="UI5" t="str">
        <f>_xll.BDS("1996074D US Equity","SUPPLY_CHAIN_CUSTOMERS_ALL_DATA")</f>
        <v>#N/A N/A</v>
      </c>
      <c r="UY5" t="str">
        <f>_xll.BDS("WBD US Equity","SUPPLY_CHAIN_SUPPLIERS_ALL_DATA","cols=12;rows=5")</f>
        <v>IMAX US Equity</v>
      </c>
      <c r="UZ5" t="s">
        <v>1598</v>
      </c>
      <c r="VA5">
        <v>3.7447560000000002</v>
      </c>
      <c r="VB5">
        <v>8.7509000000000003E-2</v>
      </c>
      <c r="VC5" t="s">
        <v>1599</v>
      </c>
      <c r="VD5">
        <v>2025</v>
      </c>
      <c r="VE5" t="s">
        <v>3613</v>
      </c>
      <c r="VF5" s="6">
        <v>46074</v>
      </c>
      <c r="VG5">
        <v>5</v>
      </c>
      <c r="VH5">
        <v>3993932</v>
      </c>
      <c r="VI5">
        <v>148257</v>
      </c>
      <c r="VJ5" t="s">
        <v>3614</v>
      </c>
      <c r="VM5" t="str">
        <f>_xll.BDS("WBD US Equity","SUPPLY_CHAIN_CUSTOMERS_ALL_DATA","cols=12;rows=5")</f>
        <v>8 HK Equity</v>
      </c>
      <c r="VN5">
        <v>1.5034E-2</v>
      </c>
      <c r="VO5" t="s">
        <v>1598</v>
      </c>
      <c r="VP5">
        <v>0.26221499999999998</v>
      </c>
      <c r="VQ5" t="s">
        <v>1606</v>
      </c>
      <c r="VR5">
        <v>2024</v>
      </c>
      <c r="VS5" t="s">
        <v>2593</v>
      </c>
      <c r="VT5" s="6">
        <v>45742</v>
      </c>
      <c r="VU5">
        <v>5</v>
      </c>
      <c r="VV5">
        <v>1507489.39</v>
      </c>
      <c r="VW5">
        <v>153672</v>
      </c>
      <c r="VX5" t="s">
        <v>2594</v>
      </c>
    </row>
    <row r="6" spans="1:600" x14ac:dyDescent="0.25">
      <c r="A6" t="s">
        <v>143</v>
      </c>
      <c r="B6" t="s">
        <v>1598</v>
      </c>
      <c r="C6">
        <v>0.22900000000000001</v>
      </c>
      <c r="D6">
        <v>1.2800659999999999</v>
      </c>
      <c r="E6" t="s">
        <v>1606</v>
      </c>
      <c r="F6">
        <v>2025</v>
      </c>
      <c r="G6" t="s">
        <v>2251</v>
      </c>
      <c r="H6" s="6">
        <v>45848</v>
      </c>
      <c r="I6">
        <v>5</v>
      </c>
      <c r="J6">
        <v>36417872</v>
      </c>
      <c r="K6">
        <v>101752</v>
      </c>
      <c r="L6" t="s">
        <v>2265</v>
      </c>
      <c r="O6" t="s">
        <v>959</v>
      </c>
      <c r="P6">
        <v>16</v>
      </c>
      <c r="Q6" t="s">
        <v>1598</v>
      </c>
      <c r="R6">
        <v>3.190922</v>
      </c>
      <c r="S6" t="s">
        <v>1594</v>
      </c>
      <c r="T6">
        <v>2025</v>
      </c>
      <c r="U6" t="s">
        <v>2824</v>
      </c>
      <c r="V6" s="6">
        <v>46079</v>
      </c>
      <c r="W6">
        <v>5</v>
      </c>
      <c r="X6">
        <v>2503160064</v>
      </c>
      <c r="Y6">
        <v>156969</v>
      </c>
      <c r="Z6" t="s">
        <v>1767</v>
      </c>
      <c r="AE6" t="s">
        <v>6264</v>
      </c>
      <c r="AF6" t="s">
        <v>1598</v>
      </c>
      <c r="AG6">
        <v>18</v>
      </c>
      <c r="AH6">
        <v>4.1672849999999997</v>
      </c>
      <c r="AI6" t="s">
        <v>1594</v>
      </c>
      <c r="AJ6">
        <v>2025</v>
      </c>
      <c r="AK6" t="s">
        <v>6265</v>
      </c>
      <c r="AL6" s="6">
        <v>45740</v>
      </c>
      <c r="AM6">
        <v>5</v>
      </c>
      <c r="AN6">
        <v>143135824</v>
      </c>
      <c r="AO6">
        <v>104159</v>
      </c>
      <c r="AP6" t="s">
        <v>6266</v>
      </c>
      <c r="AS6" t="s">
        <v>6060</v>
      </c>
      <c r="AT6">
        <v>-2.4245362661989844E-14</v>
      </c>
      <c r="AV6">
        <v>-2.4245362661989844E-14</v>
      </c>
      <c r="AW6" t="s">
        <v>1594</v>
      </c>
      <c r="AX6">
        <v>2023</v>
      </c>
      <c r="AY6" t="s">
        <v>6061</v>
      </c>
      <c r="AZ6" s="6">
        <v>45195</v>
      </c>
      <c r="BA6">
        <v>5</v>
      </c>
      <c r="BB6">
        <v>-2.4245362661989844E-14</v>
      </c>
      <c r="BC6">
        <v>7223873</v>
      </c>
      <c r="BD6" t="s">
        <v>6062</v>
      </c>
      <c r="BI6" t="s">
        <v>2098</v>
      </c>
      <c r="BJ6" t="s">
        <v>1685</v>
      </c>
      <c r="BK6">
        <v>2.8857000000000001E-2</v>
      </c>
      <c r="BL6">
        <v>3.4399999999999999E-3</v>
      </c>
      <c r="BM6" t="s">
        <v>1603</v>
      </c>
      <c r="BN6">
        <v>2026</v>
      </c>
      <c r="BO6" t="s">
        <v>2099</v>
      </c>
      <c r="BP6" s="6">
        <v>45944</v>
      </c>
      <c r="BQ6">
        <v>5</v>
      </c>
      <c r="BR6">
        <v>110305.67</v>
      </c>
      <c r="BS6">
        <v>14882485</v>
      </c>
      <c r="BT6" t="s">
        <v>2100</v>
      </c>
      <c r="CM6" t="s">
        <v>2303</v>
      </c>
      <c r="CO6">
        <v>-2.4245362661989844E-14</v>
      </c>
      <c r="CP6">
        <v>-2.4245362661989844E-14</v>
      </c>
      <c r="CQ6" t="s">
        <v>1594</v>
      </c>
      <c r="CR6">
        <v>2023</v>
      </c>
      <c r="CS6" t="s">
        <v>2304</v>
      </c>
      <c r="CT6" s="6">
        <v>45042</v>
      </c>
      <c r="CU6">
        <v>5</v>
      </c>
      <c r="CV6">
        <v>-2.4245362661989844E-14</v>
      </c>
      <c r="CW6">
        <v>41727115</v>
      </c>
      <c r="CX6" t="s">
        <v>2305</v>
      </c>
      <c r="DA6" t="s">
        <v>365</v>
      </c>
      <c r="DB6">
        <v>2.5655939999999999</v>
      </c>
      <c r="DC6" t="s">
        <v>1685</v>
      </c>
      <c r="DD6">
        <v>0.75958400000000004</v>
      </c>
      <c r="DE6" t="s">
        <v>1594</v>
      </c>
      <c r="DF6">
        <v>2024</v>
      </c>
      <c r="DG6" t="s">
        <v>1903</v>
      </c>
      <c r="DH6" s="6">
        <v>45702</v>
      </c>
      <c r="DI6">
        <v>5</v>
      </c>
      <c r="DJ6">
        <v>52605000</v>
      </c>
      <c r="DK6">
        <v>100743</v>
      </c>
      <c r="DL6" t="s">
        <v>1904</v>
      </c>
      <c r="EE6" t="s">
        <v>1828</v>
      </c>
      <c r="EF6">
        <v>3.1119859999999999</v>
      </c>
      <c r="EG6" t="s">
        <v>1685</v>
      </c>
      <c r="EH6">
        <v>0.58008800000000005</v>
      </c>
      <c r="EI6" t="s">
        <v>1594</v>
      </c>
      <c r="EJ6">
        <v>2024</v>
      </c>
      <c r="EK6" t="s">
        <v>2353</v>
      </c>
      <c r="EL6" s="6">
        <v>45713</v>
      </c>
      <c r="EM6">
        <v>5</v>
      </c>
      <c r="EN6">
        <v>41009298</v>
      </c>
      <c r="EO6">
        <v>101617</v>
      </c>
      <c r="EP6" t="s">
        <v>1830</v>
      </c>
      <c r="FI6" t="s">
        <v>4950</v>
      </c>
      <c r="FJ6">
        <v>-2.4245362661989844E-14</v>
      </c>
      <c r="FL6">
        <v>-2.4245362661989844E-14</v>
      </c>
      <c r="FM6" t="s">
        <v>1594</v>
      </c>
      <c r="FN6">
        <v>2021</v>
      </c>
      <c r="FO6" t="s">
        <v>4951</v>
      </c>
      <c r="FP6" s="6">
        <v>44719</v>
      </c>
      <c r="FQ6">
        <v>2</v>
      </c>
      <c r="FR6">
        <v>-2.4245362661989844E-14</v>
      </c>
      <c r="FS6">
        <v>7781285</v>
      </c>
      <c r="FT6" t="s">
        <v>4952</v>
      </c>
      <c r="FY6" t="s">
        <v>2559</v>
      </c>
      <c r="FZ6" t="s">
        <v>1598</v>
      </c>
      <c r="GA6">
        <v>6.6266720000000001</v>
      </c>
      <c r="GB6">
        <v>6.8004179999999996</v>
      </c>
      <c r="GC6" t="s">
        <v>1599</v>
      </c>
      <c r="GD6">
        <v>2025</v>
      </c>
      <c r="GE6" t="s">
        <v>2560</v>
      </c>
      <c r="GF6" s="6">
        <v>45867</v>
      </c>
      <c r="GG6">
        <v>5</v>
      </c>
      <c r="GH6">
        <v>518735872</v>
      </c>
      <c r="GI6">
        <v>117092</v>
      </c>
      <c r="GJ6" t="s">
        <v>2561</v>
      </c>
      <c r="GM6" t="s">
        <v>959</v>
      </c>
      <c r="GN6">
        <v>15.549336</v>
      </c>
      <c r="GO6" t="s">
        <v>1598</v>
      </c>
      <c r="GP6">
        <v>4.6186980000000002</v>
      </c>
      <c r="GQ6" t="s">
        <v>1599</v>
      </c>
      <c r="GR6">
        <v>2025</v>
      </c>
      <c r="GS6" t="s">
        <v>2219</v>
      </c>
      <c r="GT6" s="6">
        <v>46018</v>
      </c>
      <c r="GU6">
        <v>5</v>
      </c>
      <c r="GV6">
        <v>3730752256</v>
      </c>
      <c r="GW6">
        <v>156969</v>
      </c>
      <c r="GX6" t="s">
        <v>1767</v>
      </c>
      <c r="IG6" t="s">
        <v>3466</v>
      </c>
      <c r="II6">
        <v>-2.4245362661989844E-14</v>
      </c>
      <c r="IJ6">
        <v>-2.4245362661989844E-14</v>
      </c>
      <c r="IK6" t="s">
        <v>1603</v>
      </c>
      <c r="IL6">
        <v>2024</v>
      </c>
      <c r="IM6" t="s">
        <v>3467</v>
      </c>
      <c r="IN6" s="6">
        <v>45421</v>
      </c>
      <c r="IO6">
        <v>5</v>
      </c>
      <c r="IP6">
        <v>-2.4245362661989844E-14</v>
      </c>
      <c r="IQ6">
        <v>65608618</v>
      </c>
      <c r="IR6" t="s">
        <v>3468</v>
      </c>
      <c r="JK6" t="s">
        <v>4876</v>
      </c>
      <c r="JM6">
        <v>-2.4245362661989844E-14</v>
      </c>
      <c r="JN6">
        <v>-2.4245362661989844E-14</v>
      </c>
      <c r="JO6" t="s">
        <v>1599</v>
      </c>
      <c r="JP6">
        <v>2022</v>
      </c>
      <c r="JQ6" t="s">
        <v>4877</v>
      </c>
      <c r="JR6" s="6">
        <v>44867</v>
      </c>
      <c r="JS6">
        <v>2</v>
      </c>
      <c r="JT6">
        <v>-2.4245362661989844E-14</v>
      </c>
      <c r="JU6">
        <v>1481607</v>
      </c>
      <c r="JV6" t="s">
        <v>4878</v>
      </c>
      <c r="JY6" t="s">
        <v>4763</v>
      </c>
      <c r="JZ6">
        <v>-2.4245362661989844E-14</v>
      </c>
      <c r="KB6">
        <v>-2.4245362661989844E-14</v>
      </c>
      <c r="KC6" t="s">
        <v>1594</v>
      </c>
      <c r="KD6">
        <v>2023</v>
      </c>
      <c r="KE6" t="s">
        <v>4764</v>
      </c>
      <c r="KF6" s="6">
        <v>45370</v>
      </c>
      <c r="KG6">
        <v>3</v>
      </c>
      <c r="KH6">
        <v>-2.4245362661989844E-14</v>
      </c>
      <c r="KI6">
        <v>17662282</v>
      </c>
      <c r="KJ6" t="s">
        <v>4765</v>
      </c>
      <c r="LS6" t="s">
        <v>2978</v>
      </c>
      <c r="LT6" t="s">
        <v>1598</v>
      </c>
      <c r="LU6">
        <v>1.8928469999999999</v>
      </c>
      <c r="LV6">
        <v>1.1381829999999999</v>
      </c>
      <c r="LW6" t="s">
        <v>1664</v>
      </c>
      <c r="LX6">
        <v>2025</v>
      </c>
      <c r="LY6" t="s">
        <v>2979</v>
      </c>
      <c r="LZ6" s="6">
        <v>45867</v>
      </c>
      <c r="MA6">
        <v>5</v>
      </c>
      <c r="MB6">
        <v>72035608</v>
      </c>
      <c r="MC6">
        <v>225605</v>
      </c>
      <c r="MD6" t="s">
        <v>2980</v>
      </c>
      <c r="MG6" t="s">
        <v>872</v>
      </c>
      <c r="MH6">
        <v>3.3300339999999999</v>
      </c>
      <c r="MI6" t="s">
        <v>1598</v>
      </c>
      <c r="MJ6">
        <v>1.6969829999999999</v>
      </c>
      <c r="MK6" t="s">
        <v>1664</v>
      </c>
      <c r="ML6">
        <v>2025</v>
      </c>
      <c r="MM6" t="s">
        <v>2180</v>
      </c>
      <c r="MN6" s="6">
        <v>45898</v>
      </c>
      <c r="MO6">
        <v>5</v>
      </c>
      <c r="MP6">
        <v>344725120</v>
      </c>
      <c r="MQ6">
        <v>100211</v>
      </c>
      <c r="MR6" t="s">
        <v>1632</v>
      </c>
      <c r="MW6" t="s">
        <v>5618</v>
      </c>
      <c r="MY6">
        <v>-2.4245362661989844E-14</v>
      </c>
      <c r="MZ6">
        <v>-2.4245362661989844E-14</v>
      </c>
      <c r="NA6" t="s">
        <v>1594</v>
      </c>
      <c r="NB6">
        <v>2024</v>
      </c>
      <c r="NC6" t="s">
        <v>5619</v>
      </c>
      <c r="ND6" s="6">
        <v>45699</v>
      </c>
      <c r="NE6">
        <v>2</v>
      </c>
      <c r="NF6">
        <v>-2.4245362661989844E-14</v>
      </c>
      <c r="NG6">
        <v>101608</v>
      </c>
      <c r="NH6" t="s">
        <v>5620</v>
      </c>
      <c r="NK6" t="s">
        <v>503</v>
      </c>
      <c r="NL6">
        <v>35</v>
      </c>
      <c r="NM6" t="s">
        <v>1685</v>
      </c>
      <c r="NN6">
        <v>27.919884</v>
      </c>
      <c r="NO6" t="s">
        <v>1594</v>
      </c>
      <c r="NP6">
        <v>2024</v>
      </c>
      <c r="NQ6" t="s">
        <v>2351</v>
      </c>
      <c r="NR6" s="6">
        <v>45708</v>
      </c>
      <c r="NS6">
        <v>5</v>
      </c>
      <c r="NT6">
        <v>336805440</v>
      </c>
      <c r="NU6">
        <v>100992</v>
      </c>
      <c r="NV6" t="s">
        <v>5550</v>
      </c>
      <c r="PE6" t="s">
        <v>24</v>
      </c>
      <c r="PF6" t="s">
        <v>1598</v>
      </c>
      <c r="PG6">
        <v>0.39111600000000002</v>
      </c>
      <c r="PH6">
        <v>0.88908200000000004</v>
      </c>
      <c r="PI6" t="s">
        <v>1664</v>
      </c>
      <c r="PJ6">
        <v>2025</v>
      </c>
      <c r="PK6" t="s">
        <v>3358</v>
      </c>
      <c r="PL6" s="6">
        <v>45914</v>
      </c>
      <c r="PM6">
        <v>5</v>
      </c>
      <c r="PN6">
        <v>57310228</v>
      </c>
      <c r="PO6">
        <v>101166</v>
      </c>
      <c r="PP6" t="s">
        <v>2119</v>
      </c>
      <c r="PS6" t="s">
        <v>1706</v>
      </c>
      <c r="PT6">
        <v>2.545E-3</v>
      </c>
      <c r="PU6" t="s">
        <v>1598</v>
      </c>
      <c r="PV6">
        <v>3.8306200000000001</v>
      </c>
      <c r="PW6" t="s">
        <v>1594</v>
      </c>
      <c r="PX6">
        <v>2024</v>
      </c>
      <c r="PY6" t="s">
        <v>1707</v>
      </c>
      <c r="PZ6" s="6">
        <v>45819</v>
      </c>
      <c r="QA6">
        <v>5</v>
      </c>
      <c r="QB6">
        <v>275861.17</v>
      </c>
      <c r="QC6">
        <v>15291339</v>
      </c>
      <c r="QD6" t="s">
        <v>1708</v>
      </c>
      <c r="RM6" t="s">
        <v>2987</v>
      </c>
      <c r="RN6" t="s">
        <v>1598</v>
      </c>
      <c r="RO6">
        <v>0.68104399999999998</v>
      </c>
      <c r="RP6">
        <v>0.22925799999999999</v>
      </c>
      <c r="RQ6" t="s">
        <v>1664</v>
      </c>
      <c r="RR6">
        <v>2025</v>
      </c>
      <c r="RS6" t="s">
        <v>2988</v>
      </c>
      <c r="RT6" s="6">
        <v>45910</v>
      </c>
      <c r="RU6">
        <v>5</v>
      </c>
      <c r="RV6">
        <v>11921256.359999999</v>
      </c>
      <c r="RW6">
        <v>18686622</v>
      </c>
      <c r="RX6" t="s">
        <v>2989</v>
      </c>
      <c r="SA6" t="s">
        <v>5366</v>
      </c>
      <c r="SB6">
        <v>1.5410000000000001E-3</v>
      </c>
      <c r="SC6" t="s">
        <v>1685</v>
      </c>
      <c r="SD6">
        <v>0.207978</v>
      </c>
      <c r="SE6" t="s">
        <v>1599</v>
      </c>
      <c r="SF6">
        <v>2025</v>
      </c>
      <c r="SG6" t="s">
        <v>5367</v>
      </c>
      <c r="SH6" s="6">
        <v>45953</v>
      </c>
      <c r="SI6">
        <v>5</v>
      </c>
      <c r="SJ6">
        <v>100000</v>
      </c>
      <c r="SK6">
        <v>39614024</v>
      </c>
      <c r="SL6" t="s">
        <v>5368</v>
      </c>
      <c r="SQ6" t="s">
        <v>2242</v>
      </c>
      <c r="SR6" t="s">
        <v>1598</v>
      </c>
      <c r="SS6">
        <v>1.9326570000000001</v>
      </c>
      <c r="ST6">
        <v>0.21072099999999999</v>
      </c>
      <c r="SU6" t="s">
        <v>1599</v>
      </c>
      <c r="SV6">
        <v>2025</v>
      </c>
      <c r="SW6" t="s">
        <v>2243</v>
      </c>
      <c r="SX6" s="6">
        <v>45985</v>
      </c>
      <c r="SY6">
        <v>5</v>
      </c>
      <c r="SZ6">
        <v>15533053.789999999</v>
      </c>
      <c r="TA6">
        <v>125320</v>
      </c>
      <c r="TB6" t="s">
        <v>2244</v>
      </c>
      <c r="TE6" t="s">
        <v>1811</v>
      </c>
      <c r="TF6">
        <v>3.2167110000000001</v>
      </c>
      <c r="TG6" t="s">
        <v>1634</v>
      </c>
      <c r="TH6">
        <v>9.4337839999999993</v>
      </c>
      <c r="TI6" t="s">
        <v>1599</v>
      </c>
      <c r="TJ6">
        <v>2025</v>
      </c>
      <c r="TK6" t="s">
        <v>1809</v>
      </c>
      <c r="TL6" s="6">
        <v>45985</v>
      </c>
      <c r="TM6">
        <v>5</v>
      </c>
      <c r="TN6">
        <v>287187968</v>
      </c>
      <c r="TO6">
        <v>182074</v>
      </c>
      <c r="TP6" t="s">
        <v>1812</v>
      </c>
      <c r="UY6" t="s">
        <v>1416</v>
      </c>
      <c r="UZ6" t="s">
        <v>1598</v>
      </c>
      <c r="VA6">
        <v>0.29547899999999999</v>
      </c>
      <c r="VB6">
        <v>5.8458999999999997E-2</v>
      </c>
      <c r="VC6" t="s">
        <v>1603</v>
      </c>
      <c r="VD6">
        <v>2025</v>
      </c>
      <c r="VE6" t="s">
        <v>2012</v>
      </c>
      <c r="VF6" s="6">
        <v>45834</v>
      </c>
      <c r="VG6">
        <v>5</v>
      </c>
      <c r="VH6">
        <v>2999523</v>
      </c>
      <c r="VI6">
        <v>393374</v>
      </c>
      <c r="VJ6" t="s">
        <v>2013</v>
      </c>
      <c r="VM6" t="s">
        <v>5971</v>
      </c>
      <c r="VN6">
        <v>-2.4245362661989844E-14</v>
      </c>
      <c r="VP6">
        <v>-2.4245362661989844E-14</v>
      </c>
      <c r="VQ6" t="s">
        <v>1594</v>
      </c>
      <c r="VR6">
        <v>2024</v>
      </c>
      <c r="VS6" t="s">
        <v>5972</v>
      </c>
      <c r="VT6" s="6">
        <v>45735</v>
      </c>
      <c r="VU6">
        <v>5</v>
      </c>
      <c r="VV6">
        <v>-2.4245362661989844E-14</v>
      </c>
      <c r="VW6">
        <v>1459304</v>
      </c>
      <c r="VX6" t="s">
        <v>5973</v>
      </c>
    </row>
    <row r="7" spans="1:600" x14ac:dyDescent="0.25">
      <c r="A7" t="s">
        <v>3347</v>
      </c>
      <c r="B7" t="s">
        <v>1598</v>
      </c>
      <c r="C7">
        <v>3.7231350000000001</v>
      </c>
      <c r="D7">
        <v>0.80518199999999995</v>
      </c>
      <c r="E7" t="s">
        <v>1599</v>
      </c>
      <c r="F7">
        <v>2025</v>
      </c>
      <c r="G7" t="s">
        <v>3348</v>
      </c>
      <c r="H7" s="6">
        <v>46069</v>
      </c>
      <c r="I7">
        <v>5</v>
      </c>
      <c r="J7">
        <v>33600181.100000001</v>
      </c>
      <c r="K7">
        <v>153809</v>
      </c>
      <c r="L7" t="s">
        <v>3349</v>
      </c>
      <c r="O7" t="s">
        <v>618</v>
      </c>
      <c r="P7">
        <v>13</v>
      </c>
      <c r="Q7" t="s">
        <v>1598</v>
      </c>
      <c r="R7">
        <v>3.4525320000000002</v>
      </c>
      <c r="S7" t="s">
        <v>1594</v>
      </c>
      <c r="T7">
        <v>2025</v>
      </c>
      <c r="U7" t="s">
        <v>2824</v>
      </c>
      <c r="V7" s="6">
        <v>46079</v>
      </c>
      <c r="W7">
        <v>5</v>
      </c>
      <c r="X7">
        <v>2033817472</v>
      </c>
      <c r="Y7">
        <v>102782</v>
      </c>
      <c r="Z7" t="s">
        <v>1626</v>
      </c>
      <c r="AE7" t="s">
        <v>2796</v>
      </c>
      <c r="AF7" t="s">
        <v>1685</v>
      </c>
      <c r="AG7">
        <v>0.284082</v>
      </c>
      <c r="AH7">
        <v>5.0358939999999999</v>
      </c>
      <c r="AI7" t="s">
        <v>1603</v>
      </c>
      <c r="AJ7">
        <v>2026</v>
      </c>
      <c r="AK7" t="s">
        <v>2797</v>
      </c>
      <c r="AL7" s="6">
        <v>45973</v>
      </c>
      <c r="AM7">
        <v>5</v>
      </c>
      <c r="AN7">
        <v>97306139.719999999</v>
      </c>
      <c r="AO7">
        <v>16857643</v>
      </c>
      <c r="AP7" t="s">
        <v>2798</v>
      </c>
      <c r="AS7" t="s">
        <v>6063</v>
      </c>
      <c r="AT7">
        <v>-2.4245362661989844E-14</v>
      </c>
      <c r="AV7">
        <v>-2.4245362661989844E-14</v>
      </c>
      <c r="AW7" t="s">
        <v>1594</v>
      </c>
      <c r="AX7">
        <v>2025</v>
      </c>
      <c r="AY7" t="s">
        <v>6064</v>
      </c>
      <c r="AZ7" s="6">
        <v>45737</v>
      </c>
      <c r="BA7">
        <v>5</v>
      </c>
      <c r="BB7">
        <v>-2.4245362661989844E-14</v>
      </c>
      <c r="BC7">
        <v>24278089</v>
      </c>
      <c r="BD7" t="s">
        <v>6065</v>
      </c>
      <c r="BI7" t="s">
        <v>6167</v>
      </c>
      <c r="BK7">
        <v>-2.4245362661989844E-14</v>
      </c>
      <c r="BL7">
        <v>-2.4245362661989844E-14</v>
      </c>
      <c r="BM7" t="s">
        <v>1594</v>
      </c>
      <c r="BN7">
        <v>2024</v>
      </c>
      <c r="BO7" t="s">
        <v>6168</v>
      </c>
      <c r="BP7" s="6">
        <v>45315</v>
      </c>
      <c r="BQ7">
        <v>5</v>
      </c>
      <c r="BR7">
        <v>-2.4245362661989844E-14</v>
      </c>
      <c r="BS7">
        <v>50561090</v>
      </c>
      <c r="BT7" t="s">
        <v>6169</v>
      </c>
      <c r="CM7" t="s">
        <v>2306</v>
      </c>
      <c r="CO7">
        <v>-2.4245362661989844E-14</v>
      </c>
      <c r="CP7">
        <v>-2.4245362661989844E-14</v>
      </c>
      <c r="CQ7" t="s">
        <v>1603</v>
      </c>
      <c r="CR7">
        <v>2026</v>
      </c>
      <c r="CS7" t="s">
        <v>2307</v>
      </c>
      <c r="CT7" s="6">
        <v>46002</v>
      </c>
      <c r="CU7">
        <v>5</v>
      </c>
      <c r="CV7">
        <v>-2.4245362661989844E-14</v>
      </c>
      <c r="CW7">
        <v>65904199</v>
      </c>
      <c r="CX7" t="s">
        <v>2308</v>
      </c>
      <c r="DA7" t="s">
        <v>1905</v>
      </c>
      <c r="DB7">
        <v>1.557682</v>
      </c>
      <c r="DC7" t="s">
        <v>1685</v>
      </c>
      <c r="DD7">
        <v>0.86001300000000003</v>
      </c>
      <c r="DE7" t="s">
        <v>1594</v>
      </c>
      <c r="DF7">
        <v>2024</v>
      </c>
      <c r="DG7" t="s">
        <v>1903</v>
      </c>
      <c r="DH7" s="6">
        <v>45702</v>
      </c>
      <c r="DI7">
        <v>5</v>
      </c>
      <c r="DJ7">
        <v>31938750</v>
      </c>
      <c r="DK7">
        <v>100554</v>
      </c>
      <c r="DL7" t="s">
        <v>1906</v>
      </c>
      <c r="EE7" t="s">
        <v>2494</v>
      </c>
      <c r="EF7">
        <v>3.1119859999999999</v>
      </c>
      <c r="EG7" t="s">
        <v>1685</v>
      </c>
      <c r="EH7">
        <v>1.6578219999999999</v>
      </c>
      <c r="EI7" t="s">
        <v>1594</v>
      </c>
      <c r="EJ7">
        <v>2024</v>
      </c>
      <c r="EK7" t="s">
        <v>2353</v>
      </c>
      <c r="EL7" s="6">
        <v>45713</v>
      </c>
      <c r="EM7">
        <v>5</v>
      </c>
      <c r="EN7">
        <v>41009298</v>
      </c>
      <c r="EO7">
        <v>16887350</v>
      </c>
      <c r="EP7" t="s">
        <v>2495</v>
      </c>
      <c r="FY7" t="s">
        <v>25</v>
      </c>
      <c r="FZ7" t="s">
        <v>1598</v>
      </c>
      <c r="GA7">
        <v>1.3419449999999999</v>
      </c>
      <c r="GB7">
        <v>2.7987500000000001</v>
      </c>
      <c r="GC7" t="s">
        <v>1606</v>
      </c>
      <c r="GD7">
        <v>2025</v>
      </c>
      <c r="GE7" t="s">
        <v>2220</v>
      </c>
      <c r="GF7" s="6">
        <v>46077</v>
      </c>
      <c r="GG7">
        <v>5</v>
      </c>
      <c r="GH7">
        <v>223004416</v>
      </c>
      <c r="GI7">
        <v>28046509</v>
      </c>
      <c r="GJ7" t="s">
        <v>2221</v>
      </c>
      <c r="GM7" t="s">
        <v>618</v>
      </c>
      <c r="GN7">
        <v>12.373919000000001</v>
      </c>
      <c r="GO7" t="s">
        <v>1598</v>
      </c>
      <c r="GP7">
        <v>4.81257</v>
      </c>
      <c r="GQ7" t="s">
        <v>1599</v>
      </c>
      <c r="GR7">
        <v>2025</v>
      </c>
      <c r="GS7" t="s">
        <v>2219</v>
      </c>
      <c r="GT7" s="6">
        <v>46018</v>
      </c>
      <c r="GU7">
        <v>5</v>
      </c>
      <c r="GV7">
        <v>2968874496</v>
      </c>
      <c r="GW7">
        <v>102782</v>
      </c>
      <c r="GX7" t="s">
        <v>1626</v>
      </c>
      <c r="IG7" t="s">
        <v>1961</v>
      </c>
      <c r="II7">
        <v>-2.4245362661989844E-14</v>
      </c>
      <c r="IJ7">
        <v>-2.4245362661989844E-14</v>
      </c>
      <c r="IK7" t="s">
        <v>1606</v>
      </c>
      <c r="IL7">
        <v>2022</v>
      </c>
      <c r="IM7" t="s">
        <v>1962</v>
      </c>
      <c r="IN7" s="6">
        <v>45011</v>
      </c>
      <c r="IO7">
        <v>5</v>
      </c>
      <c r="IP7">
        <v>-2.4245362661989844E-14</v>
      </c>
      <c r="IQ7">
        <v>14520400</v>
      </c>
      <c r="IR7" t="s">
        <v>1963</v>
      </c>
      <c r="JY7" t="s">
        <v>4766</v>
      </c>
      <c r="JZ7">
        <v>-2.4245362661989844E-14</v>
      </c>
      <c r="KB7">
        <v>-2.4245362661989844E-14</v>
      </c>
      <c r="KC7" t="s">
        <v>1594</v>
      </c>
      <c r="KD7">
        <v>2024</v>
      </c>
      <c r="KE7" t="s">
        <v>4767</v>
      </c>
      <c r="KF7" s="6">
        <v>45740</v>
      </c>
      <c r="KG7">
        <v>3</v>
      </c>
      <c r="KH7">
        <v>-2.4245362661989844E-14</v>
      </c>
      <c r="KI7">
        <v>384518</v>
      </c>
      <c r="KJ7" t="s">
        <v>4768</v>
      </c>
      <c r="LS7" t="s">
        <v>1878</v>
      </c>
      <c r="LT7" t="s">
        <v>1598</v>
      </c>
      <c r="LU7">
        <v>4.1948800000000004</v>
      </c>
      <c r="LV7">
        <v>1.013388</v>
      </c>
      <c r="LW7" t="s">
        <v>1664</v>
      </c>
      <c r="LX7">
        <v>2025</v>
      </c>
      <c r="LY7" t="s">
        <v>2634</v>
      </c>
      <c r="LZ7" s="6">
        <v>45922</v>
      </c>
      <c r="MA7">
        <v>5</v>
      </c>
      <c r="MB7">
        <v>64137324</v>
      </c>
      <c r="MC7">
        <v>11937231</v>
      </c>
      <c r="MD7" t="s">
        <v>1880</v>
      </c>
      <c r="MG7" t="s">
        <v>1732</v>
      </c>
      <c r="MH7">
        <v>2.5462289999999999</v>
      </c>
      <c r="MI7" t="s">
        <v>1598</v>
      </c>
      <c r="MJ7">
        <v>1.6969829999999999</v>
      </c>
      <c r="MK7" t="s">
        <v>1664</v>
      </c>
      <c r="ML7">
        <v>2025</v>
      </c>
      <c r="MM7" t="s">
        <v>2180</v>
      </c>
      <c r="MN7" s="6">
        <v>45898</v>
      </c>
      <c r="MO7">
        <v>5</v>
      </c>
      <c r="MP7">
        <v>263585632</v>
      </c>
      <c r="MQ7">
        <v>876285</v>
      </c>
      <c r="MR7" t="s">
        <v>1734</v>
      </c>
      <c r="NK7" t="s">
        <v>5551</v>
      </c>
      <c r="NL7">
        <v>-2.4245362661989844E-14</v>
      </c>
      <c r="NN7">
        <v>-2.4245362661989844E-14</v>
      </c>
      <c r="NO7" t="s">
        <v>1594</v>
      </c>
      <c r="NP7">
        <v>2024</v>
      </c>
      <c r="NQ7" t="s">
        <v>2351</v>
      </c>
      <c r="NR7" s="6">
        <v>45708</v>
      </c>
      <c r="NS7">
        <v>5</v>
      </c>
      <c r="NT7">
        <v>-2.4245362661989844E-14</v>
      </c>
      <c r="NU7">
        <v>27034125</v>
      </c>
      <c r="NV7" t="s">
        <v>5552</v>
      </c>
      <c r="PE7" t="s">
        <v>2556</v>
      </c>
      <c r="PF7" t="s">
        <v>1598</v>
      </c>
      <c r="PG7">
        <v>0.56451700000000005</v>
      </c>
      <c r="PH7">
        <v>0.57008199999999998</v>
      </c>
      <c r="PI7" t="s">
        <v>1599</v>
      </c>
      <c r="PJ7">
        <v>2025</v>
      </c>
      <c r="PK7" t="s">
        <v>2557</v>
      </c>
      <c r="PL7" s="6">
        <v>45763</v>
      </c>
      <c r="PM7">
        <v>5</v>
      </c>
      <c r="PN7">
        <v>37009736</v>
      </c>
      <c r="PO7">
        <v>136547</v>
      </c>
      <c r="PP7" t="s">
        <v>2558</v>
      </c>
      <c r="PS7" t="s">
        <v>2830</v>
      </c>
      <c r="PT7">
        <v>8.6300000000000005E-4</v>
      </c>
      <c r="PU7" t="s">
        <v>1598</v>
      </c>
      <c r="PV7">
        <v>0.46444600000000003</v>
      </c>
      <c r="PW7" t="s">
        <v>1594</v>
      </c>
      <c r="PX7">
        <v>2024</v>
      </c>
      <c r="PY7" t="s">
        <v>2831</v>
      </c>
      <c r="PZ7" s="6">
        <v>45730</v>
      </c>
      <c r="QA7">
        <v>5</v>
      </c>
      <c r="QB7">
        <v>92615.79</v>
      </c>
      <c r="QC7">
        <v>7369845</v>
      </c>
      <c r="QD7" t="s">
        <v>2832</v>
      </c>
      <c r="RM7" t="s">
        <v>493</v>
      </c>
      <c r="RN7" t="s">
        <v>1598</v>
      </c>
      <c r="RO7">
        <v>0.16560800000000001</v>
      </c>
      <c r="RP7">
        <v>0.116713</v>
      </c>
      <c r="RQ7" t="s">
        <v>1606</v>
      </c>
      <c r="RR7">
        <v>2025</v>
      </c>
      <c r="RS7" t="s">
        <v>2093</v>
      </c>
      <c r="RT7" s="6">
        <v>46071</v>
      </c>
      <c r="RU7">
        <v>5</v>
      </c>
      <c r="RV7">
        <v>6517254</v>
      </c>
      <c r="RW7">
        <v>100499</v>
      </c>
      <c r="RX7" t="s">
        <v>2094</v>
      </c>
      <c r="SA7" t="s">
        <v>5369</v>
      </c>
      <c r="SB7">
        <v>-2.4245362661989844E-14</v>
      </c>
      <c r="SD7">
        <v>-2.4245362661989844E-14</v>
      </c>
      <c r="SE7" t="s">
        <v>1651</v>
      </c>
      <c r="SF7">
        <v>2025</v>
      </c>
      <c r="SG7" t="s">
        <v>5370</v>
      </c>
      <c r="SH7" s="6">
        <v>45975</v>
      </c>
      <c r="SI7">
        <v>5</v>
      </c>
      <c r="SJ7">
        <v>-2.4245362661989844E-14</v>
      </c>
      <c r="SK7">
        <v>129412</v>
      </c>
      <c r="SL7" t="s">
        <v>5371</v>
      </c>
      <c r="SQ7" t="s">
        <v>178</v>
      </c>
      <c r="SR7" t="s">
        <v>1598</v>
      </c>
      <c r="SS7">
        <v>1.9193999999999999E-2</v>
      </c>
      <c r="ST7">
        <v>0.195358</v>
      </c>
      <c r="SU7" t="s">
        <v>1599</v>
      </c>
      <c r="SV7">
        <v>2025</v>
      </c>
      <c r="SW7" t="s">
        <v>1735</v>
      </c>
      <c r="SX7" s="6">
        <v>45843</v>
      </c>
      <c r="SY7">
        <v>5</v>
      </c>
      <c r="SZ7">
        <v>13448468</v>
      </c>
      <c r="TA7">
        <v>101743</v>
      </c>
      <c r="TB7" t="s">
        <v>1736</v>
      </c>
      <c r="TE7" t="s">
        <v>1813</v>
      </c>
      <c r="TF7">
        <v>2.516251</v>
      </c>
      <c r="TG7" t="s">
        <v>1634</v>
      </c>
      <c r="TH7">
        <v>5.8743780000000001</v>
      </c>
      <c r="TI7" t="s">
        <v>1599</v>
      </c>
      <c r="TJ7">
        <v>2025</v>
      </c>
      <c r="TK7" t="s">
        <v>1809</v>
      </c>
      <c r="TL7" s="6">
        <v>45985</v>
      </c>
      <c r="TM7">
        <v>5</v>
      </c>
      <c r="TN7">
        <v>224650896</v>
      </c>
      <c r="TO7">
        <v>100228</v>
      </c>
      <c r="TP7" t="s">
        <v>1814</v>
      </c>
      <c r="UY7" t="s">
        <v>6001</v>
      </c>
      <c r="UZ7" t="s">
        <v>1598</v>
      </c>
      <c r="VA7">
        <v>0.67254999999999998</v>
      </c>
      <c r="VB7">
        <v>4.5164000000000003E-2</v>
      </c>
      <c r="VC7" t="s">
        <v>1664</v>
      </c>
      <c r="VD7">
        <v>2025</v>
      </c>
      <c r="VE7" t="s">
        <v>6002</v>
      </c>
      <c r="VF7" s="6">
        <v>45880</v>
      </c>
      <c r="VG7">
        <v>5</v>
      </c>
      <c r="VH7">
        <v>2694908</v>
      </c>
      <c r="VI7">
        <v>46082609</v>
      </c>
      <c r="VJ7" t="s">
        <v>6003</v>
      </c>
      <c r="VM7" t="s">
        <v>5974</v>
      </c>
      <c r="VN7">
        <v>-2.4245362661989844E-14</v>
      </c>
      <c r="VP7">
        <v>-2.4245362661989844E-14</v>
      </c>
      <c r="VQ7" t="s">
        <v>1594</v>
      </c>
      <c r="VR7">
        <v>2024</v>
      </c>
      <c r="VS7" t="s">
        <v>5975</v>
      </c>
      <c r="VT7" s="6">
        <v>45772</v>
      </c>
      <c r="VU7">
        <v>5</v>
      </c>
      <c r="VV7">
        <v>-2.4245362661989844E-14</v>
      </c>
      <c r="VW7">
        <v>13103172</v>
      </c>
      <c r="VX7" t="s">
        <v>5976</v>
      </c>
    </row>
    <row r="8" spans="1:600" x14ac:dyDescent="0.25">
      <c r="A8" t="s">
        <v>23</v>
      </c>
      <c r="B8" t="s">
        <v>1598</v>
      </c>
      <c r="C8">
        <v>0.238619</v>
      </c>
      <c r="D8">
        <v>0.71575299999999997</v>
      </c>
      <c r="E8" t="s">
        <v>1594</v>
      </c>
      <c r="F8">
        <v>2025</v>
      </c>
      <c r="G8" t="s">
        <v>1765</v>
      </c>
      <c r="H8" s="6">
        <v>46064</v>
      </c>
      <c r="I8">
        <v>5</v>
      </c>
      <c r="J8">
        <v>28750000</v>
      </c>
      <c r="K8">
        <v>100225</v>
      </c>
      <c r="L8" t="s">
        <v>2222</v>
      </c>
      <c r="O8" t="s">
        <v>23</v>
      </c>
      <c r="P8">
        <v>11.153900999999999</v>
      </c>
      <c r="Q8" t="s">
        <v>1598</v>
      </c>
      <c r="R8">
        <v>50.086109</v>
      </c>
      <c r="S8" t="s">
        <v>1594</v>
      </c>
      <c r="T8">
        <v>2025</v>
      </c>
      <c r="U8" t="s">
        <v>1765</v>
      </c>
      <c r="V8" s="6">
        <v>46064</v>
      </c>
      <c r="W8">
        <v>5</v>
      </c>
      <c r="X8">
        <v>1745000000</v>
      </c>
      <c r="Y8">
        <v>100225</v>
      </c>
      <c r="Z8" t="s">
        <v>2222</v>
      </c>
      <c r="AE8" t="s">
        <v>4929</v>
      </c>
      <c r="AF8" t="s">
        <v>1598</v>
      </c>
      <c r="AG8">
        <v>4.5774710000000001</v>
      </c>
      <c r="AH8">
        <v>2.8154309999999998</v>
      </c>
      <c r="AI8" t="s">
        <v>1603</v>
      </c>
      <c r="AJ8">
        <v>2026</v>
      </c>
      <c r="AK8" t="s">
        <v>4930</v>
      </c>
      <c r="AL8" s="6">
        <v>45884</v>
      </c>
      <c r="AM8">
        <v>5</v>
      </c>
      <c r="AN8">
        <v>78691304</v>
      </c>
      <c r="AO8">
        <v>225160</v>
      </c>
      <c r="AP8" t="s">
        <v>4931</v>
      </c>
      <c r="AS8" t="s">
        <v>6066</v>
      </c>
      <c r="AT8">
        <v>-2.4245362661989844E-14</v>
      </c>
      <c r="AV8">
        <v>-2.4245362661989844E-14</v>
      </c>
      <c r="AW8" t="s">
        <v>1594</v>
      </c>
      <c r="AX8">
        <v>2023</v>
      </c>
      <c r="AY8" t="s">
        <v>6067</v>
      </c>
      <c r="AZ8" s="6">
        <v>45001</v>
      </c>
      <c r="BA8">
        <v>5</v>
      </c>
      <c r="BB8">
        <v>-2.4245362661989844E-14</v>
      </c>
      <c r="BC8">
        <v>69650894</v>
      </c>
      <c r="BD8" t="s">
        <v>6068</v>
      </c>
      <c r="BI8" t="s">
        <v>3235</v>
      </c>
      <c r="BK8">
        <v>-2.4245362661989844E-14</v>
      </c>
      <c r="BL8">
        <v>-2.4245362661989844E-14</v>
      </c>
      <c r="BM8" t="s">
        <v>1594</v>
      </c>
      <c r="BN8">
        <v>2023</v>
      </c>
      <c r="BO8" t="s">
        <v>3236</v>
      </c>
      <c r="BP8" s="6">
        <v>45462</v>
      </c>
      <c r="BQ8">
        <v>5</v>
      </c>
      <c r="BR8">
        <v>-2.4245362661989844E-14</v>
      </c>
      <c r="BS8">
        <v>48621208</v>
      </c>
      <c r="BT8" t="s">
        <v>3237</v>
      </c>
      <c r="CM8" t="s">
        <v>2309</v>
      </c>
      <c r="CO8">
        <v>-2.4245362661989844E-14</v>
      </c>
      <c r="CP8">
        <v>-2.4245362661989844E-14</v>
      </c>
      <c r="CQ8" t="s">
        <v>1594</v>
      </c>
      <c r="CR8">
        <v>2023</v>
      </c>
      <c r="CS8" t="s">
        <v>2310</v>
      </c>
      <c r="CT8" s="6">
        <v>45369</v>
      </c>
      <c r="CU8">
        <v>5</v>
      </c>
      <c r="CV8">
        <v>-2.4245362661989844E-14</v>
      </c>
      <c r="CW8">
        <v>29973420</v>
      </c>
      <c r="CX8" t="s">
        <v>2311</v>
      </c>
      <c r="DA8" t="s">
        <v>1907</v>
      </c>
      <c r="DB8">
        <v>0.91628399999999999</v>
      </c>
      <c r="DC8" t="s">
        <v>1685</v>
      </c>
      <c r="DD8">
        <v>0.75112400000000001</v>
      </c>
      <c r="DE8" t="s">
        <v>1594</v>
      </c>
      <c r="DF8">
        <v>2024</v>
      </c>
      <c r="DG8" t="s">
        <v>1903</v>
      </c>
      <c r="DH8" s="6">
        <v>45702</v>
      </c>
      <c r="DI8">
        <v>5</v>
      </c>
      <c r="DJ8">
        <v>18787500</v>
      </c>
      <c r="DK8">
        <v>143027</v>
      </c>
      <c r="DL8" t="s">
        <v>1908</v>
      </c>
      <c r="EE8" t="s">
        <v>435</v>
      </c>
      <c r="EF8">
        <v>2.829078</v>
      </c>
      <c r="EG8" t="s">
        <v>1685</v>
      </c>
      <c r="EH8">
        <v>1.5595559999999999</v>
      </c>
      <c r="EI8" t="s">
        <v>1594</v>
      </c>
      <c r="EJ8">
        <v>2024</v>
      </c>
      <c r="EK8" t="s">
        <v>2353</v>
      </c>
      <c r="EL8" s="6">
        <v>45713</v>
      </c>
      <c r="EM8">
        <v>5</v>
      </c>
      <c r="EN8">
        <v>37281180</v>
      </c>
      <c r="EO8">
        <v>159765</v>
      </c>
      <c r="EP8" t="s">
        <v>2496</v>
      </c>
      <c r="FY8" t="s">
        <v>3384</v>
      </c>
      <c r="FZ8" t="s">
        <v>1598</v>
      </c>
      <c r="GA8">
        <v>49.056618</v>
      </c>
      <c r="GB8">
        <v>2.3797060000000001</v>
      </c>
      <c r="GC8" t="s">
        <v>1599</v>
      </c>
      <c r="GD8">
        <v>2025</v>
      </c>
      <c r="GE8" t="s">
        <v>3385</v>
      </c>
      <c r="GF8" s="6">
        <v>46050</v>
      </c>
      <c r="GG8">
        <v>5</v>
      </c>
      <c r="GH8">
        <v>173789936</v>
      </c>
      <c r="GI8">
        <v>1753841</v>
      </c>
      <c r="GJ8" t="s">
        <v>3386</v>
      </c>
      <c r="GM8" t="s">
        <v>31</v>
      </c>
      <c r="GN8">
        <v>2.966253</v>
      </c>
      <c r="GO8" t="s">
        <v>1598</v>
      </c>
      <c r="GP8">
        <v>1.12304</v>
      </c>
      <c r="GQ8" t="s">
        <v>1599</v>
      </c>
      <c r="GR8">
        <v>2025</v>
      </c>
      <c r="GS8" t="s">
        <v>2219</v>
      </c>
      <c r="GT8" s="6">
        <v>46018</v>
      </c>
      <c r="GU8">
        <v>5</v>
      </c>
      <c r="GV8">
        <v>711693056</v>
      </c>
      <c r="GW8">
        <v>60401289</v>
      </c>
      <c r="GX8" t="s">
        <v>1769</v>
      </c>
      <c r="IG8" t="s">
        <v>5091</v>
      </c>
      <c r="II8">
        <v>-2.4245362661989844E-14</v>
      </c>
      <c r="IJ8">
        <v>-2.4245362661989844E-14</v>
      </c>
      <c r="IK8" t="s">
        <v>1594</v>
      </c>
      <c r="IL8">
        <v>2024</v>
      </c>
      <c r="IM8" t="s">
        <v>5092</v>
      </c>
      <c r="IN8" s="6">
        <v>45719</v>
      </c>
      <c r="IO8">
        <v>5</v>
      </c>
      <c r="IP8">
        <v>-2.4245362661989844E-14</v>
      </c>
      <c r="IQ8">
        <v>71713725</v>
      </c>
      <c r="IR8" t="s">
        <v>5093</v>
      </c>
      <c r="LS8" t="s">
        <v>2981</v>
      </c>
      <c r="LT8" t="s">
        <v>1598</v>
      </c>
      <c r="LU8">
        <v>4.2606400000000004</v>
      </c>
      <c r="LV8">
        <v>0.70126500000000003</v>
      </c>
      <c r="LW8" t="s">
        <v>1664</v>
      </c>
      <c r="LX8">
        <v>2025</v>
      </c>
      <c r="LY8" t="s">
        <v>2982</v>
      </c>
      <c r="LZ8" s="6">
        <v>45961</v>
      </c>
      <c r="MA8">
        <v>5</v>
      </c>
      <c r="MB8">
        <v>47629481.530000001</v>
      </c>
      <c r="MC8">
        <v>47700205</v>
      </c>
      <c r="MD8" t="s">
        <v>2983</v>
      </c>
      <c r="MG8" t="s">
        <v>1628</v>
      </c>
      <c r="MH8">
        <v>1.896647</v>
      </c>
      <c r="MI8" t="s">
        <v>1598</v>
      </c>
      <c r="MJ8">
        <v>1.1313219999999999</v>
      </c>
      <c r="MK8" t="s">
        <v>1664</v>
      </c>
      <c r="ML8">
        <v>2025</v>
      </c>
      <c r="MM8" t="s">
        <v>2180</v>
      </c>
      <c r="MN8" s="6">
        <v>45898</v>
      </c>
      <c r="MO8">
        <v>5</v>
      </c>
      <c r="MP8">
        <v>196340896</v>
      </c>
      <c r="MQ8">
        <v>156923</v>
      </c>
      <c r="MR8" t="s">
        <v>1630</v>
      </c>
      <c r="NK8" t="s">
        <v>5553</v>
      </c>
      <c r="NL8">
        <v>-2.4245362661989844E-14</v>
      </c>
      <c r="NN8">
        <v>-2.4245362661989844E-14</v>
      </c>
      <c r="NO8" t="s">
        <v>1594</v>
      </c>
      <c r="NP8">
        <v>2022</v>
      </c>
      <c r="NQ8" t="s">
        <v>5554</v>
      </c>
      <c r="NR8" s="6">
        <v>44981</v>
      </c>
      <c r="NS8">
        <v>5</v>
      </c>
      <c r="NT8">
        <v>-2.4245362661989844E-14</v>
      </c>
      <c r="NU8">
        <v>24900383</v>
      </c>
      <c r="NV8" t="s">
        <v>5555</v>
      </c>
      <c r="PE8" t="s">
        <v>2559</v>
      </c>
      <c r="PF8" t="s">
        <v>1598</v>
      </c>
      <c r="PG8">
        <v>0.30367300000000003</v>
      </c>
      <c r="PH8">
        <v>0.37271100000000001</v>
      </c>
      <c r="PI8" t="s">
        <v>1599</v>
      </c>
      <c r="PJ8">
        <v>2025</v>
      </c>
      <c r="PK8" t="s">
        <v>2560</v>
      </c>
      <c r="PL8" s="6">
        <v>45867</v>
      </c>
      <c r="PM8">
        <v>5</v>
      </c>
      <c r="PN8">
        <v>23771522</v>
      </c>
      <c r="PO8">
        <v>117092</v>
      </c>
      <c r="PP8" t="s">
        <v>2561</v>
      </c>
      <c r="PS8" t="s">
        <v>2833</v>
      </c>
      <c r="PT8">
        <v>-2.4245362661989844E-14</v>
      </c>
      <c r="PV8">
        <v>-2.4245362661989844E-14</v>
      </c>
      <c r="PW8" t="s">
        <v>1651</v>
      </c>
      <c r="PX8">
        <v>2025</v>
      </c>
      <c r="PY8" t="s">
        <v>2834</v>
      </c>
      <c r="PZ8" s="6">
        <v>45975</v>
      </c>
      <c r="QA8">
        <v>5</v>
      </c>
      <c r="QB8">
        <v>-2.4245362661989844E-14</v>
      </c>
      <c r="QC8">
        <v>1459457</v>
      </c>
      <c r="QD8" t="s">
        <v>2835</v>
      </c>
      <c r="RM8" t="s">
        <v>5301</v>
      </c>
      <c r="RN8" t="s">
        <v>1598</v>
      </c>
      <c r="RO8">
        <v>5.337383</v>
      </c>
      <c r="RP8">
        <v>5.1877E-2</v>
      </c>
      <c r="RQ8" t="s">
        <v>1606</v>
      </c>
      <c r="RR8">
        <v>2025</v>
      </c>
      <c r="RS8" t="s">
        <v>5302</v>
      </c>
      <c r="RT8" s="6">
        <v>45862</v>
      </c>
      <c r="RU8">
        <v>5</v>
      </c>
      <c r="RV8">
        <v>2603202</v>
      </c>
      <c r="RW8">
        <v>103234</v>
      </c>
      <c r="RX8" t="s">
        <v>5303</v>
      </c>
      <c r="SA8" t="s">
        <v>3477</v>
      </c>
      <c r="SB8">
        <v>-2.4245362661989844E-14</v>
      </c>
      <c r="SD8">
        <v>-2.4245362661989844E-14</v>
      </c>
      <c r="SE8" t="s">
        <v>1651</v>
      </c>
      <c r="SF8">
        <v>2025</v>
      </c>
      <c r="SG8" t="s">
        <v>3478</v>
      </c>
      <c r="SH8" s="6">
        <v>45974</v>
      </c>
      <c r="SI8">
        <v>5</v>
      </c>
      <c r="SJ8">
        <v>-2.4245362661989844E-14</v>
      </c>
      <c r="SK8">
        <v>129350</v>
      </c>
      <c r="SL8" t="s">
        <v>3479</v>
      </c>
      <c r="SQ8" t="s">
        <v>2245</v>
      </c>
      <c r="SR8" t="s">
        <v>1598</v>
      </c>
      <c r="SS8">
        <v>0.74089799999999995</v>
      </c>
      <c r="ST8">
        <v>0.15796199999999999</v>
      </c>
      <c r="SU8" t="s">
        <v>1599</v>
      </c>
      <c r="SV8">
        <v>2025</v>
      </c>
      <c r="SW8" t="s">
        <v>2246</v>
      </c>
      <c r="SX8" s="6">
        <v>46076</v>
      </c>
      <c r="SY8">
        <v>5</v>
      </c>
      <c r="SZ8">
        <v>12663799</v>
      </c>
      <c r="TA8">
        <v>119151</v>
      </c>
      <c r="TB8" t="s">
        <v>2247</v>
      </c>
      <c r="TE8" t="s">
        <v>1815</v>
      </c>
      <c r="TF8">
        <v>2.263004</v>
      </c>
      <c r="TG8" t="s">
        <v>1634</v>
      </c>
      <c r="TH8">
        <v>1.609923</v>
      </c>
      <c r="TI8" t="s">
        <v>1599</v>
      </c>
      <c r="TJ8">
        <v>2025</v>
      </c>
      <c r="TK8" t="s">
        <v>1809</v>
      </c>
      <c r="TL8" s="6">
        <v>45985</v>
      </c>
      <c r="TM8">
        <v>5</v>
      </c>
      <c r="TN8">
        <v>202040992</v>
      </c>
      <c r="TO8">
        <v>948637</v>
      </c>
      <c r="TP8" t="s">
        <v>1816</v>
      </c>
      <c r="UY8" t="s">
        <v>2329</v>
      </c>
      <c r="UZ8" t="s">
        <v>1598</v>
      </c>
      <c r="VA8">
        <v>0.17760100000000001</v>
      </c>
      <c r="VB8">
        <v>3.3069000000000001E-2</v>
      </c>
      <c r="VC8" t="s">
        <v>1664</v>
      </c>
      <c r="VD8">
        <v>2025</v>
      </c>
      <c r="VE8" t="s">
        <v>2330</v>
      </c>
      <c r="VF8" s="6">
        <v>45884</v>
      </c>
      <c r="VG8">
        <v>5</v>
      </c>
      <c r="VH8">
        <v>1973215</v>
      </c>
      <c r="VI8">
        <v>17257533</v>
      </c>
      <c r="VJ8" t="s">
        <v>2331</v>
      </c>
      <c r="VM8" t="s">
        <v>5977</v>
      </c>
      <c r="VN8">
        <v>-2.4245362661989844E-14</v>
      </c>
      <c r="VP8">
        <v>-2.4245362661989844E-14</v>
      </c>
      <c r="VQ8" t="s">
        <v>1594</v>
      </c>
      <c r="VR8">
        <v>2021</v>
      </c>
      <c r="VS8" t="s">
        <v>5978</v>
      </c>
      <c r="VT8" s="6">
        <v>44680</v>
      </c>
      <c r="VU8">
        <v>5</v>
      </c>
      <c r="VV8">
        <v>-2.4245362661989844E-14</v>
      </c>
      <c r="VW8">
        <v>14979737</v>
      </c>
      <c r="VX8" t="s">
        <v>5979</v>
      </c>
    </row>
    <row r="9" spans="1:600" x14ac:dyDescent="0.25">
      <c r="A9" t="s">
        <v>3350</v>
      </c>
      <c r="B9" t="s">
        <v>1598</v>
      </c>
      <c r="C9">
        <v>0.82792200000000005</v>
      </c>
      <c r="D9">
        <v>0.75151400000000002</v>
      </c>
      <c r="E9" t="s">
        <v>1664</v>
      </c>
      <c r="F9">
        <v>2025</v>
      </c>
      <c r="G9" t="s">
        <v>3351</v>
      </c>
      <c r="H9" s="6">
        <v>45959</v>
      </c>
      <c r="I9">
        <v>5</v>
      </c>
      <c r="J9">
        <v>28398061.84</v>
      </c>
      <c r="K9">
        <v>113332</v>
      </c>
      <c r="L9" t="s">
        <v>3352</v>
      </c>
      <c r="O9" t="s">
        <v>1621</v>
      </c>
      <c r="P9">
        <v>6</v>
      </c>
      <c r="R9">
        <v>-2.4245362661989844E-14</v>
      </c>
      <c r="S9" t="s">
        <v>1594</v>
      </c>
      <c r="T9">
        <v>2024</v>
      </c>
      <c r="U9" t="s">
        <v>2825</v>
      </c>
      <c r="V9" s="6">
        <v>45715</v>
      </c>
      <c r="W9">
        <v>5</v>
      </c>
      <c r="X9">
        <v>954404992</v>
      </c>
      <c r="Y9">
        <v>218252</v>
      </c>
      <c r="Z9" t="s">
        <v>1622</v>
      </c>
      <c r="AE9" t="s">
        <v>1184</v>
      </c>
      <c r="AF9" t="s">
        <v>1598</v>
      </c>
      <c r="AG9">
        <v>3.9025400000000001</v>
      </c>
      <c r="AH9">
        <v>2.7696170000000002</v>
      </c>
      <c r="AI9" t="s">
        <v>1603</v>
      </c>
      <c r="AJ9">
        <v>2026</v>
      </c>
      <c r="AK9" t="s">
        <v>4927</v>
      </c>
      <c r="AL9" s="6">
        <v>45874</v>
      </c>
      <c r="AM9">
        <v>5</v>
      </c>
      <c r="AN9">
        <v>77410784</v>
      </c>
      <c r="AO9">
        <v>101175</v>
      </c>
      <c r="AP9" t="s">
        <v>4928</v>
      </c>
      <c r="AS9" t="s">
        <v>6069</v>
      </c>
      <c r="AT9">
        <v>-2.4245362661989844E-14</v>
      </c>
      <c r="AV9">
        <v>-2.4245362661989844E-14</v>
      </c>
      <c r="AW9" t="s">
        <v>1594</v>
      </c>
      <c r="AX9">
        <v>2023</v>
      </c>
      <c r="AY9" t="s">
        <v>6070</v>
      </c>
      <c r="AZ9" s="6">
        <v>45001</v>
      </c>
      <c r="BA9">
        <v>5</v>
      </c>
      <c r="BB9">
        <v>-2.4245362661989844E-14</v>
      </c>
      <c r="BC9">
        <v>103335</v>
      </c>
      <c r="BD9" t="s">
        <v>6071</v>
      </c>
      <c r="BI9" t="s">
        <v>6170</v>
      </c>
      <c r="BK9">
        <v>-2.4245362661989844E-14</v>
      </c>
      <c r="BL9">
        <v>-2.4245362661989844E-14</v>
      </c>
      <c r="BM9" t="s">
        <v>1594</v>
      </c>
      <c r="BN9">
        <v>2022</v>
      </c>
      <c r="BO9" t="s">
        <v>6171</v>
      </c>
      <c r="BP9" s="6">
        <v>44978</v>
      </c>
      <c r="BQ9">
        <v>5</v>
      </c>
      <c r="BR9">
        <v>-2.4245362661989844E-14</v>
      </c>
      <c r="BS9">
        <v>126095</v>
      </c>
      <c r="BT9" t="s">
        <v>6172</v>
      </c>
      <c r="CM9" t="s">
        <v>2312</v>
      </c>
      <c r="CO9">
        <v>-2.4245362661989844E-14</v>
      </c>
      <c r="CP9">
        <v>-2.4245362661989844E-14</v>
      </c>
      <c r="CQ9" t="s">
        <v>1594</v>
      </c>
      <c r="CR9">
        <v>2024</v>
      </c>
      <c r="CS9" t="s">
        <v>2313</v>
      </c>
      <c r="CT9" s="6">
        <v>45476</v>
      </c>
      <c r="CU9">
        <v>5</v>
      </c>
      <c r="CV9">
        <v>-2.4245362661989844E-14</v>
      </c>
      <c r="CW9">
        <v>117406</v>
      </c>
      <c r="CX9" t="s">
        <v>2314</v>
      </c>
      <c r="DA9" t="s">
        <v>1909</v>
      </c>
      <c r="DB9">
        <v>0.82465500000000003</v>
      </c>
      <c r="DD9">
        <v>-2.4245362661989844E-14</v>
      </c>
      <c r="DE9" t="s">
        <v>1594</v>
      </c>
      <c r="DF9">
        <v>2024</v>
      </c>
      <c r="DG9" t="s">
        <v>1903</v>
      </c>
      <c r="DH9" s="6">
        <v>45702</v>
      </c>
      <c r="DI9">
        <v>5</v>
      </c>
      <c r="DJ9">
        <v>16908750</v>
      </c>
      <c r="DK9">
        <v>117322</v>
      </c>
      <c r="DL9" t="s">
        <v>1910</v>
      </c>
      <c r="EE9" t="s">
        <v>2497</v>
      </c>
      <c r="EF9">
        <v>1.9803550000000001</v>
      </c>
      <c r="EG9" t="s">
        <v>1685</v>
      </c>
      <c r="EH9">
        <v>2.206064</v>
      </c>
      <c r="EI9" t="s">
        <v>1594</v>
      </c>
      <c r="EJ9">
        <v>2024</v>
      </c>
      <c r="EK9" t="s">
        <v>2353</v>
      </c>
      <c r="EL9" s="6">
        <v>45713</v>
      </c>
      <c r="EM9">
        <v>5</v>
      </c>
      <c r="EN9">
        <v>26096826</v>
      </c>
      <c r="EO9">
        <v>57509219</v>
      </c>
      <c r="EP9" t="s">
        <v>2498</v>
      </c>
      <c r="FY9" t="s">
        <v>3387</v>
      </c>
      <c r="FZ9" t="s">
        <v>1598</v>
      </c>
      <c r="GA9">
        <v>1.017503</v>
      </c>
      <c r="GB9">
        <v>1.621964</v>
      </c>
      <c r="GC9" t="s">
        <v>1664</v>
      </c>
      <c r="GD9">
        <v>2025</v>
      </c>
      <c r="GE9" t="s">
        <v>3388</v>
      </c>
      <c r="GF9" s="6">
        <v>45929</v>
      </c>
      <c r="GG9">
        <v>5</v>
      </c>
      <c r="GH9">
        <v>123835292.08</v>
      </c>
      <c r="GI9">
        <v>115679</v>
      </c>
      <c r="GJ9" t="s">
        <v>3389</v>
      </c>
      <c r="GM9" t="s">
        <v>1669</v>
      </c>
      <c r="GN9">
        <v>2.108371</v>
      </c>
      <c r="GO9" t="s">
        <v>1598</v>
      </c>
      <c r="GP9">
        <v>2.5571009999999998</v>
      </c>
      <c r="GQ9" t="s">
        <v>1664</v>
      </c>
      <c r="GR9">
        <v>2025</v>
      </c>
      <c r="GS9" t="s">
        <v>1921</v>
      </c>
      <c r="GT9" s="6">
        <v>45919</v>
      </c>
      <c r="GU9">
        <v>5</v>
      </c>
      <c r="GV9">
        <v>501043244.87</v>
      </c>
      <c r="GW9">
        <v>115268</v>
      </c>
      <c r="GX9" t="s">
        <v>1670</v>
      </c>
      <c r="IG9" t="s">
        <v>5094</v>
      </c>
      <c r="II9">
        <v>-2.4245362661989844E-14</v>
      </c>
      <c r="IJ9">
        <v>-2.4245362661989844E-14</v>
      </c>
      <c r="IK9" t="s">
        <v>1599</v>
      </c>
      <c r="IL9">
        <v>2023</v>
      </c>
      <c r="IM9" t="s">
        <v>5095</v>
      </c>
      <c r="IN9" s="6">
        <v>45272</v>
      </c>
      <c r="IO9">
        <v>5</v>
      </c>
      <c r="IP9">
        <v>-2.4245362661989844E-14</v>
      </c>
      <c r="IQ9">
        <v>30906467</v>
      </c>
      <c r="IR9" t="s">
        <v>5096</v>
      </c>
      <c r="LS9" t="s">
        <v>2984</v>
      </c>
      <c r="LT9" t="s">
        <v>1598</v>
      </c>
      <c r="LU9">
        <v>30.781739999999999</v>
      </c>
      <c r="LV9">
        <v>0.62680199999999997</v>
      </c>
      <c r="LW9" t="s">
        <v>1594</v>
      </c>
      <c r="LX9">
        <v>2025</v>
      </c>
      <c r="LY9" t="s">
        <v>2985</v>
      </c>
      <c r="LZ9" s="6">
        <v>45818</v>
      </c>
      <c r="MA9">
        <v>5</v>
      </c>
      <c r="MB9">
        <v>38070899.18</v>
      </c>
      <c r="MC9">
        <v>174401</v>
      </c>
      <c r="MD9" t="s">
        <v>2986</v>
      </c>
      <c r="MG9" t="s">
        <v>1082</v>
      </c>
      <c r="MH9">
        <v>1.3805559999999999</v>
      </c>
      <c r="MI9" t="s">
        <v>1598</v>
      </c>
      <c r="MJ9">
        <v>1.0273540000000001</v>
      </c>
      <c r="MK9" t="s">
        <v>1664</v>
      </c>
      <c r="ML9">
        <v>2025</v>
      </c>
      <c r="MM9" t="s">
        <v>2180</v>
      </c>
      <c r="MN9" s="6">
        <v>45898</v>
      </c>
      <c r="MO9">
        <v>5</v>
      </c>
      <c r="MP9">
        <v>142915152</v>
      </c>
      <c r="MQ9">
        <v>10451815</v>
      </c>
      <c r="MR9" t="s">
        <v>1959</v>
      </c>
      <c r="NK9" t="s">
        <v>5556</v>
      </c>
      <c r="NL9">
        <v>-2.4245362661989844E-14</v>
      </c>
      <c r="NN9">
        <v>-2.4245362661989844E-14</v>
      </c>
      <c r="NO9" t="s">
        <v>1594</v>
      </c>
      <c r="NP9">
        <v>2024</v>
      </c>
      <c r="NQ9" t="s">
        <v>2351</v>
      </c>
      <c r="NR9" s="6">
        <v>45708</v>
      </c>
      <c r="NS9">
        <v>5</v>
      </c>
      <c r="NT9">
        <v>-2.4245362661989844E-14</v>
      </c>
      <c r="NU9">
        <v>26445669</v>
      </c>
      <c r="NV9" t="s">
        <v>5557</v>
      </c>
      <c r="PE9" t="s">
        <v>1905</v>
      </c>
      <c r="PF9" t="s">
        <v>1598</v>
      </c>
      <c r="PG9">
        <v>8.0865999999999993E-2</v>
      </c>
      <c r="PH9">
        <v>0.27508500000000002</v>
      </c>
      <c r="PI9" t="s">
        <v>1603</v>
      </c>
      <c r="PJ9">
        <v>2026</v>
      </c>
      <c r="PK9" t="s">
        <v>3359</v>
      </c>
      <c r="PL9" s="6">
        <v>45980</v>
      </c>
      <c r="PM9">
        <v>5</v>
      </c>
      <c r="PN9">
        <v>17987832</v>
      </c>
      <c r="PO9">
        <v>100554</v>
      </c>
      <c r="PP9" t="s">
        <v>1906</v>
      </c>
      <c r="PS9" t="s">
        <v>2836</v>
      </c>
      <c r="PT9">
        <v>-2.4245362661989844E-14</v>
      </c>
      <c r="PV9">
        <v>-2.4245362661989844E-14</v>
      </c>
      <c r="PW9" t="s">
        <v>1594</v>
      </c>
      <c r="PX9">
        <v>2024</v>
      </c>
      <c r="PY9" t="s">
        <v>2837</v>
      </c>
      <c r="PZ9" s="6">
        <v>45774</v>
      </c>
      <c r="QA9">
        <v>5</v>
      </c>
      <c r="QB9">
        <v>-2.4245362661989844E-14</v>
      </c>
      <c r="QC9">
        <v>9020238</v>
      </c>
      <c r="QD9" t="s">
        <v>2838</v>
      </c>
      <c r="RM9" t="s">
        <v>5304</v>
      </c>
      <c r="RN9" t="s">
        <v>1598</v>
      </c>
      <c r="RO9">
        <v>3.6235360000000001</v>
      </c>
      <c r="RP9">
        <v>5.0234000000000001E-2</v>
      </c>
      <c r="RQ9" t="s">
        <v>1599</v>
      </c>
      <c r="RR9">
        <v>2025</v>
      </c>
      <c r="RS9" t="s">
        <v>5305</v>
      </c>
      <c r="RT9" s="6">
        <v>45975</v>
      </c>
      <c r="RU9">
        <v>5</v>
      </c>
      <c r="RV9">
        <v>2544375</v>
      </c>
      <c r="RW9">
        <v>32635084</v>
      </c>
      <c r="RX9" t="s">
        <v>5306</v>
      </c>
      <c r="SA9" t="s">
        <v>5372</v>
      </c>
      <c r="SB9">
        <v>-2.4245362661989844E-14</v>
      </c>
      <c r="SD9">
        <v>-2.4245362661989844E-14</v>
      </c>
      <c r="SE9" t="s">
        <v>1651</v>
      </c>
      <c r="SF9">
        <v>2025</v>
      </c>
      <c r="SG9" t="s">
        <v>5373</v>
      </c>
      <c r="SH9" s="6">
        <v>45975</v>
      </c>
      <c r="SI9">
        <v>5</v>
      </c>
      <c r="SJ9">
        <v>-2.4245362661989844E-14</v>
      </c>
      <c r="SK9">
        <v>1456301</v>
      </c>
      <c r="SL9" t="s">
        <v>5374</v>
      </c>
      <c r="SQ9" t="s">
        <v>2248</v>
      </c>
      <c r="SR9" t="s">
        <v>1598</v>
      </c>
      <c r="SS9">
        <v>1.9906219999999999</v>
      </c>
      <c r="ST9">
        <v>0.177985</v>
      </c>
      <c r="SU9" t="s">
        <v>1664</v>
      </c>
      <c r="SV9">
        <v>2025</v>
      </c>
      <c r="SW9" t="s">
        <v>2249</v>
      </c>
      <c r="SX9" s="6">
        <v>45936</v>
      </c>
      <c r="SY9">
        <v>5</v>
      </c>
      <c r="SZ9">
        <v>12336562.08</v>
      </c>
      <c r="TA9">
        <v>116058</v>
      </c>
      <c r="TB9" t="s">
        <v>2250</v>
      </c>
      <c r="TE9" t="s">
        <v>1817</v>
      </c>
      <c r="TF9">
        <v>2.2018209999999998</v>
      </c>
      <c r="TG9" t="s">
        <v>1634</v>
      </c>
      <c r="TH9">
        <v>4.3137720000000002</v>
      </c>
      <c r="TI9" t="s">
        <v>1599</v>
      </c>
      <c r="TJ9">
        <v>2025</v>
      </c>
      <c r="TK9" t="s">
        <v>1809</v>
      </c>
      <c r="TL9" s="6">
        <v>45985</v>
      </c>
      <c r="TM9">
        <v>5</v>
      </c>
      <c r="TN9">
        <v>196578576</v>
      </c>
      <c r="TO9">
        <v>9268711</v>
      </c>
      <c r="TP9" t="s">
        <v>1818</v>
      </c>
      <c r="UY9" t="s">
        <v>3429</v>
      </c>
      <c r="UZ9" t="s">
        <v>1598</v>
      </c>
      <c r="VA9">
        <v>0.57835000000000003</v>
      </c>
      <c r="VB9">
        <v>3.8906000000000003E-2</v>
      </c>
      <c r="VC9" t="s">
        <v>1606</v>
      </c>
      <c r="VD9">
        <v>2025</v>
      </c>
      <c r="VE9" t="s">
        <v>3430</v>
      </c>
      <c r="VF9" s="6">
        <v>46018</v>
      </c>
      <c r="VG9">
        <v>5</v>
      </c>
      <c r="VH9">
        <v>1775673</v>
      </c>
      <c r="VI9">
        <v>916504</v>
      </c>
      <c r="VJ9" t="s">
        <v>3431</v>
      </c>
      <c r="VM9" t="s">
        <v>5980</v>
      </c>
      <c r="VN9">
        <v>-2.4245362661989844E-14</v>
      </c>
      <c r="VP9">
        <v>-2.4245362661989844E-14</v>
      </c>
      <c r="VQ9" t="s">
        <v>1792</v>
      </c>
      <c r="VR9">
        <v>2023</v>
      </c>
      <c r="VS9" t="s">
        <v>5981</v>
      </c>
      <c r="VT9" s="6">
        <v>45163</v>
      </c>
      <c r="VU9">
        <v>5</v>
      </c>
      <c r="VV9">
        <v>-2.4245362661989844E-14</v>
      </c>
      <c r="VW9">
        <v>21762773</v>
      </c>
      <c r="VX9" t="s">
        <v>5982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251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252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253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254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255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256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257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258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259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260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261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262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263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264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265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266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267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268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269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270</v>
      </c>
      <c r="AE2" s="3" t="s">
        <v>118</v>
      </c>
      <c r="BI2" s="3" t="s">
        <v>271</v>
      </c>
      <c r="CM2" s="3" t="s">
        <v>272</v>
      </c>
      <c r="DQ2" s="3" t="s">
        <v>273</v>
      </c>
      <c r="EU2" s="3" t="s">
        <v>274</v>
      </c>
      <c r="FY2" s="3" t="s">
        <v>275</v>
      </c>
      <c r="HC2" s="3" t="s">
        <v>276</v>
      </c>
      <c r="IG2" s="3" t="s">
        <v>275</v>
      </c>
      <c r="JK2" s="3" t="s">
        <v>177</v>
      </c>
      <c r="KO2" s="3" t="s">
        <v>171</v>
      </c>
      <c r="LS2" s="3" t="s">
        <v>78</v>
      </c>
      <c r="MW2" s="3" t="s">
        <v>277</v>
      </c>
      <c r="OA2" s="3" t="s">
        <v>278</v>
      </c>
      <c r="PE2" s="3" t="s">
        <v>279</v>
      </c>
      <c r="QI2" s="3" t="s">
        <v>280</v>
      </c>
      <c r="RM2" s="3" t="s">
        <v>172</v>
      </c>
      <c r="SQ2" s="3" t="s">
        <v>24</v>
      </c>
      <c r="TU2" s="3" t="s">
        <v>281</v>
      </c>
      <c r="UY2" s="3" t="s">
        <v>282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_xll.BDS("PEP US Equity","SUPPLY_CHAIN_SUPPLIERS_ALL_DATA","cols=12;rows=5")</f>
        <v>AMCR US Equity</v>
      </c>
      <c r="B5" t="s">
        <v>1598</v>
      </c>
      <c r="C5">
        <v>5.9558450000000001</v>
      </c>
      <c r="D5">
        <v>3.014294</v>
      </c>
      <c r="E5" t="s">
        <v>1664</v>
      </c>
      <c r="F5">
        <v>2026</v>
      </c>
      <c r="G5" t="s">
        <v>2336</v>
      </c>
      <c r="H5" s="6">
        <v>46071</v>
      </c>
      <c r="I5">
        <v>5</v>
      </c>
      <c r="J5">
        <v>324533984</v>
      </c>
      <c r="K5">
        <v>61417091</v>
      </c>
      <c r="L5" t="s">
        <v>2337</v>
      </c>
      <c r="O5" t="str">
        <f>_xll.BDS("PEP US Equity","SUPPLY_CHAIN_CUSTOMERS_ALL_DATA","cols=12;rows=5")</f>
        <v>WMT US Equity</v>
      </c>
      <c r="P5">
        <v>14</v>
      </c>
      <c r="Q5" t="s">
        <v>1598</v>
      </c>
      <c r="R5">
        <v>2.534373</v>
      </c>
      <c r="S5" t="s">
        <v>1594</v>
      </c>
      <c r="T5">
        <v>2024</v>
      </c>
      <c r="U5" t="s">
        <v>2826</v>
      </c>
      <c r="V5" s="6">
        <v>45692</v>
      </c>
      <c r="W5">
        <v>5</v>
      </c>
      <c r="X5">
        <v>3214889984</v>
      </c>
      <c r="Y5">
        <v>101616</v>
      </c>
      <c r="Z5" t="s">
        <v>1666</v>
      </c>
      <c r="AE5" t="str">
        <f>_xll.BDS("WFC US Equity","SUPPLY_CHAIN_SUPPLIERS_ALL_DATA","cols=12;rows=5")</f>
        <v>ADBE US Equity</v>
      </c>
      <c r="AF5" t="s">
        <v>1685</v>
      </c>
      <c r="AG5">
        <v>0.357321</v>
      </c>
      <c r="AH5">
        <v>0.15107200000000001</v>
      </c>
      <c r="AI5" t="s">
        <v>1664</v>
      </c>
      <c r="AJ5">
        <v>2025</v>
      </c>
      <c r="AK5" t="s">
        <v>2052</v>
      </c>
      <c r="AL5" s="6">
        <v>45838</v>
      </c>
      <c r="AM5">
        <v>5</v>
      </c>
      <c r="AN5">
        <v>20985462</v>
      </c>
      <c r="AO5">
        <v>101689</v>
      </c>
      <c r="AP5" t="s">
        <v>2053</v>
      </c>
      <c r="AS5" t="str">
        <f>_xll.BDS("WFC US Equity","SUPPLY_CHAIN_CUSTOMERS_ALL_DATA","cols=12;rows=5")</f>
        <v>CDW US Equity</v>
      </c>
      <c r="AT5">
        <v>4.1894000000000001E-2</v>
      </c>
      <c r="AU5" t="s">
        <v>1598</v>
      </c>
      <c r="AV5">
        <v>0.304456</v>
      </c>
      <c r="AW5" t="s">
        <v>1603</v>
      </c>
      <c r="AX5">
        <v>2025</v>
      </c>
      <c r="AY5" t="s">
        <v>1680</v>
      </c>
      <c r="AZ5" s="6">
        <v>45820</v>
      </c>
      <c r="BA5">
        <v>5</v>
      </c>
      <c r="BB5">
        <v>12412062</v>
      </c>
      <c r="BC5">
        <v>12129192</v>
      </c>
      <c r="BD5" t="s">
        <v>1681</v>
      </c>
      <c r="BI5" t="str">
        <f>_xll.BDS("ELV US Equity","SUPPLY_CHAIN_SUPPLIERS_ALL_DATA","cols=12;rows=5")</f>
        <v>HNGE US Equity</v>
      </c>
      <c r="BJ5" t="s">
        <v>1598</v>
      </c>
      <c r="BK5">
        <v>13.8</v>
      </c>
      <c r="BL5">
        <v>4.8899999999999999E-2</v>
      </c>
      <c r="BM5" t="s">
        <v>1599</v>
      </c>
      <c r="BN5">
        <v>2025</v>
      </c>
      <c r="BO5" t="s">
        <v>3340</v>
      </c>
      <c r="BP5" s="6">
        <v>45968</v>
      </c>
      <c r="BQ5">
        <v>5</v>
      </c>
      <c r="BR5">
        <v>21281118</v>
      </c>
      <c r="BS5">
        <v>54419104</v>
      </c>
      <c r="BT5" t="s">
        <v>3341</v>
      </c>
      <c r="BW5" t="str">
        <f>_xll.BDS("ELV US Equity","SUPPLY_CHAIN_CUSTOMERS_ALL_DATA","cols=12;rows=5")</f>
        <v>3352Z US Equity</v>
      </c>
      <c r="BX5">
        <v>31</v>
      </c>
      <c r="BZ5">
        <v>-2.4245362661989844E-14</v>
      </c>
      <c r="CA5" t="s">
        <v>1594</v>
      </c>
      <c r="CB5">
        <v>2024</v>
      </c>
      <c r="CC5" t="s">
        <v>2811</v>
      </c>
      <c r="CD5" s="6">
        <v>45708</v>
      </c>
      <c r="CE5">
        <v>5</v>
      </c>
      <c r="CF5">
        <v>13718352896</v>
      </c>
      <c r="CG5">
        <v>218252</v>
      </c>
      <c r="CH5" t="s">
        <v>1622</v>
      </c>
      <c r="CM5" t="str">
        <f>_xll.BDS("COF US Equity","SUPPLY_CHAIN_SUPPLIERS_ALL_DATA","cols=12;rows=5")</f>
        <v>MTZ US Equity</v>
      </c>
      <c r="CN5" t="s">
        <v>1598</v>
      </c>
      <c r="CO5">
        <v>0.72786399999999996</v>
      </c>
      <c r="CP5">
        <v>0.35119499999999998</v>
      </c>
      <c r="CQ5" t="s">
        <v>1603</v>
      </c>
      <c r="CR5">
        <v>2025</v>
      </c>
      <c r="CS5" t="s">
        <v>3821</v>
      </c>
      <c r="CT5" s="6">
        <v>45849</v>
      </c>
      <c r="CU5">
        <v>5</v>
      </c>
      <c r="CV5">
        <v>20727514</v>
      </c>
      <c r="CW5">
        <v>102595</v>
      </c>
      <c r="CX5" t="s">
        <v>3822</v>
      </c>
      <c r="DA5" t="str">
        <f>_xll.BDS("COF US Equity","SUPPLY_CHAIN_CUSTOMERS_ALL_DATA","cols=12;rows=4")</f>
        <v>ASC LN Equity</v>
      </c>
      <c r="DB5">
        <v>-2.4245362661989844E-14</v>
      </c>
      <c r="DD5">
        <v>-2.4245362661989844E-14</v>
      </c>
      <c r="DE5" t="s">
        <v>1594</v>
      </c>
      <c r="DF5">
        <v>2023</v>
      </c>
      <c r="DG5" t="s">
        <v>5650</v>
      </c>
      <c r="DH5" s="6">
        <v>44985</v>
      </c>
      <c r="DI5">
        <v>4</v>
      </c>
      <c r="DJ5">
        <v>-2.4245362661989844E-14</v>
      </c>
      <c r="DK5">
        <v>7538868</v>
      </c>
      <c r="DL5" t="s">
        <v>5651</v>
      </c>
      <c r="DQ5" t="str">
        <f>_xll.BDS("MS US Equity","SUPPLY_CHAIN_SUPPLIERS_ALL_DATA","cols=12;rows=5")</f>
        <v>DLR US Equity</v>
      </c>
      <c r="DR5" t="s">
        <v>1685</v>
      </c>
      <c r="DS5">
        <v>0.65346000000000004</v>
      </c>
      <c r="DT5">
        <v>9.1481999999999994E-2</v>
      </c>
      <c r="DU5" t="s">
        <v>1594</v>
      </c>
      <c r="DV5">
        <v>2025</v>
      </c>
      <c r="DW5" t="s">
        <v>2044</v>
      </c>
      <c r="DX5" s="6">
        <v>46066</v>
      </c>
      <c r="DY5">
        <v>5</v>
      </c>
      <c r="DZ5">
        <v>9986000</v>
      </c>
      <c r="EA5">
        <v>9084002</v>
      </c>
      <c r="EB5" t="s">
        <v>2045</v>
      </c>
      <c r="EE5" t="str">
        <f>_xll.BDS("MS US Equity","SUPPLY_CHAIN_CUSTOMERS_ALL_DATA","cols=12;rows=5")</f>
        <v>012690 KS Equity</v>
      </c>
      <c r="EF5">
        <v>-2.4245362661989844E-14</v>
      </c>
      <c r="EH5">
        <v>-2.4245362661989844E-14</v>
      </c>
      <c r="EI5" t="s">
        <v>2438</v>
      </c>
      <c r="EJ5">
        <v>2023</v>
      </c>
      <c r="EK5" t="s">
        <v>2715</v>
      </c>
      <c r="EL5" s="6">
        <v>45061</v>
      </c>
      <c r="EM5">
        <v>5</v>
      </c>
      <c r="EN5">
        <v>-2.4245362661989844E-14</v>
      </c>
      <c r="EO5">
        <v>129275</v>
      </c>
      <c r="EP5" t="s">
        <v>2716</v>
      </c>
      <c r="EU5" t="str">
        <f>_xll.BDS("D US Equity","SUPPLY_CHAIN_SUPPLIERS_ALL_DATA","cols=12;rows=5")</f>
        <v>PWR US Equity</v>
      </c>
      <c r="EV5" t="s">
        <v>1634</v>
      </c>
      <c r="EW5">
        <v>3.1101740000000002</v>
      </c>
      <c r="EX5">
        <v>7.8050009999999999</v>
      </c>
      <c r="EY5" t="s">
        <v>1599</v>
      </c>
      <c r="EZ5">
        <v>2025</v>
      </c>
      <c r="FA5" t="s">
        <v>2321</v>
      </c>
      <c r="FB5" s="6">
        <v>45975</v>
      </c>
      <c r="FC5">
        <v>5</v>
      </c>
      <c r="FD5">
        <v>237350064</v>
      </c>
      <c r="FE5">
        <v>305366</v>
      </c>
      <c r="FF5" t="s">
        <v>2322</v>
      </c>
      <c r="FI5" t="str">
        <f>_xll.BDS("D US Equity","SUPPLY_CHAIN_CUSTOMERS_ALL_DATA","cols=12;rows=5")</f>
        <v>000039 CH Equity</v>
      </c>
      <c r="FJ5">
        <v>-2.4245362661989844E-14</v>
      </c>
      <c r="FL5">
        <v>-2.4245362661989844E-14</v>
      </c>
      <c r="FM5" t="s">
        <v>1594</v>
      </c>
      <c r="FN5">
        <v>2021</v>
      </c>
      <c r="FO5" t="s">
        <v>3689</v>
      </c>
      <c r="FP5" s="6">
        <v>44693</v>
      </c>
      <c r="FQ5">
        <v>5</v>
      </c>
      <c r="FR5">
        <v>-2.4245362661989844E-14</v>
      </c>
      <c r="FS5">
        <v>135744</v>
      </c>
      <c r="FT5" t="s">
        <v>3690</v>
      </c>
      <c r="FY5" t="str">
        <f>_xll.BDS("INTC US Equity","SUPPLY_CHAIN_SUPPLIERS_ALL_DATA","cols=12;rows=5")</f>
        <v>ASML NA Equity</v>
      </c>
      <c r="FZ5" t="s">
        <v>1634</v>
      </c>
      <c r="GA5">
        <v>9.5417889999999996</v>
      </c>
      <c r="GB5">
        <v>34.554512000000003</v>
      </c>
      <c r="GC5" t="s">
        <v>1664</v>
      </c>
      <c r="GD5">
        <v>2025</v>
      </c>
      <c r="GE5" t="s">
        <v>3855</v>
      </c>
      <c r="GF5" s="6">
        <v>45979</v>
      </c>
      <c r="GG5">
        <v>5</v>
      </c>
      <c r="GH5">
        <v>812256358.32000005</v>
      </c>
      <c r="GI5">
        <v>163205</v>
      </c>
      <c r="GJ5" t="s">
        <v>3856</v>
      </c>
      <c r="GM5" t="str">
        <f>_xll.BDS("INTC US Equity","SUPPLY_CHAIN_CUSTOMERS_ALL_DATA","cols=12;rows=5")</f>
        <v>DELL US Equity</v>
      </c>
      <c r="GN5">
        <v>19.035398000000001</v>
      </c>
      <c r="GO5" t="s">
        <v>1598</v>
      </c>
      <c r="GP5">
        <v>12.156269</v>
      </c>
      <c r="GQ5" t="s">
        <v>1606</v>
      </c>
      <c r="GR5">
        <v>2025</v>
      </c>
      <c r="GS5" t="s">
        <v>2228</v>
      </c>
      <c r="GT5" s="6">
        <v>46048</v>
      </c>
      <c r="GU5">
        <v>5</v>
      </c>
      <c r="GV5">
        <v>2602900224</v>
      </c>
      <c r="GW5">
        <v>50985605</v>
      </c>
      <c r="GX5" t="s">
        <v>3676</v>
      </c>
      <c r="HC5" t="str">
        <f>_xll.BDS("WDC US Equity","SUPPLY_CHAIN_SUPPLIERS_ALL_DATA","cols=12;rows=5")</f>
        <v>000660 KS Equity</v>
      </c>
      <c r="HD5" t="s">
        <v>1598</v>
      </c>
      <c r="HE5">
        <v>0.155471</v>
      </c>
      <c r="HF5">
        <v>1.601205</v>
      </c>
      <c r="HG5" t="s">
        <v>1599</v>
      </c>
      <c r="HH5">
        <v>2025</v>
      </c>
      <c r="HI5" t="s">
        <v>3857</v>
      </c>
      <c r="HJ5" s="6">
        <v>46080</v>
      </c>
      <c r="HK5">
        <v>5</v>
      </c>
      <c r="HL5">
        <v>27420662.800000001</v>
      </c>
      <c r="HM5">
        <v>193974</v>
      </c>
      <c r="HN5" t="s">
        <v>2588</v>
      </c>
      <c r="HQ5" t="str">
        <f>_xll.BDS("WDC US Equity","SUPPLY_CHAIN_CUSTOMERS_ALL_DATA","cols=12;rows=5")</f>
        <v>AMZN US Equity</v>
      </c>
      <c r="HR5">
        <v>15.058596</v>
      </c>
      <c r="HS5" t="s">
        <v>1634</v>
      </c>
      <c r="HT5">
        <v>1.149532</v>
      </c>
      <c r="HU5" t="s">
        <v>1664</v>
      </c>
      <c r="HV5">
        <v>2026</v>
      </c>
      <c r="HW5" t="s">
        <v>3356</v>
      </c>
      <c r="HX5" s="6">
        <v>46059</v>
      </c>
      <c r="HY5">
        <v>5</v>
      </c>
      <c r="HZ5">
        <v>454317856</v>
      </c>
      <c r="IA5">
        <v>216952</v>
      </c>
      <c r="IB5" t="s">
        <v>1631</v>
      </c>
      <c r="IG5" t="str">
        <f>_xll.BDS("INTC US Equity","SUPPLY_CHAIN_SUPPLIERS_ALL_DATA","cols=12;rows=5")</f>
        <v>ASML NA Equity</v>
      </c>
      <c r="IH5" t="s">
        <v>1634</v>
      </c>
      <c r="II5">
        <v>9.5417889999999996</v>
      </c>
      <c r="IJ5">
        <v>34.554512000000003</v>
      </c>
      <c r="IK5" t="s">
        <v>1664</v>
      </c>
      <c r="IL5">
        <v>2025</v>
      </c>
      <c r="IM5" t="s">
        <v>3855</v>
      </c>
      <c r="IN5" s="6">
        <v>45979</v>
      </c>
      <c r="IO5">
        <v>5</v>
      </c>
      <c r="IP5">
        <v>812256358.32000005</v>
      </c>
      <c r="IQ5">
        <v>163205</v>
      </c>
      <c r="IR5" t="s">
        <v>3856</v>
      </c>
      <c r="IU5" t="str">
        <f>_xll.BDS("INTC US Equity","SUPPLY_CHAIN_CUSTOMERS_ALL_DATA","cols=12;rows=5")</f>
        <v>DELL US Equity</v>
      </c>
      <c r="IV5">
        <v>19.035398000000001</v>
      </c>
      <c r="IW5" t="s">
        <v>1598</v>
      </c>
      <c r="IX5">
        <v>12.156269</v>
      </c>
      <c r="IY5" t="s">
        <v>1606</v>
      </c>
      <c r="IZ5">
        <v>2025</v>
      </c>
      <c r="JA5" t="s">
        <v>2228</v>
      </c>
      <c r="JB5" s="6">
        <v>46048</v>
      </c>
      <c r="JC5">
        <v>5</v>
      </c>
      <c r="JD5">
        <v>2602900224</v>
      </c>
      <c r="JE5">
        <v>50985605</v>
      </c>
      <c r="JF5" t="s">
        <v>3676</v>
      </c>
      <c r="JK5" t="str">
        <f>_xll.BDS("1255173D US Equity","SUPPLY_CHAIN_SUPPLIERS_ALL_DATA")</f>
        <v>#N/A N/A</v>
      </c>
      <c r="JY5" t="str">
        <f>_xll.BDS("1255173D US Equity","SUPPLY_CHAIN_CUSTOMERS_ALL_DATA")</f>
        <v>#N/A N/A</v>
      </c>
      <c r="KO5" t="str">
        <f>_xll.BDS("CRM US Equity","SUPPLY_CHAIN_SUPPLIERS_ALL_DATA","cols=12;rows=5")</f>
        <v>BXP US Equity</v>
      </c>
      <c r="KP5" t="s">
        <v>1685</v>
      </c>
      <c r="KQ5">
        <v>3.2392069999999999</v>
      </c>
      <c r="KR5">
        <v>0.72514800000000001</v>
      </c>
      <c r="KS5" t="s">
        <v>1599</v>
      </c>
      <c r="KT5">
        <v>2025</v>
      </c>
      <c r="KU5" t="s">
        <v>3371</v>
      </c>
      <c r="KV5" s="6">
        <v>45996</v>
      </c>
      <c r="KW5">
        <v>5</v>
      </c>
      <c r="KX5">
        <v>28230014</v>
      </c>
      <c r="KY5">
        <v>225275</v>
      </c>
      <c r="KZ5" t="s">
        <v>3372</v>
      </c>
      <c r="LC5" t="str">
        <f>_xll.BDS("CRM US Equity","SUPPLY_CHAIN_CUSTOMERS_ALL_DATA","cols=12;rows=5")</f>
        <v>SNX US Equity</v>
      </c>
      <c r="LD5">
        <v>1.073215</v>
      </c>
      <c r="LE5" t="s">
        <v>1598</v>
      </c>
      <c r="LF5">
        <v>0.68029200000000001</v>
      </c>
      <c r="LG5" t="s">
        <v>1606</v>
      </c>
      <c r="LH5">
        <v>2025</v>
      </c>
      <c r="LI5" t="s">
        <v>1701</v>
      </c>
      <c r="LJ5" s="6">
        <v>46056</v>
      </c>
      <c r="LK5">
        <v>5</v>
      </c>
      <c r="LL5">
        <v>110101112</v>
      </c>
      <c r="LM5">
        <v>1499717</v>
      </c>
      <c r="LN5" t="s">
        <v>1702</v>
      </c>
      <c r="LS5" t="str">
        <f>_xll.BDS("nan Equity","SUPPLY_CHAIN_SUPPLIERS_ALL_DATA")</f>
        <v>#N/A N/A</v>
      </c>
      <c r="MG5" t="str">
        <f>_xll.BDS("nan Equity","SUPPLY_CHAIN_CUSTOMERS_ALL_DATA")</f>
        <v>#N/A N/A</v>
      </c>
      <c r="MW5" t="str">
        <f>_xll.BDS("MCK US Equity","SUPPLY_CHAIN_SUPPLIERS_ALL_DATA","cols=12;rows=5")</f>
        <v>ABBV US Equity</v>
      </c>
      <c r="MX5" t="s">
        <v>1598</v>
      </c>
      <c r="MY5">
        <v>30.713249000000001</v>
      </c>
      <c r="MZ5">
        <v>6.8943349999999999</v>
      </c>
      <c r="NA5" t="s">
        <v>1606</v>
      </c>
      <c r="NB5">
        <v>2025</v>
      </c>
      <c r="NC5" t="s">
        <v>2220</v>
      </c>
      <c r="ND5" s="6">
        <v>46077</v>
      </c>
      <c r="NE5">
        <v>5</v>
      </c>
      <c r="NF5">
        <v>5103927808</v>
      </c>
      <c r="NG5">
        <v>28046509</v>
      </c>
      <c r="NH5" t="s">
        <v>2221</v>
      </c>
      <c r="NK5" t="str">
        <f>_xll.BDS("MCK US Equity","SUPPLY_CHAIN_CUSTOMERS_ALL_DATA","cols=12;rows=5")</f>
        <v>CVS US Equity</v>
      </c>
      <c r="NL5">
        <v>24</v>
      </c>
      <c r="NM5" t="s">
        <v>1598</v>
      </c>
      <c r="NN5">
        <v>26.455601000000001</v>
      </c>
      <c r="NO5" t="s">
        <v>1594</v>
      </c>
      <c r="NP5">
        <v>2025</v>
      </c>
      <c r="NQ5" t="s">
        <v>2431</v>
      </c>
      <c r="NR5" s="6">
        <v>45786</v>
      </c>
      <c r="NS5">
        <v>5</v>
      </c>
      <c r="NT5">
        <v>21543059456</v>
      </c>
      <c r="NU5">
        <v>100976</v>
      </c>
      <c r="NV5" t="s">
        <v>1820</v>
      </c>
      <c r="OA5" t="str">
        <f>_xll.BDS("WAMUQ US Equity","SUPPLY_CHAIN_SUPPLIERS_ALL_DATA")</f>
        <v>#N/A N/A</v>
      </c>
      <c r="OO5" t="str">
        <f>_xll.BDS("WAMUQ US Equity","SUPPLY_CHAIN_CUSTOMERS_ALL_DATA")</f>
        <v>#N/A N/A</v>
      </c>
      <c r="PE5" t="str">
        <f>_xll.BDS("DHR US Equity","SUPPLY_CHAIN_SUPPLIERS_ALL_DATA","cols=12;rows=5")</f>
        <v>FLEX US Equity</v>
      </c>
      <c r="PF5" t="s">
        <v>1598</v>
      </c>
      <c r="PG5">
        <v>1.165869</v>
      </c>
      <c r="PH5">
        <v>2.8864939999999999</v>
      </c>
      <c r="PI5" t="s">
        <v>1599</v>
      </c>
      <c r="PJ5">
        <v>2025</v>
      </c>
      <c r="PK5" t="s">
        <v>2557</v>
      </c>
      <c r="PL5" s="6">
        <v>45763</v>
      </c>
      <c r="PM5">
        <v>5</v>
      </c>
      <c r="PN5">
        <v>76434368</v>
      </c>
      <c r="PO5">
        <v>136547</v>
      </c>
      <c r="PP5" t="s">
        <v>2558</v>
      </c>
      <c r="PS5" t="str">
        <f>_xll.BDS("DHR US Equity","SUPPLY_CHAIN_CUSTOMERS_ALL_DATA","cols=12;rows=5")</f>
        <v>CDW US Equity</v>
      </c>
      <c r="PT5">
        <v>0.25350099999999998</v>
      </c>
      <c r="PU5" t="s">
        <v>1598</v>
      </c>
      <c r="PV5">
        <v>0.35698299999999999</v>
      </c>
      <c r="PW5" t="s">
        <v>1603</v>
      </c>
      <c r="PX5">
        <v>2025</v>
      </c>
      <c r="PY5" t="s">
        <v>1680</v>
      </c>
      <c r="PZ5" s="6">
        <v>45820</v>
      </c>
      <c r="QA5">
        <v>5</v>
      </c>
      <c r="QB5">
        <v>14553483</v>
      </c>
      <c r="QC5">
        <v>12129192</v>
      </c>
      <c r="QD5" t="s">
        <v>1681</v>
      </c>
      <c r="QI5" t="str">
        <f>_xll.BDS("NOC US Equity","SUPPLY_CHAIN_SUPPLIERS_ALL_DATA","cols=12;rows=5")</f>
        <v>RTX US Equity</v>
      </c>
      <c r="QJ5" t="s">
        <v>1598</v>
      </c>
      <c r="QK5">
        <v>0.51138700000000004</v>
      </c>
      <c r="QL5">
        <v>1.351197</v>
      </c>
      <c r="QM5" t="s">
        <v>1664</v>
      </c>
      <c r="QN5">
        <v>2025</v>
      </c>
      <c r="QO5" t="s">
        <v>2129</v>
      </c>
      <c r="QP5" s="6">
        <v>45895</v>
      </c>
      <c r="QQ5">
        <v>5</v>
      </c>
      <c r="QR5">
        <v>110362432</v>
      </c>
      <c r="QS5">
        <v>101555</v>
      </c>
      <c r="QT5" t="s">
        <v>2130</v>
      </c>
      <c r="QW5" t="str">
        <f>_xll.BDS("NOC US Equity","SUPPLY_CHAIN_CUSTOMERS_ALL_DATA","cols=12;rows=5")</f>
        <v>3352Z US Equity</v>
      </c>
      <c r="QX5">
        <v>84</v>
      </c>
      <c r="QZ5">
        <v>-2.4245362661989844E-14</v>
      </c>
      <c r="RA5" t="s">
        <v>1594</v>
      </c>
      <c r="RB5">
        <v>2025</v>
      </c>
      <c r="RC5" t="s">
        <v>1627</v>
      </c>
      <c r="RD5" s="6">
        <v>46049</v>
      </c>
      <c r="RE5">
        <v>5</v>
      </c>
      <c r="RF5">
        <v>8795750000</v>
      </c>
      <c r="RG5">
        <v>218252</v>
      </c>
      <c r="RH5" t="s">
        <v>1622</v>
      </c>
      <c r="RM5" t="str">
        <f>_xll.BDS("DUK US Equity","SUPPLY_CHAIN_SUPPLIERS_ALL_DATA","cols=12;rows=5")</f>
        <v>PWR US Equity</v>
      </c>
      <c r="RN5" t="s">
        <v>1634</v>
      </c>
      <c r="RO5">
        <v>3.994469</v>
      </c>
      <c r="RP5">
        <v>8.8280980000000007</v>
      </c>
      <c r="RQ5" t="s">
        <v>1599</v>
      </c>
      <c r="RR5">
        <v>2025</v>
      </c>
      <c r="RS5" t="s">
        <v>2321</v>
      </c>
      <c r="RT5" s="6">
        <v>45975</v>
      </c>
      <c r="RU5">
        <v>5</v>
      </c>
      <c r="RV5">
        <v>304834240</v>
      </c>
      <c r="RW5">
        <v>305366</v>
      </c>
      <c r="RX5" t="s">
        <v>2322</v>
      </c>
      <c r="SA5" t="str">
        <f>_xll.BDS("DUK US Equity","SUPPLY_CHAIN_CUSTOMERS_ALL_DATA","cols=12;rows=5")</f>
        <v>000150 KS Equity</v>
      </c>
      <c r="SB5">
        <v>-2.4245362661989844E-14</v>
      </c>
      <c r="SD5">
        <v>-2.4245362661989844E-14</v>
      </c>
      <c r="SE5" t="s">
        <v>1594</v>
      </c>
      <c r="SF5">
        <v>2021</v>
      </c>
      <c r="SG5" t="s">
        <v>4240</v>
      </c>
      <c r="SH5" s="6">
        <v>44693</v>
      </c>
      <c r="SI5">
        <v>5</v>
      </c>
      <c r="SJ5">
        <v>-2.4245362661989844E-14</v>
      </c>
      <c r="SK5">
        <v>117832</v>
      </c>
      <c r="SL5" t="s">
        <v>2732</v>
      </c>
      <c r="SQ5" t="str">
        <f>_xll.BDS("PFE US Equity","SUPPLY_CHAIN_SUPPLIERS_ALL_DATA","cols=12;rows=5")</f>
        <v>BNTX US Equity</v>
      </c>
      <c r="SR5" t="s">
        <v>1598</v>
      </c>
      <c r="SS5">
        <v>73</v>
      </c>
      <c r="ST5">
        <v>12.187704999999999</v>
      </c>
      <c r="SU5" t="s">
        <v>1594</v>
      </c>
      <c r="SV5">
        <v>2024</v>
      </c>
      <c r="SW5" t="s">
        <v>3345</v>
      </c>
      <c r="SX5" s="6">
        <v>45726</v>
      </c>
      <c r="SY5">
        <v>5</v>
      </c>
      <c r="SZ5">
        <v>544064265</v>
      </c>
      <c r="TA5">
        <v>65839686</v>
      </c>
      <c r="TB5" t="s">
        <v>3346</v>
      </c>
      <c r="TE5" t="str">
        <f>_xll.BDS("PFE US Equity","SUPPLY_CHAIN_CUSTOMERS_ALL_DATA","cols=12;rows=5")</f>
        <v>MCK US Equity</v>
      </c>
      <c r="TF5">
        <v>25</v>
      </c>
      <c r="TG5" t="s">
        <v>1598</v>
      </c>
      <c r="TH5">
        <v>4.0761390000000004</v>
      </c>
      <c r="TI5" t="s">
        <v>1594</v>
      </c>
      <c r="TJ5">
        <v>2025</v>
      </c>
      <c r="TK5" t="s">
        <v>2824</v>
      </c>
      <c r="TL5" s="6">
        <v>46079</v>
      </c>
      <c r="TM5">
        <v>5</v>
      </c>
      <c r="TN5">
        <v>3911187456</v>
      </c>
      <c r="TO5">
        <v>154936</v>
      </c>
      <c r="TP5" t="s">
        <v>1766</v>
      </c>
      <c r="TU5" t="str">
        <f>_xll.BDS("MPLX US Equity","SUPPLY_CHAIN_SUPPLIERS_ALL_DATA","cols=12;rows=5")</f>
        <v>DNOW US Equity</v>
      </c>
      <c r="TV5" t="s">
        <v>1598</v>
      </c>
      <c r="TW5">
        <v>0.27696399999999999</v>
      </c>
      <c r="TX5">
        <v>0.10378</v>
      </c>
      <c r="TY5" t="s">
        <v>1599</v>
      </c>
      <c r="TZ5">
        <v>2025</v>
      </c>
      <c r="UA5" t="s">
        <v>2073</v>
      </c>
      <c r="UB5" s="6">
        <v>46027</v>
      </c>
      <c r="UC5">
        <v>5</v>
      </c>
      <c r="UD5">
        <v>1755952</v>
      </c>
      <c r="UE5">
        <v>36965288</v>
      </c>
      <c r="UF5" t="s">
        <v>2074</v>
      </c>
      <c r="UI5" t="str">
        <f>_xll.BDS("MPLX US Equity","SUPPLY_CHAIN_CUSTOMERS_ALL_DATA","cols=12;rows=3")</f>
        <v>MPC US Equity</v>
      </c>
      <c r="UJ5">
        <v>49</v>
      </c>
      <c r="UK5" t="s">
        <v>1598</v>
      </c>
      <c r="UL5">
        <v>4.4841980000000001</v>
      </c>
      <c r="UM5" t="s">
        <v>1594</v>
      </c>
      <c r="UN5">
        <v>2024</v>
      </c>
      <c r="UO5" t="s">
        <v>2548</v>
      </c>
      <c r="UP5" s="6">
        <v>45715</v>
      </c>
      <c r="UQ5">
        <v>3</v>
      </c>
      <c r="UR5">
        <v>1461792512</v>
      </c>
      <c r="US5">
        <v>23756399</v>
      </c>
      <c r="UT5" t="s">
        <v>2549</v>
      </c>
      <c r="UY5" t="str">
        <f>_xll.BDS("GEN US Equity","SUPPLY_CHAIN_SUPPLIERS_ALL_DATA","cols=12;rows=5")</f>
        <v>354 HK Equity</v>
      </c>
      <c r="UZ5" t="s">
        <v>1685</v>
      </c>
      <c r="VA5">
        <v>9.7283999999999995E-2</v>
      </c>
      <c r="VB5">
        <v>0.15382699999999999</v>
      </c>
      <c r="VC5" t="s">
        <v>1664</v>
      </c>
      <c r="VD5">
        <v>2025</v>
      </c>
      <c r="VE5" t="s">
        <v>3747</v>
      </c>
      <c r="VF5" s="6">
        <v>45944</v>
      </c>
      <c r="VG5">
        <v>5</v>
      </c>
      <c r="VH5">
        <v>570196.56999999995</v>
      </c>
      <c r="VI5">
        <v>8157006</v>
      </c>
      <c r="VJ5" t="s">
        <v>3748</v>
      </c>
      <c r="VM5" t="str">
        <f>_xll.BDS("GEN US Equity","SUPPLY_CHAIN_CUSTOMERS_ALL_DATA","cols=12;rows=5")</f>
        <v>BABA US Equity</v>
      </c>
      <c r="VN5">
        <v>1.718623</v>
      </c>
      <c r="VO5" t="s">
        <v>1598</v>
      </c>
      <c r="VP5">
        <v>0.10999200000000001</v>
      </c>
      <c r="VQ5" t="s">
        <v>1603</v>
      </c>
      <c r="VR5">
        <v>2026</v>
      </c>
      <c r="VS5" t="s">
        <v>2797</v>
      </c>
      <c r="VT5" s="6">
        <v>45973</v>
      </c>
      <c r="VU5">
        <v>5</v>
      </c>
      <c r="VV5">
        <v>20754987.789999999</v>
      </c>
      <c r="VW5">
        <v>16857643</v>
      </c>
      <c r="VX5" t="s">
        <v>2798</v>
      </c>
    </row>
    <row r="6" spans="1:600" x14ac:dyDescent="0.25">
      <c r="A6" t="s">
        <v>3842</v>
      </c>
      <c r="B6" t="s">
        <v>1598</v>
      </c>
      <c r="C6">
        <v>7.4403589999999999</v>
      </c>
      <c r="D6">
        <v>2.409062</v>
      </c>
      <c r="E6" t="s">
        <v>1599</v>
      </c>
      <c r="F6">
        <v>2025</v>
      </c>
      <c r="G6" t="s">
        <v>3843</v>
      </c>
      <c r="H6" s="6">
        <v>46050</v>
      </c>
      <c r="I6">
        <v>5</v>
      </c>
      <c r="J6">
        <v>251409728</v>
      </c>
      <c r="K6">
        <v>100149</v>
      </c>
      <c r="L6" t="s">
        <v>3844</v>
      </c>
      <c r="O6" t="s">
        <v>311</v>
      </c>
      <c r="P6">
        <v>5.077191</v>
      </c>
      <c r="Q6" t="s">
        <v>1598</v>
      </c>
      <c r="R6">
        <v>3.3744339999999999</v>
      </c>
      <c r="S6" t="s">
        <v>1664</v>
      </c>
      <c r="T6">
        <v>2025</v>
      </c>
      <c r="U6" t="s">
        <v>2827</v>
      </c>
      <c r="V6" s="6">
        <v>45855</v>
      </c>
      <c r="W6">
        <v>5</v>
      </c>
      <c r="X6">
        <v>1165900800</v>
      </c>
      <c r="Y6">
        <v>100864</v>
      </c>
      <c r="Z6" t="s">
        <v>1668</v>
      </c>
      <c r="AE6" t="s">
        <v>2057</v>
      </c>
      <c r="AF6" t="s">
        <v>1685</v>
      </c>
      <c r="AG6">
        <v>5.2993949999999996</v>
      </c>
      <c r="AH6">
        <v>7.1481000000000003E-2</v>
      </c>
      <c r="AI6" t="s">
        <v>1603</v>
      </c>
      <c r="AJ6">
        <v>2026</v>
      </c>
      <c r="AK6" t="s">
        <v>2058</v>
      </c>
      <c r="AL6" s="6">
        <v>45898</v>
      </c>
      <c r="AM6">
        <v>5</v>
      </c>
      <c r="AN6">
        <v>9563900.9100000001</v>
      </c>
      <c r="AO6">
        <v>178651</v>
      </c>
      <c r="AP6" t="s">
        <v>2059</v>
      </c>
      <c r="AS6" t="s">
        <v>5519</v>
      </c>
      <c r="AT6">
        <v>-2.4245362661989844E-14</v>
      </c>
      <c r="AV6">
        <v>-2.4245362661989844E-14</v>
      </c>
      <c r="AW6" t="s">
        <v>1594</v>
      </c>
      <c r="AX6">
        <v>2024</v>
      </c>
      <c r="AY6" t="s">
        <v>5520</v>
      </c>
      <c r="AZ6" s="6">
        <v>45756</v>
      </c>
      <c r="BA6">
        <v>5</v>
      </c>
      <c r="BB6">
        <v>-2.4245362661989844E-14</v>
      </c>
      <c r="BC6">
        <v>23063237</v>
      </c>
      <c r="BD6" t="s">
        <v>5521</v>
      </c>
      <c r="BI6" t="s">
        <v>3342</v>
      </c>
      <c r="BJ6" t="s">
        <v>1685</v>
      </c>
      <c r="BK6">
        <v>31</v>
      </c>
      <c r="BL6">
        <v>0.36833199999999999</v>
      </c>
      <c r="BM6" t="s">
        <v>1594</v>
      </c>
      <c r="BN6">
        <v>2025</v>
      </c>
      <c r="BO6" t="s">
        <v>3343</v>
      </c>
      <c r="BP6" s="6">
        <v>46065</v>
      </c>
      <c r="BQ6">
        <v>5</v>
      </c>
      <c r="BR6">
        <v>19322688</v>
      </c>
      <c r="BS6">
        <v>29633010</v>
      </c>
      <c r="BT6" t="s">
        <v>3344</v>
      </c>
      <c r="BW6" t="s">
        <v>2812</v>
      </c>
      <c r="BX6">
        <v>-2.4245362661989844E-14</v>
      </c>
      <c r="BZ6">
        <v>-2.4245362661989844E-14</v>
      </c>
      <c r="CA6" t="s">
        <v>1594</v>
      </c>
      <c r="CB6">
        <v>2023</v>
      </c>
      <c r="CC6" t="s">
        <v>2813</v>
      </c>
      <c r="CD6" s="6">
        <v>45303</v>
      </c>
      <c r="CE6">
        <v>5</v>
      </c>
      <c r="CF6">
        <v>-2.4245362661989844E-14</v>
      </c>
      <c r="CG6">
        <v>38176982</v>
      </c>
      <c r="CH6" t="s">
        <v>2814</v>
      </c>
      <c r="CM6" t="s">
        <v>1084</v>
      </c>
      <c r="CN6" t="s">
        <v>1685</v>
      </c>
      <c r="CO6">
        <v>0.189773</v>
      </c>
      <c r="CP6">
        <v>0.18884100000000001</v>
      </c>
      <c r="CQ6" t="s">
        <v>1664</v>
      </c>
      <c r="CR6">
        <v>2025</v>
      </c>
      <c r="CS6" t="s">
        <v>2052</v>
      </c>
      <c r="CT6" s="6">
        <v>45838</v>
      </c>
      <c r="CU6">
        <v>5</v>
      </c>
      <c r="CV6">
        <v>11145368</v>
      </c>
      <c r="CW6">
        <v>101689</v>
      </c>
      <c r="CX6" t="s">
        <v>2053</v>
      </c>
      <c r="DA6" t="s">
        <v>2596</v>
      </c>
      <c r="DB6">
        <v>-2.4245362661989844E-14</v>
      </c>
      <c r="DD6">
        <v>-2.4245362661989844E-14</v>
      </c>
      <c r="DE6" t="s">
        <v>1599</v>
      </c>
      <c r="DF6">
        <v>2025</v>
      </c>
      <c r="DG6" t="s">
        <v>4879</v>
      </c>
      <c r="DH6" s="6">
        <v>45953</v>
      </c>
      <c r="DI6">
        <v>4</v>
      </c>
      <c r="DJ6">
        <v>-2.4245362661989844E-14</v>
      </c>
      <c r="DK6">
        <v>101374</v>
      </c>
      <c r="DL6" t="s">
        <v>2597</v>
      </c>
      <c r="DQ6" t="s">
        <v>3082</v>
      </c>
      <c r="DR6" t="s">
        <v>1685</v>
      </c>
      <c r="DS6">
        <v>2.7101419999999998</v>
      </c>
      <c r="DT6">
        <v>5.1628E-2</v>
      </c>
      <c r="DU6" t="s">
        <v>1594</v>
      </c>
      <c r="DV6">
        <v>2024</v>
      </c>
      <c r="DW6" t="s">
        <v>3083</v>
      </c>
      <c r="DX6" s="6">
        <v>45715</v>
      </c>
      <c r="DY6">
        <v>5</v>
      </c>
      <c r="DZ6">
        <v>5132000</v>
      </c>
      <c r="EA6">
        <v>979463</v>
      </c>
      <c r="EB6" t="s">
        <v>3084</v>
      </c>
      <c r="EE6" t="s">
        <v>2717</v>
      </c>
      <c r="EF6">
        <v>-2.4245362661989844E-14</v>
      </c>
      <c r="EH6">
        <v>-2.4245362661989844E-14</v>
      </c>
      <c r="EI6" t="s">
        <v>1651</v>
      </c>
      <c r="EJ6">
        <v>2023</v>
      </c>
      <c r="EK6" t="s">
        <v>2718</v>
      </c>
      <c r="EL6" s="6">
        <v>45244</v>
      </c>
      <c r="EM6">
        <v>5</v>
      </c>
      <c r="EN6">
        <v>-2.4245362661989844E-14</v>
      </c>
      <c r="EO6">
        <v>866472</v>
      </c>
      <c r="EP6" t="s">
        <v>2719</v>
      </c>
      <c r="EU6" t="s">
        <v>3820</v>
      </c>
      <c r="EV6" t="s">
        <v>1598</v>
      </c>
      <c r="EW6">
        <v>2.5734720000000002</v>
      </c>
      <c r="EX6">
        <v>6.5550290000000002</v>
      </c>
      <c r="EY6" t="s">
        <v>1603</v>
      </c>
      <c r="EZ6">
        <v>2025</v>
      </c>
      <c r="FA6" t="s">
        <v>3821</v>
      </c>
      <c r="FB6" s="6">
        <v>45849</v>
      </c>
      <c r="FC6">
        <v>5</v>
      </c>
      <c r="FD6">
        <v>73285224</v>
      </c>
      <c r="FE6">
        <v>102595</v>
      </c>
      <c r="FF6" t="s">
        <v>3822</v>
      </c>
      <c r="FI6" t="s">
        <v>1848</v>
      </c>
      <c r="FJ6">
        <v>-2.4245362661989844E-14</v>
      </c>
      <c r="FL6">
        <v>-2.4245362661989844E-14</v>
      </c>
      <c r="FM6" t="s">
        <v>1594</v>
      </c>
      <c r="FN6">
        <v>2021</v>
      </c>
      <c r="FO6" t="s">
        <v>3689</v>
      </c>
      <c r="FP6" s="6">
        <v>44693</v>
      </c>
      <c r="FQ6">
        <v>5</v>
      </c>
      <c r="FR6">
        <v>-2.4245362661989844E-14</v>
      </c>
      <c r="FS6">
        <v>9288162</v>
      </c>
      <c r="FT6" t="s">
        <v>1850</v>
      </c>
      <c r="FY6" t="s">
        <v>2582</v>
      </c>
      <c r="FZ6" t="s">
        <v>1598</v>
      </c>
      <c r="GA6">
        <v>2.9053209999999998</v>
      </c>
      <c r="GB6">
        <v>8.9932630000000007</v>
      </c>
      <c r="GC6" t="s">
        <v>1606</v>
      </c>
      <c r="GD6">
        <v>2024</v>
      </c>
      <c r="GE6" t="s">
        <v>3144</v>
      </c>
      <c r="GF6" s="6">
        <v>45741</v>
      </c>
      <c r="GG6">
        <v>5</v>
      </c>
      <c r="GH6">
        <v>779959532.52999997</v>
      </c>
      <c r="GI6">
        <v>153737</v>
      </c>
      <c r="GJ6" t="s">
        <v>2584</v>
      </c>
      <c r="GM6" t="s">
        <v>173</v>
      </c>
      <c r="GN6">
        <v>12.003353000000001</v>
      </c>
      <c r="GO6" t="s">
        <v>1598</v>
      </c>
      <c r="GP6">
        <v>14.056165999999999</v>
      </c>
      <c r="GQ6" t="s">
        <v>1606</v>
      </c>
      <c r="GR6">
        <v>2025</v>
      </c>
      <c r="GS6" t="s">
        <v>2228</v>
      </c>
      <c r="GT6" s="6">
        <v>46048</v>
      </c>
      <c r="GU6">
        <v>5</v>
      </c>
      <c r="GV6">
        <v>1641338496</v>
      </c>
      <c r="GW6">
        <v>100732</v>
      </c>
      <c r="GX6" t="s">
        <v>1869</v>
      </c>
      <c r="HC6" t="s">
        <v>4845</v>
      </c>
      <c r="HD6" t="s">
        <v>1598</v>
      </c>
      <c r="HE6">
        <v>80.210266000000004</v>
      </c>
      <c r="HF6">
        <v>1.08311</v>
      </c>
      <c r="HG6" t="s">
        <v>1594</v>
      </c>
      <c r="HH6">
        <v>2024</v>
      </c>
      <c r="HI6" t="s">
        <v>4846</v>
      </c>
      <c r="HJ6" s="6">
        <v>45814</v>
      </c>
      <c r="HK6">
        <v>5</v>
      </c>
      <c r="HL6">
        <v>21901014.34</v>
      </c>
      <c r="HM6">
        <v>8073030</v>
      </c>
      <c r="HN6" t="s">
        <v>4847</v>
      </c>
      <c r="HQ6" t="s">
        <v>2693</v>
      </c>
      <c r="HR6">
        <v>12.685537</v>
      </c>
      <c r="HS6" t="s">
        <v>1634</v>
      </c>
      <c r="HT6">
        <v>1.7898449999999999</v>
      </c>
      <c r="HU6" t="s">
        <v>1664</v>
      </c>
      <c r="HV6">
        <v>2026</v>
      </c>
      <c r="HW6" t="s">
        <v>3356</v>
      </c>
      <c r="HX6" s="6">
        <v>46059</v>
      </c>
      <c r="HY6">
        <v>5</v>
      </c>
      <c r="HZ6">
        <v>382722656</v>
      </c>
      <c r="IA6">
        <v>11092218</v>
      </c>
      <c r="IB6" t="s">
        <v>2694</v>
      </c>
      <c r="IG6" t="s">
        <v>2582</v>
      </c>
      <c r="IH6" t="s">
        <v>1598</v>
      </c>
      <c r="II6">
        <v>2.9053209999999998</v>
      </c>
      <c r="IJ6">
        <v>8.9932630000000007</v>
      </c>
      <c r="IK6" t="s">
        <v>1606</v>
      </c>
      <c r="IL6">
        <v>2024</v>
      </c>
      <c r="IM6" t="s">
        <v>3144</v>
      </c>
      <c r="IN6" s="6">
        <v>45741</v>
      </c>
      <c r="IO6">
        <v>5</v>
      </c>
      <c r="IP6">
        <v>779959532.52999997</v>
      </c>
      <c r="IQ6">
        <v>153737</v>
      </c>
      <c r="IR6" t="s">
        <v>2584</v>
      </c>
      <c r="IU6" t="s">
        <v>173</v>
      </c>
      <c r="IV6">
        <v>12.003353000000001</v>
      </c>
      <c r="IW6" t="s">
        <v>1598</v>
      </c>
      <c r="IX6">
        <v>14.056165999999999</v>
      </c>
      <c r="IY6" t="s">
        <v>1606</v>
      </c>
      <c r="IZ6">
        <v>2025</v>
      </c>
      <c r="JA6" t="s">
        <v>2228</v>
      </c>
      <c r="JB6" s="6">
        <v>46048</v>
      </c>
      <c r="JC6">
        <v>5</v>
      </c>
      <c r="JD6">
        <v>1641338496</v>
      </c>
      <c r="JE6">
        <v>100732</v>
      </c>
      <c r="JF6" t="s">
        <v>1869</v>
      </c>
      <c r="KO6" t="s">
        <v>2003</v>
      </c>
      <c r="KP6" t="s">
        <v>1634</v>
      </c>
      <c r="KQ6">
        <v>4.1180000000000001E-2</v>
      </c>
      <c r="KR6">
        <v>13.423301</v>
      </c>
      <c r="KS6" t="s">
        <v>1606</v>
      </c>
      <c r="KT6">
        <v>2026</v>
      </c>
      <c r="KU6" t="s">
        <v>2004</v>
      </c>
      <c r="KV6" s="6">
        <v>46087</v>
      </c>
      <c r="KW6">
        <v>5</v>
      </c>
      <c r="KX6">
        <v>28054700</v>
      </c>
      <c r="KY6">
        <v>313657</v>
      </c>
      <c r="KZ6" t="s">
        <v>2005</v>
      </c>
      <c r="LC6" t="s">
        <v>117</v>
      </c>
      <c r="LD6">
        <v>0.84484700000000001</v>
      </c>
      <c r="LE6" t="s">
        <v>1598</v>
      </c>
      <c r="LF6">
        <v>1.296859</v>
      </c>
      <c r="LG6" t="s">
        <v>1603</v>
      </c>
      <c r="LH6">
        <v>2025</v>
      </c>
      <c r="LI6" t="s">
        <v>1744</v>
      </c>
      <c r="LJ6" s="6">
        <v>45797</v>
      </c>
      <c r="LK6">
        <v>5</v>
      </c>
      <c r="LL6">
        <v>84425520</v>
      </c>
      <c r="LM6">
        <v>100801</v>
      </c>
      <c r="LN6" t="s">
        <v>1745</v>
      </c>
      <c r="MW6" t="s">
        <v>240</v>
      </c>
      <c r="MX6" t="s">
        <v>1598</v>
      </c>
      <c r="MY6">
        <v>20.476745999999999</v>
      </c>
      <c r="MZ6">
        <v>6.636412</v>
      </c>
      <c r="NA6" t="s">
        <v>1599</v>
      </c>
      <c r="NB6">
        <v>2025</v>
      </c>
      <c r="NC6" t="s">
        <v>2219</v>
      </c>
      <c r="ND6" s="6">
        <v>46018</v>
      </c>
      <c r="NE6">
        <v>5</v>
      </c>
      <c r="NF6">
        <v>4912985600</v>
      </c>
      <c r="NG6">
        <v>100828</v>
      </c>
      <c r="NH6" t="s">
        <v>1865</v>
      </c>
      <c r="NK6" t="s">
        <v>1663</v>
      </c>
      <c r="NL6">
        <v>7.8761299999999999</v>
      </c>
      <c r="NM6" t="s">
        <v>1598</v>
      </c>
      <c r="NN6">
        <v>4.5818329999999996</v>
      </c>
      <c r="NO6" t="s">
        <v>1603</v>
      </c>
      <c r="NP6">
        <v>2026</v>
      </c>
      <c r="NQ6" t="s">
        <v>2432</v>
      </c>
      <c r="NR6" s="6">
        <v>45953</v>
      </c>
      <c r="NS6">
        <v>5</v>
      </c>
      <c r="NT6">
        <v>6083345408</v>
      </c>
      <c r="NU6">
        <v>101616</v>
      </c>
      <c r="NV6" t="s">
        <v>1666</v>
      </c>
      <c r="PE6" t="s">
        <v>2559</v>
      </c>
      <c r="PF6" t="s">
        <v>1598</v>
      </c>
      <c r="PG6">
        <v>0.147895</v>
      </c>
      <c r="PH6">
        <v>0.47978500000000002</v>
      </c>
      <c r="PI6" t="s">
        <v>1599</v>
      </c>
      <c r="PJ6">
        <v>2025</v>
      </c>
      <c r="PK6" t="s">
        <v>2560</v>
      </c>
      <c r="PL6" s="6">
        <v>45867</v>
      </c>
      <c r="PM6">
        <v>5</v>
      </c>
      <c r="PN6">
        <v>11577221</v>
      </c>
      <c r="PO6">
        <v>117092</v>
      </c>
      <c r="PP6" t="s">
        <v>2561</v>
      </c>
      <c r="PS6" t="s">
        <v>1700</v>
      </c>
      <c r="PT6">
        <v>0.22051499999999999</v>
      </c>
      <c r="PU6" t="s">
        <v>1598</v>
      </c>
      <c r="PV6">
        <v>9.3169000000000002E-2</v>
      </c>
      <c r="PW6" t="s">
        <v>1606</v>
      </c>
      <c r="PX6">
        <v>2025</v>
      </c>
      <c r="PY6" t="s">
        <v>1701</v>
      </c>
      <c r="PZ6" s="6">
        <v>46056</v>
      </c>
      <c r="QA6">
        <v>5</v>
      </c>
      <c r="QB6">
        <v>15078834</v>
      </c>
      <c r="QC6">
        <v>1499717</v>
      </c>
      <c r="QD6" t="s">
        <v>1702</v>
      </c>
      <c r="QI6" t="s">
        <v>2182</v>
      </c>
      <c r="QJ6" t="s">
        <v>1598</v>
      </c>
      <c r="QK6">
        <v>2.205819</v>
      </c>
      <c r="QL6">
        <v>0.66992200000000002</v>
      </c>
      <c r="QM6" t="s">
        <v>1664</v>
      </c>
      <c r="QN6">
        <v>2026</v>
      </c>
      <c r="QO6" t="s">
        <v>2183</v>
      </c>
      <c r="QP6" s="6">
        <v>46017</v>
      </c>
      <c r="QQ6">
        <v>5</v>
      </c>
      <c r="QR6">
        <v>56247939.43</v>
      </c>
      <c r="QS6">
        <v>113796</v>
      </c>
      <c r="QT6" t="s">
        <v>2184</v>
      </c>
      <c r="QW6" t="s">
        <v>1628</v>
      </c>
      <c r="QX6">
        <v>1.0381830000000001</v>
      </c>
      <c r="QY6" t="s">
        <v>1598</v>
      </c>
      <c r="QZ6">
        <v>0.65061599999999997</v>
      </c>
      <c r="RA6" t="s">
        <v>1599</v>
      </c>
      <c r="RB6">
        <v>2025</v>
      </c>
      <c r="RC6" t="s">
        <v>1629</v>
      </c>
      <c r="RD6" s="6">
        <v>45964</v>
      </c>
      <c r="RE6">
        <v>5</v>
      </c>
      <c r="RF6">
        <v>106499408</v>
      </c>
      <c r="RG6">
        <v>156923</v>
      </c>
      <c r="RH6" t="s">
        <v>1630</v>
      </c>
      <c r="RM6" t="s">
        <v>3820</v>
      </c>
      <c r="RN6" t="s">
        <v>1598</v>
      </c>
      <c r="RO6">
        <v>5.3509349999999998</v>
      </c>
      <c r="RP6">
        <v>6.1617280000000001</v>
      </c>
      <c r="RQ6" t="s">
        <v>1603</v>
      </c>
      <c r="RR6">
        <v>2025</v>
      </c>
      <c r="RS6" t="s">
        <v>3821</v>
      </c>
      <c r="RT6" s="6">
        <v>45849</v>
      </c>
      <c r="RU6">
        <v>5</v>
      </c>
      <c r="RV6">
        <v>152379536</v>
      </c>
      <c r="RW6">
        <v>102595</v>
      </c>
      <c r="RX6" t="s">
        <v>3822</v>
      </c>
      <c r="SA6" t="s">
        <v>2032</v>
      </c>
      <c r="SB6">
        <v>-2.4245362661989844E-14</v>
      </c>
      <c r="SD6">
        <v>-2.4245362661989844E-14</v>
      </c>
      <c r="SE6" t="s">
        <v>1594</v>
      </c>
      <c r="SF6">
        <v>2021</v>
      </c>
      <c r="SG6" t="s">
        <v>4240</v>
      </c>
      <c r="SH6" s="6">
        <v>44693</v>
      </c>
      <c r="SI6">
        <v>5</v>
      </c>
      <c r="SJ6">
        <v>-2.4245362661989844E-14</v>
      </c>
      <c r="SK6">
        <v>128990</v>
      </c>
      <c r="SL6" t="s">
        <v>2034</v>
      </c>
      <c r="SQ6" t="s">
        <v>143</v>
      </c>
      <c r="SR6" t="s">
        <v>1598</v>
      </c>
      <c r="SS6">
        <v>0.22900000000000001</v>
      </c>
      <c r="ST6">
        <v>1.2800659999999999</v>
      </c>
      <c r="SU6" t="s">
        <v>1606</v>
      </c>
      <c r="SV6">
        <v>2025</v>
      </c>
      <c r="SW6" t="s">
        <v>2251</v>
      </c>
      <c r="SX6" s="6">
        <v>45848</v>
      </c>
      <c r="SY6">
        <v>5</v>
      </c>
      <c r="SZ6">
        <v>36417872</v>
      </c>
      <c r="TA6">
        <v>101752</v>
      </c>
      <c r="TB6" t="s">
        <v>2265</v>
      </c>
      <c r="TE6" t="s">
        <v>959</v>
      </c>
      <c r="TF6">
        <v>16</v>
      </c>
      <c r="TG6" t="s">
        <v>1598</v>
      </c>
      <c r="TH6">
        <v>3.190922</v>
      </c>
      <c r="TI6" t="s">
        <v>1594</v>
      </c>
      <c r="TJ6">
        <v>2025</v>
      </c>
      <c r="TK6" t="s">
        <v>2824</v>
      </c>
      <c r="TL6" s="6">
        <v>46079</v>
      </c>
      <c r="TM6">
        <v>5</v>
      </c>
      <c r="TN6">
        <v>2503160064</v>
      </c>
      <c r="TO6">
        <v>156969</v>
      </c>
      <c r="TP6" t="s">
        <v>1767</v>
      </c>
      <c r="TU6" t="s">
        <v>2298</v>
      </c>
      <c r="TV6" t="s">
        <v>1598</v>
      </c>
      <c r="TW6">
        <v>3.3007000000000002E-2</v>
      </c>
      <c r="TX6">
        <v>6.9973999999999995E-2</v>
      </c>
      <c r="TY6" t="s">
        <v>1599</v>
      </c>
      <c r="TZ6">
        <v>2025</v>
      </c>
      <c r="UA6" t="s">
        <v>2299</v>
      </c>
      <c r="UB6" s="6">
        <v>45993</v>
      </c>
      <c r="UC6">
        <v>5</v>
      </c>
      <c r="UD6">
        <v>1183961</v>
      </c>
      <c r="UE6">
        <v>100415</v>
      </c>
      <c r="UF6" t="s">
        <v>2300</v>
      </c>
      <c r="UI6" t="s">
        <v>2550</v>
      </c>
      <c r="UJ6">
        <v>-2.4245362661989844E-14</v>
      </c>
      <c r="UL6">
        <v>-2.4245362661989844E-14</v>
      </c>
      <c r="UM6" t="s">
        <v>1594</v>
      </c>
      <c r="UN6">
        <v>2023</v>
      </c>
      <c r="UO6" t="s">
        <v>2551</v>
      </c>
      <c r="UP6" s="6">
        <v>45337</v>
      </c>
      <c r="UQ6">
        <v>3</v>
      </c>
      <c r="UR6">
        <v>-2.4245362661989844E-14</v>
      </c>
      <c r="US6">
        <v>17312199</v>
      </c>
      <c r="UT6" t="s">
        <v>2552</v>
      </c>
      <c r="UY6" t="s">
        <v>3050</v>
      </c>
      <c r="UZ6" t="s">
        <v>1634</v>
      </c>
      <c r="VA6">
        <v>1.6036999999999999E-2</v>
      </c>
      <c r="VB6">
        <v>0.55282200000000004</v>
      </c>
      <c r="VC6" t="s">
        <v>1603</v>
      </c>
      <c r="VD6">
        <v>2026</v>
      </c>
      <c r="VE6" t="s">
        <v>3051</v>
      </c>
      <c r="VF6" s="6">
        <v>46049</v>
      </c>
      <c r="VG6">
        <v>5</v>
      </c>
      <c r="VH6">
        <v>49754</v>
      </c>
      <c r="VI6">
        <v>386537</v>
      </c>
      <c r="VJ6" t="s">
        <v>3052</v>
      </c>
      <c r="VM6" t="s">
        <v>1700</v>
      </c>
      <c r="VN6">
        <v>1.134592</v>
      </c>
      <c r="VO6" t="s">
        <v>1598</v>
      </c>
      <c r="VP6">
        <v>8.5527000000000006E-2</v>
      </c>
      <c r="VQ6" t="s">
        <v>1606</v>
      </c>
      <c r="VR6">
        <v>2025</v>
      </c>
      <c r="VS6" t="s">
        <v>1701</v>
      </c>
      <c r="VT6" s="6">
        <v>46056</v>
      </c>
      <c r="VU6">
        <v>5</v>
      </c>
      <c r="VV6">
        <v>13842023</v>
      </c>
      <c r="VW6">
        <v>1499717</v>
      </c>
      <c r="VX6" t="s">
        <v>1702</v>
      </c>
    </row>
    <row r="7" spans="1:600" x14ac:dyDescent="0.25">
      <c r="A7" t="s">
        <v>3845</v>
      </c>
      <c r="B7" t="s">
        <v>1598</v>
      </c>
      <c r="C7">
        <v>12</v>
      </c>
      <c r="D7">
        <v>1.9302889999999999</v>
      </c>
      <c r="E7" t="s">
        <v>1594</v>
      </c>
      <c r="F7">
        <v>2025</v>
      </c>
      <c r="G7" t="s">
        <v>3846</v>
      </c>
      <c r="H7" s="6">
        <v>46044</v>
      </c>
      <c r="I7">
        <v>5</v>
      </c>
      <c r="J7">
        <v>205208992</v>
      </c>
      <c r="K7">
        <v>101739</v>
      </c>
      <c r="L7" t="s">
        <v>3847</v>
      </c>
      <c r="O7" t="s">
        <v>303</v>
      </c>
      <c r="P7">
        <v>4.6584729999999999</v>
      </c>
      <c r="Q7" t="s">
        <v>1598</v>
      </c>
      <c r="R7">
        <v>1.3897170000000001</v>
      </c>
      <c r="S7" t="s">
        <v>1664</v>
      </c>
      <c r="T7">
        <v>2025</v>
      </c>
      <c r="U7" t="s">
        <v>2827</v>
      </c>
      <c r="V7" s="6">
        <v>45855</v>
      </c>
      <c r="W7">
        <v>5</v>
      </c>
      <c r="X7">
        <v>1069748416</v>
      </c>
      <c r="Y7">
        <v>216952</v>
      </c>
      <c r="Z7" t="s">
        <v>1631</v>
      </c>
      <c r="AE7" t="s">
        <v>656</v>
      </c>
      <c r="AF7" t="s">
        <v>1685</v>
      </c>
      <c r="AG7">
        <v>0.56072500000000003</v>
      </c>
      <c r="AH7">
        <v>1.5883999999999999E-2</v>
      </c>
      <c r="AI7" t="s">
        <v>1594</v>
      </c>
      <c r="AJ7">
        <v>2025</v>
      </c>
      <c r="AK7" t="s">
        <v>4166</v>
      </c>
      <c r="AL7" s="6">
        <v>46066</v>
      </c>
      <c r="AM7">
        <v>5</v>
      </c>
      <c r="AN7">
        <v>2177750</v>
      </c>
      <c r="AO7">
        <v>126273</v>
      </c>
      <c r="AP7" t="s">
        <v>4167</v>
      </c>
      <c r="AS7" t="s">
        <v>2858</v>
      </c>
      <c r="AT7">
        <v>-2.4245362661989844E-14</v>
      </c>
      <c r="AV7">
        <v>-2.4245362661989844E-14</v>
      </c>
      <c r="AW7" t="s">
        <v>1603</v>
      </c>
      <c r="AX7">
        <v>2025</v>
      </c>
      <c r="AY7" t="s">
        <v>5125</v>
      </c>
      <c r="AZ7" s="6">
        <v>45799</v>
      </c>
      <c r="BA7">
        <v>5</v>
      </c>
      <c r="BB7">
        <v>-2.4245362661989844E-14</v>
      </c>
      <c r="BC7">
        <v>313021</v>
      </c>
      <c r="BD7" t="s">
        <v>2860</v>
      </c>
      <c r="BI7" t="s">
        <v>620</v>
      </c>
      <c r="BJ7" t="s">
        <v>1598</v>
      </c>
      <c r="BK7">
        <v>0.69203999999999999</v>
      </c>
      <c r="BL7">
        <v>4.3590999999999998E-2</v>
      </c>
      <c r="BM7" t="s">
        <v>1664</v>
      </c>
      <c r="BN7">
        <v>2025</v>
      </c>
      <c r="BO7" t="s">
        <v>2970</v>
      </c>
      <c r="BP7" s="6">
        <v>45891</v>
      </c>
      <c r="BQ7">
        <v>5</v>
      </c>
      <c r="BR7">
        <v>18307918</v>
      </c>
      <c r="BS7">
        <v>104597</v>
      </c>
      <c r="BT7" t="s">
        <v>2971</v>
      </c>
      <c r="BW7" t="s">
        <v>2815</v>
      </c>
      <c r="BX7">
        <v>-2.4245362661989844E-14</v>
      </c>
      <c r="BZ7">
        <v>-2.4245362661989844E-14</v>
      </c>
      <c r="CA7" t="s">
        <v>1594</v>
      </c>
      <c r="CB7">
        <v>2022</v>
      </c>
      <c r="CC7" t="s">
        <v>2816</v>
      </c>
      <c r="CD7" s="6">
        <v>45008</v>
      </c>
      <c r="CE7">
        <v>5</v>
      </c>
      <c r="CF7">
        <v>-2.4245362661989844E-14</v>
      </c>
      <c r="CG7">
        <v>11533366</v>
      </c>
      <c r="CH7" t="s">
        <v>2817</v>
      </c>
      <c r="CM7" t="s">
        <v>5710</v>
      </c>
      <c r="CO7">
        <v>-2.4245362661989844E-14</v>
      </c>
      <c r="CP7">
        <v>-2.4245362661989844E-14</v>
      </c>
      <c r="CQ7" t="s">
        <v>1594</v>
      </c>
      <c r="CR7">
        <v>2024</v>
      </c>
      <c r="CS7" t="s">
        <v>5711</v>
      </c>
      <c r="CT7" s="6">
        <v>45769</v>
      </c>
      <c r="CU7">
        <v>5</v>
      </c>
      <c r="CV7">
        <v>-2.4245362661989844E-14</v>
      </c>
      <c r="CW7">
        <v>1456451</v>
      </c>
      <c r="CX7" t="s">
        <v>5712</v>
      </c>
      <c r="DA7" t="s">
        <v>4162</v>
      </c>
      <c r="DB7">
        <v>-2.4245362661989844E-14</v>
      </c>
      <c r="DD7">
        <v>-2.4245362661989844E-14</v>
      </c>
      <c r="DE7" t="s">
        <v>1594</v>
      </c>
      <c r="DF7">
        <v>2024</v>
      </c>
      <c r="DG7" t="s">
        <v>5408</v>
      </c>
      <c r="DH7" s="6">
        <v>45733</v>
      </c>
      <c r="DI7">
        <v>4</v>
      </c>
      <c r="DJ7">
        <v>-2.4245362661989844E-14</v>
      </c>
      <c r="DK7">
        <v>1183488</v>
      </c>
      <c r="DL7" t="s">
        <v>4164</v>
      </c>
      <c r="DQ7" t="s">
        <v>3085</v>
      </c>
      <c r="DR7" t="s">
        <v>1685</v>
      </c>
      <c r="DS7">
        <v>1.1211519999999999</v>
      </c>
      <c r="DT7">
        <v>2.7816E-2</v>
      </c>
      <c r="DU7" t="s">
        <v>1594</v>
      </c>
      <c r="DV7">
        <v>2024</v>
      </c>
      <c r="DW7" t="s">
        <v>3086</v>
      </c>
      <c r="DX7" s="6">
        <v>45702</v>
      </c>
      <c r="DY7">
        <v>5</v>
      </c>
      <c r="DZ7">
        <v>2764979.25</v>
      </c>
      <c r="EA7">
        <v>10858737</v>
      </c>
      <c r="EB7" t="s">
        <v>3087</v>
      </c>
      <c r="EE7" t="s">
        <v>2720</v>
      </c>
      <c r="EF7">
        <v>-2.4245362661989844E-14</v>
      </c>
      <c r="EH7">
        <v>-2.4245362661989844E-14</v>
      </c>
      <c r="EI7" t="s">
        <v>1594</v>
      </c>
      <c r="EJ7">
        <v>2025</v>
      </c>
      <c r="EK7" t="s">
        <v>2721</v>
      </c>
      <c r="EL7" s="6">
        <v>45828</v>
      </c>
      <c r="EM7">
        <v>5</v>
      </c>
      <c r="EN7">
        <v>-2.4245362661989844E-14</v>
      </c>
      <c r="EO7">
        <v>154065</v>
      </c>
      <c r="EP7" t="s">
        <v>2722</v>
      </c>
      <c r="EU7" t="s">
        <v>3823</v>
      </c>
      <c r="EV7" t="s">
        <v>1634</v>
      </c>
      <c r="EW7">
        <v>0.95882900000000004</v>
      </c>
      <c r="EX7">
        <v>1.568192</v>
      </c>
      <c r="EY7" t="s">
        <v>1599</v>
      </c>
      <c r="EZ7">
        <v>2025</v>
      </c>
      <c r="FA7" t="s">
        <v>3824</v>
      </c>
      <c r="FB7" s="6">
        <v>46013</v>
      </c>
      <c r="FC7">
        <v>5</v>
      </c>
      <c r="FD7">
        <v>47697634.200000003</v>
      </c>
      <c r="FE7">
        <v>11796370</v>
      </c>
      <c r="FF7" t="s">
        <v>3825</v>
      </c>
      <c r="FI7" t="s">
        <v>3691</v>
      </c>
      <c r="FJ7">
        <v>-2.4245362661989844E-14</v>
      </c>
      <c r="FL7">
        <v>-2.4245362661989844E-14</v>
      </c>
      <c r="FM7" t="s">
        <v>1594</v>
      </c>
      <c r="FN7">
        <v>2021</v>
      </c>
      <c r="FO7" t="s">
        <v>3689</v>
      </c>
      <c r="FP7" s="6">
        <v>44693</v>
      </c>
      <c r="FQ7">
        <v>5</v>
      </c>
      <c r="FR7">
        <v>-2.4245362661989844E-14</v>
      </c>
      <c r="FS7">
        <v>129208</v>
      </c>
      <c r="FT7" t="s">
        <v>3692</v>
      </c>
      <c r="FY7" t="s">
        <v>2587</v>
      </c>
      <c r="FZ7" t="s">
        <v>1598</v>
      </c>
      <c r="GA7">
        <v>1.4676359999999999</v>
      </c>
      <c r="GB7">
        <v>2.8381699999999999</v>
      </c>
      <c r="GC7" t="s">
        <v>1599</v>
      </c>
      <c r="GD7">
        <v>2025</v>
      </c>
      <c r="GE7" t="s">
        <v>3857</v>
      </c>
      <c r="GF7" s="6">
        <v>46080</v>
      </c>
      <c r="GG7">
        <v>5</v>
      </c>
      <c r="GH7">
        <v>258849259.34</v>
      </c>
      <c r="GI7">
        <v>193974</v>
      </c>
      <c r="GJ7" t="s">
        <v>2588</v>
      </c>
      <c r="GM7" t="s">
        <v>3659</v>
      </c>
      <c r="GN7">
        <v>12.001497000000001</v>
      </c>
      <c r="GO7" t="s">
        <v>1598</v>
      </c>
      <c r="GP7">
        <v>9.4830839999999998</v>
      </c>
      <c r="GQ7" t="s">
        <v>1606</v>
      </c>
      <c r="GR7">
        <v>2025</v>
      </c>
      <c r="GS7" t="s">
        <v>2228</v>
      </c>
      <c r="GT7" s="6">
        <v>46048</v>
      </c>
      <c r="GU7">
        <v>5</v>
      </c>
      <c r="GV7">
        <v>1641084672</v>
      </c>
      <c r="GW7">
        <v>130929</v>
      </c>
      <c r="GX7" t="s">
        <v>3661</v>
      </c>
      <c r="HC7" t="s">
        <v>4848</v>
      </c>
      <c r="HD7" t="s">
        <v>1598</v>
      </c>
      <c r="HE7">
        <v>20.6</v>
      </c>
      <c r="HF7">
        <v>0.94862400000000002</v>
      </c>
      <c r="HG7" t="s">
        <v>1594</v>
      </c>
      <c r="HH7">
        <v>2025</v>
      </c>
      <c r="HI7" t="s">
        <v>4849</v>
      </c>
      <c r="HJ7" s="6">
        <v>45833</v>
      </c>
      <c r="HK7">
        <v>5</v>
      </c>
      <c r="HL7">
        <v>21617424.309999999</v>
      </c>
      <c r="HM7">
        <v>114824</v>
      </c>
      <c r="HN7" t="s">
        <v>4850</v>
      </c>
      <c r="HQ7" t="s">
        <v>178</v>
      </c>
      <c r="HR7">
        <v>12.397100999999999</v>
      </c>
      <c r="HS7" t="s">
        <v>1634</v>
      </c>
      <c r="HT7">
        <v>1.2519100000000001</v>
      </c>
      <c r="HU7" t="s">
        <v>1664</v>
      </c>
      <c r="HV7">
        <v>2026</v>
      </c>
      <c r="HW7" t="s">
        <v>3356</v>
      </c>
      <c r="HX7" s="6">
        <v>46059</v>
      </c>
      <c r="HY7">
        <v>5</v>
      </c>
      <c r="HZ7">
        <v>374020544</v>
      </c>
      <c r="IA7">
        <v>101743</v>
      </c>
      <c r="IB7" t="s">
        <v>1736</v>
      </c>
      <c r="IG7" t="s">
        <v>2587</v>
      </c>
      <c r="IH7" t="s">
        <v>1598</v>
      </c>
      <c r="II7">
        <v>1.4676359999999999</v>
      </c>
      <c r="IJ7">
        <v>2.8381699999999999</v>
      </c>
      <c r="IK7" t="s">
        <v>1599</v>
      </c>
      <c r="IL7">
        <v>2025</v>
      </c>
      <c r="IM7" t="s">
        <v>3857</v>
      </c>
      <c r="IN7" s="6">
        <v>46080</v>
      </c>
      <c r="IO7">
        <v>5</v>
      </c>
      <c r="IP7">
        <v>258849259.34</v>
      </c>
      <c r="IQ7">
        <v>193974</v>
      </c>
      <c r="IR7" t="s">
        <v>2588</v>
      </c>
      <c r="IU7" t="s">
        <v>3659</v>
      </c>
      <c r="IV7">
        <v>12.001497000000001</v>
      </c>
      <c r="IW7" t="s">
        <v>1598</v>
      </c>
      <c r="IX7">
        <v>9.4830839999999998</v>
      </c>
      <c r="IY7" t="s">
        <v>1606</v>
      </c>
      <c r="IZ7">
        <v>2025</v>
      </c>
      <c r="JA7" t="s">
        <v>2228</v>
      </c>
      <c r="JB7" s="6">
        <v>46048</v>
      </c>
      <c r="JC7">
        <v>5</v>
      </c>
      <c r="JD7">
        <v>1641084672</v>
      </c>
      <c r="JE7">
        <v>130929</v>
      </c>
      <c r="JF7" t="s">
        <v>3661</v>
      </c>
      <c r="KO7" t="s">
        <v>117</v>
      </c>
      <c r="KP7" t="s">
        <v>1598</v>
      </c>
      <c r="KQ7">
        <v>0.16295799999999999</v>
      </c>
      <c r="KR7">
        <v>1.068819</v>
      </c>
      <c r="KS7" t="s">
        <v>1603</v>
      </c>
      <c r="KT7">
        <v>2025</v>
      </c>
      <c r="KU7" t="s">
        <v>1744</v>
      </c>
      <c r="KV7" s="6">
        <v>45797</v>
      </c>
      <c r="KW7">
        <v>5</v>
      </c>
      <c r="KX7">
        <v>23695724</v>
      </c>
      <c r="KY7">
        <v>100801</v>
      </c>
      <c r="KZ7" t="s">
        <v>1745</v>
      </c>
      <c r="LC7" t="s">
        <v>2796</v>
      </c>
      <c r="LD7">
        <v>0.41590500000000002</v>
      </c>
      <c r="LE7" t="s">
        <v>1598</v>
      </c>
      <c r="LF7">
        <v>0.224246</v>
      </c>
      <c r="LG7" t="s">
        <v>1603</v>
      </c>
      <c r="LH7">
        <v>2026</v>
      </c>
      <c r="LI7" t="s">
        <v>2797</v>
      </c>
      <c r="LJ7" s="6">
        <v>45973</v>
      </c>
      <c r="LK7">
        <v>5</v>
      </c>
      <c r="LL7">
        <v>42314193.82</v>
      </c>
      <c r="LM7">
        <v>16857643</v>
      </c>
      <c r="LN7" t="s">
        <v>2798</v>
      </c>
      <c r="MW7" t="s">
        <v>23</v>
      </c>
      <c r="MX7" t="s">
        <v>1598</v>
      </c>
      <c r="MY7">
        <v>36</v>
      </c>
      <c r="MZ7">
        <v>4.5203889999999998</v>
      </c>
      <c r="NA7" t="s">
        <v>1594</v>
      </c>
      <c r="NB7">
        <v>2025</v>
      </c>
      <c r="NC7" t="s">
        <v>1765</v>
      </c>
      <c r="ND7" s="6">
        <v>46064</v>
      </c>
      <c r="NE7">
        <v>5</v>
      </c>
      <c r="NF7">
        <v>4337460224</v>
      </c>
      <c r="NG7">
        <v>100225</v>
      </c>
      <c r="NH7" t="s">
        <v>2222</v>
      </c>
      <c r="NK7" t="s">
        <v>1821</v>
      </c>
      <c r="NL7">
        <v>4.2240000000000002</v>
      </c>
      <c r="NN7">
        <v>-2.4245362661989844E-14</v>
      </c>
      <c r="NO7" t="s">
        <v>1603</v>
      </c>
      <c r="NP7">
        <v>2026</v>
      </c>
      <c r="NQ7" t="s">
        <v>2432</v>
      </c>
      <c r="NR7" s="6">
        <v>45953</v>
      </c>
      <c r="NS7">
        <v>5</v>
      </c>
      <c r="NT7">
        <v>3262522624</v>
      </c>
      <c r="NU7">
        <v>48003505</v>
      </c>
      <c r="NV7" t="s">
        <v>1823</v>
      </c>
      <c r="PE7" t="s">
        <v>205</v>
      </c>
      <c r="PF7" t="s">
        <v>1598</v>
      </c>
      <c r="PG7">
        <v>0.32230900000000001</v>
      </c>
      <c r="PH7">
        <v>0.38473400000000002</v>
      </c>
      <c r="PI7" t="s">
        <v>1599</v>
      </c>
      <c r="PJ7">
        <v>2025</v>
      </c>
      <c r="PK7" t="s">
        <v>2562</v>
      </c>
      <c r="PL7" s="6">
        <v>45891</v>
      </c>
      <c r="PM7">
        <v>5</v>
      </c>
      <c r="PN7">
        <v>9283621</v>
      </c>
      <c r="PO7">
        <v>100097</v>
      </c>
      <c r="PP7" t="s">
        <v>2563</v>
      </c>
      <c r="PS7" t="s">
        <v>1703</v>
      </c>
      <c r="PT7">
        <v>8.1423999999999996E-2</v>
      </c>
      <c r="PU7" t="s">
        <v>1598</v>
      </c>
      <c r="PV7">
        <v>0.194387</v>
      </c>
      <c r="PW7" t="s">
        <v>1599</v>
      </c>
      <c r="PX7">
        <v>2025</v>
      </c>
      <c r="PY7" t="s">
        <v>1704</v>
      </c>
      <c r="PZ7" s="6">
        <v>45694</v>
      </c>
      <c r="QA7">
        <v>5</v>
      </c>
      <c r="QB7">
        <v>5430637.3600000003</v>
      </c>
      <c r="QC7">
        <v>111827</v>
      </c>
      <c r="QD7" t="s">
        <v>1705</v>
      </c>
      <c r="QI7" t="s">
        <v>2185</v>
      </c>
      <c r="QJ7" t="s">
        <v>1598</v>
      </c>
      <c r="QK7">
        <v>6.9616020000000001</v>
      </c>
      <c r="QL7">
        <v>0.64157799999999998</v>
      </c>
      <c r="QM7" t="s">
        <v>1599</v>
      </c>
      <c r="QN7">
        <v>2025</v>
      </c>
      <c r="QO7" t="s">
        <v>2186</v>
      </c>
      <c r="QP7" s="6">
        <v>46001</v>
      </c>
      <c r="QQ7">
        <v>5</v>
      </c>
      <c r="QR7">
        <v>52402484</v>
      </c>
      <c r="QS7">
        <v>1182195</v>
      </c>
      <c r="QT7" t="s">
        <v>2187</v>
      </c>
      <c r="QW7" t="s">
        <v>303</v>
      </c>
      <c r="QX7">
        <v>0.57939300000000005</v>
      </c>
      <c r="QY7" t="s">
        <v>1598</v>
      </c>
      <c r="QZ7">
        <v>6.7030000000000006E-2</v>
      </c>
      <c r="RA7" t="s">
        <v>1599</v>
      </c>
      <c r="RB7">
        <v>2025</v>
      </c>
      <c r="RC7" t="s">
        <v>1629</v>
      </c>
      <c r="RD7" s="6">
        <v>45964</v>
      </c>
      <c r="RE7">
        <v>5</v>
      </c>
      <c r="RF7">
        <v>59435584</v>
      </c>
      <c r="RG7">
        <v>216952</v>
      </c>
      <c r="RH7" t="s">
        <v>1631</v>
      </c>
      <c r="RM7" t="s">
        <v>3975</v>
      </c>
      <c r="RN7" t="s">
        <v>1634</v>
      </c>
      <c r="RO7">
        <v>0.69737099999999996</v>
      </c>
      <c r="RP7">
        <v>1.9371179999999999</v>
      </c>
      <c r="RQ7" t="s">
        <v>1664</v>
      </c>
      <c r="RR7">
        <v>2025</v>
      </c>
      <c r="RS7" t="s">
        <v>3976</v>
      </c>
      <c r="RT7" s="6">
        <v>45937</v>
      </c>
      <c r="RU7">
        <v>5</v>
      </c>
      <c r="RV7">
        <v>63537472</v>
      </c>
      <c r="RW7">
        <v>69818593</v>
      </c>
      <c r="RX7" t="s">
        <v>3977</v>
      </c>
      <c r="SA7" t="s">
        <v>1848</v>
      </c>
      <c r="SB7">
        <v>-2.4245362661989844E-14</v>
      </c>
      <c r="SD7">
        <v>-2.4245362661989844E-14</v>
      </c>
      <c r="SE7" t="s">
        <v>1594</v>
      </c>
      <c r="SF7">
        <v>2021</v>
      </c>
      <c r="SG7" t="s">
        <v>4240</v>
      </c>
      <c r="SH7" s="6">
        <v>44693</v>
      </c>
      <c r="SI7">
        <v>5</v>
      </c>
      <c r="SJ7">
        <v>-2.4245362661989844E-14</v>
      </c>
      <c r="SK7">
        <v>9288162</v>
      </c>
      <c r="SL7" t="s">
        <v>1850</v>
      </c>
      <c r="SQ7" t="s">
        <v>3347</v>
      </c>
      <c r="SR7" t="s">
        <v>1598</v>
      </c>
      <c r="SS7">
        <v>3.7231350000000001</v>
      </c>
      <c r="ST7">
        <v>0.80518199999999995</v>
      </c>
      <c r="SU7" t="s">
        <v>1599</v>
      </c>
      <c r="SV7">
        <v>2025</v>
      </c>
      <c r="SW7" t="s">
        <v>3348</v>
      </c>
      <c r="SX7" s="6">
        <v>46069</v>
      </c>
      <c r="SY7">
        <v>5</v>
      </c>
      <c r="SZ7">
        <v>33600181.100000001</v>
      </c>
      <c r="TA7">
        <v>153809</v>
      </c>
      <c r="TB7" t="s">
        <v>3349</v>
      </c>
      <c r="TE7" t="s">
        <v>618</v>
      </c>
      <c r="TF7">
        <v>13</v>
      </c>
      <c r="TG7" t="s">
        <v>1598</v>
      </c>
      <c r="TH7">
        <v>3.4525320000000002</v>
      </c>
      <c r="TI7" t="s">
        <v>1594</v>
      </c>
      <c r="TJ7">
        <v>2025</v>
      </c>
      <c r="TK7" t="s">
        <v>2824</v>
      </c>
      <c r="TL7" s="6">
        <v>46079</v>
      </c>
      <c r="TM7">
        <v>5</v>
      </c>
      <c r="TN7">
        <v>2033817472</v>
      </c>
      <c r="TO7">
        <v>102782</v>
      </c>
      <c r="TP7" t="s">
        <v>1626</v>
      </c>
      <c r="TU7" t="s">
        <v>393</v>
      </c>
      <c r="TW7">
        <v>-2.4245362661989844E-14</v>
      </c>
      <c r="TX7">
        <v>-2.4245362661989844E-14</v>
      </c>
      <c r="TY7" t="s">
        <v>1594</v>
      </c>
      <c r="TZ7">
        <v>2022</v>
      </c>
      <c r="UA7" t="s">
        <v>3124</v>
      </c>
      <c r="UB7" s="6">
        <v>44972</v>
      </c>
      <c r="UC7">
        <v>5</v>
      </c>
      <c r="UD7">
        <v>-2.4245362661989844E-14</v>
      </c>
      <c r="UE7">
        <v>8514868</v>
      </c>
      <c r="UF7" t="s">
        <v>3125</v>
      </c>
      <c r="UI7" t="s">
        <v>2553</v>
      </c>
      <c r="UJ7">
        <v>-2.4245362661989844E-14</v>
      </c>
      <c r="UL7">
        <v>-2.4245362661989844E-14</v>
      </c>
      <c r="UM7" t="s">
        <v>1599</v>
      </c>
      <c r="UN7">
        <v>2024</v>
      </c>
      <c r="UO7" t="s">
        <v>2554</v>
      </c>
      <c r="UP7" s="6">
        <v>45609</v>
      </c>
      <c r="UQ7">
        <v>3</v>
      </c>
      <c r="UR7">
        <v>-2.4245362661989844E-14</v>
      </c>
      <c r="US7">
        <v>110113</v>
      </c>
      <c r="UT7" t="s">
        <v>2555</v>
      </c>
      <c r="UY7" t="s">
        <v>3749</v>
      </c>
      <c r="VA7">
        <v>-2.4245362661989844E-14</v>
      </c>
      <c r="VB7">
        <v>-2.4245362661989844E-14</v>
      </c>
      <c r="VC7" t="s">
        <v>1594</v>
      </c>
      <c r="VD7">
        <v>2024</v>
      </c>
      <c r="VE7" t="s">
        <v>3750</v>
      </c>
      <c r="VF7" s="6">
        <v>45460</v>
      </c>
      <c r="VG7">
        <v>5</v>
      </c>
      <c r="VH7">
        <v>-2.4245362661989844E-14</v>
      </c>
      <c r="VI7">
        <v>866053</v>
      </c>
      <c r="VJ7" t="s">
        <v>3751</v>
      </c>
      <c r="VM7" t="s">
        <v>1774</v>
      </c>
      <c r="VN7">
        <v>0.82555699999999999</v>
      </c>
      <c r="VO7" t="s">
        <v>1598</v>
      </c>
      <c r="VP7">
        <v>0.12263</v>
      </c>
      <c r="VQ7" t="s">
        <v>1664</v>
      </c>
      <c r="VR7">
        <v>2026</v>
      </c>
      <c r="VS7" t="s">
        <v>1782</v>
      </c>
      <c r="VT7" s="6">
        <v>45932</v>
      </c>
      <c r="VU7">
        <v>5</v>
      </c>
      <c r="VV7">
        <v>10377257</v>
      </c>
      <c r="VW7">
        <v>100197</v>
      </c>
      <c r="VX7" t="s">
        <v>1775</v>
      </c>
    </row>
    <row r="8" spans="1:600" x14ac:dyDescent="0.25">
      <c r="A8" t="s">
        <v>3848</v>
      </c>
      <c r="B8" t="s">
        <v>1598</v>
      </c>
      <c r="C8">
        <v>54.700001</v>
      </c>
      <c r="D8">
        <v>1.7763739999999999</v>
      </c>
      <c r="E8" t="s">
        <v>1594</v>
      </c>
      <c r="F8">
        <v>2024</v>
      </c>
      <c r="G8" t="s">
        <v>3849</v>
      </c>
      <c r="H8" s="6">
        <v>45719</v>
      </c>
      <c r="I8">
        <v>5</v>
      </c>
      <c r="J8">
        <v>185382400</v>
      </c>
      <c r="K8">
        <v>10951561</v>
      </c>
      <c r="L8" t="s">
        <v>3850</v>
      </c>
      <c r="O8" t="s">
        <v>1943</v>
      </c>
      <c r="P8">
        <v>4.5123049999999996</v>
      </c>
      <c r="Q8" t="s">
        <v>1598</v>
      </c>
      <c r="R8">
        <v>1.8841060000000001</v>
      </c>
      <c r="S8" t="s">
        <v>1664</v>
      </c>
      <c r="T8">
        <v>2025</v>
      </c>
      <c r="U8" t="s">
        <v>2827</v>
      </c>
      <c r="V8" s="6">
        <v>45855</v>
      </c>
      <c r="W8">
        <v>5</v>
      </c>
      <c r="X8">
        <v>1036183168</v>
      </c>
      <c r="Y8">
        <v>101758</v>
      </c>
      <c r="Z8" t="s">
        <v>1944</v>
      </c>
      <c r="AE8" t="s">
        <v>992</v>
      </c>
      <c r="AF8" t="s">
        <v>1685</v>
      </c>
      <c r="AG8">
        <v>0.78817400000000004</v>
      </c>
      <c r="AH8">
        <v>1.4283000000000001E-2</v>
      </c>
      <c r="AI8" t="s">
        <v>1594</v>
      </c>
      <c r="AJ8">
        <v>2025</v>
      </c>
      <c r="AK8" t="s">
        <v>4168</v>
      </c>
      <c r="AL8" s="6">
        <v>46058</v>
      </c>
      <c r="AM8">
        <v>5</v>
      </c>
      <c r="AN8">
        <v>1958250</v>
      </c>
      <c r="AO8">
        <v>106045</v>
      </c>
      <c r="AP8" t="s">
        <v>2847</v>
      </c>
      <c r="AS8" t="s">
        <v>5522</v>
      </c>
      <c r="AT8">
        <v>-2.4245362661989844E-14</v>
      </c>
      <c r="AV8">
        <v>-2.4245362661989844E-14</v>
      </c>
      <c r="AW8" t="s">
        <v>1594</v>
      </c>
      <c r="AX8">
        <v>2022</v>
      </c>
      <c r="AY8" t="s">
        <v>5523</v>
      </c>
      <c r="AZ8" s="6">
        <v>44986</v>
      </c>
      <c r="BA8">
        <v>5</v>
      </c>
      <c r="BB8">
        <v>-2.4245362661989844E-14</v>
      </c>
      <c r="BC8">
        <v>394590</v>
      </c>
      <c r="BD8" t="s">
        <v>5524</v>
      </c>
      <c r="BI8" t="s">
        <v>1084</v>
      </c>
      <c r="BJ8" t="s">
        <v>1685</v>
      </c>
      <c r="BK8">
        <v>0.17041600000000001</v>
      </c>
      <c r="BL8">
        <v>0.18884000000000001</v>
      </c>
      <c r="BM8" t="s">
        <v>1664</v>
      </c>
      <c r="BN8">
        <v>2025</v>
      </c>
      <c r="BO8" t="s">
        <v>2052</v>
      </c>
      <c r="BP8" s="6">
        <v>45838</v>
      </c>
      <c r="BQ8">
        <v>5</v>
      </c>
      <c r="BR8">
        <v>10008532</v>
      </c>
      <c r="BS8">
        <v>101689</v>
      </c>
      <c r="BT8" t="s">
        <v>2053</v>
      </c>
      <c r="BW8" t="s">
        <v>2818</v>
      </c>
      <c r="BX8">
        <v>-2.4245362661989844E-14</v>
      </c>
      <c r="BZ8">
        <v>-2.4245362661989844E-14</v>
      </c>
      <c r="CA8" t="s">
        <v>1594</v>
      </c>
      <c r="CB8">
        <v>2024</v>
      </c>
      <c r="CC8" t="s">
        <v>2819</v>
      </c>
      <c r="CD8" s="6">
        <v>45404</v>
      </c>
      <c r="CE8">
        <v>5</v>
      </c>
      <c r="CF8">
        <v>-2.4245362661989844E-14</v>
      </c>
      <c r="CG8">
        <v>59738013</v>
      </c>
      <c r="CH8" t="s">
        <v>2820</v>
      </c>
      <c r="CM8" t="s">
        <v>5713</v>
      </c>
      <c r="CO8">
        <v>-2.4245362661989844E-14</v>
      </c>
      <c r="CP8">
        <v>-2.4245362661989844E-14</v>
      </c>
      <c r="CQ8" t="s">
        <v>1594</v>
      </c>
      <c r="CR8">
        <v>2024</v>
      </c>
      <c r="CS8" t="s">
        <v>5714</v>
      </c>
      <c r="CT8" s="6">
        <v>45308</v>
      </c>
      <c r="CU8">
        <v>5</v>
      </c>
      <c r="CV8">
        <v>-2.4245362661989844E-14</v>
      </c>
      <c r="CW8">
        <v>27342321</v>
      </c>
      <c r="CX8" t="s">
        <v>5715</v>
      </c>
      <c r="DA8" t="s">
        <v>5652</v>
      </c>
      <c r="DB8">
        <v>-2.4245362661989844E-14</v>
      </c>
      <c r="DD8">
        <v>-2.4245362661989844E-14</v>
      </c>
      <c r="DE8" t="s">
        <v>1594</v>
      </c>
      <c r="DF8">
        <v>2025</v>
      </c>
      <c r="DG8" t="s">
        <v>5653</v>
      </c>
      <c r="DH8" s="6">
        <v>46079</v>
      </c>
      <c r="DI8">
        <v>4</v>
      </c>
      <c r="DJ8">
        <v>-2.4245362661989844E-14</v>
      </c>
      <c r="DK8">
        <v>21491676</v>
      </c>
      <c r="DL8" t="s">
        <v>5654</v>
      </c>
      <c r="DQ8" t="s">
        <v>2014</v>
      </c>
      <c r="DR8" t="s">
        <v>1598</v>
      </c>
      <c r="DS8">
        <v>0.22164600000000001</v>
      </c>
      <c r="DT8">
        <v>2.4277E-2</v>
      </c>
      <c r="DU8" t="s">
        <v>1664</v>
      </c>
      <c r="DV8">
        <v>2025</v>
      </c>
      <c r="DW8" t="s">
        <v>2015</v>
      </c>
      <c r="DX8" s="6">
        <v>45957</v>
      </c>
      <c r="DY8">
        <v>5</v>
      </c>
      <c r="DZ8">
        <v>2617518.41</v>
      </c>
      <c r="EA8">
        <v>815087</v>
      </c>
      <c r="EB8" t="s">
        <v>2016</v>
      </c>
      <c r="EE8" t="s">
        <v>2723</v>
      </c>
      <c r="EF8">
        <v>-2.4245362661989844E-14</v>
      </c>
      <c r="EH8">
        <v>-2.4245362661989844E-14</v>
      </c>
      <c r="EI8" t="s">
        <v>1594</v>
      </c>
      <c r="EJ8">
        <v>2025</v>
      </c>
      <c r="EK8" t="s">
        <v>2724</v>
      </c>
      <c r="EL8" s="6">
        <v>45875</v>
      </c>
      <c r="EM8">
        <v>5</v>
      </c>
      <c r="EN8">
        <v>-2.4245362661989844E-14</v>
      </c>
      <c r="EO8">
        <v>154339</v>
      </c>
      <c r="EP8" t="s">
        <v>2725</v>
      </c>
      <c r="EU8" t="s">
        <v>3184</v>
      </c>
      <c r="EV8" t="s">
        <v>1634</v>
      </c>
      <c r="EW8">
        <v>0.77759999999999996</v>
      </c>
      <c r="EX8">
        <v>0.35574</v>
      </c>
      <c r="EY8" t="s">
        <v>1664</v>
      </c>
      <c r="EZ8">
        <v>2026</v>
      </c>
      <c r="FA8" t="s">
        <v>3826</v>
      </c>
      <c r="FB8" s="6">
        <v>45894</v>
      </c>
      <c r="FC8">
        <v>5</v>
      </c>
      <c r="FD8">
        <v>10714893</v>
      </c>
      <c r="FE8">
        <v>100487</v>
      </c>
      <c r="FF8" t="s">
        <v>3186</v>
      </c>
      <c r="FI8" t="s">
        <v>2063</v>
      </c>
      <c r="FJ8">
        <v>-2.4245362661989844E-14</v>
      </c>
      <c r="FL8">
        <v>-2.4245362661989844E-14</v>
      </c>
      <c r="FM8" t="s">
        <v>1594</v>
      </c>
      <c r="FN8">
        <v>2021</v>
      </c>
      <c r="FO8" t="s">
        <v>3689</v>
      </c>
      <c r="FP8" s="6">
        <v>44693</v>
      </c>
      <c r="FQ8">
        <v>5</v>
      </c>
      <c r="FR8">
        <v>-2.4245362661989844E-14</v>
      </c>
      <c r="FS8">
        <v>118099</v>
      </c>
      <c r="FT8" t="s">
        <v>2065</v>
      </c>
      <c r="FY8" t="s">
        <v>2376</v>
      </c>
      <c r="FZ8" t="s">
        <v>1598</v>
      </c>
      <c r="GA8">
        <v>0.36901099999999998</v>
      </c>
      <c r="GB8">
        <v>2.1074079999999999</v>
      </c>
      <c r="GC8" t="s">
        <v>1664</v>
      </c>
      <c r="GD8">
        <v>2025</v>
      </c>
      <c r="GE8" t="s">
        <v>2377</v>
      </c>
      <c r="GF8" s="6">
        <v>45952</v>
      </c>
      <c r="GG8">
        <v>5</v>
      </c>
      <c r="GH8">
        <v>196578595.78</v>
      </c>
      <c r="GI8">
        <v>117929</v>
      </c>
      <c r="GJ8" t="s">
        <v>2378</v>
      </c>
      <c r="GM8" t="s">
        <v>3653</v>
      </c>
      <c r="GN8">
        <v>6.9003030000000001</v>
      </c>
      <c r="GO8" t="s">
        <v>1598</v>
      </c>
      <c r="GP8">
        <v>13.993990999999999</v>
      </c>
      <c r="GQ8" t="s">
        <v>1594</v>
      </c>
      <c r="GR8">
        <v>2024</v>
      </c>
      <c r="GS8" t="s">
        <v>3677</v>
      </c>
      <c r="GT8" s="6">
        <v>45786</v>
      </c>
      <c r="GU8">
        <v>5</v>
      </c>
      <c r="GV8">
        <v>924964005.08000004</v>
      </c>
      <c r="GW8">
        <v>9568853</v>
      </c>
      <c r="GX8" t="s">
        <v>3654</v>
      </c>
      <c r="HC8" t="s">
        <v>211</v>
      </c>
      <c r="HD8" t="s">
        <v>1598</v>
      </c>
      <c r="HE8">
        <v>7.3733999999999994E-2</v>
      </c>
      <c r="HF8">
        <v>0.83489500000000005</v>
      </c>
      <c r="HG8" t="s">
        <v>1606</v>
      </c>
      <c r="HH8">
        <v>2025</v>
      </c>
      <c r="HI8" t="s">
        <v>2691</v>
      </c>
      <c r="HJ8" s="6">
        <v>46010</v>
      </c>
      <c r="HK8">
        <v>5</v>
      </c>
      <c r="HL8">
        <v>13283180</v>
      </c>
      <c r="HM8">
        <v>59907412</v>
      </c>
      <c r="HN8" t="s">
        <v>3354</v>
      </c>
      <c r="HQ8" t="s">
        <v>4773</v>
      </c>
      <c r="HR8">
        <v>4.6813409999999998</v>
      </c>
      <c r="HS8" t="s">
        <v>1598</v>
      </c>
      <c r="HT8">
        <v>1.188463</v>
      </c>
      <c r="HU8" t="s">
        <v>1664</v>
      </c>
      <c r="HV8">
        <v>2026</v>
      </c>
      <c r="HW8" t="s">
        <v>3356</v>
      </c>
      <c r="HX8" s="6">
        <v>46059</v>
      </c>
      <c r="HY8">
        <v>5</v>
      </c>
      <c r="HZ8">
        <v>141236064</v>
      </c>
      <c r="IA8">
        <v>11217910</v>
      </c>
      <c r="IB8" t="s">
        <v>4774</v>
      </c>
      <c r="IG8" t="s">
        <v>2376</v>
      </c>
      <c r="IH8" t="s">
        <v>1598</v>
      </c>
      <c r="II8">
        <v>0.36901099999999998</v>
      </c>
      <c r="IJ8">
        <v>2.1074079999999999</v>
      </c>
      <c r="IK8" t="s">
        <v>1664</v>
      </c>
      <c r="IL8">
        <v>2025</v>
      </c>
      <c r="IM8" t="s">
        <v>2377</v>
      </c>
      <c r="IN8" s="6">
        <v>45952</v>
      </c>
      <c r="IO8">
        <v>5</v>
      </c>
      <c r="IP8">
        <v>196578595.78</v>
      </c>
      <c r="IQ8">
        <v>117929</v>
      </c>
      <c r="IR8" t="s">
        <v>2378</v>
      </c>
      <c r="IU8" t="s">
        <v>3653</v>
      </c>
      <c r="IV8">
        <v>6.9003030000000001</v>
      </c>
      <c r="IW8" t="s">
        <v>1598</v>
      </c>
      <c r="IX8">
        <v>13.993990999999999</v>
      </c>
      <c r="IY8" t="s">
        <v>1594</v>
      </c>
      <c r="IZ8">
        <v>2024</v>
      </c>
      <c r="JA8" t="s">
        <v>3677</v>
      </c>
      <c r="JB8" s="6">
        <v>45786</v>
      </c>
      <c r="JC8">
        <v>5</v>
      </c>
      <c r="JD8">
        <v>924964005.08000004</v>
      </c>
      <c r="JE8">
        <v>9568853</v>
      </c>
      <c r="JF8" t="s">
        <v>3654</v>
      </c>
      <c r="KO8" t="s">
        <v>3112</v>
      </c>
      <c r="KP8" t="s">
        <v>1685</v>
      </c>
      <c r="KQ8">
        <v>0.25859599999999999</v>
      </c>
      <c r="KR8">
        <v>0.50587199999999999</v>
      </c>
      <c r="KS8" t="s">
        <v>1599</v>
      </c>
      <c r="KT8">
        <v>2026</v>
      </c>
      <c r="KU8" t="s">
        <v>3113</v>
      </c>
      <c r="KV8" s="6">
        <v>46058</v>
      </c>
      <c r="KW8">
        <v>5</v>
      </c>
      <c r="KX8">
        <v>19471469.66</v>
      </c>
      <c r="KY8">
        <v>7259059</v>
      </c>
      <c r="KZ8" t="s">
        <v>3114</v>
      </c>
      <c r="LC8" t="s">
        <v>1679</v>
      </c>
      <c r="LD8">
        <v>0.111719</v>
      </c>
      <c r="LE8" t="s">
        <v>1598</v>
      </c>
      <c r="LF8">
        <v>0.26934900000000001</v>
      </c>
      <c r="LG8" t="s">
        <v>1603</v>
      </c>
      <c r="LH8">
        <v>2025</v>
      </c>
      <c r="LI8" t="s">
        <v>1680</v>
      </c>
      <c r="LJ8" s="6">
        <v>45820</v>
      </c>
      <c r="LK8">
        <v>5</v>
      </c>
      <c r="LL8">
        <v>10980820</v>
      </c>
      <c r="LM8">
        <v>12129192</v>
      </c>
      <c r="LN8" t="s">
        <v>1681</v>
      </c>
      <c r="MW8" t="s">
        <v>555</v>
      </c>
      <c r="MX8" t="s">
        <v>1598</v>
      </c>
      <c r="MY8">
        <v>23.281113000000001</v>
      </c>
      <c r="MZ8">
        <v>5.5350809999999999</v>
      </c>
      <c r="NA8" t="s">
        <v>1599</v>
      </c>
      <c r="NB8">
        <v>2025</v>
      </c>
      <c r="NC8" t="s">
        <v>1859</v>
      </c>
      <c r="ND8" s="6">
        <v>46041</v>
      </c>
      <c r="NE8">
        <v>5</v>
      </c>
      <c r="NF8">
        <v>4097661952</v>
      </c>
      <c r="NG8">
        <v>100894</v>
      </c>
      <c r="NH8" t="s">
        <v>2218</v>
      </c>
      <c r="NK8" t="s">
        <v>1824</v>
      </c>
      <c r="NL8">
        <v>4.17</v>
      </c>
      <c r="NN8">
        <v>-2.4245362661989844E-14</v>
      </c>
      <c r="NO8" t="s">
        <v>1603</v>
      </c>
      <c r="NP8">
        <v>2026</v>
      </c>
      <c r="NQ8" t="s">
        <v>2432</v>
      </c>
      <c r="NR8" s="6">
        <v>45953</v>
      </c>
      <c r="NS8">
        <v>5</v>
      </c>
      <c r="NT8">
        <v>3220814080</v>
      </c>
      <c r="NU8">
        <v>353064</v>
      </c>
      <c r="NV8" t="s">
        <v>1825</v>
      </c>
      <c r="PE8" t="s">
        <v>2564</v>
      </c>
      <c r="PF8" t="s">
        <v>1598</v>
      </c>
      <c r="PG8">
        <v>1.1725810000000001</v>
      </c>
      <c r="PH8">
        <v>0.15703400000000001</v>
      </c>
      <c r="PI8" t="s">
        <v>1603</v>
      </c>
      <c r="PJ8">
        <v>2026</v>
      </c>
      <c r="PK8" t="s">
        <v>2565</v>
      </c>
      <c r="PL8" s="6">
        <v>46051</v>
      </c>
      <c r="PM8">
        <v>5</v>
      </c>
      <c r="PN8">
        <v>4510016</v>
      </c>
      <c r="PO8">
        <v>225757</v>
      </c>
      <c r="PP8" t="s">
        <v>2566</v>
      </c>
      <c r="PS8" t="s">
        <v>1706</v>
      </c>
      <c r="PT8">
        <v>6.6940000000000003E-3</v>
      </c>
      <c r="PU8" t="s">
        <v>1598</v>
      </c>
      <c r="PV8">
        <v>5.5948409999999997</v>
      </c>
      <c r="PW8" t="s">
        <v>1594</v>
      </c>
      <c r="PX8">
        <v>2024</v>
      </c>
      <c r="PY8" t="s">
        <v>1707</v>
      </c>
      <c r="PZ8" s="6">
        <v>45819</v>
      </c>
      <c r="QA8">
        <v>5</v>
      </c>
      <c r="QB8">
        <v>402911.11</v>
      </c>
      <c r="QC8">
        <v>15291339</v>
      </c>
      <c r="QD8" t="s">
        <v>1708</v>
      </c>
      <c r="QI8" t="s">
        <v>2188</v>
      </c>
      <c r="QJ8" t="s">
        <v>1598</v>
      </c>
      <c r="QK8">
        <v>2.2395689999999999</v>
      </c>
      <c r="QL8">
        <v>0.51293900000000003</v>
      </c>
      <c r="QM8" t="s">
        <v>1664</v>
      </c>
      <c r="QN8">
        <v>2025</v>
      </c>
      <c r="QO8" t="s">
        <v>2189</v>
      </c>
      <c r="QP8" s="6">
        <v>45859</v>
      </c>
      <c r="QQ8">
        <v>5</v>
      </c>
      <c r="QR8">
        <v>45819367.549999997</v>
      </c>
      <c r="QS8">
        <v>328221</v>
      </c>
      <c r="QT8" t="s">
        <v>2190</v>
      </c>
      <c r="QW8" t="s">
        <v>872</v>
      </c>
      <c r="QX8">
        <v>0.42797499999999999</v>
      </c>
      <c r="QY8" t="s">
        <v>1598</v>
      </c>
      <c r="QZ8">
        <v>0.17119400000000001</v>
      </c>
      <c r="RA8" t="s">
        <v>1599</v>
      </c>
      <c r="RB8">
        <v>2025</v>
      </c>
      <c r="RC8" t="s">
        <v>1629</v>
      </c>
      <c r="RD8" s="6">
        <v>45964</v>
      </c>
      <c r="RE8">
        <v>5</v>
      </c>
      <c r="RF8">
        <v>43902744</v>
      </c>
      <c r="RG8">
        <v>100211</v>
      </c>
      <c r="RH8" t="s">
        <v>1632</v>
      </c>
      <c r="RM8" t="s">
        <v>2317</v>
      </c>
      <c r="RN8" t="s">
        <v>1598</v>
      </c>
      <c r="RO8">
        <v>3.4728490000000001</v>
      </c>
      <c r="RP8">
        <v>2.314454</v>
      </c>
      <c r="RQ8" t="s">
        <v>1603</v>
      </c>
      <c r="RR8">
        <v>2025</v>
      </c>
      <c r="RS8" t="s">
        <v>2318</v>
      </c>
      <c r="RT8" s="6">
        <v>45863</v>
      </c>
      <c r="RU8">
        <v>5</v>
      </c>
      <c r="RV8">
        <v>57236440</v>
      </c>
      <c r="RW8">
        <v>10832677</v>
      </c>
      <c r="RX8" t="s">
        <v>2319</v>
      </c>
      <c r="SA8" t="s">
        <v>4368</v>
      </c>
      <c r="SB8">
        <v>-2.4245362661989844E-14</v>
      </c>
      <c r="SD8">
        <v>-2.4245362661989844E-14</v>
      </c>
      <c r="SE8" t="s">
        <v>1594</v>
      </c>
      <c r="SF8">
        <v>2021</v>
      </c>
      <c r="SG8" t="s">
        <v>4240</v>
      </c>
      <c r="SH8" s="6">
        <v>44693</v>
      </c>
      <c r="SI8">
        <v>5</v>
      </c>
      <c r="SJ8">
        <v>-2.4245362661989844E-14</v>
      </c>
      <c r="SK8">
        <v>209135</v>
      </c>
      <c r="SL8" t="s">
        <v>4369</v>
      </c>
      <c r="SQ8" t="s">
        <v>23</v>
      </c>
      <c r="SR8" t="s">
        <v>1598</v>
      </c>
      <c r="SS8">
        <v>0.238619</v>
      </c>
      <c r="ST8">
        <v>0.71575299999999997</v>
      </c>
      <c r="SU8" t="s">
        <v>1594</v>
      </c>
      <c r="SV8">
        <v>2025</v>
      </c>
      <c r="SW8" t="s">
        <v>1765</v>
      </c>
      <c r="SX8" s="6">
        <v>46064</v>
      </c>
      <c r="SY8">
        <v>5</v>
      </c>
      <c r="SZ8">
        <v>28750000</v>
      </c>
      <c r="TA8">
        <v>100225</v>
      </c>
      <c r="TB8" t="s">
        <v>2222</v>
      </c>
      <c r="TE8" t="s">
        <v>23</v>
      </c>
      <c r="TF8">
        <v>11.153900999999999</v>
      </c>
      <c r="TG8" t="s">
        <v>1598</v>
      </c>
      <c r="TH8">
        <v>50.086109</v>
      </c>
      <c r="TI8" t="s">
        <v>1594</v>
      </c>
      <c r="TJ8">
        <v>2025</v>
      </c>
      <c r="TK8" t="s">
        <v>1765</v>
      </c>
      <c r="TL8" s="6">
        <v>46064</v>
      </c>
      <c r="TM8">
        <v>5</v>
      </c>
      <c r="TN8">
        <v>1745000000</v>
      </c>
      <c r="TO8">
        <v>100225</v>
      </c>
      <c r="TP8" t="s">
        <v>2222</v>
      </c>
      <c r="TU8" t="s">
        <v>593</v>
      </c>
      <c r="TW8">
        <v>-2.4245362661989844E-14</v>
      </c>
      <c r="TX8">
        <v>-2.4245362661989844E-14</v>
      </c>
      <c r="TY8" t="s">
        <v>1594</v>
      </c>
      <c r="TZ8">
        <v>2025</v>
      </c>
      <c r="UA8" t="s">
        <v>3126</v>
      </c>
      <c r="UB8" s="6">
        <v>46071</v>
      </c>
      <c r="UC8">
        <v>5</v>
      </c>
      <c r="UD8">
        <v>-2.4245362661989844E-14</v>
      </c>
      <c r="UE8">
        <v>100539</v>
      </c>
      <c r="UF8" t="s">
        <v>3127</v>
      </c>
      <c r="UY8" t="s">
        <v>3752</v>
      </c>
      <c r="VA8">
        <v>-2.4245362661989844E-14</v>
      </c>
      <c r="VB8">
        <v>-2.4245362661989844E-14</v>
      </c>
      <c r="VC8" t="s">
        <v>1599</v>
      </c>
      <c r="VD8">
        <v>2022</v>
      </c>
      <c r="VE8" t="s">
        <v>3753</v>
      </c>
      <c r="VF8" s="6">
        <v>44880</v>
      </c>
      <c r="VG8">
        <v>5</v>
      </c>
      <c r="VH8">
        <v>-2.4245362661989844E-14</v>
      </c>
      <c r="VI8">
        <v>1425288</v>
      </c>
      <c r="VJ8" t="s">
        <v>3754</v>
      </c>
      <c r="VM8" t="s">
        <v>2799</v>
      </c>
      <c r="VN8">
        <v>0.46699600000000002</v>
      </c>
      <c r="VO8" t="s">
        <v>1598</v>
      </c>
      <c r="VP8">
        <v>0.41184700000000002</v>
      </c>
      <c r="VQ8" t="s">
        <v>1599</v>
      </c>
      <c r="VR8">
        <v>2025</v>
      </c>
      <c r="VS8" t="s">
        <v>2800</v>
      </c>
      <c r="VT8" s="6">
        <v>46014</v>
      </c>
      <c r="VU8">
        <v>5</v>
      </c>
      <c r="VV8">
        <v>5696961.8099999996</v>
      </c>
      <c r="VW8">
        <v>9034717</v>
      </c>
      <c r="VX8" t="s">
        <v>2801</v>
      </c>
    </row>
    <row r="9" spans="1:600" x14ac:dyDescent="0.25">
      <c r="A9" t="s">
        <v>3851</v>
      </c>
      <c r="B9" t="s">
        <v>1598</v>
      </c>
      <c r="C9">
        <v>4.709041</v>
      </c>
      <c r="D9">
        <v>1.331243</v>
      </c>
      <c r="E9" t="s">
        <v>1599</v>
      </c>
      <c r="F9">
        <v>2025</v>
      </c>
      <c r="G9" t="s">
        <v>3852</v>
      </c>
      <c r="H9" s="6">
        <v>46018</v>
      </c>
      <c r="I9">
        <v>5</v>
      </c>
      <c r="J9">
        <v>138928480</v>
      </c>
      <c r="K9">
        <v>100412</v>
      </c>
      <c r="L9" t="s">
        <v>3853</v>
      </c>
      <c r="O9" t="s">
        <v>1875</v>
      </c>
      <c r="P9">
        <v>3.4026369999999999</v>
      </c>
      <c r="Q9" t="s">
        <v>1598</v>
      </c>
      <c r="R9">
        <v>3.7682129999999998</v>
      </c>
      <c r="S9" t="s">
        <v>1664</v>
      </c>
      <c r="T9">
        <v>2025</v>
      </c>
      <c r="U9" t="s">
        <v>2827</v>
      </c>
      <c r="V9" s="6">
        <v>45855</v>
      </c>
      <c r="W9">
        <v>5</v>
      </c>
      <c r="X9">
        <v>781364544</v>
      </c>
      <c r="Y9">
        <v>112370</v>
      </c>
      <c r="Z9" t="s">
        <v>1877</v>
      </c>
      <c r="AE9" t="s">
        <v>2280</v>
      </c>
      <c r="AF9" t="s">
        <v>1685</v>
      </c>
      <c r="AG9">
        <v>0.777281</v>
      </c>
      <c r="AH9">
        <v>1.0723999999999999E-2</v>
      </c>
      <c r="AI9" t="s">
        <v>1594</v>
      </c>
      <c r="AJ9">
        <v>2024</v>
      </c>
      <c r="AK9" t="s">
        <v>2281</v>
      </c>
      <c r="AL9" s="6">
        <v>45694</v>
      </c>
      <c r="AM9">
        <v>5</v>
      </c>
      <c r="AN9">
        <v>1463750</v>
      </c>
      <c r="AO9">
        <v>106543</v>
      </c>
      <c r="AP9" t="s">
        <v>2282</v>
      </c>
      <c r="AS9" t="s">
        <v>5525</v>
      </c>
      <c r="AT9">
        <v>-2.4245362661989844E-14</v>
      </c>
      <c r="AV9">
        <v>-2.4245362661989844E-14</v>
      </c>
      <c r="AW9" t="s">
        <v>1594</v>
      </c>
      <c r="AX9">
        <v>2023</v>
      </c>
      <c r="AY9" t="s">
        <v>5526</v>
      </c>
      <c r="AZ9" s="6">
        <v>45175</v>
      </c>
      <c r="BA9">
        <v>5</v>
      </c>
      <c r="BB9">
        <v>-2.4245362661989844E-14</v>
      </c>
      <c r="BC9">
        <v>100555</v>
      </c>
      <c r="BD9" t="s">
        <v>5527</v>
      </c>
      <c r="BI9" t="s">
        <v>3162</v>
      </c>
      <c r="BJ9" t="s">
        <v>1685</v>
      </c>
      <c r="BK9">
        <v>0.29472100000000001</v>
      </c>
      <c r="BL9">
        <v>2.6449E-2</v>
      </c>
      <c r="BM9" t="s">
        <v>1603</v>
      </c>
      <c r="BN9">
        <v>2025</v>
      </c>
      <c r="BO9" t="s">
        <v>3163</v>
      </c>
      <c r="BP9" s="6">
        <v>45855</v>
      </c>
      <c r="BQ9">
        <v>5</v>
      </c>
      <c r="BR9">
        <v>1401790</v>
      </c>
      <c r="BS9">
        <v>171977</v>
      </c>
      <c r="BT9" t="s">
        <v>3164</v>
      </c>
      <c r="BW9" t="s">
        <v>2821</v>
      </c>
      <c r="BX9">
        <v>-2.4245362661989844E-14</v>
      </c>
      <c r="BZ9">
        <v>-2.4245362661989844E-14</v>
      </c>
      <c r="CA9" t="s">
        <v>1594</v>
      </c>
      <c r="CB9">
        <v>2023</v>
      </c>
      <c r="CC9" t="s">
        <v>2822</v>
      </c>
      <c r="CD9" s="6">
        <v>45302</v>
      </c>
      <c r="CE9">
        <v>5</v>
      </c>
      <c r="CF9">
        <v>-2.4245362661989844E-14</v>
      </c>
      <c r="CG9">
        <v>8168286</v>
      </c>
      <c r="CH9" t="s">
        <v>2823</v>
      </c>
      <c r="CM9" t="s">
        <v>5716</v>
      </c>
      <c r="CO9">
        <v>-2.4245362661989844E-14</v>
      </c>
      <c r="CP9">
        <v>-2.4245362661989844E-14</v>
      </c>
      <c r="CQ9" t="s">
        <v>1606</v>
      </c>
      <c r="CR9">
        <v>2025</v>
      </c>
      <c r="CS9" t="s">
        <v>5717</v>
      </c>
      <c r="CT9" s="6">
        <v>45958</v>
      </c>
      <c r="CU9">
        <v>5</v>
      </c>
      <c r="CV9">
        <v>-2.4245362661989844E-14</v>
      </c>
      <c r="CW9">
        <v>33553824</v>
      </c>
      <c r="CX9" t="s">
        <v>5718</v>
      </c>
      <c r="DQ9" t="s">
        <v>2567</v>
      </c>
      <c r="DS9">
        <v>2.4574069999999999</v>
      </c>
      <c r="DT9">
        <v>-2.4245362661989844E-14</v>
      </c>
      <c r="DU9" t="s">
        <v>1599</v>
      </c>
      <c r="DV9">
        <v>2025</v>
      </c>
      <c r="DW9" t="s">
        <v>2568</v>
      </c>
      <c r="DX9" s="6">
        <v>45966</v>
      </c>
      <c r="DY9">
        <v>5</v>
      </c>
      <c r="DZ9">
        <v>2258750</v>
      </c>
      <c r="EA9">
        <v>34865158</v>
      </c>
      <c r="EB9" t="s">
        <v>2569</v>
      </c>
      <c r="EE9" t="s">
        <v>1891</v>
      </c>
      <c r="EF9">
        <v>-2.4245362661989844E-14</v>
      </c>
      <c r="EH9">
        <v>-2.4245362661989844E-14</v>
      </c>
      <c r="EI9" t="s">
        <v>1594</v>
      </c>
      <c r="EJ9">
        <v>2021</v>
      </c>
      <c r="EK9" t="s">
        <v>2726</v>
      </c>
      <c r="EL9" s="6">
        <v>44630</v>
      </c>
      <c r="EM9">
        <v>5</v>
      </c>
      <c r="EN9">
        <v>-2.4245362661989844E-14</v>
      </c>
      <c r="EO9">
        <v>100115</v>
      </c>
      <c r="EP9" t="s">
        <v>1893</v>
      </c>
      <c r="EU9" t="s">
        <v>2317</v>
      </c>
      <c r="EV9" t="s">
        <v>1598</v>
      </c>
      <c r="EW9">
        <v>0.60481300000000005</v>
      </c>
      <c r="EX9">
        <v>0.89159200000000005</v>
      </c>
      <c r="EY9" t="s">
        <v>1603</v>
      </c>
      <c r="EZ9">
        <v>2025</v>
      </c>
      <c r="FA9" t="s">
        <v>2318</v>
      </c>
      <c r="FB9" s="6">
        <v>45863</v>
      </c>
      <c r="FC9">
        <v>5</v>
      </c>
      <c r="FD9">
        <v>9967996</v>
      </c>
      <c r="FE9">
        <v>10832677</v>
      </c>
      <c r="FF9" t="s">
        <v>2319</v>
      </c>
      <c r="FI9" t="s">
        <v>2376</v>
      </c>
      <c r="FJ9">
        <v>-2.4245362661989844E-14</v>
      </c>
      <c r="FL9">
        <v>-2.4245362661989844E-14</v>
      </c>
      <c r="FM9" t="s">
        <v>1594</v>
      </c>
      <c r="FN9">
        <v>2021</v>
      </c>
      <c r="FO9" t="s">
        <v>3689</v>
      </c>
      <c r="FP9" s="6">
        <v>44693</v>
      </c>
      <c r="FQ9">
        <v>5</v>
      </c>
      <c r="FR9">
        <v>-2.4245362661989844E-14</v>
      </c>
      <c r="FS9">
        <v>117929</v>
      </c>
      <c r="FT9" t="s">
        <v>2378</v>
      </c>
      <c r="FY9" t="s">
        <v>812</v>
      </c>
      <c r="FZ9" t="s">
        <v>1634</v>
      </c>
      <c r="GA9">
        <v>2.5439250000000002</v>
      </c>
      <c r="GB9">
        <v>5.2326030000000001</v>
      </c>
      <c r="GC9" t="s">
        <v>1599</v>
      </c>
      <c r="GD9">
        <v>2025</v>
      </c>
      <c r="GE9" t="s">
        <v>3858</v>
      </c>
      <c r="GF9" s="6">
        <v>45931</v>
      </c>
      <c r="GG9">
        <v>5</v>
      </c>
      <c r="GH9">
        <v>185757408</v>
      </c>
      <c r="GI9">
        <v>102032</v>
      </c>
      <c r="GJ9" t="s">
        <v>3859</v>
      </c>
      <c r="GM9" t="s">
        <v>3678</v>
      </c>
      <c r="GN9">
        <v>3.0830000000000002</v>
      </c>
      <c r="GO9" t="s">
        <v>1598</v>
      </c>
      <c r="GP9">
        <v>9.6257199999999994</v>
      </c>
      <c r="GQ9" t="s">
        <v>1664</v>
      </c>
      <c r="GR9">
        <v>2025</v>
      </c>
      <c r="GS9" t="s">
        <v>3679</v>
      </c>
      <c r="GT9" s="6">
        <v>45958</v>
      </c>
      <c r="GU9">
        <v>5</v>
      </c>
      <c r="GV9">
        <v>416758099.12</v>
      </c>
      <c r="GW9">
        <v>1456094</v>
      </c>
      <c r="GX9" t="s">
        <v>3680</v>
      </c>
      <c r="HC9" t="s">
        <v>4851</v>
      </c>
      <c r="HD9" t="s">
        <v>1598</v>
      </c>
      <c r="HE9">
        <v>0.15844900000000001</v>
      </c>
      <c r="HF9">
        <v>0.19003600000000001</v>
      </c>
      <c r="HG9" t="s">
        <v>1606</v>
      </c>
      <c r="HH9">
        <v>2024</v>
      </c>
      <c r="HI9" t="s">
        <v>4852</v>
      </c>
      <c r="HJ9" s="6">
        <v>45727</v>
      </c>
      <c r="HK9">
        <v>5</v>
      </c>
      <c r="HL9">
        <v>5262091</v>
      </c>
      <c r="HM9">
        <v>153916</v>
      </c>
      <c r="HN9" t="s">
        <v>4853</v>
      </c>
      <c r="HQ9" t="s">
        <v>3675</v>
      </c>
      <c r="HR9">
        <v>4.3718529999999998</v>
      </c>
      <c r="HS9" t="s">
        <v>1598</v>
      </c>
      <c r="HT9">
        <v>0.616004</v>
      </c>
      <c r="HU9" t="s">
        <v>1664</v>
      </c>
      <c r="HV9">
        <v>2026</v>
      </c>
      <c r="HW9" t="s">
        <v>3356</v>
      </c>
      <c r="HX9" s="6">
        <v>46059</v>
      </c>
      <c r="HY9">
        <v>5</v>
      </c>
      <c r="HZ9">
        <v>131898808</v>
      </c>
      <c r="IA9">
        <v>50985605</v>
      </c>
      <c r="IB9" t="s">
        <v>3676</v>
      </c>
      <c r="IG9" t="s">
        <v>812</v>
      </c>
      <c r="IH9" t="s">
        <v>1634</v>
      </c>
      <c r="II9">
        <v>2.5439250000000002</v>
      </c>
      <c r="IJ9">
        <v>5.2326030000000001</v>
      </c>
      <c r="IK9" t="s">
        <v>1599</v>
      </c>
      <c r="IL9">
        <v>2025</v>
      </c>
      <c r="IM9" t="s">
        <v>3858</v>
      </c>
      <c r="IN9" s="6">
        <v>45931</v>
      </c>
      <c r="IO9">
        <v>5</v>
      </c>
      <c r="IP9">
        <v>185757408</v>
      </c>
      <c r="IQ9">
        <v>102032</v>
      </c>
      <c r="IR9" t="s">
        <v>3859</v>
      </c>
      <c r="IU9" t="s">
        <v>3678</v>
      </c>
      <c r="IV9">
        <v>3.0830000000000002</v>
      </c>
      <c r="IW9" t="s">
        <v>1598</v>
      </c>
      <c r="IX9">
        <v>9.6257199999999994</v>
      </c>
      <c r="IY9" t="s">
        <v>1664</v>
      </c>
      <c r="IZ9">
        <v>2025</v>
      </c>
      <c r="JA9" t="s">
        <v>3679</v>
      </c>
      <c r="JB9" s="6">
        <v>45958</v>
      </c>
      <c r="JC9">
        <v>5</v>
      </c>
      <c r="JD9">
        <v>416758099.12</v>
      </c>
      <c r="JE9">
        <v>1456094</v>
      </c>
      <c r="JF9" t="s">
        <v>3680</v>
      </c>
      <c r="KO9" t="s">
        <v>3373</v>
      </c>
      <c r="KP9" t="s">
        <v>1685</v>
      </c>
      <c r="KQ9">
        <v>0.23294300000000001</v>
      </c>
      <c r="KR9">
        <v>0.27798299999999998</v>
      </c>
      <c r="KS9" t="s">
        <v>1664</v>
      </c>
      <c r="KT9">
        <v>2026</v>
      </c>
      <c r="KU9" t="s">
        <v>3374</v>
      </c>
      <c r="KV9" s="6">
        <v>46022</v>
      </c>
      <c r="KW9">
        <v>5</v>
      </c>
      <c r="KX9">
        <v>10921772.949999999</v>
      </c>
      <c r="KY9">
        <v>174545</v>
      </c>
      <c r="KZ9" t="s">
        <v>3375</v>
      </c>
      <c r="LC9" t="s">
        <v>1786</v>
      </c>
      <c r="LD9">
        <v>7.2431999999999996E-2</v>
      </c>
      <c r="LE9" t="s">
        <v>1598</v>
      </c>
      <c r="LF9">
        <v>0.31743900000000003</v>
      </c>
      <c r="LG9" t="s">
        <v>1664</v>
      </c>
      <c r="LH9">
        <v>2025</v>
      </c>
      <c r="LI9" t="s">
        <v>1787</v>
      </c>
      <c r="LJ9" s="6">
        <v>46008</v>
      </c>
      <c r="LK9">
        <v>5</v>
      </c>
      <c r="LL9">
        <v>7382431.75</v>
      </c>
      <c r="LM9">
        <v>349049</v>
      </c>
      <c r="LN9" t="s">
        <v>1788</v>
      </c>
      <c r="MW9" t="s">
        <v>24</v>
      </c>
      <c r="MX9" t="s">
        <v>1598</v>
      </c>
      <c r="MY9">
        <v>25</v>
      </c>
      <c r="MZ9">
        <v>4.0761390000000004</v>
      </c>
      <c r="NA9" t="s">
        <v>1594</v>
      </c>
      <c r="NB9">
        <v>2025</v>
      </c>
      <c r="NC9" t="s">
        <v>2824</v>
      </c>
      <c r="ND9" s="6">
        <v>46079</v>
      </c>
      <c r="NE9">
        <v>5</v>
      </c>
      <c r="NF9">
        <v>3911187456</v>
      </c>
      <c r="NG9">
        <v>101166</v>
      </c>
      <c r="NH9" t="s">
        <v>2119</v>
      </c>
      <c r="NK9" t="s">
        <v>2433</v>
      </c>
      <c r="NL9">
        <v>4.17</v>
      </c>
      <c r="NN9">
        <v>-2.4245362661989844E-14</v>
      </c>
      <c r="NO9" t="s">
        <v>1603</v>
      </c>
      <c r="NP9">
        <v>2026</v>
      </c>
      <c r="NQ9" t="s">
        <v>2432</v>
      </c>
      <c r="NR9" s="6">
        <v>45953</v>
      </c>
      <c r="NS9">
        <v>5</v>
      </c>
      <c r="NT9">
        <v>3220814080</v>
      </c>
      <c r="NU9">
        <v>962217</v>
      </c>
      <c r="NV9" t="s">
        <v>2434</v>
      </c>
      <c r="PE9" t="s">
        <v>1084</v>
      </c>
      <c r="PF9" t="s">
        <v>1685</v>
      </c>
      <c r="PG9">
        <v>5.9742000000000003E-2</v>
      </c>
      <c r="PH9">
        <v>0.18884000000000001</v>
      </c>
      <c r="PI9" t="s">
        <v>1664</v>
      </c>
      <c r="PJ9">
        <v>2025</v>
      </c>
      <c r="PK9" t="s">
        <v>2052</v>
      </c>
      <c r="PL9" s="6">
        <v>45838</v>
      </c>
      <c r="PM9">
        <v>5</v>
      </c>
      <c r="PN9">
        <v>3508648</v>
      </c>
      <c r="PO9">
        <v>101689</v>
      </c>
      <c r="PP9" t="s">
        <v>2053</v>
      </c>
      <c r="PS9" t="s">
        <v>1709</v>
      </c>
      <c r="PT9">
        <v>5.1640000000000002E-3</v>
      </c>
      <c r="PU9" t="s">
        <v>1598</v>
      </c>
      <c r="PV9">
        <v>5.0558560000000003</v>
      </c>
      <c r="PW9" t="s">
        <v>1594</v>
      </c>
      <c r="PX9">
        <v>2024</v>
      </c>
      <c r="PY9" t="s">
        <v>1710</v>
      </c>
      <c r="PZ9" s="6">
        <v>45814</v>
      </c>
      <c r="QA9">
        <v>5</v>
      </c>
      <c r="QB9">
        <v>310853.61</v>
      </c>
      <c r="QC9">
        <v>36034450</v>
      </c>
      <c r="QD9" t="s">
        <v>1711</v>
      </c>
      <c r="QI9" t="s">
        <v>2191</v>
      </c>
      <c r="QJ9" t="s">
        <v>1598</v>
      </c>
      <c r="QK9">
        <v>0.59006199999999998</v>
      </c>
      <c r="QL9">
        <v>0.53252200000000005</v>
      </c>
      <c r="QM9" t="s">
        <v>1664</v>
      </c>
      <c r="QN9">
        <v>2025</v>
      </c>
      <c r="QO9" t="s">
        <v>2192</v>
      </c>
      <c r="QP9" s="6">
        <v>45875</v>
      </c>
      <c r="QQ9">
        <v>5</v>
      </c>
      <c r="QR9">
        <v>45441434.649999999</v>
      </c>
      <c r="QS9">
        <v>111270</v>
      </c>
      <c r="QT9" t="s">
        <v>2193</v>
      </c>
      <c r="QW9" t="s">
        <v>1633</v>
      </c>
      <c r="QX9">
        <v>0.26823999999999998</v>
      </c>
      <c r="QY9" t="s">
        <v>1634</v>
      </c>
      <c r="QZ9">
        <v>-2.4245362661989844E-14</v>
      </c>
      <c r="RA9" t="s">
        <v>1594</v>
      </c>
      <c r="RB9">
        <v>2025</v>
      </c>
      <c r="RC9" t="s">
        <v>1635</v>
      </c>
      <c r="RD9" s="6">
        <v>45925</v>
      </c>
      <c r="RE9">
        <v>5</v>
      </c>
      <c r="RF9">
        <v>26796000</v>
      </c>
      <c r="RG9">
        <v>340053</v>
      </c>
      <c r="RH9" t="s">
        <v>1636</v>
      </c>
      <c r="RM9" t="s">
        <v>493</v>
      </c>
      <c r="RN9" t="s">
        <v>1598</v>
      </c>
      <c r="RO9">
        <v>0.123136</v>
      </c>
      <c r="RP9">
        <v>0.19595000000000001</v>
      </c>
      <c r="RQ9" t="s">
        <v>1603</v>
      </c>
      <c r="RR9">
        <v>2025</v>
      </c>
      <c r="RS9" t="s">
        <v>2093</v>
      </c>
      <c r="RT9" s="6">
        <v>45795</v>
      </c>
      <c r="RU9">
        <v>5</v>
      </c>
      <c r="RV9">
        <v>4845833</v>
      </c>
      <c r="RW9">
        <v>100499</v>
      </c>
      <c r="RX9" t="s">
        <v>2094</v>
      </c>
      <c r="SA9" t="s">
        <v>4370</v>
      </c>
      <c r="SB9">
        <v>-2.4245362661989844E-14</v>
      </c>
      <c r="SD9">
        <v>-2.4245362661989844E-14</v>
      </c>
      <c r="SE9" t="s">
        <v>1594</v>
      </c>
      <c r="SF9">
        <v>2021</v>
      </c>
      <c r="SG9" t="s">
        <v>4240</v>
      </c>
      <c r="SH9" s="6">
        <v>44693</v>
      </c>
      <c r="SI9">
        <v>5</v>
      </c>
      <c r="SJ9">
        <v>-2.4245362661989844E-14</v>
      </c>
      <c r="SK9">
        <v>227360</v>
      </c>
      <c r="SL9" t="s">
        <v>4371</v>
      </c>
      <c r="SQ9" t="s">
        <v>3350</v>
      </c>
      <c r="SR9" t="s">
        <v>1598</v>
      </c>
      <c r="SS9">
        <v>0.82792200000000005</v>
      </c>
      <c r="ST9">
        <v>0.75151400000000002</v>
      </c>
      <c r="SU9" t="s">
        <v>1664</v>
      </c>
      <c r="SV9">
        <v>2025</v>
      </c>
      <c r="SW9" t="s">
        <v>3351</v>
      </c>
      <c r="SX9" s="6">
        <v>45959</v>
      </c>
      <c r="SY9">
        <v>5</v>
      </c>
      <c r="SZ9">
        <v>28398061.84</v>
      </c>
      <c r="TA9">
        <v>113332</v>
      </c>
      <c r="TB9" t="s">
        <v>3352</v>
      </c>
      <c r="TE9" t="s">
        <v>1621</v>
      </c>
      <c r="TF9">
        <v>6</v>
      </c>
      <c r="TH9">
        <v>-2.4245362661989844E-14</v>
      </c>
      <c r="TI9" t="s">
        <v>1594</v>
      </c>
      <c r="TJ9">
        <v>2024</v>
      </c>
      <c r="TK9" t="s">
        <v>2825</v>
      </c>
      <c r="TL9" s="6">
        <v>45715</v>
      </c>
      <c r="TM9">
        <v>5</v>
      </c>
      <c r="TN9">
        <v>954404992</v>
      </c>
      <c r="TO9">
        <v>218252</v>
      </c>
      <c r="TP9" t="s">
        <v>1622</v>
      </c>
      <c r="TU9" t="s">
        <v>70</v>
      </c>
      <c r="TW9">
        <v>-2.4245362661989844E-14</v>
      </c>
      <c r="TX9">
        <v>-2.4245362661989844E-14</v>
      </c>
      <c r="TY9" t="s">
        <v>1594</v>
      </c>
      <c r="TZ9">
        <v>2022</v>
      </c>
      <c r="UA9" t="s">
        <v>3128</v>
      </c>
      <c r="UB9" s="6">
        <v>44974</v>
      </c>
      <c r="UC9">
        <v>5</v>
      </c>
      <c r="UD9">
        <v>-2.4245362661989844E-14</v>
      </c>
      <c r="UE9">
        <v>10005604</v>
      </c>
      <c r="UF9" t="s">
        <v>2406</v>
      </c>
      <c r="UY9" t="s">
        <v>211</v>
      </c>
      <c r="VA9">
        <v>-2.4245362661989844E-14</v>
      </c>
      <c r="VB9">
        <v>-2.4245362661989844E-14</v>
      </c>
      <c r="VC9" t="s">
        <v>1594</v>
      </c>
      <c r="VD9">
        <v>2022</v>
      </c>
      <c r="VE9" t="s">
        <v>3755</v>
      </c>
      <c r="VF9" s="6">
        <v>44701</v>
      </c>
      <c r="VG9">
        <v>5</v>
      </c>
      <c r="VH9">
        <v>-2.4245362661989844E-14</v>
      </c>
      <c r="VI9">
        <v>59907412</v>
      </c>
      <c r="VJ9" t="s">
        <v>3354</v>
      </c>
      <c r="VM9" t="s">
        <v>2802</v>
      </c>
      <c r="VN9">
        <v>0.45974599999999999</v>
      </c>
      <c r="VO9" t="s">
        <v>1598</v>
      </c>
      <c r="VP9">
        <v>0.12854199999999999</v>
      </c>
      <c r="VQ9" t="s">
        <v>1599</v>
      </c>
      <c r="VR9">
        <v>2025</v>
      </c>
      <c r="VS9" t="s">
        <v>2803</v>
      </c>
      <c r="VT9" s="6">
        <v>45926</v>
      </c>
      <c r="VU9">
        <v>5</v>
      </c>
      <c r="VV9">
        <v>5749857.6100000003</v>
      </c>
      <c r="VW9">
        <v>191315</v>
      </c>
      <c r="VX9" t="s">
        <v>2804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284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285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286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287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288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289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290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291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292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293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294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295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296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297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298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299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300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301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302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110</v>
      </c>
      <c r="AE2" s="3" t="s">
        <v>148</v>
      </c>
      <c r="BI2" s="3" t="s">
        <v>303</v>
      </c>
      <c r="CM2" s="3" t="s">
        <v>177</v>
      </c>
      <c r="DQ2" s="3" t="s">
        <v>304</v>
      </c>
      <c r="EU2" s="3" t="s">
        <v>305</v>
      </c>
      <c r="FY2" s="3" t="s">
        <v>108</v>
      </c>
      <c r="HC2" s="3" t="s">
        <v>306</v>
      </c>
      <c r="IG2" s="3" t="s">
        <v>307</v>
      </c>
      <c r="JK2" s="3" t="s">
        <v>308</v>
      </c>
      <c r="KO2" s="3" t="s">
        <v>309</v>
      </c>
      <c r="LS2" s="3" t="s">
        <v>173</v>
      </c>
      <c r="MW2" s="3" t="s">
        <v>310</v>
      </c>
      <c r="OA2" s="3" t="s">
        <v>205</v>
      </c>
      <c r="PE2" s="3" t="s">
        <v>306</v>
      </c>
      <c r="QI2" s="3" t="s">
        <v>113</v>
      </c>
      <c r="RM2" s="3" t="s">
        <v>82</v>
      </c>
      <c r="SQ2" s="3" t="s">
        <v>311</v>
      </c>
      <c r="TU2" s="3" t="s">
        <v>116</v>
      </c>
      <c r="UY2" s="3" t="s">
        <v>312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_xll.BDS("BRK/A US Equity","SUPPLY_CHAIN_SUPPLIERS_ALL_DATA","cols=12;rows=5")</f>
        <v>HSY US Equity</v>
      </c>
      <c r="B5" t="s">
        <v>1598</v>
      </c>
      <c r="C5">
        <v>27</v>
      </c>
      <c r="D5">
        <v>1.2151259999999999</v>
      </c>
      <c r="E5" t="s">
        <v>1594</v>
      </c>
      <c r="F5">
        <v>2025</v>
      </c>
      <c r="G5" t="s">
        <v>3395</v>
      </c>
      <c r="H5" s="6">
        <v>46070</v>
      </c>
      <c r="I5">
        <v>5</v>
      </c>
      <c r="J5">
        <v>789248896</v>
      </c>
      <c r="K5">
        <v>100731</v>
      </c>
      <c r="L5" t="s">
        <v>3396</v>
      </c>
      <c r="O5" t="str">
        <f>_xll.BDS("BRK/A US Equity","SUPPLY_CHAIN_CUSTOMERS_ALL_DATA","cols=12;rows=5")</f>
        <v>WMT US Equity</v>
      </c>
      <c r="P5">
        <v>2.1167449999999999</v>
      </c>
      <c r="Q5" t="s">
        <v>1598</v>
      </c>
      <c r="R5">
        <v>1.7547349999999999</v>
      </c>
      <c r="S5" t="s">
        <v>1594</v>
      </c>
      <c r="T5">
        <v>2024</v>
      </c>
      <c r="U5" t="s">
        <v>2944</v>
      </c>
      <c r="V5" s="6">
        <v>45712</v>
      </c>
      <c r="W5">
        <v>5</v>
      </c>
      <c r="X5">
        <v>2244977664</v>
      </c>
      <c r="Y5">
        <v>101616</v>
      </c>
      <c r="Z5" t="s">
        <v>1666</v>
      </c>
      <c r="AE5" t="str">
        <f>_xll.BDS("RAI US Equity","SUPPLY_CHAIN_SUPPLIERS_ALL_DATA")</f>
        <v>#N/A N/A</v>
      </c>
      <c r="AS5" t="str">
        <f>_xll.BDS("RAI US Equity","SUPPLY_CHAIN_CUSTOMERS_ALL_DATA")</f>
        <v>#N/A N/A</v>
      </c>
      <c r="BI5" t="str">
        <f>_xll.BDS("AMZN US Equity","SUPPLY_CHAIN_SUPPLIERS_ALL_DATA","cols=12;rows=5")</f>
        <v>NVDA US Equity</v>
      </c>
      <c r="BJ5" t="s">
        <v>1634</v>
      </c>
      <c r="BK5">
        <v>14.019739</v>
      </c>
      <c r="BL5">
        <v>24.166864</v>
      </c>
      <c r="BM5" t="s">
        <v>1606</v>
      </c>
      <c r="BN5">
        <v>2026</v>
      </c>
      <c r="BO5" t="s">
        <v>2004</v>
      </c>
      <c r="BP5" s="6">
        <v>46087</v>
      </c>
      <c r="BQ5">
        <v>5</v>
      </c>
      <c r="BR5">
        <v>9551227904</v>
      </c>
      <c r="BS5">
        <v>313657</v>
      </c>
      <c r="BT5" t="s">
        <v>2005</v>
      </c>
      <c r="BW5" t="str">
        <f>_xll.BDS("AMZN US Equity","SUPPLY_CHAIN_CUSTOMERS_ALL_DATA","cols=12;rows=5")</f>
        <v>SNX US Equity</v>
      </c>
      <c r="BX5">
        <v>0.21330399999999999</v>
      </c>
      <c r="BY5" t="s">
        <v>1598</v>
      </c>
      <c r="BZ5">
        <v>2.3745599999999998</v>
      </c>
      <c r="CA5" t="s">
        <v>1606</v>
      </c>
      <c r="CB5">
        <v>2025</v>
      </c>
      <c r="CC5" t="s">
        <v>1701</v>
      </c>
      <c r="CD5" s="6">
        <v>46056</v>
      </c>
      <c r="CE5">
        <v>5</v>
      </c>
      <c r="CF5">
        <v>384308064</v>
      </c>
      <c r="CG5">
        <v>1499717</v>
      </c>
      <c r="CH5" t="s">
        <v>1702</v>
      </c>
      <c r="CM5" t="str">
        <f>_xll.BDS("1255173D US Equity","SUPPLY_CHAIN_SUPPLIERS_ALL_DATA")</f>
        <v>#N/A N/A</v>
      </c>
      <c r="DA5" t="str">
        <f>_xll.BDS("1255173D US Equity","SUPPLY_CHAIN_CUSTOMERS_ALL_DATA")</f>
        <v>#N/A N/A</v>
      </c>
      <c r="DQ5" t="str">
        <f>_xll.BDS("CNC US Equity","SUPPLY_CHAIN_SUPPLIERS_ALL_DATA","cols=12;rows=5")</f>
        <v>CI US Equity</v>
      </c>
      <c r="DR5" t="s">
        <v>1598</v>
      </c>
      <c r="DS5">
        <v>0.82464999999999999</v>
      </c>
      <c r="DT5">
        <v>1.4172499999999999</v>
      </c>
      <c r="DU5" t="s">
        <v>1606</v>
      </c>
      <c r="DV5">
        <v>2025</v>
      </c>
      <c r="DW5" t="s">
        <v>2450</v>
      </c>
      <c r="DX5" s="6">
        <v>46070</v>
      </c>
      <c r="DY5">
        <v>5</v>
      </c>
      <c r="DZ5">
        <v>597640128</v>
      </c>
      <c r="EA5">
        <v>60401289</v>
      </c>
      <c r="EB5" t="s">
        <v>1769</v>
      </c>
      <c r="EE5" t="str">
        <f>_xll.BDS("CNC US Equity","SUPPLY_CHAIN_CUSTOMERS_ALL_DATA","cols=12;rows=5")</f>
        <v>STONY1 US Equity</v>
      </c>
      <c r="EF5">
        <v>7.37</v>
      </c>
      <c r="EH5">
        <v>-2.4245362661989844E-14</v>
      </c>
      <c r="EI5" t="s">
        <v>1603</v>
      </c>
      <c r="EJ5">
        <v>2025</v>
      </c>
      <c r="EK5" t="s">
        <v>2450</v>
      </c>
      <c r="EL5" s="6">
        <v>45839</v>
      </c>
      <c r="EM5">
        <v>5</v>
      </c>
      <c r="EN5">
        <v>3435894016</v>
      </c>
      <c r="EO5">
        <v>171854</v>
      </c>
      <c r="EP5" t="s">
        <v>2451</v>
      </c>
      <c r="EU5" t="str">
        <f>_xll.BDS("BHC CN Equity","SUPPLY_CHAIN_SUPPLIERS_ALL_DATA","cols=12;rows=5")</f>
        <v>ATR US Equity</v>
      </c>
      <c r="EV5" t="s">
        <v>1598</v>
      </c>
      <c r="EW5">
        <v>0.26260800000000001</v>
      </c>
      <c r="EX5">
        <v>0.30788500000000002</v>
      </c>
      <c r="EY5" t="s">
        <v>1664</v>
      </c>
      <c r="EZ5">
        <v>2025</v>
      </c>
      <c r="FA5" t="s">
        <v>2676</v>
      </c>
      <c r="FB5" s="6">
        <v>45914</v>
      </c>
      <c r="FC5">
        <v>5</v>
      </c>
      <c r="FD5">
        <v>2352239</v>
      </c>
      <c r="FE5">
        <v>117116</v>
      </c>
      <c r="FF5" t="s">
        <v>2677</v>
      </c>
      <c r="FI5" t="str">
        <f>_xll.BDS("BHC CN Equity","SUPPLY_CHAIN_CUSTOMERS_ALL_DATA","cols=12;rows=5")</f>
        <v>COR US Equity</v>
      </c>
      <c r="FJ5">
        <v>19</v>
      </c>
      <c r="FK5" t="s">
        <v>1598</v>
      </c>
      <c r="FL5">
        <v>0.62373500000000004</v>
      </c>
      <c r="FM5" t="s">
        <v>1594</v>
      </c>
      <c r="FN5">
        <v>2024</v>
      </c>
      <c r="FO5" t="s">
        <v>4769</v>
      </c>
      <c r="FP5" s="6">
        <v>45708</v>
      </c>
      <c r="FQ5">
        <v>5</v>
      </c>
      <c r="FR5">
        <v>457187488</v>
      </c>
      <c r="FS5">
        <v>156969</v>
      </c>
      <c r="FT5" t="s">
        <v>1767</v>
      </c>
      <c r="FY5" t="str">
        <f>_xll.BDS("COP US Equity","SUPPLY_CHAIN_SUPPLIERS_ALL_DATA","cols=12;rows=5")</f>
        <v>TEN IM Equity</v>
      </c>
      <c r="FZ5" t="s">
        <v>1634</v>
      </c>
      <c r="GA5">
        <v>4.8862709999999998</v>
      </c>
      <c r="GB5">
        <v>5.0774600000000003</v>
      </c>
      <c r="GC5" t="s">
        <v>1599</v>
      </c>
      <c r="GD5">
        <v>2025</v>
      </c>
      <c r="GE5" t="s">
        <v>3361</v>
      </c>
      <c r="GF5" s="6">
        <v>45971</v>
      </c>
      <c r="GG5">
        <v>5</v>
      </c>
      <c r="GH5">
        <v>145519984</v>
      </c>
      <c r="GI5">
        <v>7912227</v>
      </c>
      <c r="GJ5" t="s">
        <v>3362</v>
      </c>
      <c r="GM5" t="str">
        <f>_xll.BDS("COP US Equity","SUPPLY_CHAIN_CUSTOMERS_ALL_DATA","cols=12;rows=5")</f>
        <v>386 HK Equity</v>
      </c>
      <c r="GN5">
        <v>-2.4245362661989844E-14</v>
      </c>
      <c r="GP5">
        <v>-2.4245362661989844E-14</v>
      </c>
      <c r="GQ5" t="s">
        <v>1594</v>
      </c>
      <c r="GR5">
        <v>2024</v>
      </c>
      <c r="GS5" t="s">
        <v>2881</v>
      </c>
      <c r="GT5" s="6">
        <v>45706</v>
      </c>
      <c r="GU5">
        <v>5</v>
      </c>
      <c r="GV5">
        <v>-2.4245362661989844E-14</v>
      </c>
      <c r="GW5">
        <v>157909</v>
      </c>
      <c r="GX5" t="s">
        <v>2882</v>
      </c>
      <c r="HC5" t="str">
        <f>_xll.BDS("UNH US Equity","SUPPLY_CHAIN_SUPPLIERS_ALL_DATA","cols=12;rows=5")</f>
        <v>VRTX US Equity</v>
      </c>
      <c r="HD5" t="s">
        <v>1598</v>
      </c>
      <c r="HE5">
        <v>9.6255240000000004</v>
      </c>
      <c r="HF5">
        <v>0.32416699999999998</v>
      </c>
      <c r="HG5" t="s">
        <v>1606</v>
      </c>
      <c r="HH5">
        <v>2025</v>
      </c>
      <c r="HI5" t="s">
        <v>2965</v>
      </c>
      <c r="HJ5" s="6">
        <v>46077</v>
      </c>
      <c r="HK5">
        <v>5</v>
      </c>
      <c r="HL5">
        <v>307054208</v>
      </c>
      <c r="HM5">
        <v>107741</v>
      </c>
      <c r="HN5" t="s">
        <v>2966</v>
      </c>
      <c r="HQ5" t="str">
        <f>_xll.BDS("UNH US Equity","SUPPLY_CHAIN_CUSTOMERS_ALL_DATA","cols=12;rows=5")</f>
        <v>9877893Z US Equity</v>
      </c>
      <c r="HR5">
        <v>40</v>
      </c>
      <c r="HT5">
        <v>-2.4245362661989844E-14</v>
      </c>
      <c r="HU5" t="s">
        <v>1594</v>
      </c>
      <c r="HV5">
        <v>2024</v>
      </c>
      <c r="HW5" t="s">
        <v>2840</v>
      </c>
      <c r="HX5" s="6">
        <v>45715</v>
      </c>
      <c r="HY5">
        <v>5</v>
      </c>
      <c r="HZ5">
        <v>40027799552</v>
      </c>
      <c r="IA5">
        <v>17483390</v>
      </c>
      <c r="IB5" t="s">
        <v>2729</v>
      </c>
      <c r="IG5" t="str">
        <f>_xll.BDS("TDOC US Equity","SUPPLY_CHAIN_SUPPLIERS_ALL_DATA","cols=12;rows=5")</f>
        <v>ERICB SS Equity</v>
      </c>
      <c r="IH5" t="s">
        <v>1634</v>
      </c>
      <c r="II5">
        <v>1.139E-3</v>
      </c>
      <c r="IJ5">
        <v>2.952321</v>
      </c>
      <c r="IK5" t="s">
        <v>1599</v>
      </c>
      <c r="IL5">
        <v>2025</v>
      </c>
      <c r="IM5" t="s">
        <v>2384</v>
      </c>
      <c r="IN5" s="6">
        <v>46029</v>
      </c>
      <c r="IO5">
        <v>5</v>
      </c>
      <c r="IP5">
        <v>67328.27</v>
      </c>
      <c r="IQ5">
        <v>115705</v>
      </c>
      <c r="IR5" t="s">
        <v>2385</v>
      </c>
      <c r="IU5" t="str">
        <f>_xll.BDS("TDOC US Equity","SUPPLY_CHAIN_CUSTOMERS_ALL_DATA","cols=12;rows=2")</f>
        <v>ARMK US Equity</v>
      </c>
      <c r="IV5">
        <v>-2.4245362661989844E-14</v>
      </c>
      <c r="IX5">
        <v>-2.4245362661989844E-14</v>
      </c>
      <c r="IY5" t="s">
        <v>1594</v>
      </c>
      <c r="IZ5">
        <v>2023</v>
      </c>
      <c r="JA5" t="s">
        <v>5719</v>
      </c>
      <c r="JB5" s="6">
        <v>45299</v>
      </c>
      <c r="JC5">
        <v>2</v>
      </c>
      <c r="JD5">
        <v>-2.4245362661989844E-14</v>
      </c>
      <c r="JE5">
        <v>13061296</v>
      </c>
      <c r="JF5" t="s">
        <v>2533</v>
      </c>
      <c r="JK5" t="str">
        <f>_xll.BDS("SHLDQ US Equity","SUPPLY_CHAIN_SUPPLIERS_ALL_DATA","cols=12;rows=5")</f>
        <v>2353 TT Equity</v>
      </c>
      <c r="JM5">
        <v>-2.4245362661989844E-14</v>
      </c>
      <c r="JN5">
        <v>-2.4245362661989844E-14</v>
      </c>
      <c r="JO5" t="s">
        <v>1664</v>
      </c>
      <c r="JP5">
        <v>2024</v>
      </c>
      <c r="JQ5" t="s">
        <v>5865</v>
      </c>
      <c r="JR5" s="6">
        <v>45615</v>
      </c>
      <c r="JS5">
        <v>5</v>
      </c>
      <c r="JT5">
        <v>-2.4245362661989844E-14</v>
      </c>
      <c r="JU5">
        <v>193571</v>
      </c>
      <c r="JV5" t="s">
        <v>2011</v>
      </c>
      <c r="JY5" t="str">
        <f>_xll.BDS("SHLDQ US Equity","SUPPLY_CHAIN_CUSTOMERS_ALL_DATA","cols=12;rows=1")</f>
        <v>GCARSOA1 MM Equity</v>
      </c>
      <c r="JZ5">
        <v>-2.4245362661989844E-14</v>
      </c>
      <c r="KB5">
        <v>-2.4245362661989844E-14</v>
      </c>
      <c r="KC5" t="s">
        <v>1594</v>
      </c>
      <c r="KD5">
        <v>2023</v>
      </c>
      <c r="KE5" t="s">
        <v>5703</v>
      </c>
      <c r="KF5" s="6">
        <v>45414</v>
      </c>
      <c r="KG5">
        <v>1</v>
      </c>
      <c r="KH5">
        <v>-2.4245362661989844E-14</v>
      </c>
      <c r="KI5">
        <v>116659</v>
      </c>
      <c r="KJ5" t="s">
        <v>5662</v>
      </c>
      <c r="KO5" t="str">
        <f>_xll.BDS("RSG US Equity","SUPPLY_CHAIN_SUPPLIERS_ALL_DATA","cols=12;rows=5")</f>
        <v>ORCL US Equity</v>
      </c>
      <c r="KP5" t="s">
        <v>1598</v>
      </c>
      <c r="KQ5">
        <v>3.5824000000000002E-2</v>
      </c>
      <c r="KR5">
        <v>0.246201</v>
      </c>
      <c r="KS5" t="s">
        <v>1606</v>
      </c>
      <c r="KT5">
        <v>2025</v>
      </c>
      <c r="KU5" t="s">
        <v>2251</v>
      </c>
      <c r="KV5" s="6">
        <v>45848</v>
      </c>
      <c r="KW5">
        <v>5</v>
      </c>
      <c r="KX5">
        <v>5697091</v>
      </c>
      <c r="KY5">
        <v>101752</v>
      </c>
      <c r="KZ5" t="s">
        <v>2265</v>
      </c>
      <c r="LC5" t="str">
        <f>_xll.BDS("RSG US Equity","SUPPLY_CHAIN_CUSTOMERS_ALL_DATA","cols=12;rows=2")</f>
        <v>0992020D US Equity</v>
      </c>
      <c r="LD5">
        <v>-2.4245362661989844E-14</v>
      </c>
      <c r="LF5">
        <v>-2.4245362661989844E-14</v>
      </c>
      <c r="LG5" t="s">
        <v>1594</v>
      </c>
      <c r="LH5">
        <v>2024</v>
      </c>
      <c r="LI5" t="s">
        <v>4680</v>
      </c>
      <c r="LJ5" s="6">
        <v>45363</v>
      </c>
      <c r="LK5">
        <v>2</v>
      </c>
      <c r="LL5">
        <v>-2.4245362661989844E-14</v>
      </c>
      <c r="LM5">
        <v>40519068</v>
      </c>
      <c r="LN5" t="s">
        <v>4681</v>
      </c>
      <c r="LS5" t="str">
        <f>_xll.BDS("HPQ US Equity","SUPPLY_CHAIN_SUPPLIERS_ALL_DATA","cols=12;rows=5")</f>
        <v>2356 TT Equity</v>
      </c>
      <c r="LT5" t="s">
        <v>1598</v>
      </c>
      <c r="LU5">
        <v>36.343342</v>
      </c>
      <c r="LV5">
        <v>18.051394999999999</v>
      </c>
      <c r="LW5" t="s">
        <v>1599</v>
      </c>
      <c r="LX5">
        <v>2025</v>
      </c>
      <c r="LY5" t="s">
        <v>2226</v>
      </c>
      <c r="LZ5" s="6">
        <v>46035</v>
      </c>
      <c r="MA5">
        <v>5</v>
      </c>
      <c r="MB5">
        <v>2141270971.6500001</v>
      </c>
      <c r="MC5">
        <v>193712</v>
      </c>
      <c r="MD5" t="s">
        <v>2227</v>
      </c>
      <c r="MG5" t="str">
        <f>_xll.BDS("HPQ US Equity","SUPPLY_CHAIN_CUSTOMERS_ALL_DATA","cols=12;rows=5")</f>
        <v>SNX US Equity</v>
      </c>
      <c r="MH5">
        <v>12</v>
      </c>
      <c r="MI5" t="s">
        <v>1598</v>
      </c>
      <c r="MJ5">
        <v>11.690618000000001</v>
      </c>
      <c r="MK5" t="s">
        <v>1594</v>
      </c>
      <c r="ML5">
        <v>2025</v>
      </c>
      <c r="MM5" t="s">
        <v>1781</v>
      </c>
      <c r="MN5" s="6">
        <v>46001</v>
      </c>
      <c r="MO5">
        <v>5</v>
      </c>
      <c r="MP5">
        <v>1658850048</v>
      </c>
      <c r="MQ5">
        <v>1499717</v>
      </c>
      <c r="MR5" t="s">
        <v>1702</v>
      </c>
      <c r="MW5" t="str">
        <f>_xll.BDS("ETN US Equity","SUPPLY_CHAIN_SUPPLIERS_ALL_DATA","cols=12;rows=5")</f>
        <v>300750 CH Equity</v>
      </c>
      <c r="MX5" t="s">
        <v>1598</v>
      </c>
      <c r="MY5">
        <v>0.33324300000000001</v>
      </c>
      <c r="MZ5">
        <v>1.124708</v>
      </c>
      <c r="NA5" t="s">
        <v>1599</v>
      </c>
      <c r="NB5">
        <v>2025</v>
      </c>
      <c r="NC5" t="s">
        <v>4776</v>
      </c>
      <c r="ND5" s="6">
        <v>46003</v>
      </c>
      <c r="NE5">
        <v>5</v>
      </c>
      <c r="NF5">
        <v>48508656</v>
      </c>
      <c r="NG5">
        <v>51309082</v>
      </c>
      <c r="NH5" t="s">
        <v>4052</v>
      </c>
      <c r="NK5" t="str">
        <f>_xll.BDS("ETN US Equity","SUPPLY_CHAIN_CUSTOMERS_ALL_DATA","cols=12;rows=5")</f>
        <v>WCC US Equity</v>
      </c>
      <c r="NL5">
        <v>4.0427220000000004</v>
      </c>
      <c r="NM5" t="s">
        <v>1598</v>
      </c>
      <c r="NN5">
        <v>5.7870290000000004</v>
      </c>
      <c r="NO5" t="s">
        <v>1599</v>
      </c>
      <c r="NP5">
        <v>2025</v>
      </c>
      <c r="NQ5" t="s">
        <v>4776</v>
      </c>
      <c r="NR5" s="6">
        <v>46003</v>
      </c>
      <c r="NS5">
        <v>5</v>
      </c>
      <c r="NT5">
        <v>282505408</v>
      </c>
      <c r="NU5">
        <v>305945</v>
      </c>
      <c r="NV5" t="s">
        <v>5356</v>
      </c>
      <c r="OA5" t="str">
        <f>_xll.BDS("ADI US Equity","SUPPLY_CHAIN_SUPPLIERS_ALL_DATA","cols=12;rows=5")</f>
        <v>2330 TT Equity</v>
      </c>
      <c r="OB5" t="s">
        <v>1598</v>
      </c>
      <c r="OC5">
        <v>0.61123300000000003</v>
      </c>
      <c r="OD5">
        <v>16.418195999999998</v>
      </c>
      <c r="OE5" t="s">
        <v>1606</v>
      </c>
      <c r="OF5">
        <v>2024</v>
      </c>
      <c r="OG5" t="s">
        <v>3144</v>
      </c>
      <c r="OH5" s="6">
        <v>45741</v>
      </c>
      <c r="OI5">
        <v>5</v>
      </c>
      <c r="OJ5">
        <v>164090989.06</v>
      </c>
      <c r="OK5">
        <v>153737</v>
      </c>
      <c r="OL5" t="s">
        <v>2584</v>
      </c>
      <c r="OO5" t="str">
        <f>_xll.BDS("ADI US Equity","SUPPLY_CHAIN_CUSTOMERS_ALL_DATA","cols=12;rows=5")</f>
        <v>ARW US Equity</v>
      </c>
      <c r="OP5">
        <v>23.97711</v>
      </c>
      <c r="OQ5" t="s">
        <v>1598</v>
      </c>
      <c r="OR5">
        <v>10.259909</v>
      </c>
      <c r="OS5" t="s">
        <v>1599</v>
      </c>
      <c r="OT5">
        <v>2025</v>
      </c>
      <c r="OU5" t="s">
        <v>2562</v>
      </c>
      <c r="OV5" s="6">
        <v>45891</v>
      </c>
      <c r="OW5">
        <v>5</v>
      </c>
      <c r="OX5">
        <v>690624192</v>
      </c>
      <c r="OY5">
        <v>100115</v>
      </c>
      <c r="OZ5" t="s">
        <v>1893</v>
      </c>
      <c r="PE5" t="str">
        <f>_xll.BDS("UNH US Equity","SUPPLY_CHAIN_SUPPLIERS_ALL_DATA","cols=12;rows=5")</f>
        <v>VRTX US Equity</v>
      </c>
      <c r="PF5" t="s">
        <v>1598</v>
      </c>
      <c r="PG5">
        <v>9.6255240000000004</v>
      </c>
      <c r="PH5">
        <v>0.32416699999999998</v>
      </c>
      <c r="PI5" t="s">
        <v>1606</v>
      </c>
      <c r="PJ5">
        <v>2025</v>
      </c>
      <c r="PK5" t="s">
        <v>2965</v>
      </c>
      <c r="PL5" s="6">
        <v>46077</v>
      </c>
      <c r="PM5">
        <v>5</v>
      </c>
      <c r="PN5">
        <v>307054208</v>
      </c>
      <c r="PO5">
        <v>107741</v>
      </c>
      <c r="PP5" t="s">
        <v>2966</v>
      </c>
      <c r="PS5" t="str">
        <f>_xll.BDS("UNH US Equity","SUPPLY_CHAIN_CUSTOMERS_ALL_DATA","cols=12;rows=5")</f>
        <v>9877893Z US Equity</v>
      </c>
      <c r="PT5">
        <v>40</v>
      </c>
      <c r="PV5">
        <v>-2.4245362661989844E-14</v>
      </c>
      <c r="PW5" t="s">
        <v>1594</v>
      </c>
      <c r="PX5">
        <v>2024</v>
      </c>
      <c r="PY5" t="s">
        <v>2840</v>
      </c>
      <c r="PZ5" s="6">
        <v>45715</v>
      </c>
      <c r="QA5">
        <v>5</v>
      </c>
      <c r="QB5">
        <v>40027799552</v>
      </c>
      <c r="QC5">
        <v>17483390</v>
      </c>
      <c r="QD5" t="s">
        <v>2729</v>
      </c>
      <c r="QI5" t="str">
        <f>_xll.BDS("BX US Equity","SUPPLY_CHAIN_SUPPLIERS_ALL_DATA","cols=12;rows=5")</f>
        <v>ORCL US Equity</v>
      </c>
      <c r="QJ5" t="s">
        <v>1598</v>
      </c>
      <c r="QK5">
        <v>3.7003000000000001E-2</v>
      </c>
      <c r="QL5">
        <v>0.33128000000000002</v>
      </c>
      <c r="QM5" t="s">
        <v>1606</v>
      </c>
      <c r="QN5">
        <v>2025</v>
      </c>
      <c r="QO5" t="s">
        <v>2251</v>
      </c>
      <c r="QP5" s="6">
        <v>45848</v>
      </c>
      <c r="QQ5">
        <v>5</v>
      </c>
      <c r="QR5">
        <v>5884587</v>
      </c>
      <c r="QS5">
        <v>101752</v>
      </c>
      <c r="QT5" t="s">
        <v>2265</v>
      </c>
      <c r="QW5" t="str">
        <f>_xll.BDS("BX US Equity","SUPPLY_CHAIN_CUSTOMERS_ALL_DATA","cols=12;rows=5")</f>
        <v>002284 CH Equity</v>
      </c>
      <c r="QX5">
        <v>-2.4245362661989844E-14</v>
      </c>
      <c r="QZ5">
        <v>-2.4245362661989844E-14</v>
      </c>
      <c r="RA5" t="s">
        <v>1594</v>
      </c>
      <c r="RB5">
        <v>2024</v>
      </c>
      <c r="RC5" t="s">
        <v>1789</v>
      </c>
      <c r="RD5" s="6">
        <v>45744</v>
      </c>
      <c r="RE5">
        <v>5</v>
      </c>
      <c r="RF5">
        <v>-2.4245362661989844E-14</v>
      </c>
      <c r="RG5">
        <v>15069854</v>
      </c>
      <c r="RH5" t="s">
        <v>1790</v>
      </c>
      <c r="RM5" t="str">
        <f>_xll.BDS("CVX US Equity","SUPPLY_CHAIN_SUPPLIERS_ALL_DATA","cols=12;rows=5")</f>
        <v>RIG US Equity</v>
      </c>
      <c r="RN5" t="s">
        <v>1634</v>
      </c>
      <c r="RO5">
        <v>14.893827999999999</v>
      </c>
      <c r="RP5">
        <v>3.5820059999999998</v>
      </c>
      <c r="RQ5" t="s">
        <v>1606</v>
      </c>
      <c r="RR5">
        <v>2025</v>
      </c>
      <c r="RS5" t="s">
        <v>4441</v>
      </c>
      <c r="RT5" s="6">
        <v>46090</v>
      </c>
      <c r="RU5">
        <v>5</v>
      </c>
      <c r="RV5">
        <v>155342624</v>
      </c>
      <c r="RW5">
        <v>119077</v>
      </c>
      <c r="RX5" t="s">
        <v>4442</v>
      </c>
      <c r="SA5" t="str">
        <f>_xll.BDS("CVX US Equity","SUPPLY_CHAIN_CUSTOMERS_ALL_DATA","cols=12;rows=5")</f>
        <v>UGPA3 BZ Equity</v>
      </c>
      <c r="SB5">
        <v>8.6980000000000002E-2</v>
      </c>
      <c r="SC5" t="s">
        <v>1598</v>
      </c>
      <c r="SD5">
        <v>0.76061900000000005</v>
      </c>
      <c r="SE5" t="s">
        <v>1594</v>
      </c>
      <c r="SF5">
        <v>2024</v>
      </c>
      <c r="SG5" t="s">
        <v>3563</v>
      </c>
      <c r="SH5" s="6">
        <v>45770</v>
      </c>
      <c r="SI5">
        <v>5</v>
      </c>
      <c r="SJ5">
        <v>43856224.539999999</v>
      </c>
      <c r="SK5">
        <v>825248</v>
      </c>
      <c r="SL5" t="s">
        <v>3564</v>
      </c>
      <c r="SQ5" t="str">
        <f>_xll.BDS("KR US Equity","SUPPLY_CHAIN_SUPPLIERS_ALL_DATA","cols=12;rows=5")</f>
        <v>CAH US Equity</v>
      </c>
      <c r="SR5" t="s">
        <v>1598</v>
      </c>
      <c r="SS5">
        <v>3.1469290000000001</v>
      </c>
      <c r="ST5">
        <v>7.2451629999999998</v>
      </c>
      <c r="SU5" t="s">
        <v>1606</v>
      </c>
      <c r="SV5">
        <v>2025</v>
      </c>
      <c r="SW5" t="s">
        <v>1822</v>
      </c>
      <c r="SX5" s="6">
        <v>45954</v>
      </c>
      <c r="SY5">
        <v>5</v>
      </c>
      <c r="SZ5">
        <v>1893160960</v>
      </c>
      <c r="TA5">
        <v>102782</v>
      </c>
      <c r="TB5" t="s">
        <v>1626</v>
      </c>
      <c r="TE5" t="str">
        <f>_xll.BDS("KR US Equity","SUPPLY_CHAIN_CUSTOMERS_ALL_DATA","cols=12;rows=1")</f>
        <v>TTD US Equity</v>
      </c>
      <c r="TF5">
        <v>-2.4245362661989844E-14</v>
      </c>
      <c r="TH5">
        <v>-2.4245362661989844E-14</v>
      </c>
      <c r="TI5" t="s">
        <v>1599</v>
      </c>
      <c r="TJ5">
        <v>2025</v>
      </c>
      <c r="TK5" t="s">
        <v>3529</v>
      </c>
      <c r="TL5" s="6">
        <v>45971</v>
      </c>
      <c r="TM5">
        <v>1</v>
      </c>
      <c r="TN5">
        <v>-2.4245362661989844E-14</v>
      </c>
      <c r="TO5">
        <v>39234675</v>
      </c>
      <c r="TP5" t="s">
        <v>3530</v>
      </c>
      <c r="TU5" t="str">
        <f>_xll.BDS("LUMN US Equity","SUPPLY_CHAIN_SUPPLIERS_ALL_DATA","cols=12;rows=5")</f>
        <v>DY US Equity</v>
      </c>
      <c r="TV5" t="s">
        <v>1634</v>
      </c>
      <c r="TW5">
        <v>11.7</v>
      </c>
      <c r="TX5">
        <v>16.359269999999999</v>
      </c>
      <c r="TY5" t="s">
        <v>1599</v>
      </c>
      <c r="TZ5">
        <v>2026</v>
      </c>
      <c r="UA5" t="s">
        <v>3185</v>
      </c>
      <c r="UB5" s="6">
        <v>45981</v>
      </c>
      <c r="UC5">
        <v>5</v>
      </c>
      <c r="UD5">
        <v>170300000</v>
      </c>
      <c r="UE5">
        <v>100487</v>
      </c>
      <c r="UF5" t="s">
        <v>3186</v>
      </c>
      <c r="UI5" t="str">
        <f>_xll.BDS("LUMN US Equity","SUPPLY_CHAIN_CUSTOMERS_ALL_DATA","cols=12;rows=5")</f>
        <v>728 HK Equity</v>
      </c>
      <c r="UJ5">
        <v>1.3918710000000001</v>
      </c>
      <c r="UK5" t="s">
        <v>1598</v>
      </c>
      <c r="UL5">
        <v>0.33867900000000001</v>
      </c>
      <c r="UM5" t="s">
        <v>1664</v>
      </c>
      <c r="UN5">
        <v>2025</v>
      </c>
      <c r="UO5" t="s">
        <v>3725</v>
      </c>
      <c r="UP5" s="6">
        <v>45888</v>
      </c>
      <c r="UQ5">
        <v>5</v>
      </c>
      <c r="UR5">
        <v>42968957.090000004</v>
      </c>
      <c r="US5">
        <v>7001331</v>
      </c>
      <c r="UT5" t="s">
        <v>3726</v>
      </c>
      <c r="UY5" t="str">
        <f>_xll.BDS("IQV US Equity","SUPPLY_CHAIN_SUPPLIERS_ALL_DATA","cols=12;rows=5")</f>
        <v>DSY FP Equity</v>
      </c>
      <c r="UZ5" t="s">
        <v>1634</v>
      </c>
      <c r="VA5">
        <v>2.6016999999999998E-2</v>
      </c>
      <c r="VB5">
        <v>0.297234</v>
      </c>
      <c r="VC5" t="s">
        <v>1664</v>
      </c>
      <c r="VD5">
        <v>2025</v>
      </c>
      <c r="VE5" t="s">
        <v>3043</v>
      </c>
      <c r="VF5" s="6">
        <v>45922</v>
      </c>
      <c r="VG5">
        <v>5</v>
      </c>
      <c r="VH5">
        <v>448645.14</v>
      </c>
      <c r="VI5">
        <v>186659</v>
      </c>
      <c r="VJ5" t="s">
        <v>3044</v>
      </c>
      <c r="VM5" t="str">
        <f>_xll.BDS("IQV US Equity","SUPPLY_CHAIN_CUSTOMERS_ALL_DATA","cols=12;rows=5")</f>
        <v>2565 HK Equity</v>
      </c>
      <c r="VN5">
        <v>2.846E-3</v>
      </c>
      <c r="VO5" t="s">
        <v>1598</v>
      </c>
      <c r="VP5">
        <v>1.1061559999999999</v>
      </c>
      <c r="VQ5" t="s">
        <v>1594</v>
      </c>
      <c r="VR5">
        <v>2024</v>
      </c>
      <c r="VS5" t="s">
        <v>5589</v>
      </c>
      <c r="VT5" s="6">
        <v>45796</v>
      </c>
      <c r="VU5">
        <v>5</v>
      </c>
      <c r="VV5">
        <v>110595.57</v>
      </c>
      <c r="VW5">
        <v>72388001</v>
      </c>
      <c r="VX5" t="s">
        <v>5590</v>
      </c>
    </row>
    <row r="6" spans="1:600" x14ac:dyDescent="0.25">
      <c r="A6" t="s">
        <v>3397</v>
      </c>
      <c r="B6" t="s">
        <v>1634</v>
      </c>
      <c r="C6">
        <v>6.6028770000000003</v>
      </c>
      <c r="D6">
        <v>5.0506979999999997</v>
      </c>
      <c r="E6" t="s">
        <v>1664</v>
      </c>
      <c r="F6">
        <v>2025</v>
      </c>
      <c r="G6" t="s">
        <v>3398</v>
      </c>
      <c r="H6" s="6">
        <v>45915</v>
      </c>
      <c r="I6">
        <v>5</v>
      </c>
      <c r="J6">
        <v>245362912</v>
      </c>
      <c r="K6">
        <v>101464</v>
      </c>
      <c r="L6" t="s">
        <v>3399</v>
      </c>
      <c r="O6" t="s">
        <v>2492</v>
      </c>
      <c r="P6">
        <v>1.615089</v>
      </c>
      <c r="Q6" t="s">
        <v>1598</v>
      </c>
      <c r="R6">
        <v>12.136977999999999</v>
      </c>
      <c r="S6" t="s">
        <v>1594</v>
      </c>
      <c r="T6">
        <v>2024</v>
      </c>
      <c r="U6" t="s">
        <v>2944</v>
      </c>
      <c r="V6" s="6">
        <v>45712</v>
      </c>
      <c r="W6">
        <v>5</v>
      </c>
      <c r="X6">
        <v>1712931072</v>
      </c>
      <c r="Y6">
        <v>9917432</v>
      </c>
      <c r="Z6" t="s">
        <v>2493</v>
      </c>
      <c r="BI6" t="s">
        <v>3655</v>
      </c>
      <c r="BJ6" t="s">
        <v>1634</v>
      </c>
      <c r="BK6">
        <v>4.4260219999999997</v>
      </c>
      <c r="BL6">
        <v>7.9928030000000003</v>
      </c>
      <c r="BM6" t="s">
        <v>1664</v>
      </c>
      <c r="BN6">
        <v>2025</v>
      </c>
      <c r="BO6" t="s">
        <v>3656</v>
      </c>
      <c r="BP6" s="6">
        <v>45889</v>
      </c>
      <c r="BQ6">
        <v>5</v>
      </c>
      <c r="BR6">
        <v>2574419440.6399999</v>
      </c>
      <c r="BS6">
        <v>119133</v>
      </c>
      <c r="BT6" t="s">
        <v>3657</v>
      </c>
      <c r="BW6" t="s">
        <v>117</v>
      </c>
      <c r="BX6">
        <v>0.167933</v>
      </c>
      <c r="BY6" t="s">
        <v>1598</v>
      </c>
      <c r="BZ6">
        <v>4.0156150000000004</v>
      </c>
      <c r="CA6" t="s">
        <v>1603</v>
      </c>
      <c r="CB6">
        <v>2025</v>
      </c>
      <c r="CC6" t="s">
        <v>1744</v>
      </c>
      <c r="CD6" s="6">
        <v>45797</v>
      </c>
      <c r="CE6">
        <v>5</v>
      </c>
      <c r="CF6">
        <v>261416544</v>
      </c>
      <c r="CG6">
        <v>100801</v>
      </c>
      <c r="CH6" t="s">
        <v>1745</v>
      </c>
      <c r="DQ6" t="s">
        <v>2964</v>
      </c>
      <c r="DR6" t="s">
        <v>1598</v>
      </c>
      <c r="DS6">
        <v>4.3933309999999999</v>
      </c>
      <c r="DT6">
        <v>0.332347</v>
      </c>
      <c r="DU6" t="s">
        <v>1606</v>
      </c>
      <c r="DV6">
        <v>2025</v>
      </c>
      <c r="DW6" t="s">
        <v>2965</v>
      </c>
      <c r="DX6" s="6">
        <v>46077</v>
      </c>
      <c r="DY6">
        <v>5</v>
      </c>
      <c r="DZ6">
        <v>140147264</v>
      </c>
      <c r="EA6">
        <v>107741</v>
      </c>
      <c r="EB6" t="s">
        <v>2966</v>
      </c>
      <c r="EE6" t="s">
        <v>2452</v>
      </c>
      <c r="EF6">
        <v>6.22</v>
      </c>
      <c r="EH6">
        <v>-2.4245362661989844E-14</v>
      </c>
      <c r="EI6" t="s">
        <v>1603</v>
      </c>
      <c r="EJ6">
        <v>2025</v>
      </c>
      <c r="EK6" t="s">
        <v>2450</v>
      </c>
      <c r="EL6" s="6">
        <v>45839</v>
      </c>
      <c r="EM6">
        <v>5</v>
      </c>
      <c r="EN6">
        <v>2899763968</v>
      </c>
      <c r="EO6">
        <v>952397</v>
      </c>
      <c r="EP6" t="s">
        <v>2453</v>
      </c>
      <c r="EU6" t="s">
        <v>2335</v>
      </c>
      <c r="EV6" t="s">
        <v>1598</v>
      </c>
      <c r="EW6">
        <v>2.2218999999999999E-2</v>
      </c>
      <c r="EX6">
        <v>0.16142799999999999</v>
      </c>
      <c r="EY6" t="s">
        <v>1664</v>
      </c>
      <c r="EZ6">
        <v>2026</v>
      </c>
      <c r="FA6" t="s">
        <v>2336</v>
      </c>
      <c r="FB6" s="6">
        <v>46071</v>
      </c>
      <c r="FC6">
        <v>5</v>
      </c>
      <c r="FD6">
        <v>1210713</v>
      </c>
      <c r="FE6">
        <v>61417091</v>
      </c>
      <c r="FF6" t="s">
        <v>2337</v>
      </c>
      <c r="FI6" t="s">
        <v>277</v>
      </c>
      <c r="FJ6">
        <v>15</v>
      </c>
      <c r="FK6" t="s">
        <v>1598</v>
      </c>
      <c r="FL6">
        <v>0.43576500000000001</v>
      </c>
      <c r="FM6" t="s">
        <v>1594</v>
      </c>
      <c r="FN6">
        <v>2024</v>
      </c>
      <c r="FO6" t="s">
        <v>4769</v>
      </c>
      <c r="FP6" s="6">
        <v>45708</v>
      </c>
      <c r="FQ6">
        <v>5</v>
      </c>
      <c r="FR6">
        <v>360937504</v>
      </c>
      <c r="FS6">
        <v>154936</v>
      </c>
      <c r="FT6" t="s">
        <v>1766</v>
      </c>
      <c r="FY6" t="s">
        <v>3363</v>
      </c>
      <c r="FZ6" t="s">
        <v>1598</v>
      </c>
      <c r="GA6">
        <v>16.5</v>
      </c>
      <c r="GB6">
        <v>1.195584</v>
      </c>
      <c r="GC6" t="s">
        <v>1594</v>
      </c>
      <c r="GD6">
        <v>2024</v>
      </c>
      <c r="GE6" t="s">
        <v>3364</v>
      </c>
      <c r="GF6" s="6">
        <v>45714</v>
      </c>
      <c r="GG6">
        <v>5</v>
      </c>
      <c r="GH6">
        <v>120900408</v>
      </c>
      <c r="GI6">
        <v>69848998</v>
      </c>
      <c r="GJ6" t="s">
        <v>3365</v>
      </c>
      <c r="GM6" t="s">
        <v>2883</v>
      </c>
      <c r="GN6">
        <v>-2.4245362661989844E-14</v>
      </c>
      <c r="GP6">
        <v>-2.4245362661989844E-14</v>
      </c>
      <c r="GQ6" t="s">
        <v>1594</v>
      </c>
      <c r="GR6">
        <v>2024</v>
      </c>
      <c r="GS6" t="s">
        <v>2881</v>
      </c>
      <c r="GT6" s="6">
        <v>45706</v>
      </c>
      <c r="GU6">
        <v>5</v>
      </c>
      <c r="GV6">
        <v>-2.4245362661989844E-14</v>
      </c>
      <c r="GW6">
        <v>113896</v>
      </c>
      <c r="GX6" t="s">
        <v>2884</v>
      </c>
      <c r="HC6" t="s">
        <v>2361</v>
      </c>
      <c r="HD6" t="s">
        <v>1598</v>
      </c>
      <c r="HE6">
        <v>12.627013</v>
      </c>
      <c r="HF6">
        <v>0.18209500000000001</v>
      </c>
      <c r="HG6" t="s">
        <v>1599</v>
      </c>
      <c r="HH6">
        <v>2025</v>
      </c>
      <c r="HI6" t="s">
        <v>3406</v>
      </c>
      <c r="HJ6" s="6">
        <v>46050</v>
      </c>
      <c r="HK6">
        <v>5</v>
      </c>
      <c r="HL6">
        <v>172482464</v>
      </c>
      <c r="HM6">
        <v>126255</v>
      </c>
      <c r="HN6" t="s">
        <v>2363</v>
      </c>
      <c r="HQ6" t="s">
        <v>1621</v>
      </c>
      <c r="HR6">
        <v>-2.4245362661989844E-14</v>
      </c>
      <c r="HT6">
        <v>-2.4245362661989844E-14</v>
      </c>
      <c r="HU6" t="s">
        <v>1594</v>
      </c>
      <c r="HV6">
        <v>2024</v>
      </c>
      <c r="HW6" t="s">
        <v>2840</v>
      </c>
      <c r="HX6" s="6">
        <v>45715</v>
      </c>
      <c r="HY6">
        <v>5</v>
      </c>
      <c r="HZ6">
        <v>-2.4245362661989844E-14</v>
      </c>
      <c r="IA6">
        <v>218252</v>
      </c>
      <c r="IB6" t="s">
        <v>1622</v>
      </c>
      <c r="IG6" t="s">
        <v>6124</v>
      </c>
      <c r="II6">
        <v>-2.4245362661989844E-14</v>
      </c>
      <c r="IJ6">
        <v>-2.4245362661989844E-14</v>
      </c>
      <c r="IK6" t="s">
        <v>1594</v>
      </c>
      <c r="IL6">
        <v>2024</v>
      </c>
      <c r="IM6" t="s">
        <v>6125</v>
      </c>
      <c r="IN6" s="6">
        <v>45771</v>
      </c>
      <c r="IO6">
        <v>5</v>
      </c>
      <c r="IP6">
        <v>-2.4245362661989844E-14</v>
      </c>
      <c r="IQ6">
        <v>135823</v>
      </c>
      <c r="IR6" t="s">
        <v>6126</v>
      </c>
      <c r="IU6" t="s">
        <v>2858</v>
      </c>
      <c r="IV6">
        <v>-2.4245362661989844E-14</v>
      </c>
      <c r="IX6">
        <v>-2.4245362661989844E-14</v>
      </c>
      <c r="IY6" t="s">
        <v>1594</v>
      </c>
      <c r="IZ6">
        <v>2022</v>
      </c>
      <c r="JA6" t="s">
        <v>5720</v>
      </c>
      <c r="JB6" s="6">
        <v>44714</v>
      </c>
      <c r="JC6">
        <v>2</v>
      </c>
      <c r="JD6">
        <v>-2.4245362661989844E-14</v>
      </c>
      <c r="JE6">
        <v>313021</v>
      </c>
      <c r="JF6" t="s">
        <v>2860</v>
      </c>
      <c r="JK6" t="s">
        <v>5866</v>
      </c>
      <c r="JM6">
        <v>-2.4245362661989844E-14</v>
      </c>
      <c r="JN6">
        <v>-2.4245362661989844E-14</v>
      </c>
      <c r="JO6" t="s">
        <v>1594</v>
      </c>
      <c r="JP6">
        <v>2024</v>
      </c>
      <c r="JQ6" t="s">
        <v>5867</v>
      </c>
      <c r="JR6" s="6">
        <v>45800</v>
      </c>
      <c r="JS6">
        <v>5</v>
      </c>
      <c r="JT6">
        <v>-2.4245362661989844E-14</v>
      </c>
      <c r="JU6">
        <v>117379</v>
      </c>
      <c r="JV6" t="s">
        <v>5868</v>
      </c>
      <c r="KO6" t="s">
        <v>3732</v>
      </c>
      <c r="KP6" t="s">
        <v>1634</v>
      </c>
      <c r="KQ6">
        <v>0.31543399999999999</v>
      </c>
      <c r="KR6">
        <v>1.152458</v>
      </c>
      <c r="KS6" t="s">
        <v>1664</v>
      </c>
      <c r="KT6">
        <v>2025</v>
      </c>
      <c r="KU6" t="s">
        <v>3733</v>
      </c>
      <c r="KV6" s="6">
        <v>45912</v>
      </c>
      <c r="KW6">
        <v>5</v>
      </c>
      <c r="KX6">
        <v>4690504</v>
      </c>
      <c r="KY6">
        <v>101455</v>
      </c>
      <c r="KZ6" t="s">
        <v>3734</v>
      </c>
      <c r="LC6" t="s">
        <v>4682</v>
      </c>
      <c r="LD6">
        <v>-2.4245362661989844E-14</v>
      </c>
      <c r="LF6">
        <v>-2.4245362661989844E-14</v>
      </c>
      <c r="LG6" t="s">
        <v>1606</v>
      </c>
      <c r="LH6">
        <v>2024</v>
      </c>
      <c r="LI6" t="s">
        <v>4683</v>
      </c>
      <c r="LJ6" s="6">
        <v>45739</v>
      </c>
      <c r="LK6">
        <v>2</v>
      </c>
      <c r="LL6">
        <v>-2.4245362661989844E-14</v>
      </c>
      <c r="LM6">
        <v>68879506</v>
      </c>
      <c r="LN6" t="s">
        <v>4684</v>
      </c>
      <c r="LS6" t="s">
        <v>275</v>
      </c>
      <c r="LT6" t="s">
        <v>1598</v>
      </c>
      <c r="LU6">
        <v>12.003353000000001</v>
      </c>
      <c r="LV6">
        <v>14.056165999999999</v>
      </c>
      <c r="LW6" t="s">
        <v>1606</v>
      </c>
      <c r="LX6">
        <v>2025</v>
      </c>
      <c r="LY6" t="s">
        <v>2228</v>
      </c>
      <c r="LZ6" s="6">
        <v>46048</v>
      </c>
      <c r="MA6">
        <v>5</v>
      </c>
      <c r="MB6">
        <v>1641338496</v>
      </c>
      <c r="MC6">
        <v>101729</v>
      </c>
      <c r="MD6" t="s">
        <v>2229</v>
      </c>
      <c r="MG6" t="s">
        <v>1774</v>
      </c>
      <c r="MH6">
        <v>1.5894710000000001</v>
      </c>
      <c r="MI6" t="s">
        <v>1598</v>
      </c>
      <c r="MJ6">
        <v>2.6168589999999998</v>
      </c>
      <c r="MK6" t="s">
        <v>1664</v>
      </c>
      <c r="ML6">
        <v>2026</v>
      </c>
      <c r="MM6" t="s">
        <v>1782</v>
      </c>
      <c r="MN6" s="6">
        <v>45932</v>
      </c>
      <c r="MO6">
        <v>5</v>
      </c>
      <c r="MP6">
        <v>221445152</v>
      </c>
      <c r="MQ6">
        <v>100197</v>
      </c>
      <c r="MR6" t="s">
        <v>1775</v>
      </c>
      <c r="MW6" t="s">
        <v>5478</v>
      </c>
      <c r="MX6" t="s">
        <v>1598</v>
      </c>
      <c r="MY6">
        <v>0.15429000000000001</v>
      </c>
      <c r="MZ6">
        <v>1.110466</v>
      </c>
      <c r="NA6" t="s">
        <v>1599</v>
      </c>
      <c r="NB6">
        <v>2024</v>
      </c>
      <c r="NC6" t="s">
        <v>4776</v>
      </c>
      <c r="ND6" s="6">
        <v>45667</v>
      </c>
      <c r="NE6">
        <v>5</v>
      </c>
      <c r="NF6">
        <v>43297068</v>
      </c>
      <c r="NG6">
        <v>7791092</v>
      </c>
      <c r="NH6" t="s">
        <v>5479</v>
      </c>
      <c r="NK6" t="s">
        <v>2589</v>
      </c>
      <c r="NL6">
        <v>2.9171480000000001</v>
      </c>
      <c r="NM6" t="s">
        <v>1598</v>
      </c>
      <c r="NN6">
        <v>3.8580190000000001</v>
      </c>
      <c r="NO6" t="s">
        <v>1599</v>
      </c>
      <c r="NP6">
        <v>2025</v>
      </c>
      <c r="NQ6" t="s">
        <v>4776</v>
      </c>
      <c r="NR6" s="6">
        <v>46003</v>
      </c>
      <c r="NS6">
        <v>5</v>
      </c>
      <c r="NT6">
        <v>203850304</v>
      </c>
      <c r="NU6">
        <v>100142</v>
      </c>
      <c r="NV6" t="s">
        <v>2591</v>
      </c>
      <c r="OA6" t="s">
        <v>3151</v>
      </c>
      <c r="OB6" t="s">
        <v>1598</v>
      </c>
      <c r="OC6">
        <v>2.6911640000000001</v>
      </c>
      <c r="OD6">
        <v>3.358209</v>
      </c>
      <c r="OE6" t="s">
        <v>1603</v>
      </c>
      <c r="OF6">
        <v>2025</v>
      </c>
      <c r="OG6" t="s">
        <v>3152</v>
      </c>
      <c r="OH6" s="6">
        <v>45804</v>
      </c>
      <c r="OI6">
        <v>5</v>
      </c>
      <c r="OJ6">
        <v>34530392.880000003</v>
      </c>
      <c r="OK6">
        <v>8118223</v>
      </c>
      <c r="OL6" t="s">
        <v>3153</v>
      </c>
      <c r="OO6" t="s">
        <v>2690</v>
      </c>
      <c r="OP6">
        <v>10.175205999999999</v>
      </c>
      <c r="OQ6" t="s">
        <v>1598</v>
      </c>
      <c r="OR6">
        <v>3.635691</v>
      </c>
      <c r="OS6" t="s">
        <v>1599</v>
      </c>
      <c r="OT6">
        <v>2025</v>
      </c>
      <c r="OU6" t="s">
        <v>2562</v>
      </c>
      <c r="OV6" s="6">
        <v>45891</v>
      </c>
      <c r="OW6">
        <v>5</v>
      </c>
      <c r="OX6">
        <v>293081344</v>
      </c>
      <c r="OY6">
        <v>1459396</v>
      </c>
      <c r="OZ6" t="s">
        <v>2692</v>
      </c>
      <c r="PE6" t="s">
        <v>2361</v>
      </c>
      <c r="PF6" t="s">
        <v>1598</v>
      </c>
      <c r="PG6">
        <v>12.627013</v>
      </c>
      <c r="PH6">
        <v>0.18209500000000001</v>
      </c>
      <c r="PI6" t="s">
        <v>1599</v>
      </c>
      <c r="PJ6">
        <v>2025</v>
      </c>
      <c r="PK6" t="s">
        <v>3406</v>
      </c>
      <c r="PL6" s="6">
        <v>46050</v>
      </c>
      <c r="PM6">
        <v>5</v>
      </c>
      <c r="PN6">
        <v>172482464</v>
      </c>
      <c r="PO6">
        <v>126255</v>
      </c>
      <c r="PP6" t="s">
        <v>2363</v>
      </c>
      <c r="PS6" t="s">
        <v>1621</v>
      </c>
      <c r="PT6">
        <v>-2.4245362661989844E-14</v>
      </c>
      <c r="PV6">
        <v>-2.4245362661989844E-14</v>
      </c>
      <c r="PW6" t="s">
        <v>1594</v>
      </c>
      <c r="PX6">
        <v>2024</v>
      </c>
      <c r="PY6" t="s">
        <v>2840</v>
      </c>
      <c r="PZ6" s="6">
        <v>45715</v>
      </c>
      <c r="QA6">
        <v>5</v>
      </c>
      <c r="QB6">
        <v>-2.4245362661989844E-14</v>
      </c>
      <c r="QC6">
        <v>218252</v>
      </c>
      <c r="QD6" t="s">
        <v>1622</v>
      </c>
      <c r="QI6" t="s">
        <v>2266</v>
      </c>
      <c r="QJ6" t="s">
        <v>1685</v>
      </c>
      <c r="QK6">
        <v>0.597939</v>
      </c>
      <c r="QL6">
        <v>5.9714000000000003E-2</v>
      </c>
      <c r="QM6" t="s">
        <v>1594</v>
      </c>
      <c r="QN6">
        <v>2024</v>
      </c>
      <c r="QO6" t="s">
        <v>2267</v>
      </c>
      <c r="QP6" s="6">
        <v>45694</v>
      </c>
      <c r="QQ6">
        <v>5</v>
      </c>
      <c r="QR6">
        <v>957052.25</v>
      </c>
      <c r="QS6">
        <v>103579</v>
      </c>
      <c r="QT6" t="s">
        <v>2268</v>
      </c>
      <c r="QW6" t="s">
        <v>1791</v>
      </c>
      <c r="QX6">
        <v>-2.4245362661989844E-14</v>
      </c>
      <c r="QZ6">
        <v>-2.4245362661989844E-14</v>
      </c>
      <c r="RA6" t="s">
        <v>1792</v>
      </c>
      <c r="RB6">
        <v>2025</v>
      </c>
      <c r="RC6" t="s">
        <v>1793</v>
      </c>
      <c r="RD6" s="6">
        <v>45894</v>
      </c>
      <c r="RE6">
        <v>5</v>
      </c>
      <c r="RF6">
        <v>-2.4245362661989844E-14</v>
      </c>
      <c r="RG6">
        <v>15149577</v>
      </c>
      <c r="RH6" t="s">
        <v>1794</v>
      </c>
      <c r="RM6" t="s">
        <v>3360</v>
      </c>
      <c r="RN6" t="s">
        <v>1634</v>
      </c>
      <c r="RO6">
        <v>3.5035419999999999</v>
      </c>
      <c r="RP6">
        <v>2.537461</v>
      </c>
      <c r="RQ6" t="s">
        <v>1599</v>
      </c>
      <c r="RR6">
        <v>2025</v>
      </c>
      <c r="RS6" t="s">
        <v>3361</v>
      </c>
      <c r="RT6" s="6">
        <v>45971</v>
      </c>
      <c r="RU6">
        <v>5</v>
      </c>
      <c r="RV6">
        <v>104340384</v>
      </c>
      <c r="RW6">
        <v>7912227</v>
      </c>
      <c r="RX6" t="s">
        <v>3362</v>
      </c>
      <c r="SA6" t="s">
        <v>3565</v>
      </c>
      <c r="SB6">
        <v>1.7881000000000001E-2</v>
      </c>
      <c r="SC6" t="s">
        <v>1598</v>
      </c>
      <c r="SD6">
        <v>0.27887899999999999</v>
      </c>
      <c r="SE6" t="s">
        <v>1664</v>
      </c>
      <c r="SF6">
        <v>2025</v>
      </c>
      <c r="SG6" t="s">
        <v>3566</v>
      </c>
      <c r="SH6" s="6">
        <v>45882</v>
      </c>
      <c r="SI6">
        <v>5</v>
      </c>
      <c r="SJ6">
        <v>8645070.5399999991</v>
      </c>
      <c r="SK6">
        <v>115777</v>
      </c>
      <c r="SL6" t="s">
        <v>3567</v>
      </c>
      <c r="SQ6" t="s">
        <v>270</v>
      </c>
      <c r="SR6" t="s">
        <v>1598</v>
      </c>
      <c r="SS6">
        <v>5.077191</v>
      </c>
      <c r="ST6">
        <v>3.3744339999999999</v>
      </c>
      <c r="SU6" t="s">
        <v>1664</v>
      </c>
      <c r="SV6">
        <v>2025</v>
      </c>
      <c r="SW6" t="s">
        <v>2827</v>
      </c>
      <c r="SX6" s="6">
        <v>45855</v>
      </c>
      <c r="SY6">
        <v>5</v>
      </c>
      <c r="SZ6">
        <v>1165900800</v>
      </c>
      <c r="TA6">
        <v>101158</v>
      </c>
      <c r="TB6" t="s">
        <v>4424</v>
      </c>
      <c r="TU6" t="s">
        <v>3886</v>
      </c>
      <c r="TV6" t="s">
        <v>1634</v>
      </c>
      <c r="TW6">
        <v>0.87257700000000005</v>
      </c>
      <c r="TX6">
        <v>3.4366629999999998</v>
      </c>
      <c r="TY6" t="s">
        <v>1599</v>
      </c>
      <c r="TZ6">
        <v>2025</v>
      </c>
      <c r="UA6" t="s">
        <v>3887</v>
      </c>
      <c r="UB6" s="6">
        <v>45982</v>
      </c>
      <c r="UC6">
        <v>5</v>
      </c>
      <c r="UD6">
        <v>35775656</v>
      </c>
      <c r="UE6">
        <v>100399</v>
      </c>
      <c r="UF6" t="s">
        <v>3888</v>
      </c>
      <c r="UI6" t="s">
        <v>1679</v>
      </c>
      <c r="UJ6">
        <v>0.23341500000000001</v>
      </c>
      <c r="UK6" t="s">
        <v>1598</v>
      </c>
      <c r="UL6">
        <v>0.18218400000000001</v>
      </c>
      <c r="UM6" t="s">
        <v>1603</v>
      </c>
      <c r="UN6">
        <v>2025</v>
      </c>
      <c r="UO6" t="s">
        <v>1680</v>
      </c>
      <c r="UP6" s="6">
        <v>45820</v>
      </c>
      <c r="UQ6">
        <v>5</v>
      </c>
      <c r="UR6">
        <v>7427277</v>
      </c>
      <c r="US6">
        <v>12129192</v>
      </c>
      <c r="UT6" t="s">
        <v>1681</v>
      </c>
      <c r="UY6" t="s">
        <v>6205</v>
      </c>
      <c r="VA6">
        <v>-2.4245362661989844E-14</v>
      </c>
      <c r="VB6">
        <v>-2.4245362661989844E-14</v>
      </c>
      <c r="VC6" t="s">
        <v>1594</v>
      </c>
      <c r="VD6">
        <v>2024</v>
      </c>
      <c r="VE6" t="s">
        <v>6206</v>
      </c>
      <c r="VF6" s="6">
        <v>45740</v>
      </c>
      <c r="VG6">
        <v>5</v>
      </c>
      <c r="VH6">
        <v>-2.4245362661989844E-14</v>
      </c>
      <c r="VI6">
        <v>7566407</v>
      </c>
      <c r="VJ6" t="s">
        <v>6207</v>
      </c>
      <c r="VM6" t="s">
        <v>5591</v>
      </c>
      <c r="VN6">
        <v>3.7399999999999998E-4</v>
      </c>
      <c r="VO6" t="s">
        <v>1598</v>
      </c>
      <c r="VP6">
        <v>0.32891500000000001</v>
      </c>
      <c r="VQ6" t="s">
        <v>1651</v>
      </c>
      <c r="VR6">
        <v>2025</v>
      </c>
      <c r="VS6" t="s">
        <v>5592</v>
      </c>
      <c r="VT6" s="6">
        <v>45968</v>
      </c>
      <c r="VU6">
        <v>5</v>
      </c>
      <c r="VV6">
        <v>14865.33</v>
      </c>
      <c r="VW6">
        <v>46755389</v>
      </c>
      <c r="VX6" t="s">
        <v>5593</v>
      </c>
    </row>
    <row r="7" spans="1:600" x14ac:dyDescent="0.25">
      <c r="A7" t="s">
        <v>3400</v>
      </c>
      <c r="B7" t="s">
        <v>1598</v>
      </c>
      <c r="C7">
        <v>18</v>
      </c>
      <c r="D7">
        <v>0.28558099999999997</v>
      </c>
      <c r="E7" t="s">
        <v>1594</v>
      </c>
      <c r="F7">
        <v>2025</v>
      </c>
      <c r="G7" t="s">
        <v>3401</v>
      </c>
      <c r="H7" s="6">
        <v>46079</v>
      </c>
      <c r="I7">
        <v>5</v>
      </c>
      <c r="J7">
        <v>185490768</v>
      </c>
      <c r="K7">
        <v>103442</v>
      </c>
      <c r="L7" t="s">
        <v>3402</v>
      </c>
      <c r="O7" t="s">
        <v>2945</v>
      </c>
      <c r="P7">
        <v>1.5294399999999999</v>
      </c>
      <c r="R7">
        <v>-2.4245362661989844E-14</v>
      </c>
      <c r="S7" t="s">
        <v>1594</v>
      </c>
      <c r="T7">
        <v>2024</v>
      </c>
      <c r="U7" t="s">
        <v>2944</v>
      </c>
      <c r="V7" s="6">
        <v>45712</v>
      </c>
      <c r="W7">
        <v>5</v>
      </c>
      <c r="X7">
        <v>1622093696</v>
      </c>
      <c r="Y7">
        <v>302359</v>
      </c>
      <c r="Z7" t="s">
        <v>2946</v>
      </c>
      <c r="BI7" t="s">
        <v>1907</v>
      </c>
      <c r="BJ7" t="s">
        <v>1598</v>
      </c>
      <c r="BK7">
        <v>10.6</v>
      </c>
      <c r="BL7">
        <v>2.6368399999999999</v>
      </c>
      <c r="BM7" t="s">
        <v>1594</v>
      </c>
      <c r="BN7">
        <v>2025</v>
      </c>
      <c r="BO7" t="s">
        <v>3658</v>
      </c>
      <c r="BP7" s="6">
        <v>46070</v>
      </c>
      <c r="BQ7">
        <v>5</v>
      </c>
      <c r="BR7">
        <v>2349516544</v>
      </c>
      <c r="BS7">
        <v>143027</v>
      </c>
      <c r="BT7" t="s">
        <v>1908</v>
      </c>
      <c r="BW7" t="s">
        <v>1679</v>
      </c>
      <c r="BX7">
        <v>5.8865000000000001E-2</v>
      </c>
      <c r="BY7" t="s">
        <v>1598</v>
      </c>
      <c r="BZ7">
        <v>2.2476859999999999</v>
      </c>
      <c r="CA7" t="s">
        <v>1603</v>
      </c>
      <c r="CB7">
        <v>2025</v>
      </c>
      <c r="CC7" t="s">
        <v>1680</v>
      </c>
      <c r="CD7" s="6">
        <v>45820</v>
      </c>
      <c r="CE7">
        <v>5</v>
      </c>
      <c r="CF7">
        <v>91633664</v>
      </c>
      <c r="CG7">
        <v>12129192</v>
      </c>
      <c r="CH7" t="s">
        <v>1681</v>
      </c>
      <c r="DQ7" t="s">
        <v>2967</v>
      </c>
      <c r="DR7" t="s">
        <v>1685</v>
      </c>
      <c r="DS7">
        <v>20.650155999999999</v>
      </c>
      <c r="DT7">
        <v>1.6579189999999999</v>
      </c>
      <c r="DU7" t="s">
        <v>1594</v>
      </c>
      <c r="DV7">
        <v>2024</v>
      </c>
      <c r="DW7" t="s">
        <v>2968</v>
      </c>
      <c r="DX7" s="6">
        <v>45719</v>
      </c>
      <c r="DY7">
        <v>5</v>
      </c>
      <c r="DZ7">
        <v>51395504</v>
      </c>
      <c r="EA7">
        <v>8992842</v>
      </c>
      <c r="EB7" t="s">
        <v>2969</v>
      </c>
      <c r="EE7" t="s">
        <v>2454</v>
      </c>
      <c r="EF7">
        <v>5.44</v>
      </c>
      <c r="EH7">
        <v>-2.4245362661989844E-14</v>
      </c>
      <c r="EI7" t="s">
        <v>1603</v>
      </c>
      <c r="EJ7">
        <v>2025</v>
      </c>
      <c r="EK7" t="s">
        <v>2450</v>
      </c>
      <c r="EL7" s="6">
        <v>45839</v>
      </c>
      <c r="EM7">
        <v>5</v>
      </c>
      <c r="EN7">
        <v>2536128000</v>
      </c>
      <c r="EO7">
        <v>201826</v>
      </c>
      <c r="EP7" t="s">
        <v>2455</v>
      </c>
      <c r="EU7" t="s">
        <v>4835</v>
      </c>
      <c r="EW7">
        <v>-2.4245362661989844E-14</v>
      </c>
      <c r="EX7">
        <v>-2.4245362661989844E-14</v>
      </c>
      <c r="EY7" t="s">
        <v>1594</v>
      </c>
      <c r="EZ7">
        <v>2025</v>
      </c>
      <c r="FA7" t="s">
        <v>4836</v>
      </c>
      <c r="FB7" s="6">
        <v>45834</v>
      </c>
      <c r="FC7">
        <v>5</v>
      </c>
      <c r="FD7">
        <v>-2.4245362661989844E-14</v>
      </c>
      <c r="FE7">
        <v>113879</v>
      </c>
      <c r="FF7" t="s">
        <v>4837</v>
      </c>
      <c r="FI7" t="s">
        <v>618</v>
      </c>
      <c r="FJ7">
        <v>14</v>
      </c>
      <c r="FK7" t="s">
        <v>1598</v>
      </c>
      <c r="FL7">
        <v>0.62815500000000002</v>
      </c>
      <c r="FM7" t="s">
        <v>1594</v>
      </c>
      <c r="FN7">
        <v>2024</v>
      </c>
      <c r="FO7" t="s">
        <v>4769</v>
      </c>
      <c r="FP7" s="6">
        <v>45708</v>
      </c>
      <c r="FQ7">
        <v>5</v>
      </c>
      <c r="FR7">
        <v>336875008</v>
      </c>
      <c r="FS7">
        <v>102782</v>
      </c>
      <c r="FT7" t="s">
        <v>1626</v>
      </c>
      <c r="FY7" t="s">
        <v>462</v>
      </c>
      <c r="FZ7" t="s">
        <v>1634</v>
      </c>
      <c r="GA7">
        <v>0.23721100000000001</v>
      </c>
      <c r="GB7">
        <v>1.1635139999999999</v>
      </c>
      <c r="GC7" t="s">
        <v>1664</v>
      </c>
      <c r="GD7">
        <v>2025</v>
      </c>
      <c r="GE7" t="s">
        <v>3366</v>
      </c>
      <c r="GF7" s="6">
        <v>45876</v>
      </c>
      <c r="GG7">
        <v>5</v>
      </c>
      <c r="GH7">
        <v>39303492</v>
      </c>
      <c r="GI7">
        <v>100285</v>
      </c>
      <c r="GJ7" t="s">
        <v>1764</v>
      </c>
      <c r="GM7" t="s">
        <v>2885</v>
      </c>
      <c r="GN7">
        <v>-2.4245362661989844E-14</v>
      </c>
      <c r="GP7">
        <v>-2.4245362661989844E-14</v>
      </c>
      <c r="GQ7" t="s">
        <v>1594</v>
      </c>
      <c r="GR7">
        <v>2025</v>
      </c>
      <c r="GS7" t="s">
        <v>2886</v>
      </c>
      <c r="GT7" s="6">
        <v>45989</v>
      </c>
      <c r="GU7">
        <v>5</v>
      </c>
      <c r="GV7">
        <v>-2.4245362661989844E-14</v>
      </c>
      <c r="GW7">
        <v>8762380</v>
      </c>
      <c r="GX7" t="s">
        <v>2887</v>
      </c>
      <c r="HC7" t="s">
        <v>3407</v>
      </c>
      <c r="HD7" t="s">
        <v>1598</v>
      </c>
      <c r="HE7">
        <v>1.035563</v>
      </c>
      <c r="HF7">
        <v>0.169491</v>
      </c>
      <c r="HG7" t="s">
        <v>1599</v>
      </c>
      <c r="HH7">
        <v>2025</v>
      </c>
      <c r="HI7" t="s">
        <v>3408</v>
      </c>
      <c r="HJ7" s="6">
        <v>46080</v>
      </c>
      <c r="HK7">
        <v>5</v>
      </c>
      <c r="HL7">
        <v>160543328</v>
      </c>
      <c r="HM7">
        <v>111093</v>
      </c>
      <c r="HN7" t="s">
        <v>3409</v>
      </c>
      <c r="HQ7" t="s">
        <v>117</v>
      </c>
      <c r="HR7">
        <v>-2.4245362661989844E-14</v>
      </c>
      <c r="HT7">
        <v>-2.4245362661989844E-14</v>
      </c>
      <c r="HU7" t="s">
        <v>1594</v>
      </c>
      <c r="HV7">
        <v>2023</v>
      </c>
      <c r="HW7" t="s">
        <v>2841</v>
      </c>
      <c r="HX7" s="6">
        <v>45398</v>
      </c>
      <c r="HY7">
        <v>5</v>
      </c>
      <c r="HZ7">
        <v>-2.4245362661989844E-14</v>
      </c>
      <c r="IA7">
        <v>100801</v>
      </c>
      <c r="IB7" t="s">
        <v>1745</v>
      </c>
      <c r="IG7" t="s">
        <v>6127</v>
      </c>
      <c r="II7">
        <v>-2.4245362661989844E-14</v>
      </c>
      <c r="IJ7">
        <v>-2.4245362661989844E-14</v>
      </c>
      <c r="IK7" t="s">
        <v>1594</v>
      </c>
      <c r="IL7">
        <v>2024</v>
      </c>
      <c r="IM7" t="s">
        <v>6128</v>
      </c>
      <c r="IN7" s="6">
        <v>45391</v>
      </c>
      <c r="IO7">
        <v>5</v>
      </c>
      <c r="IP7">
        <v>-2.4245362661989844E-14</v>
      </c>
      <c r="IQ7">
        <v>64702311</v>
      </c>
      <c r="IR7" t="s">
        <v>6129</v>
      </c>
      <c r="JK7" t="s">
        <v>5869</v>
      </c>
      <c r="JM7">
        <v>-2.4245362661989844E-14</v>
      </c>
      <c r="JN7">
        <v>-2.4245362661989844E-14</v>
      </c>
      <c r="JO7" t="s">
        <v>1594</v>
      </c>
      <c r="JP7">
        <v>2022</v>
      </c>
      <c r="JQ7" t="s">
        <v>5870</v>
      </c>
      <c r="JR7" s="6">
        <v>45037</v>
      </c>
      <c r="JS7">
        <v>5</v>
      </c>
      <c r="JT7">
        <v>-2.4245362661989844E-14</v>
      </c>
      <c r="JU7">
        <v>17642309</v>
      </c>
      <c r="JV7" t="s">
        <v>5871</v>
      </c>
      <c r="KO7" t="s">
        <v>2095</v>
      </c>
      <c r="KP7" t="s">
        <v>1685</v>
      </c>
      <c r="KQ7">
        <v>2.2000000000000002</v>
      </c>
      <c r="KR7">
        <v>0.28800100000000001</v>
      </c>
      <c r="KS7" t="s">
        <v>1594</v>
      </c>
      <c r="KT7">
        <v>2024</v>
      </c>
      <c r="KU7" t="s">
        <v>2096</v>
      </c>
      <c r="KV7" s="6">
        <v>45722</v>
      </c>
      <c r="KW7">
        <v>5</v>
      </c>
      <c r="KX7">
        <v>1206041.96</v>
      </c>
      <c r="KY7">
        <v>8674508</v>
      </c>
      <c r="KZ7" t="s">
        <v>2097</v>
      </c>
      <c r="LS7" t="s">
        <v>2230</v>
      </c>
      <c r="LT7" t="s">
        <v>1598</v>
      </c>
      <c r="LU7">
        <v>6.8536460000000003</v>
      </c>
      <c r="LV7">
        <v>9.6768190000000001</v>
      </c>
      <c r="LW7" t="s">
        <v>1603</v>
      </c>
      <c r="LX7">
        <v>2025</v>
      </c>
      <c r="LY7" t="s">
        <v>2231</v>
      </c>
      <c r="LZ7" s="6">
        <v>45812</v>
      </c>
      <c r="MA7">
        <v>5</v>
      </c>
      <c r="MB7">
        <v>1011895282.72</v>
      </c>
      <c r="MC7">
        <v>330541</v>
      </c>
      <c r="MD7" t="s">
        <v>2232</v>
      </c>
      <c r="MG7" t="s">
        <v>1783</v>
      </c>
      <c r="MH7">
        <v>1.3641749999999999</v>
      </c>
      <c r="MI7" t="s">
        <v>1598</v>
      </c>
      <c r="MJ7">
        <v>0.69426200000000005</v>
      </c>
      <c r="MK7" t="s">
        <v>1603</v>
      </c>
      <c r="ML7">
        <v>2025</v>
      </c>
      <c r="MM7" t="s">
        <v>1784</v>
      </c>
      <c r="MN7" s="6">
        <v>45797</v>
      </c>
      <c r="MO7">
        <v>5</v>
      </c>
      <c r="MP7">
        <v>183924678.06999999</v>
      </c>
      <c r="MQ7">
        <v>223340</v>
      </c>
      <c r="MR7" t="s">
        <v>1785</v>
      </c>
      <c r="MW7" t="s">
        <v>5480</v>
      </c>
      <c r="MX7" t="s">
        <v>1598</v>
      </c>
      <c r="MY7">
        <v>10.517855000000001</v>
      </c>
      <c r="MZ7">
        <v>0.56149499999999997</v>
      </c>
      <c r="NA7" t="s">
        <v>1599</v>
      </c>
      <c r="NB7">
        <v>2025</v>
      </c>
      <c r="NC7" t="s">
        <v>5481</v>
      </c>
      <c r="ND7" s="6">
        <v>45974</v>
      </c>
      <c r="NE7">
        <v>5</v>
      </c>
      <c r="NF7">
        <v>24221812.379999999</v>
      </c>
      <c r="NG7">
        <v>162709</v>
      </c>
      <c r="NH7" t="s">
        <v>5482</v>
      </c>
      <c r="NK7" t="s">
        <v>1891</v>
      </c>
      <c r="NL7">
        <v>2.3630979999999999</v>
      </c>
      <c r="NM7" t="s">
        <v>1598</v>
      </c>
      <c r="NN7">
        <v>2.494936</v>
      </c>
      <c r="NO7" t="s">
        <v>1603</v>
      </c>
      <c r="NP7">
        <v>2025</v>
      </c>
      <c r="NQ7" t="s">
        <v>4776</v>
      </c>
      <c r="NR7" s="6">
        <v>45806</v>
      </c>
      <c r="NS7">
        <v>5</v>
      </c>
      <c r="NT7">
        <v>150694752</v>
      </c>
      <c r="NU7">
        <v>100115</v>
      </c>
      <c r="NV7" t="s">
        <v>1893</v>
      </c>
      <c r="OA7" t="s">
        <v>3145</v>
      </c>
      <c r="OB7" t="s">
        <v>1598</v>
      </c>
      <c r="OC7">
        <v>0.64693999999999996</v>
      </c>
      <c r="OD7">
        <v>2.8437610000000002</v>
      </c>
      <c r="OE7" t="s">
        <v>1603</v>
      </c>
      <c r="OF7">
        <v>2025</v>
      </c>
      <c r="OG7" t="s">
        <v>3146</v>
      </c>
      <c r="OH7" s="6">
        <v>45819</v>
      </c>
      <c r="OI7">
        <v>5</v>
      </c>
      <c r="OJ7">
        <v>29137083.59</v>
      </c>
      <c r="OK7">
        <v>58244711</v>
      </c>
      <c r="OL7" t="s">
        <v>3147</v>
      </c>
      <c r="OO7" t="s">
        <v>5204</v>
      </c>
      <c r="OP7">
        <v>2.1377619999999999</v>
      </c>
      <c r="OQ7" t="s">
        <v>1598</v>
      </c>
      <c r="OR7">
        <v>0.45856599999999997</v>
      </c>
      <c r="OS7" t="s">
        <v>1599</v>
      </c>
      <c r="OT7">
        <v>2025</v>
      </c>
      <c r="OU7" t="s">
        <v>2562</v>
      </c>
      <c r="OV7" s="6">
        <v>45891</v>
      </c>
      <c r="OW7">
        <v>5</v>
      </c>
      <c r="OX7">
        <v>61574984</v>
      </c>
      <c r="OY7">
        <v>115746</v>
      </c>
      <c r="OZ7" t="s">
        <v>5205</v>
      </c>
      <c r="PE7" t="s">
        <v>3407</v>
      </c>
      <c r="PF7" t="s">
        <v>1598</v>
      </c>
      <c r="PG7">
        <v>1.035563</v>
      </c>
      <c r="PH7">
        <v>0.169491</v>
      </c>
      <c r="PI7" t="s">
        <v>1599</v>
      </c>
      <c r="PJ7">
        <v>2025</v>
      </c>
      <c r="PK7" t="s">
        <v>3408</v>
      </c>
      <c r="PL7" s="6">
        <v>46080</v>
      </c>
      <c r="PM7">
        <v>5</v>
      </c>
      <c r="PN7">
        <v>160543328</v>
      </c>
      <c r="PO7">
        <v>111093</v>
      </c>
      <c r="PP7" t="s">
        <v>3409</v>
      </c>
      <c r="PS7" t="s">
        <v>117</v>
      </c>
      <c r="PT7">
        <v>-2.4245362661989844E-14</v>
      </c>
      <c r="PV7">
        <v>-2.4245362661989844E-14</v>
      </c>
      <c r="PW7" t="s">
        <v>1594</v>
      </c>
      <c r="PX7">
        <v>2023</v>
      </c>
      <c r="PY7" t="s">
        <v>2841</v>
      </c>
      <c r="PZ7" s="6">
        <v>45398</v>
      </c>
      <c r="QA7">
        <v>5</v>
      </c>
      <c r="QB7">
        <v>-2.4245362661989844E-14</v>
      </c>
      <c r="QC7">
        <v>100801</v>
      </c>
      <c r="QD7" t="s">
        <v>1745</v>
      </c>
      <c r="QI7" t="s">
        <v>2269</v>
      </c>
      <c r="QJ7" t="s">
        <v>1598</v>
      </c>
      <c r="QK7">
        <v>7.4065000000000006E-2</v>
      </c>
      <c r="QL7">
        <v>2.879E-3</v>
      </c>
      <c r="QM7" t="s">
        <v>1594</v>
      </c>
      <c r="QN7">
        <v>2024</v>
      </c>
      <c r="QO7" t="s">
        <v>2270</v>
      </c>
      <c r="QP7" s="6">
        <v>45758</v>
      </c>
      <c r="QQ7">
        <v>5</v>
      </c>
      <c r="QR7">
        <v>46697.46</v>
      </c>
      <c r="QS7">
        <v>130878</v>
      </c>
      <c r="QT7" t="s">
        <v>2271</v>
      </c>
      <c r="QW7" t="s">
        <v>1795</v>
      </c>
      <c r="QX7">
        <v>-2.4245362661989844E-14</v>
      </c>
      <c r="QZ7">
        <v>-2.4245362661989844E-14</v>
      </c>
      <c r="RA7" t="s">
        <v>1664</v>
      </c>
      <c r="RB7">
        <v>2024</v>
      </c>
      <c r="RC7" t="s">
        <v>1796</v>
      </c>
      <c r="RD7" s="6">
        <v>45433</v>
      </c>
      <c r="RE7">
        <v>5</v>
      </c>
      <c r="RF7">
        <v>-2.4245362661989844E-14</v>
      </c>
      <c r="RG7">
        <v>27196144</v>
      </c>
      <c r="RH7" t="s">
        <v>1797</v>
      </c>
      <c r="RM7" t="s">
        <v>4636</v>
      </c>
      <c r="RN7" t="s">
        <v>1598</v>
      </c>
      <c r="RO7">
        <v>13</v>
      </c>
      <c r="RP7">
        <v>0.25396000000000002</v>
      </c>
      <c r="RQ7" t="s">
        <v>1594</v>
      </c>
      <c r="RR7">
        <v>2024</v>
      </c>
      <c r="RS7" t="s">
        <v>4637</v>
      </c>
      <c r="RT7" s="6">
        <v>45715</v>
      </c>
      <c r="RU7">
        <v>5</v>
      </c>
      <c r="RV7">
        <v>98048960</v>
      </c>
      <c r="RW7">
        <v>101024</v>
      </c>
      <c r="RX7" t="s">
        <v>4638</v>
      </c>
      <c r="SA7" t="s">
        <v>3568</v>
      </c>
      <c r="SB7">
        <v>1.465E-2</v>
      </c>
      <c r="SC7" t="s">
        <v>1598</v>
      </c>
      <c r="SD7">
        <v>56.435763999999999</v>
      </c>
      <c r="SE7" t="s">
        <v>1594</v>
      </c>
      <c r="SF7">
        <v>2024</v>
      </c>
      <c r="SG7" t="s">
        <v>3569</v>
      </c>
      <c r="SH7" s="6">
        <v>45782</v>
      </c>
      <c r="SI7">
        <v>5</v>
      </c>
      <c r="SJ7">
        <v>6975801.29</v>
      </c>
      <c r="SK7">
        <v>193841</v>
      </c>
      <c r="SL7" t="s">
        <v>3570</v>
      </c>
      <c r="SQ7" t="s">
        <v>1866</v>
      </c>
      <c r="SR7" t="s">
        <v>1598</v>
      </c>
      <c r="SS7">
        <v>2.850114</v>
      </c>
      <c r="ST7">
        <v>2.1460170000000001</v>
      </c>
      <c r="SU7" t="s">
        <v>1664</v>
      </c>
      <c r="SV7">
        <v>2025</v>
      </c>
      <c r="SW7" t="s">
        <v>5617</v>
      </c>
      <c r="SX7" s="6">
        <v>45896</v>
      </c>
      <c r="SY7">
        <v>5</v>
      </c>
      <c r="SZ7">
        <v>765744836.12</v>
      </c>
      <c r="TA7">
        <v>112571</v>
      </c>
      <c r="TB7" t="s">
        <v>1867</v>
      </c>
      <c r="TU7" t="s">
        <v>2320</v>
      </c>
      <c r="TV7" t="s">
        <v>1634</v>
      </c>
      <c r="TW7">
        <v>0.32499299999999998</v>
      </c>
      <c r="TX7">
        <v>2.3824730000000001</v>
      </c>
      <c r="TY7" t="s">
        <v>1599</v>
      </c>
      <c r="TZ7">
        <v>2025</v>
      </c>
      <c r="UA7" t="s">
        <v>2321</v>
      </c>
      <c r="UB7" s="6">
        <v>45975</v>
      </c>
      <c r="UC7">
        <v>5</v>
      </c>
      <c r="UD7">
        <v>24801542</v>
      </c>
      <c r="UE7">
        <v>305366</v>
      </c>
      <c r="UF7" t="s">
        <v>2322</v>
      </c>
      <c r="UI7" t="s">
        <v>1645</v>
      </c>
      <c r="UJ7">
        <v>0.103657</v>
      </c>
      <c r="UK7" t="s">
        <v>1598</v>
      </c>
      <c r="UL7">
        <v>0.54550299999999996</v>
      </c>
      <c r="UM7" t="s">
        <v>1599</v>
      </c>
      <c r="UN7">
        <v>2025</v>
      </c>
      <c r="UO7" t="s">
        <v>1897</v>
      </c>
      <c r="UP7" s="6">
        <v>45840</v>
      </c>
      <c r="UQ7">
        <v>5</v>
      </c>
      <c r="UR7">
        <v>3298357</v>
      </c>
      <c r="US7">
        <v>136424</v>
      </c>
      <c r="UT7" t="s">
        <v>1647</v>
      </c>
      <c r="UY7" t="s">
        <v>6208</v>
      </c>
      <c r="VA7">
        <v>-2.4245362661989844E-14</v>
      </c>
      <c r="VB7">
        <v>-2.4245362661989844E-14</v>
      </c>
      <c r="VC7" t="s">
        <v>1594</v>
      </c>
      <c r="VD7">
        <v>2025</v>
      </c>
      <c r="VE7" t="s">
        <v>6209</v>
      </c>
      <c r="VF7" s="6">
        <v>45849</v>
      </c>
      <c r="VG7">
        <v>5</v>
      </c>
      <c r="VH7">
        <v>-2.4245362661989844E-14</v>
      </c>
      <c r="VI7">
        <v>72273371</v>
      </c>
      <c r="VJ7" t="s">
        <v>6210</v>
      </c>
      <c r="VM7" t="s">
        <v>5594</v>
      </c>
      <c r="VN7">
        <v>-2.4245362661989844E-14</v>
      </c>
      <c r="VP7">
        <v>-2.4245362661989844E-14</v>
      </c>
      <c r="VQ7" t="s">
        <v>1594</v>
      </c>
      <c r="VR7">
        <v>2025</v>
      </c>
      <c r="VS7" t="s">
        <v>5595</v>
      </c>
      <c r="VT7" s="6">
        <v>45887</v>
      </c>
      <c r="VU7">
        <v>5</v>
      </c>
      <c r="VV7">
        <v>-2.4245362661989844E-14</v>
      </c>
      <c r="VW7">
        <v>23600574</v>
      </c>
      <c r="VX7" t="s">
        <v>5596</v>
      </c>
    </row>
    <row r="8" spans="1:600" x14ac:dyDescent="0.25">
      <c r="A8" t="s">
        <v>3403</v>
      </c>
      <c r="B8" t="s">
        <v>1598</v>
      </c>
      <c r="C8">
        <v>4.630776</v>
      </c>
      <c r="D8">
        <v>0.19183800000000001</v>
      </c>
      <c r="E8" t="s">
        <v>1599</v>
      </c>
      <c r="F8">
        <v>2025</v>
      </c>
      <c r="G8" t="s">
        <v>3404</v>
      </c>
      <c r="H8" s="6">
        <v>45952</v>
      </c>
      <c r="I8">
        <v>5</v>
      </c>
      <c r="J8">
        <v>125308800</v>
      </c>
      <c r="K8">
        <v>171010</v>
      </c>
      <c r="L8" t="s">
        <v>3405</v>
      </c>
      <c r="O8" t="s">
        <v>872</v>
      </c>
      <c r="P8">
        <v>0.34598400000000001</v>
      </c>
      <c r="Q8" t="s">
        <v>1598</v>
      </c>
      <c r="R8">
        <v>1.684086</v>
      </c>
      <c r="S8" t="s">
        <v>1664</v>
      </c>
      <c r="T8">
        <v>2025</v>
      </c>
      <c r="U8" t="s">
        <v>2179</v>
      </c>
      <c r="V8" s="6">
        <v>45873</v>
      </c>
      <c r="W8">
        <v>5</v>
      </c>
      <c r="X8">
        <v>342105216</v>
      </c>
      <c r="Y8">
        <v>100211</v>
      </c>
      <c r="Z8" t="s">
        <v>1632</v>
      </c>
      <c r="BI8" t="s">
        <v>3659</v>
      </c>
      <c r="BJ8" t="s">
        <v>1598</v>
      </c>
      <c r="BK8">
        <v>9.3897040000000001</v>
      </c>
      <c r="BL8">
        <v>1.8960900000000001</v>
      </c>
      <c r="BM8" t="s">
        <v>1664</v>
      </c>
      <c r="BN8">
        <v>2025</v>
      </c>
      <c r="BO8" t="s">
        <v>3660</v>
      </c>
      <c r="BP8" s="6">
        <v>46065</v>
      </c>
      <c r="BQ8">
        <v>5</v>
      </c>
      <c r="BR8">
        <v>2084921216</v>
      </c>
      <c r="BS8">
        <v>130929</v>
      </c>
      <c r="BT8" t="s">
        <v>3661</v>
      </c>
      <c r="BW8" t="s">
        <v>1786</v>
      </c>
      <c r="BX8">
        <v>3.2153000000000001E-2</v>
      </c>
      <c r="BY8" t="s">
        <v>1598</v>
      </c>
      <c r="BZ8">
        <v>2.4658310000000001</v>
      </c>
      <c r="CA8" t="s">
        <v>1664</v>
      </c>
      <c r="CB8">
        <v>2025</v>
      </c>
      <c r="CC8" t="s">
        <v>1787</v>
      </c>
      <c r="CD8" s="6">
        <v>46008</v>
      </c>
      <c r="CE8">
        <v>5</v>
      </c>
      <c r="CF8">
        <v>57345912.520000003</v>
      </c>
      <c r="CG8">
        <v>349049</v>
      </c>
      <c r="CH8" t="s">
        <v>1788</v>
      </c>
      <c r="DQ8" t="s">
        <v>620</v>
      </c>
      <c r="DR8" t="s">
        <v>1598</v>
      </c>
      <c r="DS8">
        <v>0.34321200000000002</v>
      </c>
      <c r="DT8">
        <v>2.3015999999999998E-2</v>
      </c>
      <c r="DU8" t="s">
        <v>1664</v>
      </c>
      <c r="DV8">
        <v>2025</v>
      </c>
      <c r="DW8" t="s">
        <v>2970</v>
      </c>
      <c r="DX8" s="6">
        <v>45891</v>
      </c>
      <c r="DY8">
        <v>5</v>
      </c>
      <c r="DZ8">
        <v>9079673</v>
      </c>
      <c r="EA8">
        <v>104597</v>
      </c>
      <c r="EB8" t="s">
        <v>2971</v>
      </c>
      <c r="EE8" t="s">
        <v>2456</v>
      </c>
      <c r="EF8">
        <v>4.78</v>
      </c>
      <c r="EH8">
        <v>-2.4245362661989844E-14</v>
      </c>
      <c r="EI8" t="s">
        <v>1603</v>
      </c>
      <c r="EJ8">
        <v>2025</v>
      </c>
      <c r="EK8" t="s">
        <v>2450</v>
      </c>
      <c r="EL8" s="6">
        <v>45839</v>
      </c>
      <c r="EM8">
        <v>5</v>
      </c>
      <c r="EN8">
        <v>2228435968</v>
      </c>
      <c r="EO8">
        <v>209530</v>
      </c>
      <c r="EP8" t="s">
        <v>2457</v>
      </c>
      <c r="EU8" t="s">
        <v>4838</v>
      </c>
      <c r="EW8">
        <v>-2.4245362661989844E-14</v>
      </c>
      <c r="EX8">
        <v>-2.4245362661989844E-14</v>
      </c>
      <c r="EY8" t="s">
        <v>1594</v>
      </c>
      <c r="EZ8">
        <v>2025</v>
      </c>
      <c r="FA8" t="s">
        <v>4839</v>
      </c>
      <c r="FB8" s="6">
        <v>45831</v>
      </c>
      <c r="FC8">
        <v>5</v>
      </c>
      <c r="FD8">
        <v>-2.4245362661989844E-14</v>
      </c>
      <c r="FE8">
        <v>114633</v>
      </c>
      <c r="FF8" t="s">
        <v>4840</v>
      </c>
      <c r="FI8" t="s">
        <v>1671</v>
      </c>
      <c r="FJ8">
        <v>0.56705499999999998</v>
      </c>
      <c r="FK8" t="s">
        <v>1598</v>
      </c>
      <c r="FL8">
        <v>7.4500999999999998E-2</v>
      </c>
      <c r="FM8" t="s">
        <v>1664</v>
      </c>
      <c r="FN8">
        <v>2025</v>
      </c>
      <c r="FO8" t="s">
        <v>1920</v>
      </c>
      <c r="FP8" s="6">
        <v>45887</v>
      </c>
      <c r="FQ8">
        <v>5</v>
      </c>
      <c r="FR8">
        <v>14331914.74</v>
      </c>
      <c r="FS8">
        <v>115643</v>
      </c>
      <c r="FT8" t="s">
        <v>1672</v>
      </c>
      <c r="FY8" t="s">
        <v>3367</v>
      </c>
      <c r="FZ8" t="s">
        <v>1598</v>
      </c>
      <c r="GA8">
        <v>55</v>
      </c>
      <c r="GB8">
        <v>0.35220200000000002</v>
      </c>
      <c r="GC8" t="s">
        <v>1594</v>
      </c>
      <c r="GD8">
        <v>2024</v>
      </c>
      <c r="GE8" t="s">
        <v>3368</v>
      </c>
      <c r="GF8" s="6">
        <v>45744</v>
      </c>
      <c r="GG8">
        <v>5</v>
      </c>
      <c r="GH8">
        <v>35615524</v>
      </c>
      <c r="GI8">
        <v>71973585</v>
      </c>
      <c r="GJ8" t="s">
        <v>3369</v>
      </c>
      <c r="GM8" t="s">
        <v>2888</v>
      </c>
      <c r="GN8">
        <v>-2.4245362661989844E-14</v>
      </c>
      <c r="GP8">
        <v>-2.4245362661989844E-14</v>
      </c>
      <c r="GQ8" t="s">
        <v>1594</v>
      </c>
      <c r="GR8">
        <v>2025</v>
      </c>
      <c r="GS8" t="s">
        <v>2889</v>
      </c>
      <c r="GT8" s="6">
        <v>45834</v>
      </c>
      <c r="GU8">
        <v>5</v>
      </c>
      <c r="GV8">
        <v>-2.4245362661989844E-14</v>
      </c>
      <c r="GW8">
        <v>108241</v>
      </c>
      <c r="GX8" t="s">
        <v>2890</v>
      </c>
      <c r="HC8" t="s">
        <v>2223</v>
      </c>
      <c r="HD8" t="s">
        <v>1598</v>
      </c>
      <c r="HE8">
        <v>1.2087429999999999</v>
      </c>
      <c r="HF8">
        <v>0.14913000000000001</v>
      </c>
      <c r="HG8" t="s">
        <v>1599</v>
      </c>
      <c r="HH8">
        <v>2025</v>
      </c>
      <c r="HI8" t="s">
        <v>2224</v>
      </c>
      <c r="HJ8" s="6">
        <v>46049</v>
      </c>
      <c r="HK8">
        <v>5</v>
      </c>
      <c r="HL8">
        <v>141902324.31</v>
      </c>
      <c r="HM8">
        <v>101095</v>
      </c>
      <c r="HN8" t="s">
        <v>2225</v>
      </c>
      <c r="HQ8" t="s">
        <v>1663</v>
      </c>
      <c r="HR8">
        <v>-2.4245362661989844E-14</v>
      </c>
      <c r="HT8">
        <v>-2.4245362661989844E-14</v>
      </c>
      <c r="HU8" t="s">
        <v>1594</v>
      </c>
      <c r="HV8">
        <v>2024</v>
      </c>
      <c r="HW8" t="s">
        <v>2842</v>
      </c>
      <c r="HX8" s="6">
        <v>45367</v>
      </c>
      <c r="HY8">
        <v>5</v>
      </c>
      <c r="HZ8">
        <v>-2.4245362661989844E-14</v>
      </c>
      <c r="IA8">
        <v>101616</v>
      </c>
      <c r="IB8" t="s">
        <v>1666</v>
      </c>
      <c r="IG8" t="s">
        <v>2381</v>
      </c>
      <c r="II8">
        <v>-2.4245362661989844E-14</v>
      </c>
      <c r="IJ8">
        <v>-2.4245362661989844E-14</v>
      </c>
      <c r="IK8" t="s">
        <v>1594</v>
      </c>
      <c r="IL8">
        <v>2024</v>
      </c>
      <c r="IM8" t="s">
        <v>6130</v>
      </c>
      <c r="IN8" s="6">
        <v>45715</v>
      </c>
      <c r="IO8">
        <v>5</v>
      </c>
      <c r="IP8">
        <v>-2.4245362661989844E-14</v>
      </c>
      <c r="IQ8">
        <v>46946968</v>
      </c>
      <c r="IR8" t="s">
        <v>2382</v>
      </c>
      <c r="JK8" t="s">
        <v>4819</v>
      </c>
      <c r="JM8">
        <v>-2.4245362661989844E-14</v>
      </c>
      <c r="JN8">
        <v>-2.4245362661989844E-14</v>
      </c>
      <c r="JO8" t="s">
        <v>1594</v>
      </c>
      <c r="JP8">
        <v>2022</v>
      </c>
      <c r="JQ8" t="s">
        <v>5872</v>
      </c>
      <c r="JR8" s="6">
        <v>44986</v>
      </c>
      <c r="JS8">
        <v>5</v>
      </c>
      <c r="JT8">
        <v>-2.4245362661989844E-14</v>
      </c>
      <c r="JU8">
        <v>116354</v>
      </c>
      <c r="JV8" t="s">
        <v>4821</v>
      </c>
      <c r="KO8" t="s">
        <v>4062</v>
      </c>
      <c r="KP8" t="s">
        <v>1598</v>
      </c>
      <c r="KQ8">
        <v>1.8533999999999998E-2</v>
      </c>
      <c r="KR8">
        <v>1.5062000000000001E-2</v>
      </c>
      <c r="KS8" t="s">
        <v>1606</v>
      </c>
      <c r="KT8">
        <v>2024</v>
      </c>
      <c r="KU8" t="s">
        <v>4063</v>
      </c>
      <c r="KV8" s="6">
        <v>45730</v>
      </c>
      <c r="KW8">
        <v>5</v>
      </c>
      <c r="KX8">
        <v>349367.85</v>
      </c>
      <c r="KY8">
        <v>239787</v>
      </c>
      <c r="KZ8" t="s">
        <v>4064</v>
      </c>
      <c r="LS8" t="s">
        <v>2233</v>
      </c>
      <c r="LT8" t="s">
        <v>1598</v>
      </c>
      <c r="LU8">
        <v>4.2738360000000002</v>
      </c>
      <c r="LV8">
        <v>6.6693020000000001</v>
      </c>
      <c r="LW8" t="s">
        <v>1599</v>
      </c>
      <c r="LX8">
        <v>2025</v>
      </c>
      <c r="LY8" t="s">
        <v>2234</v>
      </c>
      <c r="LZ8" s="6">
        <v>46087</v>
      </c>
      <c r="MA8">
        <v>5</v>
      </c>
      <c r="MB8">
        <v>811049598.16999996</v>
      </c>
      <c r="MC8">
        <v>7975354</v>
      </c>
      <c r="MD8" t="s">
        <v>2235</v>
      </c>
      <c r="MG8" t="s">
        <v>1679</v>
      </c>
      <c r="MH8">
        <v>0.59423499999999996</v>
      </c>
      <c r="MI8" t="s">
        <v>1598</v>
      </c>
      <c r="MJ8">
        <v>1.9269499999999999</v>
      </c>
      <c r="MK8" t="s">
        <v>1603</v>
      </c>
      <c r="ML8">
        <v>2025</v>
      </c>
      <c r="MM8" t="s">
        <v>1680</v>
      </c>
      <c r="MN8" s="6">
        <v>45820</v>
      </c>
      <c r="MO8">
        <v>5</v>
      </c>
      <c r="MP8">
        <v>78557896</v>
      </c>
      <c r="MQ8">
        <v>12129192</v>
      </c>
      <c r="MR8" t="s">
        <v>1681</v>
      </c>
      <c r="MW8" t="s">
        <v>1389</v>
      </c>
      <c r="MX8" t="s">
        <v>1598</v>
      </c>
      <c r="MY8">
        <v>0.88870400000000005</v>
      </c>
      <c r="MZ8">
        <v>0.29457</v>
      </c>
      <c r="NA8" t="s">
        <v>1664</v>
      </c>
      <c r="NB8">
        <v>2025</v>
      </c>
      <c r="NC8" t="s">
        <v>3652</v>
      </c>
      <c r="ND8" s="6">
        <v>45943</v>
      </c>
      <c r="NE8">
        <v>5</v>
      </c>
      <c r="NF8">
        <v>13052396</v>
      </c>
      <c r="NG8">
        <v>358385</v>
      </c>
      <c r="NH8" t="s">
        <v>5483</v>
      </c>
      <c r="NK8" t="s">
        <v>5357</v>
      </c>
      <c r="NL8">
        <v>1.987827</v>
      </c>
      <c r="NM8" t="s">
        <v>1598</v>
      </c>
      <c r="NN8">
        <v>0.169678</v>
      </c>
      <c r="NO8" t="s">
        <v>1599</v>
      </c>
      <c r="NP8">
        <v>2025</v>
      </c>
      <c r="NQ8" t="s">
        <v>4776</v>
      </c>
      <c r="NR8" s="6">
        <v>46003</v>
      </c>
      <c r="NS8">
        <v>5</v>
      </c>
      <c r="NT8">
        <v>138909344</v>
      </c>
      <c r="NU8">
        <v>115757</v>
      </c>
      <c r="NV8" t="s">
        <v>5358</v>
      </c>
      <c r="OA8" t="s">
        <v>4690</v>
      </c>
      <c r="OB8" t="s">
        <v>1598</v>
      </c>
      <c r="OC8">
        <v>0.91817000000000004</v>
      </c>
      <c r="OD8">
        <v>1.576201</v>
      </c>
      <c r="OE8" t="s">
        <v>1603</v>
      </c>
      <c r="OF8">
        <v>2025</v>
      </c>
      <c r="OG8" t="s">
        <v>4691</v>
      </c>
      <c r="OH8" s="6">
        <v>45820</v>
      </c>
      <c r="OI8">
        <v>5</v>
      </c>
      <c r="OJ8">
        <v>16149703.470000001</v>
      </c>
      <c r="OK8">
        <v>118133</v>
      </c>
      <c r="OL8" t="s">
        <v>4692</v>
      </c>
      <c r="OO8" t="s">
        <v>303</v>
      </c>
      <c r="OP8">
        <v>1.0920540000000001</v>
      </c>
      <c r="OQ8" t="s">
        <v>1598</v>
      </c>
      <c r="OR8">
        <v>3.8925000000000001E-2</v>
      </c>
      <c r="OS8" t="s">
        <v>1599</v>
      </c>
      <c r="OT8">
        <v>2025</v>
      </c>
      <c r="OU8" t="s">
        <v>2562</v>
      </c>
      <c r="OV8" s="6">
        <v>45891</v>
      </c>
      <c r="OW8">
        <v>5</v>
      </c>
      <c r="OX8">
        <v>31454956</v>
      </c>
      <c r="OY8">
        <v>216952</v>
      </c>
      <c r="OZ8" t="s">
        <v>1631</v>
      </c>
      <c r="PE8" t="s">
        <v>2223</v>
      </c>
      <c r="PF8" t="s">
        <v>1598</v>
      </c>
      <c r="PG8">
        <v>1.2087429999999999</v>
      </c>
      <c r="PH8">
        <v>0.14913000000000001</v>
      </c>
      <c r="PI8" t="s">
        <v>1599</v>
      </c>
      <c r="PJ8">
        <v>2025</v>
      </c>
      <c r="PK8" t="s">
        <v>2224</v>
      </c>
      <c r="PL8" s="6">
        <v>46049</v>
      </c>
      <c r="PM8">
        <v>5</v>
      </c>
      <c r="PN8">
        <v>141902324.31</v>
      </c>
      <c r="PO8">
        <v>101095</v>
      </c>
      <c r="PP8" t="s">
        <v>2225</v>
      </c>
      <c r="PS8" t="s">
        <v>1663</v>
      </c>
      <c r="PT8">
        <v>-2.4245362661989844E-14</v>
      </c>
      <c r="PV8">
        <v>-2.4245362661989844E-14</v>
      </c>
      <c r="PW8" t="s">
        <v>1594</v>
      </c>
      <c r="PX8">
        <v>2024</v>
      </c>
      <c r="PY8" t="s">
        <v>2842</v>
      </c>
      <c r="PZ8" s="6">
        <v>45367</v>
      </c>
      <c r="QA8">
        <v>5</v>
      </c>
      <c r="QB8">
        <v>-2.4245362661989844E-14</v>
      </c>
      <c r="QC8">
        <v>101616</v>
      </c>
      <c r="QD8" t="s">
        <v>1666</v>
      </c>
      <c r="QI8" t="s">
        <v>2272</v>
      </c>
      <c r="QJ8" t="s">
        <v>1634</v>
      </c>
      <c r="QK8">
        <v>2.0240000000000002E-3</v>
      </c>
      <c r="QL8">
        <v>2.6168E-2</v>
      </c>
      <c r="QM8" t="s">
        <v>1599</v>
      </c>
      <c r="QN8">
        <v>2025</v>
      </c>
      <c r="QO8" t="s">
        <v>2273</v>
      </c>
      <c r="QP8" s="6">
        <v>45964</v>
      </c>
      <c r="QQ8">
        <v>5</v>
      </c>
      <c r="QR8">
        <v>10506</v>
      </c>
      <c r="QS8">
        <v>16546862</v>
      </c>
      <c r="QT8" t="s">
        <v>2274</v>
      </c>
      <c r="QW8" t="s">
        <v>1798</v>
      </c>
      <c r="QX8">
        <v>-2.4245362661989844E-14</v>
      </c>
      <c r="QZ8">
        <v>-2.4245362661989844E-14</v>
      </c>
      <c r="RA8" t="s">
        <v>1594</v>
      </c>
      <c r="RB8">
        <v>2024</v>
      </c>
      <c r="RC8" t="s">
        <v>1799</v>
      </c>
      <c r="RD8" s="6">
        <v>45771</v>
      </c>
      <c r="RE8">
        <v>5</v>
      </c>
      <c r="RF8">
        <v>-2.4245362661989844E-14</v>
      </c>
      <c r="RG8">
        <v>135686</v>
      </c>
      <c r="RH8" t="s">
        <v>1800</v>
      </c>
      <c r="RM8" t="s">
        <v>247</v>
      </c>
      <c r="RN8" t="s">
        <v>1634</v>
      </c>
      <c r="RO8">
        <v>0.69574199999999997</v>
      </c>
      <c r="RP8">
        <v>1.510599</v>
      </c>
      <c r="RQ8" t="s">
        <v>1599</v>
      </c>
      <c r="RR8">
        <v>2025</v>
      </c>
      <c r="RS8" t="s">
        <v>1809</v>
      </c>
      <c r="RT8" s="6">
        <v>45985</v>
      </c>
      <c r="RU8">
        <v>5</v>
      </c>
      <c r="RV8">
        <v>62115848</v>
      </c>
      <c r="RW8">
        <v>101318</v>
      </c>
      <c r="RX8" t="s">
        <v>3724</v>
      </c>
      <c r="SA8" t="s">
        <v>3571</v>
      </c>
      <c r="SB8">
        <v>1.655E-3</v>
      </c>
      <c r="SC8" t="s">
        <v>1598</v>
      </c>
      <c r="SD8">
        <v>0.59815600000000002</v>
      </c>
      <c r="SE8" t="s">
        <v>1651</v>
      </c>
      <c r="SF8">
        <v>2025</v>
      </c>
      <c r="SG8" t="s">
        <v>3572</v>
      </c>
      <c r="SH8" s="6">
        <v>45958</v>
      </c>
      <c r="SI8">
        <v>5</v>
      </c>
      <c r="SJ8">
        <v>766849.86</v>
      </c>
      <c r="SK8">
        <v>153668</v>
      </c>
      <c r="SL8" t="s">
        <v>3573</v>
      </c>
      <c r="SQ8" t="s">
        <v>72</v>
      </c>
      <c r="SR8" t="s">
        <v>1598</v>
      </c>
      <c r="SS8">
        <v>2.936461</v>
      </c>
      <c r="ST8">
        <v>1.790807</v>
      </c>
      <c r="SU8" t="s">
        <v>1606</v>
      </c>
      <c r="SV8">
        <v>2025</v>
      </c>
      <c r="SW8" t="s">
        <v>2670</v>
      </c>
      <c r="SX8" s="6">
        <v>45883</v>
      </c>
      <c r="SY8">
        <v>5</v>
      </c>
      <c r="SZ8">
        <v>618741696</v>
      </c>
      <c r="TA8">
        <v>101215</v>
      </c>
      <c r="TB8" t="s">
        <v>1868</v>
      </c>
      <c r="TU8" t="s">
        <v>1639</v>
      </c>
      <c r="TV8" t="s">
        <v>1634</v>
      </c>
      <c r="TW8">
        <v>3.774562</v>
      </c>
      <c r="TX8">
        <v>1.7094309999999999</v>
      </c>
      <c r="TY8" t="s">
        <v>1606</v>
      </c>
      <c r="TZ8">
        <v>2024</v>
      </c>
      <c r="UA8" t="s">
        <v>3889</v>
      </c>
      <c r="UB8" s="6">
        <v>45736</v>
      </c>
      <c r="UC8">
        <v>5</v>
      </c>
      <c r="UD8">
        <v>15641294</v>
      </c>
      <c r="UE8">
        <v>10092517</v>
      </c>
      <c r="UF8" t="s">
        <v>1641</v>
      </c>
      <c r="UI8" t="s">
        <v>1894</v>
      </c>
      <c r="UJ8">
        <v>4.7757000000000001E-2</v>
      </c>
      <c r="UK8" t="s">
        <v>1598</v>
      </c>
      <c r="UL8">
        <v>9.2510999999999996E-2</v>
      </c>
      <c r="UM8" t="s">
        <v>1606</v>
      </c>
      <c r="UN8">
        <v>2025</v>
      </c>
      <c r="UO8" t="s">
        <v>1895</v>
      </c>
      <c r="UP8" s="6">
        <v>46091</v>
      </c>
      <c r="UQ8">
        <v>5</v>
      </c>
      <c r="UR8">
        <v>1452302</v>
      </c>
      <c r="US8">
        <v>156637</v>
      </c>
      <c r="UT8" t="s">
        <v>1896</v>
      </c>
      <c r="UY8" t="s">
        <v>6211</v>
      </c>
      <c r="VA8">
        <v>-2.4245362661989844E-14</v>
      </c>
      <c r="VB8">
        <v>-2.4245362661989844E-14</v>
      </c>
      <c r="VC8" t="s">
        <v>1792</v>
      </c>
      <c r="VD8">
        <v>2024</v>
      </c>
      <c r="VE8" t="s">
        <v>6212</v>
      </c>
      <c r="VF8" s="6">
        <v>45535</v>
      </c>
      <c r="VG8">
        <v>5</v>
      </c>
      <c r="VH8">
        <v>-2.4245362661989844E-14</v>
      </c>
      <c r="VI8">
        <v>66110508</v>
      </c>
      <c r="VJ8" t="s">
        <v>6213</v>
      </c>
      <c r="VM8" t="s">
        <v>4891</v>
      </c>
      <c r="VN8">
        <v>-2.4245362661989844E-14</v>
      </c>
      <c r="VP8">
        <v>-2.4245362661989844E-14</v>
      </c>
      <c r="VQ8" t="s">
        <v>1606</v>
      </c>
      <c r="VR8">
        <v>2023</v>
      </c>
      <c r="VS8" t="s">
        <v>4892</v>
      </c>
      <c r="VT8" s="6">
        <v>45278</v>
      </c>
      <c r="VU8">
        <v>5</v>
      </c>
      <c r="VV8">
        <v>-2.4245362661989844E-14</v>
      </c>
      <c r="VW8">
        <v>103388</v>
      </c>
      <c r="VX8" t="s">
        <v>4893</v>
      </c>
    </row>
    <row r="9" spans="1:600" x14ac:dyDescent="0.25">
      <c r="A9" t="s">
        <v>2383</v>
      </c>
      <c r="B9" t="s">
        <v>1634</v>
      </c>
      <c r="C9">
        <v>1.650523</v>
      </c>
      <c r="D9">
        <v>1.7462089999999999</v>
      </c>
      <c r="E9" t="s">
        <v>1599</v>
      </c>
      <c r="F9">
        <v>2025</v>
      </c>
      <c r="G9" t="s">
        <v>2384</v>
      </c>
      <c r="H9" s="6">
        <v>46029</v>
      </c>
      <c r="I9">
        <v>5</v>
      </c>
      <c r="J9">
        <v>97565313.560000002</v>
      </c>
      <c r="K9">
        <v>115705</v>
      </c>
      <c r="L9" t="s">
        <v>2385</v>
      </c>
      <c r="O9" t="s">
        <v>22</v>
      </c>
      <c r="P9">
        <v>0.19926099999999999</v>
      </c>
      <c r="Q9" t="s">
        <v>1598</v>
      </c>
      <c r="R9">
        <v>1.1451750000000001</v>
      </c>
      <c r="S9" t="s">
        <v>1664</v>
      </c>
      <c r="T9">
        <v>2025</v>
      </c>
      <c r="U9" t="s">
        <v>2129</v>
      </c>
      <c r="V9" s="6">
        <v>45895</v>
      </c>
      <c r="W9">
        <v>5</v>
      </c>
      <c r="X9">
        <v>197027360</v>
      </c>
      <c r="Y9">
        <v>101555</v>
      </c>
      <c r="Z9" t="s">
        <v>2130</v>
      </c>
      <c r="BI9" t="s">
        <v>72</v>
      </c>
      <c r="BJ9" t="s">
        <v>1598</v>
      </c>
      <c r="BK9">
        <v>7.5533060000000001</v>
      </c>
      <c r="BL9">
        <v>1.96953</v>
      </c>
      <c r="BM9" t="s">
        <v>1606</v>
      </c>
      <c r="BN9">
        <v>2025</v>
      </c>
      <c r="BO9" t="s">
        <v>2670</v>
      </c>
      <c r="BP9" s="6">
        <v>45883</v>
      </c>
      <c r="BQ9">
        <v>5</v>
      </c>
      <c r="BR9">
        <v>1591557120</v>
      </c>
      <c r="BS9">
        <v>101215</v>
      </c>
      <c r="BT9" t="s">
        <v>1868</v>
      </c>
      <c r="BW9" t="s">
        <v>1891</v>
      </c>
      <c r="BX9">
        <v>3.0903E-2</v>
      </c>
      <c r="BY9" t="s">
        <v>1598</v>
      </c>
      <c r="BZ9">
        <v>0.79644899999999996</v>
      </c>
      <c r="CA9" t="s">
        <v>1603</v>
      </c>
      <c r="CB9">
        <v>2025</v>
      </c>
      <c r="CC9" t="s">
        <v>1892</v>
      </c>
      <c r="CD9" s="6">
        <v>45784</v>
      </c>
      <c r="CE9">
        <v>5</v>
      </c>
      <c r="CF9">
        <v>48105720</v>
      </c>
      <c r="CG9">
        <v>100115</v>
      </c>
      <c r="CH9" t="s">
        <v>1893</v>
      </c>
      <c r="DQ9" t="s">
        <v>2972</v>
      </c>
      <c r="DR9" t="s">
        <v>1598</v>
      </c>
      <c r="DS9">
        <v>0.222939</v>
      </c>
      <c r="DT9">
        <v>2.0771999999999999E-2</v>
      </c>
      <c r="DU9" t="s">
        <v>1664</v>
      </c>
      <c r="DV9">
        <v>2025</v>
      </c>
      <c r="DW9" t="s">
        <v>2973</v>
      </c>
      <c r="DX9" s="6">
        <v>45929</v>
      </c>
      <c r="DY9">
        <v>5</v>
      </c>
      <c r="DZ9">
        <v>8194346</v>
      </c>
      <c r="EA9">
        <v>106470</v>
      </c>
      <c r="EB9" t="s">
        <v>2974</v>
      </c>
      <c r="EE9" t="s">
        <v>2458</v>
      </c>
      <c r="EF9">
        <v>4.74</v>
      </c>
      <c r="EH9">
        <v>-2.4245362661989844E-14</v>
      </c>
      <c r="EI9" t="s">
        <v>1603</v>
      </c>
      <c r="EJ9">
        <v>2025</v>
      </c>
      <c r="EK9" t="s">
        <v>2450</v>
      </c>
      <c r="EL9" s="6">
        <v>45839</v>
      </c>
      <c r="EM9">
        <v>5</v>
      </c>
      <c r="EN9">
        <v>2209787904</v>
      </c>
      <c r="EO9">
        <v>1060118</v>
      </c>
      <c r="EP9" t="s">
        <v>2459</v>
      </c>
      <c r="EU9" t="s">
        <v>1354</v>
      </c>
      <c r="EW9">
        <v>-2.4245362661989844E-14</v>
      </c>
      <c r="EX9">
        <v>-2.4245362661989844E-14</v>
      </c>
      <c r="EY9" t="s">
        <v>1594</v>
      </c>
      <c r="EZ9">
        <v>2021</v>
      </c>
      <c r="FA9" t="s">
        <v>2150</v>
      </c>
      <c r="FB9" s="6">
        <v>44693</v>
      </c>
      <c r="FC9">
        <v>5</v>
      </c>
      <c r="FD9">
        <v>-2.4245362661989844E-14</v>
      </c>
      <c r="FE9">
        <v>313098</v>
      </c>
      <c r="FF9" t="s">
        <v>2151</v>
      </c>
      <c r="FI9" t="s">
        <v>4770</v>
      </c>
      <c r="FJ9">
        <v>-2.4245362661989844E-14</v>
      </c>
      <c r="FL9">
        <v>-2.4245362661989844E-14</v>
      </c>
      <c r="FM9" t="s">
        <v>1594</v>
      </c>
      <c r="FN9">
        <v>2024</v>
      </c>
      <c r="FO9" t="s">
        <v>4771</v>
      </c>
      <c r="FP9" s="6">
        <v>45771</v>
      </c>
      <c r="FQ9">
        <v>5</v>
      </c>
      <c r="FR9">
        <v>-2.4245362661989844E-14</v>
      </c>
      <c r="FS9">
        <v>16825202</v>
      </c>
      <c r="FT9" t="s">
        <v>4772</v>
      </c>
      <c r="FY9" t="s">
        <v>2066</v>
      </c>
      <c r="FZ9" t="s">
        <v>1634</v>
      </c>
      <c r="GA9">
        <v>8.3740509999999997</v>
      </c>
      <c r="GB9">
        <v>0.97642600000000002</v>
      </c>
      <c r="GC9" t="s">
        <v>1664</v>
      </c>
      <c r="GD9">
        <v>2025</v>
      </c>
      <c r="GE9" t="s">
        <v>2067</v>
      </c>
      <c r="GF9" s="6">
        <v>45929</v>
      </c>
      <c r="GG9">
        <v>5</v>
      </c>
      <c r="GH9">
        <v>32085344</v>
      </c>
      <c r="GI9">
        <v>13070762</v>
      </c>
      <c r="GJ9" t="s">
        <v>2068</v>
      </c>
      <c r="GM9" t="s">
        <v>2746</v>
      </c>
      <c r="GN9">
        <v>-2.4245362661989844E-14</v>
      </c>
      <c r="GP9">
        <v>-2.4245362661989844E-14</v>
      </c>
      <c r="GQ9" t="s">
        <v>1594</v>
      </c>
      <c r="GR9">
        <v>2025</v>
      </c>
      <c r="GS9" t="s">
        <v>2747</v>
      </c>
      <c r="GT9" s="6">
        <v>45975</v>
      </c>
      <c r="GU9">
        <v>5</v>
      </c>
      <c r="GV9">
        <v>-2.4245362661989844E-14</v>
      </c>
      <c r="GW9">
        <v>100131</v>
      </c>
      <c r="GX9" t="s">
        <v>2748</v>
      </c>
      <c r="HC9" t="s">
        <v>23</v>
      </c>
      <c r="HD9" t="s">
        <v>1598</v>
      </c>
      <c r="HE9">
        <v>1.0236080000000001</v>
      </c>
      <c r="HF9">
        <v>0.137097</v>
      </c>
      <c r="HG9" t="s">
        <v>1664</v>
      </c>
      <c r="HH9">
        <v>2025</v>
      </c>
      <c r="HI9" t="s">
        <v>1768</v>
      </c>
      <c r="HJ9" s="6">
        <v>45929</v>
      </c>
      <c r="HK9">
        <v>5</v>
      </c>
      <c r="HL9">
        <v>125586464</v>
      </c>
      <c r="HM9">
        <v>100225</v>
      </c>
      <c r="HN9" t="s">
        <v>2222</v>
      </c>
      <c r="HQ9" t="s">
        <v>2843</v>
      </c>
      <c r="HR9">
        <v>-2.4245362661989844E-14</v>
      </c>
      <c r="HT9">
        <v>-2.4245362661989844E-14</v>
      </c>
      <c r="HU9" t="s">
        <v>1594</v>
      </c>
      <c r="HV9">
        <v>2024</v>
      </c>
      <c r="HW9" t="s">
        <v>2844</v>
      </c>
      <c r="HX9" s="6">
        <v>45435</v>
      </c>
      <c r="HY9">
        <v>5</v>
      </c>
      <c r="HZ9">
        <v>-2.4245362661989844E-14</v>
      </c>
      <c r="IA9">
        <v>1028866</v>
      </c>
      <c r="IB9" t="s">
        <v>2845</v>
      </c>
      <c r="IG9" t="s">
        <v>3339</v>
      </c>
      <c r="II9">
        <v>-2.4245362661989844E-14</v>
      </c>
      <c r="IJ9">
        <v>-2.4245362661989844E-14</v>
      </c>
      <c r="IK9" t="s">
        <v>1594</v>
      </c>
      <c r="IL9">
        <v>2024</v>
      </c>
      <c r="IM9" t="s">
        <v>6131</v>
      </c>
      <c r="IN9" s="6">
        <v>45754</v>
      </c>
      <c r="IO9">
        <v>5</v>
      </c>
      <c r="IP9">
        <v>-2.4245362661989844E-14</v>
      </c>
      <c r="IQ9">
        <v>54419104</v>
      </c>
      <c r="IR9" t="s">
        <v>3341</v>
      </c>
      <c r="JK9" t="s">
        <v>5873</v>
      </c>
      <c r="JM9">
        <v>-2.4245362661989844E-14</v>
      </c>
      <c r="JN9">
        <v>-2.4245362661989844E-14</v>
      </c>
      <c r="JO9" t="s">
        <v>1594</v>
      </c>
      <c r="JP9">
        <v>2023</v>
      </c>
      <c r="JQ9" t="s">
        <v>5874</v>
      </c>
      <c r="JR9" s="6">
        <v>45412</v>
      </c>
      <c r="JS9">
        <v>5</v>
      </c>
      <c r="JT9">
        <v>-2.4245362661989844E-14</v>
      </c>
      <c r="JU9">
        <v>193280</v>
      </c>
      <c r="JV9" t="s">
        <v>5875</v>
      </c>
      <c r="KO9" t="s">
        <v>4779</v>
      </c>
      <c r="KP9" t="s">
        <v>1598</v>
      </c>
      <c r="KQ9">
        <v>2.1493000000000002E-2</v>
      </c>
      <c r="KR9">
        <v>1.06E-3</v>
      </c>
      <c r="KS9" t="s">
        <v>1603</v>
      </c>
      <c r="KT9">
        <v>2025</v>
      </c>
      <c r="KU9" t="s">
        <v>4780</v>
      </c>
      <c r="KV9" s="6">
        <v>45805</v>
      </c>
      <c r="KW9">
        <v>5</v>
      </c>
      <c r="KX9">
        <v>24518</v>
      </c>
      <c r="KY9">
        <v>116897</v>
      </c>
      <c r="KZ9" t="s">
        <v>4781</v>
      </c>
      <c r="LS9" t="s">
        <v>2236</v>
      </c>
      <c r="LT9" t="s">
        <v>1598</v>
      </c>
      <c r="LU9">
        <v>10.5</v>
      </c>
      <c r="LV9">
        <v>7.349405</v>
      </c>
      <c r="LW9" t="s">
        <v>1594</v>
      </c>
      <c r="LX9">
        <v>2024</v>
      </c>
      <c r="LY9" t="s">
        <v>2237</v>
      </c>
      <c r="LZ9" s="6">
        <v>45744</v>
      </c>
      <c r="MA9">
        <v>5</v>
      </c>
      <c r="MB9">
        <v>778954139.5</v>
      </c>
      <c r="MC9">
        <v>113389</v>
      </c>
      <c r="MD9" t="s">
        <v>2238</v>
      </c>
      <c r="MG9" t="s">
        <v>1786</v>
      </c>
      <c r="MH9">
        <v>0.56558799999999998</v>
      </c>
      <c r="MI9" t="s">
        <v>1598</v>
      </c>
      <c r="MJ9">
        <v>3.5370110000000001</v>
      </c>
      <c r="MK9" t="s">
        <v>1664</v>
      </c>
      <c r="ML9">
        <v>2025</v>
      </c>
      <c r="MM9" t="s">
        <v>1787</v>
      </c>
      <c r="MN9" s="6">
        <v>46008</v>
      </c>
      <c r="MO9">
        <v>5</v>
      </c>
      <c r="MP9">
        <v>82257509.170000002</v>
      </c>
      <c r="MQ9">
        <v>349049</v>
      </c>
      <c r="MR9" t="s">
        <v>1788</v>
      </c>
      <c r="MW9" t="s">
        <v>5484</v>
      </c>
      <c r="MX9" t="s">
        <v>1598</v>
      </c>
      <c r="MY9">
        <v>0.19365499999999999</v>
      </c>
      <c r="MZ9">
        <v>0.32871499999999998</v>
      </c>
      <c r="NA9" t="s">
        <v>1599</v>
      </c>
      <c r="NB9">
        <v>2024</v>
      </c>
      <c r="NC9" t="s">
        <v>4776</v>
      </c>
      <c r="ND9" s="6">
        <v>45667</v>
      </c>
      <c r="NE9">
        <v>5</v>
      </c>
      <c r="NF9">
        <v>12816598</v>
      </c>
      <c r="NG9">
        <v>115110</v>
      </c>
      <c r="NH9" t="s">
        <v>5485</v>
      </c>
      <c r="NK9" t="s">
        <v>872</v>
      </c>
      <c r="NL9">
        <v>1.8460829999999999</v>
      </c>
      <c r="NM9" t="s">
        <v>1598</v>
      </c>
      <c r="NN9">
        <v>0.50303900000000001</v>
      </c>
      <c r="NO9" t="s">
        <v>1599</v>
      </c>
      <c r="NP9">
        <v>2025</v>
      </c>
      <c r="NQ9" t="s">
        <v>4776</v>
      </c>
      <c r="NR9" s="6">
        <v>46003</v>
      </c>
      <c r="NS9">
        <v>5</v>
      </c>
      <c r="NT9">
        <v>129004280</v>
      </c>
      <c r="NU9">
        <v>100211</v>
      </c>
      <c r="NV9" t="s">
        <v>1632</v>
      </c>
      <c r="OA9" t="s">
        <v>3808</v>
      </c>
      <c r="OB9" t="s">
        <v>1598</v>
      </c>
      <c r="OC9">
        <v>0.70987500000000003</v>
      </c>
      <c r="OD9">
        <v>1.2434970000000001</v>
      </c>
      <c r="OE9" t="s">
        <v>1599</v>
      </c>
      <c r="OF9">
        <v>2025</v>
      </c>
      <c r="OG9" t="s">
        <v>3809</v>
      </c>
      <c r="OH9" s="6">
        <v>46035</v>
      </c>
      <c r="OI9">
        <v>5</v>
      </c>
      <c r="OJ9">
        <v>14104989</v>
      </c>
      <c r="OK9">
        <v>302680</v>
      </c>
      <c r="OL9" t="s">
        <v>3810</v>
      </c>
      <c r="OO9" t="s">
        <v>22</v>
      </c>
      <c r="OP9">
        <v>1.0873699999999999</v>
      </c>
      <c r="OQ9" t="s">
        <v>1598</v>
      </c>
      <c r="OR9">
        <v>0.18204000000000001</v>
      </c>
      <c r="OS9" t="s">
        <v>1599</v>
      </c>
      <c r="OT9">
        <v>2025</v>
      </c>
      <c r="OU9" t="s">
        <v>2562</v>
      </c>
      <c r="OV9" s="6">
        <v>45891</v>
      </c>
      <c r="OW9">
        <v>5</v>
      </c>
      <c r="OX9">
        <v>31320040</v>
      </c>
      <c r="OY9">
        <v>101555</v>
      </c>
      <c r="OZ9" t="s">
        <v>2130</v>
      </c>
      <c r="PE9" t="s">
        <v>23</v>
      </c>
      <c r="PF9" t="s">
        <v>1598</v>
      </c>
      <c r="PG9">
        <v>1.0236080000000001</v>
      </c>
      <c r="PH9">
        <v>0.137097</v>
      </c>
      <c r="PI9" t="s">
        <v>1664</v>
      </c>
      <c r="PJ9">
        <v>2025</v>
      </c>
      <c r="PK9" t="s">
        <v>1768</v>
      </c>
      <c r="PL9" s="6">
        <v>45929</v>
      </c>
      <c r="PM9">
        <v>5</v>
      </c>
      <c r="PN9">
        <v>125586464</v>
      </c>
      <c r="PO9">
        <v>100225</v>
      </c>
      <c r="PP9" t="s">
        <v>2222</v>
      </c>
      <c r="PS9" t="s">
        <v>2843</v>
      </c>
      <c r="PT9">
        <v>-2.4245362661989844E-14</v>
      </c>
      <c r="PV9">
        <v>-2.4245362661989844E-14</v>
      </c>
      <c r="PW9" t="s">
        <v>1594</v>
      </c>
      <c r="PX9">
        <v>2024</v>
      </c>
      <c r="PY9" t="s">
        <v>2844</v>
      </c>
      <c r="PZ9" s="6">
        <v>45435</v>
      </c>
      <c r="QA9">
        <v>5</v>
      </c>
      <c r="QB9">
        <v>-2.4245362661989844E-14</v>
      </c>
      <c r="QC9">
        <v>1028866</v>
      </c>
      <c r="QD9" t="s">
        <v>2845</v>
      </c>
      <c r="QI9" t="s">
        <v>2275</v>
      </c>
      <c r="QJ9" t="s">
        <v>1598</v>
      </c>
      <c r="QK9">
        <v>1.2467000000000001E-2</v>
      </c>
      <c r="QL9">
        <v>4.5800000000000002E-4</v>
      </c>
      <c r="QM9" t="s">
        <v>1664</v>
      </c>
      <c r="QN9">
        <v>2025</v>
      </c>
      <c r="QO9" t="s">
        <v>2276</v>
      </c>
      <c r="QP9" s="6">
        <v>45744</v>
      </c>
      <c r="QQ9">
        <v>5</v>
      </c>
      <c r="QR9">
        <v>6232.4</v>
      </c>
      <c r="QS9">
        <v>28653435</v>
      </c>
      <c r="QT9" t="s">
        <v>2277</v>
      </c>
      <c r="QW9" t="s">
        <v>1801</v>
      </c>
      <c r="QX9">
        <v>-2.4245362661989844E-14</v>
      </c>
      <c r="QZ9">
        <v>-2.4245362661989844E-14</v>
      </c>
      <c r="RA9" t="s">
        <v>1594</v>
      </c>
      <c r="RB9">
        <v>2022</v>
      </c>
      <c r="RC9" t="s">
        <v>1802</v>
      </c>
      <c r="RD9" s="6">
        <v>45083</v>
      </c>
      <c r="RE9">
        <v>5</v>
      </c>
      <c r="RF9">
        <v>-2.4245362661989844E-14</v>
      </c>
      <c r="RG9">
        <v>34532225</v>
      </c>
      <c r="RH9" t="s">
        <v>1803</v>
      </c>
      <c r="RM9" t="s">
        <v>5126</v>
      </c>
      <c r="RN9" t="s">
        <v>1598</v>
      </c>
      <c r="RO9">
        <v>28</v>
      </c>
      <c r="RP9">
        <v>0.140787</v>
      </c>
      <c r="RQ9" t="s">
        <v>1594</v>
      </c>
      <c r="RR9">
        <v>2024</v>
      </c>
      <c r="RS9" t="s">
        <v>5127</v>
      </c>
      <c r="RT9" s="6">
        <v>45729</v>
      </c>
      <c r="RU9">
        <v>5</v>
      </c>
      <c r="RV9">
        <v>54355072</v>
      </c>
      <c r="RW9">
        <v>54325602</v>
      </c>
      <c r="RX9" t="s">
        <v>5128</v>
      </c>
      <c r="SA9" t="s">
        <v>3574</v>
      </c>
      <c r="SB9">
        <v>-2.4245362661989844E-14</v>
      </c>
      <c r="SD9">
        <v>-2.4245362661989844E-14</v>
      </c>
      <c r="SE9" t="s">
        <v>1651</v>
      </c>
      <c r="SF9">
        <v>2023</v>
      </c>
      <c r="SG9" t="s">
        <v>3575</v>
      </c>
      <c r="SH9" s="6">
        <v>45244</v>
      </c>
      <c r="SI9">
        <v>5</v>
      </c>
      <c r="SJ9">
        <v>-2.4245362661989844E-14</v>
      </c>
      <c r="SK9">
        <v>129148</v>
      </c>
      <c r="SL9" t="s">
        <v>3576</v>
      </c>
      <c r="SQ9" t="s">
        <v>465</v>
      </c>
      <c r="SR9" t="s">
        <v>1598</v>
      </c>
      <c r="SS9">
        <v>2.775217</v>
      </c>
      <c r="ST9">
        <v>1.415462</v>
      </c>
      <c r="SU9" t="s">
        <v>1599</v>
      </c>
      <c r="SV9">
        <v>2025</v>
      </c>
      <c r="SW9" t="s">
        <v>1941</v>
      </c>
      <c r="SX9" s="6">
        <v>45946</v>
      </c>
      <c r="SY9">
        <v>5</v>
      </c>
      <c r="SZ9">
        <v>369860096</v>
      </c>
      <c r="TA9">
        <v>101779</v>
      </c>
      <c r="TB9" t="s">
        <v>3786</v>
      </c>
      <c r="TU9" t="s">
        <v>2041</v>
      </c>
      <c r="TV9" t="s">
        <v>1634</v>
      </c>
      <c r="TW9">
        <v>1.4444140000000001</v>
      </c>
      <c r="TX9">
        <v>1.9580120000000001</v>
      </c>
      <c r="TY9" t="s">
        <v>1603</v>
      </c>
      <c r="TZ9">
        <v>2025</v>
      </c>
      <c r="UA9" t="s">
        <v>3890</v>
      </c>
      <c r="UB9" s="6">
        <v>45812</v>
      </c>
      <c r="UC9">
        <v>5</v>
      </c>
      <c r="UD9">
        <v>15487874</v>
      </c>
      <c r="UE9">
        <v>211040</v>
      </c>
      <c r="UF9" t="s">
        <v>2043</v>
      </c>
      <c r="UI9" t="s">
        <v>3727</v>
      </c>
      <c r="UJ9">
        <v>-2.4245362661989844E-14</v>
      </c>
      <c r="UL9">
        <v>-2.4245362661989844E-14</v>
      </c>
      <c r="UM9" t="s">
        <v>1606</v>
      </c>
      <c r="UN9">
        <v>2025</v>
      </c>
      <c r="UO9" t="s">
        <v>3728</v>
      </c>
      <c r="UP9" s="6">
        <v>46056</v>
      </c>
      <c r="UQ9">
        <v>5</v>
      </c>
      <c r="UR9">
        <v>-2.4245362661989844E-14</v>
      </c>
      <c r="US9">
        <v>202508</v>
      </c>
      <c r="UT9" t="s">
        <v>3729</v>
      </c>
      <c r="UY9" t="s">
        <v>6214</v>
      </c>
      <c r="VA9">
        <v>-2.4245362661989844E-14</v>
      </c>
      <c r="VB9">
        <v>-2.4245362661989844E-14</v>
      </c>
      <c r="VC9" t="s">
        <v>1594</v>
      </c>
      <c r="VD9">
        <v>2022</v>
      </c>
      <c r="VE9" t="s">
        <v>6215</v>
      </c>
      <c r="VF9" s="6">
        <v>44999</v>
      </c>
      <c r="VG9">
        <v>5</v>
      </c>
      <c r="VH9">
        <v>-2.4245362661989844E-14</v>
      </c>
      <c r="VI9">
        <v>66026875</v>
      </c>
      <c r="VJ9" t="s">
        <v>6216</v>
      </c>
      <c r="VM9" t="s">
        <v>171</v>
      </c>
      <c r="VN9">
        <v>-2.4245362661989844E-14</v>
      </c>
      <c r="VP9">
        <v>-2.4245362661989844E-14</v>
      </c>
      <c r="VQ9" t="s">
        <v>1594</v>
      </c>
      <c r="VR9">
        <v>2024</v>
      </c>
      <c r="VS9" t="s">
        <v>5597</v>
      </c>
      <c r="VT9" s="6">
        <v>45390</v>
      </c>
      <c r="VU9">
        <v>5</v>
      </c>
      <c r="VV9">
        <v>-2.4245362661989844E-14</v>
      </c>
      <c r="VW9">
        <v>1084605</v>
      </c>
      <c r="VX9" t="s">
        <v>5428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314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315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316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317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318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319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320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321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322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323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324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325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326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327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328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329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330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331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332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333</v>
      </c>
      <c r="AE2" s="3" t="s">
        <v>247</v>
      </c>
      <c r="BI2" s="3" t="s">
        <v>149</v>
      </c>
      <c r="CM2" s="3" t="s">
        <v>334</v>
      </c>
      <c r="DQ2" s="3" t="s">
        <v>179</v>
      </c>
      <c r="EU2" s="3" t="s">
        <v>335</v>
      </c>
      <c r="FY2" s="3" t="s">
        <v>336</v>
      </c>
      <c r="HC2" s="3" t="s">
        <v>337</v>
      </c>
      <c r="IG2" s="3" t="s">
        <v>240</v>
      </c>
      <c r="JK2" s="3" t="s">
        <v>209</v>
      </c>
      <c r="KO2" s="3" t="s">
        <v>78</v>
      </c>
      <c r="LS2" s="3" t="s">
        <v>78</v>
      </c>
      <c r="MW2" s="3" t="s">
        <v>338</v>
      </c>
      <c r="OA2" s="3" t="s">
        <v>339</v>
      </c>
      <c r="PE2" s="3" t="s">
        <v>184</v>
      </c>
      <c r="QI2" s="3" t="s">
        <v>340</v>
      </c>
      <c r="RM2" s="3" t="s">
        <v>32</v>
      </c>
      <c r="SQ2" s="3" t="s">
        <v>341</v>
      </c>
      <c r="TU2" s="3" t="s">
        <v>342</v>
      </c>
      <c r="UY2" s="3" t="s">
        <v>343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_xll.BDS("1312089D US Equity","SUPPLY_CHAIN_SUPPLIERS_ALL_DATA")</f>
        <v>#N/A N/A</v>
      </c>
      <c r="O5" t="str">
        <f>_xll.BDS("1312089D US Equity","SUPPLY_CHAIN_CUSTOMERS_ALL_DATA")</f>
        <v>#N/A N/A</v>
      </c>
      <c r="AE5" t="str">
        <f>_xll.BDS("SLB US Equity","SUPPLY_CHAIN_SUPPLIERS_ALL_DATA","cols=12;rows=5")</f>
        <v>ARABIAND AB Equity</v>
      </c>
      <c r="AF5" t="s">
        <v>1598</v>
      </c>
      <c r="AG5">
        <v>16.391817</v>
      </c>
      <c r="AH5">
        <v>0.548377</v>
      </c>
      <c r="AI5" t="s">
        <v>1594</v>
      </c>
      <c r="AJ5">
        <v>2024</v>
      </c>
      <c r="AK5" t="s">
        <v>2240</v>
      </c>
      <c r="AL5" s="6">
        <v>45743</v>
      </c>
      <c r="AM5">
        <v>5</v>
      </c>
      <c r="AN5">
        <v>39521386.840000004</v>
      </c>
      <c r="AO5">
        <v>64576000</v>
      </c>
      <c r="AP5" t="s">
        <v>2241</v>
      </c>
      <c r="AS5" t="str">
        <f>_xll.BDS("SLB US Equity","SUPPLY_CHAIN_CUSTOMERS_ALL_DATA","cols=12;rows=5")</f>
        <v>PETR4 BZ Equity</v>
      </c>
      <c r="AT5">
        <v>4.2082129999999998</v>
      </c>
      <c r="AU5" t="s">
        <v>1634</v>
      </c>
      <c r="AV5">
        <v>7.6857369999999996</v>
      </c>
      <c r="AW5" t="s">
        <v>1599</v>
      </c>
      <c r="AX5">
        <v>2025</v>
      </c>
      <c r="AY5" t="s">
        <v>1809</v>
      </c>
      <c r="AZ5" s="6">
        <v>45985</v>
      </c>
      <c r="BA5">
        <v>5</v>
      </c>
      <c r="BB5">
        <v>375709248</v>
      </c>
      <c r="BC5">
        <v>136114</v>
      </c>
      <c r="BD5" t="s">
        <v>1810</v>
      </c>
      <c r="BI5" t="str">
        <f>_xll.BDS("PLD US Equity","SUPPLY_CHAIN_SUPPLIERS_ALL_DATA","cols=12;rows=5")</f>
        <v>SALFACOR CI Equity</v>
      </c>
      <c r="BJ5" t="s">
        <v>1598</v>
      </c>
      <c r="BK5">
        <v>1.0878749999999999</v>
      </c>
      <c r="BL5">
        <v>25.782067999999999</v>
      </c>
      <c r="BM5" t="s">
        <v>1594</v>
      </c>
      <c r="BN5">
        <v>2024</v>
      </c>
      <c r="BO5" t="s">
        <v>2301</v>
      </c>
      <c r="BP5" s="6">
        <v>45714</v>
      </c>
      <c r="BQ5">
        <v>5</v>
      </c>
      <c r="BR5">
        <v>3034787.67</v>
      </c>
      <c r="BS5">
        <v>9218729</v>
      </c>
      <c r="BT5" t="s">
        <v>2302</v>
      </c>
      <c r="BW5" t="str">
        <f>_xll.BDS("PLD US Equity","SUPPLY_CHAIN_CUSTOMERS_ALL_DATA","cols=12;rows=5")</f>
        <v>AMZN US Equity</v>
      </c>
      <c r="BX5">
        <v>5.4977010000000002</v>
      </c>
      <c r="BY5" t="s">
        <v>1685</v>
      </c>
      <c r="BZ5">
        <v>0.81587200000000004</v>
      </c>
      <c r="CA5" t="s">
        <v>1594</v>
      </c>
      <c r="CB5">
        <v>2024</v>
      </c>
      <c r="CC5" t="s">
        <v>1903</v>
      </c>
      <c r="CD5" s="6">
        <v>45702</v>
      </c>
      <c r="CE5">
        <v>5</v>
      </c>
      <c r="CF5">
        <v>112725000</v>
      </c>
      <c r="CG5">
        <v>216952</v>
      </c>
      <c r="CH5" t="s">
        <v>1631</v>
      </c>
      <c r="CM5" t="str">
        <f>_xll.BDS("EXC US Equity","SUPPLY_CHAIN_SUPPLIERS_ALL_DATA","cols=12;rows=5")</f>
        <v>PWR US Equity</v>
      </c>
      <c r="CN5" t="s">
        <v>1634</v>
      </c>
      <c r="CO5">
        <v>2.4096030000000002</v>
      </c>
      <c r="CP5">
        <v>8.6089249999999993</v>
      </c>
      <c r="CQ5" t="s">
        <v>1599</v>
      </c>
      <c r="CR5">
        <v>2025</v>
      </c>
      <c r="CS5" t="s">
        <v>2321</v>
      </c>
      <c r="CT5" s="6">
        <v>45975</v>
      </c>
      <c r="CU5">
        <v>5</v>
      </c>
      <c r="CV5">
        <v>183886640</v>
      </c>
      <c r="CW5">
        <v>305366</v>
      </c>
      <c r="CX5" t="s">
        <v>2322</v>
      </c>
      <c r="DA5" t="str">
        <f>_xll.BDS("EXC US Equity","SUPPLY_CHAIN_CUSTOMERS_ALL_DATA","cols=12;rows=5")</f>
        <v>ARW US Equity</v>
      </c>
      <c r="DB5">
        <v>0.232519</v>
      </c>
      <c r="DC5" t="s">
        <v>1598</v>
      </c>
      <c r="DD5">
        <v>0.258465</v>
      </c>
      <c r="DE5" t="s">
        <v>1603</v>
      </c>
      <c r="DF5">
        <v>2025</v>
      </c>
      <c r="DG5" t="s">
        <v>1892</v>
      </c>
      <c r="DH5" s="6">
        <v>45784</v>
      </c>
      <c r="DI5">
        <v>5</v>
      </c>
      <c r="DJ5">
        <v>15611351</v>
      </c>
      <c r="DK5">
        <v>100115</v>
      </c>
      <c r="DL5" t="s">
        <v>1893</v>
      </c>
      <c r="DQ5" t="str">
        <f>_xll.BDS("BDX US Equity","SUPPLY_CHAIN_SUPPLIERS_ALL_DATA","cols=12;rows=5")</f>
        <v>FLEX US Equity</v>
      </c>
      <c r="DR5" t="s">
        <v>1598</v>
      </c>
      <c r="DS5">
        <v>0.65342299999999998</v>
      </c>
      <c r="DT5">
        <v>1.460566</v>
      </c>
      <c r="DU5" t="s">
        <v>1599</v>
      </c>
      <c r="DV5">
        <v>2025</v>
      </c>
      <c r="DW5" t="s">
        <v>2557</v>
      </c>
      <c r="DX5" s="6">
        <v>45763</v>
      </c>
      <c r="DY5">
        <v>5</v>
      </c>
      <c r="DZ5">
        <v>42838412</v>
      </c>
      <c r="EA5">
        <v>136547</v>
      </c>
      <c r="EB5" t="s">
        <v>2558</v>
      </c>
      <c r="EE5" t="str">
        <f>_xll.BDS("BDX US Equity","SUPPLY_CHAIN_CUSTOMERS_ALL_DATA","cols=12;rows=5")</f>
        <v>300326 CH Equity</v>
      </c>
      <c r="EF5">
        <v>4.1838E-2</v>
      </c>
      <c r="EG5" t="s">
        <v>1598</v>
      </c>
      <c r="EH5">
        <v>12.966013999999999</v>
      </c>
      <c r="EI5" t="s">
        <v>1594</v>
      </c>
      <c r="EJ5">
        <v>2024</v>
      </c>
      <c r="EK5" t="s">
        <v>4782</v>
      </c>
      <c r="EL5" s="6">
        <v>45777</v>
      </c>
      <c r="EM5">
        <v>5</v>
      </c>
      <c r="EN5">
        <v>2189021.09</v>
      </c>
      <c r="EO5">
        <v>28668877</v>
      </c>
      <c r="EP5" t="s">
        <v>4783</v>
      </c>
      <c r="EU5" t="str">
        <f>_xll.BDS("TTWO US Equity","SUPPLY_CHAIN_SUPPLIERS_ALL_DATA","cols=12;rows=5")</f>
        <v>6758 JP Equity</v>
      </c>
      <c r="EV5" t="s">
        <v>1598</v>
      </c>
      <c r="EW5">
        <v>9.0399999999999994E-2</v>
      </c>
      <c r="EX5">
        <v>2.4018109999999999</v>
      </c>
      <c r="EY5" t="s">
        <v>1664</v>
      </c>
      <c r="EZ5">
        <v>2026</v>
      </c>
      <c r="FA5" t="s">
        <v>5878</v>
      </c>
      <c r="FB5" s="6">
        <v>46049</v>
      </c>
      <c r="FC5">
        <v>5</v>
      </c>
      <c r="FD5">
        <v>19061061.780000001</v>
      </c>
      <c r="FE5">
        <v>101365</v>
      </c>
      <c r="FF5" t="s">
        <v>4960</v>
      </c>
      <c r="FI5" t="str">
        <f>_xll.BDS("TTWO US Equity","SUPPLY_CHAIN_CUSTOMERS_ALL_DATA","cols=12;rows=5")</f>
        <v>6758 JP Equity</v>
      </c>
      <c r="FJ5">
        <v>24.819441000000001</v>
      </c>
      <c r="FK5" t="s">
        <v>1598</v>
      </c>
      <c r="FL5">
        <v>3.0905269999999998</v>
      </c>
      <c r="FM5" t="s">
        <v>1664</v>
      </c>
      <c r="FN5">
        <v>2026</v>
      </c>
      <c r="FO5" t="s">
        <v>6136</v>
      </c>
      <c r="FP5" s="6">
        <v>46052</v>
      </c>
      <c r="FQ5">
        <v>5</v>
      </c>
      <c r="FR5">
        <v>440247232</v>
      </c>
      <c r="FS5">
        <v>101365</v>
      </c>
      <c r="FT5" t="s">
        <v>4960</v>
      </c>
      <c r="FY5" t="str">
        <f>_xll.BDS("SO US Equity","SUPPLY_CHAIN_SUPPLIERS_ALL_DATA","cols=12;rows=5")</f>
        <v>GEV US Equity</v>
      </c>
      <c r="FZ5" t="s">
        <v>1634</v>
      </c>
      <c r="GA5">
        <v>0.57407600000000003</v>
      </c>
      <c r="GB5">
        <v>1.781474</v>
      </c>
      <c r="GC5" t="s">
        <v>1664</v>
      </c>
      <c r="GD5">
        <v>2025</v>
      </c>
      <c r="GE5" t="s">
        <v>3976</v>
      </c>
      <c r="GF5" s="6">
        <v>45937</v>
      </c>
      <c r="GG5">
        <v>5</v>
      </c>
      <c r="GH5">
        <v>52304064</v>
      </c>
      <c r="GI5">
        <v>69818593</v>
      </c>
      <c r="GJ5" t="s">
        <v>3977</v>
      </c>
      <c r="GM5" t="str">
        <f>_xll.BDS("SO US Equity","SUPPLY_CHAIN_CUSTOMERS_ALL_DATA","cols=12;rows=5")</f>
        <v>000039 CH Equity</v>
      </c>
      <c r="GN5">
        <v>-2.4245362661989844E-14</v>
      </c>
      <c r="GP5">
        <v>-2.4245362661989844E-14</v>
      </c>
      <c r="GQ5" t="s">
        <v>1594</v>
      </c>
      <c r="GR5">
        <v>2021</v>
      </c>
      <c r="GS5" t="s">
        <v>4021</v>
      </c>
      <c r="GT5" s="6">
        <v>44693</v>
      </c>
      <c r="GU5">
        <v>5</v>
      </c>
      <c r="GV5">
        <v>-2.4245362661989844E-14</v>
      </c>
      <c r="GW5">
        <v>135744</v>
      </c>
      <c r="GX5" t="s">
        <v>3690</v>
      </c>
      <c r="HC5" t="str">
        <f>_xll.BDS("BAX US Equity","SUPPLY_CHAIN_SUPPLIERS_ALL_DATA","cols=12;rows=5")</f>
        <v>BHE US Equity</v>
      </c>
      <c r="HD5" t="s">
        <v>1598</v>
      </c>
      <c r="HE5">
        <v>1.118628</v>
      </c>
      <c r="HF5">
        <v>0.40062900000000001</v>
      </c>
      <c r="HG5" t="s">
        <v>1603</v>
      </c>
      <c r="HH5">
        <v>2025</v>
      </c>
      <c r="HI5" t="s">
        <v>3739</v>
      </c>
      <c r="HJ5" s="6">
        <v>45793</v>
      </c>
      <c r="HK5">
        <v>5</v>
      </c>
      <c r="HL5">
        <v>7067089</v>
      </c>
      <c r="HM5">
        <v>102417</v>
      </c>
      <c r="HN5" t="s">
        <v>3740</v>
      </c>
      <c r="HQ5" t="str">
        <f>_xll.BDS("BAX US Equity","SUPPLY_CHAIN_CUSTOMERS_ALL_DATA","cols=12;rows=5")</f>
        <v>1788 TT Equity</v>
      </c>
      <c r="HR5">
        <v>2.648E-2</v>
      </c>
      <c r="HS5" t="s">
        <v>1598</v>
      </c>
      <c r="HT5">
        <v>3.0847989999999998</v>
      </c>
      <c r="HU5" t="s">
        <v>1594</v>
      </c>
      <c r="HV5">
        <v>2024</v>
      </c>
      <c r="HW5" t="s">
        <v>5680</v>
      </c>
      <c r="HX5" s="6">
        <v>45784</v>
      </c>
      <c r="HY5">
        <v>5</v>
      </c>
      <c r="HZ5">
        <v>720839.48</v>
      </c>
      <c r="IA5">
        <v>9152670</v>
      </c>
      <c r="IB5" t="s">
        <v>4074</v>
      </c>
      <c r="IG5" t="str">
        <f>_xll.BDS("JNJ US Equity","SUPPLY_CHAIN_SUPPLIERS_ALL_DATA","cols=12;rows=5")</f>
        <v>GMAB DC Equity</v>
      </c>
      <c r="IH5" t="s">
        <v>2128</v>
      </c>
      <c r="II5">
        <v>66.998047</v>
      </c>
      <c r="IJ5">
        <v>11.040321</v>
      </c>
      <c r="IK5" t="s">
        <v>1594</v>
      </c>
      <c r="IL5">
        <v>2024</v>
      </c>
      <c r="IM5" t="s">
        <v>3382</v>
      </c>
      <c r="IN5" s="6">
        <v>45701</v>
      </c>
      <c r="IO5">
        <v>5</v>
      </c>
      <c r="IP5">
        <v>522920364.22000003</v>
      </c>
      <c r="IQ5">
        <v>1405715</v>
      </c>
      <c r="IR5" t="s">
        <v>3383</v>
      </c>
      <c r="IU5" t="str">
        <f>_xll.BDS("JNJ US Equity","SUPPLY_CHAIN_CUSTOMERS_ALL_DATA","cols=12;rows=5")</f>
        <v>MCK US Equity</v>
      </c>
      <c r="IV5">
        <v>20.476745999999999</v>
      </c>
      <c r="IW5" t="s">
        <v>1598</v>
      </c>
      <c r="IX5">
        <v>6.636412</v>
      </c>
      <c r="IY5" t="s">
        <v>1599</v>
      </c>
      <c r="IZ5">
        <v>2025</v>
      </c>
      <c r="JA5" t="s">
        <v>2219</v>
      </c>
      <c r="JB5" s="6">
        <v>46018</v>
      </c>
      <c r="JC5">
        <v>5</v>
      </c>
      <c r="JD5">
        <v>4912985600</v>
      </c>
      <c r="JE5">
        <v>154936</v>
      </c>
      <c r="JF5" t="s">
        <v>1766</v>
      </c>
      <c r="JK5" t="str">
        <f>_xll.BDS("MO US Equity","SUPPLY_CHAIN_SUPPLIERS_ALL_DATA","cols=12;rows=5")</f>
        <v>UVV US Equity</v>
      </c>
      <c r="JL5" t="s">
        <v>1598</v>
      </c>
      <c r="JM5">
        <v>6.3903869999999996</v>
      </c>
      <c r="JN5">
        <v>2.8869959999999999</v>
      </c>
      <c r="JO5" t="s">
        <v>1606</v>
      </c>
      <c r="JP5">
        <v>2025</v>
      </c>
      <c r="JQ5" t="s">
        <v>3458</v>
      </c>
      <c r="JR5" s="6">
        <v>45860</v>
      </c>
      <c r="JS5">
        <v>5</v>
      </c>
      <c r="JT5">
        <v>44878344</v>
      </c>
      <c r="JU5">
        <v>101564</v>
      </c>
      <c r="JV5" t="s">
        <v>3459</v>
      </c>
      <c r="JY5" t="str">
        <f>_xll.BDS("MO US Equity","SUPPLY_CHAIN_CUSTOMERS_ALL_DATA","cols=12;rows=5")</f>
        <v>0835017D US Equity</v>
      </c>
      <c r="JZ5">
        <v>-2.4245362661989844E-14</v>
      </c>
      <c r="KB5">
        <v>-2.4245362661989844E-14</v>
      </c>
      <c r="KC5" t="s">
        <v>1594</v>
      </c>
      <c r="KD5">
        <v>2022</v>
      </c>
      <c r="KE5" t="s">
        <v>2908</v>
      </c>
      <c r="KF5" s="6">
        <v>45008</v>
      </c>
      <c r="KG5">
        <v>5</v>
      </c>
      <c r="KH5">
        <v>-2.4245362661989844E-14</v>
      </c>
      <c r="KI5">
        <v>17495090</v>
      </c>
      <c r="KJ5" t="s">
        <v>2909</v>
      </c>
      <c r="KO5" t="str">
        <f>_xll.BDS("nan Equity","SUPPLY_CHAIN_SUPPLIERS_ALL_DATA")</f>
        <v>#N/A N/A</v>
      </c>
      <c r="LC5" t="str">
        <f>_xll.BDS("nan Equity","SUPPLY_CHAIN_CUSTOMERS_ALL_DATA")</f>
        <v>#N/A N/A</v>
      </c>
      <c r="LS5" t="str">
        <f>_xll.BDS("nan Equity","SUPPLY_CHAIN_SUPPLIERS_ALL_DATA")</f>
        <v>#N/A N/A</v>
      </c>
      <c r="MG5" t="str">
        <f>_xll.BDS("nan Equity","SUPPLY_CHAIN_CUSTOMERS_ALL_DATA")</f>
        <v>#N/A N/A</v>
      </c>
      <c r="MW5" t="str">
        <f>_xll.BDS("WY US Equity","SUPPLY_CHAIN_SUPPLIERS_ALL_DATA","cols=12;rows=5")</f>
        <v>CNR CN Equity</v>
      </c>
      <c r="MX5" t="s">
        <v>1598</v>
      </c>
      <c r="MY5">
        <v>2.7681999999999998E-2</v>
      </c>
      <c r="MZ5">
        <v>5.9485999999999997E-2</v>
      </c>
      <c r="NA5" t="s">
        <v>1603</v>
      </c>
      <c r="NB5">
        <v>2025</v>
      </c>
      <c r="NC5" t="s">
        <v>2089</v>
      </c>
      <c r="ND5" s="6">
        <v>45849</v>
      </c>
      <c r="NE5">
        <v>5</v>
      </c>
      <c r="NF5">
        <v>849447.14</v>
      </c>
      <c r="NG5">
        <v>179551</v>
      </c>
      <c r="NH5" t="s">
        <v>2090</v>
      </c>
      <c r="NK5" t="str">
        <f>_xll.BDS("WY US Equity","SUPPLY_CHAIN_CUSTOMERS_ALL_DATA","cols=12;rows=5")</f>
        <v>BLDR US Equity</v>
      </c>
      <c r="NL5">
        <v>-2.4245362661989844E-14</v>
      </c>
      <c r="NN5">
        <v>-2.4245362661989844E-14</v>
      </c>
      <c r="NO5" t="s">
        <v>1594</v>
      </c>
      <c r="NP5">
        <v>2025</v>
      </c>
      <c r="NQ5" t="s">
        <v>1718</v>
      </c>
      <c r="NR5" s="6">
        <v>46070</v>
      </c>
      <c r="NS5">
        <v>5</v>
      </c>
      <c r="NT5">
        <v>-2.4245362661989844E-14</v>
      </c>
      <c r="NU5">
        <v>952888</v>
      </c>
      <c r="NV5" t="s">
        <v>2787</v>
      </c>
      <c r="OA5" t="str">
        <f>_xll.BDS("TRGP US Equity","SUPPLY_CHAIN_SUPPLIERS_ALL_DATA","cols=12;rows=5")</f>
        <v>SD US Equity</v>
      </c>
      <c r="OB5" t="s">
        <v>1598</v>
      </c>
      <c r="OC5">
        <v>36.900002000000001</v>
      </c>
      <c r="OD5">
        <v>0.38126300000000002</v>
      </c>
      <c r="OE5" t="s">
        <v>1594</v>
      </c>
      <c r="OF5">
        <v>2024</v>
      </c>
      <c r="OG5" t="s">
        <v>3978</v>
      </c>
      <c r="OH5" s="6">
        <v>45727</v>
      </c>
      <c r="OI5">
        <v>5</v>
      </c>
      <c r="OJ5">
        <v>11558002</v>
      </c>
      <c r="OK5">
        <v>10397199</v>
      </c>
      <c r="OL5" t="s">
        <v>3979</v>
      </c>
      <c r="OO5" t="str">
        <f>_xll.BDS("TRGP US Equity","SUPPLY_CHAIN_CUSTOMERS_ALL_DATA","cols=12;rows=5")</f>
        <v>EPD US Equity</v>
      </c>
      <c r="OP5">
        <v>0.45783699999999999</v>
      </c>
      <c r="OQ5" t="s">
        <v>1598</v>
      </c>
      <c r="OR5">
        <v>0.152921</v>
      </c>
      <c r="OS5" t="s">
        <v>1594</v>
      </c>
      <c r="OT5">
        <v>2024</v>
      </c>
      <c r="OU5" t="s">
        <v>1928</v>
      </c>
      <c r="OV5" s="6">
        <v>45716</v>
      </c>
      <c r="OW5">
        <v>5</v>
      </c>
      <c r="OX5">
        <v>18750026</v>
      </c>
      <c r="OY5">
        <v>348091</v>
      </c>
      <c r="OZ5" t="s">
        <v>2928</v>
      </c>
      <c r="PE5" t="str">
        <f>_xll.BDS("TMO US Equity","SUPPLY_CHAIN_SUPPLIERS_ALL_DATA","cols=12;rows=5")</f>
        <v>EMR US Equity</v>
      </c>
      <c r="PF5" t="s">
        <v>1598</v>
      </c>
      <c r="PG5">
        <v>4.2224550000000001</v>
      </c>
      <c r="PH5">
        <v>2.8645350000000001</v>
      </c>
      <c r="PI5" t="s">
        <v>1599</v>
      </c>
      <c r="PJ5">
        <v>2025</v>
      </c>
      <c r="PK5" t="s">
        <v>2931</v>
      </c>
      <c r="PL5" s="6">
        <v>45881</v>
      </c>
      <c r="PM5">
        <v>5</v>
      </c>
      <c r="PN5">
        <v>184647952</v>
      </c>
      <c r="PO5">
        <v>100515</v>
      </c>
      <c r="PP5" t="s">
        <v>2932</v>
      </c>
      <c r="PS5" t="str">
        <f>_xll.BDS("TMO US Equity","SUPPLY_CHAIN_CUSTOMERS_ALL_DATA","cols=12;rows=5")</f>
        <v>4195 TT Equity</v>
      </c>
      <c r="PT5">
        <v>9.7099999999999999E-3</v>
      </c>
      <c r="PU5" t="s">
        <v>1598</v>
      </c>
      <c r="PV5">
        <v>37.527434999999997</v>
      </c>
      <c r="PW5" t="s">
        <v>1594</v>
      </c>
      <c r="PX5">
        <v>2024</v>
      </c>
      <c r="PY5" t="s">
        <v>2828</v>
      </c>
      <c r="PZ5" s="6">
        <v>45803</v>
      </c>
      <c r="QA5">
        <v>5</v>
      </c>
      <c r="QB5">
        <v>1052629.3999999999</v>
      </c>
      <c r="QC5">
        <v>38166930</v>
      </c>
      <c r="QD5" t="s">
        <v>2829</v>
      </c>
      <c r="QI5" t="str">
        <f>_xll.BDS("BPYU US Equity","SUPPLY_CHAIN_SUPPLIERS_ALL_DATA")</f>
        <v>#N/A N/A</v>
      </c>
      <c r="QW5" t="str">
        <f>_xll.BDS("BPYU US Equity","SUPPLY_CHAIN_CUSTOMERS_ALL_DATA")</f>
        <v>#N/A N/A</v>
      </c>
      <c r="RM5" t="str">
        <f>_xll.BDS("CVS US Equity","SUPPLY_CHAIN_SUPPLIERS_ALL_DATA","cols=12;rows=5")</f>
        <v>MCK US Equity</v>
      </c>
      <c r="RN5" t="s">
        <v>1598</v>
      </c>
      <c r="RO5">
        <v>24</v>
      </c>
      <c r="RP5">
        <v>26.455601000000001</v>
      </c>
      <c r="RQ5" t="s">
        <v>1594</v>
      </c>
      <c r="RR5">
        <v>2025</v>
      </c>
      <c r="RS5" t="s">
        <v>2431</v>
      </c>
      <c r="RT5" s="6">
        <v>45786</v>
      </c>
      <c r="RU5">
        <v>5</v>
      </c>
      <c r="RV5">
        <v>21543059456</v>
      </c>
      <c r="RW5">
        <v>154936</v>
      </c>
      <c r="RX5" t="s">
        <v>1766</v>
      </c>
      <c r="SA5" t="str">
        <f>_xll.BDS("CVS US Equity","SUPPLY_CHAIN_CUSTOMERS_ALL_DATA","cols=12;rows=5")</f>
        <v>3352Z US Equity</v>
      </c>
      <c r="SB5">
        <v>20</v>
      </c>
      <c r="SD5">
        <v>-2.4245362661989844E-14</v>
      </c>
      <c r="SE5" t="s">
        <v>1594</v>
      </c>
      <c r="SF5">
        <v>2025</v>
      </c>
      <c r="SG5" t="s">
        <v>3587</v>
      </c>
      <c r="SH5" s="6">
        <v>46063</v>
      </c>
      <c r="SI5">
        <v>5</v>
      </c>
      <c r="SJ5">
        <v>20103350272</v>
      </c>
      <c r="SK5">
        <v>218252</v>
      </c>
      <c r="SL5" t="s">
        <v>1622</v>
      </c>
      <c r="SQ5" t="str">
        <f>_xll.BDS("SHW US Equity","SUPPLY_CHAIN_SUPPLIERS_ALL_DATA","cols=12;rows=5")</f>
        <v>AKE FP Equity</v>
      </c>
      <c r="SR5" t="s">
        <v>1598</v>
      </c>
      <c r="SS5">
        <v>2.0136229999999999</v>
      </c>
      <c r="ST5">
        <v>1.7779529999999999</v>
      </c>
      <c r="SU5" t="s">
        <v>1599</v>
      </c>
      <c r="SV5">
        <v>2025</v>
      </c>
      <c r="SW5" t="s">
        <v>5741</v>
      </c>
      <c r="SX5" s="6">
        <v>46076</v>
      </c>
      <c r="SY5">
        <v>5</v>
      </c>
      <c r="SZ5">
        <v>51467135.799999997</v>
      </c>
      <c r="TA5">
        <v>10108180</v>
      </c>
      <c r="TB5" t="s">
        <v>5742</v>
      </c>
      <c r="TE5" t="str">
        <f>_xll.BDS("SHW US Equity","SUPPLY_CHAIN_CUSTOMERS_ALL_DATA","cols=12;rows=5")</f>
        <v>LOW US Equity</v>
      </c>
      <c r="TF5">
        <v>3.6698040000000001</v>
      </c>
      <c r="TG5" t="s">
        <v>1598</v>
      </c>
      <c r="TH5">
        <v>1.6618599999999999</v>
      </c>
      <c r="TI5" t="s">
        <v>1664</v>
      </c>
      <c r="TJ5">
        <v>2025</v>
      </c>
      <c r="TK5" t="s">
        <v>1737</v>
      </c>
      <c r="TL5" s="6">
        <v>45869</v>
      </c>
      <c r="TM5">
        <v>5</v>
      </c>
      <c r="TN5">
        <v>231729776</v>
      </c>
      <c r="TO5">
        <v>100916</v>
      </c>
      <c r="TP5" t="s">
        <v>1741</v>
      </c>
      <c r="TU5" t="str">
        <f>_xll.BDS("TWO US Equity","SUPPLY_CHAIN_SUPPLIERS_ALL_DATA")</f>
        <v>#N/A N/A</v>
      </c>
      <c r="UI5" t="str">
        <f>_xll.BDS("TWO US Equity","SUPPLY_CHAIN_CUSTOMERS_ALL_DATA")</f>
        <v>#N/A N/A</v>
      </c>
      <c r="UY5" t="str">
        <f>_xll.BDS("TT US Equity","SUPPLY_CHAIN_SUPPLIERS_ALL_DATA","cols=12;rows=5")</f>
        <v>NUE US Equity</v>
      </c>
      <c r="UZ5" t="s">
        <v>1598</v>
      </c>
      <c r="VA5">
        <v>0.69614900000000002</v>
      </c>
      <c r="VB5">
        <v>1.845674</v>
      </c>
      <c r="VC5" t="s">
        <v>1664</v>
      </c>
      <c r="VD5">
        <v>2025</v>
      </c>
      <c r="VE5" t="s">
        <v>1607</v>
      </c>
      <c r="VF5" s="6">
        <v>45870</v>
      </c>
      <c r="VG5">
        <v>5</v>
      </c>
      <c r="VH5">
        <v>58866388</v>
      </c>
      <c r="VI5">
        <v>101097</v>
      </c>
      <c r="VJ5" t="s">
        <v>6139</v>
      </c>
      <c r="VM5" t="str">
        <f>_xll.BDS("TT US Equity","SUPPLY_CHAIN_CUSTOMERS_ALL_DATA","cols=12;rows=5")</f>
        <v>INTC US Equity</v>
      </c>
      <c r="VN5">
        <v>1.9606330000000001</v>
      </c>
      <c r="VO5" t="s">
        <v>1598</v>
      </c>
      <c r="VP5">
        <v>1.043668</v>
      </c>
      <c r="VQ5" t="s">
        <v>1664</v>
      </c>
      <c r="VR5">
        <v>2025</v>
      </c>
      <c r="VS5" t="s">
        <v>1607</v>
      </c>
      <c r="VT5" s="6">
        <v>45870</v>
      </c>
      <c r="VU5">
        <v>5</v>
      </c>
      <c r="VV5">
        <v>97238576</v>
      </c>
      <c r="VW5">
        <v>101729</v>
      </c>
      <c r="VX5" t="s">
        <v>2229</v>
      </c>
    </row>
    <row r="6" spans="1:600" x14ac:dyDescent="0.25">
      <c r="AE6" t="s">
        <v>2242</v>
      </c>
      <c r="AF6" t="s">
        <v>1598</v>
      </c>
      <c r="AG6">
        <v>1.9326570000000001</v>
      </c>
      <c r="AH6">
        <v>0.21072099999999999</v>
      </c>
      <c r="AI6" t="s">
        <v>1599</v>
      </c>
      <c r="AJ6">
        <v>2025</v>
      </c>
      <c r="AK6" t="s">
        <v>2243</v>
      </c>
      <c r="AL6" s="6">
        <v>45985</v>
      </c>
      <c r="AM6">
        <v>5</v>
      </c>
      <c r="AN6">
        <v>15533053.789999999</v>
      </c>
      <c r="AO6">
        <v>125320</v>
      </c>
      <c r="AP6" t="s">
        <v>2244</v>
      </c>
      <c r="AS6" t="s">
        <v>1811</v>
      </c>
      <c r="AT6">
        <v>3.2167110000000001</v>
      </c>
      <c r="AU6" t="s">
        <v>1634</v>
      </c>
      <c r="AV6">
        <v>9.4337839999999993</v>
      </c>
      <c r="AW6" t="s">
        <v>1599</v>
      </c>
      <c r="AX6">
        <v>2025</v>
      </c>
      <c r="AY6" t="s">
        <v>1809</v>
      </c>
      <c r="AZ6" s="6">
        <v>45985</v>
      </c>
      <c r="BA6">
        <v>5</v>
      </c>
      <c r="BB6">
        <v>287187968</v>
      </c>
      <c r="BC6">
        <v>182074</v>
      </c>
      <c r="BD6" t="s">
        <v>1812</v>
      </c>
      <c r="BI6" t="s">
        <v>2303</v>
      </c>
      <c r="BK6">
        <v>-2.4245362661989844E-14</v>
      </c>
      <c r="BL6">
        <v>-2.4245362661989844E-14</v>
      </c>
      <c r="BM6" t="s">
        <v>1594</v>
      </c>
      <c r="BN6">
        <v>2023</v>
      </c>
      <c r="BO6" t="s">
        <v>2304</v>
      </c>
      <c r="BP6" s="6">
        <v>45042</v>
      </c>
      <c r="BQ6">
        <v>5</v>
      </c>
      <c r="BR6">
        <v>-2.4245362661989844E-14</v>
      </c>
      <c r="BS6">
        <v>41727115</v>
      </c>
      <c r="BT6" t="s">
        <v>2305</v>
      </c>
      <c r="BW6" t="s">
        <v>365</v>
      </c>
      <c r="BX6">
        <v>2.5655939999999999</v>
      </c>
      <c r="BY6" t="s">
        <v>1685</v>
      </c>
      <c r="BZ6">
        <v>0.75958400000000004</v>
      </c>
      <c r="CA6" t="s">
        <v>1594</v>
      </c>
      <c r="CB6">
        <v>2024</v>
      </c>
      <c r="CC6" t="s">
        <v>1903</v>
      </c>
      <c r="CD6" s="6">
        <v>45702</v>
      </c>
      <c r="CE6">
        <v>5</v>
      </c>
      <c r="CF6">
        <v>52605000</v>
      </c>
      <c r="CG6">
        <v>100743</v>
      </c>
      <c r="CH6" t="s">
        <v>1904</v>
      </c>
      <c r="CM6" t="s">
        <v>3820</v>
      </c>
      <c r="CN6" t="s">
        <v>1598</v>
      </c>
      <c r="CO6">
        <v>0.32812200000000002</v>
      </c>
      <c r="CP6">
        <v>0.37049900000000002</v>
      </c>
      <c r="CQ6" t="s">
        <v>1603</v>
      </c>
      <c r="CR6">
        <v>2025</v>
      </c>
      <c r="CS6" t="s">
        <v>3821</v>
      </c>
      <c r="CT6" s="6">
        <v>45849</v>
      </c>
      <c r="CU6">
        <v>5</v>
      </c>
      <c r="CV6">
        <v>9343989</v>
      </c>
      <c r="CW6">
        <v>102595</v>
      </c>
      <c r="CX6" t="s">
        <v>3822</v>
      </c>
      <c r="DA6" t="s">
        <v>5082</v>
      </c>
      <c r="DB6">
        <v>-2.4245362661989844E-14</v>
      </c>
      <c r="DD6">
        <v>-2.4245362661989844E-14</v>
      </c>
      <c r="DE6" t="s">
        <v>1594</v>
      </c>
      <c r="DF6">
        <v>2021</v>
      </c>
      <c r="DG6" t="s">
        <v>5083</v>
      </c>
      <c r="DH6" s="6">
        <v>44693</v>
      </c>
      <c r="DI6">
        <v>5</v>
      </c>
      <c r="DJ6">
        <v>-2.4245362661989844E-14</v>
      </c>
      <c r="DK6">
        <v>117699</v>
      </c>
      <c r="DL6" t="s">
        <v>5084</v>
      </c>
      <c r="DQ6" t="s">
        <v>2675</v>
      </c>
      <c r="DR6" t="s">
        <v>1598</v>
      </c>
      <c r="DS6">
        <v>1.4071180000000001</v>
      </c>
      <c r="DT6">
        <v>0.43839600000000001</v>
      </c>
      <c r="DU6" t="s">
        <v>1664</v>
      </c>
      <c r="DV6">
        <v>2025</v>
      </c>
      <c r="DW6" t="s">
        <v>2676</v>
      </c>
      <c r="DX6" s="6">
        <v>45914</v>
      </c>
      <c r="DY6">
        <v>5</v>
      </c>
      <c r="DZ6">
        <v>12603873</v>
      </c>
      <c r="EA6">
        <v>117116</v>
      </c>
      <c r="EB6" t="s">
        <v>2677</v>
      </c>
      <c r="EE6" t="s">
        <v>4784</v>
      </c>
      <c r="EF6">
        <v>2.3125E-2</v>
      </c>
      <c r="EG6" t="s">
        <v>1598</v>
      </c>
      <c r="EH6">
        <v>1.6582479999999999</v>
      </c>
      <c r="EI6" t="s">
        <v>1651</v>
      </c>
      <c r="EJ6">
        <v>2025</v>
      </c>
      <c r="EK6" t="s">
        <v>4785</v>
      </c>
      <c r="EL6" s="6">
        <v>45975</v>
      </c>
      <c r="EM6">
        <v>5</v>
      </c>
      <c r="EN6">
        <v>1260135.7</v>
      </c>
      <c r="EO6">
        <v>33043329</v>
      </c>
      <c r="EP6" t="s">
        <v>4786</v>
      </c>
      <c r="EU6" t="s">
        <v>3211</v>
      </c>
      <c r="EV6" t="s">
        <v>1598</v>
      </c>
      <c r="EW6">
        <v>0.26058799999999999</v>
      </c>
      <c r="EX6">
        <v>1.2247509999999999</v>
      </c>
      <c r="EY6" t="s">
        <v>1664</v>
      </c>
      <c r="EZ6">
        <v>2026</v>
      </c>
      <c r="FA6" t="s">
        <v>3212</v>
      </c>
      <c r="FB6" s="6">
        <v>46048</v>
      </c>
      <c r="FC6">
        <v>5</v>
      </c>
      <c r="FD6">
        <v>9719769.4900000002</v>
      </c>
      <c r="FE6">
        <v>114322</v>
      </c>
      <c r="FF6" t="s">
        <v>3213</v>
      </c>
      <c r="FI6" t="s">
        <v>2381</v>
      </c>
      <c r="FJ6">
        <v>22.888544</v>
      </c>
      <c r="FK6" t="s">
        <v>1598</v>
      </c>
      <c r="FL6">
        <v>0.98140400000000005</v>
      </c>
      <c r="FM6" t="s">
        <v>1664</v>
      </c>
      <c r="FN6">
        <v>2026</v>
      </c>
      <c r="FO6" t="s">
        <v>6136</v>
      </c>
      <c r="FP6" s="6">
        <v>46052</v>
      </c>
      <c r="FQ6">
        <v>5</v>
      </c>
      <c r="FR6">
        <v>405997024</v>
      </c>
      <c r="FS6">
        <v>46946968</v>
      </c>
      <c r="FT6" t="s">
        <v>2382</v>
      </c>
      <c r="FY6" t="s">
        <v>2317</v>
      </c>
      <c r="FZ6" t="s">
        <v>1598</v>
      </c>
      <c r="GA6">
        <v>2.8658169999999998</v>
      </c>
      <c r="GB6">
        <v>1.9557709999999999</v>
      </c>
      <c r="GC6" t="s">
        <v>1603</v>
      </c>
      <c r="GD6">
        <v>2025</v>
      </c>
      <c r="GE6" t="s">
        <v>2318</v>
      </c>
      <c r="GF6" s="6">
        <v>45863</v>
      </c>
      <c r="GG6">
        <v>5</v>
      </c>
      <c r="GH6">
        <v>47231872</v>
      </c>
      <c r="GI6">
        <v>10832677</v>
      </c>
      <c r="GJ6" t="s">
        <v>2319</v>
      </c>
      <c r="GM6" t="s">
        <v>2032</v>
      </c>
      <c r="GN6">
        <v>-2.4245362661989844E-14</v>
      </c>
      <c r="GP6">
        <v>-2.4245362661989844E-14</v>
      </c>
      <c r="GQ6" t="s">
        <v>1594</v>
      </c>
      <c r="GR6">
        <v>2021</v>
      </c>
      <c r="GS6" t="s">
        <v>4021</v>
      </c>
      <c r="GT6" s="6">
        <v>44693</v>
      </c>
      <c r="GU6">
        <v>5</v>
      </c>
      <c r="GV6">
        <v>-2.4245362661989844E-14</v>
      </c>
      <c r="GW6">
        <v>128990</v>
      </c>
      <c r="GX6" t="s">
        <v>2034</v>
      </c>
      <c r="HC6" t="s">
        <v>5885</v>
      </c>
      <c r="HD6" t="s">
        <v>1598</v>
      </c>
      <c r="HE6">
        <v>1.7139150000000001</v>
      </c>
      <c r="HF6">
        <v>0.34947299999999998</v>
      </c>
      <c r="HG6" t="s">
        <v>1664</v>
      </c>
      <c r="HH6">
        <v>2025</v>
      </c>
      <c r="HI6" t="s">
        <v>5886</v>
      </c>
      <c r="HJ6" s="6">
        <v>45899</v>
      </c>
      <c r="HK6">
        <v>5</v>
      </c>
      <c r="HL6">
        <v>6356911</v>
      </c>
      <c r="HM6">
        <v>194140</v>
      </c>
      <c r="HN6" t="s">
        <v>5887</v>
      </c>
      <c r="HQ6" t="s">
        <v>5681</v>
      </c>
      <c r="HR6">
        <v>1.3072E-2</v>
      </c>
      <c r="HS6" t="s">
        <v>1598</v>
      </c>
      <c r="HT6">
        <v>1.9261200000000001</v>
      </c>
      <c r="HU6" t="s">
        <v>1651</v>
      </c>
      <c r="HV6">
        <v>2025</v>
      </c>
      <c r="HW6" t="s">
        <v>5682</v>
      </c>
      <c r="HX6" s="6">
        <v>45975</v>
      </c>
      <c r="HY6">
        <v>5</v>
      </c>
      <c r="HZ6">
        <v>359532.99</v>
      </c>
      <c r="IA6">
        <v>128926</v>
      </c>
      <c r="IB6" t="s">
        <v>5683</v>
      </c>
      <c r="IG6" t="s">
        <v>2559</v>
      </c>
      <c r="IH6" t="s">
        <v>1598</v>
      </c>
      <c r="II6">
        <v>6.6266720000000001</v>
      </c>
      <c r="IJ6">
        <v>6.8004179999999996</v>
      </c>
      <c r="IK6" t="s">
        <v>1599</v>
      </c>
      <c r="IL6">
        <v>2025</v>
      </c>
      <c r="IM6" t="s">
        <v>2560</v>
      </c>
      <c r="IN6" s="6">
        <v>45867</v>
      </c>
      <c r="IO6">
        <v>5</v>
      </c>
      <c r="IP6">
        <v>518735872</v>
      </c>
      <c r="IQ6">
        <v>117092</v>
      </c>
      <c r="IR6" t="s">
        <v>2561</v>
      </c>
      <c r="IU6" t="s">
        <v>959</v>
      </c>
      <c r="IV6">
        <v>15.549336</v>
      </c>
      <c r="IW6" t="s">
        <v>1598</v>
      </c>
      <c r="IX6">
        <v>4.6186980000000002</v>
      </c>
      <c r="IY6" t="s">
        <v>1599</v>
      </c>
      <c r="IZ6">
        <v>2025</v>
      </c>
      <c r="JA6" t="s">
        <v>2219</v>
      </c>
      <c r="JB6" s="6">
        <v>46018</v>
      </c>
      <c r="JC6">
        <v>5</v>
      </c>
      <c r="JD6">
        <v>3730752256</v>
      </c>
      <c r="JE6">
        <v>156969</v>
      </c>
      <c r="JF6" t="s">
        <v>1767</v>
      </c>
      <c r="JK6" t="s">
        <v>2671</v>
      </c>
      <c r="JL6" t="s">
        <v>1598</v>
      </c>
      <c r="JM6">
        <v>0.330704</v>
      </c>
      <c r="JN6">
        <v>0.342885</v>
      </c>
      <c r="JO6" t="s">
        <v>1599</v>
      </c>
      <c r="JP6">
        <v>2025</v>
      </c>
      <c r="JQ6" t="s">
        <v>2672</v>
      </c>
      <c r="JR6" s="6">
        <v>46027</v>
      </c>
      <c r="JS6">
        <v>5</v>
      </c>
      <c r="JT6">
        <v>4935037.9400000004</v>
      </c>
      <c r="JU6">
        <v>8082154</v>
      </c>
      <c r="JV6" t="s">
        <v>2673</v>
      </c>
      <c r="JY6" t="s">
        <v>2910</v>
      </c>
      <c r="JZ6">
        <v>-2.4245362661989844E-14</v>
      </c>
      <c r="KB6">
        <v>-2.4245362661989844E-14</v>
      </c>
      <c r="KC6" t="s">
        <v>1594</v>
      </c>
      <c r="KD6">
        <v>2022</v>
      </c>
      <c r="KE6" t="s">
        <v>2908</v>
      </c>
      <c r="KF6" s="6">
        <v>45008</v>
      </c>
      <c r="KG6">
        <v>5</v>
      </c>
      <c r="KH6">
        <v>-2.4245362661989844E-14</v>
      </c>
      <c r="KI6">
        <v>217460</v>
      </c>
      <c r="KJ6" t="s">
        <v>2911</v>
      </c>
      <c r="MW6" t="s">
        <v>3200</v>
      </c>
      <c r="MY6">
        <v>-2.4245362661989844E-14</v>
      </c>
      <c r="MZ6">
        <v>-2.4245362661989844E-14</v>
      </c>
      <c r="NA6" t="s">
        <v>1594</v>
      </c>
      <c r="NB6">
        <v>2024</v>
      </c>
      <c r="NC6" t="s">
        <v>2794</v>
      </c>
      <c r="ND6" s="6">
        <v>45349</v>
      </c>
      <c r="NE6">
        <v>5</v>
      </c>
      <c r="NF6">
        <v>-2.4245362661989844E-14</v>
      </c>
      <c r="NG6">
        <v>71057165</v>
      </c>
      <c r="NH6" t="s">
        <v>3201</v>
      </c>
      <c r="NK6" t="s">
        <v>2788</v>
      </c>
      <c r="NL6">
        <v>-2.4245362661989844E-14</v>
      </c>
      <c r="NN6">
        <v>-2.4245362661989844E-14</v>
      </c>
      <c r="NO6" t="s">
        <v>1594</v>
      </c>
      <c r="NP6">
        <v>2024</v>
      </c>
      <c r="NQ6" t="s">
        <v>2789</v>
      </c>
      <c r="NR6" s="6">
        <v>45706</v>
      </c>
      <c r="NS6">
        <v>5</v>
      </c>
      <c r="NT6">
        <v>-2.4245362661989844E-14</v>
      </c>
      <c r="NU6">
        <v>9152706</v>
      </c>
      <c r="NV6" t="s">
        <v>2790</v>
      </c>
      <c r="OA6" t="s">
        <v>2088</v>
      </c>
      <c r="OB6" t="s">
        <v>1598</v>
      </c>
      <c r="OC6">
        <v>0.314996</v>
      </c>
      <c r="OD6">
        <v>0.26662000000000002</v>
      </c>
      <c r="OE6" t="s">
        <v>1603</v>
      </c>
      <c r="OF6">
        <v>2025</v>
      </c>
      <c r="OG6" t="s">
        <v>2089</v>
      </c>
      <c r="OH6" s="6">
        <v>45849</v>
      </c>
      <c r="OI6">
        <v>5</v>
      </c>
      <c r="OJ6">
        <v>9665940.1500000004</v>
      </c>
      <c r="OK6">
        <v>179551</v>
      </c>
      <c r="OL6" t="s">
        <v>2090</v>
      </c>
      <c r="OO6" t="s">
        <v>2746</v>
      </c>
      <c r="OP6">
        <v>-2.4245362661989844E-14</v>
      </c>
      <c r="OR6">
        <v>-2.4245362661989844E-14</v>
      </c>
      <c r="OS6" t="s">
        <v>1594</v>
      </c>
      <c r="OT6">
        <v>2025</v>
      </c>
      <c r="OU6" t="s">
        <v>2747</v>
      </c>
      <c r="OV6" s="6">
        <v>45975</v>
      </c>
      <c r="OW6">
        <v>5</v>
      </c>
      <c r="OX6">
        <v>-2.4245362661989844E-14</v>
      </c>
      <c r="OY6">
        <v>100131</v>
      </c>
      <c r="OZ6" t="s">
        <v>2748</v>
      </c>
      <c r="PE6" t="s">
        <v>24</v>
      </c>
      <c r="PF6" t="s">
        <v>1598</v>
      </c>
      <c r="PG6">
        <v>0.39111600000000002</v>
      </c>
      <c r="PH6">
        <v>0.88908200000000004</v>
      </c>
      <c r="PI6" t="s">
        <v>1664</v>
      </c>
      <c r="PJ6">
        <v>2025</v>
      </c>
      <c r="PK6" t="s">
        <v>3358</v>
      </c>
      <c r="PL6" s="6">
        <v>45914</v>
      </c>
      <c r="PM6">
        <v>5</v>
      </c>
      <c r="PN6">
        <v>57310228</v>
      </c>
      <c r="PO6">
        <v>101166</v>
      </c>
      <c r="PP6" t="s">
        <v>2119</v>
      </c>
      <c r="PS6" t="s">
        <v>1706</v>
      </c>
      <c r="PT6">
        <v>2.545E-3</v>
      </c>
      <c r="PU6" t="s">
        <v>1598</v>
      </c>
      <c r="PV6">
        <v>3.8306200000000001</v>
      </c>
      <c r="PW6" t="s">
        <v>1594</v>
      </c>
      <c r="PX6">
        <v>2024</v>
      </c>
      <c r="PY6" t="s">
        <v>1707</v>
      </c>
      <c r="PZ6" s="6">
        <v>45819</v>
      </c>
      <c r="QA6">
        <v>5</v>
      </c>
      <c r="QB6">
        <v>275861.17</v>
      </c>
      <c r="QC6">
        <v>15291339</v>
      </c>
      <c r="QD6" t="s">
        <v>1708</v>
      </c>
      <c r="RM6" t="s">
        <v>618</v>
      </c>
      <c r="RN6" t="s">
        <v>1598</v>
      </c>
      <c r="RO6">
        <v>30</v>
      </c>
      <c r="RP6">
        <v>20.040337000000001</v>
      </c>
      <c r="RQ6" t="s">
        <v>1594</v>
      </c>
      <c r="RR6">
        <v>2025</v>
      </c>
      <c r="RS6" t="s">
        <v>1819</v>
      </c>
      <c r="RT6" s="6">
        <v>45881</v>
      </c>
      <c r="RU6">
        <v>5</v>
      </c>
      <c r="RV6">
        <v>16693350400</v>
      </c>
      <c r="RW6">
        <v>102782</v>
      </c>
      <c r="RX6" t="s">
        <v>1626</v>
      </c>
      <c r="SA6" t="s">
        <v>1898</v>
      </c>
      <c r="SB6">
        <v>-2.4245362661989844E-14</v>
      </c>
      <c r="SD6">
        <v>-2.4245362661989844E-14</v>
      </c>
      <c r="SE6" t="s">
        <v>1594</v>
      </c>
      <c r="SF6">
        <v>2025</v>
      </c>
      <c r="SG6" t="s">
        <v>3588</v>
      </c>
      <c r="SH6" s="6">
        <v>45828</v>
      </c>
      <c r="SI6">
        <v>5</v>
      </c>
      <c r="SJ6">
        <v>-2.4245362661989844E-14</v>
      </c>
      <c r="SK6">
        <v>20735187</v>
      </c>
      <c r="SL6" t="s">
        <v>1900</v>
      </c>
      <c r="SQ6" t="s">
        <v>5743</v>
      </c>
      <c r="SR6" t="s">
        <v>1598</v>
      </c>
      <c r="SS6">
        <v>8.0509690000000003</v>
      </c>
      <c r="ST6">
        <v>1.4403330000000001</v>
      </c>
      <c r="SU6" t="s">
        <v>1664</v>
      </c>
      <c r="SV6">
        <v>2025</v>
      </c>
      <c r="SW6" t="s">
        <v>1737</v>
      </c>
      <c r="SX6" s="6">
        <v>45869</v>
      </c>
      <c r="SY6">
        <v>5</v>
      </c>
      <c r="SZ6">
        <v>46035924</v>
      </c>
      <c r="TA6">
        <v>100671</v>
      </c>
      <c r="TB6" t="s">
        <v>5744</v>
      </c>
      <c r="TE6" t="s">
        <v>5583</v>
      </c>
      <c r="TF6">
        <v>0.64147500000000002</v>
      </c>
      <c r="TG6" t="s">
        <v>1598</v>
      </c>
      <c r="TH6">
        <v>1.8424179999999999</v>
      </c>
      <c r="TI6" t="s">
        <v>1664</v>
      </c>
      <c r="TJ6">
        <v>2025</v>
      </c>
      <c r="TK6" t="s">
        <v>1737</v>
      </c>
      <c r="TL6" s="6">
        <v>45869</v>
      </c>
      <c r="TM6">
        <v>5</v>
      </c>
      <c r="TN6">
        <v>40505940</v>
      </c>
      <c r="TO6">
        <v>117142</v>
      </c>
      <c r="TP6" t="s">
        <v>5584</v>
      </c>
      <c r="UY6" t="s">
        <v>6140</v>
      </c>
      <c r="UZ6" t="s">
        <v>1598</v>
      </c>
      <c r="VA6">
        <v>3.7716379999999998</v>
      </c>
      <c r="VB6">
        <v>0.87378199999999995</v>
      </c>
      <c r="VC6" t="s">
        <v>1664</v>
      </c>
      <c r="VD6">
        <v>2026</v>
      </c>
      <c r="VE6" t="s">
        <v>6141</v>
      </c>
      <c r="VF6" s="6">
        <v>46000</v>
      </c>
      <c r="VG6">
        <v>5</v>
      </c>
      <c r="VH6">
        <v>27868632</v>
      </c>
      <c r="VI6">
        <v>105425</v>
      </c>
      <c r="VJ6" t="s">
        <v>6142</v>
      </c>
      <c r="VM6" t="s">
        <v>2401</v>
      </c>
      <c r="VN6">
        <v>1.043463</v>
      </c>
      <c r="VO6" t="s">
        <v>1598</v>
      </c>
      <c r="VP6">
        <v>3.1111209999999998</v>
      </c>
      <c r="VQ6" t="s">
        <v>1664</v>
      </c>
      <c r="VR6">
        <v>2025</v>
      </c>
      <c r="VS6" t="s">
        <v>1607</v>
      </c>
      <c r="VT6" s="6">
        <v>45870</v>
      </c>
      <c r="VU6">
        <v>5</v>
      </c>
      <c r="VV6">
        <v>51751068</v>
      </c>
      <c r="VW6">
        <v>233062</v>
      </c>
      <c r="VX6" t="s">
        <v>2403</v>
      </c>
    </row>
    <row r="7" spans="1:600" x14ac:dyDescent="0.25">
      <c r="AE7" t="s">
        <v>178</v>
      </c>
      <c r="AF7" t="s">
        <v>1598</v>
      </c>
      <c r="AG7">
        <v>1.9193999999999999E-2</v>
      </c>
      <c r="AH7">
        <v>0.195358</v>
      </c>
      <c r="AI7" t="s">
        <v>1599</v>
      </c>
      <c r="AJ7">
        <v>2025</v>
      </c>
      <c r="AK7" t="s">
        <v>1735</v>
      </c>
      <c r="AL7" s="6">
        <v>45843</v>
      </c>
      <c r="AM7">
        <v>5</v>
      </c>
      <c r="AN7">
        <v>13448468</v>
      </c>
      <c r="AO7">
        <v>101743</v>
      </c>
      <c r="AP7" t="s">
        <v>1736</v>
      </c>
      <c r="AS7" t="s">
        <v>1813</v>
      </c>
      <c r="AT7">
        <v>2.516251</v>
      </c>
      <c r="AU7" t="s">
        <v>1634</v>
      </c>
      <c r="AV7">
        <v>5.8743780000000001</v>
      </c>
      <c r="AW7" t="s">
        <v>1599</v>
      </c>
      <c r="AX7">
        <v>2025</v>
      </c>
      <c r="AY7" t="s">
        <v>1809</v>
      </c>
      <c r="AZ7" s="6">
        <v>45985</v>
      </c>
      <c r="BA7">
        <v>5</v>
      </c>
      <c r="BB7">
        <v>224650896</v>
      </c>
      <c r="BC7">
        <v>100228</v>
      </c>
      <c r="BD7" t="s">
        <v>1814</v>
      </c>
      <c r="BI7" t="s">
        <v>2306</v>
      </c>
      <c r="BK7">
        <v>-2.4245362661989844E-14</v>
      </c>
      <c r="BL7">
        <v>-2.4245362661989844E-14</v>
      </c>
      <c r="BM7" t="s">
        <v>1603</v>
      </c>
      <c r="BN7">
        <v>2026</v>
      </c>
      <c r="BO7" t="s">
        <v>2307</v>
      </c>
      <c r="BP7" s="6">
        <v>46002</v>
      </c>
      <c r="BQ7">
        <v>5</v>
      </c>
      <c r="BR7">
        <v>-2.4245362661989844E-14</v>
      </c>
      <c r="BS7">
        <v>65904199</v>
      </c>
      <c r="BT7" t="s">
        <v>2308</v>
      </c>
      <c r="BW7" t="s">
        <v>1905</v>
      </c>
      <c r="BX7">
        <v>1.557682</v>
      </c>
      <c r="BY7" t="s">
        <v>1685</v>
      </c>
      <c r="BZ7">
        <v>0.86001300000000003</v>
      </c>
      <c r="CA7" t="s">
        <v>1594</v>
      </c>
      <c r="CB7">
        <v>2024</v>
      </c>
      <c r="CC7" t="s">
        <v>1903</v>
      </c>
      <c r="CD7" s="6">
        <v>45702</v>
      </c>
      <c r="CE7">
        <v>5</v>
      </c>
      <c r="CF7">
        <v>31938750</v>
      </c>
      <c r="CG7">
        <v>100554</v>
      </c>
      <c r="CH7" t="s">
        <v>1906</v>
      </c>
      <c r="CM7" t="s">
        <v>2272</v>
      </c>
      <c r="CN7" t="s">
        <v>1634</v>
      </c>
      <c r="CO7">
        <v>1.1751769999999999</v>
      </c>
      <c r="CP7">
        <v>0.30301699999999998</v>
      </c>
      <c r="CQ7" t="s">
        <v>1599</v>
      </c>
      <c r="CR7">
        <v>2025</v>
      </c>
      <c r="CS7" t="s">
        <v>2273</v>
      </c>
      <c r="CT7" s="6">
        <v>45964</v>
      </c>
      <c r="CU7">
        <v>5</v>
      </c>
      <c r="CV7">
        <v>6099733</v>
      </c>
      <c r="CW7">
        <v>16546862</v>
      </c>
      <c r="CX7" t="s">
        <v>2274</v>
      </c>
      <c r="DA7" t="s">
        <v>2730</v>
      </c>
      <c r="DB7">
        <v>-2.4245362661989844E-14</v>
      </c>
      <c r="DD7">
        <v>-2.4245362661989844E-14</v>
      </c>
      <c r="DE7" t="s">
        <v>1594</v>
      </c>
      <c r="DF7">
        <v>2021</v>
      </c>
      <c r="DG7" t="s">
        <v>5083</v>
      </c>
      <c r="DH7" s="6">
        <v>44693</v>
      </c>
      <c r="DI7">
        <v>5</v>
      </c>
      <c r="DJ7">
        <v>-2.4245362661989844E-14</v>
      </c>
      <c r="DK7">
        <v>117832</v>
      </c>
      <c r="DL7" t="s">
        <v>2732</v>
      </c>
      <c r="DQ7" t="s">
        <v>2559</v>
      </c>
      <c r="DR7" t="s">
        <v>1598</v>
      </c>
      <c r="DS7">
        <v>0.112723</v>
      </c>
      <c r="DT7">
        <v>0.29266900000000001</v>
      </c>
      <c r="DU7" t="s">
        <v>1599</v>
      </c>
      <c r="DV7">
        <v>2025</v>
      </c>
      <c r="DW7" t="s">
        <v>2560</v>
      </c>
      <c r="DX7" s="6">
        <v>45867</v>
      </c>
      <c r="DY7">
        <v>5</v>
      </c>
      <c r="DZ7">
        <v>8823956</v>
      </c>
      <c r="EA7">
        <v>117092</v>
      </c>
      <c r="EB7" t="s">
        <v>2561</v>
      </c>
      <c r="EE7" t="s">
        <v>4787</v>
      </c>
      <c r="EF7">
        <v>1.9157E-2</v>
      </c>
      <c r="EG7" t="s">
        <v>1598</v>
      </c>
      <c r="EH7">
        <v>1.0409630000000001</v>
      </c>
      <c r="EI7" t="s">
        <v>1651</v>
      </c>
      <c r="EJ7">
        <v>2025</v>
      </c>
      <c r="EK7" t="s">
        <v>4788</v>
      </c>
      <c r="EL7" s="6">
        <v>45975</v>
      </c>
      <c r="EM7">
        <v>5</v>
      </c>
      <c r="EN7">
        <v>1043896.27</v>
      </c>
      <c r="EO7">
        <v>44623346</v>
      </c>
      <c r="EP7" t="s">
        <v>4789</v>
      </c>
      <c r="EU7" t="s">
        <v>6304</v>
      </c>
      <c r="EV7" t="s">
        <v>1685</v>
      </c>
      <c r="EW7">
        <v>-2.4245362661989844E-14</v>
      </c>
      <c r="EX7">
        <v>0.39735100000000001</v>
      </c>
      <c r="EY7" t="s">
        <v>1594</v>
      </c>
      <c r="EZ7">
        <v>2025</v>
      </c>
      <c r="FA7" t="s">
        <v>6305</v>
      </c>
      <c r="FB7" s="6">
        <v>46052</v>
      </c>
      <c r="FC7">
        <v>5</v>
      </c>
      <c r="FD7">
        <v>2550000</v>
      </c>
      <c r="FE7">
        <v>11073588</v>
      </c>
      <c r="FF7" t="s">
        <v>6306</v>
      </c>
      <c r="FI7" t="s">
        <v>1917</v>
      </c>
      <c r="FJ7">
        <v>17.463395999999999</v>
      </c>
      <c r="FK7" t="s">
        <v>1598</v>
      </c>
      <c r="FL7">
        <v>0.41565299999999999</v>
      </c>
      <c r="FM7" t="s">
        <v>1664</v>
      </c>
      <c r="FN7">
        <v>2026</v>
      </c>
      <c r="FO7" t="s">
        <v>6136</v>
      </c>
      <c r="FP7" s="6">
        <v>46052</v>
      </c>
      <c r="FQ7">
        <v>5</v>
      </c>
      <c r="FR7">
        <v>309765728</v>
      </c>
      <c r="FS7">
        <v>101695</v>
      </c>
      <c r="FT7" t="s">
        <v>1919</v>
      </c>
      <c r="FY7" t="s">
        <v>2942</v>
      </c>
      <c r="FZ7" t="s">
        <v>1598</v>
      </c>
      <c r="GA7">
        <v>0.35783700000000002</v>
      </c>
      <c r="GB7">
        <v>1.358897</v>
      </c>
      <c r="GC7" t="s">
        <v>1664</v>
      </c>
      <c r="GD7">
        <v>2026</v>
      </c>
      <c r="GE7" t="s">
        <v>4679</v>
      </c>
      <c r="GF7" s="6">
        <v>46080</v>
      </c>
      <c r="GG7">
        <v>5</v>
      </c>
      <c r="GH7">
        <v>29454347.02</v>
      </c>
      <c r="GI7">
        <v>114155</v>
      </c>
      <c r="GJ7" t="s">
        <v>2943</v>
      </c>
      <c r="GM7" t="s">
        <v>5989</v>
      </c>
      <c r="GN7">
        <v>-2.4245362661989844E-14</v>
      </c>
      <c r="GP7">
        <v>-2.4245362661989844E-14</v>
      </c>
      <c r="GQ7" t="s">
        <v>1594</v>
      </c>
      <c r="GR7">
        <v>2021</v>
      </c>
      <c r="GS7" t="s">
        <v>4021</v>
      </c>
      <c r="GT7" s="6">
        <v>44693</v>
      </c>
      <c r="GU7">
        <v>5</v>
      </c>
      <c r="GV7">
        <v>-2.4245362661989844E-14</v>
      </c>
      <c r="GW7">
        <v>117682</v>
      </c>
      <c r="GX7" t="s">
        <v>5990</v>
      </c>
      <c r="HC7" t="s">
        <v>2335</v>
      </c>
      <c r="HD7" t="s">
        <v>1598</v>
      </c>
      <c r="HE7">
        <v>0.10432</v>
      </c>
      <c r="HF7">
        <v>0.237146</v>
      </c>
      <c r="HG7" t="s">
        <v>1664</v>
      </c>
      <c r="HH7">
        <v>2026</v>
      </c>
      <c r="HI7" t="s">
        <v>2336</v>
      </c>
      <c r="HJ7" s="6">
        <v>46071</v>
      </c>
      <c r="HK7">
        <v>5</v>
      </c>
      <c r="HL7">
        <v>5684397</v>
      </c>
      <c r="HM7">
        <v>61417091</v>
      </c>
      <c r="HN7" t="s">
        <v>2337</v>
      </c>
      <c r="HQ7" t="s">
        <v>5684</v>
      </c>
      <c r="HR7">
        <v>-2.4245362661989844E-14</v>
      </c>
      <c r="HT7">
        <v>-2.4245362661989844E-14</v>
      </c>
      <c r="HU7" t="s">
        <v>1594</v>
      </c>
      <c r="HV7">
        <v>2022</v>
      </c>
      <c r="HW7" t="s">
        <v>5685</v>
      </c>
      <c r="HX7" s="6">
        <v>45005</v>
      </c>
      <c r="HY7">
        <v>5</v>
      </c>
      <c r="HZ7">
        <v>-2.4245362661989844E-14</v>
      </c>
      <c r="IA7">
        <v>18841705</v>
      </c>
      <c r="IB7" t="s">
        <v>5686</v>
      </c>
      <c r="IG7" t="s">
        <v>25</v>
      </c>
      <c r="IH7" t="s">
        <v>1598</v>
      </c>
      <c r="II7">
        <v>1.3419449999999999</v>
      </c>
      <c r="IJ7">
        <v>2.7987500000000001</v>
      </c>
      <c r="IK7" t="s">
        <v>1606</v>
      </c>
      <c r="IL7">
        <v>2025</v>
      </c>
      <c r="IM7" t="s">
        <v>2220</v>
      </c>
      <c r="IN7" s="6">
        <v>46077</v>
      </c>
      <c r="IO7">
        <v>5</v>
      </c>
      <c r="IP7">
        <v>223004416</v>
      </c>
      <c r="IQ7">
        <v>28046509</v>
      </c>
      <c r="IR7" t="s">
        <v>2221</v>
      </c>
      <c r="IU7" t="s">
        <v>618</v>
      </c>
      <c r="IV7">
        <v>12.373919000000001</v>
      </c>
      <c r="IW7" t="s">
        <v>1598</v>
      </c>
      <c r="IX7">
        <v>4.81257</v>
      </c>
      <c r="IY7" t="s">
        <v>1599</v>
      </c>
      <c r="IZ7">
        <v>2025</v>
      </c>
      <c r="JA7" t="s">
        <v>2219</v>
      </c>
      <c r="JB7" s="6">
        <v>46018</v>
      </c>
      <c r="JC7">
        <v>5</v>
      </c>
      <c r="JD7">
        <v>2968874496</v>
      </c>
      <c r="JE7">
        <v>102782</v>
      </c>
      <c r="JF7" t="s">
        <v>1626</v>
      </c>
      <c r="JK7" t="s">
        <v>3460</v>
      </c>
      <c r="JM7">
        <v>-2.4245362661989844E-14</v>
      </c>
      <c r="JN7">
        <v>-2.4245362661989844E-14</v>
      </c>
      <c r="JO7" t="s">
        <v>1594</v>
      </c>
      <c r="JP7">
        <v>2021</v>
      </c>
      <c r="JQ7" t="s">
        <v>3461</v>
      </c>
      <c r="JR7" s="6">
        <v>44665</v>
      </c>
      <c r="JS7">
        <v>5</v>
      </c>
      <c r="JT7">
        <v>-2.4245362661989844E-14</v>
      </c>
      <c r="JU7">
        <v>17598053</v>
      </c>
      <c r="JV7" t="s">
        <v>3462</v>
      </c>
      <c r="JY7" t="s">
        <v>2912</v>
      </c>
      <c r="JZ7">
        <v>-2.4245362661989844E-14</v>
      </c>
      <c r="KB7">
        <v>-2.4245362661989844E-14</v>
      </c>
      <c r="KC7" t="s">
        <v>1594</v>
      </c>
      <c r="KD7">
        <v>2022</v>
      </c>
      <c r="KE7" t="s">
        <v>2908</v>
      </c>
      <c r="KF7" s="6">
        <v>45008</v>
      </c>
      <c r="KG7">
        <v>5</v>
      </c>
      <c r="KH7">
        <v>-2.4245362661989844E-14</v>
      </c>
      <c r="KI7">
        <v>959444</v>
      </c>
      <c r="KJ7" t="s">
        <v>2913</v>
      </c>
      <c r="MW7" t="s">
        <v>3202</v>
      </c>
      <c r="MY7">
        <v>-2.4245362661989844E-14</v>
      </c>
      <c r="MZ7">
        <v>-2.4245362661989844E-14</v>
      </c>
      <c r="NA7" t="s">
        <v>1594</v>
      </c>
      <c r="NB7">
        <v>2022</v>
      </c>
      <c r="NC7" t="s">
        <v>3203</v>
      </c>
      <c r="ND7" s="6">
        <v>44736</v>
      </c>
      <c r="NE7">
        <v>5</v>
      </c>
      <c r="NF7">
        <v>-2.4245362661989844E-14</v>
      </c>
      <c r="NG7">
        <v>114846</v>
      </c>
      <c r="NH7" t="s">
        <v>3204</v>
      </c>
      <c r="NK7" t="s">
        <v>2791</v>
      </c>
      <c r="NL7">
        <v>-2.4245362661989844E-14</v>
      </c>
      <c r="NN7">
        <v>-2.4245362661989844E-14</v>
      </c>
      <c r="NO7" t="s">
        <v>1594</v>
      </c>
      <c r="NP7">
        <v>2024</v>
      </c>
      <c r="NQ7" t="s">
        <v>2792</v>
      </c>
      <c r="NR7" s="6">
        <v>45715</v>
      </c>
      <c r="NS7">
        <v>5</v>
      </c>
      <c r="NT7">
        <v>-2.4245362661989844E-14</v>
      </c>
      <c r="NU7">
        <v>8898179</v>
      </c>
      <c r="NV7" t="s">
        <v>2793</v>
      </c>
      <c r="OA7" t="s">
        <v>3980</v>
      </c>
      <c r="OB7" t="s">
        <v>1634</v>
      </c>
      <c r="OC7">
        <v>1.3575440000000001</v>
      </c>
      <c r="OD7">
        <v>0.13309099999999999</v>
      </c>
      <c r="OE7" t="s">
        <v>1664</v>
      </c>
      <c r="OF7">
        <v>2026</v>
      </c>
      <c r="OG7" t="s">
        <v>3981</v>
      </c>
      <c r="OH7" s="6">
        <v>46051</v>
      </c>
      <c r="OI7">
        <v>5</v>
      </c>
      <c r="OJ7">
        <v>894106</v>
      </c>
      <c r="OK7">
        <v>102076</v>
      </c>
      <c r="OL7" t="s">
        <v>3982</v>
      </c>
      <c r="OO7" t="s">
        <v>4756</v>
      </c>
      <c r="OP7">
        <v>-2.4245362661989844E-14</v>
      </c>
      <c r="OR7">
        <v>-2.4245362661989844E-14</v>
      </c>
      <c r="OS7" t="s">
        <v>1594</v>
      </c>
      <c r="OT7">
        <v>2022</v>
      </c>
      <c r="OU7" t="s">
        <v>4757</v>
      </c>
      <c r="OV7" s="6">
        <v>44981</v>
      </c>
      <c r="OW7">
        <v>5</v>
      </c>
      <c r="OX7">
        <v>-2.4245362661989844E-14</v>
      </c>
      <c r="OY7">
        <v>72809805</v>
      </c>
      <c r="OZ7" t="s">
        <v>4758</v>
      </c>
      <c r="PE7" t="s">
        <v>2556</v>
      </c>
      <c r="PF7" t="s">
        <v>1598</v>
      </c>
      <c r="PG7">
        <v>0.56451700000000005</v>
      </c>
      <c r="PH7">
        <v>0.57008199999999998</v>
      </c>
      <c r="PI7" t="s">
        <v>1599</v>
      </c>
      <c r="PJ7">
        <v>2025</v>
      </c>
      <c r="PK7" t="s">
        <v>2557</v>
      </c>
      <c r="PL7" s="6">
        <v>45763</v>
      </c>
      <c r="PM7">
        <v>5</v>
      </c>
      <c r="PN7">
        <v>37009736</v>
      </c>
      <c r="PO7">
        <v>136547</v>
      </c>
      <c r="PP7" t="s">
        <v>2558</v>
      </c>
      <c r="PS7" t="s">
        <v>2830</v>
      </c>
      <c r="PT7">
        <v>8.6300000000000005E-4</v>
      </c>
      <c r="PU7" t="s">
        <v>1598</v>
      </c>
      <c r="PV7">
        <v>0.46444600000000003</v>
      </c>
      <c r="PW7" t="s">
        <v>1594</v>
      </c>
      <c r="PX7">
        <v>2024</v>
      </c>
      <c r="PY7" t="s">
        <v>2831</v>
      </c>
      <c r="PZ7" s="6">
        <v>45730</v>
      </c>
      <c r="QA7">
        <v>5</v>
      </c>
      <c r="QB7">
        <v>92615.79</v>
      </c>
      <c r="QC7">
        <v>7369845</v>
      </c>
      <c r="QD7" t="s">
        <v>2832</v>
      </c>
      <c r="RM7" t="s">
        <v>72</v>
      </c>
      <c r="RN7" t="s">
        <v>1598</v>
      </c>
      <c r="RO7">
        <v>3.3501690000000002</v>
      </c>
      <c r="RP7">
        <v>0.82735300000000001</v>
      </c>
      <c r="RQ7" t="s">
        <v>1606</v>
      </c>
      <c r="RR7">
        <v>2025</v>
      </c>
      <c r="RS7" t="s">
        <v>2670</v>
      </c>
      <c r="RT7" s="6">
        <v>45883</v>
      </c>
      <c r="RU7">
        <v>5</v>
      </c>
      <c r="RV7">
        <v>705914112</v>
      </c>
      <c r="RW7">
        <v>101215</v>
      </c>
      <c r="RX7" t="s">
        <v>1868</v>
      </c>
      <c r="SA7" t="s">
        <v>1901</v>
      </c>
      <c r="SB7">
        <v>-2.4245362661989844E-14</v>
      </c>
      <c r="SD7">
        <v>-2.4245362661989844E-14</v>
      </c>
      <c r="SE7" t="s">
        <v>1594</v>
      </c>
      <c r="SF7">
        <v>2025</v>
      </c>
      <c r="SG7" t="s">
        <v>3588</v>
      </c>
      <c r="SH7" s="6">
        <v>45828</v>
      </c>
      <c r="SI7">
        <v>5</v>
      </c>
      <c r="SJ7">
        <v>-2.4245362661989844E-14</v>
      </c>
      <c r="SK7">
        <v>31261592</v>
      </c>
      <c r="SL7" t="s">
        <v>1902</v>
      </c>
      <c r="SQ7" t="s">
        <v>4342</v>
      </c>
      <c r="SR7" t="s">
        <v>1598</v>
      </c>
      <c r="SS7">
        <v>0.90164</v>
      </c>
      <c r="ST7">
        <v>1.0810299999999999</v>
      </c>
      <c r="SU7" t="s">
        <v>1664</v>
      </c>
      <c r="SV7">
        <v>2025</v>
      </c>
      <c r="SW7" t="s">
        <v>1737</v>
      </c>
      <c r="SX7" s="6">
        <v>45869</v>
      </c>
      <c r="SY7">
        <v>5</v>
      </c>
      <c r="SZ7">
        <v>34551880</v>
      </c>
      <c r="TA7">
        <v>47183276</v>
      </c>
      <c r="TB7" t="s">
        <v>4343</v>
      </c>
      <c r="TE7" t="s">
        <v>5585</v>
      </c>
      <c r="TF7">
        <v>0.49368400000000001</v>
      </c>
      <c r="TG7" t="s">
        <v>1598</v>
      </c>
      <c r="TH7">
        <v>1.658174</v>
      </c>
      <c r="TI7" t="s">
        <v>1664</v>
      </c>
      <c r="TJ7">
        <v>2025</v>
      </c>
      <c r="TK7" t="s">
        <v>1737</v>
      </c>
      <c r="TL7" s="6">
        <v>45869</v>
      </c>
      <c r="TM7">
        <v>5</v>
      </c>
      <c r="TN7">
        <v>31173676</v>
      </c>
      <c r="TO7">
        <v>159161</v>
      </c>
      <c r="TP7" t="s">
        <v>5586</v>
      </c>
      <c r="UY7" t="s">
        <v>1524</v>
      </c>
      <c r="UZ7" t="s">
        <v>1598</v>
      </c>
      <c r="VA7">
        <v>0.74605100000000002</v>
      </c>
      <c r="VB7">
        <v>0.82080399999999998</v>
      </c>
      <c r="VC7" t="s">
        <v>1606</v>
      </c>
      <c r="VD7">
        <v>2024</v>
      </c>
      <c r="VE7" t="s">
        <v>1607</v>
      </c>
      <c r="VF7" s="6">
        <v>45755</v>
      </c>
      <c r="VG7">
        <v>5</v>
      </c>
      <c r="VH7">
        <v>26178928</v>
      </c>
      <c r="VI7">
        <v>101582</v>
      </c>
      <c r="VJ7" t="s">
        <v>6143</v>
      </c>
      <c r="VM7" t="s">
        <v>4344</v>
      </c>
      <c r="VN7">
        <v>0.89171900000000004</v>
      </c>
      <c r="VO7" t="s">
        <v>1598</v>
      </c>
      <c r="VP7">
        <v>3.0312990000000002</v>
      </c>
      <c r="VQ7" t="s">
        <v>1664</v>
      </c>
      <c r="VR7">
        <v>2025</v>
      </c>
      <c r="VS7" t="s">
        <v>5215</v>
      </c>
      <c r="VT7" s="6">
        <v>45889</v>
      </c>
      <c r="VU7">
        <v>5</v>
      </c>
      <c r="VV7">
        <v>44225256</v>
      </c>
      <c r="VW7">
        <v>107907</v>
      </c>
      <c r="VX7" t="s">
        <v>4345</v>
      </c>
    </row>
    <row r="8" spans="1:600" x14ac:dyDescent="0.25">
      <c r="AE8" t="s">
        <v>2245</v>
      </c>
      <c r="AF8" t="s">
        <v>1598</v>
      </c>
      <c r="AG8">
        <v>0.74089799999999995</v>
      </c>
      <c r="AH8">
        <v>0.15796199999999999</v>
      </c>
      <c r="AI8" t="s">
        <v>1599</v>
      </c>
      <c r="AJ8">
        <v>2025</v>
      </c>
      <c r="AK8" t="s">
        <v>2246</v>
      </c>
      <c r="AL8" s="6">
        <v>46076</v>
      </c>
      <c r="AM8">
        <v>5</v>
      </c>
      <c r="AN8">
        <v>12663799</v>
      </c>
      <c r="AO8">
        <v>119151</v>
      </c>
      <c r="AP8" t="s">
        <v>2247</v>
      </c>
      <c r="AS8" t="s">
        <v>1815</v>
      </c>
      <c r="AT8">
        <v>2.263004</v>
      </c>
      <c r="AU8" t="s">
        <v>1634</v>
      </c>
      <c r="AV8">
        <v>1.609923</v>
      </c>
      <c r="AW8" t="s">
        <v>1599</v>
      </c>
      <c r="AX8">
        <v>2025</v>
      </c>
      <c r="AY8" t="s">
        <v>1809</v>
      </c>
      <c r="AZ8" s="6">
        <v>45985</v>
      </c>
      <c r="BA8">
        <v>5</v>
      </c>
      <c r="BB8">
        <v>202040992</v>
      </c>
      <c r="BC8">
        <v>948637</v>
      </c>
      <c r="BD8" t="s">
        <v>1816</v>
      </c>
      <c r="BI8" t="s">
        <v>2309</v>
      </c>
      <c r="BK8">
        <v>-2.4245362661989844E-14</v>
      </c>
      <c r="BL8">
        <v>-2.4245362661989844E-14</v>
      </c>
      <c r="BM8" t="s">
        <v>1594</v>
      </c>
      <c r="BN8">
        <v>2023</v>
      </c>
      <c r="BO8" t="s">
        <v>2310</v>
      </c>
      <c r="BP8" s="6">
        <v>45369</v>
      </c>
      <c r="BQ8">
        <v>5</v>
      </c>
      <c r="BR8">
        <v>-2.4245362661989844E-14</v>
      </c>
      <c r="BS8">
        <v>29973420</v>
      </c>
      <c r="BT8" t="s">
        <v>2311</v>
      </c>
      <c r="BW8" t="s">
        <v>1907</v>
      </c>
      <c r="BX8">
        <v>0.91628399999999999</v>
      </c>
      <c r="BY8" t="s">
        <v>1685</v>
      </c>
      <c r="BZ8">
        <v>0.75112400000000001</v>
      </c>
      <c r="CA8" t="s">
        <v>1594</v>
      </c>
      <c r="CB8">
        <v>2024</v>
      </c>
      <c r="CC8" t="s">
        <v>1903</v>
      </c>
      <c r="CD8" s="6">
        <v>45702</v>
      </c>
      <c r="CE8">
        <v>5</v>
      </c>
      <c r="CF8">
        <v>18787500</v>
      </c>
      <c r="CG8">
        <v>143027</v>
      </c>
      <c r="CH8" t="s">
        <v>1908</v>
      </c>
      <c r="CM8" t="s">
        <v>493</v>
      </c>
      <c r="CN8" t="s">
        <v>1598</v>
      </c>
      <c r="CO8">
        <v>0.10707800000000001</v>
      </c>
      <c r="CP8">
        <v>0.16708500000000001</v>
      </c>
      <c r="CQ8" t="s">
        <v>1603</v>
      </c>
      <c r="CR8">
        <v>2025</v>
      </c>
      <c r="CS8" t="s">
        <v>2093</v>
      </c>
      <c r="CT8" s="6">
        <v>45795</v>
      </c>
      <c r="CU8">
        <v>5</v>
      </c>
      <c r="CV8">
        <v>4213894</v>
      </c>
      <c r="CW8">
        <v>100499</v>
      </c>
      <c r="CX8" t="s">
        <v>2094</v>
      </c>
      <c r="DA8" t="s">
        <v>5085</v>
      </c>
      <c r="DB8">
        <v>-2.4245362661989844E-14</v>
      </c>
      <c r="DD8">
        <v>-2.4245362661989844E-14</v>
      </c>
      <c r="DE8" t="s">
        <v>1594</v>
      </c>
      <c r="DF8">
        <v>2021</v>
      </c>
      <c r="DG8" t="s">
        <v>5083</v>
      </c>
      <c r="DH8" s="6">
        <v>44693</v>
      </c>
      <c r="DI8">
        <v>5</v>
      </c>
      <c r="DJ8">
        <v>-2.4245362661989844E-14</v>
      </c>
      <c r="DK8">
        <v>128983</v>
      </c>
      <c r="DL8" t="s">
        <v>5086</v>
      </c>
      <c r="DQ8" t="s">
        <v>143</v>
      </c>
      <c r="DR8" t="s">
        <v>1598</v>
      </c>
      <c r="DS8">
        <v>5.2456999999999997E-2</v>
      </c>
      <c r="DT8">
        <v>0.27669100000000002</v>
      </c>
      <c r="DU8" t="s">
        <v>1606</v>
      </c>
      <c r="DV8">
        <v>2025</v>
      </c>
      <c r="DW8" t="s">
        <v>2251</v>
      </c>
      <c r="DX8" s="6">
        <v>45848</v>
      </c>
      <c r="DY8">
        <v>5</v>
      </c>
      <c r="DZ8">
        <v>8342237</v>
      </c>
      <c r="EA8">
        <v>101752</v>
      </c>
      <c r="EB8" t="s">
        <v>2265</v>
      </c>
      <c r="EE8" t="s">
        <v>4790</v>
      </c>
      <c r="EF8">
        <v>1.9157E-2</v>
      </c>
      <c r="EG8" t="s">
        <v>1598</v>
      </c>
      <c r="EH8">
        <v>0.30064800000000003</v>
      </c>
      <c r="EI8" t="s">
        <v>1651</v>
      </c>
      <c r="EJ8">
        <v>2025</v>
      </c>
      <c r="EK8" t="s">
        <v>4791</v>
      </c>
      <c r="EL8" s="6">
        <v>45975</v>
      </c>
      <c r="EM8">
        <v>5</v>
      </c>
      <c r="EN8">
        <v>1043897.85</v>
      </c>
      <c r="EO8">
        <v>31500775</v>
      </c>
      <c r="EP8" t="s">
        <v>4792</v>
      </c>
      <c r="EU8" t="s">
        <v>6307</v>
      </c>
      <c r="EW8">
        <v>-2.4245362661989844E-14</v>
      </c>
      <c r="EX8">
        <v>-2.4245362661989844E-14</v>
      </c>
      <c r="EY8" t="s">
        <v>1594</v>
      </c>
      <c r="EZ8">
        <v>2022</v>
      </c>
      <c r="FA8" t="s">
        <v>6308</v>
      </c>
      <c r="FB8" s="6">
        <v>45002</v>
      </c>
      <c r="FC8">
        <v>5</v>
      </c>
      <c r="FD8">
        <v>-2.4245362661989844E-14</v>
      </c>
      <c r="FE8">
        <v>117581</v>
      </c>
      <c r="FF8" t="s">
        <v>6309</v>
      </c>
      <c r="FI8" t="s">
        <v>178</v>
      </c>
      <c r="FJ8">
        <v>10.685034</v>
      </c>
      <c r="FK8" t="s">
        <v>1598</v>
      </c>
      <c r="FL8">
        <v>0.72958299999999998</v>
      </c>
      <c r="FM8" t="s">
        <v>1664</v>
      </c>
      <c r="FN8">
        <v>2026</v>
      </c>
      <c r="FO8" t="s">
        <v>6136</v>
      </c>
      <c r="FP8" s="6">
        <v>46052</v>
      </c>
      <c r="FQ8">
        <v>5</v>
      </c>
      <c r="FR8">
        <v>189531136</v>
      </c>
      <c r="FS8">
        <v>101743</v>
      </c>
      <c r="FT8" t="s">
        <v>1736</v>
      </c>
      <c r="FY8" t="s">
        <v>2320</v>
      </c>
      <c r="FZ8" t="s">
        <v>1634</v>
      </c>
      <c r="GA8">
        <v>0.277644</v>
      </c>
      <c r="GB8">
        <v>0.72761500000000001</v>
      </c>
      <c r="GC8" t="s">
        <v>1599</v>
      </c>
      <c r="GD8">
        <v>2025</v>
      </c>
      <c r="GE8" t="s">
        <v>2321</v>
      </c>
      <c r="GF8" s="6">
        <v>45975</v>
      </c>
      <c r="GG8">
        <v>5</v>
      </c>
      <c r="GH8">
        <v>21188146</v>
      </c>
      <c r="GI8">
        <v>305366</v>
      </c>
      <c r="GJ8" t="s">
        <v>2322</v>
      </c>
      <c r="GM8" t="s">
        <v>5991</v>
      </c>
      <c r="GN8">
        <v>-2.4245362661989844E-14</v>
      </c>
      <c r="GP8">
        <v>-2.4245362661989844E-14</v>
      </c>
      <c r="GQ8" t="s">
        <v>1594</v>
      </c>
      <c r="GR8">
        <v>2021</v>
      </c>
      <c r="GS8" t="s">
        <v>4021</v>
      </c>
      <c r="GT8" s="6">
        <v>44693</v>
      </c>
      <c r="GU8">
        <v>5</v>
      </c>
      <c r="GV8">
        <v>-2.4245362661989844E-14</v>
      </c>
      <c r="GW8">
        <v>129337</v>
      </c>
      <c r="GX8" t="s">
        <v>5992</v>
      </c>
      <c r="HC8" t="s">
        <v>3991</v>
      </c>
      <c r="HD8" t="s">
        <v>1598</v>
      </c>
      <c r="HE8">
        <v>3.0757509999999999</v>
      </c>
      <c r="HF8">
        <v>0.25219200000000003</v>
      </c>
      <c r="HG8" t="s">
        <v>1599</v>
      </c>
      <c r="HH8">
        <v>2025</v>
      </c>
      <c r="HI8" t="s">
        <v>5888</v>
      </c>
      <c r="HJ8" s="6">
        <v>46050</v>
      </c>
      <c r="HK8">
        <v>5</v>
      </c>
      <c r="HL8">
        <v>4753819</v>
      </c>
      <c r="HM8">
        <v>126764</v>
      </c>
      <c r="HN8" t="s">
        <v>3993</v>
      </c>
      <c r="HQ8" t="s">
        <v>5687</v>
      </c>
      <c r="HR8">
        <v>-2.4245362661989844E-14</v>
      </c>
      <c r="HT8">
        <v>-2.4245362661989844E-14</v>
      </c>
      <c r="HU8" t="s">
        <v>1594</v>
      </c>
      <c r="HV8">
        <v>2025</v>
      </c>
      <c r="HW8" t="s">
        <v>5688</v>
      </c>
      <c r="HX8" s="6">
        <v>46030</v>
      </c>
      <c r="HY8">
        <v>5</v>
      </c>
      <c r="HZ8">
        <v>-2.4245362661989844E-14</v>
      </c>
      <c r="IA8">
        <v>1017025</v>
      </c>
      <c r="IB8" t="s">
        <v>5689</v>
      </c>
      <c r="IG8" t="s">
        <v>3384</v>
      </c>
      <c r="IH8" t="s">
        <v>1598</v>
      </c>
      <c r="II8">
        <v>49.056618</v>
      </c>
      <c r="IJ8">
        <v>2.3797060000000001</v>
      </c>
      <c r="IK8" t="s">
        <v>1599</v>
      </c>
      <c r="IL8">
        <v>2025</v>
      </c>
      <c r="IM8" t="s">
        <v>3385</v>
      </c>
      <c r="IN8" s="6">
        <v>46050</v>
      </c>
      <c r="IO8">
        <v>5</v>
      </c>
      <c r="IP8">
        <v>173789936</v>
      </c>
      <c r="IQ8">
        <v>1753841</v>
      </c>
      <c r="IR8" t="s">
        <v>3386</v>
      </c>
      <c r="IU8" t="s">
        <v>31</v>
      </c>
      <c r="IV8">
        <v>2.966253</v>
      </c>
      <c r="IW8" t="s">
        <v>1598</v>
      </c>
      <c r="IX8">
        <v>1.12304</v>
      </c>
      <c r="IY8" t="s">
        <v>1599</v>
      </c>
      <c r="IZ8">
        <v>2025</v>
      </c>
      <c r="JA8" t="s">
        <v>2219</v>
      </c>
      <c r="JB8" s="6">
        <v>46018</v>
      </c>
      <c r="JC8">
        <v>5</v>
      </c>
      <c r="JD8">
        <v>711693056</v>
      </c>
      <c r="JE8">
        <v>60401289</v>
      </c>
      <c r="JF8" t="s">
        <v>1769</v>
      </c>
      <c r="JK8" t="s">
        <v>3463</v>
      </c>
      <c r="JM8">
        <v>-2.4245362661989844E-14</v>
      </c>
      <c r="JN8">
        <v>-2.4245362661989844E-14</v>
      </c>
      <c r="JO8" t="s">
        <v>1599</v>
      </c>
      <c r="JP8">
        <v>2025</v>
      </c>
      <c r="JQ8" t="s">
        <v>3464</v>
      </c>
      <c r="JR8" s="6">
        <v>45989</v>
      </c>
      <c r="JS8">
        <v>5</v>
      </c>
      <c r="JT8">
        <v>-2.4245362661989844E-14</v>
      </c>
      <c r="JU8">
        <v>7783080</v>
      </c>
      <c r="JV8" t="s">
        <v>3465</v>
      </c>
      <c r="JY8" t="s">
        <v>2914</v>
      </c>
      <c r="JZ8">
        <v>-2.4245362661989844E-14</v>
      </c>
      <c r="KB8">
        <v>-2.4245362661989844E-14</v>
      </c>
      <c r="KC8" t="s">
        <v>1594</v>
      </c>
      <c r="KD8">
        <v>2022</v>
      </c>
      <c r="KE8" t="s">
        <v>2908</v>
      </c>
      <c r="KF8" s="6">
        <v>45008</v>
      </c>
      <c r="KG8">
        <v>5</v>
      </c>
      <c r="KH8">
        <v>-2.4245362661989844E-14</v>
      </c>
      <c r="KI8">
        <v>949869</v>
      </c>
      <c r="KJ8" t="s">
        <v>2915</v>
      </c>
      <c r="MW8" t="s">
        <v>2152</v>
      </c>
      <c r="MY8">
        <v>-2.4245362661989844E-14</v>
      </c>
      <c r="MZ8">
        <v>-2.4245362661989844E-14</v>
      </c>
      <c r="NA8" t="s">
        <v>1594</v>
      </c>
      <c r="NB8">
        <v>2021</v>
      </c>
      <c r="NC8" t="s">
        <v>2153</v>
      </c>
      <c r="ND8" s="6">
        <v>44693</v>
      </c>
      <c r="NE8">
        <v>5</v>
      </c>
      <c r="NF8">
        <v>-2.4245362661989844E-14</v>
      </c>
      <c r="NG8">
        <v>100060</v>
      </c>
      <c r="NH8" t="s">
        <v>2154</v>
      </c>
      <c r="NK8" t="s">
        <v>900</v>
      </c>
      <c r="NL8">
        <v>-2.4245362661989844E-14</v>
      </c>
      <c r="NN8">
        <v>-2.4245362661989844E-14</v>
      </c>
      <c r="NO8" t="s">
        <v>1594</v>
      </c>
      <c r="NP8">
        <v>2022</v>
      </c>
      <c r="NQ8" t="s">
        <v>2794</v>
      </c>
      <c r="NR8" s="6">
        <v>44907</v>
      </c>
      <c r="NS8">
        <v>5</v>
      </c>
      <c r="NT8">
        <v>-2.4245362661989844E-14</v>
      </c>
      <c r="NU8">
        <v>108653</v>
      </c>
      <c r="NV8" t="s">
        <v>2795</v>
      </c>
      <c r="OA8" t="s">
        <v>2072</v>
      </c>
      <c r="OB8" t="s">
        <v>1598</v>
      </c>
      <c r="OC8">
        <v>8.7431999999999996E-2</v>
      </c>
      <c r="OD8">
        <v>1.9181E-2</v>
      </c>
      <c r="OE8" t="s">
        <v>1599</v>
      </c>
      <c r="OF8">
        <v>2025</v>
      </c>
      <c r="OG8" t="s">
        <v>2073</v>
      </c>
      <c r="OH8" s="6">
        <v>46027</v>
      </c>
      <c r="OI8">
        <v>5</v>
      </c>
      <c r="OJ8">
        <v>554319</v>
      </c>
      <c r="OK8">
        <v>36965288</v>
      </c>
      <c r="OL8" t="s">
        <v>2074</v>
      </c>
      <c r="OO8" t="s">
        <v>3445</v>
      </c>
      <c r="OP8">
        <v>-2.4245362661989844E-14</v>
      </c>
      <c r="OR8">
        <v>-2.4245362661989844E-14</v>
      </c>
      <c r="OS8" t="s">
        <v>1594</v>
      </c>
      <c r="OT8">
        <v>2025</v>
      </c>
      <c r="OU8" t="s">
        <v>4759</v>
      </c>
      <c r="OV8" s="6">
        <v>45987</v>
      </c>
      <c r="OW8">
        <v>5</v>
      </c>
      <c r="OX8">
        <v>-2.4245362661989844E-14</v>
      </c>
      <c r="OY8">
        <v>179984</v>
      </c>
      <c r="OZ8" t="s">
        <v>3447</v>
      </c>
      <c r="PE8" t="s">
        <v>2559</v>
      </c>
      <c r="PF8" t="s">
        <v>1598</v>
      </c>
      <c r="PG8">
        <v>0.30367300000000003</v>
      </c>
      <c r="PH8">
        <v>0.37271100000000001</v>
      </c>
      <c r="PI8" t="s">
        <v>1599</v>
      </c>
      <c r="PJ8">
        <v>2025</v>
      </c>
      <c r="PK8" t="s">
        <v>2560</v>
      </c>
      <c r="PL8" s="6">
        <v>45867</v>
      </c>
      <c r="PM8">
        <v>5</v>
      </c>
      <c r="PN8">
        <v>23771522</v>
      </c>
      <c r="PO8">
        <v>117092</v>
      </c>
      <c r="PP8" t="s">
        <v>2561</v>
      </c>
      <c r="PS8" t="s">
        <v>2833</v>
      </c>
      <c r="PT8">
        <v>-2.4245362661989844E-14</v>
      </c>
      <c r="PV8">
        <v>-2.4245362661989844E-14</v>
      </c>
      <c r="PW8" t="s">
        <v>1651</v>
      </c>
      <c r="PX8">
        <v>2025</v>
      </c>
      <c r="PY8" t="s">
        <v>2834</v>
      </c>
      <c r="PZ8" s="6">
        <v>45975</v>
      </c>
      <c r="QA8">
        <v>5</v>
      </c>
      <c r="QB8">
        <v>-2.4245362661989844E-14</v>
      </c>
      <c r="QC8">
        <v>1459457</v>
      </c>
      <c r="QD8" t="s">
        <v>2835</v>
      </c>
      <c r="RM8" t="s">
        <v>240</v>
      </c>
      <c r="RN8" t="s">
        <v>1598</v>
      </c>
      <c r="RO8">
        <v>1.8476189999999999</v>
      </c>
      <c r="RP8">
        <v>0.497726</v>
      </c>
      <c r="RQ8" t="s">
        <v>1599</v>
      </c>
      <c r="RR8">
        <v>2025</v>
      </c>
      <c r="RS8" t="s">
        <v>2219</v>
      </c>
      <c r="RT8" s="6">
        <v>46018</v>
      </c>
      <c r="RU8">
        <v>5</v>
      </c>
      <c r="RV8">
        <v>443299232</v>
      </c>
      <c r="RW8">
        <v>100828</v>
      </c>
      <c r="RX8" t="s">
        <v>1865</v>
      </c>
      <c r="SA8" t="s">
        <v>3589</v>
      </c>
      <c r="SB8">
        <v>-2.4245362661989844E-14</v>
      </c>
      <c r="SD8">
        <v>-2.4245362661989844E-14</v>
      </c>
      <c r="SE8" t="s">
        <v>1594</v>
      </c>
      <c r="SF8">
        <v>2023</v>
      </c>
      <c r="SG8" t="s">
        <v>3588</v>
      </c>
      <c r="SH8" s="6">
        <v>44964</v>
      </c>
      <c r="SI8">
        <v>5</v>
      </c>
      <c r="SJ8">
        <v>-2.4245362661989844E-14</v>
      </c>
      <c r="SK8">
        <v>33578464</v>
      </c>
      <c r="SL8" t="s">
        <v>3590</v>
      </c>
      <c r="SQ8" t="s">
        <v>34</v>
      </c>
      <c r="SR8" t="s">
        <v>1598</v>
      </c>
      <c r="SS8">
        <v>0.88662700000000005</v>
      </c>
      <c r="ST8">
        <v>0.85050899999999996</v>
      </c>
      <c r="SU8" t="s">
        <v>1664</v>
      </c>
      <c r="SV8">
        <v>2025</v>
      </c>
      <c r="SW8" t="s">
        <v>1737</v>
      </c>
      <c r="SX8" s="6">
        <v>45869</v>
      </c>
      <c r="SY8">
        <v>5</v>
      </c>
      <c r="SZ8">
        <v>27183968</v>
      </c>
      <c r="TA8">
        <v>48364393</v>
      </c>
      <c r="TB8" t="s">
        <v>5745</v>
      </c>
      <c r="TE8" t="s">
        <v>1717</v>
      </c>
      <c r="TF8">
        <v>0.39032499999999998</v>
      </c>
      <c r="TG8" t="s">
        <v>1598</v>
      </c>
      <c r="TH8">
        <v>0.35400799999999999</v>
      </c>
      <c r="TI8" t="s">
        <v>1664</v>
      </c>
      <c r="TJ8">
        <v>2025</v>
      </c>
      <c r="TK8" t="s">
        <v>1737</v>
      </c>
      <c r="TL8" s="6">
        <v>45869</v>
      </c>
      <c r="TM8">
        <v>5</v>
      </c>
      <c r="TN8">
        <v>24647072</v>
      </c>
      <c r="TO8">
        <v>103445</v>
      </c>
      <c r="TP8" t="s">
        <v>1719</v>
      </c>
      <c r="UY8" t="s">
        <v>6144</v>
      </c>
      <c r="UZ8" t="s">
        <v>1598</v>
      </c>
      <c r="VA8">
        <v>0.873359</v>
      </c>
      <c r="VB8">
        <v>0.42542200000000002</v>
      </c>
      <c r="VC8" t="s">
        <v>1664</v>
      </c>
      <c r="VD8">
        <v>2025</v>
      </c>
      <c r="VE8" t="s">
        <v>1607</v>
      </c>
      <c r="VF8" s="6">
        <v>45870</v>
      </c>
      <c r="VG8">
        <v>5</v>
      </c>
      <c r="VH8">
        <v>13568516</v>
      </c>
      <c r="VI8">
        <v>125136</v>
      </c>
      <c r="VJ8" t="s">
        <v>6145</v>
      </c>
      <c r="VM8" t="s">
        <v>1732</v>
      </c>
      <c r="VN8">
        <v>0.35216399999999998</v>
      </c>
      <c r="VO8" t="s">
        <v>1598</v>
      </c>
      <c r="VP8">
        <v>0.112446</v>
      </c>
      <c r="VQ8" t="s">
        <v>1664</v>
      </c>
      <c r="VR8">
        <v>2025</v>
      </c>
      <c r="VS8" t="s">
        <v>1607</v>
      </c>
      <c r="VT8" s="6">
        <v>45870</v>
      </c>
      <c r="VU8">
        <v>5</v>
      </c>
      <c r="VV8">
        <v>17465750</v>
      </c>
      <c r="VW8">
        <v>876285</v>
      </c>
      <c r="VX8" t="s">
        <v>1734</v>
      </c>
    </row>
    <row r="9" spans="1:600" x14ac:dyDescent="0.25">
      <c r="AE9" t="s">
        <v>2248</v>
      </c>
      <c r="AF9" t="s">
        <v>1598</v>
      </c>
      <c r="AG9">
        <v>1.9906219999999999</v>
      </c>
      <c r="AH9">
        <v>0.177985</v>
      </c>
      <c r="AI9" t="s">
        <v>1664</v>
      </c>
      <c r="AJ9">
        <v>2025</v>
      </c>
      <c r="AK9" t="s">
        <v>2249</v>
      </c>
      <c r="AL9" s="6">
        <v>45936</v>
      </c>
      <c r="AM9">
        <v>5</v>
      </c>
      <c r="AN9">
        <v>12336562.08</v>
      </c>
      <c r="AO9">
        <v>116058</v>
      </c>
      <c r="AP9" t="s">
        <v>2250</v>
      </c>
      <c r="AS9" t="s">
        <v>1817</v>
      </c>
      <c r="AT9">
        <v>2.2018209999999998</v>
      </c>
      <c r="AU9" t="s">
        <v>1634</v>
      </c>
      <c r="AV9">
        <v>4.3137720000000002</v>
      </c>
      <c r="AW9" t="s">
        <v>1599</v>
      </c>
      <c r="AX9">
        <v>2025</v>
      </c>
      <c r="AY9" t="s">
        <v>1809</v>
      </c>
      <c r="AZ9" s="6">
        <v>45985</v>
      </c>
      <c r="BA9">
        <v>5</v>
      </c>
      <c r="BB9">
        <v>196578576</v>
      </c>
      <c r="BC9">
        <v>9268711</v>
      </c>
      <c r="BD9" t="s">
        <v>1818</v>
      </c>
      <c r="BI9" t="s">
        <v>2312</v>
      </c>
      <c r="BK9">
        <v>-2.4245362661989844E-14</v>
      </c>
      <c r="BL9">
        <v>-2.4245362661989844E-14</v>
      </c>
      <c r="BM9" t="s">
        <v>1594</v>
      </c>
      <c r="BN9">
        <v>2024</v>
      </c>
      <c r="BO9" t="s">
        <v>2313</v>
      </c>
      <c r="BP9" s="6">
        <v>45476</v>
      </c>
      <c r="BQ9">
        <v>5</v>
      </c>
      <c r="BR9">
        <v>-2.4245362661989844E-14</v>
      </c>
      <c r="BS9">
        <v>117406</v>
      </c>
      <c r="BT9" t="s">
        <v>2314</v>
      </c>
      <c r="BW9" t="s">
        <v>1909</v>
      </c>
      <c r="BX9">
        <v>0.82465500000000003</v>
      </c>
      <c r="BZ9">
        <v>-2.4245362661989844E-14</v>
      </c>
      <c r="CA9" t="s">
        <v>1594</v>
      </c>
      <c r="CB9">
        <v>2024</v>
      </c>
      <c r="CC9" t="s">
        <v>1903</v>
      </c>
      <c r="CD9" s="6">
        <v>45702</v>
      </c>
      <c r="CE9">
        <v>5</v>
      </c>
      <c r="CF9">
        <v>16908750</v>
      </c>
      <c r="CG9">
        <v>117322</v>
      </c>
      <c r="CH9" t="s">
        <v>1910</v>
      </c>
      <c r="CM9" t="s">
        <v>3980</v>
      </c>
      <c r="CN9" t="s">
        <v>1634</v>
      </c>
      <c r="CO9">
        <v>5.1830230000000004</v>
      </c>
      <c r="CP9">
        <v>0.15981500000000001</v>
      </c>
      <c r="CQ9" t="s">
        <v>1664</v>
      </c>
      <c r="CR9">
        <v>2026</v>
      </c>
      <c r="CS9" t="s">
        <v>3981</v>
      </c>
      <c r="CT9" s="6">
        <v>46051</v>
      </c>
      <c r="CU9">
        <v>5</v>
      </c>
      <c r="CV9">
        <v>3413643</v>
      </c>
      <c r="CW9">
        <v>102076</v>
      </c>
      <c r="CX9" t="s">
        <v>3982</v>
      </c>
      <c r="DA9" t="s">
        <v>5087</v>
      </c>
      <c r="DB9">
        <v>-2.4245362661989844E-14</v>
      </c>
      <c r="DD9">
        <v>-2.4245362661989844E-14</v>
      </c>
      <c r="DE9" t="s">
        <v>1594</v>
      </c>
      <c r="DF9">
        <v>2021</v>
      </c>
      <c r="DG9" t="s">
        <v>5083</v>
      </c>
      <c r="DH9" s="6">
        <v>44693</v>
      </c>
      <c r="DI9">
        <v>5</v>
      </c>
      <c r="DJ9">
        <v>-2.4245362661989844E-14</v>
      </c>
      <c r="DK9">
        <v>18488759</v>
      </c>
      <c r="DL9" t="s">
        <v>5088</v>
      </c>
      <c r="DQ9" t="s">
        <v>2335</v>
      </c>
      <c r="DR9" t="s">
        <v>1598</v>
      </c>
      <c r="DS9">
        <v>0.122061</v>
      </c>
      <c r="DT9">
        <v>0.23411100000000001</v>
      </c>
      <c r="DU9" t="s">
        <v>1664</v>
      </c>
      <c r="DV9">
        <v>2026</v>
      </c>
      <c r="DW9" t="s">
        <v>2336</v>
      </c>
      <c r="DX9" s="6">
        <v>46071</v>
      </c>
      <c r="DY9">
        <v>5</v>
      </c>
      <c r="DZ9">
        <v>6651104</v>
      </c>
      <c r="EA9">
        <v>61417091</v>
      </c>
      <c r="EB9" t="s">
        <v>2337</v>
      </c>
      <c r="EE9" t="s">
        <v>4793</v>
      </c>
      <c r="EF9">
        <v>1.6264000000000001E-2</v>
      </c>
      <c r="EG9" t="s">
        <v>1598</v>
      </c>
      <c r="EH9">
        <v>9.9381559999999993</v>
      </c>
      <c r="EI9" t="s">
        <v>1594</v>
      </c>
      <c r="EJ9">
        <v>2024</v>
      </c>
      <c r="EK9" t="s">
        <v>4794</v>
      </c>
      <c r="EL9" s="6">
        <v>45810</v>
      </c>
      <c r="EM9">
        <v>5</v>
      </c>
      <c r="EN9">
        <v>857742.71</v>
      </c>
      <c r="EO9">
        <v>11741814</v>
      </c>
      <c r="EP9" t="s">
        <v>4795</v>
      </c>
      <c r="EU9" t="s">
        <v>6310</v>
      </c>
      <c r="EW9">
        <v>-2.4245362661989844E-14</v>
      </c>
      <c r="EX9">
        <v>-2.4245362661989844E-14</v>
      </c>
      <c r="EY9" t="s">
        <v>1664</v>
      </c>
      <c r="EZ9">
        <v>2025</v>
      </c>
      <c r="FA9" t="s">
        <v>6311</v>
      </c>
      <c r="FB9" s="6">
        <v>45968</v>
      </c>
      <c r="FC9">
        <v>5</v>
      </c>
      <c r="FD9">
        <v>-2.4245362661989844E-14</v>
      </c>
      <c r="FE9">
        <v>943108</v>
      </c>
      <c r="FF9" t="s">
        <v>6312</v>
      </c>
      <c r="FI9" t="s">
        <v>3211</v>
      </c>
      <c r="FJ9">
        <v>4.5225819999999999</v>
      </c>
      <c r="FK9" t="s">
        <v>1598</v>
      </c>
      <c r="FL9">
        <v>3.340357</v>
      </c>
      <c r="FM9" t="s">
        <v>1664</v>
      </c>
      <c r="FN9">
        <v>2026</v>
      </c>
      <c r="FO9" t="s">
        <v>6136</v>
      </c>
      <c r="FP9" s="6">
        <v>46052</v>
      </c>
      <c r="FQ9">
        <v>5</v>
      </c>
      <c r="FR9">
        <v>80221560</v>
      </c>
      <c r="FS9">
        <v>114322</v>
      </c>
      <c r="FT9" t="s">
        <v>3213</v>
      </c>
      <c r="FY9" t="s">
        <v>3820</v>
      </c>
      <c r="FZ9" t="s">
        <v>1598</v>
      </c>
      <c r="GA9">
        <v>0.31665399999999999</v>
      </c>
      <c r="GB9">
        <v>0.373392</v>
      </c>
      <c r="GC9" t="s">
        <v>1603</v>
      </c>
      <c r="GD9">
        <v>2025</v>
      </c>
      <c r="GE9" t="s">
        <v>3821</v>
      </c>
      <c r="GF9" s="6">
        <v>45849</v>
      </c>
      <c r="GG9">
        <v>5</v>
      </c>
      <c r="GH9">
        <v>9017413</v>
      </c>
      <c r="GI9">
        <v>102595</v>
      </c>
      <c r="GJ9" t="s">
        <v>3822</v>
      </c>
      <c r="GM9" t="s">
        <v>5993</v>
      </c>
      <c r="GN9">
        <v>-2.4245362661989844E-14</v>
      </c>
      <c r="GP9">
        <v>-2.4245362661989844E-14</v>
      </c>
      <c r="GQ9" t="s">
        <v>1594</v>
      </c>
      <c r="GR9">
        <v>2021</v>
      </c>
      <c r="GS9" t="s">
        <v>4021</v>
      </c>
      <c r="GT9" s="6">
        <v>44693</v>
      </c>
      <c r="GU9">
        <v>5</v>
      </c>
      <c r="GV9">
        <v>-2.4245362661989844E-14</v>
      </c>
      <c r="GW9">
        <v>128977</v>
      </c>
      <c r="GX9" t="s">
        <v>5994</v>
      </c>
      <c r="HC9" t="s">
        <v>5684</v>
      </c>
      <c r="HD9" t="s">
        <v>1598</v>
      </c>
      <c r="HE9">
        <v>10.127708</v>
      </c>
      <c r="HF9">
        <v>0.109997</v>
      </c>
      <c r="HG9" t="s">
        <v>1651</v>
      </c>
      <c r="HH9">
        <v>2025</v>
      </c>
      <c r="HI9" t="s">
        <v>5889</v>
      </c>
      <c r="HJ9" s="6">
        <v>45975</v>
      </c>
      <c r="HK9">
        <v>5</v>
      </c>
      <c r="HL9">
        <v>1993134.38</v>
      </c>
      <c r="HM9">
        <v>18841705</v>
      </c>
      <c r="HN9" t="s">
        <v>5686</v>
      </c>
      <c r="HQ9" t="s">
        <v>4924</v>
      </c>
      <c r="HR9">
        <v>-2.4245362661989844E-14</v>
      </c>
      <c r="HT9">
        <v>-2.4245362661989844E-14</v>
      </c>
      <c r="HU9" t="s">
        <v>1651</v>
      </c>
      <c r="HV9">
        <v>2025</v>
      </c>
      <c r="HW9" t="s">
        <v>5690</v>
      </c>
      <c r="HX9" s="6">
        <v>45986</v>
      </c>
      <c r="HY9">
        <v>5</v>
      </c>
      <c r="HZ9">
        <v>-2.4245362661989844E-14</v>
      </c>
      <c r="IA9">
        <v>27516715</v>
      </c>
      <c r="IB9" t="s">
        <v>4926</v>
      </c>
      <c r="IG9" t="s">
        <v>3387</v>
      </c>
      <c r="IH9" t="s">
        <v>1598</v>
      </c>
      <c r="II9">
        <v>1.017503</v>
      </c>
      <c r="IJ9">
        <v>1.621964</v>
      </c>
      <c r="IK9" t="s">
        <v>1664</v>
      </c>
      <c r="IL9">
        <v>2025</v>
      </c>
      <c r="IM9" t="s">
        <v>3388</v>
      </c>
      <c r="IN9" s="6">
        <v>45929</v>
      </c>
      <c r="IO9">
        <v>5</v>
      </c>
      <c r="IP9">
        <v>123835292.08</v>
      </c>
      <c r="IQ9">
        <v>115679</v>
      </c>
      <c r="IR9" t="s">
        <v>3389</v>
      </c>
      <c r="IU9" t="s">
        <v>1669</v>
      </c>
      <c r="IV9">
        <v>2.108371</v>
      </c>
      <c r="IW9" t="s">
        <v>1598</v>
      </c>
      <c r="IX9">
        <v>2.5571009999999998</v>
      </c>
      <c r="IY9" t="s">
        <v>1664</v>
      </c>
      <c r="IZ9">
        <v>2025</v>
      </c>
      <c r="JA9" t="s">
        <v>1921</v>
      </c>
      <c r="JB9" s="6">
        <v>45919</v>
      </c>
      <c r="JC9">
        <v>5</v>
      </c>
      <c r="JD9">
        <v>501043244.87</v>
      </c>
      <c r="JE9">
        <v>115268</v>
      </c>
      <c r="JF9" t="s">
        <v>1670</v>
      </c>
      <c r="JK9" t="s">
        <v>3466</v>
      </c>
      <c r="JM9">
        <v>-2.4245362661989844E-14</v>
      </c>
      <c r="JN9">
        <v>-2.4245362661989844E-14</v>
      </c>
      <c r="JO9" t="s">
        <v>1603</v>
      </c>
      <c r="JP9">
        <v>2024</v>
      </c>
      <c r="JQ9" t="s">
        <v>3467</v>
      </c>
      <c r="JR9" s="6">
        <v>45421</v>
      </c>
      <c r="JS9">
        <v>5</v>
      </c>
      <c r="JT9">
        <v>-2.4245362661989844E-14</v>
      </c>
      <c r="JU9">
        <v>65608618</v>
      </c>
      <c r="JV9" t="s">
        <v>3468</v>
      </c>
      <c r="JY9" t="s">
        <v>2916</v>
      </c>
      <c r="JZ9">
        <v>-2.4245362661989844E-14</v>
      </c>
      <c r="KB9">
        <v>-2.4245362661989844E-14</v>
      </c>
      <c r="KC9" t="s">
        <v>1594</v>
      </c>
      <c r="KD9">
        <v>2022</v>
      </c>
      <c r="KE9" t="s">
        <v>2908</v>
      </c>
      <c r="KF9" s="6">
        <v>45008</v>
      </c>
      <c r="KG9">
        <v>5</v>
      </c>
      <c r="KH9">
        <v>-2.4245362661989844E-14</v>
      </c>
      <c r="KI9">
        <v>55455507</v>
      </c>
      <c r="KJ9" t="s">
        <v>2917</v>
      </c>
      <c r="MW9" t="s">
        <v>3205</v>
      </c>
      <c r="MY9">
        <v>-2.4245362661989844E-14</v>
      </c>
      <c r="MZ9">
        <v>-2.4245362661989844E-14</v>
      </c>
      <c r="NA9" t="s">
        <v>1594</v>
      </c>
      <c r="NB9">
        <v>2025</v>
      </c>
      <c r="NC9" t="s">
        <v>3206</v>
      </c>
      <c r="ND9" s="6">
        <v>45743</v>
      </c>
      <c r="NE9">
        <v>5</v>
      </c>
      <c r="NF9">
        <v>-2.4245362661989844E-14</v>
      </c>
      <c r="NG9">
        <v>106343</v>
      </c>
      <c r="NH9" t="s">
        <v>3207</v>
      </c>
      <c r="NK9" t="s">
        <v>1720</v>
      </c>
      <c r="NL9">
        <v>-2.4245362661989844E-14</v>
      </c>
      <c r="NN9">
        <v>-2.4245362661989844E-14</v>
      </c>
      <c r="NO9" t="s">
        <v>1594</v>
      </c>
      <c r="NP9">
        <v>2023</v>
      </c>
      <c r="NQ9" t="s">
        <v>1721</v>
      </c>
      <c r="NR9" s="6">
        <v>45401</v>
      </c>
      <c r="NS9">
        <v>5</v>
      </c>
      <c r="NT9">
        <v>-2.4245362661989844E-14</v>
      </c>
      <c r="NU9">
        <v>100842</v>
      </c>
      <c r="NV9" t="s">
        <v>1722</v>
      </c>
      <c r="OA9" t="s">
        <v>2298</v>
      </c>
      <c r="OB9" t="s">
        <v>1598</v>
      </c>
      <c r="OC9">
        <v>1.44E-2</v>
      </c>
      <c r="OD9">
        <v>1.7874000000000001E-2</v>
      </c>
      <c r="OE9" t="s">
        <v>1599</v>
      </c>
      <c r="OF9">
        <v>2025</v>
      </c>
      <c r="OG9" t="s">
        <v>2299</v>
      </c>
      <c r="OH9" s="6">
        <v>45993</v>
      </c>
      <c r="OI9">
        <v>5</v>
      </c>
      <c r="OJ9">
        <v>516528</v>
      </c>
      <c r="OK9">
        <v>100415</v>
      </c>
      <c r="OL9" t="s">
        <v>2300</v>
      </c>
      <c r="OO9" t="s">
        <v>740</v>
      </c>
      <c r="OP9">
        <v>-2.4245362661989844E-14</v>
      </c>
      <c r="OR9">
        <v>-2.4245362661989844E-14</v>
      </c>
      <c r="OS9" t="s">
        <v>1594</v>
      </c>
      <c r="OT9">
        <v>2024</v>
      </c>
      <c r="OU9" t="s">
        <v>4760</v>
      </c>
      <c r="OV9" s="6">
        <v>45622</v>
      </c>
      <c r="OW9">
        <v>5</v>
      </c>
      <c r="OX9">
        <v>-2.4245362661989844E-14</v>
      </c>
      <c r="OY9">
        <v>101525</v>
      </c>
      <c r="OZ9" t="s">
        <v>4761</v>
      </c>
      <c r="PE9" t="s">
        <v>1905</v>
      </c>
      <c r="PF9" t="s">
        <v>1598</v>
      </c>
      <c r="PG9">
        <v>8.0865999999999993E-2</v>
      </c>
      <c r="PH9">
        <v>0.27508500000000002</v>
      </c>
      <c r="PI9" t="s">
        <v>1603</v>
      </c>
      <c r="PJ9">
        <v>2026</v>
      </c>
      <c r="PK9" t="s">
        <v>3359</v>
      </c>
      <c r="PL9" s="6">
        <v>45980</v>
      </c>
      <c r="PM9">
        <v>5</v>
      </c>
      <c r="PN9">
        <v>17987832</v>
      </c>
      <c r="PO9">
        <v>100554</v>
      </c>
      <c r="PP9" t="s">
        <v>1906</v>
      </c>
      <c r="PS9" t="s">
        <v>2836</v>
      </c>
      <c r="PT9">
        <v>-2.4245362661989844E-14</v>
      </c>
      <c r="PV9">
        <v>-2.4245362661989844E-14</v>
      </c>
      <c r="PW9" t="s">
        <v>1594</v>
      </c>
      <c r="PX9">
        <v>2024</v>
      </c>
      <c r="PY9" t="s">
        <v>2837</v>
      </c>
      <c r="PZ9" s="6">
        <v>45774</v>
      </c>
      <c r="QA9">
        <v>5</v>
      </c>
      <c r="QB9">
        <v>-2.4245362661989844E-14</v>
      </c>
      <c r="QC9">
        <v>9020238</v>
      </c>
      <c r="QD9" t="s">
        <v>2838</v>
      </c>
      <c r="RM9" t="s">
        <v>4153</v>
      </c>
      <c r="RN9" t="s">
        <v>1598</v>
      </c>
      <c r="RO9">
        <v>3.2864840000000002</v>
      </c>
      <c r="RP9">
        <v>0.48448999999999998</v>
      </c>
      <c r="RQ9" t="s">
        <v>1599</v>
      </c>
      <c r="RR9">
        <v>2025</v>
      </c>
      <c r="RS9" t="s">
        <v>4154</v>
      </c>
      <c r="RT9" s="6">
        <v>45981</v>
      </c>
      <c r="RU9">
        <v>5</v>
      </c>
      <c r="RV9">
        <v>431591971.77999997</v>
      </c>
      <c r="RW9">
        <v>115414</v>
      </c>
      <c r="RX9" t="s">
        <v>4155</v>
      </c>
      <c r="SA9" t="s">
        <v>2727</v>
      </c>
      <c r="SB9">
        <v>-2.4245362661989844E-14</v>
      </c>
      <c r="SD9">
        <v>-2.4245362661989844E-14</v>
      </c>
      <c r="SE9" t="s">
        <v>1594</v>
      </c>
      <c r="SF9">
        <v>2025</v>
      </c>
      <c r="SG9" t="s">
        <v>3587</v>
      </c>
      <c r="SH9" s="6">
        <v>46063</v>
      </c>
      <c r="SI9">
        <v>5</v>
      </c>
      <c r="SJ9">
        <v>-2.4245362661989844E-14</v>
      </c>
      <c r="SK9">
        <v>17483390</v>
      </c>
      <c r="SL9" t="s">
        <v>2729</v>
      </c>
      <c r="SQ9" t="s">
        <v>1934</v>
      </c>
      <c r="SR9" t="s">
        <v>1598</v>
      </c>
      <c r="SS9">
        <v>0.62967200000000001</v>
      </c>
      <c r="ST9">
        <v>0.277779</v>
      </c>
      <c r="SU9" t="s">
        <v>1664</v>
      </c>
      <c r="SV9">
        <v>2025</v>
      </c>
      <c r="SW9" t="s">
        <v>1737</v>
      </c>
      <c r="SX9" s="6">
        <v>45869</v>
      </c>
      <c r="SY9">
        <v>5</v>
      </c>
      <c r="SZ9">
        <v>8878372</v>
      </c>
      <c r="TA9">
        <v>9188256</v>
      </c>
      <c r="TB9" t="s">
        <v>1936</v>
      </c>
      <c r="TE9" t="s">
        <v>5587</v>
      </c>
      <c r="TF9">
        <v>0.30433500000000002</v>
      </c>
      <c r="TG9" t="s">
        <v>1598</v>
      </c>
      <c r="TH9">
        <v>1.8424160000000001</v>
      </c>
      <c r="TI9" t="s">
        <v>1664</v>
      </c>
      <c r="TJ9">
        <v>2025</v>
      </c>
      <c r="TK9" t="s">
        <v>1737</v>
      </c>
      <c r="TL9" s="6">
        <v>45869</v>
      </c>
      <c r="TM9">
        <v>5</v>
      </c>
      <c r="TN9">
        <v>19217234</v>
      </c>
      <c r="TO9">
        <v>18717368</v>
      </c>
      <c r="TP9" t="s">
        <v>5588</v>
      </c>
      <c r="UY9" t="s">
        <v>6146</v>
      </c>
      <c r="UZ9" t="s">
        <v>1598</v>
      </c>
      <c r="VA9">
        <v>0.278505</v>
      </c>
      <c r="VB9">
        <v>0.37879400000000002</v>
      </c>
      <c r="VC9" t="s">
        <v>1664</v>
      </c>
      <c r="VD9">
        <v>2025</v>
      </c>
      <c r="VE9" t="s">
        <v>1607</v>
      </c>
      <c r="VF9" s="6">
        <v>45870</v>
      </c>
      <c r="VG9">
        <v>5</v>
      </c>
      <c r="VH9">
        <v>12081351</v>
      </c>
      <c r="VI9">
        <v>114345</v>
      </c>
      <c r="VJ9" t="s">
        <v>6147</v>
      </c>
      <c r="VM9" t="s">
        <v>2649</v>
      </c>
      <c r="VN9">
        <v>0.29819600000000002</v>
      </c>
      <c r="VO9" t="s">
        <v>1598</v>
      </c>
      <c r="VP9">
        <v>0.13664999999999999</v>
      </c>
      <c r="VQ9" t="s">
        <v>1664</v>
      </c>
      <c r="VR9">
        <v>2025</v>
      </c>
      <c r="VS9" t="s">
        <v>1607</v>
      </c>
      <c r="VT9" s="6">
        <v>45870</v>
      </c>
      <c r="VU9">
        <v>5</v>
      </c>
      <c r="VV9">
        <v>14789180</v>
      </c>
      <c r="VW9">
        <v>69716006</v>
      </c>
      <c r="VX9" t="s">
        <v>2651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345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346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347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348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349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350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351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352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353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354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355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356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357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358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359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360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361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362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363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364</v>
      </c>
      <c r="AE2" s="3" t="s">
        <v>365</v>
      </c>
      <c r="BI2" s="3" t="s">
        <v>182</v>
      </c>
      <c r="CM2" s="3" t="s">
        <v>23</v>
      </c>
      <c r="DQ2" s="3" t="s">
        <v>24</v>
      </c>
      <c r="EU2" s="3" t="s">
        <v>79</v>
      </c>
      <c r="FY2" s="3" t="s">
        <v>366</v>
      </c>
      <c r="HC2" s="3" t="s">
        <v>367</v>
      </c>
      <c r="IG2" s="3" t="s">
        <v>368</v>
      </c>
      <c r="JK2" s="3" t="s">
        <v>77</v>
      </c>
      <c r="KO2" s="3" t="s">
        <v>207</v>
      </c>
      <c r="LS2" s="3" t="s">
        <v>78</v>
      </c>
      <c r="MW2" s="3" t="s">
        <v>369</v>
      </c>
      <c r="OA2" s="3" t="s">
        <v>73</v>
      </c>
      <c r="PE2" s="3" t="s">
        <v>24</v>
      </c>
      <c r="QI2" s="3" t="s">
        <v>370</v>
      </c>
      <c r="RM2" s="3" t="s">
        <v>273</v>
      </c>
      <c r="SQ2" s="3" t="s">
        <v>78</v>
      </c>
      <c r="TU2" s="3" t="s">
        <v>110</v>
      </c>
      <c r="UY2" s="3" t="s">
        <v>371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_xll.BDS("1825471D US Equity","SUPPLY_CHAIN_SUPPLIERS_ALL_DATA","cols=12;rows=5")</f>
        <v>LXP US Equity</v>
      </c>
      <c r="C5">
        <v>1.474461</v>
      </c>
      <c r="D5">
        <v>-2.4245362661989844E-14</v>
      </c>
      <c r="E5" t="s">
        <v>1603</v>
      </c>
      <c r="F5">
        <v>2025</v>
      </c>
      <c r="G5" t="s">
        <v>5262</v>
      </c>
      <c r="H5" s="6">
        <v>45779</v>
      </c>
      <c r="I5">
        <v>5</v>
      </c>
      <c r="J5">
        <v>1310250</v>
      </c>
      <c r="K5">
        <v>126246</v>
      </c>
      <c r="L5" t="s">
        <v>5263</v>
      </c>
      <c r="O5" t="str">
        <f>_xll.BDS("1825471D US Equity","SUPPLY_CHAIN_CUSTOMERS_ALL_DATA","cols=12;rows=5")</f>
        <v>AIT US Equity</v>
      </c>
      <c r="P5">
        <v>-2.4245362661989844E-14</v>
      </c>
      <c r="R5">
        <v>-2.4245362661989844E-14</v>
      </c>
      <c r="S5" t="s">
        <v>1599</v>
      </c>
      <c r="T5">
        <v>2025</v>
      </c>
      <c r="U5" t="s">
        <v>5401</v>
      </c>
      <c r="V5" s="6">
        <v>45824</v>
      </c>
      <c r="W5">
        <v>5</v>
      </c>
      <c r="X5">
        <v>-2.4245362661989844E-14</v>
      </c>
      <c r="Y5">
        <v>100181</v>
      </c>
      <c r="Z5" t="s">
        <v>2400</v>
      </c>
      <c r="AE5" t="str">
        <f>_xll.BDS("HD US Equity","SUPPLY_CHAIN_SUPPLIERS_ALL_DATA","cols=12;rows=5")</f>
        <v>669 HK Equity</v>
      </c>
      <c r="AF5" t="s">
        <v>1598</v>
      </c>
      <c r="AG5">
        <v>44.370316000000003</v>
      </c>
      <c r="AH5">
        <v>5.7634049999999997</v>
      </c>
      <c r="AI5" t="s">
        <v>1664</v>
      </c>
      <c r="AJ5">
        <v>2025</v>
      </c>
      <c r="AK5" t="s">
        <v>3935</v>
      </c>
      <c r="AL5" s="6">
        <v>45957</v>
      </c>
      <c r="AM5">
        <v>5</v>
      </c>
      <c r="AN5">
        <v>1737781760</v>
      </c>
      <c r="AO5">
        <v>116563</v>
      </c>
      <c r="AP5" t="s">
        <v>3936</v>
      </c>
      <c r="AS5" t="str">
        <f>_xll.BDS("HD US Equity","SUPPLY_CHAIN_CUSTOMERS_ALL_DATA","cols=12;rows=5")</f>
        <v>603201 CH Equity</v>
      </c>
      <c r="AT5">
        <v>-2.4245362661989844E-14</v>
      </c>
      <c r="AV5">
        <v>-2.4245362661989844E-14</v>
      </c>
      <c r="AW5" t="s">
        <v>1792</v>
      </c>
      <c r="AX5">
        <v>2025</v>
      </c>
      <c r="AY5" t="s">
        <v>5039</v>
      </c>
      <c r="AZ5" s="6">
        <v>45894</v>
      </c>
      <c r="BA5">
        <v>5</v>
      </c>
      <c r="BB5">
        <v>-2.4245362661989844E-14</v>
      </c>
      <c r="BC5">
        <v>17992568</v>
      </c>
      <c r="BD5" t="s">
        <v>5040</v>
      </c>
      <c r="BI5" t="str">
        <f>_xll.BDS("USB US Equity","SUPPLY_CHAIN_SUPPLIERS_ALL_DATA","cols=12;rows=5")</f>
        <v>INFO IN Equity</v>
      </c>
      <c r="BJ5" t="s">
        <v>1685</v>
      </c>
      <c r="BK5">
        <v>1.3519060000000001</v>
      </c>
      <c r="BL5">
        <v>1.509646</v>
      </c>
      <c r="BM5" t="s">
        <v>1664</v>
      </c>
      <c r="BN5">
        <v>2026</v>
      </c>
      <c r="BO5" t="s">
        <v>3374</v>
      </c>
      <c r="BP5" s="6">
        <v>46022</v>
      </c>
      <c r="BQ5">
        <v>5</v>
      </c>
      <c r="BR5">
        <v>63385504.969999999</v>
      </c>
      <c r="BS5">
        <v>174545</v>
      </c>
      <c r="BT5" t="s">
        <v>3375</v>
      </c>
      <c r="BW5" t="str">
        <f>_xll.BDS("USB US Equity","SUPPLY_CHAIN_CUSTOMERS_ALL_DATA","cols=12;rows=2")</f>
        <v>FISV US Equity</v>
      </c>
      <c r="BX5">
        <v>-2.4245362661989844E-14</v>
      </c>
      <c r="BZ5">
        <v>-2.4245362661989844E-14</v>
      </c>
      <c r="CA5" t="s">
        <v>1594</v>
      </c>
      <c r="CB5">
        <v>2023</v>
      </c>
      <c r="CC5" t="s">
        <v>4423</v>
      </c>
      <c r="CD5" s="6">
        <v>45344</v>
      </c>
      <c r="CE5">
        <v>2</v>
      </c>
      <c r="CF5">
        <v>-2.4245362661989844E-14</v>
      </c>
      <c r="CG5">
        <v>103882</v>
      </c>
      <c r="CH5" t="s">
        <v>2175</v>
      </c>
      <c r="CM5" t="str">
        <f>_xll.BDS("BMY US Equity","SUPPLY_CHAIN_SUPPLIERS_ALL_DATA","cols=12;rows=5")</f>
        <v>PFE US Equity</v>
      </c>
      <c r="CN5" t="s">
        <v>1598</v>
      </c>
      <c r="CO5">
        <v>11.153900999999999</v>
      </c>
      <c r="CP5">
        <v>50.086109</v>
      </c>
      <c r="CQ5" t="s">
        <v>1594</v>
      </c>
      <c r="CR5">
        <v>2025</v>
      </c>
      <c r="CS5" t="s">
        <v>1765</v>
      </c>
      <c r="CT5" s="6">
        <v>46064</v>
      </c>
      <c r="CU5">
        <v>5</v>
      </c>
      <c r="CV5">
        <v>1745000000</v>
      </c>
      <c r="CW5">
        <v>101166</v>
      </c>
      <c r="CX5" t="s">
        <v>2119</v>
      </c>
      <c r="DA5" t="str">
        <f>_xll.BDS("BMY US Equity","SUPPLY_CHAIN_CUSTOMERS_ALL_DATA","cols=12;rows=5")</f>
        <v>MCK US Equity</v>
      </c>
      <c r="DB5">
        <v>36</v>
      </c>
      <c r="DC5" t="s">
        <v>1598</v>
      </c>
      <c r="DD5">
        <v>4.5203889999999998</v>
      </c>
      <c r="DE5" t="s">
        <v>1594</v>
      </c>
      <c r="DF5">
        <v>2025</v>
      </c>
      <c r="DG5" t="s">
        <v>1765</v>
      </c>
      <c r="DH5" s="6">
        <v>46064</v>
      </c>
      <c r="DI5">
        <v>5</v>
      </c>
      <c r="DJ5">
        <v>4337460224</v>
      </c>
      <c r="DK5">
        <v>154936</v>
      </c>
      <c r="DL5" t="s">
        <v>1766</v>
      </c>
      <c r="DQ5" t="str">
        <f>_xll.BDS("PFE US Equity","SUPPLY_CHAIN_SUPPLIERS_ALL_DATA","cols=12;rows=5")</f>
        <v>BNTX US Equity</v>
      </c>
      <c r="DR5" t="s">
        <v>1598</v>
      </c>
      <c r="DS5">
        <v>73</v>
      </c>
      <c r="DT5">
        <v>12.187704999999999</v>
      </c>
      <c r="DU5" t="s">
        <v>1594</v>
      </c>
      <c r="DV5">
        <v>2024</v>
      </c>
      <c r="DW5" t="s">
        <v>3345</v>
      </c>
      <c r="DX5" s="6">
        <v>45726</v>
      </c>
      <c r="DY5">
        <v>5</v>
      </c>
      <c r="DZ5">
        <v>544064265</v>
      </c>
      <c r="EA5">
        <v>65839686</v>
      </c>
      <c r="EB5" t="s">
        <v>3346</v>
      </c>
      <c r="EE5" t="str">
        <f>_xll.BDS("PFE US Equity","SUPPLY_CHAIN_CUSTOMERS_ALL_DATA","cols=12;rows=5")</f>
        <v>MCK US Equity</v>
      </c>
      <c r="EF5">
        <v>25</v>
      </c>
      <c r="EG5" t="s">
        <v>1598</v>
      </c>
      <c r="EH5">
        <v>4.0761390000000004</v>
      </c>
      <c r="EI5" t="s">
        <v>1594</v>
      </c>
      <c r="EJ5">
        <v>2025</v>
      </c>
      <c r="EK5" t="s">
        <v>2824</v>
      </c>
      <c r="EL5" s="6">
        <v>46079</v>
      </c>
      <c r="EM5">
        <v>5</v>
      </c>
      <c r="EN5">
        <v>3911187456</v>
      </c>
      <c r="EO5">
        <v>154936</v>
      </c>
      <c r="EP5" t="s">
        <v>1766</v>
      </c>
      <c r="EU5" t="str">
        <f>_xll.BDS("MRK US Equity","SUPPLY_CHAIN_SUPPLIERS_ALL_DATA","cols=12;rows=5")</f>
        <v>AZN LN Equity</v>
      </c>
      <c r="EV5" t="s">
        <v>1598</v>
      </c>
      <c r="EW5">
        <v>1.1917120000000001</v>
      </c>
      <c r="EX5">
        <v>4.272983</v>
      </c>
      <c r="EY5" t="s">
        <v>1594</v>
      </c>
      <c r="EZ5">
        <v>2025</v>
      </c>
      <c r="FA5" t="s">
        <v>4869</v>
      </c>
      <c r="FB5" s="6">
        <v>46077</v>
      </c>
      <c r="FC5">
        <v>5</v>
      </c>
      <c r="FD5">
        <v>175000000</v>
      </c>
      <c r="FE5">
        <v>111093</v>
      </c>
      <c r="FF5" t="s">
        <v>3409</v>
      </c>
      <c r="FI5" t="str">
        <f>_xll.BDS("MRK US Equity","SUPPLY_CHAIN_CUSTOMERS_ALL_DATA","cols=12;rows=5")</f>
        <v>COR US Equity</v>
      </c>
      <c r="FJ5">
        <v>9.6931790000000007</v>
      </c>
      <c r="FK5" t="s">
        <v>1598</v>
      </c>
      <c r="FL5">
        <v>2.073159</v>
      </c>
      <c r="FM5" t="s">
        <v>1599</v>
      </c>
      <c r="FN5">
        <v>2025</v>
      </c>
      <c r="FO5" t="s">
        <v>5050</v>
      </c>
      <c r="FP5" s="6">
        <v>45985</v>
      </c>
      <c r="FQ5">
        <v>5</v>
      </c>
      <c r="FR5">
        <v>1674593664</v>
      </c>
      <c r="FS5">
        <v>156969</v>
      </c>
      <c r="FT5" t="s">
        <v>1767</v>
      </c>
      <c r="FY5" t="str">
        <f>_xll.BDS("LBRDA US Equity","SUPPLY_CHAIN_SUPPLIERS_ALL_DATA","cols=12;rows=5")</f>
        <v>ERICB SS Equity</v>
      </c>
      <c r="FZ5" t="s">
        <v>1634</v>
      </c>
      <c r="GA5">
        <v>5.5060999999999999E-2</v>
      </c>
      <c r="GB5">
        <v>4.3644179999999997</v>
      </c>
      <c r="GC5" t="s">
        <v>1603</v>
      </c>
      <c r="GD5">
        <v>2025</v>
      </c>
      <c r="GE5" t="s">
        <v>2384</v>
      </c>
      <c r="GF5" s="6">
        <v>45813</v>
      </c>
      <c r="GG5">
        <v>5</v>
      </c>
      <c r="GH5">
        <v>2839702.74</v>
      </c>
      <c r="GI5">
        <v>115705</v>
      </c>
      <c r="GJ5" t="s">
        <v>2385</v>
      </c>
      <c r="GM5" t="str">
        <f>_xll.BDS("LBRDA US Equity","SUPPLY_CHAIN_CUSTOMERS_ALL_DATA","cols=12;rows=4")</f>
        <v>2056675D MM Equity</v>
      </c>
      <c r="GN5">
        <v>-2.4245362661989844E-14</v>
      </c>
      <c r="GP5">
        <v>-2.4245362661989844E-14</v>
      </c>
      <c r="GQ5" t="s">
        <v>1594</v>
      </c>
      <c r="GR5">
        <v>2025</v>
      </c>
      <c r="GS5" t="s">
        <v>2805</v>
      </c>
      <c r="GT5" s="6">
        <v>46058</v>
      </c>
      <c r="GU5">
        <v>4</v>
      </c>
      <c r="GV5">
        <v>-2.4245362661989844E-14</v>
      </c>
      <c r="GW5">
        <v>70131149</v>
      </c>
      <c r="GX5" t="s">
        <v>2806</v>
      </c>
      <c r="HC5" t="str">
        <f>_xll.BDS("FE US Equity","SUPPLY_CHAIN_SUPPLIERS_ALL_DATA","cols=12;rows=5")</f>
        <v>PWR US Equity</v>
      </c>
      <c r="HD5" t="s">
        <v>1634</v>
      </c>
      <c r="HE5">
        <v>1.5301670000000001</v>
      </c>
      <c r="HF5">
        <v>8.8733500000000003</v>
      </c>
      <c r="HG5" t="s">
        <v>1599</v>
      </c>
      <c r="HH5">
        <v>2025</v>
      </c>
      <c r="HI5" t="s">
        <v>2321</v>
      </c>
      <c r="HJ5" s="6">
        <v>45975</v>
      </c>
      <c r="HK5">
        <v>5</v>
      </c>
      <c r="HL5">
        <v>116773288</v>
      </c>
      <c r="HM5">
        <v>305366</v>
      </c>
      <c r="HN5" t="s">
        <v>2322</v>
      </c>
      <c r="HQ5" t="str">
        <f>_xll.BDS("FE US Equity","SUPPLY_CHAIN_CUSTOMERS_ALL_DATA","cols=12;rows=5")</f>
        <v>0058754D US Equity</v>
      </c>
      <c r="HR5">
        <v>-2.4245362661989844E-14</v>
      </c>
      <c r="HT5">
        <v>-2.4245362661989844E-14</v>
      </c>
      <c r="HU5" t="s">
        <v>1594</v>
      </c>
      <c r="HV5">
        <v>2021</v>
      </c>
      <c r="HW5" t="s">
        <v>3048</v>
      </c>
      <c r="HX5" s="6">
        <v>44693</v>
      </c>
      <c r="HY5">
        <v>5</v>
      </c>
      <c r="HZ5">
        <v>-2.4245362661989844E-14</v>
      </c>
      <c r="IA5">
        <v>17257741</v>
      </c>
      <c r="IB5" t="s">
        <v>4449</v>
      </c>
      <c r="IG5" t="str">
        <f>_xll.BDS("CAG US Equity","SUPPLY_CHAIN_SUPPLIERS_ALL_DATA","cols=12;rows=5")</f>
        <v>AMCR US Equity</v>
      </c>
      <c r="IH5" t="s">
        <v>1598</v>
      </c>
      <c r="II5">
        <v>0.77134499999999995</v>
      </c>
      <c r="IJ5">
        <v>1.952799</v>
      </c>
      <c r="IK5" t="s">
        <v>1664</v>
      </c>
      <c r="IL5">
        <v>2026</v>
      </c>
      <c r="IM5" t="s">
        <v>2336</v>
      </c>
      <c r="IN5" s="6">
        <v>46071</v>
      </c>
      <c r="IO5">
        <v>5</v>
      </c>
      <c r="IP5">
        <v>42030588</v>
      </c>
      <c r="IQ5">
        <v>61417091</v>
      </c>
      <c r="IR5" t="s">
        <v>2337</v>
      </c>
      <c r="IU5" t="str">
        <f>_xll.BDS("CAG US Equity","SUPPLY_CHAIN_CUSTOMERS_ALL_DATA","cols=12;rows=5")</f>
        <v>WMT US Equity</v>
      </c>
      <c r="IV5">
        <v>29</v>
      </c>
      <c r="IW5" t="s">
        <v>1598</v>
      </c>
      <c r="IX5">
        <v>0.65440100000000001</v>
      </c>
      <c r="IY5" t="s">
        <v>1594</v>
      </c>
      <c r="IZ5">
        <v>2025</v>
      </c>
      <c r="JA5" t="s">
        <v>2709</v>
      </c>
      <c r="JB5" s="6">
        <v>45848</v>
      </c>
      <c r="JC5">
        <v>5</v>
      </c>
      <c r="JD5">
        <v>841928000</v>
      </c>
      <c r="JE5">
        <v>101616</v>
      </c>
      <c r="JF5" t="s">
        <v>1666</v>
      </c>
      <c r="JK5" t="str">
        <f>_xll.BDS("KMI US Equity","SUPPLY_CHAIN_SUPPLIERS_ALL_DATA","cols=12;rows=5")</f>
        <v>PWR US Equity</v>
      </c>
      <c r="JL5" t="s">
        <v>1634</v>
      </c>
      <c r="JM5">
        <v>0.33276499999999998</v>
      </c>
      <c r="JN5">
        <v>3.2023519999999999</v>
      </c>
      <c r="JO5" t="s">
        <v>1599</v>
      </c>
      <c r="JP5">
        <v>2025</v>
      </c>
      <c r="JQ5" t="s">
        <v>2321</v>
      </c>
      <c r="JR5" s="6">
        <v>45975</v>
      </c>
      <c r="JS5">
        <v>5</v>
      </c>
      <c r="JT5">
        <v>25394656</v>
      </c>
      <c r="JU5">
        <v>305366</v>
      </c>
      <c r="JV5" t="s">
        <v>2322</v>
      </c>
      <c r="JY5" t="str">
        <f>_xll.BDS("KMI US Equity","SUPPLY_CHAIN_CUSTOMERS_ALL_DATA","cols=12;rows=5")</f>
        <v>TX US Equity</v>
      </c>
      <c r="JZ5">
        <v>0.29628300000000002</v>
      </c>
      <c r="KA5" t="s">
        <v>1598</v>
      </c>
      <c r="KB5">
        <v>0.33289200000000002</v>
      </c>
      <c r="KC5" t="s">
        <v>1599</v>
      </c>
      <c r="KD5">
        <v>2025</v>
      </c>
      <c r="KE5" t="s">
        <v>4729</v>
      </c>
      <c r="KF5" s="6">
        <v>45959</v>
      </c>
      <c r="KG5">
        <v>5</v>
      </c>
      <c r="KH5">
        <v>12283901</v>
      </c>
      <c r="KI5">
        <v>10106947</v>
      </c>
      <c r="KJ5" t="s">
        <v>4730</v>
      </c>
      <c r="KO5" t="str">
        <f>_xll.BDS("GILD US Equity","SUPPLY_CHAIN_SUPPLIERS_ALL_DATA","cols=12;rows=5")</f>
        <v>JNJ US Equity</v>
      </c>
      <c r="KP5" t="s">
        <v>1598</v>
      </c>
      <c r="KQ5">
        <v>0.39174900000000001</v>
      </c>
      <c r="KR5">
        <v>5.9191529999999997</v>
      </c>
      <c r="KS5" t="s">
        <v>1594</v>
      </c>
      <c r="KT5">
        <v>2025</v>
      </c>
      <c r="KU5" t="s">
        <v>2373</v>
      </c>
      <c r="KV5" s="6">
        <v>46077</v>
      </c>
      <c r="KW5">
        <v>5</v>
      </c>
      <c r="KX5">
        <v>92250000</v>
      </c>
      <c r="KY5">
        <v>100828</v>
      </c>
      <c r="KZ5" t="s">
        <v>1865</v>
      </c>
      <c r="LC5" t="str">
        <f>_xll.BDS("GILD US Equity","SUPPLY_CHAIN_CUSTOMERS_ALL_DATA","cols=12;rows=5")</f>
        <v>CAH US Equity</v>
      </c>
      <c r="LD5">
        <v>29</v>
      </c>
      <c r="LE5" t="s">
        <v>1598</v>
      </c>
      <c r="LF5">
        <v>3.6236459999999999</v>
      </c>
      <c r="LG5" t="s">
        <v>1594</v>
      </c>
      <c r="LH5">
        <v>2025</v>
      </c>
      <c r="LI5" t="s">
        <v>2373</v>
      </c>
      <c r="LJ5" s="6">
        <v>46077</v>
      </c>
      <c r="LK5">
        <v>5</v>
      </c>
      <c r="LL5">
        <v>2134617472</v>
      </c>
      <c r="LM5">
        <v>102782</v>
      </c>
      <c r="LN5" t="s">
        <v>1626</v>
      </c>
      <c r="LS5" t="str">
        <f>_xll.BDS("nan Equity","SUPPLY_CHAIN_SUPPLIERS_ALL_DATA")</f>
        <v>#N/A N/A</v>
      </c>
      <c r="MG5" t="str">
        <f>_xll.BDS("nan Equity","SUPPLY_CHAIN_CUSTOMERS_ALL_DATA")</f>
        <v>#N/A N/A</v>
      </c>
      <c r="MW5" t="str">
        <f>_xll.BDS("VST US Equity","SUPPLY_CHAIN_SUPPLIERS_ALL_DATA","cols=12;rows=5")</f>
        <v>CNP US Equity</v>
      </c>
      <c r="MX5" t="s">
        <v>1598</v>
      </c>
      <c r="MY5">
        <v>6.9998839999999998</v>
      </c>
      <c r="MZ5">
        <v>8.2616409999999991</v>
      </c>
      <c r="NA5" t="s">
        <v>1594</v>
      </c>
      <c r="NB5">
        <v>2024</v>
      </c>
      <c r="NC5" t="s">
        <v>2029</v>
      </c>
      <c r="ND5" s="6">
        <v>45708</v>
      </c>
      <c r="NE5">
        <v>5</v>
      </c>
      <c r="NF5">
        <v>151250000</v>
      </c>
      <c r="NG5">
        <v>100760</v>
      </c>
      <c r="NH5" t="s">
        <v>2155</v>
      </c>
      <c r="NK5" t="str">
        <f>_xll.BDS("VST US Equity","SUPPLY_CHAIN_CUSTOMERS_ALL_DATA","cols=12;rows=5")</f>
        <v>172048Z US Equity</v>
      </c>
      <c r="NL5">
        <v>-2.4245362661989844E-14</v>
      </c>
      <c r="NN5">
        <v>-2.4245362661989844E-14</v>
      </c>
      <c r="NO5" t="s">
        <v>1594</v>
      </c>
      <c r="NP5">
        <v>2023</v>
      </c>
      <c r="NQ5" t="s">
        <v>6041</v>
      </c>
      <c r="NR5" s="6">
        <v>45229</v>
      </c>
      <c r="NS5">
        <v>5</v>
      </c>
      <c r="NT5">
        <v>-2.4245362661989844E-14</v>
      </c>
      <c r="NU5">
        <v>1416917</v>
      </c>
      <c r="NV5" t="s">
        <v>4313</v>
      </c>
      <c r="OA5" t="str">
        <f>_xll.BDS("653707Q US Equity","SUPPLY_CHAIN_SUPPLIERS_ALL_DATA")</f>
        <v>#N/A N/A</v>
      </c>
      <c r="OO5" t="str">
        <f>_xll.BDS("653707Q US Equity","SUPPLY_CHAIN_CUSTOMERS_ALL_DATA")</f>
        <v>#N/A N/A</v>
      </c>
      <c r="PE5" t="str">
        <f>_xll.BDS("PFE US Equity","SUPPLY_CHAIN_SUPPLIERS_ALL_DATA","cols=12;rows=5")</f>
        <v>BNTX US Equity</v>
      </c>
      <c r="PF5" t="s">
        <v>1598</v>
      </c>
      <c r="PG5">
        <v>73</v>
      </c>
      <c r="PH5">
        <v>12.187704999999999</v>
      </c>
      <c r="PI5" t="s">
        <v>1594</v>
      </c>
      <c r="PJ5">
        <v>2024</v>
      </c>
      <c r="PK5" t="s">
        <v>3345</v>
      </c>
      <c r="PL5" s="6">
        <v>45726</v>
      </c>
      <c r="PM5">
        <v>5</v>
      </c>
      <c r="PN5">
        <v>544064265</v>
      </c>
      <c r="PO5">
        <v>65839686</v>
      </c>
      <c r="PP5" t="s">
        <v>3346</v>
      </c>
      <c r="PS5" t="str">
        <f>_xll.BDS("PFE US Equity","SUPPLY_CHAIN_CUSTOMERS_ALL_DATA","cols=12;rows=5")</f>
        <v>MCK US Equity</v>
      </c>
      <c r="PT5">
        <v>25</v>
      </c>
      <c r="PU5" t="s">
        <v>1598</v>
      </c>
      <c r="PV5">
        <v>4.0761390000000004</v>
      </c>
      <c r="PW5" t="s">
        <v>1594</v>
      </c>
      <c r="PX5">
        <v>2025</v>
      </c>
      <c r="PY5" t="s">
        <v>2824</v>
      </c>
      <c r="PZ5" s="6">
        <v>46079</v>
      </c>
      <c r="QA5">
        <v>5</v>
      </c>
      <c r="QB5">
        <v>3911187456</v>
      </c>
      <c r="QC5">
        <v>154936</v>
      </c>
      <c r="QD5" t="s">
        <v>1766</v>
      </c>
      <c r="QI5" t="str">
        <f>_xll.BDS("680884Q US Equity","SUPPLY_CHAIN_SUPPLIERS_ALL_DATA")</f>
        <v>#N/A N/A</v>
      </c>
      <c r="QW5" t="str">
        <f>_xll.BDS("680884Q US Equity","SUPPLY_CHAIN_CUSTOMERS_ALL_DATA")</f>
        <v>#N/A N/A</v>
      </c>
      <c r="RM5" t="str">
        <f>_xll.BDS("MS US Equity","SUPPLY_CHAIN_SUPPLIERS_ALL_DATA","cols=12;rows=5")</f>
        <v>DLR US Equity</v>
      </c>
      <c r="RN5" t="s">
        <v>1685</v>
      </c>
      <c r="RO5">
        <v>0.65346000000000004</v>
      </c>
      <c r="RP5">
        <v>9.1481999999999994E-2</v>
      </c>
      <c r="RQ5" t="s">
        <v>1594</v>
      </c>
      <c r="RR5">
        <v>2025</v>
      </c>
      <c r="RS5" t="s">
        <v>2044</v>
      </c>
      <c r="RT5" s="6">
        <v>46066</v>
      </c>
      <c r="RU5">
        <v>5</v>
      </c>
      <c r="RV5">
        <v>9986000</v>
      </c>
      <c r="RW5">
        <v>9084002</v>
      </c>
      <c r="RX5" t="s">
        <v>2045</v>
      </c>
      <c r="SA5" t="str">
        <f>_xll.BDS("MS US Equity","SUPPLY_CHAIN_CUSTOMERS_ALL_DATA","cols=12;rows=5")</f>
        <v>012690 KS Equity</v>
      </c>
      <c r="SB5">
        <v>-2.4245362661989844E-14</v>
      </c>
      <c r="SD5">
        <v>-2.4245362661989844E-14</v>
      </c>
      <c r="SE5" t="s">
        <v>2438</v>
      </c>
      <c r="SF5">
        <v>2023</v>
      </c>
      <c r="SG5" t="s">
        <v>2715</v>
      </c>
      <c r="SH5" s="6">
        <v>45061</v>
      </c>
      <c r="SI5">
        <v>5</v>
      </c>
      <c r="SJ5">
        <v>-2.4245362661989844E-14</v>
      </c>
      <c r="SK5">
        <v>129275</v>
      </c>
      <c r="SL5" t="s">
        <v>2716</v>
      </c>
      <c r="SQ5" t="str">
        <f>_xll.BDS("nan Equity","SUPPLY_CHAIN_SUPPLIERS_ALL_DATA")</f>
        <v>#N/A N/A</v>
      </c>
      <c r="TE5" t="str">
        <f>_xll.BDS("nan Equity","SUPPLY_CHAIN_CUSTOMERS_ALL_DATA")</f>
        <v>#N/A N/A</v>
      </c>
      <c r="TU5" t="str">
        <f>_xll.BDS("BRK/A US Equity","SUPPLY_CHAIN_SUPPLIERS_ALL_DATA","cols=12;rows=5")</f>
        <v>HSY US Equity</v>
      </c>
      <c r="TV5" t="s">
        <v>1598</v>
      </c>
      <c r="TW5">
        <v>27</v>
      </c>
      <c r="TX5">
        <v>1.2151259999999999</v>
      </c>
      <c r="TY5" t="s">
        <v>1594</v>
      </c>
      <c r="TZ5">
        <v>2025</v>
      </c>
      <c r="UA5" t="s">
        <v>3395</v>
      </c>
      <c r="UB5" s="6">
        <v>46070</v>
      </c>
      <c r="UC5">
        <v>5</v>
      </c>
      <c r="UD5">
        <v>789248896</v>
      </c>
      <c r="UE5">
        <v>100731</v>
      </c>
      <c r="UF5" t="s">
        <v>3396</v>
      </c>
      <c r="UI5" t="str">
        <f>_xll.BDS("BRK/A US Equity","SUPPLY_CHAIN_CUSTOMERS_ALL_DATA","cols=12;rows=5")</f>
        <v>WMT US Equity</v>
      </c>
      <c r="UJ5">
        <v>2.1167449999999999</v>
      </c>
      <c r="UK5" t="s">
        <v>1598</v>
      </c>
      <c r="UL5">
        <v>1.7547349999999999</v>
      </c>
      <c r="UM5" t="s">
        <v>1594</v>
      </c>
      <c r="UN5">
        <v>2024</v>
      </c>
      <c r="UO5" t="s">
        <v>2944</v>
      </c>
      <c r="UP5" s="6">
        <v>45712</v>
      </c>
      <c r="UQ5">
        <v>5</v>
      </c>
      <c r="UR5">
        <v>2244977664</v>
      </c>
      <c r="US5">
        <v>101616</v>
      </c>
      <c r="UT5" t="s">
        <v>1666</v>
      </c>
      <c r="UY5" t="str">
        <f>_xll.BDS("ICE US Equity","SUPPLY_CHAIN_SUPPLIERS_ALL_DATA","cols=12;rows=5")</f>
        <v>EXTR US Equity</v>
      </c>
      <c r="UZ5" t="s">
        <v>1634</v>
      </c>
      <c r="VA5">
        <v>5.5591000000000002E-2</v>
      </c>
      <c r="VB5">
        <v>0.102052</v>
      </c>
      <c r="VC5" t="s">
        <v>1603</v>
      </c>
      <c r="VD5">
        <v>2026</v>
      </c>
      <c r="VE5" t="s">
        <v>3051</v>
      </c>
      <c r="VF5" s="6">
        <v>46049</v>
      </c>
      <c r="VG5">
        <v>5</v>
      </c>
      <c r="VH5">
        <v>172468</v>
      </c>
      <c r="VI5">
        <v>386537</v>
      </c>
      <c r="VJ5" t="s">
        <v>3052</v>
      </c>
      <c r="VM5" t="str">
        <f>_xll.BDS("ICE US Equity","SUPPLY_CHAIN_CUSTOMERS_ALL_DATA","cols=12;rows=1")</f>
        <v>9877206Z US Equity</v>
      </c>
      <c r="VN5">
        <v>-2.4245362661989844E-14</v>
      </c>
      <c r="VP5">
        <v>-2.4245362661989844E-14</v>
      </c>
      <c r="VQ5" t="s">
        <v>1594</v>
      </c>
      <c r="VR5">
        <v>2024</v>
      </c>
      <c r="VS5" t="s">
        <v>5120</v>
      </c>
      <c r="VT5" s="6">
        <v>45307</v>
      </c>
      <c r="VU5">
        <v>1</v>
      </c>
      <c r="VV5">
        <v>-2.4245362661989844E-14</v>
      </c>
      <c r="VW5">
        <v>19889317</v>
      </c>
      <c r="VX5" t="s">
        <v>5344</v>
      </c>
    </row>
    <row r="6" spans="1:600" x14ac:dyDescent="0.25">
      <c r="A6" t="s">
        <v>5264</v>
      </c>
      <c r="C6">
        <v>-2.4245362661989844E-14</v>
      </c>
      <c r="D6">
        <v>-2.4245362661989844E-14</v>
      </c>
      <c r="E6" t="s">
        <v>1594</v>
      </c>
      <c r="F6">
        <v>2023</v>
      </c>
      <c r="G6" t="s">
        <v>5265</v>
      </c>
      <c r="H6" s="6">
        <v>45180</v>
      </c>
      <c r="I6">
        <v>5</v>
      </c>
      <c r="J6">
        <v>-2.4245362661989844E-14</v>
      </c>
      <c r="K6">
        <v>61989641</v>
      </c>
      <c r="L6" t="s">
        <v>5266</v>
      </c>
      <c r="O6" t="s">
        <v>2788</v>
      </c>
      <c r="P6">
        <v>-2.4245362661989844E-14</v>
      </c>
      <c r="R6">
        <v>-2.4245362661989844E-14</v>
      </c>
      <c r="S6" t="s">
        <v>1594</v>
      </c>
      <c r="T6">
        <v>2024</v>
      </c>
      <c r="U6" t="s">
        <v>2789</v>
      </c>
      <c r="V6" s="6">
        <v>45706</v>
      </c>
      <c r="W6">
        <v>5</v>
      </c>
      <c r="X6">
        <v>-2.4245362661989844E-14</v>
      </c>
      <c r="Y6">
        <v>9152706</v>
      </c>
      <c r="Z6" t="s">
        <v>2790</v>
      </c>
      <c r="AE6" t="s">
        <v>3937</v>
      </c>
      <c r="AF6" t="s">
        <v>1598</v>
      </c>
      <c r="AG6">
        <v>38.349643999999998</v>
      </c>
      <c r="AH6">
        <v>2.6183679999999998</v>
      </c>
      <c r="AI6" t="s">
        <v>1594</v>
      </c>
      <c r="AJ6">
        <v>2025</v>
      </c>
      <c r="AK6" t="s">
        <v>3938</v>
      </c>
      <c r="AL6" s="6">
        <v>46063</v>
      </c>
      <c r="AM6">
        <v>5</v>
      </c>
      <c r="AN6">
        <v>725000000</v>
      </c>
      <c r="AO6">
        <v>100948</v>
      </c>
      <c r="AP6" t="s">
        <v>3939</v>
      </c>
      <c r="AS6" t="s">
        <v>5041</v>
      </c>
      <c r="AT6">
        <v>-2.4245362661989844E-14</v>
      </c>
      <c r="AV6">
        <v>-2.4245362661989844E-14</v>
      </c>
      <c r="AW6" t="s">
        <v>1792</v>
      </c>
      <c r="AX6">
        <v>2025</v>
      </c>
      <c r="AY6" t="s">
        <v>5042</v>
      </c>
      <c r="AZ6" s="6">
        <v>45884</v>
      </c>
      <c r="BA6">
        <v>5</v>
      </c>
      <c r="BB6">
        <v>-2.4245362661989844E-14</v>
      </c>
      <c r="BC6">
        <v>64444291</v>
      </c>
      <c r="BD6" t="s">
        <v>5043</v>
      </c>
      <c r="BI6" t="s">
        <v>178</v>
      </c>
      <c r="BJ6" t="s">
        <v>1598</v>
      </c>
      <c r="BK6">
        <v>1.2899000000000001E-2</v>
      </c>
      <c r="BL6">
        <v>0.213559</v>
      </c>
      <c r="BM6" t="s">
        <v>1599</v>
      </c>
      <c r="BN6">
        <v>2025</v>
      </c>
      <c r="BO6" t="s">
        <v>1735</v>
      </c>
      <c r="BP6" s="6">
        <v>45843</v>
      </c>
      <c r="BQ6">
        <v>5</v>
      </c>
      <c r="BR6">
        <v>9037813</v>
      </c>
      <c r="BS6">
        <v>101743</v>
      </c>
      <c r="BT6" t="s">
        <v>1736</v>
      </c>
      <c r="BW6" t="s">
        <v>4399</v>
      </c>
      <c r="BX6">
        <v>-2.4245362661989844E-14</v>
      </c>
      <c r="BZ6">
        <v>-2.4245362661989844E-14</v>
      </c>
      <c r="CA6" t="s">
        <v>1599</v>
      </c>
      <c r="CB6">
        <v>2025</v>
      </c>
      <c r="CC6" t="s">
        <v>4400</v>
      </c>
      <c r="CD6" s="6">
        <v>45966</v>
      </c>
      <c r="CE6">
        <v>2</v>
      </c>
      <c r="CF6">
        <v>-2.4245362661989844E-14</v>
      </c>
      <c r="CG6">
        <v>38748702</v>
      </c>
      <c r="CH6" t="s">
        <v>4401</v>
      </c>
      <c r="CM6" t="s">
        <v>2120</v>
      </c>
      <c r="CN6" t="s">
        <v>1598</v>
      </c>
      <c r="CO6">
        <v>25.6</v>
      </c>
      <c r="CP6">
        <v>5.8001680000000002</v>
      </c>
      <c r="CQ6" t="s">
        <v>1594</v>
      </c>
      <c r="CR6">
        <v>2025</v>
      </c>
      <c r="CS6" t="s">
        <v>2121</v>
      </c>
      <c r="CT6" s="6">
        <v>45827</v>
      </c>
      <c r="CU6">
        <v>5</v>
      </c>
      <c r="CV6">
        <v>204217368.44999999</v>
      </c>
      <c r="CW6">
        <v>114514</v>
      </c>
      <c r="CX6" t="s">
        <v>2122</v>
      </c>
      <c r="DA6" t="s">
        <v>959</v>
      </c>
      <c r="DB6">
        <v>29</v>
      </c>
      <c r="DC6" t="s">
        <v>1598</v>
      </c>
      <c r="DD6">
        <v>4.4540850000000001</v>
      </c>
      <c r="DE6" t="s">
        <v>1594</v>
      </c>
      <c r="DF6">
        <v>2025</v>
      </c>
      <c r="DG6" t="s">
        <v>1765</v>
      </c>
      <c r="DH6" s="6">
        <v>46064</v>
      </c>
      <c r="DI6">
        <v>5</v>
      </c>
      <c r="DJ6">
        <v>3494064896</v>
      </c>
      <c r="DK6">
        <v>156969</v>
      </c>
      <c r="DL6" t="s">
        <v>1767</v>
      </c>
      <c r="DQ6" t="s">
        <v>143</v>
      </c>
      <c r="DR6" t="s">
        <v>1598</v>
      </c>
      <c r="DS6">
        <v>0.22900000000000001</v>
      </c>
      <c r="DT6">
        <v>1.2800659999999999</v>
      </c>
      <c r="DU6" t="s">
        <v>1606</v>
      </c>
      <c r="DV6">
        <v>2025</v>
      </c>
      <c r="DW6" t="s">
        <v>2251</v>
      </c>
      <c r="DX6" s="6">
        <v>45848</v>
      </c>
      <c r="DY6">
        <v>5</v>
      </c>
      <c r="DZ6">
        <v>36417872</v>
      </c>
      <c r="EA6">
        <v>101752</v>
      </c>
      <c r="EB6" t="s">
        <v>2265</v>
      </c>
      <c r="EE6" t="s">
        <v>959</v>
      </c>
      <c r="EF6">
        <v>16</v>
      </c>
      <c r="EG6" t="s">
        <v>1598</v>
      </c>
      <c r="EH6">
        <v>3.190922</v>
      </c>
      <c r="EI6" t="s">
        <v>1594</v>
      </c>
      <c r="EJ6">
        <v>2025</v>
      </c>
      <c r="EK6" t="s">
        <v>2824</v>
      </c>
      <c r="EL6" s="6">
        <v>46079</v>
      </c>
      <c r="EM6">
        <v>5</v>
      </c>
      <c r="EN6">
        <v>2503160064</v>
      </c>
      <c r="EO6">
        <v>156969</v>
      </c>
      <c r="EP6" t="s">
        <v>1767</v>
      </c>
      <c r="EU6" t="s">
        <v>240</v>
      </c>
      <c r="EV6" t="s">
        <v>1598</v>
      </c>
      <c r="EW6">
        <v>0.57338800000000001</v>
      </c>
      <c r="EX6">
        <v>3.5686900000000001</v>
      </c>
      <c r="EY6" t="s">
        <v>1599</v>
      </c>
      <c r="EZ6">
        <v>2025</v>
      </c>
      <c r="FA6" t="s">
        <v>2219</v>
      </c>
      <c r="FB6" s="6">
        <v>46018</v>
      </c>
      <c r="FC6">
        <v>5</v>
      </c>
      <c r="FD6">
        <v>137572976</v>
      </c>
      <c r="FE6">
        <v>100828</v>
      </c>
      <c r="FF6" t="s">
        <v>1865</v>
      </c>
      <c r="FI6" t="s">
        <v>277</v>
      </c>
      <c r="FJ6">
        <v>9.6462509999999995</v>
      </c>
      <c r="FK6" t="s">
        <v>1598</v>
      </c>
      <c r="FL6">
        <v>2.2510729999999999</v>
      </c>
      <c r="FM6" t="s">
        <v>1599</v>
      </c>
      <c r="FN6">
        <v>2025</v>
      </c>
      <c r="FO6" t="s">
        <v>5050</v>
      </c>
      <c r="FP6" s="6">
        <v>45985</v>
      </c>
      <c r="FQ6">
        <v>5</v>
      </c>
      <c r="FR6">
        <v>1666486272</v>
      </c>
      <c r="FS6">
        <v>154936</v>
      </c>
      <c r="FT6" t="s">
        <v>1766</v>
      </c>
      <c r="FY6" t="s">
        <v>3333</v>
      </c>
      <c r="FZ6" t="s">
        <v>1685</v>
      </c>
      <c r="GA6">
        <v>4.6085000000000001E-2</v>
      </c>
      <c r="GB6">
        <v>0.111396</v>
      </c>
      <c r="GC6" t="s">
        <v>1606</v>
      </c>
      <c r="GD6">
        <v>2024</v>
      </c>
      <c r="GE6" t="s">
        <v>3334</v>
      </c>
      <c r="GF6" s="6">
        <v>45776</v>
      </c>
      <c r="GG6">
        <v>5</v>
      </c>
      <c r="GH6">
        <v>145929</v>
      </c>
      <c r="GI6">
        <v>171490</v>
      </c>
      <c r="GJ6" t="s">
        <v>3335</v>
      </c>
      <c r="GM6" t="s">
        <v>2807</v>
      </c>
      <c r="GN6">
        <v>-2.4245362661989844E-14</v>
      </c>
      <c r="GP6">
        <v>-2.4245362661989844E-14</v>
      </c>
      <c r="GQ6" t="s">
        <v>1594</v>
      </c>
      <c r="GR6">
        <v>2025</v>
      </c>
      <c r="GS6" t="s">
        <v>2805</v>
      </c>
      <c r="GT6" s="6">
        <v>46058</v>
      </c>
      <c r="GU6">
        <v>4</v>
      </c>
      <c r="GV6">
        <v>-2.4245362661989844E-14</v>
      </c>
      <c r="GW6">
        <v>300948</v>
      </c>
      <c r="GX6" t="s">
        <v>2808</v>
      </c>
      <c r="HC6" t="s">
        <v>3820</v>
      </c>
      <c r="HD6" t="s">
        <v>1598</v>
      </c>
      <c r="HE6">
        <v>1.5375920000000001</v>
      </c>
      <c r="HF6">
        <v>3.5397159999999999</v>
      </c>
      <c r="HG6" t="s">
        <v>1603</v>
      </c>
      <c r="HH6">
        <v>2025</v>
      </c>
      <c r="HI6" t="s">
        <v>3821</v>
      </c>
      <c r="HJ6" s="6">
        <v>45849</v>
      </c>
      <c r="HK6">
        <v>5</v>
      </c>
      <c r="HL6">
        <v>43786284</v>
      </c>
      <c r="HM6">
        <v>102595</v>
      </c>
      <c r="HN6" t="s">
        <v>3822</v>
      </c>
      <c r="HQ6" t="s">
        <v>4450</v>
      </c>
      <c r="HR6">
        <v>-2.4245362661989844E-14</v>
      </c>
      <c r="HT6">
        <v>-2.4245362661989844E-14</v>
      </c>
      <c r="HU6" t="s">
        <v>1594</v>
      </c>
      <c r="HV6">
        <v>2021</v>
      </c>
      <c r="HW6" t="s">
        <v>3048</v>
      </c>
      <c r="HX6" s="6">
        <v>44693</v>
      </c>
      <c r="HY6">
        <v>5</v>
      </c>
      <c r="HZ6">
        <v>-2.4245362661989844E-14</v>
      </c>
      <c r="IA6">
        <v>307627</v>
      </c>
      <c r="IB6" t="s">
        <v>4451</v>
      </c>
      <c r="IG6" t="s">
        <v>3599</v>
      </c>
      <c r="IH6" t="s">
        <v>1598</v>
      </c>
      <c r="II6">
        <v>0.88658599999999999</v>
      </c>
      <c r="IJ6">
        <v>1.5828880000000001</v>
      </c>
      <c r="IK6" t="s">
        <v>1599</v>
      </c>
      <c r="IL6">
        <v>2024</v>
      </c>
      <c r="IM6" t="s">
        <v>3600</v>
      </c>
      <c r="IN6" s="6">
        <v>45686</v>
      </c>
      <c r="IO6">
        <v>5</v>
      </c>
      <c r="IP6">
        <v>34497060</v>
      </c>
      <c r="IQ6">
        <v>12271051</v>
      </c>
      <c r="IR6" t="s">
        <v>3601</v>
      </c>
      <c r="IU6" t="s">
        <v>311</v>
      </c>
      <c r="IV6">
        <v>5.1173909999999996</v>
      </c>
      <c r="IW6" t="s">
        <v>1598</v>
      </c>
      <c r="IX6">
        <v>0.57236200000000004</v>
      </c>
      <c r="IY6" t="s">
        <v>1664</v>
      </c>
      <c r="IZ6">
        <v>2026</v>
      </c>
      <c r="JA6" t="s">
        <v>2710</v>
      </c>
      <c r="JB6" s="6">
        <v>46020</v>
      </c>
      <c r="JC6">
        <v>5</v>
      </c>
      <c r="JD6">
        <v>148568096</v>
      </c>
      <c r="JE6">
        <v>100864</v>
      </c>
      <c r="JF6" t="s">
        <v>1668</v>
      </c>
      <c r="JK6" t="s">
        <v>2317</v>
      </c>
      <c r="JL6" t="s">
        <v>1598</v>
      </c>
      <c r="JM6">
        <v>1.424056</v>
      </c>
      <c r="JN6">
        <v>0.865734</v>
      </c>
      <c r="JO6" t="s">
        <v>1603</v>
      </c>
      <c r="JP6">
        <v>2025</v>
      </c>
      <c r="JQ6" t="s">
        <v>2318</v>
      </c>
      <c r="JR6" s="6">
        <v>45863</v>
      </c>
      <c r="JS6">
        <v>5</v>
      </c>
      <c r="JT6">
        <v>23470038</v>
      </c>
      <c r="JU6">
        <v>10832677</v>
      </c>
      <c r="JV6" t="s">
        <v>2319</v>
      </c>
      <c r="JY6" t="s">
        <v>2108</v>
      </c>
      <c r="JZ6">
        <v>-2.4245362661989844E-14</v>
      </c>
      <c r="KB6">
        <v>-2.4245362661989844E-14</v>
      </c>
      <c r="KC6" t="s">
        <v>1594</v>
      </c>
      <c r="KD6">
        <v>2024</v>
      </c>
      <c r="KE6" t="s">
        <v>4731</v>
      </c>
      <c r="KF6" s="6">
        <v>45734</v>
      </c>
      <c r="KG6">
        <v>5</v>
      </c>
      <c r="KH6">
        <v>-2.4245362661989844E-14</v>
      </c>
      <c r="KI6">
        <v>227699</v>
      </c>
      <c r="KJ6" t="s">
        <v>2110</v>
      </c>
      <c r="KO6" t="s">
        <v>4296</v>
      </c>
      <c r="KP6" t="s">
        <v>1598</v>
      </c>
      <c r="KQ6">
        <v>87.357474999999994</v>
      </c>
      <c r="KR6">
        <v>4.166086</v>
      </c>
      <c r="KS6" t="s">
        <v>1594</v>
      </c>
      <c r="KT6">
        <v>2024</v>
      </c>
      <c r="KU6" t="s">
        <v>4297</v>
      </c>
      <c r="KV6" s="6">
        <v>45744</v>
      </c>
      <c r="KW6">
        <v>5</v>
      </c>
      <c r="KX6">
        <v>65124360</v>
      </c>
      <c r="KY6">
        <v>1421851</v>
      </c>
      <c r="KZ6" t="s">
        <v>4298</v>
      </c>
      <c r="LC6" t="s">
        <v>277</v>
      </c>
      <c r="LD6">
        <v>24</v>
      </c>
      <c r="LE6" t="s">
        <v>1598</v>
      </c>
      <c r="LF6">
        <v>1.8410839999999999</v>
      </c>
      <c r="LG6" t="s">
        <v>1594</v>
      </c>
      <c r="LH6">
        <v>2025</v>
      </c>
      <c r="LI6" t="s">
        <v>2373</v>
      </c>
      <c r="LJ6" s="6">
        <v>46077</v>
      </c>
      <c r="LK6">
        <v>5</v>
      </c>
      <c r="LL6">
        <v>1766579968</v>
      </c>
      <c r="LM6">
        <v>154936</v>
      </c>
      <c r="LN6" t="s">
        <v>1766</v>
      </c>
      <c r="MW6" t="s">
        <v>4739</v>
      </c>
      <c r="MY6">
        <v>-2.4245362661989844E-14</v>
      </c>
      <c r="MZ6">
        <v>-2.4245362661989844E-14</v>
      </c>
      <c r="NA6" t="s">
        <v>1792</v>
      </c>
      <c r="NB6">
        <v>2025</v>
      </c>
      <c r="NC6" t="s">
        <v>4740</v>
      </c>
      <c r="ND6" s="6">
        <v>45974</v>
      </c>
      <c r="NE6">
        <v>5</v>
      </c>
      <c r="NF6">
        <v>-2.4245362661989844E-14</v>
      </c>
      <c r="NG6">
        <v>46181633</v>
      </c>
      <c r="NH6" t="s">
        <v>4741</v>
      </c>
      <c r="NK6" t="s">
        <v>6042</v>
      </c>
      <c r="NL6">
        <v>-2.4245362661989844E-14</v>
      </c>
      <c r="NN6">
        <v>-2.4245362661989844E-14</v>
      </c>
      <c r="NO6" t="s">
        <v>1594</v>
      </c>
      <c r="NP6">
        <v>2024</v>
      </c>
      <c r="NQ6" t="s">
        <v>6041</v>
      </c>
      <c r="NR6" s="6">
        <v>45331</v>
      </c>
      <c r="NS6">
        <v>5</v>
      </c>
      <c r="NT6">
        <v>-2.4245362661989844E-14</v>
      </c>
      <c r="NU6">
        <v>217811</v>
      </c>
      <c r="NV6" t="s">
        <v>6043</v>
      </c>
      <c r="PE6" t="s">
        <v>143</v>
      </c>
      <c r="PF6" t="s">
        <v>1598</v>
      </c>
      <c r="PG6">
        <v>0.22900000000000001</v>
      </c>
      <c r="PH6">
        <v>1.2800659999999999</v>
      </c>
      <c r="PI6" t="s">
        <v>1606</v>
      </c>
      <c r="PJ6">
        <v>2025</v>
      </c>
      <c r="PK6" t="s">
        <v>2251</v>
      </c>
      <c r="PL6" s="6">
        <v>45848</v>
      </c>
      <c r="PM6">
        <v>5</v>
      </c>
      <c r="PN6">
        <v>36417872</v>
      </c>
      <c r="PO6">
        <v>101752</v>
      </c>
      <c r="PP6" t="s">
        <v>2265</v>
      </c>
      <c r="PS6" t="s">
        <v>959</v>
      </c>
      <c r="PT6">
        <v>16</v>
      </c>
      <c r="PU6" t="s">
        <v>1598</v>
      </c>
      <c r="PV6">
        <v>3.190922</v>
      </c>
      <c r="PW6" t="s">
        <v>1594</v>
      </c>
      <c r="PX6">
        <v>2025</v>
      </c>
      <c r="PY6" t="s">
        <v>2824</v>
      </c>
      <c r="PZ6" s="6">
        <v>46079</v>
      </c>
      <c r="QA6">
        <v>5</v>
      </c>
      <c r="QB6">
        <v>2503160064</v>
      </c>
      <c r="QC6">
        <v>156969</v>
      </c>
      <c r="QD6" t="s">
        <v>1767</v>
      </c>
      <c r="RM6" t="s">
        <v>3082</v>
      </c>
      <c r="RN6" t="s">
        <v>1685</v>
      </c>
      <c r="RO6">
        <v>2.7101419999999998</v>
      </c>
      <c r="RP6">
        <v>5.1628E-2</v>
      </c>
      <c r="RQ6" t="s">
        <v>1594</v>
      </c>
      <c r="RR6">
        <v>2024</v>
      </c>
      <c r="RS6" t="s">
        <v>3083</v>
      </c>
      <c r="RT6" s="6">
        <v>45715</v>
      </c>
      <c r="RU6">
        <v>5</v>
      </c>
      <c r="RV6">
        <v>5132000</v>
      </c>
      <c r="RW6">
        <v>979463</v>
      </c>
      <c r="RX6" t="s">
        <v>3084</v>
      </c>
      <c r="SA6" t="s">
        <v>2717</v>
      </c>
      <c r="SB6">
        <v>-2.4245362661989844E-14</v>
      </c>
      <c r="SD6">
        <v>-2.4245362661989844E-14</v>
      </c>
      <c r="SE6" t="s">
        <v>1651</v>
      </c>
      <c r="SF6">
        <v>2023</v>
      </c>
      <c r="SG6" t="s">
        <v>2718</v>
      </c>
      <c r="SH6" s="6">
        <v>45244</v>
      </c>
      <c r="SI6">
        <v>5</v>
      </c>
      <c r="SJ6">
        <v>-2.4245362661989844E-14</v>
      </c>
      <c r="SK6">
        <v>866472</v>
      </c>
      <c r="SL6" t="s">
        <v>2719</v>
      </c>
      <c r="TU6" t="s">
        <v>3397</v>
      </c>
      <c r="TV6" t="s">
        <v>1634</v>
      </c>
      <c r="TW6">
        <v>6.6028770000000003</v>
      </c>
      <c r="TX6">
        <v>5.0506979999999997</v>
      </c>
      <c r="TY6" t="s">
        <v>1664</v>
      </c>
      <c r="TZ6">
        <v>2025</v>
      </c>
      <c r="UA6" t="s">
        <v>3398</v>
      </c>
      <c r="UB6" s="6">
        <v>45915</v>
      </c>
      <c r="UC6">
        <v>5</v>
      </c>
      <c r="UD6">
        <v>245362912</v>
      </c>
      <c r="UE6">
        <v>101464</v>
      </c>
      <c r="UF6" t="s">
        <v>3399</v>
      </c>
      <c r="UI6" t="s">
        <v>2492</v>
      </c>
      <c r="UJ6">
        <v>1.615089</v>
      </c>
      <c r="UK6" t="s">
        <v>1598</v>
      </c>
      <c r="UL6">
        <v>12.136977999999999</v>
      </c>
      <c r="UM6" t="s">
        <v>1594</v>
      </c>
      <c r="UN6">
        <v>2024</v>
      </c>
      <c r="UO6" t="s">
        <v>2944</v>
      </c>
      <c r="UP6" s="6">
        <v>45712</v>
      </c>
      <c r="UQ6">
        <v>5</v>
      </c>
      <c r="UR6">
        <v>1712931072</v>
      </c>
      <c r="US6">
        <v>9917432</v>
      </c>
      <c r="UT6" t="s">
        <v>2493</v>
      </c>
      <c r="UY6" t="s">
        <v>2341</v>
      </c>
      <c r="UZ6" t="s">
        <v>1598</v>
      </c>
      <c r="VA6">
        <v>1.3039E-2</v>
      </c>
      <c r="VB6">
        <v>1.2449999999999999E-2</v>
      </c>
      <c r="VC6" t="s">
        <v>1599</v>
      </c>
      <c r="VD6">
        <v>2025</v>
      </c>
      <c r="VE6" t="s">
        <v>2342</v>
      </c>
      <c r="VF6" s="6">
        <v>46042</v>
      </c>
      <c r="VG6">
        <v>5</v>
      </c>
      <c r="VH6">
        <v>154003</v>
      </c>
      <c r="VI6">
        <v>16555266</v>
      </c>
      <c r="VJ6" t="s">
        <v>2343</v>
      </c>
    </row>
    <row r="7" spans="1:600" x14ac:dyDescent="0.25">
      <c r="A7" t="s">
        <v>5267</v>
      </c>
      <c r="C7">
        <v>-2.4245362661989844E-14</v>
      </c>
      <c r="D7">
        <v>-2.4245362661989844E-14</v>
      </c>
      <c r="E7" t="s">
        <v>1664</v>
      </c>
      <c r="F7">
        <v>2025</v>
      </c>
      <c r="G7" t="s">
        <v>5268</v>
      </c>
      <c r="H7" s="6">
        <v>45635</v>
      </c>
      <c r="I7">
        <v>5</v>
      </c>
      <c r="J7">
        <v>-2.4245362661989844E-14</v>
      </c>
      <c r="K7">
        <v>69314473</v>
      </c>
      <c r="L7" t="s">
        <v>5269</v>
      </c>
      <c r="O7" t="s">
        <v>2791</v>
      </c>
      <c r="P7">
        <v>-2.4245362661989844E-14</v>
      </c>
      <c r="R7">
        <v>-2.4245362661989844E-14</v>
      </c>
      <c r="S7" t="s">
        <v>1594</v>
      </c>
      <c r="T7">
        <v>2024</v>
      </c>
      <c r="U7" t="s">
        <v>2792</v>
      </c>
      <c r="V7" s="6">
        <v>45715</v>
      </c>
      <c r="W7">
        <v>5</v>
      </c>
      <c r="X7">
        <v>-2.4245362661989844E-14</v>
      </c>
      <c r="Y7">
        <v>8898179</v>
      </c>
      <c r="Z7" t="s">
        <v>2793</v>
      </c>
      <c r="AE7" t="s">
        <v>839</v>
      </c>
      <c r="AF7" t="s">
        <v>1598</v>
      </c>
      <c r="AG7">
        <v>15</v>
      </c>
      <c r="AH7">
        <v>2.066656</v>
      </c>
      <c r="AI7" t="s">
        <v>1594</v>
      </c>
      <c r="AJ7">
        <v>2025</v>
      </c>
      <c r="AK7" t="s">
        <v>3940</v>
      </c>
      <c r="AL7" s="6">
        <v>46077</v>
      </c>
      <c r="AM7">
        <v>5</v>
      </c>
      <c r="AN7">
        <v>567390016</v>
      </c>
      <c r="AO7">
        <v>101397</v>
      </c>
      <c r="AP7" t="s">
        <v>3097</v>
      </c>
      <c r="AS7" t="s">
        <v>5044</v>
      </c>
      <c r="AT7">
        <v>-2.4245362661989844E-14</v>
      </c>
      <c r="AV7">
        <v>-2.4245362661989844E-14</v>
      </c>
      <c r="AW7" t="s">
        <v>1651</v>
      </c>
      <c r="AX7">
        <v>2025</v>
      </c>
      <c r="AY7" t="s">
        <v>5045</v>
      </c>
      <c r="AZ7" s="6">
        <v>45968</v>
      </c>
      <c r="BA7">
        <v>5</v>
      </c>
      <c r="BB7">
        <v>-2.4245362661989844E-14</v>
      </c>
      <c r="BC7">
        <v>197082</v>
      </c>
      <c r="BD7" t="s">
        <v>5046</v>
      </c>
      <c r="BI7" t="s">
        <v>1084</v>
      </c>
      <c r="BJ7" t="s">
        <v>1685</v>
      </c>
      <c r="BK7">
        <v>0.108861</v>
      </c>
      <c r="BL7">
        <v>0.15107300000000001</v>
      </c>
      <c r="BM7" t="s">
        <v>1664</v>
      </c>
      <c r="BN7">
        <v>2025</v>
      </c>
      <c r="BO7" t="s">
        <v>2052</v>
      </c>
      <c r="BP7" s="6">
        <v>45838</v>
      </c>
      <c r="BQ7">
        <v>5</v>
      </c>
      <c r="BR7">
        <v>6393407</v>
      </c>
      <c r="BS7">
        <v>101689</v>
      </c>
      <c r="BT7" t="s">
        <v>2053</v>
      </c>
      <c r="CM7" t="s">
        <v>2123</v>
      </c>
      <c r="CN7" t="s">
        <v>1598</v>
      </c>
      <c r="CO7">
        <v>91.610000999999997</v>
      </c>
      <c r="CP7">
        <v>5.3039319999999996</v>
      </c>
      <c r="CQ7" t="s">
        <v>1594</v>
      </c>
      <c r="CR7">
        <v>2024</v>
      </c>
      <c r="CS7" t="s">
        <v>2124</v>
      </c>
      <c r="CT7" s="6">
        <v>45744</v>
      </c>
      <c r="CU7">
        <v>5</v>
      </c>
      <c r="CV7">
        <v>185227362.65000001</v>
      </c>
      <c r="CW7">
        <v>41186103</v>
      </c>
      <c r="CX7" t="s">
        <v>2125</v>
      </c>
      <c r="DA7" t="s">
        <v>618</v>
      </c>
      <c r="DB7">
        <v>22</v>
      </c>
      <c r="DC7" t="s">
        <v>1598</v>
      </c>
      <c r="DD7">
        <v>4.4996770000000001</v>
      </c>
      <c r="DE7" t="s">
        <v>1594</v>
      </c>
      <c r="DF7">
        <v>2025</v>
      </c>
      <c r="DG7" t="s">
        <v>1765</v>
      </c>
      <c r="DH7" s="6">
        <v>46064</v>
      </c>
      <c r="DI7">
        <v>5</v>
      </c>
      <c r="DJ7">
        <v>2650670080</v>
      </c>
      <c r="DK7">
        <v>102782</v>
      </c>
      <c r="DL7" t="s">
        <v>1626</v>
      </c>
      <c r="DQ7" t="s">
        <v>3347</v>
      </c>
      <c r="DR7" t="s">
        <v>1598</v>
      </c>
      <c r="DS7">
        <v>3.7231350000000001</v>
      </c>
      <c r="DT7">
        <v>0.80518199999999995</v>
      </c>
      <c r="DU7" t="s">
        <v>1599</v>
      </c>
      <c r="DV7">
        <v>2025</v>
      </c>
      <c r="DW7" t="s">
        <v>3348</v>
      </c>
      <c r="DX7" s="6">
        <v>46069</v>
      </c>
      <c r="DY7">
        <v>5</v>
      </c>
      <c r="DZ7">
        <v>33600181.100000001</v>
      </c>
      <c r="EA7">
        <v>153809</v>
      </c>
      <c r="EB7" t="s">
        <v>3349</v>
      </c>
      <c r="EE7" t="s">
        <v>618</v>
      </c>
      <c r="EF7">
        <v>13</v>
      </c>
      <c r="EG7" t="s">
        <v>1598</v>
      </c>
      <c r="EH7">
        <v>3.4525320000000002</v>
      </c>
      <c r="EI7" t="s">
        <v>1594</v>
      </c>
      <c r="EJ7">
        <v>2025</v>
      </c>
      <c r="EK7" t="s">
        <v>2824</v>
      </c>
      <c r="EL7" s="6">
        <v>46079</v>
      </c>
      <c r="EM7">
        <v>5</v>
      </c>
      <c r="EN7">
        <v>2033817472</v>
      </c>
      <c r="EO7">
        <v>102782</v>
      </c>
      <c r="EP7" t="s">
        <v>1626</v>
      </c>
      <c r="EU7" t="s">
        <v>4870</v>
      </c>
      <c r="EV7" t="s">
        <v>1598</v>
      </c>
      <c r="EW7">
        <v>6.0908949999999997</v>
      </c>
      <c r="EX7">
        <v>2.5669719999999998</v>
      </c>
      <c r="EY7" t="s">
        <v>1594</v>
      </c>
      <c r="EZ7">
        <v>2024</v>
      </c>
      <c r="FA7" t="s">
        <v>4871</v>
      </c>
      <c r="FB7" s="6">
        <v>45713</v>
      </c>
      <c r="FC7">
        <v>5</v>
      </c>
      <c r="FD7">
        <v>97500000</v>
      </c>
      <c r="FE7">
        <v>69483676</v>
      </c>
      <c r="FF7" t="s">
        <v>4872</v>
      </c>
      <c r="FI7" t="s">
        <v>618</v>
      </c>
      <c r="FJ7">
        <v>7.5766629999999999</v>
      </c>
      <c r="FK7" t="s">
        <v>1598</v>
      </c>
      <c r="FL7">
        <v>2.12181</v>
      </c>
      <c r="FM7" t="s">
        <v>1599</v>
      </c>
      <c r="FN7">
        <v>2025</v>
      </c>
      <c r="FO7" t="s">
        <v>5050</v>
      </c>
      <c r="FP7" s="6">
        <v>45985</v>
      </c>
      <c r="FQ7">
        <v>5</v>
      </c>
      <c r="FR7">
        <v>1308944256</v>
      </c>
      <c r="FS7">
        <v>102782</v>
      </c>
      <c r="FT7" t="s">
        <v>1626</v>
      </c>
      <c r="FY7" t="s">
        <v>3336</v>
      </c>
      <c r="FZ7" t="s">
        <v>1634</v>
      </c>
      <c r="GA7">
        <v>3.8968999999999997E-2</v>
      </c>
      <c r="GB7">
        <v>8.2750000000000004E-2</v>
      </c>
      <c r="GC7" t="s">
        <v>1664</v>
      </c>
      <c r="GD7">
        <v>2025</v>
      </c>
      <c r="GE7" t="s">
        <v>3337</v>
      </c>
      <c r="GF7" s="6">
        <v>45875</v>
      </c>
      <c r="GG7">
        <v>5</v>
      </c>
      <c r="GH7">
        <v>53788</v>
      </c>
      <c r="GI7">
        <v>171007</v>
      </c>
      <c r="GJ7" t="s">
        <v>3338</v>
      </c>
      <c r="GM7" t="s">
        <v>776</v>
      </c>
      <c r="GN7">
        <v>-2.4245362661989844E-14</v>
      </c>
      <c r="GP7">
        <v>-2.4245362661989844E-14</v>
      </c>
      <c r="GQ7" t="s">
        <v>1594</v>
      </c>
      <c r="GR7">
        <v>2025</v>
      </c>
      <c r="GS7" t="s">
        <v>2805</v>
      </c>
      <c r="GT7" s="6">
        <v>46058</v>
      </c>
      <c r="GU7">
        <v>4</v>
      </c>
      <c r="GV7">
        <v>-2.4245362661989844E-14</v>
      </c>
      <c r="GW7">
        <v>101712</v>
      </c>
      <c r="GX7" t="s">
        <v>2809</v>
      </c>
      <c r="HC7" t="s">
        <v>810</v>
      </c>
      <c r="HE7">
        <v>-2.4245362661989844E-14</v>
      </c>
      <c r="HF7">
        <v>-2.4245362661989844E-14</v>
      </c>
      <c r="HG7" t="s">
        <v>1603</v>
      </c>
      <c r="HH7">
        <v>2024</v>
      </c>
      <c r="HI7" t="s">
        <v>5230</v>
      </c>
      <c r="HJ7" s="6">
        <v>45415</v>
      </c>
      <c r="HK7">
        <v>5</v>
      </c>
      <c r="HL7">
        <v>-2.4245362661989844E-14</v>
      </c>
      <c r="HM7">
        <v>101690</v>
      </c>
      <c r="HN7" t="s">
        <v>2347</v>
      </c>
      <c r="HQ7" t="s">
        <v>4452</v>
      </c>
      <c r="HR7">
        <v>-2.4245362661989844E-14</v>
      </c>
      <c r="HT7">
        <v>-2.4245362661989844E-14</v>
      </c>
      <c r="HU7" t="s">
        <v>1594</v>
      </c>
      <c r="HV7">
        <v>2021</v>
      </c>
      <c r="HW7" t="s">
        <v>3048</v>
      </c>
      <c r="HX7" s="6">
        <v>44693</v>
      </c>
      <c r="HY7">
        <v>5</v>
      </c>
      <c r="HZ7">
        <v>-2.4245362661989844E-14</v>
      </c>
      <c r="IA7">
        <v>129131</v>
      </c>
      <c r="IB7" t="s">
        <v>4453</v>
      </c>
      <c r="IG7" t="s">
        <v>3093</v>
      </c>
      <c r="IH7" t="s">
        <v>1598</v>
      </c>
      <c r="II7">
        <v>2.173902</v>
      </c>
      <c r="IJ7">
        <v>1.4833229999999999</v>
      </c>
      <c r="IK7" t="s">
        <v>1606</v>
      </c>
      <c r="IL7">
        <v>2025</v>
      </c>
      <c r="IM7" t="s">
        <v>3094</v>
      </c>
      <c r="IN7" s="6">
        <v>46077</v>
      </c>
      <c r="IO7">
        <v>5</v>
      </c>
      <c r="IP7">
        <v>31925924</v>
      </c>
      <c r="IQ7">
        <v>159323</v>
      </c>
      <c r="IR7" t="s">
        <v>3095</v>
      </c>
      <c r="IU7" t="s">
        <v>2711</v>
      </c>
      <c r="IV7">
        <v>2.5004659999999999</v>
      </c>
      <c r="IW7" t="s">
        <v>1598</v>
      </c>
      <c r="IX7">
        <v>0.63146800000000003</v>
      </c>
      <c r="IY7" t="s">
        <v>1664</v>
      </c>
      <c r="IZ7">
        <v>2026</v>
      </c>
      <c r="JA7" t="s">
        <v>2710</v>
      </c>
      <c r="JB7" s="6">
        <v>46020</v>
      </c>
      <c r="JC7">
        <v>5</v>
      </c>
      <c r="JD7">
        <v>72593528</v>
      </c>
      <c r="JE7">
        <v>143036</v>
      </c>
      <c r="JF7" t="s">
        <v>2712</v>
      </c>
      <c r="JK7" t="s">
        <v>3238</v>
      </c>
      <c r="JL7" t="s">
        <v>1634</v>
      </c>
      <c r="JM7">
        <v>0.609344</v>
      </c>
      <c r="JN7">
        <v>0.38486500000000001</v>
      </c>
      <c r="JO7" t="s">
        <v>1664</v>
      </c>
      <c r="JP7">
        <v>2026</v>
      </c>
      <c r="JQ7" t="s">
        <v>3239</v>
      </c>
      <c r="JR7" s="6">
        <v>45980</v>
      </c>
      <c r="JS7">
        <v>5</v>
      </c>
      <c r="JT7">
        <v>3053214.9</v>
      </c>
      <c r="JU7">
        <v>223067</v>
      </c>
      <c r="JV7" t="s">
        <v>3240</v>
      </c>
      <c r="JY7" t="s">
        <v>4732</v>
      </c>
      <c r="JZ7">
        <v>-2.4245362661989844E-14</v>
      </c>
      <c r="KB7">
        <v>-2.4245362661989844E-14</v>
      </c>
      <c r="KC7" t="s">
        <v>1603</v>
      </c>
      <c r="KD7">
        <v>2025</v>
      </c>
      <c r="KE7" t="s">
        <v>4733</v>
      </c>
      <c r="KF7" s="6">
        <v>45768</v>
      </c>
      <c r="KG7">
        <v>5</v>
      </c>
      <c r="KH7">
        <v>-2.4245362661989844E-14</v>
      </c>
      <c r="KI7">
        <v>38897489</v>
      </c>
      <c r="KJ7" t="s">
        <v>4734</v>
      </c>
      <c r="KO7" t="s">
        <v>4299</v>
      </c>
      <c r="KP7" t="s">
        <v>1598</v>
      </c>
      <c r="KQ7">
        <v>0.48287799999999997</v>
      </c>
      <c r="KR7">
        <v>1.7965990000000001</v>
      </c>
      <c r="KS7" t="s">
        <v>1594</v>
      </c>
      <c r="KT7">
        <v>2025</v>
      </c>
      <c r="KU7" t="s">
        <v>2373</v>
      </c>
      <c r="KV7" s="6">
        <v>46077</v>
      </c>
      <c r="KW7">
        <v>5</v>
      </c>
      <c r="KX7">
        <v>28000000</v>
      </c>
      <c r="KY7">
        <v>153205</v>
      </c>
      <c r="KZ7" t="s">
        <v>4300</v>
      </c>
      <c r="LC7" t="s">
        <v>959</v>
      </c>
      <c r="LD7">
        <v>21</v>
      </c>
      <c r="LE7" t="s">
        <v>1598</v>
      </c>
      <c r="LF7">
        <v>1.9704660000000001</v>
      </c>
      <c r="LG7" t="s">
        <v>1594</v>
      </c>
      <c r="LH7">
        <v>2025</v>
      </c>
      <c r="LI7" t="s">
        <v>2373</v>
      </c>
      <c r="LJ7" s="6">
        <v>46077</v>
      </c>
      <c r="LK7">
        <v>5</v>
      </c>
      <c r="LL7">
        <v>1545757440</v>
      </c>
      <c r="LM7">
        <v>156969</v>
      </c>
      <c r="LN7" t="s">
        <v>1767</v>
      </c>
      <c r="MW7" t="s">
        <v>3897</v>
      </c>
      <c r="MY7">
        <v>-2.4245362661989844E-14</v>
      </c>
      <c r="MZ7">
        <v>-2.4245362661989844E-14</v>
      </c>
      <c r="NA7" t="s">
        <v>1594</v>
      </c>
      <c r="NB7">
        <v>2021</v>
      </c>
      <c r="NC7" t="s">
        <v>4742</v>
      </c>
      <c r="ND7" s="6">
        <v>44681</v>
      </c>
      <c r="NE7">
        <v>5</v>
      </c>
      <c r="NF7">
        <v>-2.4245362661989844E-14</v>
      </c>
      <c r="NG7">
        <v>193849</v>
      </c>
      <c r="NH7" t="s">
        <v>3899</v>
      </c>
      <c r="NK7" t="s">
        <v>6044</v>
      </c>
      <c r="NL7">
        <v>-2.4245362661989844E-14</v>
      </c>
      <c r="NN7">
        <v>-2.4245362661989844E-14</v>
      </c>
      <c r="NO7" t="s">
        <v>1594</v>
      </c>
      <c r="NP7">
        <v>2023</v>
      </c>
      <c r="NQ7" t="s">
        <v>6041</v>
      </c>
      <c r="NR7" s="6">
        <v>45299</v>
      </c>
      <c r="NS7">
        <v>5</v>
      </c>
      <c r="NT7">
        <v>-2.4245362661989844E-14</v>
      </c>
      <c r="NU7">
        <v>1056837</v>
      </c>
      <c r="NV7" t="s">
        <v>6045</v>
      </c>
      <c r="PE7" t="s">
        <v>3347</v>
      </c>
      <c r="PF7" t="s">
        <v>1598</v>
      </c>
      <c r="PG7">
        <v>3.7231350000000001</v>
      </c>
      <c r="PH7">
        <v>0.80518199999999995</v>
      </c>
      <c r="PI7" t="s">
        <v>1599</v>
      </c>
      <c r="PJ7">
        <v>2025</v>
      </c>
      <c r="PK7" t="s">
        <v>3348</v>
      </c>
      <c r="PL7" s="6">
        <v>46069</v>
      </c>
      <c r="PM7">
        <v>5</v>
      </c>
      <c r="PN7">
        <v>33600181.100000001</v>
      </c>
      <c r="PO7">
        <v>153809</v>
      </c>
      <c r="PP7" t="s">
        <v>3349</v>
      </c>
      <c r="PS7" t="s">
        <v>618</v>
      </c>
      <c r="PT7">
        <v>13</v>
      </c>
      <c r="PU7" t="s">
        <v>1598</v>
      </c>
      <c r="PV7">
        <v>3.4525320000000002</v>
      </c>
      <c r="PW7" t="s">
        <v>1594</v>
      </c>
      <c r="PX7">
        <v>2025</v>
      </c>
      <c r="PY7" t="s">
        <v>2824</v>
      </c>
      <c r="PZ7" s="6">
        <v>46079</v>
      </c>
      <c r="QA7">
        <v>5</v>
      </c>
      <c r="QB7">
        <v>2033817472</v>
      </c>
      <c r="QC7">
        <v>102782</v>
      </c>
      <c r="QD7" t="s">
        <v>1626</v>
      </c>
      <c r="RM7" t="s">
        <v>3085</v>
      </c>
      <c r="RN7" t="s">
        <v>1685</v>
      </c>
      <c r="RO7">
        <v>1.1211519999999999</v>
      </c>
      <c r="RP7">
        <v>2.7816E-2</v>
      </c>
      <c r="RQ7" t="s">
        <v>1594</v>
      </c>
      <c r="RR7">
        <v>2024</v>
      </c>
      <c r="RS7" t="s">
        <v>3086</v>
      </c>
      <c r="RT7" s="6">
        <v>45702</v>
      </c>
      <c r="RU7">
        <v>5</v>
      </c>
      <c r="RV7">
        <v>2764979.25</v>
      </c>
      <c r="RW7">
        <v>10858737</v>
      </c>
      <c r="RX7" t="s">
        <v>3087</v>
      </c>
      <c r="SA7" t="s">
        <v>2720</v>
      </c>
      <c r="SB7">
        <v>-2.4245362661989844E-14</v>
      </c>
      <c r="SD7">
        <v>-2.4245362661989844E-14</v>
      </c>
      <c r="SE7" t="s">
        <v>1594</v>
      </c>
      <c r="SF7">
        <v>2025</v>
      </c>
      <c r="SG7" t="s">
        <v>2721</v>
      </c>
      <c r="SH7" s="6">
        <v>45828</v>
      </c>
      <c r="SI7">
        <v>5</v>
      </c>
      <c r="SJ7">
        <v>-2.4245362661989844E-14</v>
      </c>
      <c r="SK7">
        <v>154065</v>
      </c>
      <c r="SL7" t="s">
        <v>2722</v>
      </c>
      <c r="TU7" t="s">
        <v>3400</v>
      </c>
      <c r="TV7" t="s">
        <v>1598</v>
      </c>
      <c r="TW7">
        <v>18</v>
      </c>
      <c r="TX7">
        <v>0.28558099999999997</v>
      </c>
      <c r="TY7" t="s">
        <v>1594</v>
      </c>
      <c r="TZ7">
        <v>2025</v>
      </c>
      <c r="UA7" t="s">
        <v>3401</v>
      </c>
      <c r="UB7" s="6">
        <v>46079</v>
      </c>
      <c r="UC7">
        <v>5</v>
      </c>
      <c r="UD7">
        <v>185490768</v>
      </c>
      <c r="UE7">
        <v>103442</v>
      </c>
      <c r="UF7" t="s">
        <v>3402</v>
      </c>
      <c r="UI7" t="s">
        <v>2945</v>
      </c>
      <c r="UJ7">
        <v>1.5294399999999999</v>
      </c>
      <c r="UL7">
        <v>-2.4245362661989844E-14</v>
      </c>
      <c r="UM7" t="s">
        <v>1594</v>
      </c>
      <c r="UN7">
        <v>2024</v>
      </c>
      <c r="UO7" t="s">
        <v>2944</v>
      </c>
      <c r="UP7" s="6">
        <v>45712</v>
      </c>
      <c r="UQ7">
        <v>5</v>
      </c>
      <c r="UR7">
        <v>1622093696</v>
      </c>
      <c r="US7">
        <v>302359</v>
      </c>
      <c r="UT7" t="s">
        <v>2946</v>
      </c>
      <c r="UY7" t="s">
        <v>5119</v>
      </c>
      <c r="VA7">
        <v>-2.4245362661989844E-14</v>
      </c>
      <c r="VB7">
        <v>-2.4245362661989844E-14</v>
      </c>
      <c r="VC7" t="s">
        <v>1594</v>
      </c>
      <c r="VD7">
        <v>2024</v>
      </c>
      <c r="VE7" t="s">
        <v>5120</v>
      </c>
      <c r="VF7" s="6">
        <v>45371</v>
      </c>
      <c r="VG7">
        <v>5</v>
      </c>
      <c r="VH7">
        <v>-2.4245362661989844E-14</v>
      </c>
      <c r="VI7">
        <v>170878</v>
      </c>
      <c r="VJ7" t="s">
        <v>5121</v>
      </c>
    </row>
    <row r="8" spans="1:600" x14ac:dyDescent="0.25">
      <c r="A8" t="s">
        <v>4330</v>
      </c>
      <c r="C8">
        <v>-2.4245362661989844E-14</v>
      </c>
      <c r="D8">
        <v>-2.4245362661989844E-14</v>
      </c>
      <c r="E8" t="s">
        <v>1599</v>
      </c>
      <c r="F8">
        <v>2023</v>
      </c>
      <c r="G8" t="s">
        <v>4331</v>
      </c>
      <c r="H8" s="6">
        <v>45246</v>
      </c>
      <c r="I8">
        <v>5</v>
      </c>
      <c r="J8">
        <v>-2.4245362661989844E-14</v>
      </c>
      <c r="K8">
        <v>65056912</v>
      </c>
      <c r="L8" t="s">
        <v>4332</v>
      </c>
      <c r="O8" t="s">
        <v>5402</v>
      </c>
      <c r="P8">
        <v>-2.4245362661989844E-14</v>
      </c>
      <c r="R8">
        <v>-2.4245362661989844E-14</v>
      </c>
      <c r="S8" t="s">
        <v>1594</v>
      </c>
      <c r="T8">
        <v>2022</v>
      </c>
      <c r="U8" t="s">
        <v>5403</v>
      </c>
      <c r="V8" s="6">
        <v>44987</v>
      </c>
      <c r="W8">
        <v>5</v>
      </c>
      <c r="X8">
        <v>-2.4245362661989844E-14</v>
      </c>
      <c r="Y8">
        <v>117687</v>
      </c>
      <c r="Z8" t="s">
        <v>5404</v>
      </c>
      <c r="AE8" t="s">
        <v>1597</v>
      </c>
      <c r="AF8" t="s">
        <v>1598</v>
      </c>
      <c r="AG8">
        <v>2.6082209999999999</v>
      </c>
      <c r="AH8">
        <v>1.4772909999999999</v>
      </c>
      <c r="AI8" t="s">
        <v>1599</v>
      </c>
      <c r="AJ8">
        <v>2025</v>
      </c>
      <c r="AK8" t="s">
        <v>1600</v>
      </c>
      <c r="AL8" s="6">
        <v>46014</v>
      </c>
      <c r="AM8">
        <v>5</v>
      </c>
      <c r="AN8">
        <v>411563475.94999999</v>
      </c>
      <c r="AO8">
        <v>7583418</v>
      </c>
      <c r="AP8" t="s">
        <v>1601</v>
      </c>
      <c r="AS8" t="s">
        <v>5047</v>
      </c>
      <c r="AT8">
        <v>-2.4245362661989844E-14</v>
      </c>
      <c r="AV8">
        <v>-2.4245362661989844E-14</v>
      </c>
      <c r="AW8" t="s">
        <v>1603</v>
      </c>
      <c r="AX8">
        <v>2024</v>
      </c>
      <c r="AY8" t="s">
        <v>5048</v>
      </c>
      <c r="AZ8" s="6">
        <v>45090</v>
      </c>
      <c r="BA8">
        <v>5</v>
      </c>
      <c r="BB8">
        <v>-2.4245362661989844E-14</v>
      </c>
      <c r="BC8">
        <v>302751</v>
      </c>
      <c r="BD8" t="s">
        <v>5049</v>
      </c>
      <c r="BI8" t="s">
        <v>493</v>
      </c>
      <c r="BJ8" t="s">
        <v>1598</v>
      </c>
      <c r="BK8">
        <v>0.124473</v>
      </c>
      <c r="BL8">
        <v>0.116713</v>
      </c>
      <c r="BM8" t="s">
        <v>1606</v>
      </c>
      <c r="BN8">
        <v>2025</v>
      </c>
      <c r="BO8" t="s">
        <v>2093</v>
      </c>
      <c r="BP8" s="6">
        <v>46071</v>
      </c>
      <c r="BQ8">
        <v>5</v>
      </c>
      <c r="BR8">
        <v>4898448</v>
      </c>
      <c r="BS8">
        <v>100499</v>
      </c>
      <c r="BT8" t="s">
        <v>2094</v>
      </c>
      <c r="CM8" t="s">
        <v>79</v>
      </c>
      <c r="CN8" t="s">
        <v>1598</v>
      </c>
      <c r="CO8">
        <v>0.787219</v>
      </c>
      <c r="CP8">
        <v>3.9592429999999998</v>
      </c>
      <c r="CQ8" t="s">
        <v>1599</v>
      </c>
      <c r="CR8">
        <v>2025</v>
      </c>
      <c r="CS8" t="s">
        <v>2126</v>
      </c>
      <c r="CT8" s="6">
        <v>45966</v>
      </c>
      <c r="CU8">
        <v>5</v>
      </c>
      <c r="CV8">
        <v>136000000</v>
      </c>
      <c r="CW8">
        <v>100978</v>
      </c>
      <c r="CX8" t="s">
        <v>2127</v>
      </c>
      <c r="DA8" t="s">
        <v>31</v>
      </c>
      <c r="DB8">
        <v>2.3733979999999999</v>
      </c>
      <c r="DC8" t="s">
        <v>1598</v>
      </c>
      <c r="DD8">
        <v>0.47723100000000002</v>
      </c>
      <c r="DE8" t="s">
        <v>1664</v>
      </c>
      <c r="DF8">
        <v>2025</v>
      </c>
      <c r="DG8" t="s">
        <v>1768</v>
      </c>
      <c r="DH8" s="6">
        <v>45929</v>
      </c>
      <c r="DI8">
        <v>5</v>
      </c>
      <c r="DJ8">
        <v>291192192</v>
      </c>
      <c r="DK8">
        <v>60401289</v>
      </c>
      <c r="DL8" t="s">
        <v>1769</v>
      </c>
      <c r="DQ8" t="s">
        <v>23</v>
      </c>
      <c r="DR8" t="s">
        <v>1598</v>
      </c>
      <c r="DS8">
        <v>0.238619</v>
      </c>
      <c r="DT8">
        <v>0.71575299999999997</v>
      </c>
      <c r="DU8" t="s">
        <v>1594</v>
      </c>
      <c r="DV8">
        <v>2025</v>
      </c>
      <c r="DW8" t="s">
        <v>1765</v>
      </c>
      <c r="DX8" s="6">
        <v>46064</v>
      </c>
      <c r="DY8">
        <v>5</v>
      </c>
      <c r="DZ8">
        <v>28750000</v>
      </c>
      <c r="EA8">
        <v>100225</v>
      </c>
      <c r="EB8" t="s">
        <v>2222</v>
      </c>
      <c r="EE8" t="s">
        <v>23</v>
      </c>
      <c r="EF8">
        <v>11.153900999999999</v>
      </c>
      <c r="EG8" t="s">
        <v>1598</v>
      </c>
      <c r="EH8">
        <v>50.086109</v>
      </c>
      <c r="EI8" t="s">
        <v>1594</v>
      </c>
      <c r="EJ8">
        <v>2025</v>
      </c>
      <c r="EK8" t="s">
        <v>1765</v>
      </c>
      <c r="EL8" s="6">
        <v>46064</v>
      </c>
      <c r="EM8">
        <v>5</v>
      </c>
      <c r="EN8">
        <v>1745000000</v>
      </c>
      <c r="EO8">
        <v>100225</v>
      </c>
      <c r="EP8" t="s">
        <v>2222</v>
      </c>
      <c r="EU8" t="s">
        <v>4873</v>
      </c>
      <c r="EV8" t="s">
        <v>2128</v>
      </c>
      <c r="EW8">
        <v>-2.4245362661989844E-14</v>
      </c>
      <c r="EX8">
        <v>1.9000570000000001</v>
      </c>
      <c r="EY8" t="s">
        <v>1594</v>
      </c>
      <c r="EZ8">
        <v>2025</v>
      </c>
      <c r="FA8" t="s">
        <v>4869</v>
      </c>
      <c r="FB8" s="6">
        <v>46077</v>
      </c>
      <c r="FC8">
        <v>5</v>
      </c>
      <c r="FD8">
        <v>75000000</v>
      </c>
      <c r="FE8">
        <v>71999429</v>
      </c>
      <c r="FF8" t="s">
        <v>4874</v>
      </c>
      <c r="FI8" t="s">
        <v>23</v>
      </c>
      <c r="FJ8">
        <v>0.787219</v>
      </c>
      <c r="FK8" t="s">
        <v>1598</v>
      </c>
      <c r="FL8">
        <v>3.9592429999999998</v>
      </c>
      <c r="FM8" t="s">
        <v>1599</v>
      </c>
      <c r="FN8">
        <v>2025</v>
      </c>
      <c r="FO8" t="s">
        <v>2126</v>
      </c>
      <c r="FP8" s="6">
        <v>45966</v>
      </c>
      <c r="FQ8">
        <v>5</v>
      </c>
      <c r="FR8">
        <v>136000000</v>
      </c>
      <c r="FS8">
        <v>100225</v>
      </c>
      <c r="FT8" t="s">
        <v>2222</v>
      </c>
      <c r="FY8" t="s">
        <v>2376</v>
      </c>
      <c r="GA8">
        <v>-2.4245362661989844E-14</v>
      </c>
      <c r="GB8">
        <v>-2.4245362661989844E-14</v>
      </c>
      <c r="GC8" t="s">
        <v>1594</v>
      </c>
      <c r="GD8">
        <v>2025</v>
      </c>
      <c r="GE8" t="s">
        <v>2805</v>
      </c>
      <c r="GF8" s="6">
        <v>46058</v>
      </c>
      <c r="GG8">
        <v>5</v>
      </c>
      <c r="GH8">
        <v>-2.4245362661989844E-14</v>
      </c>
      <c r="GI8">
        <v>117929</v>
      </c>
      <c r="GJ8" t="s">
        <v>2378</v>
      </c>
      <c r="GM8" t="s">
        <v>2383</v>
      </c>
      <c r="GN8">
        <v>-2.4245362661989844E-14</v>
      </c>
      <c r="GP8">
        <v>-2.4245362661989844E-14</v>
      </c>
      <c r="GQ8" t="s">
        <v>1594</v>
      </c>
      <c r="GR8">
        <v>2025</v>
      </c>
      <c r="GS8" t="s">
        <v>2810</v>
      </c>
      <c r="GT8" s="6">
        <v>45761</v>
      </c>
      <c r="GU8">
        <v>4</v>
      </c>
      <c r="GV8">
        <v>-2.4245362661989844E-14</v>
      </c>
      <c r="GW8">
        <v>115705</v>
      </c>
      <c r="GX8" t="s">
        <v>2385</v>
      </c>
      <c r="HC8" t="s">
        <v>5231</v>
      </c>
      <c r="HE8">
        <v>-2.4245362661989844E-14</v>
      </c>
      <c r="HF8">
        <v>-2.4245362661989844E-14</v>
      </c>
      <c r="HG8" t="s">
        <v>1594</v>
      </c>
      <c r="HH8">
        <v>2026</v>
      </c>
      <c r="HI8" t="s">
        <v>5232</v>
      </c>
      <c r="HJ8" s="6">
        <v>46057</v>
      </c>
      <c r="HK8">
        <v>5</v>
      </c>
      <c r="HL8">
        <v>-2.4245362661989844E-14</v>
      </c>
      <c r="HM8">
        <v>313591</v>
      </c>
      <c r="HN8" t="s">
        <v>5233</v>
      </c>
      <c r="HQ8" t="s">
        <v>4454</v>
      </c>
      <c r="HR8">
        <v>-2.4245362661989844E-14</v>
      </c>
      <c r="HT8">
        <v>-2.4245362661989844E-14</v>
      </c>
      <c r="HU8" t="s">
        <v>1594</v>
      </c>
      <c r="HV8">
        <v>2021</v>
      </c>
      <c r="HW8" t="s">
        <v>3048</v>
      </c>
      <c r="HX8" s="6">
        <v>44693</v>
      </c>
      <c r="HY8">
        <v>5</v>
      </c>
      <c r="HZ8">
        <v>-2.4245362661989844E-14</v>
      </c>
      <c r="IA8">
        <v>16657751</v>
      </c>
      <c r="IB8" t="s">
        <v>4455</v>
      </c>
      <c r="IG8" t="s">
        <v>3602</v>
      </c>
      <c r="IH8" t="s">
        <v>1598</v>
      </c>
      <c r="II8">
        <v>0.89916700000000005</v>
      </c>
      <c r="IJ8">
        <v>0.87856100000000004</v>
      </c>
      <c r="IK8" t="s">
        <v>1606</v>
      </c>
      <c r="IL8">
        <v>2025</v>
      </c>
      <c r="IM8" t="s">
        <v>3603</v>
      </c>
      <c r="IN8" s="6">
        <v>46076</v>
      </c>
      <c r="IO8">
        <v>5</v>
      </c>
      <c r="IP8">
        <v>18909482</v>
      </c>
      <c r="IQ8">
        <v>187274</v>
      </c>
      <c r="IR8" t="s">
        <v>3604</v>
      </c>
      <c r="IU8" t="s">
        <v>2713</v>
      </c>
      <c r="IV8">
        <v>2.40829</v>
      </c>
      <c r="IW8" t="s">
        <v>1598</v>
      </c>
      <c r="IX8">
        <v>0.50631099999999996</v>
      </c>
      <c r="IY8" t="s">
        <v>1664</v>
      </c>
      <c r="IZ8">
        <v>2026</v>
      </c>
      <c r="JA8" t="s">
        <v>2710</v>
      </c>
      <c r="JB8" s="6">
        <v>46020</v>
      </c>
      <c r="JC8">
        <v>5</v>
      </c>
      <c r="JD8">
        <v>69917472</v>
      </c>
      <c r="JE8">
        <v>46386935</v>
      </c>
      <c r="JF8" t="s">
        <v>2714</v>
      </c>
      <c r="JK8" t="s">
        <v>2072</v>
      </c>
      <c r="JL8" t="s">
        <v>1598</v>
      </c>
      <c r="JM8">
        <v>0.44718999999999998</v>
      </c>
      <c r="JN8">
        <v>9.7730999999999998E-2</v>
      </c>
      <c r="JO8" t="s">
        <v>1599</v>
      </c>
      <c r="JP8">
        <v>2025</v>
      </c>
      <c r="JQ8" t="s">
        <v>2073</v>
      </c>
      <c r="JR8" s="6">
        <v>46027</v>
      </c>
      <c r="JS8">
        <v>5</v>
      </c>
      <c r="JT8">
        <v>2835185</v>
      </c>
      <c r="JU8">
        <v>36965288</v>
      </c>
      <c r="JV8" t="s">
        <v>2074</v>
      </c>
      <c r="JY8" t="s">
        <v>4735</v>
      </c>
      <c r="JZ8">
        <v>-2.4245362661989844E-14</v>
      </c>
      <c r="KB8">
        <v>-2.4245362661989844E-14</v>
      </c>
      <c r="KC8" t="s">
        <v>1603</v>
      </c>
      <c r="KD8">
        <v>2023</v>
      </c>
      <c r="KE8" t="s">
        <v>4736</v>
      </c>
      <c r="KF8" s="6">
        <v>44950</v>
      </c>
      <c r="KG8">
        <v>5</v>
      </c>
      <c r="KH8">
        <v>-2.4245362661989844E-14</v>
      </c>
      <c r="KI8">
        <v>65060614</v>
      </c>
      <c r="KJ8" t="s">
        <v>4737</v>
      </c>
      <c r="KO8" t="s">
        <v>4301</v>
      </c>
      <c r="KP8" t="s">
        <v>2128</v>
      </c>
      <c r="KQ8">
        <v>100</v>
      </c>
      <c r="KR8">
        <v>1.9316489999999999</v>
      </c>
      <c r="KS8" t="s">
        <v>1599</v>
      </c>
      <c r="KT8">
        <v>2025</v>
      </c>
      <c r="KU8" t="s">
        <v>4302</v>
      </c>
      <c r="KV8" s="6">
        <v>45959</v>
      </c>
      <c r="KW8">
        <v>5</v>
      </c>
      <c r="KX8">
        <v>26000000</v>
      </c>
      <c r="KY8">
        <v>50914233</v>
      </c>
      <c r="KZ8" t="s">
        <v>4303</v>
      </c>
      <c r="LC8" t="s">
        <v>4031</v>
      </c>
      <c r="LD8">
        <v>-2.4245362661989844E-14</v>
      </c>
      <c r="LF8">
        <v>-2.4245362661989844E-14</v>
      </c>
      <c r="LG8" t="s">
        <v>1594</v>
      </c>
      <c r="LH8">
        <v>2022</v>
      </c>
      <c r="LI8" t="s">
        <v>4032</v>
      </c>
      <c r="LJ8" s="6">
        <v>44979</v>
      </c>
      <c r="LK8">
        <v>5</v>
      </c>
      <c r="LL8">
        <v>-2.4245362661989844E-14</v>
      </c>
      <c r="LM8">
        <v>29217228</v>
      </c>
      <c r="LN8" t="s">
        <v>4033</v>
      </c>
      <c r="MW8" t="s">
        <v>2152</v>
      </c>
      <c r="MY8">
        <v>-2.4245362661989844E-14</v>
      </c>
      <c r="MZ8">
        <v>-2.4245362661989844E-14</v>
      </c>
      <c r="NA8" t="s">
        <v>1594</v>
      </c>
      <c r="NB8">
        <v>2025</v>
      </c>
      <c r="NC8" t="s">
        <v>4743</v>
      </c>
      <c r="ND8" s="6">
        <v>46065</v>
      </c>
      <c r="NE8">
        <v>5</v>
      </c>
      <c r="NF8">
        <v>-2.4245362661989844E-14</v>
      </c>
      <c r="NG8">
        <v>100060</v>
      </c>
      <c r="NH8" t="s">
        <v>2154</v>
      </c>
      <c r="NK8" t="s">
        <v>6046</v>
      </c>
      <c r="NL8">
        <v>-2.4245362661989844E-14</v>
      </c>
      <c r="NN8">
        <v>-2.4245362661989844E-14</v>
      </c>
      <c r="NO8" t="s">
        <v>1594</v>
      </c>
      <c r="NP8">
        <v>2024</v>
      </c>
      <c r="NQ8" t="s">
        <v>6041</v>
      </c>
      <c r="NR8" s="6">
        <v>45331</v>
      </c>
      <c r="NS8">
        <v>5</v>
      </c>
      <c r="NT8">
        <v>-2.4245362661989844E-14</v>
      </c>
      <c r="NU8">
        <v>305652</v>
      </c>
      <c r="NV8" t="s">
        <v>6047</v>
      </c>
      <c r="PE8" t="s">
        <v>23</v>
      </c>
      <c r="PF8" t="s">
        <v>1598</v>
      </c>
      <c r="PG8">
        <v>0.238619</v>
      </c>
      <c r="PH8">
        <v>0.71575299999999997</v>
      </c>
      <c r="PI8" t="s">
        <v>1594</v>
      </c>
      <c r="PJ8">
        <v>2025</v>
      </c>
      <c r="PK8" t="s">
        <v>1765</v>
      </c>
      <c r="PL8" s="6">
        <v>46064</v>
      </c>
      <c r="PM8">
        <v>5</v>
      </c>
      <c r="PN8">
        <v>28750000</v>
      </c>
      <c r="PO8">
        <v>100225</v>
      </c>
      <c r="PP8" t="s">
        <v>2222</v>
      </c>
      <c r="PS8" t="s">
        <v>23</v>
      </c>
      <c r="PT8">
        <v>11.153900999999999</v>
      </c>
      <c r="PU8" t="s">
        <v>1598</v>
      </c>
      <c r="PV8">
        <v>50.086109</v>
      </c>
      <c r="PW8" t="s">
        <v>1594</v>
      </c>
      <c r="PX8">
        <v>2025</v>
      </c>
      <c r="PY8" t="s">
        <v>1765</v>
      </c>
      <c r="PZ8" s="6">
        <v>46064</v>
      </c>
      <c r="QA8">
        <v>5</v>
      </c>
      <c r="QB8">
        <v>1745000000</v>
      </c>
      <c r="QC8">
        <v>100225</v>
      </c>
      <c r="QD8" t="s">
        <v>2222</v>
      </c>
      <c r="RM8" t="s">
        <v>2014</v>
      </c>
      <c r="RN8" t="s">
        <v>1598</v>
      </c>
      <c r="RO8">
        <v>0.22164600000000001</v>
      </c>
      <c r="RP8">
        <v>2.4277E-2</v>
      </c>
      <c r="RQ8" t="s">
        <v>1664</v>
      </c>
      <c r="RR8">
        <v>2025</v>
      </c>
      <c r="RS8" t="s">
        <v>2015</v>
      </c>
      <c r="RT8" s="6">
        <v>45957</v>
      </c>
      <c r="RU8">
        <v>5</v>
      </c>
      <c r="RV8">
        <v>2617518.41</v>
      </c>
      <c r="RW8">
        <v>815087</v>
      </c>
      <c r="RX8" t="s">
        <v>2016</v>
      </c>
      <c r="SA8" t="s">
        <v>2723</v>
      </c>
      <c r="SB8">
        <v>-2.4245362661989844E-14</v>
      </c>
      <c r="SD8">
        <v>-2.4245362661989844E-14</v>
      </c>
      <c r="SE8" t="s">
        <v>1594</v>
      </c>
      <c r="SF8">
        <v>2025</v>
      </c>
      <c r="SG8" t="s">
        <v>2724</v>
      </c>
      <c r="SH8" s="6">
        <v>45875</v>
      </c>
      <c r="SI8">
        <v>5</v>
      </c>
      <c r="SJ8">
        <v>-2.4245362661989844E-14</v>
      </c>
      <c r="SK8">
        <v>154339</v>
      </c>
      <c r="SL8" t="s">
        <v>2725</v>
      </c>
      <c r="TU8" t="s">
        <v>3403</v>
      </c>
      <c r="TV8" t="s">
        <v>1598</v>
      </c>
      <c r="TW8">
        <v>4.630776</v>
      </c>
      <c r="TX8">
        <v>0.19183800000000001</v>
      </c>
      <c r="TY8" t="s">
        <v>1599</v>
      </c>
      <c r="TZ8">
        <v>2025</v>
      </c>
      <c r="UA8" t="s">
        <v>3404</v>
      </c>
      <c r="UB8" s="6">
        <v>45952</v>
      </c>
      <c r="UC8">
        <v>5</v>
      </c>
      <c r="UD8">
        <v>125308800</v>
      </c>
      <c r="UE8">
        <v>171010</v>
      </c>
      <c r="UF8" t="s">
        <v>3405</v>
      </c>
      <c r="UI8" t="s">
        <v>872</v>
      </c>
      <c r="UJ8">
        <v>0.34598400000000001</v>
      </c>
      <c r="UK8" t="s">
        <v>1598</v>
      </c>
      <c r="UL8">
        <v>1.684086</v>
      </c>
      <c r="UM8" t="s">
        <v>1664</v>
      </c>
      <c r="UN8">
        <v>2025</v>
      </c>
      <c r="UO8" t="s">
        <v>2179</v>
      </c>
      <c r="UP8" s="6">
        <v>45873</v>
      </c>
      <c r="UQ8">
        <v>5</v>
      </c>
      <c r="UR8">
        <v>342105216</v>
      </c>
      <c r="US8">
        <v>100211</v>
      </c>
      <c r="UT8" t="s">
        <v>1632</v>
      </c>
      <c r="UY8" t="s">
        <v>5122</v>
      </c>
      <c r="VA8">
        <v>-2.4245362661989844E-14</v>
      </c>
      <c r="VB8">
        <v>-2.4245362661989844E-14</v>
      </c>
      <c r="VC8" t="s">
        <v>1594</v>
      </c>
      <c r="VD8">
        <v>2024</v>
      </c>
      <c r="VE8" t="s">
        <v>5120</v>
      </c>
      <c r="VF8" s="6">
        <v>45371</v>
      </c>
      <c r="VG8">
        <v>5</v>
      </c>
      <c r="VH8">
        <v>-2.4245362661989844E-14</v>
      </c>
      <c r="VI8">
        <v>34683043</v>
      </c>
      <c r="VJ8" t="s">
        <v>5123</v>
      </c>
    </row>
    <row r="9" spans="1:600" x14ac:dyDescent="0.25">
      <c r="A9" t="s">
        <v>5270</v>
      </c>
      <c r="C9">
        <v>-2.4245362661989844E-14</v>
      </c>
      <c r="D9">
        <v>-2.4245362661989844E-14</v>
      </c>
      <c r="E9" t="s">
        <v>1594</v>
      </c>
      <c r="F9">
        <v>2022</v>
      </c>
      <c r="G9" t="s">
        <v>5271</v>
      </c>
      <c r="H9" s="6">
        <v>45071</v>
      </c>
      <c r="I9">
        <v>5</v>
      </c>
      <c r="J9">
        <v>-2.4245362661989844E-14</v>
      </c>
      <c r="K9">
        <v>63511081</v>
      </c>
      <c r="L9" t="s">
        <v>5272</v>
      </c>
      <c r="O9" t="s">
        <v>5405</v>
      </c>
      <c r="P9">
        <v>-2.4245362661989844E-14</v>
      </c>
      <c r="R9">
        <v>-2.4245362661989844E-14</v>
      </c>
      <c r="S9" t="s">
        <v>1594</v>
      </c>
      <c r="T9">
        <v>2024</v>
      </c>
      <c r="U9" t="s">
        <v>5406</v>
      </c>
      <c r="V9" s="6">
        <v>45731</v>
      </c>
      <c r="W9">
        <v>5</v>
      </c>
      <c r="X9">
        <v>-2.4245362661989844E-14</v>
      </c>
      <c r="Y9">
        <v>116941</v>
      </c>
      <c r="Z9" t="s">
        <v>5407</v>
      </c>
      <c r="AE9" t="s">
        <v>3941</v>
      </c>
      <c r="AF9" t="s">
        <v>1598</v>
      </c>
      <c r="AG9">
        <v>13.367844</v>
      </c>
      <c r="AH9">
        <v>1.217878</v>
      </c>
      <c r="AI9" t="s">
        <v>1664</v>
      </c>
      <c r="AJ9">
        <v>2025</v>
      </c>
      <c r="AK9" t="s">
        <v>3942</v>
      </c>
      <c r="AL9" s="6">
        <v>45954</v>
      </c>
      <c r="AM9">
        <v>5</v>
      </c>
      <c r="AN9">
        <v>367214688</v>
      </c>
      <c r="AO9">
        <v>11089797</v>
      </c>
      <c r="AP9" t="s">
        <v>3943</v>
      </c>
      <c r="AS9" t="s">
        <v>2165</v>
      </c>
      <c r="AT9">
        <v>-2.4245362661989844E-14</v>
      </c>
      <c r="AV9">
        <v>-2.4245362661989844E-14</v>
      </c>
      <c r="AW9" t="s">
        <v>1603</v>
      </c>
      <c r="AX9">
        <v>2024</v>
      </c>
      <c r="AY9" t="s">
        <v>5048</v>
      </c>
      <c r="AZ9" s="6">
        <v>45090</v>
      </c>
      <c r="BA9">
        <v>5</v>
      </c>
      <c r="BB9">
        <v>-2.4245362661989844E-14</v>
      </c>
      <c r="BC9">
        <v>36850308</v>
      </c>
      <c r="BD9" t="s">
        <v>2167</v>
      </c>
      <c r="BI9" t="s">
        <v>3906</v>
      </c>
      <c r="BJ9" t="s">
        <v>1685</v>
      </c>
      <c r="BK9">
        <v>2.7852589999999999</v>
      </c>
      <c r="BL9">
        <v>9.2419000000000001E-2</v>
      </c>
      <c r="BM9" t="s">
        <v>1594</v>
      </c>
      <c r="BN9">
        <v>2024</v>
      </c>
      <c r="BO9" t="s">
        <v>3907</v>
      </c>
      <c r="BP9" s="6">
        <v>45702</v>
      </c>
      <c r="BQ9">
        <v>5</v>
      </c>
      <c r="BR9">
        <v>3971250</v>
      </c>
      <c r="BS9">
        <v>225922</v>
      </c>
      <c r="BT9" t="s">
        <v>3908</v>
      </c>
      <c r="CM9" t="s">
        <v>240</v>
      </c>
      <c r="CN9" t="s">
        <v>2128</v>
      </c>
      <c r="CO9">
        <v>0.29407699999999998</v>
      </c>
      <c r="CP9">
        <v>2.7836400000000001</v>
      </c>
      <c r="CQ9" t="s">
        <v>1594</v>
      </c>
      <c r="CR9">
        <v>2025</v>
      </c>
      <c r="CS9" t="s">
        <v>1765</v>
      </c>
      <c r="CT9" s="6">
        <v>46064</v>
      </c>
      <c r="CU9">
        <v>5</v>
      </c>
      <c r="CV9">
        <v>69250000</v>
      </c>
      <c r="CW9">
        <v>100828</v>
      </c>
      <c r="CX9" t="s">
        <v>1865</v>
      </c>
      <c r="DA9" t="s">
        <v>306</v>
      </c>
      <c r="DB9">
        <v>1.0236080000000001</v>
      </c>
      <c r="DC9" t="s">
        <v>1598</v>
      </c>
      <c r="DD9">
        <v>0.137097</v>
      </c>
      <c r="DE9" t="s">
        <v>1664</v>
      </c>
      <c r="DF9">
        <v>2025</v>
      </c>
      <c r="DG9" t="s">
        <v>1768</v>
      </c>
      <c r="DH9" s="6">
        <v>45929</v>
      </c>
      <c r="DI9">
        <v>5</v>
      </c>
      <c r="DJ9">
        <v>125586464</v>
      </c>
      <c r="DK9">
        <v>101548</v>
      </c>
      <c r="DL9" t="s">
        <v>1770</v>
      </c>
      <c r="DQ9" t="s">
        <v>3350</v>
      </c>
      <c r="DR9" t="s">
        <v>1598</v>
      </c>
      <c r="DS9">
        <v>0.82792200000000005</v>
      </c>
      <c r="DT9">
        <v>0.75151400000000002</v>
      </c>
      <c r="DU9" t="s">
        <v>1664</v>
      </c>
      <c r="DV9">
        <v>2025</v>
      </c>
      <c r="DW9" t="s">
        <v>3351</v>
      </c>
      <c r="DX9" s="6">
        <v>45959</v>
      </c>
      <c r="DY9">
        <v>5</v>
      </c>
      <c r="DZ9">
        <v>28398061.84</v>
      </c>
      <c r="EA9">
        <v>113332</v>
      </c>
      <c r="EB9" t="s">
        <v>3352</v>
      </c>
      <c r="EE9" t="s">
        <v>1621</v>
      </c>
      <c r="EF9">
        <v>6</v>
      </c>
      <c r="EH9">
        <v>-2.4245362661989844E-14</v>
      </c>
      <c r="EI9" t="s">
        <v>1594</v>
      </c>
      <c r="EJ9">
        <v>2024</v>
      </c>
      <c r="EK9" t="s">
        <v>2825</v>
      </c>
      <c r="EL9" s="6">
        <v>45715</v>
      </c>
      <c r="EM9">
        <v>5</v>
      </c>
      <c r="EN9">
        <v>954404992</v>
      </c>
      <c r="EO9">
        <v>218252</v>
      </c>
      <c r="EP9" t="s">
        <v>1622</v>
      </c>
      <c r="EU9" t="s">
        <v>3208</v>
      </c>
      <c r="EV9" t="s">
        <v>1685</v>
      </c>
      <c r="EW9">
        <v>1.6404799999999999</v>
      </c>
      <c r="EX9">
        <v>2.2485889999999999</v>
      </c>
      <c r="EY9" t="s">
        <v>1606</v>
      </c>
      <c r="EZ9">
        <v>2025</v>
      </c>
      <c r="FA9" t="s">
        <v>3209</v>
      </c>
      <c r="FB9" s="6">
        <v>45796</v>
      </c>
      <c r="FC9">
        <v>5</v>
      </c>
      <c r="FD9">
        <v>57397160.810000002</v>
      </c>
      <c r="FE9">
        <v>995671</v>
      </c>
      <c r="FF9" t="s">
        <v>3210</v>
      </c>
      <c r="FI9" t="s">
        <v>4870</v>
      </c>
      <c r="FJ9">
        <v>0.61089599999999999</v>
      </c>
      <c r="FK9" t="s">
        <v>1598</v>
      </c>
      <c r="FL9">
        <v>14.583333</v>
      </c>
      <c r="FM9" t="s">
        <v>1594</v>
      </c>
      <c r="FN9">
        <v>2024</v>
      </c>
      <c r="FO9" t="s">
        <v>4871</v>
      </c>
      <c r="FP9" s="6">
        <v>45713</v>
      </c>
      <c r="FQ9">
        <v>5</v>
      </c>
      <c r="FR9">
        <v>98000000</v>
      </c>
      <c r="FS9">
        <v>69483676</v>
      </c>
      <c r="FT9" t="s">
        <v>4872</v>
      </c>
      <c r="FY9" t="s">
        <v>1597</v>
      </c>
      <c r="GA9">
        <v>-2.4245362661989844E-14</v>
      </c>
      <c r="GB9">
        <v>-2.4245362661989844E-14</v>
      </c>
      <c r="GC9" t="s">
        <v>1594</v>
      </c>
      <c r="GD9">
        <v>2025</v>
      </c>
      <c r="GE9" t="s">
        <v>2805</v>
      </c>
      <c r="GF9" s="6">
        <v>46058</v>
      </c>
      <c r="GG9">
        <v>5</v>
      </c>
      <c r="GH9">
        <v>-2.4245362661989844E-14</v>
      </c>
      <c r="GI9">
        <v>7583418</v>
      </c>
      <c r="GJ9" t="s">
        <v>1601</v>
      </c>
      <c r="HC9" t="s">
        <v>5234</v>
      </c>
      <c r="HE9">
        <v>-2.4245362661989844E-14</v>
      </c>
      <c r="HF9">
        <v>-2.4245362661989844E-14</v>
      </c>
      <c r="HG9" t="s">
        <v>1594</v>
      </c>
      <c r="HH9">
        <v>2024</v>
      </c>
      <c r="HI9" t="s">
        <v>5235</v>
      </c>
      <c r="HJ9" s="6">
        <v>45365</v>
      </c>
      <c r="HK9">
        <v>5</v>
      </c>
      <c r="HL9">
        <v>-2.4245362661989844E-14</v>
      </c>
      <c r="HM9">
        <v>111854</v>
      </c>
      <c r="HN9" t="s">
        <v>5236</v>
      </c>
      <c r="HQ9" t="s">
        <v>2739</v>
      </c>
      <c r="HR9">
        <v>-2.4245362661989844E-14</v>
      </c>
      <c r="HT9">
        <v>-2.4245362661989844E-14</v>
      </c>
      <c r="HU9" t="s">
        <v>1594</v>
      </c>
      <c r="HV9">
        <v>2021</v>
      </c>
      <c r="HW9" t="s">
        <v>3048</v>
      </c>
      <c r="HX9" s="6">
        <v>44693</v>
      </c>
      <c r="HY9">
        <v>5</v>
      </c>
      <c r="HZ9">
        <v>-2.4245362661989844E-14</v>
      </c>
      <c r="IA9">
        <v>15564314</v>
      </c>
      <c r="IB9" t="s">
        <v>2740</v>
      </c>
      <c r="IG9" t="s">
        <v>3373</v>
      </c>
      <c r="IH9" t="s">
        <v>1685</v>
      </c>
      <c r="II9">
        <v>0.119411</v>
      </c>
      <c r="IJ9">
        <v>1.4986539999999999</v>
      </c>
      <c r="IK9" t="s">
        <v>1664</v>
      </c>
      <c r="IL9">
        <v>2026</v>
      </c>
      <c r="IM9" t="s">
        <v>3374</v>
      </c>
      <c r="IN9" s="6">
        <v>46022</v>
      </c>
      <c r="IO9">
        <v>5</v>
      </c>
      <c r="IP9">
        <v>5598707.7800000003</v>
      </c>
      <c r="IQ9">
        <v>174545</v>
      </c>
      <c r="IR9" t="s">
        <v>3375</v>
      </c>
      <c r="IU9" t="s">
        <v>1943</v>
      </c>
      <c r="IV9">
        <v>2.1785049999999999</v>
      </c>
      <c r="IW9" t="s">
        <v>1598</v>
      </c>
      <c r="IX9">
        <v>0.108095</v>
      </c>
      <c r="IY9" t="s">
        <v>1664</v>
      </c>
      <c r="IZ9">
        <v>2026</v>
      </c>
      <c r="JA9" t="s">
        <v>2710</v>
      </c>
      <c r="JB9" s="6">
        <v>46020</v>
      </c>
      <c r="JC9">
        <v>5</v>
      </c>
      <c r="JD9">
        <v>63246356</v>
      </c>
      <c r="JE9">
        <v>101758</v>
      </c>
      <c r="JF9" t="s">
        <v>1944</v>
      </c>
      <c r="JK9" t="s">
        <v>3820</v>
      </c>
      <c r="JL9" t="s">
        <v>1598</v>
      </c>
      <c r="JM9">
        <v>9.5227000000000006E-2</v>
      </c>
      <c r="JN9">
        <v>9.3220999999999998E-2</v>
      </c>
      <c r="JO9" t="s">
        <v>1603</v>
      </c>
      <c r="JP9">
        <v>2025</v>
      </c>
      <c r="JQ9" t="s">
        <v>3821</v>
      </c>
      <c r="JR9" s="6">
        <v>45849</v>
      </c>
      <c r="JS9">
        <v>5</v>
      </c>
      <c r="JT9">
        <v>2711796</v>
      </c>
      <c r="JU9">
        <v>102595</v>
      </c>
      <c r="JV9" t="s">
        <v>3822</v>
      </c>
      <c r="JY9" t="s">
        <v>2550</v>
      </c>
      <c r="JZ9">
        <v>-2.4245362661989844E-14</v>
      </c>
      <c r="KB9">
        <v>-2.4245362661989844E-14</v>
      </c>
      <c r="KC9" t="s">
        <v>1594</v>
      </c>
      <c r="KD9">
        <v>2025</v>
      </c>
      <c r="KE9" t="s">
        <v>4738</v>
      </c>
      <c r="KF9" s="6">
        <v>46064</v>
      </c>
      <c r="KG9">
        <v>5</v>
      </c>
      <c r="KH9">
        <v>-2.4245362661989844E-14</v>
      </c>
      <c r="KI9">
        <v>17312199</v>
      </c>
      <c r="KJ9" t="s">
        <v>2552</v>
      </c>
      <c r="KO9" t="s">
        <v>3803</v>
      </c>
      <c r="KP9" t="s">
        <v>1598</v>
      </c>
      <c r="KQ9">
        <v>1.03163</v>
      </c>
      <c r="KR9">
        <v>1.307437</v>
      </c>
      <c r="KS9" t="s">
        <v>1599</v>
      </c>
      <c r="KT9">
        <v>2025</v>
      </c>
      <c r="KU9" t="s">
        <v>3804</v>
      </c>
      <c r="KV9" s="6">
        <v>46073</v>
      </c>
      <c r="KW9">
        <v>5</v>
      </c>
      <c r="KX9">
        <v>21191403.109999999</v>
      </c>
      <c r="KY9">
        <v>156276</v>
      </c>
      <c r="KZ9" t="s">
        <v>3805</v>
      </c>
      <c r="LC9" t="s">
        <v>4034</v>
      </c>
      <c r="LD9">
        <v>-2.4245362661989844E-14</v>
      </c>
      <c r="LF9">
        <v>-2.4245362661989844E-14</v>
      </c>
      <c r="LG9" t="s">
        <v>1594</v>
      </c>
      <c r="LH9">
        <v>2022</v>
      </c>
      <c r="LI9" t="s">
        <v>4035</v>
      </c>
      <c r="LJ9" s="6">
        <v>44788</v>
      </c>
      <c r="LK9">
        <v>5</v>
      </c>
      <c r="LL9">
        <v>-2.4245362661989844E-14</v>
      </c>
      <c r="LM9">
        <v>67962950</v>
      </c>
      <c r="LN9" t="s">
        <v>4036</v>
      </c>
      <c r="MW9" t="s">
        <v>3205</v>
      </c>
      <c r="MY9">
        <v>-2.4245362661989844E-14</v>
      </c>
      <c r="MZ9">
        <v>-2.4245362661989844E-14</v>
      </c>
      <c r="NA9" t="s">
        <v>1594</v>
      </c>
      <c r="NB9">
        <v>2025</v>
      </c>
      <c r="NC9" t="s">
        <v>4744</v>
      </c>
      <c r="ND9" s="6">
        <v>45768</v>
      </c>
      <c r="NE9">
        <v>5</v>
      </c>
      <c r="NF9">
        <v>-2.4245362661989844E-14</v>
      </c>
      <c r="NG9">
        <v>106343</v>
      </c>
      <c r="NH9" t="s">
        <v>3207</v>
      </c>
      <c r="NK9" t="s">
        <v>6048</v>
      </c>
      <c r="NL9">
        <v>-2.4245362661989844E-14</v>
      </c>
      <c r="NN9">
        <v>-2.4245362661989844E-14</v>
      </c>
      <c r="NO9" t="s">
        <v>1664</v>
      </c>
      <c r="NP9">
        <v>2022</v>
      </c>
      <c r="NQ9" t="s">
        <v>6049</v>
      </c>
      <c r="NR9" s="6">
        <v>44714</v>
      </c>
      <c r="NS9">
        <v>5</v>
      </c>
      <c r="NT9">
        <v>-2.4245362661989844E-14</v>
      </c>
      <c r="NU9">
        <v>106871</v>
      </c>
      <c r="NV9" t="s">
        <v>6050</v>
      </c>
      <c r="PE9" t="s">
        <v>3350</v>
      </c>
      <c r="PF9" t="s">
        <v>1598</v>
      </c>
      <c r="PG9">
        <v>0.82792200000000005</v>
      </c>
      <c r="PH9">
        <v>0.75151400000000002</v>
      </c>
      <c r="PI9" t="s">
        <v>1664</v>
      </c>
      <c r="PJ9">
        <v>2025</v>
      </c>
      <c r="PK9" t="s">
        <v>3351</v>
      </c>
      <c r="PL9" s="6">
        <v>45959</v>
      </c>
      <c r="PM9">
        <v>5</v>
      </c>
      <c r="PN9">
        <v>28398061.84</v>
      </c>
      <c r="PO9">
        <v>113332</v>
      </c>
      <c r="PP9" t="s">
        <v>3352</v>
      </c>
      <c r="PS9" t="s">
        <v>1621</v>
      </c>
      <c r="PT9">
        <v>6</v>
      </c>
      <c r="PV9">
        <v>-2.4245362661989844E-14</v>
      </c>
      <c r="PW9" t="s">
        <v>1594</v>
      </c>
      <c r="PX9">
        <v>2024</v>
      </c>
      <c r="PY9" t="s">
        <v>2825</v>
      </c>
      <c r="PZ9" s="6">
        <v>45715</v>
      </c>
      <c r="QA9">
        <v>5</v>
      </c>
      <c r="QB9">
        <v>954404992</v>
      </c>
      <c r="QC9">
        <v>218252</v>
      </c>
      <c r="QD9" t="s">
        <v>1622</v>
      </c>
      <c r="RM9" t="s">
        <v>2567</v>
      </c>
      <c r="RO9">
        <v>2.4574069999999999</v>
      </c>
      <c r="RP9">
        <v>-2.4245362661989844E-14</v>
      </c>
      <c r="RQ9" t="s">
        <v>1599</v>
      </c>
      <c r="RR9">
        <v>2025</v>
      </c>
      <c r="RS9" t="s">
        <v>2568</v>
      </c>
      <c r="RT9" s="6">
        <v>45966</v>
      </c>
      <c r="RU9">
        <v>5</v>
      </c>
      <c r="RV9">
        <v>2258750</v>
      </c>
      <c r="RW9">
        <v>34865158</v>
      </c>
      <c r="RX9" t="s">
        <v>2569</v>
      </c>
      <c r="SA9" t="s">
        <v>1891</v>
      </c>
      <c r="SB9">
        <v>-2.4245362661989844E-14</v>
      </c>
      <c r="SD9">
        <v>-2.4245362661989844E-14</v>
      </c>
      <c r="SE9" t="s">
        <v>1594</v>
      </c>
      <c r="SF9">
        <v>2021</v>
      </c>
      <c r="SG9" t="s">
        <v>2726</v>
      </c>
      <c r="SH9" s="6">
        <v>44630</v>
      </c>
      <c r="SI9">
        <v>5</v>
      </c>
      <c r="SJ9">
        <v>-2.4245362661989844E-14</v>
      </c>
      <c r="SK9">
        <v>100115</v>
      </c>
      <c r="SL9" t="s">
        <v>1893</v>
      </c>
      <c r="TU9" t="s">
        <v>2383</v>
      </c>
      <c r="TV9" t="s">
        <v>1634</v>
      </c>
      <c r="TW9">
        <v>1.650523</v>
      </c>
      <c r="TX9">
        <v>1.7462089999999999</v>
      </c>
      <c r="TY9" t="s">
        <v>1599</v>
      </c>
      <c r="TZ9">
        <v>2025</v>
      </c>
      <c r="UA9" t="s">
        <v>2384</v>
      </c>
      <c r="UB9" s="6">
        <v>46029</v>
      </c>
      <c r="UC9">
        <v>5</v>
      </c>
      <c r="UD9">
        <v>97565313.560000002</v>
      </c>
      <c r="UE9">
        <v>115705</v>
      </c>
      <c r="UF9" t="s">
        <v>2385</v>
      </c>
      <c r="UI9" t="s">
        <v>22</v>
      </c>
      <c r="UJ9">
        <v>0.19926099999999999</v>
      </c>
      <c r="UK9" t="s">
        <v>1598</v>
      </c>
      <c r="UL9">
        <v>1.1451750000000001</v>
      </c>
      <c r="UM9" t="s">
        <v>1664</v>
      </c>
      <c r="UN9">
        <v>2025</v>
      </c>
      <c r="UO9" t="s">
        <v>2129</v>
      </c>
      <c r="UP9" s="6">
        <v>45895</v>
      </c>
      <c r="UQ9">
        <v>5</v>
      </c>
      <c r="UR9">
        <v>197027360</v>
      </c>
      <c r="US9">
        <v>101555</v>
      </c>
      <c r="UT9" t="s">
        <v>2130</v>
      </c>
      <c r="UY9" t="s">
        <v>114</v>
      </c>
      <c r="VA9">
        <v>-2.4245362661989844E-14</v>
      </c>
      <c r="VB9">
        <v>-2.4245362661989844E-14</v>
      </c>
      <c r="VC9" t="s">
        <v>1594</v>
      </c>
      <c r="VD9">
        <v>2022</v>
      </c>
      <c r="VE9" t="s">
        <v>5124</v>
      </c>
      <c r="VF9" s="6">
        <v>45723</v>
      </c>
      <c r="VG9">
        <v>5</v>
      </c>
      <c r="VH9">
        <v>-2.4245362661989844E-14</v>
      </c>
      <c r="VI9">
        <v>100010</v>
      </c>
      <c r="VJ9" t="s">
        <v>1996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373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374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375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376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377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378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379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380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381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382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383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384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385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386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387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388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389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390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391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392</v>
      </c>
      <c r="AE2" s="3" t="s">
        <v>77</v>
      </c>
      <c r="BI2" s="3" t="s">
        <v>303</v>
      </c>
      <c r="CM2" s="3" t="s">
        <v>393</v>
      </c>
      <c r="DQ2" s="3" t="s">
        <v>281</v>
      </c>
      <c r="EU2" s="3" t="s">
        <v>181</v>
      </c>
      <c r="FY2" s="3" t="s">
        <v>394</v>
      </c>
      <c r="HC2" s="3" t="s">
        <v>334</v>
      </c>
      <c r="IG2" s="3" t="s">
        <v>207</v>
      </c>
      <c r="JK2" s="3" t="s">
        <v>395</v>
      </c>
      <c r="KO2" s="3" t="s">
        <v>270</v>
      </c>
      <c r="LS2" s="3" t="s">
        <v>396</v>
      </c>
      <c r="MW2" s="3" t="s">
        <v>397</v>
      </c>
      <c r="OA2" s="3" t="s">
        <v>398</v>
      </c>
      <c r="PE2" s="3" t="s">
        <v>399</v>
      </c>
      <c r="QI2" s="3" t="s">
        <v>400</v>
      </c>
      <c r="RM2" s="3" t="s">
        <v>401</v>
      </c>
      <c r="SQ2" s="3" t="s">
        <v>402</v>
      </c>
      <c r="TU2" s="3" t="s">
        <v>403</v>
      </c>
      <c r="UY2" s="3" t="s">
        <v>404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_xll.BDS("355488Q US Equity","SUPPLY_CHAIN_SUPPLIERS_ALL_DATA")</f>
        <v>#N/A N/A</v>
      </c>
      <c r="O5" t="str">
        <f>_xll.BDS("355488Q US Equity","SUPPLY_CHAIN_CUSTOMERS_ALL_DATA")</f>
        <v>#N/A N/A</v>
      </c>
      <c r="AE5" t="str">
        <f>_xll.BDS("KMI US Equity","SUPPLY_CHAIN_SUPPLIERS_ALL_DATA","cols=12;rows=5")</f>
        <v>PWR US Equity</v>
      </c>
      <c r="AF5" t="s">
        <v>1634</v>
      </c>
      <c r="AG5">
        <v>0.33276499999999998</v>
      </c>
      <c r="AH5">
        <v>3.2023519999999999</v>
      </c>
      <c r="AI5" t="s">
        <v>1599</v>
      </c>
      <c r="AJ5">
        <v>2025</v>
      </c>
      <c r="AK5" t="s">
        <v>2321</v>
      </c>
      <c r="AL5" s="6">
        <v>45975</v>
      </c>
      <c r="AM5">
        <v>5</v>
      </c>
      <c r="AN5">
        <v>25394656</v>
      </c>
      <c r="AO5">
        <v>305366</v>
      </c>
      <c r="AP5" t="s">
        <v>2322</v>
      </c>
      <c r="AS5" t="str">
        <f>_xll.BDS("KMI US Equity","SUPPLY_CHAIN_CUSTOMERS_ALL_DATA","cols=12;rows=5")</f>
        <v>TX US Equity</v>
      </c>
      <c r="AT5">
        <v>0.29628300000000002</v>
      </c>
      <c r="AU5" t="s">
        <v>1598</v>
      </c>
      <c r="AV5">
        <v>0.33289200000000002</v>
      </c>
      <c r="AW5" t="s">
        <v>1599</v>
      </c>
      <c r="AX5">
        <v>2025</v>
      </c>
      <c r="AY5" t="s">
        <v>4729</v>
      </c>
      <c r="AZ5" s="6">
        <v>45959</v>
      </c>
      <c r="BA5">
        <v>5</v>
      </c>
      <c r="BB5">
        <v>12283901</v>
      </c>
      <c r="BC5">
        <v>10106947</v>
      </c>
      <c r="BD5" t="s">
        <v>4730</v>
      </c>
      <c r="BI5" t="str">
        <f>_xll.BDS("AMZN US Equity","SUPPLY_CHAIN_SUPPLIERS_ALL_DATA","cols=12;rows=5")</f>
        <v>NVDA US Equity</v>
      </c>
      <c r="BJ5" t="s">
        <v>1634</v>
      </c>
      <c r="BK5">
        <v>14.019739</v>
      </c>
      <c r="BL5">
        <v>24.166864</v>
      </c>
      <c r="BM5" t="s">
        <v>1606</v>
      </c>
      <c r="BN5">
        <v>2026</v>
      </c>
      <c r="BO5" t="s">
        <v>2004</v>
      </c>
      <c r="BP5" s="6">
        <v>46087</v>
      </c>
      <c r="BQ5">
        <v>5</v>
      </c>
      <c r="BR5">
        <v>9551227904</v>
      </c>
      <c r="BS5">
        <v>313657</v>
      </c>
      <c r="BT5" t="s">
        <v>2005</v>
      </c>
      <c r="BW5" t="str">
        <f>_xll.BDS("AMZN US Equity","SUPPLY_CHAIN_CUSTOMERS_ALL_DATA","cols=12;rows=5")</f>
        <v>SNX US Equity</v>
      </c>
      <c r="BX5">
        <v>0.21330399999999999</v>
      </c>
      <c r="BY5" t="s">
        <v>1598</v>
      </c>
      <c r="BZ5">
        <v>2.3745599999999998</v>
      </c>
      <c r="CA5" t="s">
        <v>1606</v>
      </c>
      <c r="CB5">
        <v>2025</v>
      </c>
      <c r="CC5" t="s">
        <v>1701</v>
      </c>
      <c r="CD5" s="6">
        <v>46056</v>
      </c>
      <c r="CE5">
        <v>5</v>
      </c>
      <c r="CF5">
        <v>384308064</v>
      </c>
      <c r="CG5">
        <v>1499717</v>
      </c>
      <c r="CH5" t="s">
        <v>1702</v>
      </c>
      <c r="CM5" t="str">
        <f>_xll.BDS("ENLC US Equity","SUPPLY_CHAIN_SUPPLIERS_ALL_DATA","cols=12;rows=5")</f>
        <v>AROC US Equity</v>
      </c>
      <c r="CN5" t="s">
        <v>1634</v>
      </c>
      <c r="CO5">
        <v>4.5864589999999996</v>
      </c>
      <c r="CP5">
        <v>16.124963999999999</v>
      </c>
      <c r="CQ5" t="s">
        <v>1599</v>
      </c>
      <c r="CR5">
        <v>2024</v>
      </c>
      <c r="CS5" t="s">
        <v>2067</v>
      </c>
      <c r="CT5" s="6">
        <v>45677</v>
      </c>
      <c r="CU5">
        <v>5</v>
      </c>
      <c r="CV5">
        <v>13399844</v>
      </c>
      <c r="CW5">
        <v>13070762</v>
      </c>
      <c r="CX5" t="s">
        <v>2068</v>
      </c>
      <c r="DA5" t="str">
        <f>_xll.BDS("ENLC US Equity","SUPPLY_CHAIN_CUSTOMERS_ALL_DATA","cols=12;rows=5")</f>
        <v>1216765D US Equity</v>
      </c>
      <c r="DB5">
        <v>-2.4245362661989844E-14</v>
      </c>
      <c r="DD5">
        <v>-2.4245362661989844E-14</v>
      </c>
      <c r="DE5" t="s">
        <v>1594</v>
      </c>
      <c r="DF5">
        <v>2022</v>
      </c>
      <c r="DG5" t="s">
        <v>3124</v>
      </c>
      <c r="DH5" s="6">
        <v>44980</v>
      </c>
      <c r="DI5">
        <v>5</v>
      </c>
      <c r="DJ5">
        <v>-2.4245362661989844E-14</v>
      </c>
      <c r="DK5">
        <v>43525642</v>
      </c>
      <c r="DL5" t="s">
        <v>6225</v>
      </c>
      <c r="DQ5" t="str">
        <f>_xll.BDS("MPLX US Equity","SUPPLY_CHAIN_SUPPLIERS_ALL_DATA","cols=12;rows=5")</f>
        <v>DNOW US Equity</v>
      </c>
      <c r="DR5" t="s">
        <v>1598</v>
      </c>
      <c r="DS5">
        <v>0.27696399999999999</v>
      </c>
      <c r="DT5">
        <v>0.10378</v>
      </c>
      <c r="DU5" t="s">
        <v>1599</v>
      </c>
      <c r="DV5">
        <v>2025</v>
      </c>
      <c r="DW5" t="s">
        <v>2073</v>
      </c>
      <c r="DX5" s="6">
        <v>46027</v>
      </c>
      <c r="DY5">
        <v>5</v>
      </c>
      <c r="DZ5">
        <v>1755952</v>
      </c>
      <c r="EA5">
        <v>36965288</v>
      </c>
      <c r="EB5" t="s">
        <v>2074</v>
      </c>
      <c r="EE5" t="str">
        <f>_xll.BDS("MPLX US Equity","SUPPLY_CHAIN_CUSTOMERS_ALL_DATA","cols=12;rows=3")</f>
        <v>MPC US Equity</v>
      </c>
      <c r="EF5">
        <v>49</v>
      </c>
      <c r="EG5" t="s">
        <v>1598</v>
      </c>
      <c r="EH5">
        <v>4.4841980000000001</v>
      </c>
      <c r="EI5" t="s">
        <v>1594</v>
      </c>
      <c r="EJ5">
        <v>2024</v>
      </c>
      <c r="EK5" t="s">
        <v>2548</v>
      </c>
      <c r="EL5" s="6">
        <v>45715</v>
      </c>
      <c r="EM5">
        <v>3</v>
      </c>
      <c r="EN5">
        <v>1461792512</v>
      </c>
      <c r="EO5">
        <v>23756399</v>
      </c>
      <c r="EP5" t="s">
        <v>2549</v>
      </c>
      <c r="EU5" t="str">
        <f>_xll.BDS("FCX US Equity","SUPPLY_CHAIN_SUPPLIERS_ALL_DATA","cols=12;rows=5")</f>
        <v>5711 JP Equity</v>
      </c>
      <c r="EV5" t="s">
        <v>1598</v>
      </c>
      <c r="EW5">
        <v>2.2275749999999999</v>
      </c>
      <c r="EX5">
        <v>1.311104</v>
      </c>
      <c r="EY5" t="s">
        <v>1599</v>
      </c>
      <c r="EZ5">
        <v>2025</v>
      </c>
      <c r="FA5" t="s">
        <v>5334</v>
      </c>
      <c r="FB5" s="6">
        <v>46009</v>
      </c>
      <c r="FC5">
        <v>5</v>
      </c>
      <c r="FD5">
        <v>63326324</v>
      </c>
      <c r="FE5">
        <v>114158</v>
      </c>
      <c r="FF5" t="s">
        <v>5071</v>
      </c>
      <c r="FI5" t="str">
        <f>_xll.BDS("FCX US Equity","SUPPLY_CHAIN_CUSTOMERS_ALL_DATA","cols=12;rows=5")</f>
        <v>5711 JP Equity</v>
      </c>
      <c r="FJ5">
        <v>6.5599069999999999</v>
      </c>
      <c r="FK5" t="s">
        <v>1598</v>
      </c>
      <c r="FL5">
        <v>15.883946</v>
      </c>
      <c r="FM5" t="s">
        <v>1594</v>
      </c>
      <c r="FN5">
        <v>2025</v>
      </c>
      <c r="FO5" t="s">
        <v>5070</v>
      </c>
      <c r="FP5" s="6">
        <v>46066</v>
      </c>
      <c r="FQ5">
        <v>5</v>
      </c>
      <c r="FR5">
        <v>425000000</v>
      </c>
      <c r="FS5">
        <v>114158</v>
      </c>
      <c r="FT5" t="s">
        <v>5071</v>
      </c>
      <c r="FY5" t="str">
        <f>_xll.BDS("RF US Equity","SUPPLY_CHAIN_SUPPLIERS_ALL_DATA","cols=12;rows=2")</f>
        <v>NEWT US Equity</v>
      </c>
      <c r="GA5">
        <v>-2.4245362661989844E-14</v>
      </c>
      <c r="GB5">
        <v>-2.4245362661989844E-14</v>
      </c>
      <c r="GC5" t="s">
        <v>1594</v>
      </c>
      <c r="GD5">
        <v>2024</v>
      </c>
      <c r="GE5" t="s">
        <v>5408</v>
      </c>
      <c r="GF5" s="6">
        <v>45733</v>
      </c>
      <c r="GG5">
        <v>2</v>
      </c>
      <c r="GH5">
        <v>-2.4245362661989844E-14</v>
      </c>
      <c r="GI5">
        <v>1183488</v>
      </c>
      <c r="GJ5" t="s">
        <v>4164</v>
      </c>
      <c r="GM5" t="str">
        <f>_xll.BDS("RF US Equity","SUPPLY_CHAIN_CUSTOMERS_ALL_DATA")</f>
        <v>#N/A N/A</v>
      </c>
      <c r="HC5" t="str">
        <f>_xll.BDS("EXC US Equity","SUPPLY_CHAIN_SUPPLIERS_ALL_DATA","cols=12;rows=5")</f>
        <v>PWR US Equity</v>
      </c>
      <c r="HD5" t="s">
        <v>1634</v>
      </c>
      <c r="HE5">
        <v>2.4096030000000002</v>
      </c>
      <c r="HF5">
        <v>8.6089249999999993</v>
      </c>
      <c r="HG5" t="s">
        <v>1599</v>
      </c>
      <c r="HH5">
        <v>2025</v>
      </c>
      <c r="HI5" t="s">
        <v>2321</v>
      </c>
      <c r="HJ5" s="6">
        <v>45975</v>
      </c>
      <c r="HK5">
        <v>5</v>
      </c>
      <c r="HL5">
        <v>183886640</v>
      </c>
      <c r="HM5">
        <v>305366</v>
      </c>
      <c r="HN5" t="s">
        <v>2322</v>
      </c>
      <c r="HQ5" t="str">
        <f>_xll.BDS("EXC US Equity","SUPPLY_CHAIN_CUSTOMERS_ALL_DATA","cols=12;rows=5")</f>
        <v>ARW US Equity</v>
      </c>
      <c r="HR5">
        <v>0.232519</v>
      </c>
      <c r="HS5" t="s">
        <v>1598</v>
      </c>
      <c r="HT5">
        <v>0.258465</v>
      </c>
      <c r="HU5" t="s">
        <v>1603</v>
      </c>
      <c r="HV5">
        <v>2025</v>
      </c>
      <c r="HW5" t="s">
        <v>1892</v>
      </c>
      <c r="HX5" s="6">
        <v>45784</v>
      </c>
      <c r="HY5">
        <v>5</v>
      </c>
      <c r="HZ5">
        <v>15611351</v>
      </c>
      <c r="IA5">
        <v>100115</v>
      </c>
      <c r="IB5" t="s">
        <v>1893</v>
      </c>
      <c r="IG5" t="str">
        <f>_xll.BDS("GILD US Equity","SUPPLY_CHAIN_SUPPLIERS_ALL_DATA","cols=12;rows=5")</f>
        <v>JNJ US Equity</v>
      </c>
      <c r="IH5" t="s">
        <v>1598</v>
      </c>
      <c r="II5">
        <v>0.39174900000000001</v>
      </c>
      <c r="IJ5">
        <v>5.9191529999999997</v>
      </c>
      <c r="IK5" t="s">
        <v>1594</v>
      </c>
      <c r="IL5">
        <v>2025</v>
      </c>
      <c r="IM5" t="s">
        <v>2373</v>
      </c>
      <c r="IN5" s="6">
        <v>46077</v>
      </c>
      <c r="IO5">
        <v>5</v>
      </c>
      <c r="IP5">
        <v>92250000</v>
      </c>
      <c r="IQ5">
        <v>100828</v>
      </c>
      <c r="IR5" t="s">
        <v>1865</v>
      </c>
      <c r="IU5" t="str">
        <f>_xll.BDS("GILD US Equity","SUPPLY_CHAIN_CUSTOMERS_ALL_DATA","cols=12;rows=5")</f>
        <v>CAH US Equity</v>
      </c>
      <c r="IV5">
        <v>29</v>
      </c>
      <c r="IW5" t="s">
        <v>1598</v>
      </c>
      <c r="IX5">
        <v>3.6236459999999999</v>
      </c>
      <c r="IY5" t="s">
        <v>1594</v>
      </c>
      <c r="IZ5">
        <v>2025</v>
      </c>
      <c r="JA5" t="s">
        <v>2373</v>
      </c>
      <c r="JB5" s="6">
        <v>46077</v>
      </c>
      <c r="JC5">
        <v>5</v>
      </c>
      <c r="JD5">
        <v>2134617472</v>
      </c>
      <c r="JE5">
        <v>102782</v>
      </c>
      <c r="JF5" t="s">
        <v>1626</v>
      </c>
      <c r="JK5" t="str">
        <f>_xll.BDS("DBRG US Equity","SUPPLY_CHAIN_SUPPLIERS_ALL_DATA","cols=12;rows=5")</f>
        <v>1504275D US Equity</v>
      </c>
      <c r="JM5">
        <v>-2.4245362661989844E-14</v>
      </c>
      <c r="JN5">
        <v>-2.4245362661989844E-14</v>
      </c>
      <c r="JO5" t="s">
        <v>1594</v>
      </c>
      <c r="JP5">
        <v>2025</v>
      </c>
      <c r="JQ5" t="s">
        <v>4693</v>
      </c>
      <c r="JR5" s="6">
        <v>45845</v>
      </c>
      <c r="JS5">
        <v>5</v>
      </c>
      <c r="JT5">
        <v>-2.4245362661989844E-14</v>
      </c>
      <c r="JU5">
        <v>53552391</v>
      </c>
      <c r="JV5" t="s">
        <v>4694</v>
      </c>
      <c r="JY5" t="str">
        <f>_xll.BDS("DBRG US Equity","SUPPLY_CHAIN_CUSTOMERS_ALL_DATA","cols=12;rows=5")</f>
        <v>603667 CH Equity</v>
      </c>
      <c r="JZ5">
        <v>4.1456E-2</v>
      </c>
      <c r="KA5" t="s">
        <v>1598</v>
      </c>
      <c r="KB5">
        <v>5.4593000000000003E-2</v>
      </c>
      <c r="KC5" t="s">
        <v>1792</v>
      </c>
      <c r="KD5">
        <v>2025</v>
      </c>
      <c r="KE5" t="s">
        <v>5468</v>
      </c>
      <c r="KF5" s="6">
        <v>45896</v>
      </c>
      <c r="KG5">
        <v>5</v>
      </c>
      <c r="KH5">
        <v>59653.42</v>
      </c>
      <c r="KI5">
        <v>21769261</v>
      </c>
      <c r="KJ5" t="s">
        <v>5469</v>
      </c>
      <c r="KO5" t="str">
        <f>_xll.BDS("PEP US Equity","SUPPLY_CHAIN_SUPPLIERS_ALL_DATA","cols=12;rows=5")</f>
        <v>AMCR US Equity</v>
      </c>
      <c r="KP5" t="s">
        <v>1598</v>
      </c>
      <c r="KQ5">
        <v>5.9558450000000001</v>
      </c>
      <c r="KR5">
        <v>3.014294</v>
      </c>
      <c r="KS5" t="s">
        <v>1664</v>
      </c>
      <c r="KT5">
        <v>2026</v>
      </c>
      <c r="KU5" t="s">
        <v>2336</v>
      </c>
      <c r="KV5" s="6">
        <v>46071</v>
      </c>
      <c r="KW5">
        <v>5</v>
      </c>
      <c r="KX5">
        <v>324533984</v>
      </c>
      <c r="KY5">
        <v>61417091</v>
      </c>
      <c r="KZ5" t="s">
        <v>2337</v>
      </c>
      <c r="LC5" t="str">
        <f>_xll.BDS("PEP US Equity","SUPPLY_CHAIN_CUSTOMERS_ALL_DATA","cols=12;rows=5")</f>
        <v>WMT US Equity</v>
      </c>
      <c r="LD5">
        <v>14</v>
      </c>
      <c r="LE5" t="s">
        <v>1598</v>
      </c>
      <c r="LF5">
        <v>2.534373</v>
      </c>
      <c r="LG5" t="s">
        <v>1594</v>
      </c>
      <c r="LH5">
        <v>2024</v>
      </c>
      <c r="LI5" t="s">
        <v>2826</v>
      </c>
      <c r="LJ5" s="6">
        <v>45692</v>
      </c>
      <c r="LK5">
        <v>5</v>
      </c>
      <c r="LL5">
        <v>3214889984</v>
      </c>
      <c r="LM5">
        <v>101616</v>
      </c>
      <c r="LN5" t="s">
        <v>1666</v>
      </c>
      <c r="LS5" t="str">
        <f>_xll.BDS("1377Q US Equity","SUPPLY_CHAIN_SUPPLIERS_ALL_DATA")</f>
        <v>#N/A N/A</v>
      </c>
      <c r="MG5" t="str">
        <f>_xll.BDS("1377Q US Equity","SUPPLY_CHAIN_CUSTOMERS_ALL_DATA")</f>
        <v>#N/A N/A</v>
      </c>
      <c r="MW5" t="str">
        <f>_xll.BDS("WMB US Equity","SUPPLY_CHAIN_SUPPLIERS_ALL_DATA","cols=12;rows=5")</f>
        <v>PWR US Equity</v>
      </c>
      <c r="MX5" t="s">
        <v>1634</v>
      </c>
      <c r="MY5">
        <v>0.62114000000000003</v>
      </c>
      <c r="MZ5">
        <v>4.9687349999999997</v>
      </c>
      <c r="NA5" t="s">
        <v>1599</v>
      </c>
      <c r="NB5">
        <v>2025</v>
      </c>
      <c r="NC5" t="s">
        <v>2321</v>
      </c>
      <c r="ND5" s="6">
        <v>45975</v>
      </c>
      <c r="NE5">
        <v>5</v>
      </c>
      <c r="NF5">
        <v>47401728</v>
      </c>
      <c r="NG5">
        <v>305366</v>
      </c>
      <c r="NH5" t="s">
        <v>2322</v>
      </c>
      <c r="NK5" t="str">
        <f>_xll.BDS("WMB US Equity","SUPPLY_CHAIN_CUSTOMERS_ALL_DATA","cols=12;rows=5")</f>
        <v>3352Z US Equity</v>
      </c>
      <c r="NL5">
        <v>-2.4245362661989844E-14</v>
      </c>
      <c r="NN5">
        <v>-2.4245362661989844E-14</v>
      </c>
      <c r="NO5" t="s">
        <v>1594</v>
      </c>
      <c r="NP5">
        <v>2023</v>
      </c>
      <c r="NQ5" t="s">
        <v>2745</v>
      </c>
      <c r="NR5" s="6">
        <v>45216</v>
      </c>
      <c r="NS5">
        <v>5</v>
      </c>
      <c r="NT5">
        <v>-2.4245362661989844E-14</v>
      </c>
      <c r="NU5">
        <v>218252</v>
      </c>
      <c r="NV5" t="s">
        <v>1622</v>
      </c>
      <c r="OA5" t="str">
        <f>_xll.BDS("AW US Equity","SUPPLY_CHAIN_SUPPLIERS_ALL_DATA")</f>
        <v>#N/A N/A</v>
      </c>
      <c r="OO5" t="str">
        <f>_xll.BDS("AW US Equity","SUPPLY_CHAIN_CUSTOMERS_ALL_DATA")</f>
        <v>#N/A N/A</v>
      </c>
      <c r="PE5" t="str">
        <f>_xll.BDS("IP US Equity","SUPPLY_CHAIN_SUPPLIERS_ALL_DATA","cols=12;rows=5")</f>
        <v>MTX US Equity</v>
      </c>
      <c r="PF5" t="s">
        <v>1598</v>
      </c>
      <c r="PG5">
        <v>2.7562509999999998</v>
      </c>
      <c r="PH5">
        <v>0.34728900000000001</v>
      </c>
      <c r="PI5" t="s">
        <v>1606</v>
      </c>
      <c r="PJ5">
        <v>2025</v>
      </c>
      <c r="PK5" t="s">
        <v>3756</v>
      </c>
      <c r="PL5" s="6">
        <v>46070</v>
      </c>
      <c r="PM5">
        <v>5</v>
      </c>
      <c r="PN5">
        <v>14318724</v>
      </c>
      <c r="PO5">
        <v>115851</v>
      </c>
      <c r="PP5" t="s">
        <v>3757</v>
      </c>
      <c r="PS5" t="str">
        <f>_xll.BDS("IP US Equity","SUPPLY_CHAIN_CUSTOMERS_ALL_DATA","cols=12;rows=5")</f>
        <v>TSCO LN Equity</v>
      </c>
      <c r="PT5">
        <v>0.128079</v>
      </c>
      <c r="PU5" t="s">
        <v>1598</v>
      </c>
      <c r="PV5">
        <v>4.0013E-2</v>
      </c>
      <c r="PW5" t="s">
        <v>1603</v>
      </c>
      <c r="PX5">
        <v>2026</v>
      </c>
      <c r="PY5" t="s">
        <v>1876</v>
      </c>
      <c r="PZ5" s="6">
        <v>45898</v>
      </c>
      <c r="QA5">
        <v>5</v>
      </c>
      <c r="QB5">
        <v>8490118.5899999999</v>
      </c>
      <c r="QC5">
        <v>112370</v>
      </c>
      <c r="QD5" t="s">
        <v>1877</v>
      </c>
      <c r="QI5" t="str">
        <f>_xll.BDS("VER US Equity","SUPPLY_CHAIN_SUPPLIERS_ALL_DATA")</f>
        <v>#N/A N/A</v>
      </c>
      <c r="QW5" t="str">
        <f>_xll.BDS("VER US Equity","SUPPLY_CHAIN_CUSTOMERS_ALL_DATA")</f>
        <v>#N/A N/A</v>
      </c>
      <c r="RM5" t="str">
        <f>_xll.BDS("MCHP US Equity","SUPPLY_CHAIN_SUPPLIERS_ALL_DATA","cols=12;rows=5")</f>
        <v>GFS US Equity</v>
      </c>
      <c r="RN5" t="s">
        <v>1598</v>
      </c>
      <c r="RO5">
        <v>0.92524700000000004</v>
      </c>
      <c r="RP5">
        <v>3.1242359999999998</v>
      </c>
      <c r="RQ5" t="s">
        <v>1603</v>
      </c>
      <c r="RR5">
        <v>2025</v>
      </c>
      <c r="RS5" t="s">
        <v>4646</v>
      </c>
      <c r="RT5" s="6">
        <v>45792</v>
      </c>
      <c r="RU5">
        <v>5</v>
      </c>
      <c r="RV5">
        <v>14665165</v>
      </c>
      <c r="RW5">
        <v>15242973</v>
      </c>
      <c r="RX5" t="s">
        <v>4647</v>
      </c>
      <c r="SA5" t="str">
        <f>_xll.BDS("MCHP US Equity","SUPPLY_CHAIN_CUSTOMERS_ALL_DATA","cols=12;rows=5")</f>
        <v>ARW US Equity</v>
      </c>
      <c r="SB5">
        <v>12</v>
      </c>
      <c r="SC5" t="s">
        <v>1598</v>
      </c>
      <c r="SD5">
        <v>1.987511</v>
      </c>
      <c r="SE5" t="s">
        <v>1651</v>
      </c>
      <c r="SF5">
        <v>2026</v>
      </c>
      <c r="SG5" t="s">
        <v>5169</v>
      </c>
      <c r="SH5" s="6">
        <v>46058</v>
      </c>
      <c r="SI5">
        <v>5</v>
      </c>
      <c r="SJ5">
        <v>136076000</v>
      </c>
      <c r="SK5">
        <v>100115</v>
      </c>
      <c r="SL5" t="s">
        <v>1893</v>
      </c>
      <c r="SQ5" t="str">
        <f>_xll.BDS("2499073D US Equity","SUPPLY_CHAIN_SUPPLIERS_ALL_DATA")</f>
        <v>#N/A N/A</v>
      </c>
      <c r="TE5" t="str">
        <f>_xll.BDS("2499073D US Equity","SUPPLY_CHAIN_CUSTOMERS_ALL_DATA")</f>
        <v>#N/A N/A</v>
      </c>
      <c r="TU5" t="str">
        <f>_xll.BDS("RHDCQ US Equity","SUPPLY_CHAIN_SUPPLIERS_ALL_DATA")</f>
        <v>#N/A N/A</v>
      </c>
      <c r="UI5" t="str">
        <f>_xll.BDS("RHDCQ US Equity","SUPPLY_CHAIN_CUSTOMERS_ALL_DATA")</f>
        <v>#N/A N/A</v>
      </c>
      <c r="UY5" t="str">
        <f>_xll.BDS("1813626D US Equity","SUPPLY_CHAIN_SUPPLIERS_ALL_DATA","cols=12;rows=1")</f>
        <v>FE US Equity</v>
      </c>
      <c r="VA5">
        <v>-2.4245362661989844E-14</v>
      </c>
      <c r="VB5">
        <v>-2.4245362661989844E-14</v>
      </c>
      <c r="VC5" t="s">
        <v>1594</v>
      </c>
      <c r="VD5">
        <v>2021</v>
      </c>
      <c r="VE5" t="s">
        <v>3048</v>
      </c>
      <c r="VF5" s="6">
        <v>44693</v>
      </c>
      <c r="VG5">
        <v>1</v>
      </c>
      <c r="VH5">
        <v>-2.4245362661989844E-14</v>
      </c>
      <c r="VI5">
        <v>302916</v>
      </c>
      <c r="VJ5" t="s">
        <v>3049</v>
      </c>
      <c r="VM5" t="str">
        <f>_xll.BDS("1813626D US Equity","SUPPLY_CHAIN_CUSTOMERS_ALL_DATA")</f>
        <v>#N/A N/A</v>
      </c>
    </row>
    <row r="6" spans="1:600" x14ac:dyDescent="0.25">
      <c r="AE6" t="s">
        <v>2317</v>
      </c>
      <c r="AF6" t="s">
        <v>1598</v>
      </c>
      <c r="AG6">
        <v>1.424056</v>
      </c>
      <c r="AH6">
        <v>0.865734</v>
      </c>
      <c r="AI6" t="s">
        <v>1603</v>
      </c>
      <c r="AJ6">
        <v>2025</v>
      </c>
      <c r="AK6" t="s">
        <v>2318</v>
      </c>
      <c r="AL6" s="6">
        <v>45863</v>
      </c>
      <c r="AM6">
        <v>5</v>
      </c>
      <c r="AN6">
        <v>23470038</v>
      </c>
      <c r="AO6">
        <v>10832677</v>
      </c>
      <c r="AP6" t="s">
        <v>2319</v>
      </c>
      <c r="AS6" t="s">
        <v>2108</v>
      </c>
      <c r="AT6">
        <v>-2.4245362661989844E-14</v>
      </c>
      <c r="AV6">
        <v>-2.4245362661989844E-14</v>
      </c>
      <c r="AW6" t="s">
        <v>1594</v>
      </c>
      <c r="AX6">
        <v>2024</v>
      </c>
      <c r="AY6" t="s">
        <v>4731</v>
      </c>
      <c r="AZ6" s="6">
        <v>45734</v>
      </c>
      <c r="BA6">
        <v>5</v>
      </c>
      <c r="BB6">
        <v>-2.4245362661989844E-14</v>
      </c>
      <c r="BC6">
        <v>227699</v>
      </c>
      <c r="BD6" t="s">
        <v>2110</v>
      </c>
      <c r="BI6" t="s">
        <v>3655</v>
      </c>
      <c r="BJ6" t="s">
        <v>1634</v>
      </c>
      <c r="BK6">
        <v>4.4260219999999997</v>
      </c>
      <c r="BL6">
        <v>7.9928030000000003</v>
      </c>
      <c r="BM6" t="s">
        <v>1664</v>
      </c>
      <c r="BN6">
        <v>2025</v>
      </c>
      <c r="BO6" t="s">
        <v>3656</v>
      </c>
      <c r="BP6" s="6">
        <v>45889</v>
      </c>
      <c r="BQ6">
        <v>5</v>
      </c>
      <c r="BR6">
        <v>2574419440.6399999</v>
      </c>
      <c r="BS6">
        <v>119133</v>
      </c>
      <c r="BT6" t="s">
        <v>3657</v>
      </c>
      <c r="BW6" t="s">
        <v>117</v>
      </c>
      <c r="BX6">
        <v>0.167933</v>
      </c>
      <c r="BY6" t="s">
        <v>1598</v>
      </c>
      <c r="BZ6">
        <v>4.0156150000000004</v>
      </c>
      <c r="CA6" t="s">
        <v>1603</v>
      </c>
      <c r="CB6">
        <v>2025</v>
      </c>
      <c r="CC6" t="s">
        <v>1744</v>
      </c>
      <c r="CD6" s="6">
        <v>45797</v>
      </c>
      <c r="CE6">
        <v>5</v>
      </c>
      <c r="CF6">
        <v>261416544</v>
      </c>
      <c r="CG6">
        <v>100801</v>
      </c>
      <c r="CH6" t="s">
        <v>1745</v>
      </c>
      <c r="CM6" t="s">
        <v>6313</v>
      </c>
      <c r="CO6">
        <v>-2.4245362661989844E-14</v>
      </c>
      <c r="CP6">
        <v>-2.4245362661989844E-14</v>
      </c>
      <c r="CQ6" t="s">
        <v>1603</v>
      </c>
      <c r="CR6">
        <v>2022</v>
      </c>
      <c r="CS6" t="s">
        <v>6314</v>
      </c>
      <c r="CT6" s="6">
        <v>44685</v>
      </c>
      <c r="CU6">
        <v>5</v>
      </c>
      <c r="CV6">
        <v>-2.4245362661989844E-14</v>
      </c>
      <c r="CW6">
        <v>11138691</v>
      </c>
      <c r="CX6" t="s">
        <v>6315</v>
      </c>
      <c r="DA6" t="s">
        <v>2746</v>
      </c>
      <c r="DB6">
        <v>-2.4245362661989844E-14</v>
      </c>
      <c r="DD6">
        <v>-2.4245362661989844E-14</v>
      </c>
      <c r="DE6" t="s">
        <v>1594</v>
      </c>
      <c r="DF6">
        <v>2023</v>
      </c>
      <c r="DG6" t="s">
        <v>6226</v>
      </c>
      <c r="DH6" s="6">
        <v>45244</v>
      </c>
      <c r="DI6">
        <v>5</v>
      </c>
      <c r="DJ6">
        <v>-2.4245362661989844E-14</v>
      </c>
      <c r="DK6">
        <v>100131</v>
      </c>
      <c r="DL6" t="s">
        <v>2748</v>
      </c>
      <c r="DQ6" t="s">
        <v>2298</v>
      </c>
      <c r="DR6" t="s">
        <v>1598</v>
      </c>
      <c r="DS6">
        <v>3.3007000000000002E-2</v>
      </c>
      <c r="DT6">
        <v>6.9973999999999995E-2</v>
      </c>
      <c r="DU6" t="s">
        <v>1599</v>
      </c>
      <c r="DV6">
        <v>2025</v>
      </c>
      <c r="DW6" t="s">
        <v>2299</v>
      </c>
      <c r="DX6" s="6">
        <v>45993</v>
      </c>
      <c r="DY6">
        <v>5</v>
      </c>
      <c r="DZ6">
        <v>1183961</v>
      </c>
      <c r="EA6">
        <v>100415</v>
      </c>
      <c r="EB6" t="s">
        <v>2300</v>
      </c>
      <c r="EE6" t="s">
        <v>2550</v>
      </c>
      <c r="EF6">
        <v>-2.4245362661989844E-14</v>
      </c>
      <c r="EH6">
        <v>-2.4245362661989844E-14</v>
      </c>
      <c r="EI6" t="s">
        <v>1594</v>
      </c>
      <c r="EJ6">
        <v>2023</v>
      </c>
      <c r="EK6" t="s">
        <v>2551</v>
      </c>
      <c r="EL6" s="6">
        <v>45337</v>
      </c>
      <c r="EM6">
        <v>3</v>
      </c>
      <c r="EN6">
        <v>-2.4245362661989844E-14</v>
      </c>
      <c r="EO6">
        <v>17312199</v>
      </c>
      <c r="EP6" t="s">
        <v>2552</v>
      </c>
      <c r="EU6" t="s">
        <v>5335</v>
      </c>
      <c r="EV6" t="s">
        <v>1598</v>
      </c>
      <c r="EW6">
        <v>3.2912219999999999</v>
      </c>
      <c r="EX6">
        <v>0.54136600000000001</v>
      </c>
      <c r="EY6" t="s">
        <v>1599</v>
      </c>
      <c r="EZ6">
        <v>2025</v>
      </c>
      <c r="FA6" t="s">
        <v>5334</v>
      </c>
      <c r="FB6" s="6">
        <v>46009</v>
      </c>
      <c r="FC6">
        <v>5</v>
      </c>
      <c r="FD6">
        <v>26147978</v>
      </c>
      <c r="FE6">
        <v>223412</v>
      </c>
      <c r="FF6" t="s">
        <v>5336</v>
      </c>
      <c r="FI6" t="s">
        <v>2081</v>
      </c>
      <c r="FJ6">
        <v>-2.4245362661989844E-14</v>
      </c>
      <c r="FL6">
        <v>-2.4245362661989844E-14</v>
      </c>
      <c r="FM6" t="s">
        <v>1792</v>
      </c>
      <c r="FN6">
        <v>2022</v>
      </c>
      <c r="FO6" t="s">
        <v>5072</v>
      </c>
      <c r="FP6" s="6">
        <v>44802</v>
      </c>
      <c r="FQ6">
        <v>5</v>
      </c>
      <c r="FR6">
        <v>-2.4245362661989844E-14</v>
      </c>
      <c r="FS6">
        <v>116630</v>
      </c>
      <c r="FT6" t="s">
        <v>2083</v>
      </c>
      <c r="FY6" t="s">
        <v>2528</v>
      </c>
      <c r="GA6">
        <v>-2.4245362661989844E-14</v>
      </c>
      <c r="GB6">
        <v>-2.4245362661989844E-14</v>
      </c>
      <c r="GC6" t="s">
        <v>1664</v>
      </c>
      <c r="GD6">
        <v>2023</v>
      </c>
      <c r="GE6" t="s">
        <v>2529</v>
      </c>
      <c r="GF6" s="6">
        <v>45173</v>
      </c>
      <c r="GG6">
        <v>2</v>
      </c>
      <c r="GH6">
        <v>-2.4245362661989844E-14</v>
      </c>
      <c r="GI6">
        <v>202476</v>
      </c>
      <c r="GJ6" t="s">
        <v>2530</v>
      </c>
      <c r="HC6" t="s">
        <v>3820</v>
      </c>
      <c r="HD6" t="s">
        <v>1598</v>
      </c>
      <c r="HE6">
        <v>0.32812200000000002</v>
      </c>
      <c r="HF6">
        <v>0.37049900000000002</v>
      </c>
      <c r="HG6" t="s">
        <v>1603</v>
      </c>
      <c r="HH6">
        <v>2025</v>
      </c>
      <c r="HI6" t="s">
        <v>3821</v>
      </c>
      <c r="HJ6" s="6">
        <v>45849</v>
      </c>
      <c r="HK6">
        <v>5</v>
      </c>
      <c r="HL6">
        <v>9343989</v>
      </c>
      <c r="HM6">
        <v>102595</v>
      </c>
      <c r="HN6" t="s">
        <v>3822</v>
      </c>
      <c r="HQ6" t="s">
        <v>5082</v>
      </c>
      <c r="HR6">
        <v>-2.4245362661989844E-14</v>
      </c>
      <c r="HT6">
        <v>-2.4245362661989844E-14</v>
      </c>
      <c r="HU6" t="s">
        <v>1594</v>
      </c>
      <c r="HV6">
        <v>2021</v>
      </c>
      <c r="HW6" t="s">
        <v>5083</v>
      </c>
      <c r="HX6" s="6">
        <v>44693</v>
      </c>
      <c r="HY6">
        <v>5</v>
      </c>
      <c r="HZ6">
        <v>-2.4245362661989844E-14</v>
      </c>
      <c r="IA6">
        <v>117699</v>
      </c>
      <c r="IB6" t="s">
        <v>5084</v>
      </c>
      <c r="IG6" t="s">
        <v>4296</v>
      </c>
      <c r="IH6" t="s">
        <v>1598</v>
      </c>
      <c r="II6">
        <v>87.357474999999994</v>
      </c>
      <c r="IJ6">
        <v>4.166086</v>
      </c>
      <c r="IK6" t="s">
        <v>1594</v>
      </c>
      <c r="IL6">
        <v>2024</v>
      </c>
      <c r="IM6" t="s">
        <v>4297</v>
      </c>
      <c r="IN6" s="6">
        <v>45744</v>
      </c>
      <c r="IO6">
        <v>5</v>
      </c>
      <c r="IP6">
        <v>65124360</v>
      </c>
      <c r="IQ6">
        <v>1421851</v>
      </c>
      <c r="IR6" t="s">
        <v>4298</v>
      </c>
      <c r="IU6" t="s">
        <v>277</v>
      </c>
      <c r="IV6">
        <v>24</v>
      </c>
      <c r="IW6" t="s">
        <v>1598</v>
      </c>
      <c r="IX6">
        <v>1.8410839999999999</v>
      </c>
      <c r="IY6" t="s">
        <v>1594</v>
      </c>
      <c r="IZ6">
        <v>2025</v>
      </c>
      <c r="JA6" t="s">
        <v>2373</v>
      </c>
      <c r="JB6" s="6">
        <v>46077</v>
      </c>
      <c r="JC6">
        <v>5</v>
      </c>
      <c r="JD6">
        <v>1766579968</v>
      </c>
      <c r="JE6">
        <v>154936</v>
      </c>
      <c r="JF6" t="s">
        <v>1766</v>
      </c>
      <c r="JK6" t="s">
        <v>1416</v>
      </c>
      <c r="JM6">
        <v>-2.4245362661989844E-14</v>
      </c>
      <c r="JN6">
        <v>-2.4245362661989844E-14</v>
      </c>
      <c r="JO6" t="s">
        <v>1594</v>
      </c>
      <c r="JP6">
        <v>2025</v>
      </c>
      <c r="JQ6" t="s">
        <v>4695</v>
      </c>
      <c r="JR6" s="6">
        <v>45882</v>
      </c>
      <c r="JS6">
        <v>5</v>
      </c>
      <c r="JT6">
        <v>-2.4245362661989844E-14</v>
      </c>
      <c r="JU6">
        <v>393374</v>
      </c>
      <c r="JV6" t="s">
        <v>2013</v>
      </c>
      <c r="JY6" t="s">
        <v>5470</v>
      </c>
      <c r="JZ6">
        <v>-2.4245362661989844E-14</v>
      </c>
      <c r="KB6">
        <v>-2.4245362661989844E-14</v>
      </c>
      <c r="KC6" t="s">
        <v>1594</v>
      </c>
      <c r="KD6">
        <v>2023</v>
      </c>
      <c r="KE6" t="s">
        <v>4695</v>
      </c>
      <c r="KF6" s="6">
        <v>45187</v>
      </c>
      <c r="KG6">
        <v>5</v>
      </c>
      <c r="KH6">
        <v>-2.4245362661989844E-14</v>
      </c>
      <c r="KI6">
        <v>935799</v>
      </c>
      <c r="KJ6" t="s">
        <v>5471</v>
      </c>
      <c r="KO6" t="s">
        <v>3842</v>
      </c>
      <c r="KP6" t="s">
        <v>1598</v>
      </c>
      <c r="KQ6">
        <v>7.4403589999999999</v>
      </c>
      <c r="KR6">
        <v>2.409062</v>
      </c>
      <c r="KS6" t="s">
        <v>1599</v>
      </c>
      <c r="KT6">
        <v>2025</v>
      </c>
      <c r="KU6" t="s">
        <v>3843</v>
      </c>
      <c r="KV6" s="6">
        <v>46050</v>
      </c>
      <c r="KW6">
        <v>5</v>
      </c>
      <c r="KX6">
        <v>251409728</v>
      </c>
      <c r="KY6">
        <v>100149</v>
      </c>
      <c r="KZ6" t="s">
        <v>3844</v>
      </c>
      <c r="LC6" t="s">
        <v>311</v>
      </c>
      <c r="LD6">
        <v>5.077191</v>
      </c>
      <c r="LE6" t="s">
        <v>1598</v>
      </c>
      <c r="LF6">
        <v>3.3744339999999999</v>
      </c>
      <c r="LG6" t="s">
        <v>1664</v>
      </c>
      <c r="LH6">
        <v>2025</v>
      </c>
      <c r="LI6" t="s">
        <v>2827</v>
      </c>
      <c r="LJ6" s="6">
        <v>45855</v>
      </c>
      <c r="LK6">
        <v>5</v>
      </c>
      <c r="LL6">
        <v>1165900800</v>
      </c>
      <c r="LM6">
        <v>100864</v>
      </c>
      <c r="LN6" t="s">
        <v>1668</v>
      </c>
      <c r="MW6" t="s">
        <v>2066</v>
      </c>
      <c r="MX6" t="s">
        <v>1634</v>
      </c>
      <c r="MY6">
        <v>8.2072929999999999</v>
      </c>
      <c r="MZ6">
        <v>3.2352270000000001</v>
      </c>
      <c r="NA6" t="s">
        <v>1664</v>
      </c>
      <c r="NB6">
        <v>2025</v>
      </c>
      <c r="NC6" t="s">
        <v>2067</v>
      </c>
      <c r="ND6" s="6">
        <v>45929</v>
      </c>
      <c r="NE6">
        <v>5</v>
      </c>
      <c r="NF6">
        <v>31446408</v>
      </c>
      <c r="NG6">
        <v>13070762</v>
      </c>
      <c r="NH6" t="s">
        <v>2068</v>
      </c>
      <c r="NK6" t="s">
        <v>2428</v>
      </c>
      <c r="NL6">
        <v>-2.4245362661989844E-14</v>
      </c>
      <c r="NN6">
        <v>-2.4245362661989844E-14</v>
      </c>
      <c r="NO6" t="s">
        <v>1594</v>
      </c>
      <c r="NP6">
        <v>2023</v>
      </c>
      <c r="NQ6" t="s">
        <v>2745</v>
      </c>
      <c r="NR6" s="6">
        <v>45216</v>
      </c>
      <c r="NS6">
        <v>5</v>
      </c>
      <c r="NT6">
        <v>-2.4245362661989844E-14</v>
      </c>
      <c r="NU6">
        <v>962207</v>
      </c>
      <c r="NV6" t="s">
        <v>2429</v>
      </c>
      <c r="PE6" t="s">
        <v>143</v>
      </c>
      <c r="PF6" t="s">
        <v>1598</v>
      </c>
      <c r="PG6">
        <v>6.6083000000000003E-2</v>
      </c>
      <c r="PH6">
        <v>0.246752</v>
      </c>
      <c r="PI6" t="s">
        <v>1606</v>
      </c>
      <c r="PJ6">
        <v>2025</v>
      </c>
      <c r="PK6" t="s">
        <v>2251</v>
      </c>
      <c r="PL6" s="6">
        <v>45848</v>
      </c>
      <c r="PM6">
        <v>5</v>
      </c>
      <c r="PN6">
        <v>10509179</v>
      </c>
      <c r="PO6">
        <v>101752</v>
      </c>
      <c r="PP6" t="s">
        <v>2265</v>
      </c>
      <c r="PS6" t="s">
        <v>2032</v>
      </c>
      <c r="PT6">
        <v>-2.4245362661989844E-14</v>
      </c>
      <c r="PV6">
        <v>-2.4245362661989844E-14</v>
      </c>
      <c r="PW6" t="s">
        <v>1651</v>
      </c>
      <c r="PX6">
        <v>2025</v>
      </c>
      <c r="PY6" t="s">
        <v>4358</v>
      </c>
      <c r="PZ6" s="6">
        <v>45975</v>
      </c>
      <c r="QA6">
        <v>5</v>
      </c>
      <c r="QB6">
        <v>-2.4245362661989844E-14</v>
      </c>
      <c r="QC6">
        <v>128990</v>
      </c>
      <c r="QD6" t="s">
        <v>2034</v>
      </c>
      <c r="RM6" t="s">
        <v>3808</v>
      </c>
      <c r="RN6" t="s">
        <v>1598</v>
      </c>
      <c r="RO6">
        <v>0.30862800000000001</v>
      </c>
      <c r="RP6">
        <v>1.2203660000000001</v>
      </c>
      <c r="RQ6" t="s">
        <v>1599</v>
      </c>
      <c r="RR6">
        <v>2025</v>
      </c>
      <c r="RS6" t="s">
        <v>3809</v>
      </c>
      <c r="RT6" s="6">
        <v>46035</v>
      </c>
      <c r="RU6">
        <v>5</v>
      </c>
      <c r="RV6">
        <v>6132340</v>
      </c>
      <c r="RW6">
        <v>302680</v>
      </c>
      <c r="RX6" t="s">
        <v>3810</v>
      </c>
      <c r="SA6" t="s">
        <v>2690</v>
      </c>
      <c r="SB6">
        <v>4.9519380000000002</v>
      </c>
      <c r="SC6" t="s">
        <v>1598</v>
      </c>
      <c r="SD6">
        <v>0.53381100000000004</v>
      </c>
      <c r="SE6" t="s">
        <v>1664</v>
      </c>
      <c r="SF6">
        <v>2026</v>
      </c>
      <c r="SG6" t="s">
        <v>5170</v>
      </c>
      <c r="SH6" s="6">
        <v>46035</v>
      </c>
      <c r="SI6">
        <v>5</v>
      </c>
      <c r="SJ6">
        <v>56471900</v>
      </c>
      <c r="SK6">
        <v>1459396</v>
      </c>
      <c r="SL6" t="s">
        <v>2692</v>
      </c>
    </row>
    <row r="7" spans="1:600" x14ac:dyDescent="0.25">
      <c r="AE7" t="s">
        <v>3238</v>
      </c>
      <c r="AF7" t="s">
        <v>1634</v>
      </c>
      <c r="AG7">
        <v>0.609344</v>
      </c>
      <c r="AH7">
        <v>0.38486500000000001</v>
      </c>
      <c r="AI7" t="s">
        <v>1664</v>
      </c>
      <c r="AJ7">
        <v>2026</v>
      </c>
      <c r="AK7" t="s">
        <v>3239</v>
      </c>
      <c r="AL7" s="6">
        <v>45980</v>
      </c>
      <c r="AM7">
        <v>5</v>
      </c>
      <c r="AN7">
        <v>3053214.9</v>
      </c>
      <c r="AO7">
        <v>223067</v>
      </c>
      <c r="AP7" t="s">
        <v>3240</v>
      </c>
      <c r="AS7" t="s">
        <v>4732</v>
      </c>
      <c r="AT7">
        <v>-2.4245362661989844E-14</v>
      </c>
      <c r="AV7">
        <v>-2.4245362661989844E-14</v>
      </c>
      <c r="AW7" t="s">
        <v>1603</v>
      </c>
      <c r="AX7">
        <v>2025</v>
      </c>
      <c r="AY7" t="s">
        <v>4733</v>
      </c>
      <c r="AZ7" s="6">
        <v>45768</v>
      </c>
      <c r="BA7">
        <v>5</v>
      </c>
      <c r="BB7">
        <v>-2.4245362661989844E-14</v>
      </c>
      <c r="BC7">
        <v>38897489</v>
      </c>
      <c r="BD7" t="s">
        <v>4734</v>
      </c>
      <c r="BI7" t="s">
        <v>1907</v>
      </c>
      <c r="BJ7" t="s">
        <v>1598</v>
      </c>
      <c r="BK7">
        <v>10.6</v>
      </c>
      <c r="BL7">
        <v>2.6368399999999999</v>
      </c>
      <c r="BM7" t="s">
        <v>1594</v>
      </c>
      <c r="BN7">
        <v>2025</v>
      </c>
      <c r="BO7" t="s">
        <v>3658</v>
      </c>
      <c r="BP7" s="6">
        <v>46070</v>
      </c>
      <c r="BQ7">
        <v>5</v>
      </c>
      <c r="BR7">
        <v>2349516544</v>
      </c>
      <c r="BS7">
        <v>143027</v>
      </c>
      <c r="BT7" t="s">
        <v>1908</v>
      </c>
      <c r="BW7" t="s">
        <v>1679</v>
      </c>
      <c r="BX7">
        <v>5.8865000000000001E-2</v>
      </c>
      <c r="BY7" t="s">
        <v>1598</v>
      </c>
      <c r="BZ7">
        <v>2.2476859999999999</v>
      </c>
      <c r="CA7" t="s">
        <v>1603</v>
      </c>
      <c r="CB7">
        <v>2025</v>
      </c>
      <c r="CC7" t="s">
        <v>1680</v>
      </c>
      <c r="CD7" s="6">
        <v>45820</v>
      </c>
      <c r="CE7">
        <v>5</v>
      </c>
      <c r="CF7">
        <v>91633664</v>
      </c>
      <c r="CG7">
        <v>12129192</v>
      </c>
      <c r="CH7" t="s">
        <v>1681</v>
      </c>
      <c r="CM7" t="s">
        <v>2088</v>
      </c>
      <c r="CO7">
        <v>-2.4245362661989844E-14</v>
      </c>
      <c r="CP7">
        <v>-2.4245362661989844E-14</v>
      </c>
      <c r="CQ7" t="s">
        <v>1664</v>
      </c>
      <c r="CR7">
        <v>2024</v>
      </c>
      <c r="CS7" t="s">
        <v>6316</v>
      </c>
      <c r="CT7" s="6">
        <v>45573</v>
      </c>
      <c r="CU7">
        <v>5</v>
      </c>
      <c r="CV7">
        <v>-2.4245362661989844E-14</v>
      </c>
      <c r="CW7">
        <v>179551</v>
      </c>
      <c r="CX7" t="s">
        <v>2090</v>
      </c>
      <c r="DA7" t="s">
        <v>2922</v>
      </c>
      <c r="DB7">
        <v>-2.4245362661989844E-14</v>
      </c>
      <c r="DD7">
        <v>-2.4245362661989844E-14</v>
      </c>
      <c r="DE7" t="s">
        <v>1594</v>
      </c>
      <c r="DF7">
        <v>2022</v>
      </c>
      <c r="DG7" t="s">
        <v>3124</v>
      </c>
      <c r="DH7" s="6">
        <v>44980</v>
      </c>
      <c r="DI7">
        <v>5</v>
      </c>
      <c r="DJ7">
        <v>-2.4245362661989844E-14</v>
      </c>
      <c r="DK7">
        <v>69383984</v>
      </c>
      <c r="DL7" t="s">
        <v>2924</v>
      </c>
      <c r="DQ7" t="s">
        <v>393</v>
      </c>
      <c r="DS7">
        <v>-2.4245362661989844E-14</v>
      </c>
      <c r="DT7">
        <v>-2.4245362661989844E-14</v>
      </c>
      <c r="DU7" t="s">
        <v>1594</v>
      </c>
      <c r="DV7">
        <v>2022</v>
      </c>
      <c r="DW7" t="s">
        <v>3124</v>
      </c>
      <c r="DX7" s="6">
        <v>44972</v>
      </c>
      <c r="DY7">
        <v>5</v>
      </c>
      <c r="DZ7">
        <v>-2.4245362661989844E-14</v>
      </c>
      <c r="EA7">
        <v>8514868</v>
      </c>
      <c r="EB7" t="s">
        <v>3125</v>
      </c>
      <c r="EE7" t="s">
        <v>2553</v>
      </c>
      <c r="EF7">
        <v>-2.4245362661989844E-14</v>
      </c>
      <c r="EH7">
        <v>-2.4245362661989844E-14</v>
      </c>
      <c r="EI7" t="s">
        <v>1599</v>
      </c>
      <c r="EJ7">
        <v>2024</v>
      </c>
      <c r="EK7" t="s">
        <v>2554</v>
      </c>
      <c r="EL7" s="6">
        <v>45609</v>
      </c>
      <c r="EM7">
        <v>3</v>
      </c>
      <c r="EN7">
        <v>-2.4245362661989844E-14</v>
      </c>
      <c r="EO7">
        <v>110113</v>
      </c>
      <c r="EP7" t="s">
        <v>2555</v>
      </c>
      <c r="EU7" t="s">
        <v>5337</v>
      </c>
      <c r="EV7" t="s">
        <v>1598</v>
      </c>
      <c r="EW7">
        <v>0.54734099999999997</v>
      </c>
      <c r="EX7">
        <v>0.52038600000000002</v>
      </c>
      <c r="EY7" t="s">
        <v>1599</v>
      </c>
      <c r="EZ7">
        <v>2025</v>
      </c>
      <c r="FA7" t="s">
        <v>5334</v>
      </c>
      <c r="FB7" s="6">
        <v>46009</v>
      </c>
      <c r="FC7">
        <v>5</v>
      </c>
      <c r="FD7">
        <v>25134644</v>
      </c>
      <c r="FE7">
        <v>117567</v>
      </c>
      <c r="FF7" t="s">
        <v>5338</v>
      </c>
      <c r="FI7" t="s">
        <v>5073</v>
      </c>
      <c r="FJ7">
        <v>-2.4245362661989844E-14</v>
      </c>
      <c r="FL7">
        <v>-2.4245362661989844E-14</v>
      </c>
      <c r="FM7" t="s">
        <v>1594</v>
      </c>
      <c r="FN7">
        <v>2024</v>
      </c>
      <c r="FO7" t="s">
        <v>5074</v>
      </c>
      <c r="FP7" s="6">
        <v>45777</v>
      </c>
      <c r="FQ7">
        <v>5</v>
      </c>
      <c r="FR7">
        <v>-2.4245362661989844E-14</v>
      </c>
      <c r="FS7">
        <v>154157</v>
      </c>
      <c r="FT7" t="s">
        <v>5075</v>
      </c>
      <c r="HC7" t="s">
        <v>2272</v>
      </c>
      <c r="HD7" t="s">
        <v>1634</v>
      </c>
      <c r="HE7">
        <v>1.1751769999999999</v>
      </c>
      <c r="HF7">
        <v>0.30301699999999998</v>
      </c>
      <c r="HG7" t="s">
        <v>1599</v>
      </c>
      <c r="HH7">
        <v>2025</v>
      </c>
      <c r="HI7" t="s">
        <v>2273</v>
      </c>
      <c r="HJ7" s="6">
        <v>45964</v>
      </c>
      <c r="HK7">
        <v>5</v>
      </c>
      <c r="HL7">
        <v>6099733</v>
      </c>
      <c r="HM7">
        <v>16546862</v>
      </c>
      <c r="HN7" t="s">
        <v>2274</v>
      </c>
      <c r="HQ7" t="s">
        <v>2730</v>
      </c>
      <c r="HR7">
        <v>-2.4245362661989844E-14</v>
      </c>
      <c r="HT7">
        <v>-2.4245362661989844E-14</v>
      </c>
      <c r="HU7" t="s">
        <v>1594</v>
      </c>
      <c r="HV7">
        <v>2021</v>
      </c>
      <c r="HW7" t="s">
        <v>5083</v>
      </c>
      <c r="HX7" s="6">
        <v>44693</v>
      </c>
      <c r="HY7">
        <v>5</v>
      </c>
      <c r="HZ7">
        <v>-2.4245362661989844E-14</v>
      </c>
      <c r="IA7">
        <v>117832</v>
      </c>
      <c r="IB7" t="s">
        <v>2732</v>
      </c>
      <c r="IG7" t="s">
        <v>4299</v>
      </c>
      <c r="IH7" t="s">
        <v>1598</v>
      </c>
      <c r="II7">
        <v>0.48287799999999997</v>
      </c>
      <c r="IJ7">
        <v>1.7965990000000001</v>
      </c>
      <c r="IK7" t="s">
        <v>1594</v>
      </c>
      <c r="IL7">
        <v>2025</v>
      </c>
      <c r="IM7" t="s">
        <v>2373</v>
      </c>
      <c r="IN7" s="6">
        <v>46077</v>
      </c>
      <c r="IO7">
        <v>5</v>
      </c>
      <c r="IP7">
        <v>28000000</v>
      </c>
      <c r="IQ7">
        <v>153205</v>
      </c>
      <c r="IR7" t="s">
        <v>4300</v>
      </c>
      <c r="IU7" t="s">
        <v>959</v>
      </c>
      <c r="IV7">
        <v>21</v>
      </c>
      <c r="IW7" t="s">
        <v>1598</v>
      </c>
      <c r="IX7">
        <v>1.9704660000000001</v>
      </c>
      <c r="IY7" t="s">
        <v>1594</v>
      </c>
      <c r="IZ7">
        <v>2025</v>
      </c>
      <c r="JA7" t="s">
        <v>2373</v>
      </c>
      <c r="JB7" s="6">
        <v>46077</v>
      </c>
      <c r="JC7">
        <v>5</v>
      </c>
      <c r="JD7">
        <v>1545757440</v>
      </c>
      <c r="JE7">
        <v>156969</v>
      </c>
      <c r="JF7" t="s">
        <v>1767</v>
      </c>
      <c r="JK7" t="s">
        <v>4696</v>
      </c>
      <c r="JM7">
        <v>-2.4245362661989844E-14</v>
      </c>
      <c r="JN7">
        <v>-2.4245362661989844E-14</v>
      </c>
      <c r="JO7" t="s">
        <v>1594</v>
      </c>
      <c r="JP7">
        <v>2025</v>
      </c>
      <c r="JQ7" t="s">
        <v>4697</v>
      </c>
      <c r="JR7" s="6">
        <v>45916</v>
      </c>
      <c r="JS7">
        <v>5</v>
      </c>
      <c r="JT7">
        <v>-2.4245362661989844E-14</v>
      </c>
      <c r="JU7">
        <v>22423521</v>
      </c>
      <c r="JV7" t="s">
        <v>4698</v>
      </c>
      <c r="JY7" t="s">
        <v>5472</v>
      </c>
      <c r="JZ7">
        <v>-2.4245362661989844E-14</v>
      </c>
      <c r="KB7">
        <v>-2.4245362661989844E-14</v>
      </c>
      <c r="KC7" t="s">
        <v>1594</v>
      </c>
      <c r="KD7">
        <v>2023</v>
      </c>
      <c r="KE7" t="s">
        <v>4695</v>
      </c>
      <c r="KF7" s="6">
        <v>45187</v>
      </c>
      <c r="KG7">
        <v>5</v>
      </c>
      <c r="KH7">
        <v>-2.4245362661989844E-14</v>
      </c>
      <c r="KI7">
        <v>837620</v>
      </c>
      <c r="KJ7" t="s">
        <v>5473</v>
      </c>
      <c r="KO7" t="s">
        <v>3845</v>
      </c>
      <c r="KP7" t="s">
        <v>1598</v>
      </c>
      <c r="KQ7">
        <v>12</v>
      </c>
      <c r="KR7">
        <v>1.9302889999999999</v>
      </c>
      <c r="KS7" t="s">
        <v>1594</v>
      </c>
      <c r="KT7">
        <v>2025</v>
      </c>
      <c r="KU7" t="s">
        <v>3846</v>
      </c>
      <c r="KV7" s="6">
        <v>46044</v>
      </c>
      <c r="KW7">
        <v>5</v>
      </c>
      <c r="KX7">
        <v>205208992</v>
      </c>
      <c r="KY7">
        <v>101739</v>
      </c>
      <c r="KZ7" t="s">
        <v>3847</v>
      </c>
      <c r="LC7" t="s">
        <v>303</v>
      </c>
      <c r="LD7">
        <v>4.6584729999999999</v>
      </c>
      <c r="LE7" t="s">
        <v>1598</v>
      </c>
      <c r="LF7">
        <v>1.3897170000000001</v>
      </c>
      <c r="LG7" t="s">
        <v>1664</v>
      </c>
      <c r="LH7">
        <v>2025</v>
      </c>
      <c r="LI7" t="s">
        <v>2827</v>
      </c>
      <c r="LJ7" s="6">
        <v>45855</v>
      </c>
      <c r="LK7">
        <v>5</v>
      </c>
      <c r="LL7">
        <v>1069748416</v>
      </c>
      <c r="LM7">
        <v>216952</v>
      </c>
      <c r="LN7" t="s">
        <v>1631</v>
      </c>
      <c r="MW7" t="s">
        <v>2317</v>
      </c>
      <c r="MX7" t="s">
        <v>1598</v>
      </c>
      <c r="MY7">
        <v>0.52091699999999996</v>
      </c>
      <c r="MZ7">
        <v>1.395983</v>
      </c>
      <c r="NA7" t="s">
        <v>1603</v>
      </c>
      <c r="NB7">
        <v>2025</v>
      </c>
      <c r="NC7" t="s">
        <v>2318</v>
      </c>
      <c r="ND7" s="6">
        <v>45863</v>
      </c>
      <c r="NE7">
        <v>5</v>
      </c>
      <c r="NF7">
        <v>8585296</v>
      </c>
      <c r="NG7">
        <v>10832677</v>
      </c>
      <c r="NH7" t="s">
        <v>2319</v>
      </c>
      <c r="NK7" t="s">
        <v>2746</v>
      </c>
      <c r="NL7">
        <v>-2.4245362661989844E-14</v>
      </c>
      <c r="NN7">
        <v>-2.4245362661989844E-14</v>
      </c>
      <c r="NO7" t="s">
        <v>1594</v>
      </c>
      <c r="NP7">
        <v>2025</v>
      </c>
      <c r="NQ7" t="s">
        <v>2747</v>
      </c>
      <c r="NR7" s="6">
        <v>45975</v>
      </c>
      <c r="NS7">
        <v>5</v>
      </c>
      <c r="NT7">
        <v>-2.4245362661989844E-14</v>
      </c>
      <c r="NU7">
        <v>100131</v>
      </c>
      <c r="NV7" t="s">
        <v>2748</v>
      </c>
      <c r="PE7" t="s">
        <v>2242</v>
      </c>
      <c r="PF7" t="s">
        <v>1598</v>
      </c>
      <c r="PG7">
        <v>1.29813</v>
      </c>
      <c r="PH7">
        <v>0.24332400000000001</v>
      </c>
      <c r="PI7" t="s">
        <v>1599</v>
      </c>
      <c r="PJ7">
        <v>2025</v>
      </c>
      <c r="PK7" t="s">
        <v>2243</v>
      </c>
      <c r="PL7" s="6">
        <v>45985</v>
      </c>
      <c r="PM7">
        <v>5</v>
      </c>
      <c r="PN7">
        <v>10433265.390000001</v>
      </c>
      <c r="PO7">
        <v>125320</v>
      </c>
      <c r="PP7" t="s">
        <v>2244</v>
      </c>
      <c r="PS7" t="s">
        <v>4359</v>
      </c>
      <c r="PT7">
        <v>-2.4245362661989844E-14</v>
      </c>
      <c r="PV7">
        <v>-2.4245362661989844E-14</v>
      </c>
      <c r="PW7" t="s">
        <v>1792</v>
      </c>
      <c r="PX7">
        <v>2023</v>
      </c>
      <c r="PY7" t="s">
        <v>4360</v>
      </c>
      <c r="PZ7" s="6">
        <v>45154</v>
      </c>
      <c r="QA7">
        <v>5</v>
      </c>
      <c r="QB7">
        <v>-2.4245362661989844E-14</v>
      </c>
      <c r="QC7">
        <v>330418</v>
      </c>
      <c r="QD7" t="s">
        <v>4361</v>
      </c>
      <c r="RM7" t="s">
        <v>2585</v>
      </c>
      <c r="RN7" t="s">
        <v>1598</v>
      </c>
      <c r="RO7">
        <v>1.8717000000000001E-2</v>
      </c>
      <c r="RP7">
        <v>0.53299099999999999</v>
      </c>
      <c r="RQ7" t="s">
        <v>1603</v>
      </c>
      <c r="RR7">
        <v>2026</v>
      </c>
      <c r="RS7" t="s">
        <v>3997</v>
      </c>
      <c r="RT7" s="6">
        <v>46079</v>
      </c>
      <c r="RU7">
        <v>5</v>
      </c>
      <c r="RV7">
        <v>2553560</v>
      </c>
      <c r="RW7">
        <v>100995</v>
      </c>
      <c r="RX7" t="s">
        <v>2586</v>
      </c>
      <c r="SA7" t="s">
        <v>2589</v>
      </c>
      <c r="SB7">
        <v>4.8382500000000004</v>
      </c>
      <c r="SC7" t="s">
        <v>1598</v>
      </c>
      <c r="SD7">
        <v>1.0442359999999999</v>
      </c>
      <c r="SE7" t="s">
        <v>1664</v>
      </c>
      <c r="SF7">
        <v>2026</v>
      </c>
      <c r="SG7" t="s">
        <v>5170</v>
      </c>
      <c r="SH7" s="6">
        <v>46035</v>
      </c>
      <c r="SI7">
        <v>5</v>
      </c>
      <c r="SJ7">
        <v>55175404</v>
      </c>
      <c r="SK7">
        <v>100142</v>
      </c>
      <c r="SL7" t="s">
        <v>2591</v>
      </c>
    </row>
    <row r="8" spans="1:600" x14ac:dyDescent="0.25">
      <c r="AE8" t="s">
        <v>2072</v>
      </c>
      <c r="AF8" t="s">
        <v>1598</v>
      </c>
      <c r="AG8">
        <v>0.44718999999999998</v>
      </c>
      <c r="AH8">
        <v>9.7730999999999998E-2</v>
      </c>
      <c r="AI8" t="s">
        <v>1599</v>
      </c>
      <c r="AJ8">
        <v>2025</v>
      </c>
      <c r="AK8" t="s">
        <v>2073</v>
      </c>
      <c r="AL8" s="6">
        <v>46027</v>
      </c>
      <c r="AM8">
        <v>5</v>
      </c>
      <c r="AN8">
        <v>2835185</v>
      </c>
      <c r="AO8">
        <v>36965288</v>
      </c>
      <c r="AP8" t="s">
        <v>2074</v>
      </c>
      <c r="AS8" t="s">
        <v>4735</v>
      </c>
      <c r="AT8">
        <v>-2.4245362661989844E-14</v>
      </c>
      <c r="AV8">
        <v>-2.4245362661989844E-14</v>
      </c>
      <c r="AW8" t="s">
        <v>1603</v>
      </c>
      <c r="AX8">
        <v>2023</v>
      </c>
      <c r="AY8" t="s">
        <v>4736</v>
      </c>
      <c r="AZ8" s="6">
        <v>44950</v>
      </c>
      <c r="BA8">
        <v>5</v>
      </c>
      <c r="BB8">
        <v>-2.4245362661989844E-14</v>
      </c>
      <c r="BC8">
        <v>65060614</v>
      </c>
      <c r="BD8" t="s">
        <v>4737</v>
      </c>
      <c r="BI8" t="s">
        <v>3659</v>
      </c>
      <c r="BJ8" t="s">
        <v>1598</v>
      </c>
      <c r="BK8">
        <v>9.3897040000000001</v>
      </c>
      <c r="BL8">
        <v>1.8960900000000001</v>
      </c>
      <c r="BM8" t="s">
        <v>1664</v>
      </c>
      <c r="BN8">
        <v>2025</v>
      </c>
      <c r="BO8" t="s">
        <v>3660</v>
      </c>
      <c r="BP8" s="6">
        <v>46065</v>
      </c>
      <c r="BQ8">
        <v>5</v>
      </c>
      <c r="BR8">
        <v>2084921216</v>
      </c>
      <c r="BS8">
        <v>130929</v>
      </c>
      <c r="BT8" t="s">
        <v>3661</v>
      </c>
      <c r="BW8" t="s">
        <v>1786</v>
      </c>
      <c r="BX8">
        <v>3.2153000000000001E-2</v>
      </c>
      <c r="BY8" t="s">
        <v>1598</v>
      </c>
      <c r="BZ8">
        <v>2.4658310000000001</v>
      </c>
      <c r="CA8" t="s">
        <v>1664</v>
      </c>
      <c r="CB8">
        <v>2025</v>
      </c>
      <c r="CC8" t="s">
        <v>1787</v>
      </c>
      <c r="CD8" s="6">
        <v>46008</v>
      </c>
      <c r="CE8">
        <v>5</v>
      </c>
      <c r="CF8">
        <v>57345912.520000003</v>
      </c>
      <c r="CG8">
        <v>349049</v>
      </c>
      <c r="CH8" t="s">
        <v>1788</v>
      </c>
      <c r="CM8" t="s">
        <v>6317</v>
      </c>
      <c r="CO8">
        <v>-2.4245362661989844E-14</v>
      </c>
      <c r="CP8">
        <v>-2.4245362661989844E-14</v>
      </c>
      <c r="CQ8" t="s">
        <v>1603</v>
      </c>
      <c r="CR8">
        <v>2024</v>
      </c>
      <c r="CS8" t="s">
        <v>6318</v>
      </c>
      <c r="CT8" s="6">
        <v>45244</v>
      </c>
      <c r="CU8">
        <v>5</v>
      </c>
      <c r="CV8">
        <v>-2.4245362661989844E-14</v>
      </c>
      <c r="CW8">
        <v>105548</v>
      </c>
      <c r="CX8" t="s">
        <v>6319</v>
      </c>
      <c r="DA8" t="s">
        <v>471</v>
      </c>
      <c r="DB8">
        <v>-2.4245362661989844E-14</v>
      </c>
      <c r="DD8">
        <v>-2.4245362661989844E-14</v>
      </c>
      <c r="DE8" t="s">
        <v>1594</v>
      </c>
      <c r="DF8">
        <v>2022</v>
      </c>
      <c r="DG8" t="s">
        <v>3124</v>
      </c>
      <c r="DH8" s="6">
        <v>44972</v>
      </c>
      <c r="DI8">
        <v>5</v>
      </c>
      <c r="DJ8">
        <v>-2.4245362661989844E-14</v>
      </c>
      <c r="DK8">
        <v>100760</v>
      </c>
      <c r="DL8" t="s">
        <v>2155</v>
      </c>
      <c r="DQ8" t="s">
        <v>593</v>
      </c>
      <c r="DS8">
        <v>-2.4245362661989844E-14</v>
      </c>
      <c r="DT8">
        <v>-2.4245362661989844E-14</v>
      </c>
      <c r="DU8" t="s">
        <v>1594</v>
      </c>
      <c r="DV8">
        <v>2025</v>
      </c>
      <c r="DW8" t="s">
        <v>3126</v>
      </c>
      <c r="DX8" s="6">
        <v>46071</v>
      </c>
      <c r="DY8">
        <v>5</v>
      </c>
      <c r="DZ8">
        <v>-2.4245362661989844E-14</v>
      </c>
      <c r="EA8">
        <v>100539</v>
      </c>
      <c r="EB8" t="s">
        <v>3127</v>
      </c>
      <c r="EU8" t="s">
        <v>5339</v>
      </c>
      <c r="EV8" t="s">
        <v>1598</v>
      </c>
      <c r="EW8">
        <v>4.5196880000000004</v>
      </c>
      <c r="EX8">
        <v>0.25710499999999997</v>
      </c>
      <c r="EY8" t="s">
        <v>1599</v>
      </c>
      <c r="EZ8">
        <v>2025</v>
      </c>
      <c r="FA8" t="s">
        <v>5334</v>
      </c>
      <c r="FB8" s="6">
        <v>46009</v>
      </c>
      <c r="FC8">
        <v>5</v>
      </c>
      <c r="FD8">
        <v>12418171</v>
      </c>
      <c r="FE8">
        <v>28305618</v>
      </c>
      <c r="FF8" t="s">
        <v>5340</v>
      </c>
      <c r="FI8" t="s">
        <v>5076</v>
      </c>
      <c r="FJ8">
        <v>-2.4245362661989844E-14</v>
      </c>
      <c r="FL8">
        <v>-2.4245362661989844E-14</v>
      </c>
      <c r="FM8" t="s">
        <v>1594</v>
      </c>
      <c r="FN8">
        <v>2024</v>
      </c>
      <c r="FO8" t="s">
        <v>5077</v>
      </c>
      <c r="FP8" s="6">
        <v>45709</v>
      </c>
      <c r="FQ8">
        <v>5</v>
      </c>
      <c r="FR8">
        <v>-2.4245362661989844E-14</v>
      </c>
      <c r="FS8">
        <v>7022586</v>
      </c>
      <c r="FT8" t="s">
        <v>5078</v>
      </c>
      <c r="HC8" t="s">
        <v>493</v>
      </c>
      <c r="HD8" t="s">
        <v>1598</v>
      </c>
      <c r="HE8">
        <v>0.10707800000000001</v>
      </c>
      <c r="HF8">
        <v>0.16708500000000001</v>
      </c>
      <c r="HG8" t="s">
        <v>1603</v>
      </c>
      <c r="HH8">
        <v>2025</v>
      </c>
      <c r="HI8" t="s">
        <v>2093</v>
      </c>
      <c r="HJ8" s="6">
        <v>45795</v>
      </c>
      <c r="HK8">
        <v>5</v>
      </c>
      <c r="HL8">
        <v>4213894</v>
      </c>
      <c r="HM8">
        <v>100499</v>
      </c>
      <c r="HN8" t="s">
        <v>2094</v>
      </c>
      <c r="HQ8" t="s">
        <v>5085</v>
      </c>
      <c r="HR8">
        <v>-2.4245362661989844E-14</v>
      </c>
      <c r="HT8">
        <v>-2.4245362661989844E-14</v>
      </c>
      <c r="HU8" t="s">
        <v>1594</v>
      </c>
      <c r="HV8">
        <v>2021</v>
      </c>
      <c r="HW8" t="s">
        <v>5083</v>
      </c>
      <c r="HX8" s="6">
        <v>44693</v>
      </c>
      <c r="HY8">
        <v>5</v>
      </c>
      <c r="HZ8">
        <v>-2.4245362661989844E-14</v>
      </c>
      <c r="IA8">
        <v>128983</v>
      </c>
      <c r="IB8" t="s">
        <v>5086</v>
      </c>
      <c r="IG8" t="s">
        <v>4301</v>
      </c>
      <c r="IH8" t="s">
        <v>2128</v>
      </c>
      <c r="II8">
        <v>100</v>
      </c>
      <c r="IJ8">
        <v>1.9316489999999999</v>
      </c>
      <c r="IK8" t="s">
        <v>1599</v>
      </c>
      <c r="IL8">
        <v>2025</v>
      </c>
      <c r="IM8" t="s">
        <v>4302</v>
      </c>
      <c r="IN8" s="6">
        <v>45959</v>
      </c>
      <c r="IO8">
        <v>5</v>
      </c>
      <c r="IP8">
        <v>26000000</v>
      </c>
      <c r="IQ8">
        <v>50914233</v>
      </c>
      <c r="IR8" t="s">
        <v>4303</v>
      </c>
      <c r="IU8" t="s">
        <v>4031</v>
      </c>
      <c r="IV8">
        <v>-2.4245362661989844E-14</v>
      </c>
      <c r="IX8">
        <v>-2.4245362661989844E-14</v>
      </c>
      <c r="IY8" t="s">
        <v>1594</v>
      </c>
      <c r="IZ8">
        <v>2022</v>
      </c>
      <c r="JA8" t="s">
        <v>4032</v>
      </c>
      <c r="JB8" s="6">
        <v>44979</v>
      </c>
      <c r="JC8">
        <v>5</v>
      </c>
      <c r="JD8">
        <v>-2.4245362661989844E-14</v>
      </c>
      <c r="JE8">
        <v>29217228</v>
      </c>
      <c r="JF8" t="s">
        <v>4033</v>
      </c>
      <c r="JK8" t="s">
        <v>4699</v>
      </c>
      <c r="JM8">
        <v>-2.4245362661989844E-14</v>
      </c>
      <c r="JN8">
        <v>-2.4245362661989844E-14</v>
      </c>
      <c r="JO8" t="s">
        <v>1594</v>
      </c>
      <c r="JP8">
        <v>2024</v>
      </c>
      <c r="JQ8" t="s">
        <v>4700</v>
      </c>
      <c r="JR8" s="6">
        <v>45735</v>
      </c>
      <c r="JS8">
        <v>5</v>
      </c>
      <c r="JT8">
        <v>-2.4245362661989844E-14</v>
      </c>
      <c r="JU8">
        <v>37585679</v>
      </c>
      <c r="JV8" t="s">
        <v>4701</v>
      </c>
      <c r="JY8" t="s">
        <v>5474</v>
      </c>
      <c r="JZ8">
        <v>-2.4245362661989844E-14</v>
      </c>
      <c r="KB8">
        <v>-2.4245362661989844E-14</v>
      </c>
      <c r="KC8" t="s">
        <v>1594</v>
      </c>
      <c r="KD8">
        <v>2023</v>
      </c>
      <c r="KE8" t="s">
        <v>4695</v>
      </c>
      <c r="KF8" s="6">
        <v>45187</v>
      </c>
      <c r="KG8">
        <v>5</v>
      </c>
      <c r="KH8">
        <v>-2.4245362661989844E-14</v>
      </c>
      <c r="KI8">
        <v>929178</v>
      </c>
      <c r="KJ8" t="s">
        <v>5475</v>
      </c>
      <c r="KO8" t="s">
        <v>3848</v>
      </c>
      <c r="KP8" t="s">
        <v>1598</v>
      </c>
      <c r="KQ8">
        <v>54.700001</v>
      </c>
      <c r="KR8">
        <v>1.7763739999999999</v>
      </c>
      <c r="KS8" t="s">
        <v>1594</v>
      </c>
      <c r="KT8">
        <v>2024</v>
      </c>
      <c r="KU8" t="s">
        <v>3849</v>
      </c>
      <c r="KV8" s="6">
        <v>45719</v>
      </c>
      <c r="KW8">
        <v>5</v>
      </c>
      <c r="KX8">
        <v>185382400</v>
      </c>
      <c r="KY8">
        <v>10951561</v>
      </c>
      <c r="KZ8" t="s">
        <v>3850</v>
      </c>
      <c r="LC8" t="s">
        <v>1943</v>
      </c>
      <c r="LD8">
        <v>4.5123049999999996</v>
      </c>
      <c r="LE8" t="s">
        <v>1598</v>
      </c>
      <c r="LF8">
        <v>1.8841060000000001</v>
      </c>
      <c r="LG8" t="s">
        <v>1664</v>
      </c>
      <c r="LH8">
        <v>2025</v>
      </c>
      <c r="LI8" t="s">
        <v>2827</v>
      </c>
      <c r="LJ8" s="6">
        <v>45855</v>
      </c>
      <c r="LK8">
        <v>5</v>
      </c>
      <c r="LL8">
        <v>1036183168</v>
      </c>
      <c r="LM8">
        <v>101758</v>
      </c>
      <c r="LN8" t="s">
        <v>1944</v>
      </c>
      <c r="MW8" t="s">
        <v>3238</v>
      </c>
      <c r="MX8" t="s">
        <v>1634</v>
      </c>
      <c r="MY8">
        <v>0.78628900000000002</v>
      </c>
      <c r="MZ8">
        <v>0.41281200000000001</v>
      </c>
      <c r="NA8" t="s">
        <v>1664</v>
      </c>
      <c r="NB8">
        <v>2026</v>
      </c>
      <c r="NC8" t="s">
        <v>3239</v>
      </c>
      <c r="ND8" s="6">
        <v>45980</v>
      </c>
      <c r="NE8">
        <v>5</v>
      </c>
      <c r="NF8">
        <v>3939825.84</v>
      </c>
      <c r="NG8">
        <v>223067</v>
      </c>
      <c r="NH8" t="s">
        <v>3240</v>
      </c>
      <c r="NK8" t="s">
        <v>2749</v>
      </c>
      <c r="NL8">
        <v>-2.4245362661989844E-14</v>
      </c>
      <c r="NN8">
        <v>-2.4245362661989844E-14</v>
      </c>
      <c r="NO8" t="s">
        <v>1594</v>
      </c>
      <c r="NP8">
        <v>2023</v>
      </c>
      <c r="NQ8" t="s">
        <v>2750</v>
      </c>
      <c r="NR8" s="6">
        <v>45383</v>
      </c>
      <c r="NS8">
        <v>5</v>
      </c>
      <c r="NT8">
        <v>-2.4245362661989844E-14</v>
      </c>
      <c r="NU8">
        <v>25953572</v>
      </c>
      <c r="NV8" t="s">
        <v>2751</v>
      </c>
      <c r="PE8" t="s">
        <v>493</v>
      </c>
      <c r="PF8" t="s">
        <v>1598</v>
      </c>
      <c r="PG8">
        <v>0.205987</v>
      </c>
      <c r="PH8">
        <v>0.19661200000000001</v>
      </c>
      <c r="PI8" t="s">
        <v>1606</v>
      </c>
      <c r="PJ8">
        <v>2025</v>
      </c>
      <c r="PK8" t="s">
        <v>2093</v>
      </c>
      <c r="PL8" s="6">
        <v>46071</v>
      </c>
      <c r="PM8">
        <v>5</v>
      </c>
      <c r="PN8">
        <v>8106309</v>
      </c>
      <c r="PO8">
        <v>100499</v>
      </c>
      <c r="PP8" t="s">
        <v>2094</v>
      </c>
      <c r="PS8" t="s">
        <v>4362</v>
      </c>
      <c r="PT8">
        <v>-2.4245362661989844E-14</v>
      </c>
      <c r="PV8">
        <v>-2.4245362661989844E-14</v>
      </c>
      <c r="PW8" t="s">
        <v>1594</v>
      </c>
      <c r="PX8">
        <v>2022</v>
      </c>
      <c r="PY8" t="s">
        <v>4363</v>
      </c>
      <c r="PZ8" s="6">
        <v>45042</v>
      </c>
      <c r="QA8">
        <v>5</v>
      </c>
      <c r="QB8">
        <v>-2.4245362661989844E-14</v>
      </c>
      <c r="QC8">
        <v>812686</v>
      </c>
      <c r="QD8" t="s">
        <v>4364</v>
      </c>
      <c r="RM8" t="s">
        <v>5259</v>
      </c>
      <c r="RN8" t="s">
        <v>1598</v>
      </c>
      <c r="RO8">
        <v>2.9225000000000001E-2</v>
      </c>
      <c r="RP8">
        <v>0.24604699999999999</v>
      </c>
      <c r="RQ8" t="s">
        <v>1599</v>
      </c>
      <c r="RR8">
        <v>2025</v>
      </c>
      <c r="RS8" t="s">
        <v>5260</v>
      </c>
      <c r="RT8" s="6">
        <v>45936</v>
      </c>
      <c r="RU8">
        <v>5</v>
      </c>
      <c r="RV8">
        <v>1226790.45</v>
      </c>
      <c r="RW8">
        <v>835530</v>
      </c>
      <c r="RX8" t="s">
        <v>5261</v>
      </c>
      <c r="SA8" t="s">
        <v>1597</v>
      </c>
      <c r="SB8">
        <v>3.9990190000000001</v>
      </c>
      <c r="SC8" t="s">
        <v>1598</v>
      </c>
      <c r="SD8">
        <v>0.37565900000000002</v>
      </c>
      <c r="SE8" t="s">
        <v>1599</v>
      </c>
      <c r="SF8">
        <v>2024</v>
      </c>
      <c r="SG8" t="s">
        <v>1600</v>
      </c>
      <c r="SH8" s="6">
        <v>45727</v>
      </c>
      <c r="SI8">
        <v>5</v>
      </c>
      <c r="SJ8">
        <v>46555768.390000001</v>
      </c>
      <c r="SK8">
        <v>7583418</v>
      </c>
      <c r="SL8" t="s">
        <v>1601</v>
      </c>
    </row>
    <row r="9" spans="1:600" x14ac:dyDescent="0.25">
      <c r="AE9" t="s">
        <v>3820</v>
      </c>
      <c r="AF9" t="s">
        <v>1598</v>
      </c>
      <c r="AG9">
        <v>9.5227000000000006E-2</v>
      </c>
      <c r="AH9">
        <v>9.3220999999999998E-2</v>
      </c>
      <c r="AI9" t="s">
        <v>1603</v>
      </c>
      <c r="AJ9">
        <v>2025</v>
      </c>
      <c r="AK9" t="s">
        <v>3821</v>
      </c>
      <c r="AL9" s="6">
        <v>45849</v>
      </c>
      <c r="AM9">
        <v>5</v>
      </c>
      <c r="AN9">
        <v>2711796</v>
      </c>
      <c r="AO9">
        <v>102595</v>
      </c>
      <c r="AP9" t="s">
        <v>3822</v>
      </c>
      <c r="AS9" t="s">
        <v>2550</v>
      </c>
      <c r="AT9">
        <v>-2.4245362661989844E-14</v>
      </c>
      <c r="AV9">
        <v>-2.4245362661989844E-14</v>
      </c>
      <c r="AW9" t="s">
        <v>1594</v>
      </c>
      <c r="AX9">
        <v>2025</v>
      </c>
      <c r="AY9" t="s">
        <v>4738</v>
      </c>
      <c r="AZ9" s="6">
        <v>46064</v>
      </c>
      <c r="BA9">
        <v>5</v>
      </c>
      <c r="BB9">
        <v>-2.4245362661989844E-14</v>
      </c>
      <c r="BC9">
        <v>17312199</v>
      </c>
      <c r="BD9" t="s">
        <v>2552</v>
      </c>
      <c r="BI9" t="s">
        <v>72</v>
      </c>
      <c r="BJ9" t="s">
        <v>1598</v>
      </c>
      <c r="BK9">
        <v>7.5533060000000001</v>
      </c>
      <c r="BL9">
        <v>1.96953</v>
      </c>
      <c r="BM9" t="s">
        <v>1606</v>
      </c>
      <c r="BN9">
        <v>2025</v>
      </c>
      <c r="BO9" t="s">
        <v>2670</v>
      </c>
      <c r="BP9" s="6">
        <v>45883</v>
      </c>
      <c r="BQ9">
        <v>5</v>
      </c>
      <c r="BR9">
        <v>1591557120</v>
      </c>
      <c r="BS9">
        <v>101215</v>
      </c>
      <c r="BT9" t="s">
        <v>1868</v>
      </c>
      <c r="BW9" t="s">
        <v>1891</v>
      </c>
      <c r="BX9">
        <v>3.0903E-2</v>
      </c>
      <c r="BY9" t="s">
        <v>1598</v>
      </c>
      <c r="BZ9">
        <v>0.79644899999999996</v>
      </c>
      <c r="CA9" t="s">
        <v>1603</v>
      </c>
      <c r="CB9">
        <v>2025</v>
      </c>
      <c r="CC9" t="s">
        <v>1892</v>
      </c>
      <c r="CD9" s="6">
        <v>45784</v>
      </c>
      <c r="CE9">
        <v>5</v>
      </c>
      <c r="CF9">
        <v>48105720</v>
      </c>
      <c r="CG9">
        <v>100115</v>
      </c>
      <c r="CH9" t="s">
        <v>1893</v>
      </c>
      <c r="CM9" t="s">
        <v>4967</v>
      </c>
      <c r="CO9">
        <v>-2.4245362661989844E-14</v>
      </c>
      <c r="CP9">
        <v>-2.4245362661989844E-14</v>
      </c>
      <c r="CQ9" t="s">
        <v>1603</v>
      </c>
      <c r="CR9">
        <v>2024</v>
      </c>
      <c r="CS9" t="s">
        <v>4968</v>
      </c>
      <c r="CT9" s="6">
        <v>45421</v>
      </c>
      <c r="CU9">
        <v>5</v>
      </c>
      <c r="CV9">
        <v>-2.4245362661989844E-14</v>
      </c>
      <c r="CW9">
        <v>9808869</v>
      </c>
      <c r="CX9" t="s">
        <v>4969</v>
      </c>
      <c r="DA9" t="s">
        <v>108</v>
      </c>
      <c r="DB9">
        <v>-2.4245362661989844E-14</v>
      </c>
      <c r="DD9">
        <v>-2.4245362661989844E-14</v>
      </c>
      <c r="DE9" t="s">
        <v>1603</v>
      </c>
      <c r="DF9">
        <v>2024</v>
      </c>
      <c r="DG9" t="s">
        <v>6227</v>
      </c>
      <c r="DH9" s="6">
        <v>45412</v>
      </c>
      <c r="DI9">
        <v>5</v>
      </c>
      <c r="DJ9">
        <v>-2.4245362661989844E-14</v>
      </c>
      <c r="DK9">
        <v>101174</v>
      </c>
      <c r="DL9" t="s">
        <v>6203</v>
      </c>
      <c r="DQ9" t="s">
        <v>70</v>
      </c>
      <c r="DS9">
        <v>-2.4245362661989844E-14</v>
      </c>
      <c r="DT9">
        <v>-2.4245362661989844E-14</v>
      </c>
      <c r="DU9" t="s">
        <v>1594</v>
      </c>
      <c r="DV9">
        <v>2022</v>
      </c>
      <c r="DW9" t="s">
        <v>3128</v>
      </c>
      <c r="DX9" s="6">
        <v>44974</v>
      </c>
      <c r="DY9">
        <v>5</v>
      </c>
      <c r="DZ9">
        <v>-2.4245362661989844E-14</v>
      </c>
      <c r="EA9">
        <v>10005604</v>
      </c>
      <c r="EB9" t="s">
        <v>2406</v>
      </c>
      <c r="EU9" t="s">
        <v>5076</v>
      </c>
      <c r="EV9" t="s">
        <v>1598</v>
      </c>
      <c r="EW9">
        <v>0.93358799999999997</v>
      </c>
      <c r="EX9">
        <v>0.24143200000000001</v>
      </c>
      <c r="EY9" t="s">
        <v>1603</v>
      </c>
      <c r="EZ9">
        <v>2025</v>
      </c>
      <c r="FA9" t="s">
        <v>5334</v>
      </c>
      <c r="FB9" s="6">
        <v>45859</v>
      </c>
      <c r="FC9">
        <v>5</v>
      </c>
      <c r="FD9">
        <v>10193259</v>
      </c>
      <c r="FE9">
        <v>7022586</v>
      </c>
      <c r="FF9" t="s">
        <v>5078</v>
      </c>
      <c r="FI9" t="s">
        <v>5079</v>
      </c>
      <c r="FJ9">
        <v>-2.4245362661989844E-14</v>
      </c>
      <c r="FL9">
        <v>-2.4245362661989844E-14</v>
      </c>
      <c r="FM9" t="s">
        <v>1651</v>
      </c>
      <c r="FN9">
        <v>2023</v>
      </c>
      <c r="FO9" t="s">
        <v>5080</v>
      </c>
      <c r="FP9" s="6">
        <v>45230</v>
      </c>
      <c r="FQ9">
        <v>5</v>
      </c>
      <c r="FR9">
        <v>-2.4245362661989844E-14</v>
      </c>
      <c r="FS9">
        <v>128416</v>
      </c>
      <c r="FT9" t="s">
        <v>5081</v>
      </c>
      <c r="HC9" t="s">
        <v>3980</v>
      </c>
      <c r="HD9" t="s">
        <v>1634</v>
      </c>
      <c r="HE9">
        <v>5.1830230000000004</v>
      </c>
      <c r="HF9">
        <v>0.15981500000000001</v>
      </c>
      <c r="HG9" t="s">
        <v>1664</v>
      </c>
      <c r="HH9">
        <v>2026</v>
      </c>
      <c r="HI9" t="s">
        <v>3981</v>
      </c>
      <c r="HJ9" s="6">
        <v>46051</v>
      </c>
      <c r="HK9">
        <v>5</v>
      </c>
      <c r="HL9">
        <v>3413643</v>
      </c>
      <c r="HM9">
        <v>102076</v>
      </c>
      <c r="HN9" t="s">
        <v>3982</v>
      </c>
      <c r="HQ9" t="s">
        <v>5087</v>
      </c>
      <c r="HR9">
        <v>-2.4245362661989844E-14</v>
      </c>
      <c r="HT9">
        <v>-2.4245362661989844E-14</v>
      </c>
      <c r="HU9" t="s">
        <v>1594</v>
      </c>
      <c r="HV9">
        <v>2021</v>
      </c>
      <c r="HW9" t="s">
        <v>5083</v>
      </c>
      <c r="HX9" s="6">
        <v>44693</v>
      </c>
      <c r="HY9">
        <v>5</v>
      </c>
      <c r="HZ9">
        <v>-2.4245362661989844E-14</v>
      </c>
      <c r="IA9">
        <v>18488759</v>
      </c>
      <c r="IB9" t="s">
        <v>5088</v>
      </c>
      <c r="IG9" t="s">
        <v>3803</v>
      </c>
      <c r="IH9" t="s">
        <v>1598</v>
      </c>
      <c r="II9">
        <v>1.03163</v>
      </c>
      <c r="IJ9">
        <v>1.307437</v>
      </c>
      <c r="IK9" t="s">
        <v>1599</v>
      </c>
      <c r="IL9">
        <v>2025</v>
      </c>
      <c r="IM9" t="s">
        <v>3804</v>
      </c>
      <c r="IN9" s="6">
        <v>46073</v>
      </c>
      <c r="IO9">
        <v>5</v>
      </c>
      <c r="IP9">
        <v>21191403.109999999</v>
      </c>
      <c r="IQ9">
        <v>156276</v>
      </c>
      <c r="IR9" t="s">
        <v>3805</v>
      </c>
      <c r="IU9" t="s">
        <v>4034</v>
      </c>
      <c r="IV9">
        <v>-2.4245362661989844E-14</v>
      </c>
      <c r="IX9">
        <v>-2.4245362661989844E-14</v>
      </c>
      <c r="IY9" t="s">
        <v>1594</v>
      </c>
      <c r="IZ9">
        <v>2022</v>
      </c>
      <c r="JA9" t="s">
        <v>4035</v>
      </c>
      <c r="JB9" s="6">
        <v>44788</v>
      </c>
      <c r="JC9">
        <v>5</v>
      </c>
      <c r="JD9">
        <v>-2.4245362661989844E-14</v>
      </c>
      <c r="JE9">
        <v>67962950</v>
      </c>
      <c r="JF9" t="s">
        <v>4036</v>
      </c>
      <c r="JK9" t="s">
        <v>4702</v>
      </c>
      <c r="JM9">
        <v>-2.4245362661989844E-14</v>
      </c>
      <c r="JN9">
        <v>-2.4245362661989844E-14</v>
      </c>
      <c r="JO9" t="s">
        <v>1599</v>
      </c>
      <c r="JP9">
        <v>2023</v>
      </c>
      <c r="JQ9" t="s">
        <v>4703</v>
      </c>
      <c r="JR9" s="6">
        <v>45223</v>
      </c>
      <c r="JS9">
        <v>5</v>
      </c>
      <c r="JT9">
        <v>-2.4245362661989844E-14</v>
      </c>
      <c r="JU9">
        <v>922300</v>
      </c>
      <c r="JV9" t="s">
        <v>4704</v>
      </c>
      <c r="JY9" t="s">
        <v>5476</v>
      </c>
      <c r="JZ9">
        <v>-2.4245362661989844E-14</v>
      </c>
      <c r="KB9">
        <v>-2.4245362661989844E-14</v>
      </c>
      <c r="KC9" t="s">
        <v>1594</v>
      </c>
      <c r="KD9">
        <v>2023</v>
      </c>
      <c r="KE9" t="s">
        <v>4695</v>
      </c>
      <c r="KF9" s="6">
        <v>45187</v>
      </c>
      <c r="KG9">
        <v>5</v>
      </c>
      <c r="KH9">
        <v>-2.4245362661989844E-14</v>
      </c>
      <c r="KI9">
        <v>340388</v>
      </c>
      <c r="KJ9" t="s">
        <v>5477</v>
      </c>
      <c r="KO9" t="s">
        <v>3851</v>
      </c>
      <c r="KP9" t="s">
        <v>1598</v>
      </c>
      <c r="KQ9">
        <v>4.709041</v>
      </c>
      <c r="KR9">
        <v>1.331243</v>
      </c>
      <c r="KS9" t="s">
        <v>1599</v>
      </c>
      <c r="KT9">
        <v>2025</v>
      </c>
      <c r="KU9" t="s">
        <v>3852</v>
      </c>
      <c r="KV9" s="6">
        <v>46018</v>
      </c>
      <c r="KW9">
        <v>5</v>
      </c>
      <c r="KX9">
        <v>138928480</v>
      </c>
      <c r="KY9">
        <v>100412</v>
      </c>
      <c r="KZ9" t="s">
        <v>3853</v>
      </c>
      <c r="LC9" t="s">
        <v>1875</v>
      </c>
      <c r="LD9">
        <v>3.4026369999999999</v>
      </c>
      <c r="LE9" t="s">
        <v>1598</v>
      </c>
      <c r="LF9">
        <v>3.7682129999999998</v>
      </c>
      <c r="LG9" t="s">
        <v>1664</v>
      </c>
      <c r="LH9">
        <v>2025</v>
      </c>
      <c r="LI9" t="s">
        <v>2827</v>
      </c>
      <c r="LJ9" s="6">
        <v>45855</v>
      </c>
      <c r="LK9">
        <v>5</v>
      </c>
      <c r="LL9">
        <v>781364544</v>
      </c>
      <c r="LM9">
        <v>112370</v>
      </c>
      <c r="LN9" t="s">
        <v>1877</v>
      </c>
      <c r="MW9" t="s">
        <v>3241</v>
      </c>
      <c r="MX9" t="s">
        <v>1634</v>
      </c>
      <c r="MY9">
        <v>0.192249</v>
      </c>
      <c r="MZ9">
        <v>0.209595</v>
      </c>
      <c r="NA9" t="s">
        <v>1599</v>
      </c>
      <c r="NB9">
        <v>2025</v>
      </c>
      <c r="NC9" t="s">
        <v>3242</v>
      </c>
      <c r="ND9" s="6">
        <v>45966</v>
      </c>
      <c r="NE9">
        <v>5</v>
      </c>
      <c r="NF9">
        <v>1999534</v>
      </c>
      <c r="NG9">
        <v>10656931</v>
      </c>
      <c r="NH9" t="s">
        <v>3243</v>
      </c>
      <c r="NK9" t="s">
        <v>2752</v>
      </c>
      <c r="NL9">
        <v>-2.4245362661989844E-14</v>
      </c>
      <c r="NN9">
        <v>-2.4245362661989844E-14</v>
      </c>
      <c r="NO9" t="s">
        <v>1594</v>
      </c>
      <c r="NP9">
        <v>2024</v>
      </c>
      <c r="NQ9" t="s">
        <v>2753</v>
      </c>
      <c r="NR9" s="6">
        <v>45714</v>
      </c>
      <c r="NS9">
        <v>5</v>
      </c>
      <c r="NT9">
        <v>-2.4245362661989844E-14</v>
      </c>
      <c r="NU9">
        <v>102894</v>
      </c>
      <c r="NV9" t="s">
        <v>2754</v>
      </c>
      <c r="PE9" t="s">
        <v>5320</v>
      </c>
      <c r="PF9" t="s">
        <v>1685</v>
      </c>
      <c r="PG9">
        <v>0.79573300000000002</v>
      </c>
      <c r="PH9">
        <v>0.29065099999999999</v>
      </c>
      <c r="PI9" t="s">
        <v>1599</v>
      </c>
      <c r="PJ9">
        <v>2025</v>
      </c>
      <c r="PK9" t="s">
        <v>5321</v>
      </c>
      <c r="PL9" s="6">
        <v>45959</v>
      </c>
      <c r="PM9">
        <v>5</v>
      </c>
      <c r="PN9">
        <v>1679960</v>
      </c>
      <c r="PO9">
        <v>20264138</v>
      </c>
      <c r="PP9" t="s">
        <v>5322</v>
      </c>
      <c r="PS9" t="s">
        <v>4365</v>
      </c>
      <c r="PT9">
        <v>-2.4245362661989844E-14</v>
      </c>
      <c r="PV9">
        <v>-2.4245362661989844E-14</v>
      </c>
      <c r="PW9" t="s">
        <v>1792</v>
      </c>
      <c r="PX9">
        <v>2024</v>
      </c>
      <c r="PY9" t="s">
        <v>4366</v>
      </c>
      <c r="PZ9" s="6">
        <v>45534</v>
      </c>
      <c r="QA9">
        <v>5</v>
      </c>
      <c r="QB9">
        <v>-2.4245362661989844E-14</v>
      </c>
      <c r="QC9">
        <v>21796045</v>
      </c>
      <c r="QD9" t="s">
        <v>4367</v>
      </c>
      <c r="RM9" t="s">
        <v>3817</v>
      </c>
      <c r="RN9" t="s">
        <v>1634</v>
      </c>
      <c r="RO9">
        <v>3.3274999999999999E-2</v>
      </c>
      <c r="RP9">
        <v>4.8761130000000001</v>
      </c>
      <c r="RQ9" t="s">
        <v>1664</v>
      </c>
      <c r="RR9">
        <v>2026</v>
      </c>
      <c r="RS9" t="s">
        <v>3818</v>
      </c>
      <c r="RT9" s="6">
        <v>46063</v>
      </c>
      <c r="RU9">
        <v>5</v>
      </c>
      <c r="RV9">
        <v>1097125</v>
      </c>
      <c r="RW9">
        <v>101732</v>
      </c>
      <c r="RX9" t="s">
        <v>3819</v>
      </c>
      <c r="SA9" t="s">
        <v>5171</v>
      </c>
      <c r="SB9">
        <v>2.5742210000000001</v>
      </c>
      <c r="SC9" t="s">
        <v>1598</v>
      </c>
      <c r="SD9">
        <v>18.557379000000001</v>
      </c>
      <c r="SE9" t="s">
        <v>1594</v>
      </c>
      <c r="SF9">
        <v>2024</v>
      </c>
      <c r="SG9" t="s">
        <v>5172</v>
      </c>
      <c r="SH9" s="6">
        <v>45784</v>
      </c>
      <c r="SI9">
        <v>5</v>
      </c>
      <c r="SJ9">
        <v>28636240.420000002</v>
      </c>
      <c r="SK9">
        <v>17392177</v>
      </c>
      <c r="SL9" t="s">
        <v>5173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406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407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408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409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410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411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412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413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414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415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416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417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418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419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420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421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422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423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424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425</v>
      </c>
      <c r="AE2" s="3" t="s">
        <v>426</v>
      </c>
      <c r="BI2" s="3" t="s">
        <v>427</v>
      </c>
      <c r="CM2" s="3" t="s">
        <v>428</v>
      </c>
      <c r="DQ2" s="3" t="s">
        <v>429</v>
      </c>
      <c r="EU2" s="3" t="s">
        <v>430</v>
      </c>
      <c r="FY2" s="3" t="s">
        <v>282</v>
      </c>
      <c r="HC2" s="3" t="s">
        <v>70</v>
      </c>
      <c r="IG2" s="3" t="s">
        <v>431</v>
      </c>
      <c r="JK2" s="3" t="s">
        <v>110</v>
      </c>
      <c r="KO2" s="3" t="s">
        <v>367</v>
      </c>
      <c r="LS2" s="3" t="s">
        <v>432</v>
      </c>
      <c r="MW2" s="3" t="s">
        <v>433</v>
      </c>
      <c r="OA2" s="3" t="s">
        <v>110</v>
      </c>
      <c r="PE2" s="3" t="s">
        <v>78</v>
      </c>
      <c r="QI2" s="3" t="s">
        <v>434</v>
      </c>
      <c r="RM2" s="3" t="s">
        <v>435</v>
      </c>
      <c r="SQ2" s="3" t="s">
        <v>436</v>
      </c>
      <c r="TU2" s="3" t="s">
        <v>437</v>
      </c>
      <c r="UY2" s="3" t="s">
        <v>438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_xll.BDS("GD US Equity","SUPPLY_CHAIN_SUPPLIERS_ALL_DATA","cols=12;rows=5")</f>
        <v>RTX US Equity</v>
      </c>
      <c r="B5" t="s">
        <v>1598</v>
      </c>
      <c r="C5">
        <v>0.86519299999999999</v>
      </c>
      <c r="D5">
        <v>1.683351</v>
      </c>
      <c r="E5" t="s">
        <v>1664</v>
      </c>
      <c r="F5">
        <v>2025</v>
      </c>
      <c r="G5" t="s">
        <v>2129</v>
      </c>
      <c r="H5" s="6">
        <v>45895</v>
      </c>
      <c r="I5">
        <v>5</v>
      </c>
      <c r="J5">
        <v>186717296</v>
      </c>
      <c r="K5">
        <v>101555</v>
      </c>
      <c r="L5" t="s">
        <v>2130</v>
      </c>
      <c r="O5" t="str">
        <f>_xll.BDS("GD US Equity","SUPPLY_CHAIN_CUSTOMERS_ALL_DATA","cols=12;rows=5")</f>
        <v>3352Z US Equity</v>
      </c>
      <c r="P5">
        <v>68.043769999999995</v>
      </c>
      <c r="R5">
        <v>-2.4245362661989844E-14</v>
      </c>
      <c r="S5" t="s">
        <v>1594</v>
      </c>
      <c r="T5">
        <v>2025</v>
      </c>
      <c r="U5" t="s">
        <v>1675</v>
      </c>
      <c r="V5" s="6">
        <v>46052</v>
      </c>
      <c r="W5">
        <v>5</v>
      </c>
      <c r="X5">
        <v>8939250000</v>
      </c>
      <c r="Y5">
        <v>218252</v>
      </c>
      <c r="Z5" t="s">
        <v>1622</v>
      </c>
      <c r="AE5" t="str">
        <f>_xll.BDS("CME US Equity","SUPPLY_CHAIN_SUPPLIERS_ALL_DATA","cols=12;rows=2")</f>
        <v>BUC LN Equity</v>
      </c>
      <c r="AG5">
        <v>-2.4245362661989844E-14</v>
      </c>
      <c r="AH5">
        <v>-2.4245362661989844E-14</v>
      </c>
      <c r="AI5" t="s">
        <v>1594</v>
      </c>
      <c r="AJ5">
        <v>2021</v>
      </c>
      <c r="AK5" t="s">
        <v>4863</v>
      </c>
      <c r="AL5" s="6">
        <v>44650</v>
      </c>
      <c r="AM5">
        <v>2</v>
      </c>
      <c r="AN5">
        <v>-2.4245362661989844E-14</v>
      </c>
      <c r="AO5">
        <v>111137</v>
      </c>
      <c r="AP5" t="s">
        <v>4864</v>
      </c>
      <c r="AS5" t="str">
        <f>_xll.BDS("CME US Equity","SUPPLY_CHAIN_CUSTOMERS_ALL_DATA","cols=12;rows=2")</f>
        <v>8284 TT Equity</v>
      </c>
      <c r="AT5">
        <v>-2.4245362661989844E-14</v>
      </c>
      <c r="AV5">
        <v>-2.4245362661989844E-14</v>
      </c>
      <c r="AW5" t="s">
        <v>1594</v>
      </c>
      <c r="AX5">
        <v>2024</v>
      </c>
      <c r="AY5" t="s">
        <v>4346</v>
      </c>
      <c r="AZ5" s="6">
        <v>45793</v>
      </c>
      <c r="BA5">
        <v>2</v>
      </c>
      <c r="BB5">
        <v>-2.4245362661989844E-14</v>
      </c>
      <c r="BC5">
        <v>33142972</v>
      </c>
      <c r="BD5" t="s">
        <v>4347</v>
      </c>
      <c r="BI5" t="str">
        <f>_xll.BDS("MSI US Equity","SUPPLY_CHAIN_SUPPLIERS_ALL_DATA","cols=12;rows=5")</f>
        <v>SANM US Equity</v>
      </c>
      <c r="BJ5" t="s">
        <v>1598</v>
      </c>
      <c r="BK5">
        <v>11.295623000000001</v>
      </c>
      <c r="BL5">
        <v>18.250340999999999</v>
      </c>
      <c r="BM5" t="s">
        <v>1664</v>
      </c>
      <c r="BN5">
        <v>2025</v>
      </c>
      <c r="BO5" t="s">
        <v>2139</v>
      </c>
      <c r="BP5" s="6">
        <v>45791</v>
      </c>
      <c r="BQ5">
        <v>5</v>
      </c>
      <c r="BR5">
        <v>224114192</v>
      </c>
      <c r="BS5">
        <v>116988</v>
      </c>
      <c r="BT5" t="s">
        <v>2140</v>
      </c>
      <c r="BW5" t="str">
        <f>_xll.BDS("MSI US Equity","SUPPLY_CHAIN_CUSTOMERS_ALL_DATA","cols=12;rows=5")</f>
        <v>3352Z US Equity</v>
      </c>
      <c r="BX5">
        <v>8</v>
      </c>
      <c r="BZ5">
        <v>-2.4245362661989844E-14</v>
      </c>
      <c r="CA5" t="s">
        <v>1594</v>
      </c>
      <c r="CB5">
        <v>2025</v>
      </c>
      <c r="CC5" t="s">
        <v>4292</v>
      </c>
      <c r="CD5" s="6">
        <v>46065</v>
      </c>
      <c r="CE5">
        <v>5</v>
      </c>
      <c r="CF5">
        <v>233640000</v>
      </c>
      <c r="CG5">
        <v>218252</v>
      </c>
      <c r="CH5" t="s">
        <v>1622</v>
      </c>
      <c r="CM5" t="str">
        <f>_xll.BDS("AMT US Equity","SUPPLY_CHAIN_SUPPLIERS_ALL_DATA","cols=12;rows=5")</f>
        <v>ORCL US Equity</v>
      </c>
      <c r="CN5" t="s">
        <v>1598</v>
      </c>
      <c r="CO5">
        <v>9.7300000000000002E-4</v>
      </c>
      <c r="CP5">
        <v>0.27730500000000002</v>
      </c>
      <c r="CQ5" t="s">
        <v>1606</v>
      </c>
      <c r="CR5">
        <v>2025</v>
      </c>
      <c r="CS5" t="s">
        <v>2251</v>
      </c>
      <c r="CT5" s="6">
        <v>45848</v>
      </c>
      <c r="CU5">
        <v>5</v>
      </c>
      <c r="CV5">
        <v>154736</v>
      </c>
      <c r="CW5">
        <v>101752</v>
      </c>
      <c r="CX5" t="s">
        <v>2265</v>
      </c>
      <c r="DA5" t="str">
        <f>_xll.BDS("AMT US Equity","SUPPLY_CHAIN_CUSTOMERS_ALL_DATA","cols=12;rows=5")</f>
        <v>TMUS US Equity</v>
      </c>
      <c r="DB5">
        <v>18</v>
      </c>
      <c r="DC5" t="s">
        <v>1598</v>
      </c>
      <c r="DD5">
        <v>5.8461829999999999</v>
      </c>
      <c r="DE5" t="s">
        <v>1594</v>
      </c>
      <c r="DF5">
        <v>2025</v>
      </c>
      <c r="DG5" t="s">
        <v>2379</v>
      </c>
      <c r="DH5" s="6">
        <v>46077</v>
      </c>
      <c r="DI5">
        <v>5</v>
      </c>
      <c r="DJ5">
        <v>479007008</v>
      </c>
      <c r="DK5">
        <v>8779219</v>
      </c>
      <c r="DL5" t="s">
        <v>5655</v>
      </c>
      <c r="DQ5" t="str">
        <f>_xll.BDS("HET US Equity","SUPPLY_CHAIN_SUPPLIERS_ALL_DATA")</f>
        <v>#N/A N/A</v>
      </c>
      <c r="EE5" t="str">
        <f>_xll.BDS("HET US Equity","SUPPLY_CHAIN_CUSTOMERS_ALL_DATA")</f>
        <v>#N/A N/A</v>
      </c>
      <c r="EU5" t="str">
        <f>_xll.BDS("WES US Equity","SUPPLY_CHAIN_SUPPLIERS_ALL_DATA","cols=12;rows=5")</f>
        <v>AROC US Equity</v>
      </c>
      <c r="EV5" t="s">
        <v>1634</v>
      </c>
      <c r="EW5">
        <v>2.8482120000000002</v>
      </c>
      <c r="EX5">
        <v>6.1095050000000004</v>
      </c>
      <c r="EY5" t="s">
        <v>1664</v>
      </c>
      <c r="EZ5">
        <v>2025</v>
      </c>
      <c r="FA5" t="s">
        <v>2067</v>
      </c>
      <c r="FB5" s="6">
        <v>45929</v>
      </c>
      <c r="FC5">
        <v>5</v>
      </c>
      <c r="FD5">
        <v>10912981</v>
      </c>
      <c r="FE5">
        <v>13070762</v>
      </c>
      <c r="FF5" t="s">
        <v>2068</v>
      </c>
      <c r="FI5" t="str">
        <f>_xll.BDS("WES US Equity","SUPPLY_CHAIN_CUSTOMERS_ALL_DATA","cols=12;rows=5")</f>
        <v>PSX US Equity</v>
      </c>
      <c r="FJ5">
        <v>-2.4245362661989844E-14</v>
      </c>
      <c r="FL5">
        <v>-2.4245362661989844E-14</v>
      </c>
      <c r="FM5" t="s">
        <v>1664</v>
      </c>
      <c r="FN5">
        <v>2025</v>
      </c>
      <c r="FO5" t="s">
        <v>6198</v>
      </c>
      <c r="FP5" s="6">
        <v>45875</v>
      </c>
      <c r="FQ5">
        <v>5</v>
      </c>
      <c r="FR5">
        <v>-2.4245362661989844E-14</v>
      </c>
      <c r="FS5">
        <v>28399721</v>
      </c>
      <c r="FT5" t="s">
        <v>3092</v>
      </c>
      <c r="FY5" t="str">
        <f>_xll.BDS("GEN US Equity","SUPPLY_CHAIN_SUPPLIERS_ALL_DATA","cols=12;rows=5")</f>
        <v>354 HK Equity</v>
      </c>
      <c r="FZ5" t="s">
        <v>1685</v>
      </c>
      <c r="GA5">
        <v>9.7283999999999995E-2</v>
      </c>
      <c r="GB5">
        <v>0.15382699999999999</v>
      </c>
      <c r="GC5" t="s">
        <v>1664</v>
      </c>
      <c r="GD5">
        <v>2025</v>
      </c>
      <c r="GE5" t="s">
        <v>3747</v>
      </c>
      <c r="GF5" s="6">
        <v>45944</v>
      </c>
      <c r="GG5">
        <v>5</v>
      </c>
      <c r="GH5">
        <v>570196.56999999995</v>
      </c>
      <c r="GI5">
        <v>8157006</v>
      </c>
      <c r="GJ5" t="s">
        <v>3748</v>
      </c>
      <c r="GM5" t="str">
        <f>_xll.BDS("GEN US Equity","SUPPLY_CHAIN_CUSTOMERS_ALL_DATA","cols=12;rows=5")</f>
        <v>BABA US Equity</v>
      </c>
      <c r="GN5">
        <v>1.718623</v>
      </c>
      <c r="GO5" t="s">
        <v>1598</v>
      </c>
      <c r="GP5">
        <v>0.10999200000000001</v>
      </c>
      <c r="GQ5" t="s">
        <v>1603</v>
      </c>
      <c r="GR5">
        <v>2026</v>
      </c>
      <c r="GS5" t="s">
        <v>2797</v>
      </c>
      <c r="GT5" s="6">
        <v>45973</v>
      </c>
      <c r="GU5">
        <v>5</v>
      </c>
      <c r="GV5">
        <v>20754987.789999999</v>
      </c>
      <c r="GW5">
        <v>16857643</v>
      </c>
      <c r="GX5" t="s">
        <v>2798</v>
      </c>
      <c r="HC5" t="str">
        <f>_xll.BDS("ET US Equity","SUPPLY_CHAIN_SUPPLIERS_ALL_DATA","cols=12;rows=5")</f>
        <v>CNR CN Equity</v>
      </c>
      <c r="HD5" t="s">
        <v>1598</v>
      </c>
      <c r="HE5">
        <v>1.0582020000000001</v>
      </c>
      <c r="HF5">
        <v>0.20854300000000001</v>
      </c>
      <c r="HG5" t="s">
        <v>1603</v>
      </c>
      <c r="HH5">
        <v>2025</v>
      </c>
      <c r="HI5" t="s">
        <v>2089</v>
      </c>
      <c r="HJ5" s="6">
        <v>45849</v>
      </c>
      <c r="HK5">
        <v>5</v>
      </c>
      <c r="HL5">
        <v>32471893.800000001</v>
      </c>
      <c r="HM5">
        <v>179551</v>
      </c>
      <c r="HN5" t="s">
        <v>2090</v>
      </c>
      <c r="HQ5" t="str">
        <f>_xll.BDS("ET US Equity","SUPPLY_CHAIN_CUSTOMERS_ALL_DATA","cols=12;rows=5")</f>
        <v>384 HK Equity</v>
      </c>
      <c r="HR5">
        <v>-2.4245362661989844E-14</v>
      </c>
      <c r="HT5">
        <v>-2.4245362661989844E-14</v>
      </c>
      <c r="HU5" t="s">
        <v>1594</v>
      </c>
      <c r="HV5">
        <v>2022</v>
      </c>
      <c r="HW5" t="s">
        <v>1982</v>
      </c>
      <c r="HX5" s="6">
        <v>44717</v>
      </c>
      <c r="HY5">
        <v>5</v>
      </c>
      <c r="HZ5">
        <v>-2.4245362661989844E-14</v>
      </c>
      <c r="IA5">
        <v>178275</v>
      </c>
      <c r="IB5" t="s">
        <v>1983</v>
      </c>
      <c r="IG5" t="str">
        <f>_xll.BDS("LEN US Equity","SUPPLY_CHAIN_SUPPLIERS_ALL_DATA","cols=12;rows=5")</f>
        <v>WLK US Equity</v>
      </c>
      <c r="IH5" t="s">
        <v>1598</v>
      </c>
      <c r="II5">
        <v>5.5694879999999998</v>
      </c>
      <c r="IJ5">
        <v>2.3995069999999998</v>
      </c>
      <c r="IK5" t="s">
        <v>1664</v>
      </c>
      <c r="IL5">
        <v>2025</v>
      </c>
      <c r="IM5" t="s">
        <v>5174</v>
      </c>
      <c r="IN5" s="6">
        <v>45922</v>
      </c>
      <c r="IO5">
        <v>5</v>
      </c>
      <c r="IP5">
        <v>164466976</v>
      </c>
      <c r="IQ5">
        <v>7785692</v>
      </c>
      <c r="IR5" t="s">
        <v>6051</v>
      </c>
      <c r="IU5" t="str">
        <f>_xll.BDS("LEN US Equity","SUPPLY_CHAIN_CUSTOMERS_ALL_DATA")</f>
        <v>#N/A N/A</v>
      </c>
      <c r="JK5" t="str">
        <f>_xll.BDS("BRK/A US Equity","SUPPLY_CHAIN_SUPPLIERS_ALL_DATA","cols=12;rows=5")</f>
        <v>HSY US Equity</v>
      </c>
      <c r="JL5" t="s">
        <v>1598</v>
      </c>
      <c r="JM5">
        <v>27</v>
      </c>
      <c r="JN5">
        <v>1.2151259999999999</v>
      </c>
      <c r="JO5" t="s">
        <v>1594</v>
      </c>
      <c r="JP5">
        <v>2025</v>
      </c>
      <c r="JQ5" t="s">
        <v>3395</v>
      </c>
      <c r="JR5" s="6">
        <v>46070</v>
      </c>
      <c r="JS5">
        <v>5</v>
      </c>
      <c r="JT5">
        <v>789248896</v>
      </c>
      <c r="JU5">
        <v>100731</v>
      </c>
      <c r="JV5" t="s">
        <v>3396</v>
      </c>
      <c r="JY5" t="str">
        <f>_xll.BDS("BRK/A US Equity","SUPPLY_CHAIN_CUSTOMERS_ALL_DATA","cols=12;rows=5")</f>
        <v>WMT US Equity</v>
      </c>
      <c r="JZ5">
        <v>2.1167449999999999</v>
      </c>
      <c r="KA5" t="s">
        <v>1598</v>
      </c>
      <c r="KB5">
        <v>1.7547349999999999</v>
      </c>
      <c r="KC5" t="s">
        <v>1594</v>
      </c>
      <c r="KD5">
        <v>2024</v>
      </c>
      <c r="KE5" t="s">
        <v>2944</v>
      </c>
      <c r="KF5" s="6">
        <v>45712</v>
      </c>
      <c r="KG5">
        <v>5</v>
      </c>
      <c r="KH5">
        <v>2244977664</v>
      </c>
      <c r="KI5">
        <v>101616</v>
      </c>
      <c r="KJ5" t="s">
        <v>1666</v>
      </c>
      <c r="KO5" t="str">
        <f>_xll.BDS("FE US Equity","SUPPLY_CHAIN_SUPPLIERS_ALL_DATA","cols=12;rows=5")</f>
        <v>PWR US Equity</v>
      </c>
      <c r="KP5" t="s">
        <v>1634</v>
      </c>
      <c r="KQ5">
        <v>1.5301670000000001</v>
      </c>
      <c r="KR5">
        <v>8.8733500000000003</v>
      </c>
      <c r="KS5" t="s">
        <v>1599</v>
      </c>
      <c r="KT5">
        <v>2025</v>
      </c>
      <c r="KU5" t="s">
        <v>2321</v>
      </c>
      <c r="KV5" s="6">
        <v>45975</v>
      </c>
      <c r="KW5">
        <v>5</v>
      </c>
      <c r="KX5">
        <v>116773288</v>
      </c>
      <c r="KY5">
        <v>305366</v>
      </c>
      <c r="KZ5" t="s">
        <v>2322</v>
      </c>
      <c r="LC5" t="str">
        <f>_xll.BDS("FE US Equity","SUPPLY_CHAIN_CUSTOMERS_ALL_DATA","cols=12;rows=5")</f>
        <v>0058754D US Equity</v>
      </c>
      <c r="LD5">
        <v>-2.4245362661989844E-14</v>
      </c>
      <c r="LF5">
        <v>-2.4245362661989844E-14</v>
      </c>
      <c r="LG5" t="s">
        <v>1594</v>
      </c>
      <c r="LH5">
        <v>2021</v>
      </c>
      <c r="LI5" t="s">
        <v>3048</v>
      </c>
      <c r="LJ5" s="6">
        <v>44693</v>
      </c>
      <c r="LK5">
        <v>5</v>
      </c>
      <c r="LL5">
        <v>-2.4245362661989844E-14</v>
      </c>
      <c r="LM5">
        <v>17257741</v>
      </c>
      <c r="LN5" t="s">
        <v>4449</v>
      </c>
      <c r="LS5" t="str">
        <f>_xll.BDS("CXO US Equity","SUPPLY_CHAIN_SUPPLIERS_ALL_DATA")</f>
        <v>#N/A N/A</v>
      </c>
      <c r="MG5" t="str">
        <f>_xll.BDS("CXO US Equity","SUPPLY_CHAIN_CUSTOMERS_ALL_DATA")</f>
        <v>#N/A N/A</v>
      </c>
      <c r="MW5" t="str">
        <f>_xll.BDS("FANG US Equity","SUPPLY_CHAIN_SUPPLIERS_ALL_DATA","cols=12;rows=5")</f>
        <v>TEN IM Equity</v>
      </c>
      <c r="MX5" t="s">
        <v>1634</v>
      </c>
      <c r="MY5">
        <v>3.4598330000000002</v>
      </c>
      <c r="MZ5">
        <v>4.4605490000000003</v>
      </c>
      <c r="NA5" t="s">
        <v>1599</v>
      </c>
      <c r="NB5">
        <v>2025</v>
      </c>
      <c r="NC5" t="s">
        <v>3361</v>
      </c>
      <c r="ND5" s="6">
        <v>45971</v>
      </c>
      <c r="NE5">
        <v>5</v>
      </c>
      <c r="NF5">
        <v>103038672</v>
      </c>
      <c r="NG5">
        <v>7912227</v>
      </c>
      <c r="NH5" t="s">
        <v>3362</v>
      </c>
      <c r="NK5" t="str">
        <f>_xll.BDS("FANG US Equity","SUPPLY_CHAIN_CUSTOMERS_ALL_DATA","cols=12;rows=4")</f>
        <v>9888092Z US Equity</v>
      </c>
      <c r="NL5">
        <v>17</v>
      </c>
      <c r="NN5">
        <v>-2.4245362661989844E-14</v>
      </c>
      <c r="NO5" t="s">
        <v>1594</v>
      </c>
      <c r="NP5">
        <v>2024</v>
      </c>
      <c r="NQ5" t="s">
        <v>4100</v>
      </c>
      <c r="NR5" s="6">
        <v>45714</v>
      </c>
      <c r="NS5">
        <v>4</v>
      </c>
      <c r="NT5">
        <v>468137504</v>
      </c>
      <c r="NU5">
        <v>17234565</v>
      </c>
      <c r="NV5" t="s">
        <v>4101</v>
      </c>
      <c r="OA5" t="str">
        <f>_xll.BDS("BRK/A US Equity","SUPPLY_CHAIN_SUPPLIERS_ALL_DATA","cols=12;rows=5")</f>
        <v>HSY US Equity</v>
      </c>
      <c r="OB5" t="s">
        <v>1598</v>
      </c>
      <c r="OC5">
        <v>27</v>
      </c>
      <c r="OD5">
        <v>1.2151259999999999</v>
      </c>
      <c r="OE5" t="s">
        <v>1594</v>
      </c>
      <c r="OF5">
        <v>2025</v>
      </c>
      <c r="OG5" t="s">
        <v>3395</v>
      </c>
      <c r="OH5" s="6">
        <v>46070</v>
      </c>
      <c r="OI5">
        <v>5</v>
      </c>
      <c r="OJ5">
        <v>789248896</v>
      </c>
      <c r="OK5">
        <v>100731</v>
      </c>
      <c r="OL5" t="s">
        <v>3396</v>
      </c>
      <c r="OO5" t="str">
        <f>_xll.BDS("BRK/A US Equity","SUPPLY_CHAIN_CUSTOMERS_ALL_DATA","cols=12;rows=5")</f>
        <v>WMT US Equity</v>
      </c>
      <c r="OP5">
        <v>2.1167449999999999</v>
      </c>
      <c r="OQ5" t="s">
        <v>1598</v>
      </c>
      <c r="OR5">
        <v>1.7547349999999999</v>
      </c>
      <c r="OS5" t="s">
        <v>1594</v>
      </c>
      <c r="OT5">
        <v>2024</v>
      </c>
      <c r="OU5" t="s">
        <v>2944</v>
      </c>
      <c r="OV5" s="6">
        <v>45712</v>
      </c>
      <c r="OW5">
        <v>5</v>
      </c>
      <c r="OX5">
        <v>2244977664</v>
      </c>
      <c r="OY5">
        <v>101616</v>
      </c>
      <c r="OZ5" t="s">
        <v>1666</v>
      </c>
      <c r="PE5" t="str">
        <f>_xll.BDS("nan Equity","SUPPLY_CHAIN_SUPPLIERS_ALL_DATA")</f>
        <v>#N/A N/A</v>
      </c>
      <c r="PS5" t="str">
        <f>_xll.BDS("nan Equity","SUPPLY_CHAIN_CUSTOMERS_ALL_DATA")</f>
        <v>#N/A N/A</v>
      </c>
      <c r="QI5" t="str">
        <f>_xll.BDS("2370058D US Equity","SUPPLY_CHAIN_SUPPLIERS_ALL_DATA")</f>
        <v>#N/A N/A</v>
      </c>
      <c r="QW5" t="str">
        <f>_xll.BDS("2370058D US Equity","SUPPLY_CHAIN_CUSTOMERS_ALL_DATA")</f>
        <v>#N/A N/A</v>
      </c>
      <c r="RM5" t="str">
        <f>_xll.BDS("DLTR US Equity","SUPPLY_CHAIN_SUPPLIERS_ALL_DATA","cols=12;rows=5")</f>
        <v>PG US Equity</v>
      </c>
      <c r="RN5" t="s">
        <v>1598</v>
      </c>
      <c r="RO5">
        <v>0.88598100000000002</v>
      </c>
      <c r="RP5">
        <v>6.2499180000000001</v>
      </c>
      <c r="RQ5" t="s">
        <v>1606</v>
      </c>
      <c r="RR5">
        <v>2025</v>
      </c>
      <c r="RS5" t="s">
        <v>2670</v>
      </c>
      <c r="RT5" s="6">
        <v>45883</v>
      </c>
      <c r="RU5">
        <v>5</v>
      </c>
      <c r="RV5">
        <v>186685056</v>
      </c>
      <c r="RW5">
        <v>101215</v>
      </c>
      <c r="RX5" t="s">
        <v>1868</v>
      </c>
      <c r="SA5" t="str">
        <f>_xll.BDS("DLTR US Equity","SUPPLY_CHAIN_CUSTOMERS_ALL_DATA","cols=12;rows=2")</f>
        <v>CART US Equity</v>
      </c>
      <c r="SB5">
        <v>-2.4245362661989844E-14</v>
      </c>
      <c r="SD5">
        <v>-2.4245362661989844E-14</v>
      </c>
      <c r="SE5" t="s">
        <v>1594</v>
      </c>
      <c r="SF5">
        <v>2025</v>
      </c>
      <c r="SG5" t="s">
        <v>5777</v>
      </c>
      <c r="SH5" s="6">
        <v>45742</v>
      </c>
      <c r="SI5">
        <v>2</v>
      </c>
      <c r="SJ5">
        <v>-2.4245362661989844E-14</v>
      </c>
      <c r="SK5">
        <v>41633687</v>
      </c>
      <c r="SL5" t="s">
        <v>5778</v>
      </c>
      <c r="SQ5" t="str">
        <f>_xll.BDS("WEC US Equity","SUPPLY_CHAIN_SUPPLIERS_ALL_DATA","cols=12;rows=5")</f>
        <v>LNT US Equity</v>
      </c>
      <c r="SR5" t="s">
        <v>1598</v>
      </c>
      <c r="SS5">
        <v>0.40190900000000002</v>
      </c>
      <c r="ST5">
        <v>0.60241</v>
      </c>
      <c r="SU5" t="s">
        <v>1594</v>
      </c>
      <c r="SV5">
        <v>2024</v>
      </c>
      <c r="SW5" t="s">
        <v>5509</v>
      </c>
      <c r="SX5" s="6">
        <v>45709</v>
      </c>
      <c r="SY5">
        <v>5</v>
      </c>
      <c r="SZ5">
        <v>3999999.25</v>
      </c>
      <c r="TA5">
        <v>101674</v>
      </c>
      <c r="TB5" t="s">
        <v>5510</v>
      </c>
      <c r="TE5" t="str">
        <f>_xll.BDS("WEC US Equity","SUPPLY_CHAIN_CUSTOMERS_ALL_DATA","cols=12;rows=5")</f>
        <v>LNT US Equity</v>
      </c>
      <c r="TF5">
        <v>1.7674620000000001</v>
      </c>
      <c r="TG5" t="s">
        <v>1598</v>
      </c>
      <c r="TH5">
        <v>10.375427</v>
      </c>
      <c r="TI5" t="s">
        <v>1594</v>
      </c>
      <c r="TJ5">
        <v>2024</v>
      </c>
      <c r="TK5" t="s">
        <v>5509</v>
      </c>
      <c r="TL5" s="6">
        <v>45709</v>
      </c>
      <c r="TM5">
        <v>5</v>
      </c>
      <c r="TN5">
        <v>38000000</v>
      </c>
      <c r="TO5">
        <v>101674</v>
      </c>
      <c r="TP5" t="s">
        <v>5510</v>
      </c>
      <c r="TU5" t="str">
        <f>_xll.BDS("EPD US Equity","SUPPLY_CHAIN_SUPPLIERS_ALL_DATA","cols=12;rows=5")</f>
        <v>MTDR US Equity</v>
      </c>
      <c r="TV5" t="s">
        <v>1598</v>
      </c>
      <c r="TW5">
        <v>11</v>
      </c>
      <c r="TX5">
        <v>0.78312800000000005</v>
      </c>
      <c r="TY5" t="s">
        <v>1594</v>
      </c>
      <c r="TZ5">
        <v>2024</v>
      </c>
      <c r="UA5" t="s">
        <v>2315</v>
      </c>
      <c r="UB5" s="6">
        <v>45713</v>
      </c>
      <c r="UC5">
        <v>5</v>
      </c>
      <c r="UD5">
        <v>96021256</v>
      </c>
      <c r="UE5">
        <v>15224879</v>
      </c>
      <c r="UF5" t="s">
        <v>2316</v>
      </c>
      <c r="UI5" t="str">
        <f>_xll.BDS("EPD US Equity","SUPPLY_CHAIN_CUSTOMERS_ALL_DATA","cols=12;rows=5")</f>
        <v>62647Z LN Equity</v>
      </c>
      <c r="UJ5">
        <v>11.5</v>
      </c>
      <c r="UL5">
        <v>-2.4245362661989844E-14</v>
      </c>
      <c r="UM5" t="s">
        <v>1594</v>
      </c>
      <c r="UN5">
        <v>2024</v>
      </c>
      <c r="UO5" t="s">
        <v>1928</v>
      </c>
      <c r="UP5" s="6">
        <v>45716</v>
      </c>
      <c r="UQ5">
        <v>5</v>
      </c>
      <c r="UR5">
        <v>1612500000</v>
      </c>
      <c r="US5">
        <v>958757</v>
      </c>
      <c r="UT5" t="s">
        <v>1929</v>
      </c>
      <c r="UY5" t="str">
        <f>_xll.BDS("CTRA US Equity","SUPPLY_CHAIN_SUPPLIERS_ALL_DATA","cols=12;rows=5")</f>
        <v>AROC US Equity</v>
      </c>
      <c r="UZ5" t="s">
        <v>1634</v>
      </c>
      <c r="VA5">
        <v>5.7153700000000001</v>
      </c>
      <c r="VB5">
        <v>3.4216489999999999</v>
      </c>
      <c r="VC5" t="s">
        <v>1664</v>
      </c>
      <c r="VD5">
        <v>2025</v>
      </c>
      <c r="VE5" t="s">
        <v>2067</v>
      </c>
      <c r="VF5" s="6">
        <v>45929</v>
      </c>
      <c r="VG5">
        <v>5</v>
      </c>
      <c r="VH5">
        <v>21898554</v>
      </c>
      <c r="VI5">
        <v>13070762</v>
      </c>
      <c r="VJ5" t="s">
        <v>2068</v>
      </c>
      <c r="VM5" t="str">
        <f>_xll.BDS("CTRA US Equity","SUPPLY_CHAIN_CUSTOMERS_ALL_DATA","cols=12;rows=1")</f>
        <v>CNA LN Equity</v>
      </c>
      <c r="VN5">
        <v>-2.4245362661989844E-14</v>
      </c>
      <c r="VP5">
        <v>-2.4245362661989844E-14</v>
      </c>
      <c r="VQ5" t="s">
        <v>1594</v>
      </c>
      <c r="VR5">
        <v>2024</v>
      </c>
      <c r="VS5" t="s">
        <v>5459</v>
      </c>
      <c r="VT5" s="6">
        <v>45734</v>
      </c>
      <c r="VU5">
        <v>1</v>
      </c>
      <c r="VV5">
        <v>-2.4245362661989844E-14</v>
      </c>
      <c r="VW5">
        <v>216204</v>
      </c>
      <c r="VX5" t="s">
        <v>1755</v>
      </c>
    </row>
    <row r="6" spans="1:600" x14ac:dyDescent="0.25">
      <c r="A6" t="s">
        <v>2131</v>
      </c>
      <c r="B6" t="s">
        <v>1598</v>
      </c>
      <c r="C6">
        <v>1.8061149999999999</v>
      </c>
      <c r="D6">
        <v>1.370322</v>
      </c>
      <c r="E6" t="s">
        <v>1664</v>
      </c>
      <c r="F6">
        <v>2025</v>
      </c>
      <c r="G6" t="s">
        <v>2132</v>
      </c>
      <c r="H6" s="6">
        <v>45874</v>
      </c>
      <c r="I6">
        <v>5</v>
      </c>
      <c r="J6">
        <v>152133629.88</v>
      </c>
      <c r="K6">
        <v>115519</v>
      </c>
      <c r="L6" t="s">
        <v>2133</v>
      </c>
      <c r="O6" t="s">
        <v>1633</v>
      </c>
      <c r="P6">
        <v>0.77161500000000005</v>
      </c>
      <c r="Q6" t="s">
        <v>1634</v>
      </c>
      <c r="R6">
        <v>-2.4245362661989844E-14</v>
      </c>
      <c r="S6" t="s">
        <v>1594</v>
      </c>
      <c r="T6">
        <v>2025</v>
      </c>
      <c r="U6" t="s">
        <v>1635</v>
      </c>
      <c r="V6" s="6">
        <v>45925</v>
      </c>
      <c r="W6">
        <v>5</v>
      </c>
      <c r="X6">
        <v>95700000</v>
      </c>
      <c r="Y6">
        <v>340053</v>
      </c>
      <c r="Z6" t="s">
        <v>1636</v>
      </c>
      <c r="AE6" t="s">
        <v>4865</v>
      </c>
      <c r="AG6">
        <v>-2.4245362661989844E-14</v>
      </c>
      <c r="AH6">
        <v>-2.4245362661989844E-14</v>
      </c>
      <c r="AI6" t="s">
        <v>1594</v>
      </c>
      <c r="AJ6">
        <v>2022</v>
      </c>
      <c r="AK6" t="s">
        <v>4866</v>
      </c>
      <c r="AL6" s="6">
        <v>44988</v>
      </c>
      <c r="AM6">
        <v>2</v>
      </c>
      <c r="AN6">
        <v>-2.4245362661989844E-14</v>
      </c>
      <c r="AO6">
        <v>171858</v>
      </c>
      <c r="AP6" t="s">
        <v>4867</v>
      </c>
      <c r="AS6" t="s">
        <v>1700</v>
      </c>
      <c r="AT6">
        <v>-2.4245362661989844E-14</v>
      </c>
      <c r="AV6">
        <v>-2.4245362661989844E-14</v>
      </c>
      <c r="AW6" t="s">
        <v>1594</v>
      </c>
      <c r="AX6">
        <v>2021</v>
      </c>
      <c r="AY6" t="s">
        <v>4265</v>
      </c>
      <c r="AZ6" s="6">
        <v>44656</v>
      </c>
      <c r="BA6">
        <v>2</v>
      </c>
      <c r="BB6">
        <v>-2.4245362661989844E-14</v>
      </c>
      <c r="BC6">
        <v>1499717</v>
      </c>
      <c r="BD6" t="s">
        <v>1702</v>
      </c>
      <c r="BI6" t="s">
        <v>2556</v>
      </c>
      <c r="BJ6" t="s">
        <v>1598</v>
      </c>
      <c r="BK6">
        <v>0.46781499999999998</v>
      </c>
      <c r="BL6">
        <v>2.0978080000000001</v>
      </c>
      <c r="BM6" t="s">
        <v>1599</v>
      </c>
      <c r="BN6">
        <v>2025</v>
      </c>
      <c r="BO6" t="s">
        <v>2557</v>
      </c>
      <c r="BP6" s="6">
        <v>45763</v>
      </c>
      <c r="BQ6">
        <v>5</v>
      </c>
      <c r="BR6">
        <v>30669952</v>
      </c>
      <c r="BS6">
        <v>136547</v>
      </c>
      <c r="BT6" t="s">
        <v>2558</v>
      </c>
      <c r="BW6" t="s">
        <v>1700</v>
      </c>
      <c r="BX6">
        <v>2.7820800000000001</v>
      </c>
      <c r="BY6" t="s">
        <v>1598</v>
      </c>
      <c r="BZ6">
        <v>0.51724400000000004</v>
      </c>
      <c r="CA6" t="s">
        <v>1606</v>
      </c>
      <c r="CB6">
        <v>2025</v>
      </c>
      <c r="CC6" t="s">
        <v>1701</v>
      </c>
      <c r="CD6" s="6">
        <v>46056</v>
      </c>
      <c r="CE6">
        <v>5</v>
      </c>
      <c r="CF6">
        <v>83712784</v>
      </c>
      <c r="CG6">
        <v>1499717</v>
      </c>
      <c r="CH6" t="s">
        <v>1702</v>
      </c>
      <c r="CM6" t="s">
        <v>5913</v>
      </c>
      <c r="CO6">
        <v>-2.4245362661989844E-14</v>
      </c>
      <c r="CP6">
        <v>-2.4245362661989844E-14</v>
      </c>
      <c r="CQ6" t="s">
        <v>1594</v>
      </c>
      <c r="CR6">
        <v>2023</v>
      </c>
      <c r="CS6" t="s">
        <v>5914</v>
      </c>
      <c r="CT6" s="6">
        <v>45042</v>
      </c>
      <c r="CU6">
        <v>5</v>
      </c>
      <c r="CV6">
        <v>-2.4245362661989844E-14</v>
      </c>
      <c r="CW6">
        <v>19226683</v>
      </c>
      <c r="CX6" t="s">
        <v>5915</v>
      </c>
      <c r="DA6" t="s">
        <v>21</v>
      </c>
      <c r="DB6">
        <v>17</v>
      </c>
      <c r="DC6" t="s">
        <v>1598</v>
      </c>
      <c r="DD6">
        <v>3.5607669999999998</v>
      </c>
      <c r="DE6" t="s">
        <v>1594</v>
      </c>
      <c r="DF6">
        <v>2025</v>
      </c>
      <c r="DG6" t="s">
        <v>2379</v>
      </c>
      <c r="DH6" s="6">
        <v>46077</v>
      </c>
      <c r="DI6">
        <v>5</v>
      </c>
      <c r="DJ6">
        <v>452395488</v>
      </c>
      <c r="DK6">
        <v>101376</v>
      </c>
      <c r="DL6" t="s">
        <v>3621</v>
      </c>
      <c r="EU6" t="s">
        <v>2072</v>
      </c>
      <c r="EV6" t="s">
        <v>1598</v>
      </c>
      <c r="EW6">
        <v>7.1742E-2</v>
      </c>
      <c r="EX6">
        <v>0.104828</v>
      </c>
      <c r="EY6" t="s">
        <v>1599</v>
      </c>
      <c r="EZ6">
        <v>2025</v>
      </c>
      <c r="FA6" t="s">
        <v>2073</v>
      </c>
      <c r="FB6" s="6">
        <v>46027</v>
      </c>
      <c r="FC6">
        <v>5</v>
      </c>
      <c r="FD6">
        <v>454844</v>
      </c>
      <c r="FE6">
        <v>36965288</v>
      </c>
      <c r="FF6" t="s">
        <v>2074</v>
      </c>
      <c r="FI6" t="s">
        <v>6199</v>
      </c>
      <c r="FJ6">
        <v>-2.4245362661989844E-14</v>
      </c>
      <c r="FL6">
        <v>-2.4245362661989844E-14</v>
      </c>
      <c r="FM6" t="s">
        <v>1664</v>
      </c>
      <c r="FN6">
        <v>2025</v>
      </c>
      <c r="FO6" t="s">
        <v>6198</v>
      </c>
      <c r="FP6" s="6">
        <v>45874</v>
      </c>
      <c r="FQ6">
        <v>5</v>
      </c>
      <c r="FR6">
        <v>-2.4245362661989844E-14</v>
      </c>
      <c r="FS6">
        <v>25569984</v>
      </c>
      <c r="FT6" t="s">
        <v>6200</v>
      </c>
      <c r="FY6" t="s">
        <v>3050</v>
      </c>
      <c r="FZ6" t="s">
        <v>1634</v>
      </c>
      <c r="GA6">
        <v>1.6036999999999999E-2</v>
      </c>
      <c r="GB6">
        <v>0.55282200000000004</v>
      </c>
      <c r="GC6" t="s">
        <v>1603</v>
      </c>
      <c r="GD6">
        <v>2026</v>
      </c>
      <c r="GE6" t="s">
        <v>3051</v>
      </c>
      <c r="GF6" s="6">
        <v>46049</v>
      </c>
      <c r="GG6">
        <v>5</v>
      </c>
      <c r="GH6">
        <v>49754</v>
      </c>
      <c r="GI6">
        <v>386537</v>
      </c>
      <c r="GJ6" t="s">
        <v>3052</v>
      </c>
      <c r="GM6" t="s">
        <v>1700</v>
      </c>
      <c r="GN6">
        <v>1.134592</v>
      </c>
      <c r="GO6" t="s">
        <v>1598</v>
      </c>
      <c r="GP6">
        <v>8.5527000000000006E-2</v>
      </c>
      <c r="GQ6" t="s">
        <v>1606</v>
      </c>
      <c r="GR6">
        <v>2025</v>
      </c>
      <c r="GS6" t="s">
        <v>1701</v>
      </c>
      <c r="GT6" s="6">
        <v>46056</v>
      </c>
      <c r="GU6">
        <v>5</v>
      </c>
      <c r="GV6">
        <v>13842023</v>
      </c>
      <c r="GW6">
        <v>1499717</v>
      </c>
      <c r="GX6" t="s">
        <v>1702</v>
      </c>
      <c r="HC6" t="s">
        <v>462</v>
      </c>
      <c r="HD6" t="s">
        <v>1634</v>
      </c>
      <c r="HE6">
        <v>0.122599</v>
      </c>
      <c r="HF6">
        <v>1.659594</v>
      </c>
      <c r="HG6" t="s">
        <v>1664</v>
      </c>
      <c r="HH6">
        <v>2025</v>
      </c>
      <c r="HI6" t="s">
        <v>3366</v>
      </c>
      <c r="HJ6" s="6">
        <v>45876</v>
      </c>
      <c r="HK6">
        <v>5</v>
      </c>
      <c r="HL6">
        <v>20313428</v>
      </c>
      <c r="HM6">
        <v>100285</v>
      </c>
      <c r="HN6" t="s">
        <v>1764</v>
      </c>
      <c r="HQ6" t="s">
        <v>82</v>
      </c>
      <c r="HR6">
        <v>-2.4245362661989844E-14</v>
      </c>
      <c r="HT6">
        <v>-2.4245362661989844E-14</v>
      </c>
      <c r="HU6" t="s">
        <v>1594</v>
      </c>
      <c r="HV6">
        <v>2025</v>
      </c>
      <c r="HW6" t="s">
        <v>1984</v>
      </c>
      <c r="HX6" s="6">
        <v>45833</v>
      </c>
      <c r="HY6">
        <v>5</v>
      </c>
      <c r="HZ6">
        <v>-2.4245362661989844E-14</v>
      </c>
      <c r="IA6">
        <v>100315</v>
      </c>
      <c r="IB6" t="s">
        <v>1985</v>
      </c>
      <c r="IG6" t="s">
        <v>2141</v>
      </c>
      <c r="IH6" t="s">
        <v>1598</v>
      </c>
      <c r="II6">
        <v>2.5511309999999998</v>
      </c>
      <c r="IJ6">
        <v>0.23505599999999999</v>
      </c>
      <c r="IK6" t="s">
        <v>1599</v>
      </c>
      <c r="IL6">
        <v>2025</v>
      </c>
      <c r="IM6" t="s">
        <v>2142</v>
      </c>
      <c r="IN6" s="6">
        <v>45975</v>
      </c>
      <c r="IO6">
        <v>5</v>
      </c>
      <c r="IP6">
        <v>16914000</v>
      </c>
      <c r="IQ6">
        <v>100915</v>
      </c>
      <c r="IR6" t="s">
        <v>2143</v>
      </c>
      <c r="JK6" t="s">
        <v>3397</v>
      </c>
      <c r="JL6" t="s">
        <v>1634</v>
      </c>
      <c r="JM6">
        <v>6.6028770000000003</v>
      </c>
      <c r="JN6">
        <v>5.0506979999999997</v>
      </c>
      <c r="JO6" t="s">
        <v>1664</v>
      </c>
      <c r="JP6">
        <v>2025</v>
      </c>
      <c r="JQ6" t="s">
        <v>3398</v>
      </c>
      <c r="JR6" s="6">
        <v>45915</v>
      </c>
      <c r="JS6">
        <v>5</v>
      </c>
      <c r="JT6">
        <v>245362912</v>
      </c>
      <c r="JU6">
        <v>101464</v>
      </c>
      <c r="JV6" t="s">
        <v>3399</v>
      </c>
      <c r="JY6" t="s">
        <v>2492</v>
      </c>
      <c r="JZ6">
        <v>1.615089</v>
      </c>
      <c r="KA6" t="s">
        <v>1598</v>
      </c>
      <c r="KB6">
        <v>12.136977999999999</v>
      </c>
      <c r="KC6" t="s">
        <v>1594</v>
      </c>
      <c r="KD6">
        <v>2024</v>
      </c>
      <c r="KE6" t="s">
        <v>2944</v>
      </c>
      <c r="KF6" s="6">
        <v>45712</v>
      </c>
      <c r="KG6">
        <v>5</v>
      </c>
      <c r="KH6">
        <v>1712931072</v>
      </c>
      <c r="KI6">
        <v>9917432</v>
      </c>
      <c r="KJ6" t="s">
        <v>2493</v>
      </c>
      <c r="KO6" t="s">
        <v>3820</v>
      </c>
      <c r="KP6" t="s">
        <v>1598</v>
      </c>
      <c r="KQ6">
        <v>1.5375920000000001</v>
      </c>
      <c r="KR6">
        <v>3.5397159999999999</v>
      </c>
      <c r="KS6" t="s">
        <v>1603</v>
      </c>
      <c r="KT6">
        <v>2025</v>
      </c>
      <c r="KU6" t="s">
        <v>3821</v>
      </c>
      <c r="KV6" s="6">
        <v>45849</v>
      </c>
      <c r="KW6">
        <v>5</v>
      </c>
      <c r="KX6">
        <v>43786284</v>
      </c>
      <c r="KY6">
        <v>102595</v>
      </c>
      <c r="KZ6" t="s">
        <v>3822</v>
      </c>
      <c r="LC6" t="s">
        <v>4450</v>
      </c>
      <c r="LD6">
        <v>-2.4245362661989844E-14</v>
      </c>
      <c r="LF6">
        <v>-2.4245362661989844E-14</v>
      </c>
      <c r="LG6" t="s">
        <v>1594</v>
      </c>
      <c r="LH6">
        <v>2021</v>
      </c>
      <c r="LI6" t="s">
        <v>3048</v>
      </c>
      <c r="LJ6" s="6">
        <v>44693</v>
      </c>
      <c r="LK6">
        <v>5</v>
      </c>
      <c r="LL6">
        <v>-2.4245362661989844E-14</v>
      </c>
      <c r="LM6">
        <v>307627</v>
      </c>
      <c r="LN6" t="s">
        <v>4451</v>
      </c>
      <c r="MW6" t="s">
        <v>2066</v>
      </c>
      <c r="MX6" t="s">
        <v>1634</v>
      </c>
      <c r="MY6">
        <v>7.5029789999999998</v>
      </c>
      <c r="MZ6">
        <v>0.72067700000000001</v>
      </c>
      <c r="NA6" t="s">
        <v>1664</v>
      </c>
      <c r="NB6">
        <v>2025</v>
      </c>
      <c r="NC6" t="s">
        <v>2067</v>
      </c>
      <c r="ND6" s="6">
        <v>45929</v>
      </c>
      <c r="NE6">
        <v>5</v>
      </c>
      <c r="NF6">
        <v>28747814</v>
      </c>
      <c r="NG6">
        <v>13070762</v>
      </c>
      <c r="NH6" t="s">
        <v>2068</v>
      </c>
      <c r="NK6" t="s">
        <v>4102</v>
      </c>
      <c r="NL6">
        <v>15</v>
      </c>
      <c r="NN6">
        <v>-2.4245362661989844E-14</v>
      </c>
      <c r="NO6" t="s">
        <v>1594</v>
      </c>
      <c r="NP6">
        <v>2024</v>
      </c>
      <c r="NQ6" t="s">
        <v>4100</v>
      </c>
      <c r="NR6" s="6">
        <v>45714</v>
      </c>
      <c r="NS6">
        <v>4</v>
      </c>
      <c r="NT6">
        <v>413062496</v>
      </c>
      <c r="NU6">
        <v>25604173</v>
      </c>
      <c r="NV6" t="s">
        <v>4103</v>
      </c>
      <c r="OA6" t="s">
        <v>3397</v>
      </c>
      <c r="OB6" t="s">
        <v>1634</v>
      </c>
      <c r="OC6">
        <v>6.6028770000000003</v>
      </c>
      <c r="OD6">
        <v>5.0506979999999997</v>
      </c>
      <c r="OE6" t="s">
        <v>1664</v>
      </c>
      <c r="OF6">
        <v>2025</v>
      </c>
      <c r="OG6" t="s">
        <v>3398</v>
      </c>
      <c r="OH6" s="6">
        <v>45915</v>
      </c>
      <c r="OI6">
        <v>5</v>
      </c>
      <c r="OJ6">
        <v>245362912</v>
      </c>
      <c r="OK6">
        <v>101464</v>
      </c>
      <c r="OL6" t="s">
        <v>3399</v>
      </c>
      <c r="OO6" t="s">
        <v>2492</v>
      </c>
      <c r="OP6">
        <v>1.615089</v>
      </c>
      <c r="OQ6" t="s">
        <v>1598</v>
      </c>
      <c r="OR6">
        <v>12.136977999999999</v>
      </c>
      <c r="OS6" t="s">
        <v>1594</v>
      </c>
      <c r="OT6">
        <v>2024</v>
      </c>
      <c r="OU6" t="s">
        <v>2944</v>
      </c>
      <c r="OV6" s="6">
        <v>45712</v>
      </c>
      <c r="OW6">
        <v>5</v>
      </c>
      <c r="OX6">
        <v>1712931072</v>
      </c>
      <c r="OY6">
        <v>9917432</v>
      </c>
      <c r="OZ6" t="s">
        <v>2493</v>
      </c>
      <c r="RM6" t="s">
        <v>270</v>
      </c>
      <c r="RN6" t="s">
        <v>1598</v>
      </c>
      <c r="RO6">
        <v>0.24703800000000001</v>
      </c>
      <c r="RP6">
        <v>1.8991819999999999</v>
      </c>
      <c r="RQ6" t="s">
        <v>1664</v>
      </c>
      <c r="RR6">
        <v>2025</v>
      </c>
      <c r="RS6" t="s">
        <v>2827</v>
      </c>
      <c r="RT6" s="6">
        <v>45855</v>
      </c>
      <c r="RU6">
        <v>5</v>
      </c>
      <c r="RV6">
        <v>56728572</v>
      </c>
      <c r="RW6">
        <v>101158</v>
      </c>
      <c r="RX6" t="s">
        <v>4424</v>
      </c>
      <c r="SA6" t="s">
        <v>5779</v>
      </c>
      <c r="SB6">
        <v>-2.4245362661989844E-14</v>
      </c>
      <c r="SD6">
        <v>-2.4245362661989844E-14</v>
      </c>
      <c r="SE6" t="s">
        <v>1594</v>
      </c>
      <c r="SF6">
        <v>2023</v>
      </c>
      <c r="SG6" t="s">
        <v>5780</v>
      </c>
      <c r="SH6" s="6">
        <v>44995</v>
      </c>
      <c r="SI6">
        <v>2</v>
      </c>
      <c r="SJ6">
        <v>-2.4245362661989844E-14</v>
      </c>
      <c r="SK6">
        <v>36241360</v>
      </c>
      <c r="SL6" t="s">
        <v>5781</v>
      </c>
      <c r="SQ6" t="s">
        <v>5514</v>
      </c>
      <c r="SS6">
        <v>-2.4245362661989844E-14</v>
      </c>
      <c r="ST6">
        <v>-2.4245362661989844E-14</v>
      </c>
      <c r="SU6" t="s">
        <v>1594</v>
      </c>
      <c r="SV6">
        <v>2024</v>
      </c>
      <c r="SW6" t="s">
        <v>5691</v>
      </c>
      <c r="SX6" s="6">
        <v>45709</v>
      </c>
      <c r="SY6">
        <v>5</v>
      </c>
      <c r="SZ6">
        <v>-2.4245362661989844E-14</v>
      </c>
      <c r="TA6">
        <v>311103</v>
      </c>
      <c r="TB6" t="s">
        <v>5516</v>
      </c>
      <c r="TE6" t="s">
        <v>5087</v>
      </c>
      <c r="TF6">
        <v>-2.4245362661989844E-14</v>
      </c>
      <c r="TH6">
        <v>-2.4245362661989844E-14</v>
      </c>
      <c r="TI6" t="s">
        <v>1594</v>
      </c>
      <c r="TJ6">
        <v>2021</v>
      </c>
      <c r="TK6" t="s">
        <v>5511</v>
      </c>
      <c r="TL6" s="6">
        <v>44693</v>
      </c>
      <c r="TM6">
        <v>5</v>
      </c>
      <c r="TN6">
        <v>-2.4245362661989844E-14</v>
      </c>
      <c r="TO6">
        <v>18488759</v>
      </c>
      <c r="TP6" t="s">
        <v>5088</v>
      </c>
      <c r="TU6" t="s">
        <v>2317</v>
      </c>
      <c r="TV6" t="s">
        <v>1598</v>
      </c>
      <c r="TW6">
        <v>4.7074870000000004</v>
      </c>
      <c r="TX6">
        <v>0.56672500000000003</v>
      </c>
      <c r="TY6" t="s">
        <v>1603</v>
      </c>
      <c r="TZ6">
        <v>2025</v>
      </c>
      <c r="UA6" t="s">
        <v>2318</v>
      </c>
      <c r="UB6" s="6">
        <v>45863</v>
      </c>
      <c r="UC6">
        <v>5</v>
      </c>
      <c r="UD6">
        <v>77584656</v>
      </c>
      <c r="UE6">
        <v>10832677</v>
      </c>
      <c r="UF6" t="s">
        <v>2319</v>
      </c>
      <c r="UI6" t="s">
        <v>1451</v>
      </c>
      <c r="UJ6">
        <v>0.57596999999999998</v>
      </c>
      <c r="UK6" t="s">
        <v>1598</v>
      </c>
      <c r="UL6">
        <v>1.024999</v>
      </c>
      <c r="UM6" t="s">
        <v>1606</v>
      </c>
      <c r="UN6">
        <v>2025</v>
      </c>
      <c r="UO6" t="s">
        <v>1930</v>
      </c>
      <c r="UP6" s="6">
        <v>46076</v>
      </c>
      <c r="UQ6">
        <v>5</v>
      </c>
      <c r="UR6">
        <v>69248928</v>
      </c>
      <c r="US6">
        <v>9932803</v>
      </c>
      <c r="UT6" t="s">
        <v>1931</v>
      </c>
      <c r="UY6" t="s">
        <v>2069</v>
      </c>
      <c r="UZ6" t="s">
        <v>1634</v>
      </c>
      <c r="VA6">
        <v>0.61111199999999999</v>
      </c>
      <c r="VB6">
        <v>1.0217620000000001</v>
      </c>
      <c r="VC6" t="s">
        <v>1599</v>
      </c>
      <c r="VD6">
        <v>2025</v>
      </c>
      <c r="VE6" t="s">
        <v>2070</v>
      </c>
      <c r="VF6" s="6">
        <v>45979</v>
      </c>
      <c r="VG6">
        <v>5</v>
      </c>
      <c r="VH6">
        <v>6622256.2300000004</v>
      </c>
      <c r="VI6">
        <v>115557</v>
      </c>
      <c r="VJ6" t="s">
        <v>2071</v>
      </c>
    </row>
    <row r="7" spans="1:600" x14ac:dyDescent="0.25">
      <c r="A7" t="s">
        <v>2134</v>
      </c>
      <c r="B7" t="s">
        <v>1598</v>
      </c>
      <c r="C7">
        <v>2.19069</v>
      </c>
      <c r="D7">
        <v>1.2499830000000001</v>
      </c>
      <c r="E7" t="s">
        <v>1664</v>
      </c>
      <c r="F7">
        <v>2025</v>
      </c>
      <c r="G7" t="s">
        <v>2135</v>
      </c>
      <c r="H7" s="6">
        <v>45873</v>
      </c>
      <c r="I7">
        <v>5</v>
      </c>
      <c r="J7">
        <v>138750110.75</v>
      </c>
      <c r="K7">
        <v>112185</v>
      </c>
      <c r="L7" t="s">
        <v>2136</v>
      </c>
      <c r="O7" t="s">
        <v>1676</v>
      </c>
      <c r="P7">
        <v>0.3236</v>
      </c>
      <c r="Q7" t="s">
        <v>1598</v>
      </c>
      <c r="R7">
        <v>1.6738</v>
      </c>
      <c r="S7" t="s">
        <v>1664</v>
      </c>
      <c r="T7">
        <v>2025</v>
      </c>
      <c r="U7" t="s">
        <v>1677</v>
      </c>
      <c r="V7" s="6">
        <v>45902</v>
      </c>
      <c r="W7">
        <v>5</v>
      </c>
      <c r="X7">
        <v>42200676</v>
      </c>
      <c r="Y7">
        <v>24061601</v>
      </c>
      <c r="Z7" t="s">
        <v>1678</v>
      </c>
      <c r="BI7" t="s">
        <v>4642</v>
      </c>
      <c r="BJ7" t="s">
        <v>1598</v>
      </c>
      <c r="BK7">
        <v>0.39923900000000001</v>
      </c>
      <c r="BL7">
        <v>1.515544</v>
      </c>
      <c r="BM7" t="s">
        <v>1603</v>
      </c>
      <c r="BN7">
        <v>2025</v>
      </c>
      <c r="BO7" t="s">
        <v>4643</v>
      </c>
      <c r="BP7" s="6">
        <v>45866</v>
      </c>
      <c r="BQ7">
        <v>5</v>
      </c>
      <c r="BR7">
        <v>18607183.170000002</v>
      </c>
      <c r="BS7">
        <v>7359591</v>
      </c>
      <c r="BT7" t="s">
        <v>4644</v>
      </c>
      <c r="BW7" t="s">
        <v>1774</v>
      </c>
      <c r="BX7">
        <v>0.49351600000000001</v>
      </c>
      <c r="BY7" t="s">
        <v>1598</v>
      </c>
      <c r="BZ7">
        <v>0.16125400000000001</v>
      </c>
      <c r="CA7" t="s">
        <v>1664</v>
      </c>
      <c r="CB7">
        <v>2026</v>
      </c>
      <c r="CC7" t="s">
        <v>1782</v>
      </c>
      <c r="CD7" s="6">
        <v>45932</v>
      </c>
      <c r="CE7">
        <v>5</v>
      </c>
      <c r="CF7">
        <v>13645717</v>
      </c>
      <c r="CG7">
        <v>100197</v>
      </c>
      <c r="CH7" t="s">
        <v>1775</v>
      </c>
      <c r="CM7" t="s">
        <v>5916</v>
      </c>
      <c r="CO7">
        <v>-2.4245362661989844E-14</v>
      </c>
      <c r="CP7">
        <v>-2.4245362661989844E-14</v>
      </c>
      <c r="CQ7" t="s">
        <v>1594</v>
      </c>
      <c r="CR7">
        <v>2022</v>
      </c>
      <c r="CS7" t="s">
        <v>5917</v>
      </c>
      <c r="CT7" s="6">
        <v>44673</v>
      </c>
      <c r="CU7">
        <v>5</v>
      </c>
      <c r="CV7">
        <v>-2.4245362661989844E-14</v>
      </c>
      <c r="CW7">
        <v>355575</v>
      </c>
      <c r="CX7" t="s">
        <v>5918</v>
      </c>
      <c r="DA7" t="s">
        <v>29</v>
      </c>
      <c r="DB7">
        <v>14</v>
      </c>
      <c r="DC7" t="s">
        <v>1598</v>
      </c>
      <c r="DD7">
        <v>2.6252870000000001</v>
      </c>
      <c r="DE7" t="s">
        <v>1594</v>
      </c>
      <c r="DF7">
        <v>2025</v>
      </c>
      <c r="DG7" t="s">
        <v>2379</v>
      </c>
      <c r="DH7" s="6">
        <v>46077</v>
      </c>
      <c r="DI7">
        <v>5</v>
      </c>
      <c r="DJ7">
        <v>372560992</v>
      </c>
      <c r="DK7">
        <v>100185</v>
      </c>
      <c r="DL7" t="s">
        <v>3617</v>
      </c>
      <c r="EU7" t="s">
        <v>4967</v>
      </c>
      <c r="EW7">
        <v>-2.4245362661989844E-14</v>
      </c>
      <c r="EX7">
        <v>-2.4245362661989844E-14</v>
      </c>
      <c r="EY7" t="s">
        <v>1603</v>
      </c>
      <c r="EZ7">
        <v>2024</v>
      </c>
      <c r="FA7" t="s">
        <v>4968</v>
      </c>
      <c r="FB7" s="6">
        <v>45421</v>
      </c>
      <c r="FC7">
        <v>5</v>
      </c>
      <c r="FD7">
        <v>-2.4245362661989844E-14</v>
      </c>
      <c r="FE7">
        <v>9808869</v>
      </c>
      <c r="FF7" t="s">
        <v>4969</v>
      </c>
      <c r="FI7" t="s">
        <v>6201</v>
      </c>
      <c r="FJ7">
        <v>-2.4245362661989844E-14</v>
      </c>
      <c r="FL7">
        <v>-2.4245362661989844E-14</v>
      </c>
      <c r="FM7" t="s">
        <v>1664</v>
      </c>
      <c r="FN7">
        <v>2025</v>
      </c>
      <c r="FO7" t="s">
        <v>6198</v>
      </c>
      <c r="FP7" s="6">
        <v>45874</v>
      </c>
      <c r="FQ7">
        <v>5</v>
      </c>
      <c r="FR7">
        <v>-2.4245362661989844E-14</v>
      </c>
      <c r="FS7">
        <v>17669930</v>
      </c>
      <c r="FT7" t="s">
        <v>6202</v>
      </c>
      <c r="FY7" t="s">
        <v>3749</v>
      </c>
      <c r="GA7">
        <v>-2.4245362661989844E-14</v>
      </c>
      <c r="GB7">
        <v>-2.4245362661989844E-14</v>
      </c>
      <c r="GC7" t="s">
        <v>1594</v>
      </c>
      <c r="GD7">
        <v>2024</v>
      </c>
      <c r="GE7" t="s">
        <v>3750</v>
      </c>
      <c r="GF7" s="6">
        <v>45460</v>
      </c>
      <c r="GG7">
        <v>5</v>
      </c>
      <c r="GH7">
        <v>-2.4245362661989844E-14</v>
      </c>
      <c r="GI7">
        <v>866053</v>
      </c>
      <c r="GJ7" t="s">
        <v>3751</v>
      </c>
      <c r="GM7" t="s">
        <v>1774</v>
      </c>
      <c r="GN7">
        <v>0.82555699999999999</v>
      </c>
      <c r="GO7" t="s">
        <v>1598</v>
      </c>
      <c r="GP7">
        <v>0.12263</v>
      </c>
      <c r="GQ7" t="s">
        <v>1664</v>
      </c>
      <c r="GR7">
        <v>2026</v>
      </c>
      <c r="GS7" t="s">
        <v>1782</v>
      </c>
      <c r="GT7" s="6">
        <v>45932</v>
      </c>
      <c r="GU7">
        <v>5</v>
      </c>
      <c r="GV7">
        <v>10377257</v>
      </c>
      <c r="GW7">
        <v>100197</v>
      </c>
      <c r="GX7" t="s">
        <v>1775</v>
      </c>
      <c r="HC7" t="s">
        <v>3894</v>
      </c>
      <c r="HD7" t="s">
        <v>1634</v>
      </c>
      <c r="HE7">
        <v>0.87248300000000001</v>
      </c>
      <c r="HF7">
        <v>1.0253380000000001</v>
      </c>
      <c r="HG7" t="s">
        <v>1664</v>
      </c>
      <c r="HH7">
        <v>2025</v>
      </c>
      <c r="HI7" t="s">
        <v>3895</v>
      </c>
      <c r="HJ7" s="6">
        <v>45925</v>
      </c>
      <c r="HK7">
        <v>5</v>
      </c>
      <c r="HL7">
        <v>17030868</v>
      </c>
      <c r="HM7">
        <v>10659312</v>
      </c>
      <c r="HN7" t="s">
        <v>3896</v>
      </c>
      <c r="HQ7" t="s">
        <v>1986</v>
      </c>
      <c r="HR7">
        <v>-2.4245362661989844E-14</v>
      </c>
      <c r="HT7">
        <v>-2.4245362661989844E-14</v>
      </c>
      <c r="HU7" t="s">
        <v>1594</v>
      </c>
      <c r="HV7">
        <v>2025</v>
      </c>
      <c r="HW7" t="s">
        <v>1987</v>
      </c>
      <c r="HX7" s="6">
        <v>46063</v>
      </c>
      <c r="HY7">
        <v>5</v>
      </c>
      <c r="HZ7">
        <v>-2.4245362661989844E-14</v>
      </c>
      <c r="IA7">
        <v>100348</v>
      </c>
      <c r="IB7" t="s">
        <v>1988</v>
      </c>
      <c r="IG7" t="s">
        <v>6052</v>
      </c>
      <c r="IH7" t="s">
        <v>1598</v>
      </c>
      <c r="II7">
        <v>1.204777</v>
      </c>
      <c r="IJ7">
        <v>0.211507</v>
      </c>
      <c r="IK7" t="s">
        <v>1664</v>
      </c>
      <c r="IL7">
        <v>2025</v>
      </c>
      <c r="IM7" t="s">
        <v>6053</v>
      </c>
      <c r="IN7" s="6">
        <v>45876</v>
      </c>
      <c r="IO7">
        <v>5</v>
      </c>
      <c r="IP7">
        <v>14497082</v>
      </c>
      <c r="IQ7">
        <v>23071317</v>
      </c>
      <c r="IR7" t="s">
        <v>6054</v>
      </c>
      <c r="JK7" t="s">
        <v>3400</v>
      </c>
      <c r="JL7" t="s">
        <v>1598</v>
      </c>
      <c r="JM7">
        <v>18</v>
      </c>
      <c r="JN7">
        <v>0.28558099999999997</v>
      </c>
      <c r="JO7" t="s">
        <v>1594</v>
      </c>
      <c r="JP7">
        <v>2025</v>
      </c>
      <c r="JQ7" t="s">
        <v>3401</v>
      </c>
      <c r="JR7" s="6">
        <v>46079</v>
      </c>
      <c r="JS7">
        <v>5</v>
      </c>
      <c r="JT7">
        <v>185490768</v>
      </c>
      <c r="JU7">
        <v>103442</v>
      </c>
      <c r="JV7" t="s">
        <v>3402</v>
      </c>
      <c r="JY7" t="s">
        <v>2945</v>
      </c>
      <c r="JZ7">
        <v>1.5294399999999999</v>
      </c>
      <c r="KB7">
        <v>-2.4245362661989844E-14</v>
      </c>
      <c r="KC7" t="s">
        <v>1594</v>
      </c>
      <c r="KD7">
        <v>2024</v>
      </c>
      <c r="KE7" t="s">
        <v>2944</v>
      </c>
      <c r="KF7" s="6">
        <v>45712</v>
      </c>
      <c r="KG7">
        <v>5</v>
      </c>
      <c r="KH7">
        <v>1622093696</v>
      </c>
      <c r="KI7">
        <v>302359</v>
      </c>
      <c r="KJ7" t="s">
        <v>2946</v>
      </c>
      <c r="KO7" t="s">
        <v>810</v>
      </c>
      <c r="KQ7">
        <v>-2.4245362661989844E-14</v>
      </c>
      <c r="KR7">
        <v>-2.4245362661989844E-14</v>
      </c>
      <c r="KS7" t="s">
        <v>1603</v>
      </c>
      <c r="KT7">
        <v>2024</v>
      </c>
      <c r="KU7" t="s">
        <v>5230</v>
      </c>
      <c r="KV7" s="6">
        <v>45415</v>
      </c>
      <c r="KW7">
        <v>5</v>
      </c>
      <c r="KX7">
        <v>-2.4245362661989844E-14</v>
      </c>
      <c r="KY7">
        <v>101690</v>
      </c>
      <c r="KZ7" t="s">
        <v>2347</v>
      </c>
      <c r="LC7" t="s">
        <v>4452</v>
      </c>
      <c r="LD7">
        <v>-2.4245362661989844E-14</v>
      </c>
      <c r="LF7">
        <v>-2.4245362661989844E-14</v>
      </c>
      <c r="LG7" t="s">
        <v>1594</v>
      </c>
      <c r="LH7">
        <v>2021</v>
      </c>
      <c r="LI7" t="s">
        <v>3048</v>
      </c>
      <c r="LJ7" s="6">
        <v>44693</v>
      </c>
      <c r="LK7">
        <v>5</v>
      </c>
      <c r="LL7">
        <v>-2.4245362661989844E-14</v>
      </c>
      <c r="LM7">
        <v>129131</v>
      </c>
      <c r="LN7" t="s">
        <v>4453</v>
      </c>
      <c r="MW7" t="s">
        <v>2848</v>
      </c>
      <c r="MX7" t="s">
        <v>1598</v>
      </c>
      <c r="MY7">
        <v>15</v>
      </c>
      <c r="MZ7">
        <v>0.40040399999999998</v>
      </c>
      <c r="NA7" t="s">
        <v>1594</v>
      </c>
      <c r="NB7">
        <v>2024</v>
      </c>
      <c r="NC7" t="s">
        <v>4185</v>
      </c>
      <c r="ND7" s="6">
        <v>45708</v>
      </c>
      <c r="NE7">
        <v>5</v>
      </c>
      <c r="NF7">
        <v>6057112.5</v>
      </c>
      <c r="NG7">
        <v>8016379</v>
      </c>
      <c r="NH7" t="s">
        <v>2850</v>
      </c>
      <c r="NK7" t="s">
        <v>1817</v>
      </c>
      <c r="NL7">
        <v>13</v>
      </c>
      <c r="NM7" t="s">
        <v>1598</v>
      </c>
      <c r="NN7">
        <v>0.67704799999999998</v>
      </c>
      <c r="NO7" t="s">
        <v>1594</v>
      </c>
      <c r="NP7">
        <v>2024</v>
      </c>
      <c r="NQ7" t="s">
        <v>4100</v>
      </c>
      <c r="NR7" s="6">
        <v>45714</v>
      </c>
      <c r="NS7">
        <v>4</v>
      </c>
      <c r="NT7">
        <v>357987488</v>
      </c>
      <c r="NU7">
        <v>9268711</v>
      </c>
      <c r="NV7" t="s">
        <v>1818</v>
      </c>
      <c r="OA7" t="s">
        <v>3400</v>
      </c>
      <c r="OB7" t="s">
        <v>1598</v>
      </c>
      <c r="OC7">
        <v>18</v>
      </c>
      <c r="OD7">
        <v>0.28558099999999997</v>
      </c>
      <c r="OE7" t="s">
        <v>1594</v>
      </c>
      <c r="OF7">
        <v>2025</v>
      </c>
      <c r="OG7" t="s">
        <v>3401</v>
      </c>
      <c r="OH7" s="6">
        <v>46079</v>
      </c>
      <c r="OI7">
        <v>5</v>
      </c>
      <c r="OJ7">
        <v>185490768</v>
      </c>
      <c r="OK7">
        <v>103442</v>
      </c>
      <c r="OL7" t="s">
        <v>3402</v>
      </c>
      <c r="OO7" t="s">
        <v>2945</v>
      </c>
      <c r="OP7">
        <v>1.5294399999999999</v>
      </c>
      <c r="OR7">
        <v>-2.4245362661989844E-14</v>
      </c>
      <c r="OS7" t="s">
        <v>1594</v>
      </c>
      <c r="OT7">
        <v>2024</v>
      </c>
      <c r="OU7" t="s">
        <v>2944</v>
      </c>
      <c r="OV7" s="6">
        <v>45712</v>
      </c>
      <c r="OW7">
        <v>5</v>
      </c>
      <c r="OX7">
        <v>1622093696</v>
      </c>
      <c r="OY7">
        <v>302359</v>
      </c>
      <c r="OZ7" t="s">
        <v>2946</v>
      </c>
      <c r="RM7" t="s">
        <v>1866</v>
      </c>
      <c r="RN7" t="s">
        <v>1598</v>
      </c>
      <c r="RO7">
        <v>0.17825099999999999</v>
      </c>
      <c r="RP7">
        <v>1.5222199999999999</v>
      </c>
      <c r="RQ7" t="s">
        <v>1664</v>
      </c>
      <c r="RR7">
        <v>2025</v>
      </c>
      <c r="RS7" t="s">
        <v>5617</v>
      </c>
      <c r="RT7" s="6">
        <v>45896</v>
      </c>
      <c r="RU7">
        <v>5</v>
      </c>
      <c r="RV7">
        <v>47890990.359999999</v>
      </c>
      <c r="RW7">
        <v>112571</v>
      </c>
      <c r="RX7" t="s">
        <v>1867</v>
      </c>
      <c r="SQ7" t="s">
        <v>5692</v>
      </c>
      <c r="SS7">
        <v>-2.4245362661989844E-14</v>
      </c>
      <c r="ST7">
        <v>-2.4245362661989844E-14</v>
      </c>
      <c r="SU7" t="s">
        <v>1594</v>
      </c>
      <c r="SV7">
        <v>2024</v>
      </c>
      <c r="SW7" t="s">
        <v>5693</v>
      </c>
      <c r="SX7" s="6">
        <v>45608</v>
      </c>
      <c r="SY7">
        <v>5</v>
      </c>
      <c r="SZ7">
        <v>-2.4245362661989844E-14</v>
      </c>
      <c r="TA7">
        <v>31725564</v>
      </c>
      <c r="TB7" t="s">
        <v>5694</v>
      </c>
      <c r="TE7" t="s">
        <v>5512</v>
      </c>
      <c r="TF7">
        <v>-2.4245362661989844E-14</v>
      </c>
      <c r="TH7">
        <v>-2.4245362661989844E-14</v>
      </c>
      <c r="TI7" t="s">
        <v>1594</v>
      </c>
      <c r="TJ7">
        <v>2021</v>
      </c>
      <c r="TK7" t="s">
        <v>5511</v>
      </c>
      <c r="TL7" s="6">
        <v>44693</v>
      </c>
      <c r="TM7">
        <v>5</v>
      </c>
      <c r="TN7">
        <v>-2.4245362661989844E-14</v>
      </c>
      <c r="TO7">
        <v>26191671</v>
      </c>
      <c r="TP7" t="s">
        <v>5513</v>
      </c>
      <c r="TU7" t="s">
        <v>2320</v>
      </c>
      <c r="TV7" t="s">
        <v>1634</v>
      </c>
      <c r="TW7">
        <v>0.57097699999999996</v>
      </c>
      <c r="TX7">
        <v>2.229968</v>
      </c>
      <c r="TY7" t="s">
        <v>1599</v>
      </c>
      <c r="TZ7">
        <v>2025</v>
      </c>
      <c r="UA7" t="s">
        <v>2321</v>
      </c>
      <c r="UB7" s="6">
        <v>45975</v>
      </c>
      <c r="UC7">
        <v>5</v>
      </c>
      <c r="UD7">
        <v>43573584</v>
      </c>
      <c r="UE7">
        <v>305366</v>
      </c>
      <c r="UF7" t="s">
        <v>2322</v>
      </c>
      <c r="UI7" t="s">
        <v>1932</v>
      </c>
      <c r="UJ7">
        <v>4.0911000000000003E-2</v>
      </c>
      <c r="UK7" t="s">
        <v>1598</v>
      </c>
      <c r="UL7">
        <v>0.108488</v>
      </c>
      <c r="UM7" t="s">
        <v>1594</v>
      </c>
      <c r="UN7">
        <v>2024</v>
      </c>
      <c r="UO7" t="s">
        <v>1928</v>
      </c>
      <c r="UP7" s="6">
        <v>45716</v>
      </c>
      <c r="UQ7">
        <v>5</v>
      </c>
      <c r="UR7">
        <v>5749939</v>
      </c>
      <c r="US7">
        <v>109548</v>
      </c>
      <c r="UT7" t="s">
        <v>1933</v>
      </c>
      <c r="UY7" t="s">
        <v>5451</v>
      </c>
      <c r="UZ7" t="s">
        <v>1685</v>
      </c>
      <c r="VA7">
        <v>4.9000000000000004</v>
      </c>
      <c r="VB7">
        <v>3.0255570000000001</v>
      </c>
      <c r="VC7" t="s">
        <v>1594</v>
      </c>
      <c r="VD7">
        <v>2024</v>
      </c>
      <c r="VE7" t="s">
        <v>5452</v>
      </c>
      <c r="VF7" s="6">
        <v>45722</v>
      </c>
      <c r="VG7">
        <v>5</v>
      </c>
      <c r="VH7">
        <v>2019559.5</v>
      </c>
      <c r="VI7">
        <v>69601933</v>
      </c>
      <c r="VJ7" t="s">
        <v>5453</v>
      </c>
    </row>
    <row r="8" spans="1:600" x14ac:dyDescent="0.25">
      <c r="A8" t="s">
        <v>862</v>
      </c>
      <c r="B8" t="s">
        <v>1598</v>
      </c>
      <c r="C8">
        <v>1.748761</v>
      </c>
      <c r="D8">
        <v>0.78238600000000003</v>
      </c>
      <c r="E8" t="s">
        <v>1606</v>
      </c>
      <c r="F8">
        <v>2025</v>
      </c>
      <c r="G8" t="s">
        <v>2137</v>
      </c>
      <c r="H8" s="6">
        <v>45894</v>
      </c>
      <c r="I8">
        <v>5</v>
      </c>
      <c r="J8">
        <v>86782264</v>
      </c>
      <c r="K8">
        <v>101149</v>
      </c>
      <c r="L8" t="s">
        <v>2138</v>
      </c>
      <c r="O8" t="s">
        <v>1679</v>
      </c>
      <c r="P8">
        <v>0.16686100000000001</v>
      </c>
      <c r="Q8" t="s">
        <v>1598</v>
      </c>
      <c r="R8">
        <v>0.50028099999999998</v>
      </c>
      <c r="S8" t="s">
        <v>1603</v>
      </c>
      <c r="T8">
        <v>2025</v>
      </c>
      <c r="U8" t="s">
        <v>1680</v>
      </c>
      <c r="V8" s="6">
        <v>45820</v>
      </c>
      <c r="W8">
        <v>5</v>
      </c>
      <c r="X8">
        <v>20395456</v>
      </c>
      <c r="Y8">
        <v>12129192</v>
      </c>
      <c r="Z8" t="s">
        <v>1681</v>
      </c>
      <c r="BI8" t="s">
        <v>4645</v>
      </c>
      <c r="BJ8" t="s">
        <v>1598</v>
      </c>
      <c r="BK8">
        <v>0.52334800000000004</v>
      </c>
      <c r="BL8">
        <v>0.67549400000000004</v>
      </c>
      <c r="BM8" t="s">
        <v>1603</v>
      </c>
      <c r="BN8">
        <v>2025</v>
      </c>
      <c r="BO8" t="s">
        <v>4646</v>
      </c>
      <c r="BP8" s="6">
        <v>45792</v>
      </c>
      <c r="BQ8">
        <v>5</v>
      </c>
      <c r="BR8">
        <v>8295066</v>
      </c>
      <c r="BS8">
        <v>15242973</v>
      </c>
      <c r="BT8" t="s">
        <v>4647</v>
      </c>
      <c r="BW8" t="s">
        <v>1679</v>
      </c>
      <c r="BX8">
        <v>0.48504599999999998</v>
      </c>
      <c r="BY8" t="s">
        <v>1598</v>
      </c>
      <c r="BZ8">
        <v>0.30077399999999999</v>
      </c>
      <c r="CA8" t="s">
        <v>1603</v>
      </c>
      <c r="CB8">
        <v>2025</v>
      </c>
      <c r="CC8" t="s">
        <v>1680</v>
      </c>
      <c r="CD8" s="6">
        <v>45820</v>
      </c>
      <c r="CE8">
        <v>5</v>
      </c>
      <c r="CF8">
        <v>12261954</v>
      </c>
      <c r="CG8">
        <v>12129192</v>
      </c>
      <c r="CH8" t="s">
        <v>1681</v>
      </c>
      <c r="CM8" t="s">
        <v>5919</v>
      </c>
      <c r="CO8">
        <v>-2.4245362661989844E-14</v>
      </c>
      <c r="CP8">
        <v>-2.4245362661989844E-14</v>
      </c>
      <c r="CQ8" t="s">
        <v>1594</v>
      </c>
      <c r="CR8">
        <v>2025</v>
      </c>
      <c r="CS8" t="s">
        <v>5920</v>
      </c>
      <c r="CT8" s="6">
        <v>46066</v>
      </c>
      <c r="CU8">
        <v>5</v>
      </c>
      <c r="CV8">
        <v>-2.4245362661989844E-14</v>
      </c>
      <c r="CW8">
        <v>49298461</v>
      </c>
      <c r="CX8" t="s">
        <v>5921</v>
      </c>
      <c r="DA8" t="s">
        <v>5656</v>
      </c>
      <c r="DB8">
        <v>10</v>
      </c>
      <c r="DC8" t="s">
        <v>1598</v>
      </c>
      <c r="DD8">
        <v>2.5764330000000002</v>
      </c>
      <c r="DE8" t="s">
        <v>1594</v>
      </c>
      <c r="DF8">
        <v>2025</v>
      </c>
      <c r="DG8" t="s">
        <v>2379</v>
      </c>
      <c r="DH8" s="6">
        <v>46077</v>
      </c>
      <c r="DI8">
        <v>5</v>
      </c>
      <c r="DJ8">
        <v>266115008</v>
      </c>
      <c r="DK8">
        <v>101450</v>
      </c>
      <c r="DL8" t="s">
        <v>5657</v>
      </c>
      <c r="EU8" t="s">
        <v>5925</v>
      </c>
      <c r="EW8">
        <v>-2.4245362661989844E-14</v>
      </c>
      <c r="EX8">
        <v>-2.4245362661989844E-14</v>
      </c>
      <c r="EY8" t="s">
        <v>1603</v>
      </c>
      <c r="EZ8">
        <v>2025</v>
      </c>
      <c r="FA8" t="s">
        <v>5926</v>
      </c>
      <c r="FB8" s="6">
        <v>45614</v>
      </c>
      <c r="FC8">
        <v>5</v>
      </c>
      <c r="FD8">
        <v>-2.4245362661989844E-14</v>
      </c>
      <c r="FE8">
        <v>171398</v>
      </c>
      <c r="FF8" t="s">
        <v>5927</v>
      </c>
      <c r="FI8" t="s">
        <v>108</v>
      </c>
      <c r="FJ8">
        <v>-2.4245362661989844E-14</v>
      </c>
      <c r="FL8">
        <v>-2.4245362661989844E-14</v>
      </c>
      <c r="FM8" t="s">
        <v>1664</v>
      </c>
      <c r="FN8">
        <v>2025</v>
      </c>
      <c r="FO8" t="s">
        <v>6198</v>
      </c>
      <c r="FP8" s="6">
        <v>45874</v>
      </c>
      <c r="FQ8">
        <v>5</v>
      </c>
      <c r="FR8">
        <v>-2.4245362661989844E-14</v>
      </c>
      <c r="FS8">
        <v>101174</v>
      </c>
      <c r="FT8" t="s">
        <v>6203</v>
      </c>
      <c r="FY8" t="s">
        <v>3752</v>
      </c>
      <c r="GA8">
        <v>-2.4245362661989844E-14</v>
      </c>
      <c r="GB8">
        <v>-2.4245362661989844E-14</v>
      </c>
      <c r="GC8" t="s">
        <v>1599</v>
      </c>
      <c r="GD8">
        <v>2022</v>
      </c>
      <c r="GE8" t="s">
        <v>3753</v>
      </c>
      <c r="GF8" s="6">
        <v>44880</v>
      </c>
      <c r="GG8">
        <v>5</v>
      </c>
      <c r="GH8">
        <v>-2.4245362661989844E-14</v>
      </c>
      <c r="GI8">
        <v>1425288</v>
      </c>
      <c r="GJ8" t="s">
        <v>3754</v>
      </c>
      <c r="GM8" t="s">
        <v>2799</v>
      </c>
      <c r="GN8">
        <v>0.46699600000000002</v>
      </c>
      <c r="GO8" t="s">
        <v>1598</v>
      </c>
      <c r="GP8">
        <v>0.41184700000000002</v>
      </c>
      <c r="GQ8" t="s">
        <v>1599</v>
      </c>
      <c r="GR8">
        <v>2025</v>
      </c>
      <c r="GS8" t="s">
        <v>2800</v>
      </c>
      <c r="GT8" s="6">
        <v>46014</v>
      </c>
      <c r="GU8">
        <v>5</v>
      </c>
      <c r="GV8">
        <v>5696961.8099999996</v>
      </c>
      <c r="GW8">
        <v>9034717</v>
      </c>
      <c r="GX8" t="s">
        <v>2801</v>
      </c>
      <c r="HC8" t="s">
        <v>3897</v>
      </c>
      <c r="HD8" t="s">
        <v>1598</v>
      </c>
      <c r="HE8">
        <v>4.2</v>
      </c>
      <c r="HF8">
        <v>7.9800999999999997E-2</v>
      </c>
      <c r="HG8" t="s">
        <v>1594</v>
      </c>
      <c r="HH8">
        <v>2024</v>
      </c>
      <c r="HI8" t="s">
        <v>3898</v>
      </c>
      <c r="HJ8" s="6">
        <v>45842</v>
      </c>
      <c r="HK8">
        <v>5</v>
      </c>
      <c r="HL8">
        <v>12195268.279999999</v>
      </c>
      <c r="HM8">
        <v>193849</v>
      </c>
      <c r="HN8" t="s">
        <v>3899</v>
      </c>
      <c r="HQ8" t="s">
        <v>1989</v>
      </c>
      <c r="HR8">
        <v>-2.4245362661989844E-14</v>
      </c>
      <c r="HT8">
        <v>-2.4245362661989844E-14</v>
      </c>
      <c r="HU8" t="s">
        <v>1594</v>
      </c>
      <c r="HV8">
        <v>2025</v>
      </c>
      <c r="HW8" t="s">
        <v>1982</v>
      </c>
      <c r="HX8" s="6">
        <v>45965</v>
      </c>
      <c r="HY8">
        <v>5</v>
      </c>
      <c r="HZ8">
        <v>-2.4245362661989844E-14</v>
      </c>
      <c r="IA8">
        <v>100532</v>
      </c>
      <c r="IB8" t="s">
        <v>1990</v>
      </c>
      <c r="IG8" t="s">
        <v>6055</v>
      </c>
      <c r="IH8" t="s">
        <v>1598</v>
      </c>
      <c r="II8">
        <v>2.3476379999999999</v>
      </c>
      <c r="IJ8">
        <v>0.23334099999999999</v>
      </c>
      <c r="IK8" t="s">
        <v>1664</v>
      </c>
      <c r="IL8">
        <v>2025</v>
      </c>
      <c r="IM8" t="s">
        <v>6056</v>
      </c>
      <c r="IN8" s="6">
        <v>45826</v>
      </c>
      <c r="IO8">
        <v>5</v>
      </c>
      <c r="IP8">
        <v>14361582</v>
      </c>
      <c r="IQ8">
        <v>104778</v>
      </c>
      <c r="IR8" t="s">
        <v>6057</v>
      </c>
      <c r="JK8" t="s">
        <v>3403</v>
      </c>
      <c r="JL8" t="s">
        <v>1598</v>
      </c>
      <c r="JM8">
        <v>4.630776</v>
      </c>
      <c r="JN8">
        <v>0.19183800000000001</v>
      </c>
      <c r="JO8" t="s">
        <v>1599</v>
      </c>
      <c r="JP8">
        <v>2025</v>
      </c>
      <c r="JQ8" t="s">
        <v>3404</v>
      </c>
      <c r="JR8" s="6">
        <v>45952</v>
      </c>
      <c r="JS8">
        <v>5</v>
      </c>
      <c r="JT8">
        <v>125308800</v>
      </c>
      <c r="JU8">
        <v>171010</v>
      </c>
      <c r="JV8" t="s">
        <v>3405</v>
      </c>
      <c r="JY8" t="s">
        <v>872</v>
      </c>
      <c r="JZ8">
        <v>0.34598400000000001</v>
      </c>
      <c r="KA8" t="s">
        <v>1598</v>
      </c>
      <c r="KB8">
        <v>1.684086</v>
      </c>
      <c r="KC8" t="s">
        <v>1664</v>
      </c>
      <c r="KD8">
        <v>2025</v>
      </c>
      <c r="KE8" t="s">
        <v>2179</v>
      </c>
      <c r="KF8" s="6">
        <v>45873</v>
      </c>
      <c r="KG8">
        <v>5</v>
      </c>
      <c r="KH8">
        <v>342105216</v>
      </c>
      <c r="KI8">
        <v>100211</v>
      </c>
      <c r="KJ8" t="s">
        <v>1632</v>
      </c>
      <c r="KO8" t="s">
        <v>5231</v>
      </c>
      <c r="KQ8">
        <v>-2.4245362661989844E-14</v>
      </c>
      <c r="KR8">
        <v>-2.4245362661989844E-14</v>
      </c>
      <c r="KS8" t="s">
        <v>1594</v>
      </c>
      <c r="KT8">
        <v>2026</v>
      </c>
      <c r="KU8" t="s">
        <v>5232</v>
      </c>
      <c r="KV8" s="6">
        <v>46057</v>
      </c>
      <c r="KW8">
        <v>5</v>
      </c>
      <c r="KX8">
        <v>-2.4245362661989844E-14</v>
      </c>
      <c r="KY8">
        <v>313591</v>
      </c>
      <c r="KZ8" t="s">
        <v>5233</v>
      </c>
      <c r="LC8" t="s">
        <v>4454</v>
      </c>
      <c r="LD8">
        <v>-2.4245362661989844E-14</v>
      </c>
      <c r="LF8">
        <v>-2.4245362661989844E-14</v>
      </c>
      <c r="LG8" t="s">
        <v>1594</v>
      </c>
      <c r="LH8">
        <v>2021</v>
      </c>
      <c r="LI8" t="s">
        <v>3048</v>
      </c>
      <c r="LJ8" s="6">
        <v>44693</v>
      </c>
      <c r="LK8">
        <v>5</v>
      </c>
      <c r="LL8">
        <v>-2.4245362661989844E-14</v>
      </c>
      <c r="LM8">
        <v>16657751</v>
      </c>
      <c r="LN8" t="s">
        <v>4455</v>
      </c>
      <c r="MW8" t="s">
        <v>4186</v>
      </c>
      <c r="MY8">
        <v>-2.4245362661989844E-14</v>
      </c>
      <c r="MZ8">
        <v>-2.4245362661989844E-14</v>
      </c>
      <c r="NA8" t="s">
        <v>1599</v>
      </c>
      <c r="NB8">
        <v>2024</v>
      </c>
      <c r="NC8" t="s">
        <v>4187</v>
      </c>
      <c r="ND8" s="6">
        <v>45597</v>
      </c>
      <c r="NE8">
        <v>5</v>
      </c>
      <c r="NF8">
        <v>-2.4245362661989844E-14</v>
      </c>
      <c r="NG8">
        <v>13297516</v>
      </c>
      <c r="NH8" t="s">
        <v>4188</v>
      </c>
      <c r="NK8" t="s">
        <v>4104</v>
      </c>
      <c r="NL8">
        <v>11</v>
      </c>
      <c r="NM8" t="s">
        <v>1598</v>
      </c>
      <c r="NN8">
        <v>10.06889</v>
      </c>
      <c r="NO8" t="s">
        <v>1594</v>
      </c>
      <c r="NP8">
        <v>2024</v>
      </c>
      <c r="NQ8" t="s">
        <v>4100</v>
      </c>
      <c r="NR8" s="6">
        <v>45714</v>
      </c>
      <c r="NS8">
        <v>4</v>
      </c>
      <c r="NT8">
        <v>302912512</v>
      </c>
      <c r="NU8">
        <v>52606712</v>
      </c>
      <c r="NV8" t="s">
        <v>4105</v>
      </c>
      <c r="OA8" t="s">
        <v>3403</v>
      </c>
      <c r="OB8" t="s">
        <v>1598</v>
      </c>
      <c r="OC8">
        <v>4.630776</v>
      </c>
      <c r="OD8">
        <v>0.19183800000000001</v>
      </c>
      <c r="OE8" t="s">
        <v>1599</v>
      </c>
      <c r="OF8">
        <v>2025</v>
      </c>
      <c r="OG8" t="s">
        <v>3404</v>
      </c>
      <c r="OH8" s="6">
        <v>45952</v>
      </c>
      <c r="OI8">
        <v>5</v>
      </c>
      <c r="OJ8">
        <v>125308800</v>
      </c>
      <c r="OK8">
        <v>171010</v>
      </c>
      <c r="OL8" t="s">
        <v>3405</v>
      </c>
      <c r="OO8" t="s">
        <v>872</v>
      </c>
      <c r="OP8">
        <v>0.34598400000000001</v>
      </c>
      <c r="OQ8" t="s">
        <v>1598</v>
      </c>
      <c r="OR8">
        <v>1.684086</v>
      </c>
      <c r="OS8" t="s">
        <v>1664</v>
      </c>
      <c r="OT8">
        <v>2025</v>
      </c>
      <c r="OU8" t="s">
        <v>2179</v>
      </c>
      <c r="OV8" s="6">
        <v>45873</v>
      </c>
      <c r="OW8">
        <v>5</v>
      </c>
      <c r="OX8">
        <v>342105216</v>
      </c>
      <c r="OY8">
        <v>100211</v>
      </c>
      <c r="OZ8" t="s">
        <v>1632</v>
      </c>
      <c r="RM8" t="s">
        <v>238</v>
      </c>
      <c r="RN8" t="s">
        <v>1685</v>
      </c>
      <c r="RO8">
        <v>2.829078</v>
      </c>
      <c r="RP8">
        <v>1.5595559999999999</v>
      </c>
      <c r="RQ8" t="s">
        <v>1594</v>
      </c>
      <c r="RR8">
        <v>2024</v>
      </c>
      <c r="RS8" t="s">
        <v>2353</v>
      </c>
      <c r="RT8" s="6">
        <v>45713</v>
      </c>
      <c r="RU8">
        <v>5</v>
      </c>
      <c r="RV8">
        <v>37281180</v>
      </c>
      <c r="RW8">
        <v>154861</v>
      </c>
      <c r="RX8" t="s">
        <v>2354</v>
      </c>
      <c r="SQ8" t="s">
        <v>5695</v>
      </c>
      <c r="SS8">
        <v>-2.4245362661989844E-14</v>
      </c>
      <c r="ST8">
        <v>-2.4245362661989844E-14</v>
      </c>
      <c r="SU8" t="s">
        <v>1594</v>
      </c>
      <c r="SV8">
        <v>2024</v>
      </c>
      <c r="SW8" t="s">
        <v>5691</v>
      </c>
      <c r="SX8" s="6">
        <v>45709</v>
      </c>
      <c r="SY8">
        <v>5</v>
      </c>
      <c r="SZ8">
        <v>-2.4245362661989844E-14</v>
      </c>
      <c r="TA8">
        <v>19995253</v>
      </c>
      <c r="TB8" t="s">
        <v>5696</v>
      </c>
      <c r="TE8" t="s">
        <v>5514</v>
      </c>
      <c r="TF8">
        <v>-2.4245362661989844E-14</v>
      </c>
      <c r="TH8">
        <v>-2.4245362661989844E-14</v>
      </c>
      <c r="TI8" t="s">
        <v>1594</v>
      </c>
      <c r="TJ8">
        <v>2022</v>
      </c>
      <c r="TK8" t="s">
        <v>5515</v>
      </c>
      <c r="TL8" s="6">
        <v>44980</v>
      </c>
      <c r="TM8">
        <v>5</v>
      </c>
      <c r="TN8">
        <v>-2.4245362661989844E-14</v>
      </c>
      <c r="TO8">
        <v>311103</v>
      </c>
      <c r="TP8" t="s">
        <v>5516</v>
      </c>
      <c r="TU8" t="s">
        <v>2066</v>
      </c>
      <c r="TV8" t="s">
        <v>1634</v>
      </c>
      <c r="TW8">
        <v>6.157108</v>
      </c>
      <c r="TX8">
        <v>1.810521</v>
      </c>
      <c r="TY8" t="s">
        <v>1664</v>
      </c>
      <c r="TZ8">
        <v>2025</v>
      </c>
      <c r="UA8" t="s">
        <v>2067</v>
      </c>
      <c r="UB8" s="6">
        <v>45929</v>
      </c>
      <c r="UC8">
        <v>5</v>
      </c>
      <c r="UD8">
        <v>23591082</v>
      </c>
      <c r="UE8">
        <v>13070762</v>
      </c>
      <c r="UF8" t="s">
        <v>2068</v>
      </c>
      <c r="UI8" t="s">
        <v>1934</v>
      </c>
      <c r="UJ8">
        <v>3.5721000000000003E-2</v>
      </c>
      <c r="UK8" t="s">
        <v>1598</v>
      </c>
      <c r="UL8">
        <v>0.41368700000000003</v>
      </c>
      <c r="UM8" t="s">
        <v>1606</v>
      </c>
      <c r="UN8">
        <v>2025</v>
      </c>
      <c r="UO8" t="s">
        <v>1935</v>
      </c>
      <c r="UP8" s="6">
        <v>46086</v>
      </c>
      <c r="UQ8">
        <v>5</v>
      </c>
      <c r="UR8">
        <v>4927012</v>
      </c>
      <c r="US8">
        <v>9188256</v>
      </c>
      <c r="UT8" t="s">
        <v>1936</v>
      </c>
      <c r="UY8" t="s">
        <v>2209</v>
      </c>
      <c r="VA8">
        <v>-2.4245362661989844E-14</v>
      </c>
      <c r="VB8">
        <v>-2.4245362661989844E-14</v>
      </c>
      <c r="VC8" t="s">
        <v>1594</v>
      </c>
      <c r="VD8">
        <v>2022</v>
      </c>
      <c r="VE8" t="s">
        <v>2210</v>
      </c>
      <c r="VF8" s="6">
        <v>44965</v>
      </c>
      <c r="VG8">
        <v>5</v>
      </c>
      <c r="VH8">
        <v>-2.4245362661989844E-14</v>
      </c>
      <c r="VI8">
        <v>125961</v>
      </c>
      <c r="VJ8" t="s">
        <v>2211</v>
      </c>
    </row>
    <row r="9" spans="1:600" x14ac:dyDescent="0.25">
      <c r="A9" t="s">
        <v>773</v>
      </c>
      <c r="B9" t="s">
        <v>1598</v>
      </c>
      <c r="C9">
        <v>4.2578709999999997</v>
      </c>
      <c r="D9">
        <v>0.81780799999999998</v>
      </c>
      <c r="E9" t="s">
        <v>1664</v>
      </c>
      <c r="F9">
        <v>2025</v>
      </c>
      <c r="G9" t="s">
        <v>2139</v>
      </c>
      <c r="H9" s="6">
        <v>45791</v>
      </c>
      <c r="I9">
        <v>5</v>
      </c>
      <c r="J9">
        <v>84479568</v>
      </c>
      <c r="K9">
        <v>116988</v>
      </c>
      <c r="L9" t="s">
        <v>2140</v>
      </c>
      <c r="O9" t="s">
        <v>1682</v>
      </c>
      <c r="P9">
        <v>7.0043999999999995E-2</v>
      </c>
      <c r="Q9" t="s">
        <v>1598</v>
      </c>
      <c r="R9">
        <v>0.716028</v>
      </c>
      <c r="S9" t="s">
        <v>1606</v>
      </c>
      <c r="T9">
        <v>2024</v>
      </c>
      <c r="U9" t="s">
        <v>1677</v>
      </c>
      <c r="V9" s="6">
        <v>45706</v>
      </c>
      <c r="W9">
        <v>5</v>
      </c>
      <c r="X9">
        <v>9342469</v>
      </c>
      <c r="Y9">
        <v>202402</v>
      </c>
      <c r="Z9" t="s">
        <v>1683</v>
      </c>
      <c r="BI9" t="s">
        <v>4648</v>
      </c>
      <c r="BJ9" t="s">
        <v>1598</v>
      </c>
      <c r="BK9">
        <v>12.54</v>
      </c>
      <c r="BL9">
        <v>0.54083499999999995</v>
      </c>
      <c r="BM9" t="s">
        <v>1651</v>
      </c>
      <c r="BN9">
        <v>2025</v>
      </c>
      <c r="BO9" t="s">
        <v>4649</v>
      </c>
      <c r="BP9" s="6">
        <v>45954</v>
      </c>
      <c r="BQ9">
        <v>5</v>
      </c>
      <c r="BR9">
        <v>7432423.6699999999</v>
      </c>
      <c r="BS9">
        <v>13138644</v>
      </c>
      <c r="BT9" t="s">
        <v>4650</v>
      </c>
      <c r="BW9" t="s">
        <v>4293</v>
      </c>
      <c r="BX9">
        <v>0.42185099999999998</v>
      </c>
      <c r="BY9" t="s">
        <v>1598</v>
      </c>
      <c r="BZ9">
        <v>43.740009000000001</v>
      </c>
      <c r="CA9" t="s">
        <v>1594</v>
      </c>
      <c r="CB9">
        <v>2024</v>
      </c>
      <c r="CC9" t="s">
        <v>4294</v>
      </c>
      <c r="CD9" s="6">
        <v>45798</v>
      </c>
      <c r="CE9">
        <v>5</v>
      </c>
      <c r="CF9">
        <v>11679674.470000001</v>
      </c>
      <c r="CG9">
        <v>812726</v>
      </c>
      <c r="CH9" t="s">
        <v>4295</v>
      </c>
      <c r="CM9" t="s">
        <v>5922</v>
      </c>
      <c r="CO9">
        <v>-2.4245362661989844E-14</v>
      </c>
      <c r="CP9">
        <v>-2.4245362661989844E-14</v>
      </c>
      <c r="CQ9" t="s">
        <v>1664</v>
      </c>
      <c r="CR9">
        <v>2026</v>
      </c>
      <c r="CS9" t="s">
        <v>5923</v>
      </c>
      <c r="CT9" s="6">
        <v>45979</v>
      </c>
      <c r="CU9">
        <v>5</v>
      </c>
      <c r="CV9">
        <v>-2.4245362661989844E-14</v>
      </c>
      <c r="CW9">
        <v>198701</v>
      </c>
      <c r="CX9" t="s">
        <v>5924</v>
      </c>
      <c r="DA9" t="s">
        <v>5658</v>
      </c>
      <c r="DB9">
        <v>6.1642549999999998</v>
      </c>
      <c r="DC9" t="s">
        <v>1598</v>
      </c>
      <c r="DD9">
        <v>2.3822230000000002</v>
      </c>
      <c r="DE9" t="s">
        <v>1599</v>
      </c>
      <c r="DF9">
        <v>2025</v>
      </c>
      <c r="DG9" t="s">
        <v>5659</v>
      </c>
      <c r="DH9" s="6">
        <v>46041</v>
      </c>
      <c r="DI9">
        <v>5</v>
      </c>
      <c r="DJ9">
        <v>167507472</v>
      </c>
      <c r="DK9">
        <v>1745816</v>
      </c>
      <c r="DL9" t="s">
        <v>5660</v>
      </c>
      <c r="EU9" t="s">
        <v>74</v>
      </c>
      <c r="EW9">
        <v>-2.4245362661989844E-14</v>
      </c>
      <c r="EX9">
        <v>-2.4245362661989844E-14</v>
      </c>
      <c r="EY9" t="s">
        <v>1594</v>
      </c>
      <c r="EZ9">
        <v>2024</v>
      </c>
      <c r="FA9" t="s">
        <v>5928</v>
      </c>
      <c r="FB9" s="6">
        <v>45706</v>
      </c>
      <c r="FC9">
        <v>5</v>
      </c>
      <c r="FD9">
        <v>-2.4245362661989844E-14</v>
      </c>
      <c r="FE9">
        <v>101106</v>
      </c>
      <c r="FF9" t="s">
        <v>2407</v>
      </c>
      <c r="FI9" t="s">
        <v>74</v>
      </c>
      <c r="FJ9">
        <v>-2.4245362661989844E-14</v>
      </c>
      <c r="FL9">
        <v>-2.4245362661989844E-14</v>
      </c>
      <c r="FM9" t="s">
        <v>1594</v>
      </c>
      <c r="FN9">
        <v>2025</v>
      </c>
      <c r="FO9" t="s">
        <v>6204</v>
      </c>
      <c r="FP9" s="6">
        <v>46071</v>
      </c>
      <c r="FQ9">
        <v>5</v>
      </c>
      <c r="FR9">
        <v>-2.4245362661989844E-14</v>
      </c>
      <c r="FS9">
        <v>101106</v>
      </c>
      <c r="FT9" t="s">
        <v>2407</v>
      </c>
      <c r="FY9" t="s">
        <v>211</v>
      </c>
      <c r="GA9">
        <v>-2.4245362661989844E-14</v>
      </c>
      <c r="GB9">
        <v>-2.4245362661989844E-14</v>
      </c>
      <c r="GC9" t="s">
        <v>1594</v>
      </c>
      <c r="GD9">
        <v>2022</v>
      </c>
      <c r="GE9" t="s">
        <v>3755</v>
      </c>
      <c r="GF9" s="6">
        <v>44701</v>
      </c>
      <c r="GG9">
        <v>5</v>
      </c>
      <c r="GH9">
        <v>-2.4245362661989844E-14</v>
      </c>
      <c r="GI9">
        <v>59907412</v>
      </c>
      <c r="GJ9" t="s">
        <v>3354</v>
      </c>
      <c r="GM9" t="s">
        <v>2802</v>
      </c>
      <c r="GN9">
        <v>0.45974599999999999</v>
      </c>
      <c r="GO9" t="s">
        <v>1598</v>
      </c>
      <c r="GP9">
        <v>0.12854199999999999</v>
      </c>
      <c r="GQ9" t="s">
        <v>1599</v>
      </c>
      <c r="GR9">
        <v>2025</v>
      </c>
      <c r="GS9" t="s">
        <v>2803</v>
      </c>
      <c r="GT9" s="6">
        <v>45926</v>
      </c>
      <c r="GU9">
        <v>5</v>
      </c>
      <c r="GV9">
        <v>5749857.6100000003</v>
      </c>
      <c r="GW9">
        <v>191315</v>
      </c>
      <c r="GX9" t="s">
        <v>2804</v>
      </c>
      <c r="HC9" t="s">
        <v>2298</v>
      </c>
      <c r="HD9" t="s">
        <v>1598</v>
      </c>
      <c r="HE9">
        <v>0.181587</v>
      </c>
      <c r="HF9">
        <v>4.4729999999999999E-2</v>
      </c>
      <c r="HG9" t="s">
        <v>1599</v>
      </c>
      <c r="HH9">
        <v>2025</v>
      </c>
      <c r="HI9" t="s">
        <v>2299</v>
      </c>
      <c r="HJ9" s="6">
        <v>45993</v>
      </c>
      <c r="HK9">
        <v>5</v>
      </c>
      <c r="HL9">
        <v>6513526</v>
      </c>
      <c r="HM9">
        <v>100415</v>
      </c>
      <c r="HN9" t="s">
        <v>2300</v>
      </c>
      <c r="HQ9" t="s">
        <v>1991</v>
      </c>
      <c r="HR9">
        <v>-2.4245362661989844E-14</v>
      </c>
      <c r="HT9">
        <v>-2.4245362661989844E-14</v>
      </c>
      <c r="HU9" t="s">
        <v>1594</v>
      </c>
      <c r="HV9">
        <v>2025</v>
      </c>
      <c r="HW9" t="s">
        <v>1992</v>
      </c>
      <c r="HX9" s="6">
        <v>45975</v>
      </c>
      <c r="HY9">
        <v>5</v>
      </c>
      <c r="HZ9">
        <v>-2.4245362661989844E-14</v>
      </c>
      <c r="IA9">
        <v>100875</v>
      </c>
      <c r="IB9" t="s">
        <v>1993</v>
      </c>
      <c r="IG9" t="s">
        <v>5414</v>
      </c>
      <c r="IH9" t="s">
        <v>1598</v>
      </c>
      <c r="II9">
        <v>2.1295009999999999</v>
      </c>
      <c r="IJ9">
        <v>0.19090599999999999</v>
      </c>
      <c r="IK9" t="s">
        <v>1664</v>
      </c>
      <c r="IL9">
        <v>2025</v>
      </c>
      <c r="IM9" t="s">
        <v>5415</v>
      </c>
      <c r="IN9" s="6">
        <v>45912</v>
      </c>
      <c r="IO9">
        <v>5</v>
      </c>
      <c r="IP9">
        <v>13085102</v>
      </c>
      <c r="IQ9">
        <v>104534</v>
      </c>
      <c r="IR9" t="s">
        <v>5416</v>
      </c>
      <c r="JK9" t="s">
        <v>2383</v>
      </c>
      <c r="JL9" t="s">
        <v>1634</v>
      </c>
      <c r="JM9">
        <v>1.650523</v>
      </c>
      <c r="JN9">
        <v>1.7462089999999999</v>
      </c>
      <c r="JO9" t="s">
        <v>1599</v>
      </c>
      <c r="JP9">
        <v>2025</v>
      </c>
      <c r="JQ9" t="s">
        <v>2384</v>
      </c>
      <c r="JR9" s="6">
        <v>46029</v>
      </c>
      <c r="JS9">
        <v>5</v>
      </c>
      <c r="JT9">
        <v>97565313.560000002</v>
      </c>
      <c r="JU9">
        <v>115705</v>
      </c>
      <c r="JV9" t="s">
        <v>2385</v>
      </c>
      <c r="JY9" t="s">
        <v>22</v>
      </c>
      <c r="JZ9">
        <v>0.19926099999999999</v>
      </c>
      <c r="KA9" t="s">
        <v>1598</v>
      </c>
      <c r="KB9">
        <v>1.1451750000000001</v>
      </c>
      <c r="KC9" t="s">
        <v>1664</v>
      </c>
      <c r="KD9">
        <v>2025</v>
      </c>
      <c r="KE9" t="s">
        <v>2129</v>
      </c>
      <c r="KF9" s="6">
        <v>45895</v>
      </c>
      <c r="KG9">
        <v>5</v>
      </c>
      <c r="KH9">
        <v>197027360</v>
      </c>
      <c r="KI9">
        <v>101555</v>
      </c>
      <c r="KJ9" t="s">
        <v>2130</v>
      </c>
      <c r="KO9" t="s">
        <v>5234</v>
      </c>
      <c r="KQ9">
        <v>-2.4245362661989844E-14</v>
      </c>
      <c r="KR9">
        <v>-2.4245362661989844E-14</v>
      </c>
      <c r="KS9" t="s">
        <v>1594</v>
      </c>
      <c r="KT9">
        <v>2024</v>
      </c>
      <c r="KU9" t="s">
        <v>5235</v>
      </c>
      <c r="KV9" s="6">
        <v>45365</v>
      </c>
      <c r="KW9">
        <v>5</v>
      </c>
      <c r="KX9">
        <v>-2.4245362661989844E-14</v>
      </c>
      <c r="KY9">
        <v>111854</v>
      </c>
      <c r="KZ9" t="s">
        <v>5236</v>
      </c>
      <c r="LC9" t="s">
        <v>2739</v>
      </c>
      <c r="LD9">
        <v>-2.4245362661989844E-14</v>
      </c>
      <c r="LF9">
        <v>-2.4245362661989844E-14</v>
      </c>
      <c r="LG9" t="s">
        <v>1594</v>
      </c>
      <c r="LH9">
        <v>2021</v>
      </c>
      <c r="LI9" t="s">
        <v>3048</v>
      </c>
      <c r="LJ9" s="6">
        <v>44693</v>
      </c>
      <c r="LK9">
        <v>5</v>
      </c>
      <c r="LL9">
        <v>-2.4245362661989844E-14</v>
      </c>
      <c r="LM9">
        <v>15564314</v>
      </c>
      <c r="LN9" t="s">
        <v>2740</v>
      </c>
      <c r="MW9" t="s">
        <v>4189</v>
      </c>
      <c r="MY9">
        <v>-2.4245362661989844E-14</v>
      </c>
      <c r="MZ9">
        <v>-2.4245362661989844E-14</v>
      </c>
      <c r="NA9" t="s">
        <v>1594</v>
      </c>
      <c r="NB9">
        <v>2022</v>
      </c>
      <c r="NC9" t="s">
        <v>4190</v>
      </c>
      <c r="ND9" s="6">
        <v>44992</v>
      </c>
      <c r="NE9">
        <v>5</v>
      </c>
      <c r="NF9">
        <v>-2.4245362661989844E-14</v>
      </c>
      <c r="NG9">
        <v>57617350</v>
      </c>
      <c r="NH9" t="s">
        <v>4191</v>
      </c>
      <c r="OA9" t="s">
        <v>2383</v>
      </c>
      <c r="OB9" t="s">
        <v>1634</v>
      </c>
      <c r="OC9">
        <v>1.650523</v>
      </c>
      <c r="OD9">
        <v>1.7462089999999999</v>
      </c>
      <c r="OE9" t="s">
        <v>1599</v>
      </c>
      <c r="OF9">
        <v>2025</v>
      </c>
      <c r="OG9" t="s">
        <v>2384</v>
      </c>
      <c r="OH9" s="6">
        <v>46029</v>
      </c>
      <c r="OI9">
        <v>5</v>
      </c>
      <c r="OJ9">
        <v>97565313.560000002</v>
      </c>
      <c r="OK9">
        <v>115705</v>
      </c>
      <c r="OL9" t="s">
        <v>2385</v>
      </c>
      <c r="OO9" t="s">
        <v>22</v>
      </c>
      <c r="OP9">
        <v>0.19926099999999999</v>
      </c>
      <c r="OQ9" t="s">
        <v>1598</v>
      </c>
      <c r="OR9">
        <v>1.1451750000000001</v>
      </c>
      <c r="OS9" t="s">
        <v>1664</v>
      </c>
      <c r="OT9">
        <v>2025</v>
      </c>
      <c r="OU9" t="s">
        <v>2129</v>
      </c>
      <c r="OV9" s="6">
        <v>45895</v>
      </c>
      <c r="OW9">
        <v>5</v>
      </c>
      <c r="OX9">
        <v>197027360</v>
      </c>
      <c r="OY9">
        <v>101555</v>
      </c>
      <c r="OZ9" t="s">
        <v>2130</v>
      </c>
      <c r="RM9" t="s">
        <v>5882</v>
      </c>
      <c r="RN9" t="s">
        <v>1598</v>
      </c>
      <c r="RO9">
        <v>2.6486839999999998</v>
      </c>
      <c r="RP9">
        <v>1.243028</v>
      </c>
      <c r="RQ9" t="s">
        <v>1603</v>
      </c>
      <c r="RR9">
        <v>2025</v>
      </c>
      <c r="RS9" t="s">
        <v>5883</v>
      </c>
      <c r="RT9" s="6">
        <v>45849</v>
      </c>
      <c r="RU9">
        <v>5</v>
      </c>
      <c r="RV9">
        <v>37129252</v>
      </c>
      <c r="RW9">
        <v>368063</v>
      </c>
      <c r="RX9" t="s">
        <v>5884</v>
      </c>
      <c r="SQ9" t="s">
        <v>5697</v>
      </c>
      <c r="SS9">
        <v>-2.4245362661989844E-14</v>
      </c>
      <c r="ST9">
        <v>-2.4245362661989844E-14</v>
      </c>
      <c r="SU9" t="s">
        <v>1594</v>
      </c>
      <c r="SV9">
        <v>2024</v>
      </c>
      <c r="SW9" t="s">
        <v>5691</v>
      </c>
      <c r="SX9" s="6">
        <v>45709</v>
      </c>
      <c r="SY9">
        <v>5</v>
      </c>
      <c r="SZ9">
        <v>-2.4245362661989844E-14</v>
      </c>
      <c r="TA9">
        <v>968870</v>
      </c>
      <c r="TB9" t="s">
        <v>5698</v>
      </c>
      <c r="TE9" t="s">
        <v>4128</v>
      </c>
      <c r="TF9">
        <v>-2.4245362661989844E-14</v>
      </c>
      <c r="TH9">
        <v>-2.4245362661989844E-14</v>
      </c>
      <c r="TI9" t="s">
        <v>1594</v>
      </c>
      <c r="TJ9">
        <v>2021</v>
      </c>
      <c r="TK9" t="s">
        <v>5511</v>
      </c>
      <c r="TL9" s="6">
        <v>44693</v>
      </c>
      <c r="TM9">
        <v>5</v>
      </c>
      <c r="TN9">
        <v>-2.4245362661989844E-14</v>
      </c>
      <c r="TO9">
        <v>961545</v>
      </c>
      <c r="TP9" t="s">
        <v>4129</v>
      </c>
      <c r="TU9" t="s">
        <v>339</v>
      </c>
      <c r="TV9" t="s">
        <v>1598</v>
      </c>
      <c r="TW9">
        <v>0.45783699999999999</v>
      </c>
      <c r="TX9">
        <v>0.152921</v>
      </c>
      <c r="TY9" t="s">
        <v>1594</v>
      </c>
      <c r="TZ9">
        <v>2024</v>
      </c>
      <c r="UA9" t="s">
        <v>1928</v>
      </c>
      <c r="UB9" s="6">
        <v>45716</v>
      </c>
      <c r="UC9">
        <v>5</v>
      </c>
      <c r="UD9">
        <v>18750026</v>
      </c>
      <c r="UE9">
        <v>13041324</v>
      </c>
      <c r="UF9" t="s">
        <v>2323</v>
      </c>
      <c r="UI9" t="s">
        <v>1937</v>
      </c>
      <c r="UJ9">
        <v>1.6008999999999999E-2</v>
      </c>
      <c r="UL9">
        <v>-2.4245362661989844E-14</v>
      </c>
      <c r="UM9" t="s">
        <v>1594</v>
      </c>
      <c r="UN9">
        <v>2024</v>
      </c>
      <c r="UO9" t="s">
        <v>1928</v>
      </c>
      <c r="UP9" s="6">
        <v>45716</v>
      </c>
      <c r="UQ9">
        <v>5</v>
      </c>
      <c r="UR9">
        <v>2250000</v>
      </c>
      <c r="US9">
        <v>14465625</v>
      </c>
      <c r="UT9" t="s">
        <v>1938</v>
      </c>
      <c r="UY9" t="s">
        <v>5454</v>
      </c>
      <c r="VA9">
        <v>-2.4245362661989844E-14</v>
      </c>
      <c r="VB9">
        <v>-2.4245362661989844E-14</v>
      </c>
      <c r="VC9" t="s">
        <v>1606</v>
      </c>
      <c r="VD9">
        <v>2022</v>
      </c>
      <c r="VE9" t="s">
        <v>5455</v>
      </c>
      <c r="VF9" s="6">
        <v>44985</v>
      </c>
      <c r="VG9">
        <v>5</v>
      </c>
      <c r="VH9">
        <v>-2.4245362661989844E-14</v>
      </c>
      <c r="VI9">
        <v>53071268</v>
      </c>
      <c r="VJ9" t="s">
        <v>5456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440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441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442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443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444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445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446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447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448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449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450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451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452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453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454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455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456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457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458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459</v>
      </c>
      <c r="AE2" s="3" t="s">
        <v>460</v>
      </c>
      <c r="BI2" s="3" t="s">
        <v>78</v>
      </c>
      <c r="CM2" s="3" t="s">
        <v>143</v>
      </c>
      <c r="DQ2" s="3" t="s">
        <v>461</v>
      </c>
      <c r="EU2" s="3" t="s">
        <v>462</v>
      </c>
      <c r="FY2" s="3" t="s">
        <v>278</v>
      </c>
      <c r="HC2" s="3" t="s">
        <v>463</v>
      </c>
      <c r="IG2" s="3" t="s">
        <v>464</v>
      </c>
      <c r="JK2" s="3" t="s">
        <v>274</v>
      </c>
      <c r="KO2" s="3" t="s">
        <v>143</v>
      </c>
      <c r="LS2" s="3" t="s">
        <v>465</v>
      </c>
      <c r="MW2" s="3" t="s">
        <v>466</v>
      </c>
      <c r="OA2" s="3" t="s">
        <v>79</v>
      </c>
      <c r="PE2" s="3" t="s">
        <v>467</v>
      </c>
      <c r="QI2" s="3" t="s">
        <v>468</v>
      </c>
      <c r="RM2" s="3" t="s">
        <v>469</v>
      </c>
      <c r="SQ2" s="3" t="s">
        <v>470</v>
      </c>
      <c r="TU2" s="3" t="s">
        <v>78</v>
      </c>
      <c r="UY2" s="3" t="s">
        <v>471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_xll.BDS("MRVL US Equity","SUPPLY_CHAIN_SUPPLIERS_ALL_DATA","cols=12;rows=5")</f>
        <v>2330 TT Equity</v>
      </c>
      <c r="B5" t="s">
        <v>1598</v>
      </c>
      <c r="C5">
        <v>1.1086370000000001</v>
      </c>
      <c r="D5">
        <v>32.810169000000002</v>
      </c>
      <c r="E5" t="s">
        <v>1606</v>
      </c>
      <c r="F5">
        <v>2024</v>
      </c>
      <c r="G5" t="s">
        <v>3144</v>
      </c>
      <c r="H5" s="6">
        <v>45741</v>
      </c>
      <c r="I5">
        <v>5</v>
      </c>
      <c r="J5">
        <v>297623569.42000002</v>
      </c>
      <c r="K5">
        <v>153737</v>
      </c>
      <c r="L5" t="s">
        <v>2584</v>
      </c>
      <c r="O5" t="str">
        <f>_xll.BDS("MRVL US Equity","SUPPLY_CHAIN_CUSTOMERS_ALL_DATA","cols=12;rows=5")</f>
        <v>3036 TT Equity</v>
      </c>
      <c r="P5">
        <v>34.037621000000001</v>
      </c>
      <c r="Q5" t="s">
        <v>1598</v>
      </c>
      <c r="R5">
        <v>8.4705290000000009</v>
      </c>
      <c r="S5" t="s">
        <v>1664</v>
      </c>
      <c r="T5">
        <v>2026</v>
      </c>
      <c r="U5" t="s">
        <v>5286</v>
      </c>
      <c r="V5" s="6">
        <v>45908</v>
      </c>
      <c r="W5">
        <v>5</v>
      </c>
      <c r="X5">
        <v>682828672</v>
      </c>
      <c r="Y5">
        <v>1459396</v>
      </c>
      <c r="Z5" t="s">
        <v>2692</v>
      </c>
      <c r="AE5" t="str">
        <f>_xll.BDS("EVRG US Equity","SUPPLY_CHAIN_SUPPLIERS_ALL_DATA","cols=12;rows=5")</f>
        <v>PWR US Equity</v>
      </c>
      <c r="AF5" t="s">
        <v>1634</v>
      </c>
      <c r="AG5">
        <v>0.69818999999999998</v>
      </c>
      <c r="AH5">
        <v>7.4802369999999998</v>
      </c>
      <c r="AI5" t="s">
        <v>1599</v>
      </c>
      <c r="AJ5">
        <v>2025</v>
      </c>
      <c r="AK5" t="s">
        <v>2321</v>
      </c>
      <c r="AL5" s="6">
        <v>45975</v>
      </c>
      <c r="AM5">
        <v>5</v>
      </c>
      <c r="AN5">
        <v>53281728</v>
      </c>
      <c r="AO5">
        <v>305366</v>
      </c>
      <c r="AP5" t="s">
        <v>2322</v>
      </c>
      <c r="AS5" t="str">
        <f>_xll.BDS("EVRG US Equity","SUPPLY_CHAIN_CUSTOMERS_ALL_DATA","cols=12;rows=5")</f>
        <v>LNN US Equity</v>
      </c>
      <c r="AT5">
        <v>-2.4245362661989844E-14</v>
      </c>
      <c r="AV5">
        <v>-2.4245362661989844E-14</v>
      </c>
      <c r="AW5" t="s">
        <v>1594</v>
      </c>
      <c r="AX5">
        <v>2021</v>
      </c>
      <c r="AY5" t="s">
        <v>3010</v>
      </c>
      <c r="AZ5" s="6">
        <v>44693</v>
      </c>
      <c r="BA5">
        <v>5</v>
      </c>
      <c r="BB5">
        <v>-2.4245362661989844E-14</v>
      </c>
      <c r="BC5">
        <v>105072</v>
      </c>
      <c r="BD5" t="s">
        <v>5014</v>
      </c>
      <c r="BI5" t="str">
        <f>_xll.BDS("nan Equity","SUPPLY_CHAIN_SUPPLIERS_ALL_DATA")</f>
        <v>#N/A N/A</v>
      </c>
      <c r="BW5" t="str">
        <f>_xll.BDS("nan Equity","SUPPLY_CHAIN_CUSTOMERS_ALL_DATA")</f>
        <v>#N/A N/A</v>
      </c>
      <c r="CM5" t="str">
        <f>_xll.BDS("ORCL US Equity","SUPPLY_CHAIN_SUPPLIERS_ALL_DATA","cols=12;rows=5")</f>
        <v>NVDA US Equity</v>
      </c>
      <c r="CN5" t="s">
        <v>1634</v>
      </c>
      <c r="CO5">
        <v>1.9751799999999999</v>
      </c>
      <c r="CP5">
        <v>11.182838</v>
      </c>
      <c r="CQ5" t="s">
        <v>1606</v>
      </c>
      <c r="CR5">
        <v>2026</v>
      </c>
      <c r="CS5" t="s">
        <v>2004</v>
      </c>
      <c r="CT5" s="6">
        <v>46087</v>
      </c>
      <c r="CU5">
        <v>5</v>
      </c>
      <c r="CV5">
        <v>1345630848</v>
      </c>
      <c r="CW5">
        <v>313657</v>
      </c>
      <c r="CX5" t="s">
        <v>2005</v>
      </c>
      <c r="DA5" t="str">
        <f>_xll.BDS("ORCL US Equity","SUPPLY_CHAIN_CUSTOMERS_ALL_DATA","cols=12;rows=5")</f>
        <v>ACN US Equity</v>
      </c>
      <c r="DB5">
        <v>1.9061380000000001</v>
      </c>
      <c r="DC5" t="s">
        <v>1598</v>
      </c>
      <c r="DD5">
        <v>2.7725070000000001</v>
      </c>
      <c r="DE5" t="s">
        <v>1606</v>
      </c>
      <c r="DF5">
        <v>2025</v>
      </c>
      <c r="DG5" t="s">
        <v>2251</v>
      </c>
      <c r="DH5" s="6">
        <v>45848</v>
      </c>
      <c r="DI5">
        <v>5</v>
      </c>
      <c r="DJ5">
        <v>303133120</v>
      </c>
      <c r="DK5">
        <v>300787</v>
      </c>
      <c r="DL5" t="s">
        <v>2252</v>
      </c>
      <c r="DQ5" t="str">
        <f>_xll.BDS("45950Q US Equity","SUPPLY_CHAIN_SUPPLIERS_ALL_DATA")</f>
        <v>#N/A N/A</v>
      </c>
      <c r="EE5" t="str">
        <f>_xll.BDS("45950Q US Equity","SUPPLY_CHAIN_CUSTOMERS_ALL_DATA")</f>
        <v>#N/A N/A</v>
      </c>
      <c r="EU5" t="str">
        <f>_xll.BDS("CAT US Equity","SUPPLY_CHAIN_SUPPLIERS_ALL_DATA","cols=12;rows=5")</f>
        <v>SHA0 GR Equity</v>
      </c>
      <c r="EV5" t="s">
        <v>1598</v>
      </c>
      <c r="EW5">
        <v>1.419</v>
      </c>
      <c r="EX5">
        <v>0.95231399999999999</v>
      </c>
      <c r="EY5" t="s">
        <v>1603</v>
      </c>
      <c r="EZ5">
        <v>2025</v>
      </c>
      <c r="FA5" t="s">
        <v>3366</v>
      </c>
      <c r="FB5" s="6">
        <v>45852</v>
      </c>
      <c r="FC5">
        <v>5</v>
      </c>
      <c r="FD5">
        <v>88479496</v>
      </c>
      <c r="FE5">
        <v>47298477</v>
      </c>
      <c r="FF5" t="s">
        <v>6270</v>
      </c>
      <c r="FI5" t="str">
        <f>_xll.BDS("CAT US Equity","SUPPLY_CHAIN_CUSTOMERS_ALL_DATA","cols=12;rows=5")</f>
        <v>XOM US Equity</v>
      </c>
      <c r="FJ5">
        <v>0.78914899999999999</v>
      </c>
      <c r="FK5" t="s">
        <v>1634</v>
      </c>
      <c r="FL5">
        <v>2.1518000000000002</v>
      </c>
      <c r="FM5" t="s">
        <v>1664</v>
      </c>
      <c r="FN5">
        <v>2025</v>
      </c>
      <c r="FO5" t="s">
        <v>3366</v>
      </c>
      <c r="FP5" s="6">
        <v>45876</v>
      </c>
      <c r="FQ5">
        <v>5</v>
      </c>
      <c r="FR5">
        <v>130754096</v>
      </c>
      <c r="FS5">
        <v>100546</v>
      </c>
      <c r="FT5" t="s">
        <v>4326</v>
      </c>
      <c r="FY5" t="str">
        <f>_xll.BDS("WAMUQ US Equity","SUPPLY_CHAIN_SUPPLIERS_ALL_DATA")</f>
        <v>#N/A N/A</v>
      </c>
      <c r="GM5" t="str">
        <f>_xll.BDS("WAMUQ US Equity","SUPPLY_CHAIN_CUSTOMERS_ALL_DATA")</f>
        <v>#N/A N/A</v>
      </c>
      <c r="HC5" t="str">
        <f>_xll.BDS("AMGN US Equity","SUPPLY_CHAIN_SUPPLIERS_ALL_DATA","cols=12;rows=5")</f>
        <v>AZN LN Equity</v>
      </c>
      <c r="HD5" t="s">
        <v>1598</v>
      </c>
      <c r="HE5">
        <v>1.1178159999999999</v>
      </c>
      <c r="HF5">
        <v>5.8230849999999998</v>
      </c>
      <c r="HG5" t="s">
        <v>1599</v>
      </c>
      <c r="HH5">
        <v>2025</v>
      </c>
      <c r="HI5" t="s">
        <v>3408</v>
      </c>
      <c r="HJ5" s="6">
        <v>46080</v>
      </c>
      <c r="HK5">
        <v>5</v>
      </c>
      <c r="HL5">
        <v>173295008</v>
      </c>
      <c r="HM5">
        <v>111093</v>
      </c>
      <c r="HN5" t="s">
        <v>3409</v>
      </c>
      <c r="HQ5" t="str">
        <f>_xll.BDS("AMGN US Equity","SUPPLY_CHAIN_CUSTOMERS_ALL_DATA","cols=12;rows=5")</f>
        <v>MCK US Equity</v>
      </c>
      <c r="HR5">
        <v>34</v>
      </c>
      <c r="HS5" t="s">
        <v>1598</v>
      </c>
      <c r="HT5">
        <v>3.2555800000000001</v>
      </c>
      <c r="HU5" t="s">
        <v>1594</v>
      </c>
      <c r="HV5">
        <v>2025</v>
      </c>
      <c r="HW5" t="s">
        <v>4106</v>
      </c>
      <c r="HX5" s="6">
        <v>46066</v>
      </c>
      <c r="HY5">
        <v>5</v>
      </c>
      <c r="HZ5">
        <v>3123834880</v>
      </c>
      <c r="IA5">
        <v>154936</v>
      </c>
      <c r="IB5" t="s">
        <v>1766</v>
      </c>
      <c r="IG5" t="str">
        <f>_xll.BDS("NI US Equity","SUPPLY_CHAIN_SUPPLIERS_ALL_DATA","cols=12;rows=5")</f>
        <v>PWR US Equity</v>
      </c>
      <c r="IH5" t="s">
        <v>1634</v>
      </c>
      <c r="II5">
        <v>0.53191500000000003</v>
      </c>
      <c r="IJ5">
        <v>4.5712390000000003</v>
      </c>
      <c r="IK5" t="s">
        <v>1599</v>
      </c>
      <c r="IL5">
        <v>2025</v>
      </c>
      <c r="IM5" t="s">
        <v>2321</v>
      </c>
      <c r="IN5" s="6">
        <v>45975</v>
      </c>
      <c r="IO5">
        <v>5</v>
      </c>
      <c r="IP5">
        <v>40592604</v>
      </c>
      <c r="IQ5">
        <v>305366</v>
      </c>
      <c r="IR5" t="s">
        <v>2322</v>
      </c>
      <c r="IU5" t="str">
        <f>_xll.BDS("NI US Equity","SUPPLY_CHAIN_CUSTOMERS_ALL_DATA","cols=12;rows=5")</f>
        <v>000039 CH Equity</v>
      </c>
      <c r="IV5">
        <v>-2.4245362661989844E-14</v>
      </c>
      <c r="IX5">
        <v>-2.4245362661989844E-14</v>
      </c>
      <c r="IY5" t="s">
        <v>1594</v>
      </c>
      <c r="IZ5">
        <v>2021</v>
      </c>
      <c r="JA5" t="s">
        <v>6325</v>
      </c>
      <c r="JB5" s="6">
        <v>44693</v>
      </c>
      <c r="JC5">
        <v>5</v>
      </c>
      <c r="JD5">
        <v>-2.4245362661989844E-14</v>
      </c>
      <c r="JE5">
        <v>135744</v>
      </c>
      <c r="JF5" t="s">
        <v>3690</v>
      </c>
      <c r="JK5" t="str">
        <f>_xll.BDS("D US Equity","SUPPLY_CHAIN_SUPPLIERS_ALL_DATA","cols=12;rows=5")</f>
        <v>PWR US Equity</v>
      </c>
      <c r="JL5" t="s">
        <v>1634</v>
      </c>
      <c r="JM5">
        <v>3.1101740000000002</v>
      </c>
      <c r="JN5">
        <v>7.8050009999999999</v>
      </c>
      <c r="JO5" t="s">
        <v>1599</v>
      </c>
      <c r="JP5">
        <v>2025</v>
      </c>
      <c r="JQ5" t="s">
        <v>2321</v>
      </c>
      <c r="JR5" s="6">
        <v>45975</v>
      </c>
      <c r="JS5">
        <v>5</v>
      </c>
      <c r="JT5">
        <v>237350064</v>
      </c>
      <c r="JU5">
        <v>305366</v>
      </c>
      <c r="JV5" t="s">
        <v>2322</v>
      </c>
      <c r="JY5" t="str">
        <f>_xll.BDS("D US Equity","SUPPLY_CHAIN_CUSTOMERS_ALL_DATA","cols=12;rows=5")</f>
        <v>000039 CH Equity</v>
      </c>
      <c r="JZ5">
        <v>-2.4245362661989844E-14</v>
      </c>
      <c r="KB5">
        <v>-2.4245362661989844E-14</v>
      </c>
      <c r="KC5" t="s">
        <v>1594</v>
      </c>
      <c r="KD5">
        <v>2021</v>
      </c>
      <c r="KE5" t="s">
        <v>3689</v>
      </c>
      <c r="KF5" s="6">
        <v>44693</v>
      </c>
      <c r="KG5">
        <v>5</v>
      </c>
      <c r="KH5">
        <v>-2.4245362661989844E-14</v>
      </c>
      <c r="KI5">
        <v>135744</v>
      </c>
      <c r="KJ5" t="s">
        <v>3690</v>
      </c>
      <c r="KO5" t="str">
        <f>_xll.BDS("ORCL US Equity","SUPPLY_CHAIN_SUPPLIERS_ALL_DATA","cols=12;rows=5")</f>
        <v>NVDA US Equity</v>
      </c>
      <c r="KP5" t="s">
        <v>1634</v>
      </c>
      <c r="KQ5">
        <v>1.9751799999999999</v>
      </c>
      <c r="KR5">
        <v>11.182838</v>
      </c>
      <c r="KS5" t="s">
        <v>1606</v>
      </c>
      <c r="KT5">
        <v>2026</v>
      </c>
      <c r="KU5" t="s">
        <v>2004</v>
      </c>
      <c r="KV5" s="6">
        <v>46087</v>
      </c>
      <c r="KW5">
        <v>5</v>
      </c>
      <c r="KX5">
        <v>1345630848</v>
      </c>
      <c r="KY5">
        <v>313657</v>
      </c>
      <c r="KZ5" t="s">
        <v>2005</v>
      </c>
      <c r="LC5" t="str">
        <f>_xll.BDS("ORCL US Equity","SUPPLY_CHAIN_CUSTOMERS_ALL_DATA","cols=12;rows=5")</f>
        <v>ACN US Equity</v>
      </c>
      <c r="LD5">
        <v>1.9061380000000001</v>
      </c>
      <c r="LE5" t="s">
        <v>1598</v>
      </c>
      <c r="LF5">
        <v>2.7725070000000001</v>
      </c>
      <c r="LG5" t="s">
        <v>1606</v>
      </c>
      <c r="LH5">
        <v>2025</v>
      </c>
      <c r="LI5" t="s">
        <v>2251</v>
      </c>
      <c r="LJ5" s="6">
        <v>45848</v>
      </c>
      <c r="LK5">
        <v>5</v>
      </c>
      <c r="LL5">
        <v>303133120</v>
      </c>
      <c r="LM5">
        <v>300787</v>
      </c>
      <c r="LN5" t="s">
        <v>2252</v>
      </c>
      <c r="LS5" t="str">
        <f>_xll.BDS("TSN US Equity","SUPPLY_CHAIN_SUPPLIERS_ALL_DATA","cols=12;rows=5")</f>
        <v>AMCR US Equity</v>
      </c>
      <c r="LT5" t="s">
        <v>1598</v>
      </c>
      <c r="LU5">
        <v>4.8301939999999997</v>
      </c>
      <c r="LV5">
        <v>2.0692020000000002</v>
      </c>
      <c r="LW5" t="s">
        <v>1664</v>
      </c>
      <c r="LX5">
        <v>2026</v>
      </c>
      <c r="LY5" t="s">
        <v>2336</v>
      </c>
      <c r="LZ5" s="6">
        <v>46071</v>
      </c>
      <c r="MA5">
        <v>5</v>
      </c>
      <c r="MB5">
        <v>263197264</v>
      </c>
      <c r="MC5">
        <v>61417091</v>
      </c>
      <c r="MD5" t="s">
        <v>2337</v>
      </c>
      <c r="MG5" t="str">
        <f>_xll.BDS("TSN US Equity","SUPPLY_CHAIN_CUSTOMERS_ALL_DATA","cols=12;rows=5")</f>
        <v>WMT US Equity</v>
      </c>
      <c r="MH5">
        <v>18.700001</v>
      </c>
      <c r="MI5" t="s">
        <v>1598</v>
      </c>
      <c r="MJ5">
        <v>1.928294</v>
      </c>
      <c r="MK5" t="s">
        <v>1594</v>
      </c>
      <c r="ML5">
        <v>2025</v>
      </c>
      <c r="MM5" t="s">
        <v>1939</v>
      </c>
      <c r="MN5" s="6">
        <v>45971</v>
      </c>
      <c r="MO5">
        <v>5</v>
      </c>
      <c r="MP5">
        <v>2545116672</v>
      </c>
      <c r="MQ5">
        <v>101616</v>
      </c>
      <c r="MR5" t="s">
        <v>1666</v>
      </c>
      <c r="MW5" t="str">
        <f>_xll.BDS("ANRZQ US Equity","SUPPLY_CHAIN_SUPPLIERS_ALL_DATA")</f>
        <v>#N/A N/A</v>
      </c>
      <c r="NK5" t="str">
        <f>_xll.BDS("ANRZQ US Equity","SUPPLY_CHAIN_CUSTOMERS_ALL_DATA")</f>
        <v>#N/A N/A</v>
      </c>
      <c r="OA5" t="str">
        <f>_xll.BDS("MRK US Equity","SUPPLY_CHAIN_SUPPLIERS_ALL_DATA","cols=12;rows=5")</f>
        <v>AZN LN Equity</v>
      </c>
      <c r="OB5" t="s">
        <v>1598</v>
      </c>
      <c r="OC5">
        <v>1.1917120000000001</v>
      </c>
      <c r="OD5">
        <v>4.272983</v>
      </c>
      <c r="OE5" t="s">
        <v>1594</v>
      </c>
      <c r="OF5">
        <v>2025</v>
      </c>
      <c r="OG5" t="s">
        <v>4869</v>
      </c>
      <c r="OH5" s="6">
        <v>46077</v>
      </c>
      <c r="OI5">
        <v>5</v>
      </c>
      <c r="OJ5">
        <v>175000000</v>
      </c>
      <c r="OK5">
        <v>111093</v>
      </c>
      <c r="OL5" t="s">
        <v>3409</v>
      </c>
      <c r="OO5" t="str">
        <f>_xll.BDS("MRK US Equity","SUPPLY_CHAIN_CUSTOMERS_ALL_DATA","cols=12;rows=5")</f>
        <v>COR US Equity</v>
      </c>
      <c r="OP5">
        <v>9.6931790000000007</v>
      </c>
      <c r="OQ5" t="s">
        <v>1598</v>
      </c>
      <c r="OR5">
        <v>2.073159</v>
      </c>
      <c r="OS5" t="s">
        <v>1599</v>
      </c>
      <c r="OT5">
        <v>2025</v>
      </c>
      <c r="OU5" t="s">
        <v>5050</v>
      </c>
      <c r="OV5" s="6">
        <v>45985</v>
      </c>
      <c r="OW5">
        <v>5</v>
      </c>
      <c r="OX5">
        <v>1674593664</v>
      </c>
      <c r="OY5">
        <v>156969</v>
      </c>
      <c r="OZ5" t="s">
        <v>1767</v>
      </c>
      <c r="PE5" t="str">
        <f>_xll.BDS("WTW US Equity","SUPPLY_CHAIN_SUPPLIERS_ALL_DATA","cols=12;rows=5")</f>
        <v>1972 HK Equity</v>
      </c>
      <c r="PG5">
        <v>-2.4245362661989844E-14</v>
      </c>
      <c r="PH5">
        <v>-2.4245362661989844E-14</v>
      </c>
      <c r="PI5" t="s">
        <v>1594</v>
      </c>
      <c r="PJ5">
        <v>2022</v>
      </c>
      <c r="PK5" t="s">
        <v>6232</v>
      </c>
      <c r="PL5" s="6">
        <v>45019</v>
      </c>
      <c r="PM5">
        <v>5</v>
      </c>
      <c r="PN5">
        <v>-2.4245362661989844E-14</v>
      </c>
      <c r="PO5">
        <v>953675</v>
      </c>
      <c r="PP5" t="s">
        <v>3547</v>
      </c>
      <c r="PS5" t="str">
        <f>_xll.BDS("WTW US Equity","SUPPLY_CHAIN_CUSTOMERS_ALL_DATA","cols=12;rows=3")</f>
        <v>600626 CH Equity</v>
      </c>
      <c r="PT5">
        <v>-2.4245362661989844E-14</v>
      </c>
      <c r="PV5">
        <v>-2.4245362661989844E-14</v>
      </c>
      <c r="PW5" t="s">
        <v>1594</v>
      </c>
      <c r="PX5">
        <v>2024</v>
      </c>
      <c r="PY5" t="s">
        <v>4350</v>
      </c>
      <c r="PZ5" s="6">
        <v>45775</v>
      </c>
      <c r="QA5">
        <v>3</v>
      </c>
      <c r="QB5">
        <v>-2.4245362661989844E-14</v>
      </c>
      <c r="QC5">
        <v>130798</v>
      </c>
      <c r="QD5" t="s">
        <v>4351</v>
      </c>
      <c r="QI5" t="str">
        <f>_xll.BDS("HAL US Equity","SUPPLY_CHAIN_SUPPLIERS_ALL_DATA","cols=12;rows=5")</f>
        <v>KEMIRA FH Equity</v>
      </c>
      <c r="QJ5" t="s">
        <v>1598</v>
      </c>
      <c r="QK5">
        <v>1.939522</v>
      </c>
      <c r="QL5">
        <v>0.30949900000000002</v>
      </c>
      <c r="QM5" t="s">
        <v>1599</v>
      </c>
      <c r="QN5">
        <v>2025</v>
      </c>
      <c r="QO5" t="s">
        <v>2243</v>
      </c>
      <c r="QP5" s="6">
        <v>45985</v>
      </c>
      <c r="QQ5">
        <v>5</v>
      </c>
      <c r="QR5">
        <v>15588229.289999999</v>
      </c>
      <c r="QS5">
        <v>125320</v>
      </c>
      <c r="QT5" t="s">
        <v>2244</v>
      </c>
      <c r="QW5" t="str">
        <f>_xll.BDS("HAL US Equity","SUPPLY_CHAIN_CUSTOMERS_ALL_DATA","cols=12;rows=5")</f>
        <v>0318891D GR Equity</v>
      </c>
      <c r="QX5">
        <v>-2.4245362661989844E-14</v>
      </c>
      <c r="QZ5">
        <v>-2.4245362661989844E-14</v>
      </c>
      <c r="RA5" t="s">
        <v>1594</v>
      </c>
      <c r="RB5">
        <v>2024</v>
      </c>
      <c r="RC5" t="s">
        <v>6148</v>
      </c>
      <c r="RD5" s="6">
        <v>45433</v>
      </c>
      <c r="RE5">
        <v>5</v>
      </c>
      <c r="RF5">
        <v>-2.4245362661989844E-14</v>
      </c>
      <c r="RG5">
        <v>16893145</v>
      </c>
      <c r="RH5" t="s">
        <v>2776</v>
      </c>
      <c r="RM5" t="str">
        <f>_xll.BDS("BN CN Equity","SUPPLY_CHAIN_SUPPLIERS_ALL_DATA","cols=12;rows=5")</f>
        <v>PRIME SP Equity</v>
      </c>
      <c r="RN5" t="s">
        <v>1685</v>
      </c>
      <c r="RO5">
        <v>2.5</v>
      </c>
      <c r="RP5">
        <v>7.1875999999999995E-2</v>
      </c>
      <c r="RQ5" t="s">
        <v>1594</v>
      </c>
      <c r="RR5">
        <v>2024</v>
      </c>
      <c r="RS5" t="s">
        <v>4111</v>
      </c>
      <c r="RT5" s="6">
        <v>45754</v>
      </c>
      <c r="RU5">
        <v>5</v>
      </c>
      <c r="RV5">
        <v>881018.75</v>
      </c>
      <c r="RW5">
        <v>65193455</v>
      </c>
      <c r="RX5" t="s">
        <v>4112</v>
      </c>
      <c r="SA5" t="str">
        <f>_xll.BDS("BN CN Equity","SUPPLY_CHAIN_CUSTOMERS_ALL_DATA","cols=12;rows=5")</f>
        <v>ITX SM Equity</v>
      </c>
      <c r="SB5">
        <v>3.0790999999999999E-2</v>
      </c>
      <c r="SC5" t="s">
        <v>1685</v>
      </c>
      <c r="SD5">
        <v>0.52921700000000005</v>
      </c>
      <c r="SE5" t="s">
        <v>1664</v>
      </c>
      <c r="SF5">
        <v>2026</v>
      </c>
      <c r="SG5" t="s">
        <v>5929</v>
      </c>
      <c r="SH5" s="6">
        <v>45922</v>
      </c>
      <c r="SI5">
        <v>5</v>
      </c>
      <c r="SJ5">
        <v>5643875.1900000004</v>
      </c>
      <c r="SK5">
        <v>233954</v>
      </c>
      <c r="SL5" t="s">
        <v>5930</v>
      </c>
      <c r="SQ5" t="str">
        <f>_xll.BDS("2727195Q US Equity","SUPPLY_CHAIN_SUPPLIERS_ALL_DATA")</f>
        <v>#N/A N/A</v>
      </c>
      <c r="TE5" t="str">
        <f>_xll.BDS("2727195Q US Equity","SUPPLY_CHAIN_CUSTOMERS_ALL_DATA")</f>
        <v>#N/A N/A</v>
      </c>
      <c r="TU5" t="str">
        <f>_xll.BDS("nan Equity","SUPPLY_CHAIN_SUPPLIERS_ALL_DATA")</f>
        <v>#N/A N/A</v>
      </c>
      <c r="UI5" t="str">
        <f>_xll.BDS("nan Equity","SUPPLY_CHAIN_CUSTOMERS_ALL_DATA")</f>
        <v>#N/A N/A</v>
      </c>
      <c r="UY5" t="str">
        <f>_xll.BDS("CNP US Equity","SUPPLY_CHAIN_SUPPLIERS_ALL_DATA","cols=12;rows=5")</f>
        <v>PWR US Equity</v>
      </c>
      <c r="UZ5" t="s">
        <v>1634</v>
      </c>
      <c r="VA5">
        <v>0.44729000000000002</v>
      </c>
      <c r="VB5">
        <v>2.7933330000000001</v>
      </c>
      <c r="VC5" t="s">
        <v>1599</v>
      </c>
      <c r="VD5">
        <v>2025</v>
      </c>
      <c r="VE5" t="s">
        <v>2321</v>
      </c>
      <c r="VF5" s="6">
        <v>45975</v>
      </c>
      <c r="VG5">
        <v>5</v>
      </c>
      <c r="VH5">
        <v>34134524</v>
      </c>
      <c r="VI5">
        <v>305366</v>
      </c>
      <c r="VJ5" t="s">
        <v>2322</v>
      </c>
      <c r="VM5" t="str">
        <f>_xll.BDS("CNP US Equity","SUPPLY_CHAIN_CUSTOMERS_ALL_DATA","cols=12;rows=5")</f>
        <v>NRG US Equity</v>
      </c>
      <c r="VN5">
        <v>13.525396000000001</v>
      </c>
      <c r="VO5" t="s">
        <v>1598</v>
      </c>
      <c r="VP5">
        <v>4.9439630000000001</v>
      </c>
      <c r="VQ5" t="s">
        <v>1594</v>
      </c>
      <c r="VR5">
        <v>2024</v>
      </c>
      <c r="VS5" t="s">
        <v>2029</v>
      </c>
      <c r="VT5" s="6">
        <v>45708</v>
      </c>
      <c r="VU5">
        <v>5</v>
      </c>
      <c r="VV5">
        <v>292250000</v>
      </c>
      <c r="VW5">
        <v>8502156</v>
      </c>
      <c r="VX5" t="s">
        <v>2030</v>
      </c>
    </row>
    <row r="6" spans="1:600" x14ac:dyDescent="0.25">
      <c r="A6" t="s">
        <v>4645</v>
      </c>
      <c r="B6" t="s">
        <v>1598</v>
      </c>
      <c r="C6">
        <v>0.84875400000000001</v>
      </c>
      <c r="D6">
        <v>1.49475</v>
      </c>
      <c r="E6" t="s">
        <v>1603</v>
      </c>
      <c r="F6">
        <v>2025</v>
      </c>
      <c r="G6" t="s">
        <v>4646</v>
      </c>
      <c r="H6" s="6">
        <v>45792</v>
      </c>
      <c r="I6">
        <v>5</v>
      </c>
      <c r="J6">
        <v>13452751</v>
      </c>
      <c r="K6">
        <v>15242973</v>
      </c>
      <c r="L6" t="s">
        <v>4647</v>
      </c>
      <c r="O6" t="s">
        <v>303</v>
      </c>
      <c r="P6">
        <v>16.008994999999999</v>
      </c>
      <c r="Q6" t="s">
        <v>1634</v>
      </c>
      <c r="R6">
        <v>0.99790699999999999</v>
      </c>
      <c r="S6" t="s">
        <v>1664</v>
      </c>
      <c r="T6">
        <v>2026</v>
      </c>
      <c r="U6" t="s">
        <v>5286</v>
      </c>
      <c r="V6" s="6">
        <v>45908</v>
      </c>
      <c r="W6">
        <v>5</v>
      </c>
      <c r="X6">
        <v>321156448</v>
      </c>
      <c r="Y6">
        <v>216952</v>
      </c>
      <c r="Z6" t="s">
        <v>1631</v>
      </c>
      <c r="AE6" t="s">
        <v>2383</v>
      </c>
      <c r="AF6" t="s">
        <v>1634</v>
      </c>
      <c r="AG6">
        <v>0.88954699999999998</v>
      </c>
      <c r="AH6">
        <v>7.3804299999999996</v>
      </c>
      <c r="AI6" t="s">
        <v>1599</v>
      </c>
      <c r="AJ6">
        <v>2025</v>
      </c>
      <c r="AK6" t="s">
        <v>2384</v>
      </c>
      <c r="AL6" s="6">
        <v>46029</v>
      </c>
      <c r="AM6">
        <v>5</v>
      </c>
      <c r="AN6">
        <v>52582687.030000001</v>
      </c>
      <c r="AO6">
        <v>115705</v>
      </c>
      <c r="AP6" t="s">
        <v>2385</v>
      </c>
      <c r="AS6" t="s">
        <v>5015</v>
      </c>
      <c r="AT6">
        <v>-2.4245362661989844E-14</v>
      </c>
      <c r="AV6">
        <v>-2.4245362661989844E-14</v>
      </c>
      <c r="AW6" t="s">
        <v>1594</v>
      </c>
      <c r="AX6">
        <v>2021</v>
      </c>
      <c r="AY6" t="s">
        <v>3010</v>
      </c>
      <c r="AZ6" s="6">
        <v>44693</v>
      </c>
      <c r="BA6">
        <v>5</v>
      </c>
      <c r="BB6">
        <v>-2.4245362661989844E-14</v>
      </c>
      <c r="BC6">
        <v>103913</v>
      </c>
      <c r="BD6" t="s">
        <v>5016</v>
      </c>
      <c r="CM6" t="s">
        <v>114</v>
      </c>
      <c r="CN6" t="s">
        <v>1634</v>
      </c>
      <c r="CO6">
        <v>3.5808580000000001</v>
      </c>
      <c r="CP6">
        <v>3.236755</v>
      </c>
      <c r="CQ6" t="s">
        <v>1664</v>
      </c>
      <c r="CR6">
        <v>2025</v>
      </c>
      <c r="CS6" t="s">
        <v>3353</v>
      </c>
      <c r="CT6" s="6">
        <v>45947</v>
      </c>
      <c r="CU6">
        <v>5</v>
      </c>
      <c r="CV6">
        <v>275188928</v>
      </c>
      <c r="CW6">
        <v>100010</v>
      </c>
      <c r="CX6" t="s">
        <v>1996</v>
      </c>
      <c r="DA6" t="s">
        <v>303</v>
      </c>
      <c r="DB6">
        <v>1.3419890000000001</v>
      </c>
      <c r="DC6" t="s">
        <v>1598</v>
      </c>
      <c r="DD6">
        <v>0.27725100000000003</v>
      </c>
      <c r="DE6" t="s">
        <v>1606</v>
      </c>
      <c r="DF6">
        <v>2025</v>
      </c>
      <c r="DG6" t="s">
        <v>2251</v>
      </c>
      <c r="DH6" s="6">
        <v>45848</v>
      </c>
      <c r="DI6">
        <v>5</v>
      </c>
      <c r="DJ6">
        <v>213416512</v>
      </c>
      <c r="DK6">
        <v>216952</v>
      </c>
      <c r="DL6" t="s">
        <v>1631</v>
      </c>
      <c r="EU6" t="s">
        <v>6146</v>
      </c>
      <c r="EV6" t="s">
        <v>1598</v>
      </c>
      <c r="EW6">
        <v>1.527676</v>
      </c>
      <c r="EX6">
        <v>0.570496</v>
      </c>
      <c r="EY6" t="s">
        <v>1606</v>
      </c>
      <c r="EZ6">
        <v>2025</v>
      </c>
      <c r="FA6" t="s">
        <v>6271</v>
      </c>
      <c r="FB6" s="6">
        <v>45975</v>
      </c>
      <c r="FC6">
        <v>5</v>
      </c>
      <c r="FD6">
        <v>66309173.990000002</v>
      </c>
      <c r="FE6">
        <v>114345</v>
      </c>
      <c r="FF6" t="s">
        <v>6147</v>
      </c>
      <c r="FI6" t="s">
        <v>2652</v>
      </c>
      <c r="FJ6">
        <v>0.73597800000000002</v>
      </c>
      <c r="FK6" t="s">
        <v>1598</v>
      </c>
      <c r="FL6">
        <v>1.1793929999999999</v>
      </c>
      <c r="FM6" t="s">
        <v>1664</v>
      </c>
      <c r="FN6">
        <v>2025</v>
      </c>
      <c r="FO6" t="s">
        <v>3366</v>
      </c>
      <c r="FP6" s="6">
        <v>45876</v>
      </c>
      <c r="FQ6">
        <v>5</v>
      </c>
      <c r="FR6">
        <v>121944192</v>
      </c>
      <c r="FS6">
        <v>12409566</v>
      </c>
      <c r="FT6" t="s">
        <v>2653</v>
      </c>
      <c r="HC6" t="s">
        <v>3350</v>
      </c>
      <c r="HD6" t="s">
        <v>1598</v>
      </c>
      <c r="HE6">
        <v>1.073509</v>
      </c>
      <c r="HF6">
        <v>1.223395</v>
      </c>
      <c r="HG6" t="s">
        <v>1664</v>
      </c>
      <c r="HH6">
        <v>2025</v>
      </c>
      <c r="HI6" t="s">
        <v>3351</v>
      </c>
      <c r="HJ6" s="6">
        <v>45959</v>
      </c>
      <c r="HK6">
        <v>5</v>
      </c>
      <c r="HL6">
        <v>36821796.350000001</v>
      </c>
      <c r="HM6">
        <v>113332</v>
      </c>
      <c r="HN6" t="s">
        <v>3352</v>
      </c>
      <c r="HQ6" t="s">
        <v>959</v>
      </c>
      <c r="HR6">
        <v>27</v>
      </c>
      <c r="HS6" t="s">
        <v>1598</v>
      </c>
      <c r="HT6">
        <v>3.1622810000000001</v>
      </c>
      <c r="HU6" t="s">
        <v>1594</v>
      </c>
      <c r="HV6">
        <v>2025</v>
      </c>
      <c r="HW6" t="s">
        <v>4106</v>
      </c>
      <c r="HX6" s="6">
        <v>46066</v>
      </c>
      <c r="HY6">
        <v>5</v>
      </c>
      <c r="HZ6">
        <v>2480692480</v>
      </c>
      <c r="IA6">
        <v>156969</v>
      </c>
      <c r="IB6" t="s">
        <v>1767</v>
      </c>
      <c r="IG6" t="s">
        <v>5273</v>
      </c>
      <c r="IH6" t="s">
        <v>1598</v>
      </c>
      <c r="II6">
        <v>6.49336</v>
      </c>
      <c r="IJ6">
        <v>2.5696050000000001</v>
      </c>
      <c r="IK6" t="s">
        <v>1599</v>
      </c>
      <c r="IL6">
        <v>2025</v>
      </c>
      <c r="IM6" t="s">
        <v>5274</v>
      </c>
      <c r="IN6" s="6">
        <v>45953</v>
      </c>
      <c r="IO6">
        <v>5</v>
      </c>
      <c r="IP6">
        <v>6727225</v>
      </c>
      <c r="IQ6">
        <v>10645617</v>
      </c>
      <c r="IR6" t="s">
        <v>5275</v>
      </c>
      <c r="IU6" t="s">
        <v>6326</v>
      </c>
      <c r="IV6">
        <v>-2.4245362661989844E-14</v>
      </c>
      <c r="IX6">
        <v>-2.4245362661989844E-14</v>
      </c>
      <c r="IY6" t="s">
        <v>1594</v>
      </c>
      <c r="IZ6">
        <v>2021</v>
      </c>
      <c r="JA6" t="s">
        <v>6325</v>
      </c>
      <c r="JB6" s="6">
        <v>44693</v>
      </c>
      <c r="JC6">
        <v>5</v>
      </c>
      <c r="JD6">
        <v>-2.4245362661989844E-14</v>
      </c>
      <c r="JE6">
        <v>117592</v>
      </c>
      <c r="JF6" t="s">
        <v>6327</v>
      </c>
      <c r="JK6" t="s">
        <v>3820</v>
      </c>
      <c r="JL6" t="s">
        <v>1598</v>
      </c>
      <c r="JM6">
        <v>2.5734720000000002</v>
      </c>
      <c r="JN6">
        <v>6.5550290000000002</v>
      </c>
      <c r="JO6" t="s">
        <v>1603</v>
      </c>
      <c r="JP6">
        <v>2025</v>
      </c>
      <c r="JQ6" t="s">
        <v>3821</v>
      </c>
      <c r="JR6" s="6">
        <v>45849</v>
      </c>
      <c r="JS6">
        <v>5</v>
      </c>
      <c r="JT6">
        <v>73285224</v>
      </c>
      <c r="JU6">
        <v>102595</v>
      </c>
      <c r="JV6" t="s">
        <v>3822</v>
      </c>
      <c r="JY6" t="s">
        <v>1848</v>
      </c>
      <c r="JZ6">
        <v>-2.4245362661989844E-14</v>
      </c>
      <c r="KB6">
        <v>-2.4245362661989844E-14</v>
      </c>
      <c r="KC6" t="s">
        <v>1594</v>
      </c>
      <c r="KD6">
        <v>2021</v>
      </c>
      <c r="KE6" t="s">
        <v>3689</v>
      </c>
      <c r="KF6" s="6">
        <v>44693</v>
      </c>
      <c r="KG6">
        <v>5</v>
      </c>
      <c r="KH6">
        <v>-2.4245362661989844E-14</v>
      </c>
      <c r="KI6">
        <v>9288162</v>
      </c>
      <c r="KJ6" t="s">
        <v>1850</v>
      </c>
      <c r="KO6" t="s">
        <v>114</v>
      </c>
      <c r="KP6" t="s">
        <v>1634</v>
      </c>
      <c r="KQ6">
        <v>3.5808580000000001</v>
      </c>
      <c r="KR6">
        <v>3.236755</v>
      </c>
      <c r="KS6" t="s">
        <v>1664</v>
      </c>
      <c r="KT6">
        <v>2025</v>
      </c>
      <c r="KU6" t="s">
        <v>3353</v>
      </c>
      <c r="KV6" s="6">
        <v>45947</v>
      </c>
      <c r="KW6">
        <v>5</v>
      </c>
      <c r="KX6">
        <v>275188928</v>
      </c>
      <c r="KY6">
        <v>100010</v>
      </c>
      <c r="KZ6" t="s">
        <v>1996</v>
      </c>
      <c r="LC6" t="s">
        <v>303</v>
      </c>
      <c r="LD6">
        <v>1.3419890000000001</v>
      </c>
      <c r="LE6" t="s">
        <v>1598</v>
      </c>
      <c r="LF6">
        <v>0.27725100000000003</v>
      </c>
      <c r="LG6" t="s">
        <v>1606</v>
      </c>
      <c r="LH6">
        <v>2025</v>
      </c>
      <c r="LI6" t="s">
        <v>2251</v>
      </c>
      <c r="LJ6" s="6">
        <v>45848</v>
      </c>
      <c r="LK6">
        <v>5</v>
      </c>
      <c r="LL6">
        <v>213416512</v>
      </c>
      <c r="LM6">
        <v>216952</v>
      </c>
      <c r="LN6" t="s">
        <v>1631</v>
      </c>
      <c r="LS6" t="s">
        <v>143</v>
      </c>
      <c r="LT6" t="s">
        <v>1598</v>
      </c>
      <c r="LU6">
        <v>0.21653700000000001</v>
      </c>
      <c r="LV6">
        <v>0.27725</v>
      </c>
      <c r="LW6" t="s">
        <v>1606</v>
      </c>
      <c r="LX6">
        <v>2025</v>
      </c>
      <c r="LY6" t="s">
        <v>2251</v>
      </c>
      <c r="LZ6" s="6">
        <v>45848</v>
      </c>
      <c r="MA6">
        <v>5</v>
      </c>
      <c r="MB6">
        <v>34435880</v>
      </c>
      <c r="MC6">
        <v>101752</v>
      </c>
      <c r="MD6" t="s">
        <v>2265</v>
      </c>
      <c r="MG6" t="s">
        <v>1940</v>
      </c>
      <c r="MH6">
        <v>7.6089529999999996</v>
      </c>
      <c r="MI6" t="s">
        <v>1598</v>
      </c>
      <c r="MJ6">
        <v>5.9122209999999997</v>
      </c>
      <c r="MK6" t="s">
        <v>1599</v>
      </c>
      <c r="ML6">
        <v>2025</v>
      </c>
      <c r="MM6" t="s">
        <v>1941</v>
      </c>
      <c r="MN6" s="6">
        <v>45946</v>
      </c>
      <c r="MO6">
        <v>5</v>
      </c>
      <c r="MP6">
        <v>1014064192</v>
      </c>
      <c r="MQ6">
        <v>101433</v>
      </c>
      <c r="MR6" t="s">
        <v>1942</v>
      </c>
      <c r="OA6" t="s">
        <v>240</v>
      </c>
      <c r="OB6" t="s">
        <v>1598</v>
      </c>
      <c r="OC6">
        <v>0.57338800000000001</v>
      </c>
      <c r="OD6">
        <v>3.5686900000000001</v>
      </c>
      <c r="OE6" t="s">
        <v>1599</v>
      </c>
      <c r="OF6">
        <v>2025</v>
      </c>
      <c r="OG6" t="s">
        <v>2219</v>
      </c>
      <c r="OH6" s="6">
        <v>46018</v>
      </c>
      <c r="OI6">
        <v>5</v>
      </c>
      <c r="OJ6">
        <v>137572976</v>
      </c>
      <c r="OK6">
        <v>100828</v>
      </c>
      <c r="OL6" t="s">
        <v>1865</v>
      </c>
      <c r="OO6" t="s">
        <v>277</v>
      </c>
      <c r="OP6">
        <v>9.6462509999999995</v>
      </c>
      <c r="OQ6" t="s">
        <v>1598</v>
      </c>
      <c r="OR6">
        <v>2.2510729999999999</v>
      </c>
      <c r="OS6" t="s">
        <v>1599</v>
      </c>
      <c r="OT6">
        <v>2025</v>
      </c>
      <c r="OU6" t="s">
        <v>5050</v>
      </c>
      <c r="OV6" s="6">
        <v>45985</v>
      </c>
      <c r="OW6">
        <v>5</v>
      </c>
      <c r="OX6">
        <v>1666486272</v>
      </c>
      <c r="OY6">
        <v>154936</v>
      </c>
      <c r="OZ6" t="s">
        <v>1766</v>
      </c>
      <c r="PE6" t="s">
        <v>4862</v>
      </c>
      <c r="PG6">
        <v>-2.4245362661989844E-14</v>
      </c>
      <c r="PH6">
        <v>-2.4245362661989844E-14</v>
      </c>
      <c r="PI6" t="s">
        <v>1594</v>
      </c>
      <c r="PJ6">
        <v>2021</v>
      </c>
      <c r="PK6" t="s">
        <v>4863</v>
      </c>
      <c r="PL6" s="6">
        <v>44650</v>
      </c>
      <c r="PM6">
        <v>5</v>
      </c>
      <c r="PN6">
        <v>-2.4245362661989844E-14</v>
      </c>
      <c r="PO6">
        <v>111137</v>
      </c>
      <c r="PP6" t="s">
        <v>4864</v>
      </c>
      <c r="PS6" t="s">
        <v>4352</v>
      </c>
      <c r="PT6">
        <v>-2.4245362661989844E-14</v>
      </c>
      <c r="PV6">
        <v>-2.4245362661989844E-14</v>
      </c>
      <c r="PW6" t="s">
        <v>1594</v>
      </c>
      <c r="PX6">
        <v>2025</v>
      </c>
      <c r="PY6" t="s">
        <v>4353</v>
      </c>
      <c r="PZ6" s="6">
        <v>45915</v>
      </c>
      <c r="QA6">
        <v>3</v>
      </c>
      <c r="QB6">
        <v>-2.4245362661989844E-14</v>
      </c>
      <c r="QC6">
        <v>108515</v>
      </c>
      <c r="QD6" t="s">
        <v>4354</v>
      </c>
      <c r="QI6" t="s">
        <v>6192</v>
      </c>
      <c r="QJ6" t="s">
        <v>1598</v>
      </c>
      <c r="QK6">
        <v>0.27696199999999999</v>
      </c>
      <c r="QL6">
        <v>0.10642600000000001</v>
      </c>
      <c r="QM6" t="s">
        <v>1664</v>
      </c>
      <c r="QN6">
        <v>2025</v>
      </c>
      <c r="QO6" t="s">
        <v>6193</v>
      </c>
      <c r="QP6" s="6">
        <v>45917</v>
      </c>
      <c r="QQ6">
        <v>5</v>
      </c>
      <c r="QR6">
        <v>5197870.25</v>
      </c>
      <c r="QS6">
        <v>23059377</v>
      </c>
      <c r="QT6" t="s">
        <v>6194</v>
      </c>
      <c r="QW6" t="s">
        <v>6149</v>
      </c>
      <c r="QX6">
        <v>-2.4245362661989844E-14</v>
      </c>
      <c r="QZ6">
        <v>-2.4245362661989844E-14</v>
      </c>
      <c r="RA6" t="s">
        <v>1594</v>
      </c>
      <c r="RB6">
        <v>2024</v>
      </c>
      <c r="RC6" t="s">
        <v>6150</v>
      </c>
      <c r="RD6" s="6">
        <v>45863</v>
      </c>
      <c r="RE6">
        <v>5</v>
      </c>
      <c r="RF6">
        <v>-2.4245362661989844E-14</v>
      </c>
      <c r="RG6">
        <v>28626174</v>
      </c>
      <c r="RH6" t="s">
        <v>6151</v>
      </c>
      <c r="RM6" t="s">
        <v>2272</v>
      </c>
      <c r="RN6" t="s">
        <v>1634</v>
      </c>
      <c r="RO6">
        <v>7.2680999999999996E-2</v>
      </c>
      <c r="RP6">
        <v>1.0581999999999999E-2</v>
      </c>
      <c r="RQ6" t="s">
        <v>1664</v>
      </c>
      <c r="RR6">
        <v>2025</v>
      </c>
      <c r="RS6" t="s">
        <v>2273</v>
      </c>
      <c r="RT6" s="6">
        <v>45903</v>
      </c>
      <c r="RU6">
        <v>5</v>
      </c>
      <c r="RV6">
        <v>291627</v>
      </c>
      <c r="RW6">
        <v>16546862</v>
      </c>
      <c r="RX6" t="s">
        <v>2274</v>
      </c>
      <c r="SA6" t="s">
        <v>3521</v>
      </c>
      <c r="SB6">
        <v>2.2499999999999999E-4</v>
      </c>
      <c r="SC6" t="s">
        <v>1685</v>
      </c>
      <c r="SD6">
        <v>0.14732000000000001</v>
      </c>
      <c r="SE6" t="s">
        <v>1594</v>
      </c>
      <c r="SF6">
        <v>2025</v>
      </c>
      <c r="SG6" t="s">
        <v>5749</v>
      </c>
      <c r="SH6" s="6">
        <v>45835</v>
      </c>
      <c r="SI6">
        <v>5</v>
      </c>
      <c r="SJ6">
        <v>45547.78</v>
      </c>
      <c r="SK6">
        <v>69427339</v>
      </c>
      <c r="SL6" t="s">
        <v>3523</v>
      </c>
      <c r="UY6" t="s">
        <v>2317</v>
      </c>
      <c r="UZ6" t="s">
        <v>1598</v>
      </c>
      <c r="VA6">
        <v>0.607989</v>
      </c>
      <c r="VB6">
        <v>3.317993</v>
      </c>
      <c r="VC6" t="s">
        <v>1603</v>
      </c>
      <c r="VD6">
        <v>2025</v>
      </c>
      <c r="VE6" t="s">
        <v>2318</v>
      </c>
      <c r="VF6" s="6">
        <v>45863</v>
      </c>
      <c r="VG6">
        <v>5</v>
      </c>
      <c r="VH6">
        <v>10020340</v>
      </c>
      <c r="VI6">
        <v>10832677</v>
      </c>
      <c r="VJ6" t="s">
        <v>2319</v>
      </c>
      <c r="VM6" t="s">
        <v>369</v>
      </c>
      <c r="VN6">
        <v>6.9998839999999998</v>
      </c>
      <c r="VO6" t="s">
        <v>1598</v>
      </c>
      <c r="VP6">
        <v>8.2616409999999991</v>
      </c>
      <c r="VQ6" t="s">
        <v>1594</v>
      </c>
      <c r="VR6">
        <v>2024</v>
      </c>
      <c r="VS6" t="s">
        <v>2029</v>
      </c>
      <c r="VT6" s="6">
        <v>45708</v>
      </c>
      <c r="VU6">
        <v>5</v>
      </c>
      <c r="VV6">
        <v>151250000</v>
      </c>
      <c r="VW6">
        <v>51257766</v>
      </c>
      <c r="VX6" t="s">
        <v>2031</v>
      </c>
    </row>
    <row r="7" spans="1:600" x14ac:dyDescent="0.25">
      <c r="A7" t="s">
        <v>3808</v>
      </c>
      <c r="B7" t="s">
        <v>1598</v>
      </c>
      <c r="C7">
        <v>0.62876799999999999</v>
      </c>
      <c r="D7">
        <v>1.2434970000000001</v>
      </c>
      <c r="E7" t="s">
        <v>1599</v>
      </c>
      <c r="F7">
        <v>2025</v>
      </c>
      <c r="G7" t="s">
        <v>3809</v>
      </c>
      <c r="H7" s="6">
        <v>46035</v>
      </c>
      <c r="I7">
        <v>5</v>
      </c>
      <c r="J7">
        <v>12493419</v>
      </c>
      <c r="K7">
        <v>302680</v>
      </c>
      <c r="L7" t="s">
        <v>3810</v>
      </c>
      <c r="O7" t="s">
        <v>178</v>
      </c>
      <c r="P7">
        <v>7.5319310000000002</v>
      </c>
      <c r="Q7" t="s">
        <v>1634</v>
      </c>
      <c r="R7">
        <v>0.88470099999999996</v>
      </c>
      <c r="S7" t="s">
        <v>1664</v>
      </c>
      <c r="T7">
        <v>2026</v>
      </c>
      <c r="U7" t="s">
        <v>5286</v>
      </c>
      <c r="V7" s="6">
        <v>45908</v>
      </c>
      <c r="W7">
        <v>5</v>
      </c>
      <c r="X7">
        <v>151098064</v>
      </c>
      <c r="Y7">
        <v>101743</v>
      </c>
      <c r="Z7" t="s">
        <v>1736</v>
      </c>
      <c r="AE7" t="s">
        <v>4286</v>
      </c>
      <c r="AF7" t="s">
        <v>1634</v>
      </c>
      <c r="AG7">
        <v>25.567900000000002</v>
      </c>
      <c r="AH7">
        <v>6.6729999999999998E-2</v>
      </c>
      <c r="AI7" t="s">
        <v>1594</v>
      </c>
      <c r="AJ7">
        <v>2025</v>
      </c>
      <c r="AK7" t="s">
        <v>4287</v>
      </c>
      <c r="AL7" s="6">
        <v>45832</v>
      </c>
      <c r="AM7">
        <v>5</v>
      </c>
      <c r="AN7">
        <v>385500</v>
      </c>
      <c r="AO7">
        <v>32213005</v>
      </c>
      <c r="AP7" t="s">
        <v>4288</v>
      </c>
      <c r="AS7" t="s">
        <v>905</v>
      </c>
      <c r="AT7">
        <v>-2.4245362661989844E-14</v>
      </c>
      <c r="AV7">
        <v>-2.4245362661989844E-14</v>
      </c>
      <c r="AW7" t="s">
        <v>1594</v>
      </c>
      <c r="AX7">
        <v>2021</v>
      </c>
      <c r="AY7" t="s">
        <v>3010</v>
      </c>
      <c r="AZ7" s="6">
        <v>44693</v>
      </c>
      <c r="BA7">
        <v>5</v>
      </c>
      <c r="BB7">
        <v>-2.4245362661989844E-14</v>
      </c>
      <c r="BC7">
        <v>10399376</v>
      </c>
      <c r="BD7" t="s">
        <v>2164</v>
      </c>
      <c r="CM7" t="s">
        <v>211</v>
      </c>
      <c r="CN7" t="s">
        <v>1634</v>
      </c>
      <c r="CO7">
        <v>0.91127400000000003</v>
      </c>
      <c r="CP7">
        <v>1.364298</v>
      </c>
      <c r="CQ7" t="s">
        <v>1606</v>
      </c>
      <c r="CR7">
        <v>2025</v>
      </c>
      <c r="CS7" t="s">
        <v>2691</v>
      </c>
      <c r="CT7" s="6">
        <v>46010</v>
      </c>
      <c r="CU7">
        <v>5</v>
      </c>
      <c r="CV7">
        <v>164166016</v>
      </c>
      <c r="CW7">
        <v>59907412</v>
      </c>
      <c r="CX7" t="s">
        <v>3354</v>
      </c>
      <c r="DA7" t="s">
        <v>1700</v>
      </c>
      <c r="DB7">
        <v>1.0301469999999999</v>
      </c>
      <c r="DC7" t="s">
        <v>1598</v>
      </c>
      <c r="DD7">
        <v>1.0221020000000001</v>
      </c>
      <c r="DE7" t="s">
        <v>1606</v>
      </c>
      <c r="DF7">
        <v>2025</v>
      </c>
      <c r="DG7" t="s">
        <v>1701</v>
      </c>
      <c r="DH7" s="6">
        <v>46056</v>
      </c>
      <c r="DI7">
        <v>5</v>
      </c>
      <c r="DJ7">
        <v>165420976</v>
      </c>
      <c r="DK7">
        <v>1499717</v>
      </c>
      <c r="DL7" t="s">
        <v>1702</v>
      </c>
      <c r="EU7" t="s">
        <v>6272</v>
      </c>
      <c r="EV7" t="s">
        <v>1598</v>
      </c>
      <c r="EW7">
        <v>2.2015030000000002</v>
      </c>
      <c r="EX7">
        <v>0.53680499999999998</v>
      </c>
      <c r="EY7" t="s">
        <v>1606</v>
      </c>
      <c r="EZ7">
        <v>2024</v>
      </c>
      <c r="FA7" t="s">
        <v>6273</v>
      </c>
      <c r="FB7" s="6">
        <v>45764</v>
      </c>
      <c r="FC7">
        <v>5</v>
      </c>
      <c r="FD7">
        <v>57278938.520000003</v>
      </c>
      <c r="FE7">
        <v>117894</v>
      </c>
      <c r="FF7" t="s">
        <v>6274</v>
      </c>
      <c r="FI7" t="s">
        <v>6218</v>
      </c>
      <c r="FJ7">
        <v>0.53371400000000002</v>
      </c>
      <c r="FK7" t="s">
        <v>1634</v>
      </c>
      <c r="FL7">
        <v>3.6765850000000002</v>
      </c>
      <c r="FM7" t="s">
        <v>1664</v>
      </c>
      <c r="FN7">
        <v>2025</v>
      </c>
      <c r="FO7" t="s">
        <v>3366</v>
      </c>
      <c r="FP7" s="6">
        <v>45876</v>
      </c>
      <c r="FQ7">
        <v>5</v>
      </c>
      <c r="FR7">
        <v>88431072</v>
      </c>
      <c r="FS7">
        <v>101286</v>
      </c>
      <c r="FT7" t="s">
        <v>6219</v>
      </c>
      <c r="HC7" t="s">
        <v>3347</v>
      </c>
      <c r="HD7" t="s">
        <v>1598</v>
      </c>
      <c r="HE7">
        <v>2.3738000000000001</v>
      </c>
      <c r="HF7">
        <v>0.71700799999999998</v>
      </c>
      <c r="HG7" t="s">
        <v>1599</v>
      </c>
      <c r="HH7">
        <v>2025</v>
      </c>
      <c r="HI7" t="s">
        <v>3348</v>
      </c>
      <c r="HJ7" s="6">
        <v>46069</v>
      </c>
      <c r="HK7">
        <v>5</v>
      </c>
      <c r="HL7">
        <v>21422836.649999999</v>
      </c>
      <c r="HM7">
        <v>153809</v>
      </c>
      <c r="HN7" t="s">
        <v>3349</v>
      </c>
      <c r="HQ7" t="s">
        <v>618</v>
      </c>
      <c r="HR7">
        <v>16</v>
      </c>
      <c r="HS7" t="s">
        <v>1598</v>
      </c>
      <c r="HT7">
        <v>2.4954839999999998</v>
      </c>
      <c r="HU7" t="s">
        <v>1594</v>
      </c>
      <c r="HV7">
        <v>2025</v>
      </c>
      <c r="HW7" t="s">
        <v>4106</v>
      </c>
      <c r="HX7" s="6">
        <v>46066</v>
      </c>
      <c r="HY7">
        <v>5</v>
      </c>
      <c r="HZ7">
        <v>1470040064</v>
      </c>
      <c r="IA7">
        <v>102782</v>
      </c>
      <c r="IB7" t="s">
        <v>1626</v>
      </c>
      <c r="IG7" t="s">
        <v>2752</v>
      </c>
      <c r="IH7" t="s">
        <v>1598</v>
      </c>
      <c r="II7">
        <v>1.587907</v>
      </c>
      <c r="IJ7">
        <v>1.1040460000000001</v>
      </c>
      <c r="IK7" t="s">
        <v>1594</v>
      </c>
      <c r="IL7">
        <v>2024</v>
      </c>
      <c r="IM7" t="s">
        <v>2753</v>
      </c>
      <c r="IN7" s="6">
        <v>45714</v>
      </c>
      <c r="IO7">
        <v>5</v>
      </c>
      <c r="IP7">
        <v>3125001</v>
      </c>
      <c r="IQ7">
        <v>102894</v>
      </c>
      <c r="IR7" t="s">
        <v>2754</v>
      </c>
      <c r="IU7" t="s">
        <v>6328</v>
      </c>
      <c r="IV7">
        <v>-2.4245362661989844E-14</v>
      </c>
      <c r="IX7">
        <v>-2.4245362661989844E-14</v>
      </c>
      <c r="IY7" t="s">
        <v>1594</v>
      </c>
      <c r="IZ7">
        <v>2021</v>
      </c>
      <c r="JA7" t="s">
        <v>6325</v>
      </c>
      <c r="JB7" s="6">
        <v>44693</v>
      </c>
      <c r="JC7">
        <v>5</v>
      </c>
      <c r="JD7">
        <v>-2.4245362661989844E-14</v>
      </c>
      <c r="JE7">
        <v>7589146</v>
      </c>
      <c r="JF7" t="s">
        <v>6329</v>
      </c>
      <c r="JK7" t="s">
        <v>3823</v>
      </c>
      <c r="JL7" t="s">
        <v>1634</v>
      </c>
      <c r="JM7">
        <v>0.95882900000000004</v>
      </c>
      <c r="JN7">
        <v>1.568192</v>
      </c>
      <c r="JO7" t="s">
        <v>1599</v>
      </c>
      <c r="JP7">
        <v>2025</v>
      </c>
      <c r="JQ7" t="s">
        <v>3824</v>
      </c>
      <c r="JR7" s="6">
        <v>46013</v>
      </c>
      <c r="JS7">
        <v>5</v>
      </c>
      <c r="JT7">
        <v>47697634.200000003</v>
      </c>
      <c r="JU7">
        <v>11796370</v>
      </c>
      <c r="JV7" t="s">
        <v>3825</v>
      </c>
      <c r="JY7" t="s">
        <v>3691</v>
      </c>
      <c r="JZ7">
        <v>-2.4245362661989844E-14</v>
      </c>
      <c r="KB7">
        <v>-2.4245362661989844E-14</v>
      </c>
      <c r="KC7" t="s">
        <v>1594</v>
      </c>
      <c r="KD7">
        <v>2021</v>
      </c>
      <c r="KE7" t="s">
        <v>3689</v>
      </c>
      <c r="KF7" s="6">
        <v>44693</v>
      </c>
      <c r="KG7">
        <v>5</v>
      </c>
      <c r="KH7">
        <v>-2.4245362661989844E-14</v>
      </c>
      <c r="KI7">
        <v>129208</v>
      </c>
      <c r="KJ7" t="s">
        <v>3692</v>
      </c>
      <c r="KO7" t="s">
        <v>211</v>
      </c>
      <c r="KP7" t="s">
        <v>1634</v>
      </c>
      <c r="KQ7">
        <v>0.91127400000000003</v>
      </c>
      <c r="KR7">
        <v>1.364298</v>
      </c>
      <c r="KS7" t="s">
        <v>1606</v>
      </c>
      <c r="KT7">
        <v>2025</v>
      </c>
      <c r="KU7" t="s">
        <v>2691</v>
      </c>
      <c r="KV7" s="6">
        <v>46010</v>
      </c>
      <c r="KW7">
        <v>5</v>
      </c>
      <c r="KX7">
        <v>164166016</v>
      </c>
      <c r="KY7">
        <v>59907412</v>
      </c>
      <c r="KZ7" t="s">
        <v>3354</v>
      </c>
      <c r="LC7" t="s">
        <v>1700</v>
      </c>
      <c r="LD7">
        <v>1.0301469999999999</v>
      </c>
      <c r="LE7" t="s">
        <v>1598</v>
      </c>
      <c r="LF7">
        <v>1.0221020000000001</v>
      </c>
      <c r="LG7" t="s">
        <v>1606</v>
      </c>
      <c r="LH7">
        <v>2025</v>
      </c>
      <c r="LI7" t="s">
        <v>1701</v>
      </c>
      <c r="LJ7" s="6">
        <v>46056</v>
      </c>
      <c r="LK7">
        <v>5</v>
      </c>
      <c r="LL7">
        <v>165420976</v>
      </c>
      <c r="LM7">
        <v>1499717</v>
      </c>
      <c r="LN7" t="s">
        <v>1702</v>
      </c>
      <c r="LS7" t="s">
        <v>493</v>
      </c>
      <c r="LT7" t="s">
        <v>1598</v>
      </c>
      <c r="LU7">
        <v>0.51194600000000001</v>
      </c>
      <c r="LV7">
        <v>0.15839</v>
      </c>
      <c r="LW7" t="s">
        <v>1606</v>
      </c>
      <c r="LX7">
        <v>2025</v>
      </c>
      <c r="LY7" t="s">
        <v>2093</v>
      </c>
      <c r="LZ7" s="6">
        <v>46071</v>
      </c>
      <c r="MA7">
        <v>5</v>
      </c>
      <c r="MB7">
        <v>20146868</v>
      </c>
      <c r="MC7">
        <v>100499</v>
      </c>
      <c r="MD7" t="s">
        <v>2094</v>
      </c>
      <c r="MG7" t="s">
        <v>1943</v>
      </c>
      <c r="MH7">
        <v>5.3821219999999999</v>
      </c>
      <c r="MI7" t="s">
        <v>1598</v>
      </c>
      <c r="MJ7">
        <v>0.95591400000000004</v>
      </c>
      <c r="MK7" t="s">
        <v>1599</v>
      </c>
      <c r="ML7">
        <v>2025</v>
      </c>
      <c r="MM7" t="s">
        <v>1941</v>
      </c>
      <c r="MN7" s="6">
        <v>45946</v>
      </c>
      <c r="MO7">
        <v>5</v>
      </c>
      <c r="MP7">
        <v>717288832</v>
      </c>
      <c r="MQ7">
        <v>101758</v>
      </c>
      <c r="MR7" t="s">
        <v>1944</v>
      </c>
      <c r="OA7" t="s">
        <v>4870</v>
      </c>
      <c r="OB7" t="s">
        <v>1598</v>
      </c>
      <c r="OC7">
        <v>6.0908949999999997</v>
      </c>
      <c r="OD7">
        <v>2.5669719999999998</v>
      </c>
      <c r="OE7" t="s">
        <v>1594</v>
      </c>
      <c r="OF7">
        <v>2024</v>
      </c>
      <c r="OG7" t="s">
        <v>4871</v>
      </c>
      <c r="OH7" s="6">
        <v>45713</v>
      </c>
      <c r="OI7">
        <v>5</v>
      </c>
      <c r="OJ7">
        <v>97500000</v>
      </c>
      <c r="OK7">
        <v>69483676</v>
      </c>
      <c r="OL7" t="s">
        <v>4872</v>
      </c>
      <c r="OO7" t="s">
        <v>618</v>
      </c>
      <c r="OP7">
        <v>7.5766629999999999</v>
      </c>
      <c r="OQ7" t="s">
        <v>1598</v>
      </c>
      <c r="OR7">
        <v>2.12181</v>
      </c>
      <c r="OS7" t="s">
        <v>1599</v>
      </c>
      <c r="OT7">
        <v>2025</v>
      </c>
      <c r="OU7" t="s">
        <v>5050</v>
      </c>
      <c r="OV7" s="6">
        <v>45985</v>
      </c>
      <c r="OW7">
        <v>5</v>
      </c>
      <c r="OX7">
        <v>1308944256</v>
      </c>
      <c r="OY7">
        <v>102782</v>
      </c>
      <c r="OZ7" t="s">
        <v>1626</v>
      </c>
      <c r="PE7" t="s">
        <v>6233</v>
      </c>
      <c r="PG7">
        <v>-2.4245362661989844E-14</v>
      </c>
      <c r="PH7">
        <v>-2.4245362661989844E-14</v>
      </c>
      <c r="PI7" t="s">
        <v>1594</v>
      </c>
      <c r="PJ7">
        <v>2023</v>
      </c>
      <c r="PK7" t="s">
        <v>6234</v>
      </c>
      <c r="PL7" s="6">
        <v>45401</v>
      </c>
      <c r="PM7">
        <v>5</v>
      </c>
      <c r="PN7">
        <v>-2.4245362661989844E-14</v>
      </c>
      <c r="PO7">
        <v>117317</v>
      </c>
      <c r="PP7" t="s">
        <v>6235</v>
      </c>
      <c r="PS7" t="s">
        <v>4355</v>
      </c>
      <c r="PT7">
        <v>-2.4245362661989844E-14</v>
      </c>
      <c r="PV7">
        <v>-2.4245362661989844E-14</v>
      </c>
      <c r="PW7" t="s">
        <v>1599</v>
      </c>
      <c r="PX7">
        <v>2023</v>
      </c>
      <c r="PY7" t="s">
        <v>4356</v>
      </c>
      <c r="PZ7" s="6">
        <v>45238</v>
      </c>
      <c r="QA7">
        <v>3</v>
      </c>
      <c r="QB7">
        <v>-2.4245362661989844E-14</v>
      </c>
      <c r="QC7">
        <v>106976</v>
      </c>
      <c r="QD7" t="s">
        <v>4357</v>
      </c>
      <c r="QI7" t="s">
        <v>2069</v>
      </c>
      <c r="QJ7" t="s">
        <v>1634</v>
      </c>
      <c r="QK7">
        <v>0.37539699999999998</v>
      </c>
      <c r="QL7">
        <v>1.0442119999999999</v>
      </c>
      <c r="QM7" t="s">
        <v>1599</v>
      </c>
      <c r="QN7">
        <v>2025</v>
      </c>
      <c r="QO7" t="s">
        <v>2070</v>
      </c>
      <c r="QP7" s="6">
        <v>45979</v>
      </c>
      <c r="QQ7">
        <v>5</v>
      </c>
      <c r="QR7">
        <v>4067952.52</v>
      </c>
      <c r="QS7">
        <v>115557</v>
      </c>
      <c r="QT7" t="s">
        <v>2071</v>
      </c>
      <c r="QW7" t="s">
        <v>6152</v>
      </c>
      <c r="QX7">
        <v>-2.4245362661989844E-14</v>
      </c>
      <c r="QZ7">
        <v>-2.4245362661989844E-14</v>
      </c>
      <c r="RA7" t="s">
        <v>1594</v>
      </c>
      <c r="RB7">
        <v>2022</v>
      </c>
      <c r="RC7" t="s">
        <v>6148</v>
      </c>
      <c r="RD7" s="6">
        <v>44804</v>
      </c>
      <c r="RE7">
        <v>5</v>
      </c>
      <c r="RF7">
        <v>-2.4245362661989844E-14</v>
      </c>
      <c r="RG7">
        <v>70486837</v>
      </c>
      <c r="RH7" t="s">
        <v>6153</v>
      </c>
      <c r="RM7" t="s">
        <v>3521</v>
      </c>
      <c r="RN7" t="s">
        <v>1685</v>
      </c>
      <c r="RO7">
        <v>0.39650400000000002</v>
      </c>
      <c r="RP7">
        <v>2.3033000000000001E-2</v>
      </c>
      <c r="RQ7" t="s">
        <v>1594</v>
      </c>
      <c r="RR7">
        <v>2025</v>
      </c>
      <c r="RS7" t="s">
        <v>5749</v>
      </c>
      <c r="RT7" s="6">
        <v>45835</v>
      </c>
      <c r="RU7">
        <v>5</v>
      </c>
      <c r="RV7">
        <v>282455.69</v>
      </c>
      <c r="RW7">
        <v>69427339</v>
      </c>
      <c r="RX7" t="s">
        <v>3523</v>
      </c>
      <c r="SA7" t="s">
        <v>3419</v>
      </c>
      <c r="SB7">
        <v>-2.4245362661989844E-14</v>
      </c>
      <c r="SD7">
        <v>-2.4245362661989844E-14</v>
      </c>
      <c r="SE7" t="s">
        <v>1594</v>
      </c>
      <c r="SF7">
        <v>2022</v>
      </c>
      <c r="SG7" t="s">
        <v>5931</v>
      </c>
      <c r="SH7" s="6">
        <v>44910</v>
      </c>
      <c r="SI7">
        <v>5</v>
      </c>
      <c r="SJ7">
        <v>-2.4245362661989844E-14</v>
      </c>
      <c r="SK7">
        <v>117621</v>
      </c>
      <c r="SL7" t="s">
        <v>3421</v>
      </c>
      <c r="UY7" t="s">
        <v>5598</v>
      </c>
      <c r="VA7">
        <v>-2.4245362661989844E-14</v>
      </c>
      <c r="VB7">
        <v>-2.4245362661989844E-14</v>
      </c>
      <c r="VC7" t="s">
        <v>1594</v>
      </c>
      <c r="VD7">
        <v>2024</v>
      </c>
      <c r="VE7" t="s">
        <v>2029</v>
      </c>
      <c r="VF7" s="6">
        <v>45708</v>
      </c>
      <c r="VG7">
        <v>5</v>
      </c>
      <c r="VH7">
        <v>-2.4245362661989844E-14</v>
      </c>
      <c r="VI7">
        <v>20981546</v>
      </c>
      <c r="VJ7" t="s">
        <v>5599</v>
      </c>
      <c r="VM7" t="s">
        <v>2032</v>
      </c>
      <c r="VN7">
        <v>-2.4245362661989844E-14</v>
      </c>
      <c r="VP7">
        <v>-2.4245362661989844E-14</v>
      </c>
      <c r="VQ7" t="s">
        <v>1594</v>
      </c>
      <c r="VR7">
        <v>2021</v>
      </c>
      <c r="VS7" t="s">
        <v>2033</v>
      </c>
      <c r="VT7" s="6">
        <v>44693</v>
      </c>
      <c r="VU7">
        <v>5</v>
      </c>
      <c r="VV7">
        <v>-2.4245362661989844E-14</v>
      </c>
      <c r="VW7">
        <v>128990</v>
      </c>
      <c r="VX7" t="s">
        <v>2034</v>
      </c>
    </row>
    <row r="8" spans="1:600" x14ac:dyDescent="0.25">
      <c r="A8" t="s">
        <v>4500</v>
      </c>
      <c r="B8" t="s">
        <v>1598</v>
      </c>
      <c r="C8">
        <v>1.914488</v>
      </c>
      <c r="D8">
        <v>0.75395599999999996</v>
      </c>
      <c r="E8" t="s">
        <v>1664</v>
      </c>
      <c r="F8">
        <v>2025</v>
      </c>
      <c r="G8" t="s">
        <v>4501</v>
      </c>
      <c r="H8" s="6">
        <v>46014</v>
      </c>
      <c r="I8">
        <v>5</v>
      </c>
      <c r="J8">
        <v>7574997</v>
      </c>
      <c r="K8">
        <v>159009</v>
      </c>
      <c r="L8" t="s">
        <v>4502</v>
      </c>
      <c r="O8" t="s">
        <v>2381</v>
      </c>
      <c r="P8">
        <v>3.5730919999999999</v>
      </c>
      <c r="Q8" t="s">
        <v>1634</v>
      </c>
      <c r="R8">
        <v>0.31934299999999999</v>
      </c>
      <c r="S8" t="s">
        <v>1664</v>
      </c>
      <c r="T8">
        <v>2026</v>
      </c>
      <c r="U8" t="s">
        <v>5286</v>
      </c>
      <c r="V8" s="6">
        <v>45908</v>
      </c>
      <c r="W8">
        <v>5</v>
      </c>
      <c r="X8">
        <v>71679800</v>
      </c>
      <c r="Y8">
        <v>46946968</v>
      </c>
      <c r="Z8" t="s">
        <v>2382</v>
      </c>
      <c r="AE8" t="s">
        <v>5225</v>
      </c>
      <c r="AG8">
        <v>-2.4245362661989844E-14</v>
      </c>
      <c r="AH8">
        <v>-2.4245362661989844E-14</v>
      </c>
      <c r="AI8" t="s">
        <v>1594</v>
      </c>
      <c r="AJ8">
        <v>2022</v>
      </c>
      <c r="AK8" t="s">
        <v>5226</v>
      </c>
      <c r="AL8" s="6">
        <v>44859</v>
      </c>
      <c r="AM8">
        <v>5</v>
      </c>
      <c r="AN8">
        <v>-2.4245362661989844E-14</v>
      </c>
      <c r="AO8">
        <v>908632</v>
      </c>
      <c r="AP8" t="s">
        <v>5227</v>
      </c>
      <c r="AS8" t="s">
        <v>5017</v>
      </c>
      <c r="AT8">
        <v>-2.4245362661989844E-14</v>
      </c>
      <c r="AV8">
        <v>-2.4245362661989844E-14</v>
      </c>
      <c r="AW8" t="s">
        <v>1594</v>
      </c>
      <c r="AX8">
        <v>2021</v>
      </c>
      <c r="AY8" t="s">
        <v>3010</v>
      </c>
      <c r="AZ8" s="6">
        <v>44693</v>
      </c>
      <c r="BA8">
        <v>5</v>
      </c>
      <c r="BB8">
        <v>-2.4245362661989844E-14</v>
      </c>
      <c r="BC8">
        <v>104539</v>
      </c>
      <c r="BD8" t="s">
        <v>5018</v>
      </c>
      <c r="CM8" t="s">
        <v>1997</v>
      </c>
      <c r="CN8" t="s">
        <v>1634</v>
      </c>
      <c r="CO8">
        <v>6.234559</v>
      </c>
      <c r="CP8">
        <v>1.5138720000000001</v>
      </c>
      <c r="CQ8" t="s">
        <v>1664</v>
      </c>
      <c r="CR8">
        <v>2025</v>
      </c>
      <c r="CS8" t="s">
        <v>3355</v>
      </c>
      <c r="CT8" s="6">
        <v>45897</v>
      </c>
      <c r="CU8">
        <v>5</v>
      </c>
      <c r="CV8">
        <v>137459552</v>
      </c>
      <c r="CW8">
        <v>16532368</v>
      </c>
      <c r="CX8" t="s">
        <v>1999</v>
      </c>
      <c r="DA8" t="s">
        <v>32</v>
      </c>
      <c r="DB8">
        <v>0.69902799999999998</v>
      </c>
      <c r="DC8" t="s">
        <v>1598</v>
      </c>
      <c r="DD8">
        <v>0.138625</v>
      </c>
      <c r="DE8" t="s">
        <v>1606</v>
      </c>
      <c r="DF8">
        <v>2025</v>
      </c>
      <c r="DG8" t="s">
        <v>2251</v>
      </c>
      <c r="DH8" s="6">
        <v>45848</v>
      </c>
      <c r="DI8">
        <v>5</v>
      </c>
      <c r="DJ8">
        <v>111166424</v>
      </c>
      <c r="DK8">
        <v>100976</v>
      </c>
      <c r="DL8" t="s">
        <v>1820</v>
      </c>
      <c r="EU8" t="s">
        <v>6275</v>
      </c>
      <c r="EV8" t="s">
        <v>1598</v>
      </c>
      <c r="EW8">
        <v>4.2190989999999999</v>
      </c>
      <c r="EX8">
        <v>0.49108600000000002</v>
      </c>
      <c r="EY8" t="s">
        <v>1664</v>
      </c>
      <c r="EZ8">
        <v>2025</v>
      </c>
      <c r="FA8" t="s">
        <v>3366</v>
      </c>
      <c r="FB8" s="6">
        <v>45876</v>
      </c>
      <c r="FC8">
        <v>5</v>
      </c>
      <c r="FD8">
        <v>54721712</v>
      </c>
      <c r="FE8">
        <v>18303373</v>
      </c>
      <c r="FF8" t="s">
        <v>6276</v>
      </c>
      <c r="FI8" t="s">
        <v>6220</v>
      </c>
      <c r="FJ8">
        <v>0.45308300000000001</v>
      </c>
      <c r="FK8" t="s">
        <v>1634</v>
      </c>
      <c r="FL8">
        <v>3.271792</v>
      </c>
      <c r="FM8" t="s">
        <v>1606</v>
      </c>
      <c r="FN8">
        <v>2025</v>
      </c>
      <c r="FO8" t="s">
        <v>6221</v>
      </c>
      <c r="FP8" s="6">
        <v>45890</v>
      </c>
      <c r="FQ8">
        <v>5</v>
      </c>
      <c r="FR8">
        <v>75071264</v>
      </c>
      <c r="FS8">
        <v>100232</v>
      </c>
      <c r="FT8" t="s">
        <v>6222</v>
      </c>
      <c r="HC8" t="s">
        <v>2367</v>
      </c>
      <c r="HD8" t="s">
        <v>2128</v>
      </c>
      <c r="HE8">
        <v>1.459176</v>
      </c>
      <c r="HF8">
        <v>0.86356999999999995</v>
      </c>
      <c r="HG8" t="s">
        <v>1664</v>
      </c>
      <c r="HH8">
        <v>2025</v>
      </c>
      <c r="HI8" t="s">
        <v>2368</v>
      </c>
      <c r="HJ8" s="6">
        <v>45921</v>
      </c>
      <c r="HK8">
        <v>5</v>
      </c>
      <c r="HL8">
        <v>15060666</v>
      </c>
      <c r="HM8">
        <v>963610</v>
      </c>
      <c r="HN8" t="s">
        <v>2369</v>
      </c>
      <c r="HQ8" t="s">
        <v>31</v>
      </c>
      <c r="HR8">
        <v>3.6153759999999999</v>
      </c>
      <c r="HS8" t="s">
        <v>1598</v>
      </c>
      <c r="HT8">
        <v>0.54387399999999997</v>
      </c>
      <c r="HU8" t="s">
        <v>1664</v>
      </c>
      <c r="HV8">
        <v>2025</v>
      </c>
      <c r="HW8" t="s">
        <v>4107</v>
      </c>
      <c r="HX8" s="6">
        <v>45929</v>
      </c>
      <c r="HY8">
        <v>5</v>
      </c>
      <c r="HZ8">
        <v>331855360</v>
      </c>
      <c r="IA8">
        <v>60401289</v>
      </c>
      <c r="IB8" t="s">
        <v>1769</v>
      </c>
      <c r="IG8" t="s">
        <v>5503</v>
      </c>
      <c r="II8">
        <v>-2.4245362661989844E-14</v>
      </c>
      <c r="IJ8">
        <v>-2.4245362661989844E-14</v>
      </c>
      <c r="IK8" t="s">
        <v>1599</v>
      </c>
      <c r="IL8">
        <v>2025</v>
      </c>
      <c r="IM8" t="s">
        <v>5504</v>
      </c>
      <c r="IN8" s="6">
        <v>45967</v>
      </c>
      <c r="IO8">
        <v>5</v>
      </c>
      <c r="IP8">
        <v>-2.4245362661989844E-14</v>
      </c>
      <c r="IQ8">
        <v>71575921</v>
      </c>
      <c r="IR8" t="s">
        <v>5505</v>
      </c>
      <c r="IU8" t="s">
        <v>4735</v>
      </c>
      <c r="IV8">
        <v>-2.4245362661989844E-14</v>
      </c>
      <c r="IX8">
        <v>-2.4245362661989844E-14</v>
      </c>
      <c r="IY8" t="s">
        <v>1603</v>
      </c>
      <c r="IZ8">
        <v>2023</v>
      </c>
      <c r="JA8" t="s">
        <v>4736</v>
      </c>
      <c r="JB8" s="6">
        <v>44950</v>
      </c>
      <c r="JC8">
        <v>5</v>
      </c>
      <c r="JD8">
        <v>-2.4245362661989844E-14</v>
      </c>
      <c r="JE8">
        <v>65060614</v>
      </c>
      <c r="JF8" t="s">
        <v>4737</v>
      </c>
      <c r="JK8" t="s">
        <v>3184</v>
      </c>
      <c r="JL8" t="s">
        <v>1634</v>
      </c>
      <c r="JM8">
        <v>0.77759999999999996</v>
      </c>
      <c r="JN8">
        <v>0.35574</v>
      </c>
      <c r="JO8" t="s">
        <v>1664</v>
      </c>
      <c r="JP8">
        <v>2026</v>
      </c>
      <c r="JQ8" t="s">
        <v>3826</v>
      </c>
      <c r="JR8" s="6">
        <v>45894</v>
      </c>
      <c r="JS8">
        <v>5</v>
      </c>
      <c r="JT8">
        <v>10714893</v>
      </c>
      <c r="JU8">
        <v>100487</v>
      </c>
      <c r="JV8" t="s">
        <v>3186</v>
      </c>
      <c r="JY8" t="s">
        <v>2063</v>
      </c>
      <c r="JZ8">
        <v>-2.4245362661989844E-14</v>
      </c>
      <c r="KB8">
        <v>-2.4245362661989844E-14</v>
      </c>
      <c r="KC8" t="s">
        <v>1594</v>
      </c>
      <c r="KD8">
        <v>2021</v>
      </c>
      <c r="KE8" t="s">
        <v>3689</v>
      </c>
      <c r="KF8" s="6">
        <v>44693</v>
      </c>
      <c r="KG8">
        <v>5</v>
      </c>
      <c r="KH8">
        <v>-2.4245362661989844E-14</v>
      </c>
      <c r="KI8">
        <v>118099</v>
      </c>
      <c r="KJ8" t="s">
        <v>2065</v>
      </c>
      <c r="KO8" t="s">
        <v>1997</v>
      </c>
      <c r="KP8" t="s">
        <v>1634</v>
      </c>
      <c r="KQ8">
        <v>6.234559</v>
      </c>
      <c r="KR8">
        <v>1.5138720000000001</v>
      </c>
      <c r="KS8" t="s">
        <v>1664</v>
      </c>
      <c r="KT8">
        <v>2025</v>
      </c>
      <c r="KU8" t="s">
        <v>3355</v>
      </c>
      <c r="KV8" s="6">
        <v>45897</v>
      </c>
      <c r="KW8">
        <v>5</v>
      </c>
      <c r="KX8">
        <v>137459552</v>
      </c>
      <c r="KY8">
        <v>16532368</v>
      </c>
      <c r="KZ8" t="s">
        <v>1999</v>
      </c>
      <c r="LC8" t="s">
        <v>32</v>
      </c>
      <c r="LD8">
        <v>0.69902799999999998</v>
      </c>
      <c r="LE8" t="s">
        <v>1598</v>
      </c>
      <c r="LF8">
        <v>0.138625</v>
      </c>
      <c r="LG8" t="s">
        <v>1606</v>
      </c>
      <c r="LH8">
        <v>2025</v>
      </c>
      <c r="LI8" t="s">
        <v>2251</v>
      </c>
      <c r="LJ8" s="6">
        <v>45848</v>
      </c>
      <c r="LK8">
        <v>5</v>
      </c>
      <c r="LL8">
        <v>111166424</v>
      </c>
      <c r="LM8">
        <v>100976</v>
      </c>
      <c r="LN8" t="s">
        <v>1820</v>
      </c>
      <c r="LS8" t="s">
        <v>2338</v>
      </c>
      <c r="LT8" t="s">
        <v>1598</v>
      </c>
      <c r="LU8">
        <v>3.6861709999999999</v>
      </c>
      <c r="LV8">
        <v>2.8514999999999999E-2</v>
      </c>
      <c r="LW8" t="s">
        <v>1594</v>
      </c>
      <c r="LX8">
        <v>2025</v>
      </c>
      <c r="LY8" t="s">
        <v>2339</v>
      </c>
      <c r="LZ8" s="6">
        <v>45899</v>
      </c>
      <c r="MA8">
        <v>5</v>
      </c>
      <c r="MB8">
        <v>3605416.84</v>
      </c>
      <c r="MC8">
        <v>178615</v>
      </c>
      <c r="MD8" t="s">
        <v>2340</v>
      </c>
      <c r="MG8" t="s">
        <v>1210</v>
      </c>
      <c r="MH8">
        <v>5.1722729999999997</v>
      </c>
      <c r="MI8" t="s">
        <v>1598</v>
      </c>
      <c r="MJ8">
        <v>4.6149529999999999</v>
      </c>
      <c r="MK8" t="s">
        <v>1599</v>
      </c>
      <c r="ML8">
        <v>2025</v>
      </c>
      <c r="MM8" t="s">
        <v>1941</v>
      </c>
      <c r="MN8" s="6">
        <v>45946</v>
      </c>
      <c r="MO8">
        <v>5</v>
      </c>
      <c r="MP8">
        <v>689321728</v>
      </c>
      <c r="MQ8">
        <v>47114179</v>
      </c>
      <c r="MR8" t="s">
        <v>1945</v>
      </c>
      <c r="OA8" t="s">
        <v>4873</v>
      </c>
      <c r="OB8" t="s">
        <v>2128</v>
      </c>
      <c r="OC8">
        <v>-2.4245362661989844E-14</v>
      </c>
      <c r="OD8">
        <v>1.9000570000000001</v>
      </c>
      <c r="OE8" t="s">
        <v>1594</v>
      </c>
      <c r="OF8">
        <v>2025</v>
      </c>
      <c r="OG8" t="s">
        <v>4869</v>
      </c>
      <c r="OH8" s="6">
        <v>46077</v>
      </c>
      <c r="OI8">
        <v>5</v>
      </c>
      <c r="OJ8">
        <v>75000000</v>
      </c>
      <c r="OK8">
        <v>71999429</v>
      </c>
      <c r="OL8" t="s">
        <v>4874</v>
      </c>
      <c r="OO8" t="s">
        <v>23</v>
      </c>
      <c r="OP8">
        <v>0.787219</v>
      </c>
      <c r="OQ8" t="s">
        <v>1598</v>
      </c>
      <c r="OR8">
        <v>3.9592429999999998</v>
      </c>
      <c r="OS8" t="s">
        <v>1599</v>
      </c>
      <c r="OT8">
        <v>2025</v>
      </c>
      <c r="OU8" t="s">
        <v>2126</v>
      </c>
      <c r="OV8" s="6">
        <v>45966</v>
      </c>
      <c r="OW8">
        <v>5</v>
      </c>
      <c r="OX8">
        <v>136000000</v>
      </c>
      <c r="OY8">
        <v>100225</v>
      </c>
      <c r="OZ8" t="s">
        <v>2222</v>
      </c>
      <c r="PE8" t="s">
        <v>6236</v>
      </c>
      <c r="PG8">
        <v>-2.4245362661989844E-14</v>
      </c>
      <c r="PH8">
        <v>-2.4245362661989844E-14</v>
      </c>
      <c r="PI8" t="s">
        <v>1603</v>
      </c>
      <c r="PJ8">
        <v>2025</v>
      </c>
      <c r="PK8" t="s">
        <v>6237</v>
      </c>
      <c r="PL8" s="6">
        <v>45779</v>
      </c>
      <c r="PM8">
        <v>5</v>
      </c>
      <c r="PN8">
        <v>-2.4245362661989844E-14</v>
      </c>
      <c r="PO8">
        <v>38586704</v>
      </c>
      <c r="PP8" t="s">
        <v>6238</v>
      </c>
      <c r="QI8" t="s">
        <v>3313</v>
      </c>
      <c r="QJ8" t="s">
        <v>1598</v>
      </c>
      <c r="QK8">
        <v>0.68987299999999996</v>
      </c>
      <c r="QL8">
        <v>6.7391999999999994E-2</v>
      </c>
      <c r="QM8" t="s">
        <v>1664</v>
      </c>
      <c r="QN8">
        <v>2026</v>
      </c>
      <c r="QO8" t="s">
        <v>3314</v>
      </c>
      <c r="QP8" s="6">
        <v>45966</v>
      </c>
      <c r="QQ8">
        <v>5</v>
      </c>
      <c r="QR8">
        <v>3140992</v>
      </c>
      <c r="QS8">
        <v>9777162</v>
      </c>
      <c r="QT8" t="s">
        <v>3315</v>
      </c>
      <c r="QW8" t="s">
        <v>6154</v>
      </c>
      <c r="QX8">
        <v>-2.4245362661989844E-14</v>
      </c>
      <c r="QZ8">
        <v>-2.4245362661989844E-14</v>
      </c>
      <c r="RA8" t="s">
        <v>1594</v>
      </c>
      <c r="RB8">
        <v>2023</v>
      </c>
      <c r="RC8" t="s">
        <v>6148</v>
      </c>
      <c r="RD8" s="6">
        <v>45089</v>
      </c>
      <c r="RE8">
        <v>5</v>
      </c>
      <c r="RF8">
        <v>-2.4245362661989844E-14</v>
      </c>
      <c r="RG8">
        <v>20718267</v>
      </c>
      <c r="RH8" t="s">
        <v>6155</v>
      </c>
      <c r="RM8" t="s">
        <v>5115</v>
      </c>
      <c r="RN8" t="s">
        <v>1685</v>
      </c>
      <c r="RO8">
        <v>7.0937E-2</v>
      </c>
      <c r="RP8">
        <v>2.0040000000000001E-3</v>
      </c>
      <c r="RQ8" t="s">
        <v>1594</v>
      </c>
      <c r="RR8">
        <v>2025</v>
      </c>
      <c r="RS8" t="s">
        <v>5116</v>
      </c>
      <c r="RT8" s="6">
        <v>45797</v>
      </c>
      <c r="RU8">
        <v>5</v>
      </c>
      <c r="RV8">
        <v>24577.9</v>
      </c>
      <c r="RW8">
        <v>64585649</v>
      </c>
      <c r="RX8" t="s">
        <v>5117</v>
      </c>
      <c r="SA8" t="s">
        <v>5932</v>
      </c>
      <c r="SB8">
        <v>-2.4245362661989844E-14</v>
      </c>
      <c r="SD8">
        <v>-2.4245362661989844E-14</v>
      </c>
      <c r="SE8" t="s">
        <v>1792</v>
      </c>
      <c r="SF8">
        <v>2023</v>
      </c>
      <c r="SG8" t="s">
        <v>5933</v>
      </c>
      <c r="SH8" s="6">
        <v>45167</v>
      </c>
      <c r="SI8">
        <v>5</v>
      </c>
      <c r="SJ8">
        <v>-2.4245362661989844E-14</v>
      </c>
      <c r="SK8">
        <v>40231231</v>
      </c>
      <c r="SL8" t="s">
        <v>5934</v>
      </c>
      <c r="UY8" t="s">
        <v>5600</v>
      </c>
      <c r="VA8">
        <v>-2.4245362661989844E-14</v>
      </c>
      <c r="VB8">
        <v>-2.4245362661989844E-14</v>
      </c>
      <c r="VC8" t="s">
        <v>1594</v>
      </c>
      <c r="VD8">
        <v>2024</v>
      </c>
      <c r="VE8" t="s">
        <v>2029</v>
      </c>
      <c r="VF8" s="6">
        <v>45708</v>
      </c>
      <c r="VG8">
        <v>5</v>
      </c>
      <c r="VH8">
        <v>-2.4245362661989844E-14</v>
      </c>
      <c r="VI8">
        <v>17598989</v>
      </c>
      <c r="VJ8" t="s">
        <v>5601</v>
      </c>
      <c r="VM8" t="s">
        <v>2035</v>
      </c>
      <c r="VN8">
        <v>-2.4245362661989844E-14</v>
      </c>
      <c r="VP8">
        <v>-2.4245362661989844E-14</v>
      </c>
      <c r="VQ8" t="s">
        <v>1594</v>
      </c>
      <c r="VR8">
        <v>2021</v>
      </c>
      <c r="VS8" t="s">
        <v>2033</v>
      </c>
      <c r="VT8" s="6">
        <v>44693</v>
      </c>
      <c r="VU8">
        <v>5</v>
      </c>
      <c r="VV8">
        <v>-2.4245362661989844E-14</v>
      </c>
      <c r="VW8">
        <v>13407788</v>
      </c>
      <c r="VX8" t="s">
        <v>2036</v>
      </c>
    </row>
    <row r="9" spans="1:600" x14ac:dyDescent="0.25">
      <c r="A9" t="s">
        <v>5361</v>
      </c>
      <c r="B9" t="s">
        <v>2128</v>
      </c>
      <c r="C9">
        <v>0.20219000000000001</v>
      </c>
      <c r="D9">
        <v>0.53258000000000005</v>
      </c>
      <c r="E9" t="s">
        <v>1606</v>
      </c>
      <c r="F9">
        <v>2024</v>
      </c>
      <c r="G9" t="s">
        <v>5362</v>
      </c>
      <c r="H9" s="6">
        <v>45712</v>
      </c>
      <c r="I9">
        <v>5</v>
      </c>
      <c r="J9">
        <v>2602185</v>
      </c>
      <c r="K9">
        <v>36909194</v>
      </c>
      <c r="L9" t="s">
        <v>5363</v>
      </c>
      <c r="O9" t="s">
        <v>2693</v>
      </c>
      <c r="P9">
        <v>1.9379820000000001</v>
      </c>
      <c r="Q9" t="s">
        <v>1634</v>
      </c>
      <c r="R9">
        <v>0.22455900000000001</v>
      </c>
      <c r="S9" t="s">
        <v>1664</v>
      </c>
      <c r="T9">
        <v>2026</v>
      </c>
      <c r="U9" t="s">
        <v>5286</v>
      </c>
      <c r="V9" s="6">
        <v>45908</v>
      </c>
      <c r="W9">
        <v>5</v>
      </c>
      <c r="X9">
        <v>38877856</v>
      </c>
      <c r="Y9">
        <v>11092218</v>
      </c>
      <c r="Z9" t="s">
        <v>2694</v>
      </c>
      <c r="AE9" t="s">
        <v>5228</v>
      </c>
      <c r="AG9">
        <v>-2.4245362661989844E-14</v>
      </c>
      <c r="AH9">
        <v>-2.4245362661989844E-14</v>
      </c>
      <c r="AI9" t="s">
        <v>1594</v>
      </c>
      <c r="AJ9">
        <v>2025</v>
      </c>
      <c r="AK9" t="s">
        <v>5226</v>
      </c>
      <c r="AL9" s="6">
        <v>45964</v>
      </c>
      <c r="AM9">
        <v>5</v>
      </c>
      <c r="AN9">
        <v>-2.4245362661989844E-14</v>
      </c>
      <c r="AO9">
        <v>71708551</v>
      </c>
      <c r="AP9" t="s">
        <v>5229</v>
      </c>
      <c r="AS9" t="s">
        <v>5019</v>
      </c>
      <c r="AT9">
        <v>-2.4245362661989844E-14</v>
      </c>
      <c r="AV9">
        <v>-2.4245362661989844E-14</v>
      </c>
      <c r="AW9" t="s">
        <v>1594</v>
      </c>
      <c r="AX9">
        <v>2021</v>
      </c>
      <c r="AY9" t="s">
        <v>3010</v>
      </c>
      <c r="AZ9" s="6">
        <v>44693</v>
      </c>
      <c r="BA9">
        <v>5</v>
      </c>
      <c r="BB9">
        <v>-2.4245362661989844E-14</v>
      </c>
      <c r="BC9">
        <v>104632</v>
      </c>
      <c r="BD9" t="s">
        <v>5020</v>
      </c>
      <c r="CM9" t="s">
        <v>276</v>
      </c>
      <c r="CN9" t="s">
        <v>1634</v>
      </c>
      <c r="CO9">
        <v>3.6037650000000001</v>
      </c>
      <c r="CP9">
        <v>0.90356199999999998</v>
      </c>
      <c r="CQ9" t="s">
        <v>1664</v>
      </c>
      <c r="CR9">
        <v>2026</v>
      </c>
      <c r="CS9" t="s">
        <v>3356</v>
      </c>
      <c r="CT9" s="6">
        <v>46059</v>
      </c>
      <c r="CU9">
        <v>5</v>
      </c>
      <c r="CV9">
        <v>108725592</v>
      </c>
      <c r="CW9">
        <v>101643</v>
      </c>
      <c r="CX9" t="s">
        <v>3357</v>
      </c>
      <c r="DA9" t="s">
        <v>306</v>
      </c>
      <c r="DB9">
        <v>0.66108800000000001</v>
      </c>
      <c r="DC9" t="s">
        <v>1598</v>
      </c>
      <c r="DD9">
        <v>0.122531</v>
      </c>
      <c r="DE9" t="s">
        <v>1606</v>
      </c>
      <c r="DF9">
        <v>2025</v>
      </c>
      <c r="DG9" t="s">
        <v>2251</v>
      </c>
      <c r="DH9" s="6">
        <v>45848</v>
      </c>
      <c r="DI9">
        <v>5</v>
      </c>
      <c r="DJ9">
        <v>105132824</v>
      </c>
      <c r="DK9">
        <v>101548</v>
      </c>
      <c r="DL9" t="s">
        <v>1770</v>
      </c>
      <c r="EU9" t="s">
        <v>4128</v>
      </c>
      <c r="EV9" t="s">
        <v>1598</v>
      </c>
      <c r="EW9">
        <v>0.46383099999999999</v>
      </c>
      <c r="EX9">
        <v>0.46567500000000001</v>
      </c>
      <c r="EY9" t="s">
        <v>1664</v>
      </c>
      <c r="EZ9">
        <v>2025</v>
      </c>
      <c r="FA9" t="s">
        <v>6277</v>
      </c>
      <c r="FB9" s="6">
        <v>45958</v>
      </c>
      <c r="FC9">
        <v>5</v>
      </c>
      <c r="FD9">
        <v>51869468.25</v>
      </c>
      <c r="FE9">
        <v>961545</v>
      </c>
      <c r="FF9" t="s">
        <v>4129</v>
      </c>
      <c r="FI9" t="s">
        <v>6223</v>
      </c>
      <c r="FJ9">
        <v>0.34054499999999999</v>
      </c>
      <c r="FK9" t="s">
        <v>1598</v>
      </c>
      <c r="FL9">
        <v>3.5244270000000002</v>
      </c>
      <c r="FM9" t="s">
        <v>1664</v>
      </c>
      <c r="FN9">
        <v>2025</v>
      </c>
      <c r="FO9" t="s">
        <v>3366</v>
      </c>
      <c r="FP9" s="6">
        <v>45876</v>
      </c>
      <c r="FQ9">
        <v>5</v>
      </c>
      <c r="FR9">
        <v>56424900</v>
      </c>
      <c r="FS9">
        <v>119922</v>
      </c>
      <c r="FT9" t="s">
        <v>6224</v>
      </c>
      <c r="HC9" t="s">
        <v>493</v>
      </c>
      <c r="HD9" t="s">
        <v>1598</v>
      </c>
      <c r="HE9">
        <v>0.27685399999999999</v>
      </c>
      <c r="HF9">
        <v>0.36708800000000003</v>
      </c>
      <c r="HG9" t="s">
        <v>1603</v>
      </c>
      <c r="HH9">
        <v>2025</v>
      </c>
      <c r="HI9" t="s">
        <v>2093</v>
      </c>
      <c r="HJ9" s="6">
        <v>45795</v>
      </c>
      <c r="HK9">
        <v>5</v>
      </c>
      <c r="HL9">
        <v>10895174</v>
      </c>
      <c r="HM9">
        <v>100499</v>
      </c>
      <c r="HN9" t="s">
        <v>2094</v>
      </c>
      <c r="HQ9" t="s">
        <v>4108</v>
      </c>
      <c r="HR9">
        <v>0.72379000000000004</v>
      </c>
      <c r="HS9" t="s">
        <v>1598</v>
      </c>
      <c r="HT9">
        <v>38.702872999999997</v>
      </c>
      <c r="HU9" t="s">
        <v>1594</v>
      </c>
      <c r="HV9">
        <v>2025</v>
      </c>
      <c r="HW9" t="s">
        <v>4106</v>
      </c>
      <c r="HX9" s="6">
        <v>46066</v>
      </c>
      <c r="HY9">
        <v>5</v>
      </c>
      <c r="HZ9">
        <v>66500000</v>
      </c>
      <c r="IA9">
        <v>47826561</v>
      </c>
      <c r="IB9" t="s">
        <v>4109</v>
      </c>
      <c r="IG9" t="s">
        <v>5506</v>
      </c>
      <c r="II9">
        <v>-2.4245362661989844E-14</v>
      </c>
      <c r="IJ9">
        <v>-2.4245362661989844E-14</v>
      </c>
      <c r="IK9" t="s">
        <v>1594</v>
      </c>
      <c r="IL9">
        <v>2025</v>
      </c>
      <c r="IM9" t="s">
        <v>5507</v>
      </c>
      <c r="IN9" s="6">
        <v>45924</v>
      </c>
      <c r="IO9">
        <v>5</v>
      </c>
      <c r="IP9">
        <v>-2.4245362661989844E-14</v>
      </c>
      <c r="IQ9">
        <v>104480</v>
      </c>
      <c r="IR9" t="s">
        <v>5508</v>
      </c>
      <c r="IU9" t="s">
        <v>6330</v>
      </c>
      <c r="IV9">
        <v>-2.4245362661989844E-14</v>
      </c>
      <c r="IX9">
        <v>-2.4245362661989844E-14</v>
      </c>
      <c r="IY9" t="s">
        <v>1594</v>
      </c>
      <c r="IZ9">
        <v>2021</v>
      </c>
      <c r="JA9" t="s">
        <v>6325</v>
      </c>
      <c r="JB9" s="6">
        <v>44693</v>
      </c>
      <c r="JC9">
        <v>5</v>
      </c>
      <c r="JD9">
        <v>-2.4245362661989844E-14</v>
      </c>
      <c r="JE9">
        <v>12120000</v>
      </c>
      <c r="JF9" t="s">
        <v>6331</v>
      </c>
      <c r="JK9" t="s">
        <v>2317</v>
      </c>
      <c r="JL9" t="s">
        <v>1598</v>
      </c>
      <c r="JM9">
        <v>0.60481300000000005</v>
      </c>
      <c r="JN9">
        <v>0.89159200000000005</v>
      </c>
      <c r="JO9" t="s">
        <v>1603</v>
      </c>
      <c r="JP9">
        <v>2025</v>
      </c>
      <c r="JQ9" t="s">
        <v>2318</v>
      </c>
      <c r="JR9" s="6">
        <v>45863</v>
      </c>
      <c r="JS9">
        <v>5</v>
      </c>
      <c r="JT9">
        <v>9967996</v>
      </c>
      <c r="JU9">
        <v>10832677</v>
      </c>
      <c r="JV9" t="s">
        <v>2319</v>
      </c>
      <c r="JY9" t="s">
        <v>2376</v>
      </c>
      <c r="JZ9">
        <v>-2.4245362661989844E-14</v>
      </c>
      <c r="KB9">
        <v>-2.4245362661989844E-14</v>
      </c>
      <c r="KC9" t="s">
        <v>1594</v>
      </c>
      <c r="KD9">
        <v>2021</v>
      </c>
      <c r="KE9" t="s">
        <v>3689</v>
      </c>
      <c r="KF9" s="6">
        <v>44693</v>
      </c>
      <c r="KG9">
        <v>5</v>
      </c>
      <c r="KH9">
        <v>-2.4245362661989844E-14</v>
      </c>
      <c r="KI9">
        <v>117929</v>
      </c>
      <c r="KJ9" t="s">
        <v>2378</v>
      </c>
      <c r="KO9" t="s">
        <v>276</v>
      </c>
      <c r="KP9" t="s">
        <v>1634</v>
      </c>
      <c r="KQ9">
        <v>3.6037650000000001</v>
      </c>
      <c r="KR9">
        <v>0.90356199999999998</v>
      </c>
      <c r="KS9" t="s">
        <v>1664</v>
      </c>
      <c r="KT9">
        <v>2026</v>
      </c>
      <c r="KU9" t="s">
        <v>3356</v>
      </c>
      <c r="KV9" s="6">
        <v>46059</v>
      </c>
      <c r="KW9">
        <v>5</v>
      </c>
      <c r="KX9">
        <v>108725592</v>
      </c>
      <c r="KY9">
        <v>101643</v>
      </c>
      <c r="KZ9" t="s">
        <v>3357</v>
      </c>
      <c r="LC9" t="s">
        <v>306</v>
      </c>
      <c r="LD9">
        <v>0.66108800000000001</v>
      </c>
      <c r="LE9" t="s">
        <v>1598</v>
      </c>
      <c r="LF9">
        <v>0.122531</v>
      </c>
      <c r="LG9" t="s">
        <v>1606</v>
      </c>
      <c r="LH9">
        <v>2025</v>
      </c>
      <c r="LI9" t="s">
        <v>2251</v>
      </c>
      <c r="LJ9" s="6">
        <v>45848</v>
      </c>
      <c r="LK9">
        <v>5</v>
      </c>
      <c r="LL9">
        <v>105132824</v>
      </c>
      <c r="LM9">
        <v>101548</v>
      </c>
      <c r="LN9" t="s">
        <v>1770</v>
      </c>
      <c r="LS9" t="s">
        <v>2341</v>
      </c>
      <c r="LT9" t="s">
        <v>1598</v>
      </c>
      <c r="LU9">
        <v>0.15045500000000001</v>
      </c>
      <c r="LV9">
        <v>1.397E-2</v>
      </c>
      <c r="LW9" t="s">
        <v>1599</v>
      </c>
      <c r="LX9">
        <v>2025</v>
      </c>
      <c r="LY9" t="s">
        <v>2342</v>
      </c>
      <c r="LZ9" s="6">
        <v>46042</v>
      </c>
      <c r="MA9">
        <v>5</v>
      </c>
      <c r="MB9">
        <v>1777012</v>
      </c>
      <c r="MC9">
        <v>16555266</v>
      </c>
      <c r="MD9" t="s">
        <v>2343</v>
      </c>
      <c r="MG9" t="s">
        <v>311</v>
      </c>
      <c r="MH9">
        <v>2.775217</v>
      </c>
      <c r="MI9" t="s">
        <v>1598</v>
      </c>
      <c r="MJ9">
        <v>1.415462</v>
      </c>
      <c r="MK9" t="s">
        <v>1599</v>
      </c>
      <c r="ML9">
        <v>2025</v>
      </c>
      <c r="MM9" t="s">
        <v>1941</v>
      </c>
      <c r="MN9" s="6">
        <v>45946</v>
      </c>
      <c r="MO9">
        <v>5</v>
      </c>
      <c r="MP9">
        <v>369860096</v>
      </c>
      <c r="MQ9">
        <v>100864</v>
      </c>
      <c r="MR9" t="s">
        <v>1668</v>
      </c>
      <c r="OA9" t="s">
        <v>3208</v>
      </c>
      <c r="OB9" t="s">
        <v>1685</v>
      </c>
      <c r="OC9">
        <v>1.6404799999999999</v>
      </c>
      <c r="OD9">
        <v>2.2485889999999999</v>
      </c>
      <c r="OE9" t="s">
        <v>1606</v>
      </c>
      <c r="OF9">
        <v>2025</v>
      </c>
      <c r="OG9" t="s">
        <v>3209</v>
      </c>
      <c r="OH9" s="6">
        <v>45796</v>
      </c>
      <c r="OI9">
        <v>5</v>
      </c>
      <c r="OJ9">
        <v>57397160.810000002</v>
      </c>
      <c r="OK9">
        <v>995671</v>
      </c>
      <c r="OL9" t="s">
        <v>3210</v>
      </c>
      <c r="OO9" t="s">
        <v>4870</v>
      </c>
      <c r="OP9">
        <v>0.61089599999999999</v>
      </c>
      <c r="OQ9" t="s">
        <v>1598</v>
      </c>
      <c r="OR9">
        <v>14.583333</v>
      </c>
      <c r="OS9" t="s">
        <v>1594</v>
      </c>
      <c r="OT9">
        <v>2024</v>
      </c>
      <c r="OU9" t="s">
        <v>4871</v>
      </c>
      <c r="OV9" s="6">
        <v>45713</v>
      </c>
      <c r="OW9">
        <v>5</v>
      </c>
      <c r="OX9">
        <v>98000000</v>
      </c>
      <c r="OY9">
        <v>69483676</v>
      </c>
      <c r="OZ9" t="s">
        <v>4872</v>
      </c>
      <c r="PE9" t="s">
        <v>5289</v>
      </c>
      <c r="PG9">
        <v>-2.4245362661989844E-14</v>
      </c>
      <c r="PH9">
        <v>-2.4245362661989844E-14</v>
      </c>
      <c r="PI9" t="s">
        <v>1594</v>
      </c>
      <c r="PJ9">
        <v>2022</v>
      </c>
      <c r="PK9" t="s">
        <v>6109</v>
      </c>
      <c r="PL9" s="6">
        <v>44972</v>
      </c>
      <c r="PM9">
        <v>5</v>
      </c>
      <c r="PN9">
        <v>-2.4245362661989844E-14</v>
      </c>
      <c r="PO9">
        <v>1749265</v>
      </c>
      <c r="PP9" t="s">
        <v>5291</v>
      </c>
      <c r="QI9" t="s">
        <v>6195</v>
      </c>
      <c r="QJ9" t="s">
        <v>1598</v>
      </c>
      <c r="QK9">
        <v>5</v>
      </c>
      <c r="QL9">
        <v>5.5208E-2</v>
      </c>
      <c r="QM9" t="s">
        <v>1594</v>
      </c>
      <c r="QN9">
        <v>2025</v>
      </c>
      <c r="QO9" t="s">
        <v>6196</v>
      </c>
      <c r="QP9" s="6">
        <v>45863</v>
      </c>
      <c r="QQ9">
        <v>5</v>
      </c>
      <c r="QR9">
        <v>2545087.5</v>
      </c>
      <c r="QS9">
        <v>72027718</v>
      </c>
      <c r="QT9" t="s">
        <v>6197</v>
      </c>
      <c r="QW9" t="s">
        <v>6156</v>
      </c>
      <c r="QX9">
        <v>-2.4245362661989844E-14</v>
      </c>
      <c r="QZ9">
        <v>-2.4245362661989844E-14</v>
      </c>
      <c r="RA9" t="s">
        <v>1594</v>
      </c>
      <c r="RB9">
        <v>2024</v>
      </c>
      <c r="RC9" t="s">
        <v>6148</v>
      </c>
      <c r="RD9" s="6">
        <v>45498</v>
      </c>
      <c r="RE9">
        <v>5</v>
      </c>
      <c r="RF9">
        <v>-2.4245362661989844E-14</v>
      </c>
      <c r="RG9">
        <v>7619777</v>
      </c>
      <c r="RH9" t="s">
        <v>6157</v>
      </c>
      <c r="RM9" t="s">
        <v>2098</v>
      </c>
      <c r="RN9" t="s">
        <v>1685</v>
      </c>
      <c r="RO9">
        <v>9.5200000000000005E-4</v>
      </c>
      <c r="RP9">
        <v>1.8193999999999998E-2</v>
      </c>
      <c r="RQ9" t="s">
        <v>1603</v>
      </c>
      <c r="RR9">
        <v>2026</v>
      </c>
      <c r="RS9" t="s">
        <v>2099</v>
      </c>
      <c r="RT9" s="6">
        <v>45944</v>
      </c>
      <c r="RU9">
        <v>5</v>
      </c>
      <c r="RV9">
        <v>3639.02</v>
      </c>
      <c r="RW9">
        <v>14882485</v>
      </c>
      <c r="RX9" t="s">
        <v>2100</v>
      </c>
      <c r="SA9" t="s">
        <v>5935</v>
      </c>
      <c r="SB9">
        <v>-2.4245362661989844E-14</v>
      </c>
      <c r="SD9">
        <v>-2.4245362661989844E-14</v>
      </c>
      <c r="SE9" t="s">
        <v>1594</v>
      </c>
      <c r="SF9">
        <v>2024</v>
      </c>
      <c r="SG9" t="s">
        <v>5936</v>
      </c>
      <c r="SH9" s="6">
        <v>45572</v>
      </c>
      <c r="SI9">
        <v>5</v>
      </c>
      <c r="SJ9">
        <v>-2.4245362661989844E-14</v>
      </c>
      <c r="SK9">
        <v>10753976</v>
      </c>
      <c r="SL9" t="s">
        <v>5937</v>
      </c>
      <c r="UY9" t="s">
        <v>5602</v>
      </c>
      <c r="VA9">
        <v>-2.4245362661989844E-14</v>
      </c>
      <c r="VB9">
        <v>-2.4245362661989844E-14</v>
      </c>
      <c r="VC9" t="s">
        <v>1594</v>
      </c>
      <c r="VD9">
        <v>2023</v>
      </c>
      <c r="VE9" t="s">
        <v>5603</v>
      </c>
      <c r="VF9" s="6">
        <v>45342</v>
      </c>
      <c r="VG9">
        <v>5</v>
      </c>
      <c r="VH9">
        <v>-2.4245362661989844E-14</v>
      </c>
      <c r="VI9">
        <v>34929300</v>
      </c>
      <c r="VJ9" t="s">
        <v>5604</v>
      </c>
      <c r="VM9" t="s">
        <v>2037</v>
      </c>
      <c r="VN9">
        <v>-2.4245362661989844E-14</v>
      </c>
      <c r="VP9">
        <v>-2.4245362661989844E-14</v>
      </c>
      <c r="VQ9" t="s">
        <v>1594</v>
      </c>
      <c r="VR9">
        <v>2021</v>
      </c>
      <c r="VS9" t="s">
        <v>2033</v>
      </c>
      <c r="VT9" s="6">
        <v>44693</v>
      </c>
      <c r="VU9">
        <v>5</v>
      </c>
      <c r="VV9">
        <v>-2.4245362661989844E-14</v>
      </c>
      <c r="VW9">
        <v>117881</v>
      </c>
      <c r="VX9" t="s">
        <v>2038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473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474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475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476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477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478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479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480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481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482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483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484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485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486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487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488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489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490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491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492</v>
      </c>
      <c r="AE2" s="3" t="s">
        <v>493</v>
      </c>
      <c r="BI2" s="3" t="s">
        <v>494</v>
      </c>
      <c r="CM2" s="3" t="s">
        <v>495</v>
      </c>
      <c r="DQ2" s="3" t="s">
        <v>149</v>
      </c>
      <c r="EU2" s="3" t="s">
        <v>496</v>
      </c>
      <c r="FY2" s="3" t="s">
        <v>497</v>
      </c>
      <c r="HC2" s="3" t="s">
        <v>498</v>
      </c>
      <c r="IG2" s="3" t="s">
        <v>499</v>
      </c>
      <c r="JK2" s="3" t="s">
        <v>500</v>
      </c>
      <c r="KO2" s="3" t="s">
        <v>35</v>
      </c>
      <c r="LS2" s="3" t="s">
        <v>501</v>
      </c>
      <c r="MW2" s="3" t="s">
        <v>502</v>
      </c>
      <c r="OA2" s="3" t="s">
        <v>280</v>
      </c>
      <c r="PE2" s="3" t="s">
        <v>338</v>
      </c>
      <c r="QI2" s="3" t="s">
        <v>113</v>
      </c>
      <c r="RM2" s="3" t="s">
        <v>503</v>
      </c>
      <c r="SQ2" s="3" t="s">
        <v>504</v>
      </c>
      <c r="TU2" s="3" t="s">
        <v>426</v>
      </c>
      <c r="UY2" s="3" t="s">
        <v>213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_xll.BDS("COL US Equity","SUPPLY_CHAIN_SUPPLIERS_ALL_DATA","cols=12;rows=1")</f>
        <v>FE US Equity</v>
      </c>
      <c r="C5">
        <v>-2.4245362661989844E-14</v>
      </c>
      <c r="D5">
        <v>-2.4245362661989844E-14</v>
      </c>
      <c r="E5" t="s">
        <v>1594</v>
      </c>
      <c r="F5">
        <v>2021</v>
      </c>
      <c r="G5" t="s">
        <v>3048</v>
      </c>
      <c r="H5" s="6">
        <v>44693</v>
      </c>
      <c r="I5">
        <v>1</v>
      </c>
      <c r="J5">
        <v>-2.4245362661989844E-14</v>
      </c>
      <c r="K5">
        <v>302916</v>
      </c>
      <c r="L5" t="s">
        <v>3049</v>
      </c>
      <c r="O5" t="str">
        <f>_xll.BDS("COL US Equity","SUPPLY_CHAIN_CUSTOMERS_ALL_DATA")</f>
        <v>#N/A N/A</v>
      </c>
      <c r="AE5" t="str">
        <f>_xll.BDS("ECL US Equity","SUPPLY_CHAIN_SUPPLIERS_ALL_DATA","cols=12;rows=5")</f>
        <v>CLN SW Equity</v>
      </c>
      <c r="AF5" t="s">
        <v>1598</v>
      </c>
      <c r="AG5">
        <v>0.27591199999999999</v>
      </c>
      <c r="AH5">
        <v>0.13944000000000001</v>
      </c>
      <c r="AI5" t="s">
        <v>1664</v>
      </c>
      <c r="AJ5">
        <v>2025</v>
      </c>
      <c r="AK5" t="s">
        <v>5105</v>
      </c>
      <c r="AL5" s="6">
        <v>45922</v>
      </c>
      <c r="AM5">
        <v>5</v>
      </c>
      <c r="AN5">
        <v>3306709.64</v>
      </c>
      <c r="AO5">
        <v>162326</v>
      </c>
      <c r="AP5" t="s">
        <v>5106</v>
      </c>
      <c r="AS5" t="str">
        <f>_xll.BDS("ECL US Equity","SUPPLY_CHAIN_CUSTOMERS_ALL_DATA","cols=12;rows=5")</f>
        <v>WMT US Equity</v>
      </c>
      <c r="AT5">
        <v>1.7977730000000001</v>
      </c>
      <c r="AU5" t="s">
        <v>1598</v>
      </c>
      <c r="AV5">
        <v>5.2520999999999998E-2</v>
      </c>
      <c r="AW5" t="s">
        <v>1606</v>
      </c>
      <c r="AX5">
        <v>2025</v>
      </c>
      <c r="AY5" t="s">
        <v>2093</v>
      </c>
      <c r="AZ5" s="6">
        <v>46071</v>
      </c>
      <c r="BA5">
        <v>5</v>
      </c>
      <c r="BB5">
        <v>70748656</v>
      </c>
      <c r="BC5">
        <v>101616</v>
      </c>
      <c r="BD5" t="s">
        <v>1666</v>
      </c>
      <c r="BI5" t="str">
        <f>_xll.BDS("NXST US Equity","SUPPLY_CHAIN_SUPPLIERS_ALL_DATA","cols=12;rows=5")</f>
        <v>DLB US Equity</v>
      </c>
      <c r="BJ5" t="s">
        <v>1598</v>
      </c>
      <c r="BK5">
        <v>0.234098</v>
      </c>
      <c r="BL5">
        <v>0.127889</v>
      </c>
      <c r="BM5" t="s">
        <v>1606</v>
      </c>
      <c r="BN5">
        <v>2025</v>
      </c>
      <c r="BO5" t="s">
        <v>3430</v>
      </c>
      <c r="BP5" s="6">
        <v>46018</v>
      </c>
      <c r="BQ5">
        <v>5</v>
      </c>
      <c r="BR5">
        <v>718737</v>
      </c>
      <c r="BS5">
        <v>916504</v>
      </c>
      <c r="BT5" t="s">
        <v>3431</v>
      </c>
      <c r="BW5" t="str">
        <f>_xll.BDS("NXST US Equity","SUPPLY_CHAIN_CUSTOMERS_ALL_DATA","cols=12;rows=5")</f>
        <v>3276470Z US Equity</v>
      </c>
      <c r="BX5">
        <v>-2.4245362661989844E-14</v>
      </c>
      <c r="BZ5">
        <v>-2.4245362661989844E-14</v>
      </c>
      <c r="CA5" t="s">
        <v>1594</v>
      </c>
      <c r="CB5">
        <v>2024</v>
      </c>
      <c r="CC5" t="s">
        <v>4582</v>
      </c>
      <c r="CD5" s="6">
        <v>45313</v>
      </c>
      <c r="CE5">
        <v>5</v>
      </c>
      <c r="CF5">
        <v>-2.4245362661989844E-14</v>
      </c>
      <c r="CG5">
        <v>15994790</v>
      </c>
      <c r="CH5" t="s">
        <v>3513</v>
      </c>
      <c r="CM5" t="str">
        <f>_xll.BDS("0961514D US Equity","SUPPLY_CHAIN_SUPPLIERS_ALL_DATA")</f>
        <v>#N/A N/A</v>
      </c>
      <c r="DA5" t="str">
        <f>_xll.BDS("0961514D US Equity","SUPPLY_CHAIN_CUSTOMERS_ALL_DATA")</f>
        <v>#N/A N/A</v>
      </c>
      <c r="DQ5" t="str">
        <f>_xll.BDS("PLD US Equity","SUPPLY_CHAIN_SUPPLIERS_ALL_DATA","cols=12;rows=5")</f>
        <v>SALFACOR CI Equity</v>
      </c>
      <c r="DR5" t="s">
        <v>1598</v>
      </c>
      <c r="DS5">
        <v>1.0878749999999999</v>
      </c>
      <c r="DT5">
        <v>25.782067999999999</v>
      </c>
      <c r="DU5" t="s">
        <v>1594</v>
      </c>
      <c r="DV5">
        <v>2024</v>
      </c>
      <c r="DW5" t="s">
        <v>2301</v>
      </c>
      <c r="DX5" s="6">
        <v>45714</v>
      </c>
      <c r="DY5">
        <v>5</v>
      </c>
      <c r="DZ5">
        <v>3034787.67</v>
      </c>
      <c r="EA5">
        <v>9218729</v>
      </c>
      <c r="EB5" t="s">
        <v>2302</v>
      </c>
      <c r="EE5" t="str">
        <f>_xll.BDS("PLD US Equity","SUPPLY_CHAIN_CUSTOMERS_ALL_DATA","cols=12;rows=5")</f>
        <v>AMZN US Equity</v>
      </c>
      <c r="EF5">
        <v>5.4977010000000002</v>
      </c>
      <c r="EG5" t="s">
        <v>1685</v>
      </c>
      <c r="EH5">
        <v>0.81587200000000004</v>
      </c>
      <c r="EI5" t="s">
        <v>1594</v>
      </c>
      <c r="EJ5">
        <v>2024</v>
      </c>
      <c r="EK5" t="s">
        <v>1903</v>
      </c>
      <c r="EL5" s="6">
        <v>45702</v>
      </c>
      <c r="EM5">
        <v>5</v>
      </c>
      <c r="EN5">
        <v>112725000</v>
      </c>
      <c r="EO5">
        <v>216952</v>
      </c>
      <c r="EP5" t="s">
        <v>1631</v>
      </c>
      <c r="EU5" t="str">
        <f>_xll.BDS("ALXN US Equity","SUPPLY_CHAIN_SUPPLIERS_ALL_DATA")</f>
        <v>#N/A N/A</v>
      </c>
      <c r="FI5" t="str">
        <f>_xll.BDS("ALXN US Equity","SUPPLY_CHAIN_CUSTOMERS_ALL_DATA")</f>
        <v>#N/A N/A</v>
      </c>
      <c r="FY5" t="str">
        <f>_xll.BDS("CELG US Equity","SUPPLY_CHAIN_SUPPLIERS_ALL_DATA","cols=12;rows=1")</f>
        <v>FE US Equity</v>
      </c>
      <c r="GA5">
        <v>-2.4245362661989844E-14</v>
      </c>
      <c r="GB5">
        <v>-2.4245362661989844E-14</v>
      </c>
      <c r="GC5" t="s">
        <v>1594</v>
      </c>
      <c r="GD5">
        <v>2021</v>
      </c>
      <c r="GE5" t="s">
        <v>3048</v>
      </c>
      <c r="GF5" s="6">
        <v>44693</v>
      </c>
      <c r="GG5">
        <v>1</v>
      </c>
      <c r="GH5">
        <v>-2.4245362661989844E-14</v>
      </c>
      <c r="GI5">
        <v>302916</v>
      </c>
      <c r="GJ5" t="s">
        <v>3049</v>
      </c>
      <c r="GM5" t="str">
        <f>_xll.BDS("CELG US Equity","SUPPLY_CHAIN_CUSTOMERS_ALL_DATA")</f>
        <v>#N/A N/A</v>
      </c>
      <c r="HC5" t="str">
        <f>_xll.BDS("GIS US Equity","SUPPLY_CHAIN_SUPPLIERS_ALL_DATA","cols=12;rows=5")</f>
        <v>GPK US Equity</v>
      </c>
      <c r="HD5" t="s">
        <v>1598</v>
      </c>
      <c r="HE5">
        <v>3.2047750000000002</v>
      </c>
      <c r="HF5">
        <v>2.113801</v>
      </c>
      <c r="HG5" t="s">
        <v>1606</v>
      </c>
      <c r="HH5">
        <v>2025</v>
      </c>
      <c r="HI5" t="s">
        <v>3603</v>
      </c>
      <c r="HJ5" s="6">
        <v>46076</v>
      </c>
      <c r="HK5">
        <v>5</v>
      </c>
      <c r="HL5">
        <v>67396416</v>
      </c>
      <c r="HM5">
        <v>187274</v>
      </c>
      <c r="HN5" t="s">
        <v>3604</v>
      </c>
      <c r="HQ5" t="str">
        <f>_xll.BDS("GIS US Equity","SUPPLY_CHAIN_CUSTOMERS_ALL_DATA","cols=12;rows=5")</f>
        <v>WMT US Equity</v>
      </c>
      <c r="HR5">
        <v>22</v>
      </c>
      <c r="HS5" t="s">
        <v>1598</v>
      </c>
      <c r="HT5">
        <v>0.83304400000000001</v>
      </c>
      <c r="HU5" t="s">
        <v>1594</v>
      </c>
      <c r="HV5">
        <v>2025</v>
      </c>
      <c r="HW5" t="s">
        <v>1978</v>
      </c>
      <c r="HX5" s="6">
        <v>45834</v>
      </c>
      <c r="HY5">
        <v>5</v>
      </c>
      <c r="HZ5">
        <v>1071763008</v>
      </c>
      <c r="IA5">
        <v>101616</v>
      </c>
      <c r="IB5" t="s">
        <v>1666</v>
      </c>
      <c r="IG5" t="str">
        <f>_xll.BDS("1260972D US Equity","SUPPLY_CHAIN_SUPPLIERS_ALL_DATA")</f>
        <v>#N/A N/A</v>
      </c>
      <c r="IU5" t="str">
        <f>_xll.BDS("1260972D US Equity","SUPPLY_CHAIN_CUSTOMERS_ALL_DATA")</f>
        <v>#N/A N/A</v>
      </c>
      <c r="JK5" t="str">
        <f>_xll.BDS("INVH US Equity","SUPPLY_CHAIN_SUPPLIERS_ALL_DATA")</f>
        <v>#N/A N/A</v>
      </c>
      <c r="JY5" t="str">
        <f>_xll.BDS("INVH US Equity","SUPPLY_CHAIN_CUSTOMERS_ALL_DATA")</f>
        <v>#N/A N/A</v>
      </c>
      <c r="KO5" t="str">
        <f>_xll.BDS("AGN US Equity","SUPPLY_CHAIN_SUPPLIERS_ALL_DATA","cols=12;rows=5")</f>
        <v>AEE US Equity</v>
      </c>
      <c r="KQ5">
        <v>-2.4245362661989844E-14</v>
      </c>
      <c r="KR5">
        <v>-2.4245362661989844E-14</v>
      </c>
      <c r="KS5" t="s">
        <v>1594</v>
      </c>
      <c r="KT5">
        <v>2021</v>
      </c>
      <c r="KU5" t="s">
        <v>2150</v>
      </c>
      <c r="KV5" s="6">
        <v>44693</v>
      </c>
      <c r="KW5">
        <v>5</v>
      </c>
      <c r="KX5">
        <v>-2.4245362661989844E-14</v>
      </c>
      <c r="KY5">
        <v>313098</v>
      </c>
      <c r="KZ5" t="s">
        <v>2151</v>
      </c>
      <c r="LC5" t="str">
        <f>_xll.BDS("AGN US Equity","SUPPLY_CHAIN_CUSTOMERS_ALL_DATA","cols=12;rows=1")</f>
        <v>4569 JP Equity</v>
      </c>
      <c r="LD5">
        <v>-2.4245362661989844E-14</v>
      </c>
      <c r="LF5">
        <v>-2.4245362661989844E-14</v>
      </c>
      <c r="LG5" t="s">
        <v>1594</v>
      </c>
      <c r="LH5">
        <v>2022</v>
      </c>
      <c r="LI5" t="s">
        <v>4037</v>
      </c>
      <c r="LJ5" s="6">
        <v>44736</v>
      </c>
      <c r="LK5">
        <v>1</v>
      </c>
      <c r="LL5">
        <v>-2.4245362661989844E-14</v>
      </c>
      <c r="LM5">
        <v>10499395</v>
      </c>
      <c r="LN5" t="s">
        <v>4038</v>
      </c>
      <c r="LS5" t="str">
        <f>_xll.BDS("VLO US Equity","SUPPLY_CHAIN_SUPPLIERS_ALL_DATA","cols=12;rows=5")</f>
        <v>DAR US Equity</v>
      </c>
      <c r="LT5" t="s">
        <v>1598</v>
      </c>
      <c r="LU5">
        <v>22</v>
      </c>
      <c r="LV5">
        <v>1.2306760000000001</v>
      </c>
      <c r="LW5" t="s">
        <v>1599</v>
      </c>
      <c r="LX5">
        <v>2025</v>
      </c>
      <c r="LY5" t="s">
        <v>4011</v>
      </c>
      <c r="LZ5" s="6">
        <v>45966</v>
      </c>
      <c r="MA5">
        <v>5</v>
      </c>
      <c r="MB5">
        <v>344072512</v>
      </c>
      <c r="MC5">
        <v>136254</v>
      </c>
      <c r="MD5" t="s">
        <v>4012</v>
      </c>
      <c r="MG5" t="str">
        <f>_xll.BDS("VLO US Equity","SUPPLY_CHAIN_CUSTOMERS_ALL_DATA","cols=12;rows=5")</f>
        <v>ARKO US Equity</v>
      </c>
      <c r="MH5">
        <v>-2.4245362661989844E-14</v>
      </c>
      <c r="MJ5">
        <v>-2.4245362661989844E-14</v>
      </c>
      <c r="MK5" t="s">
        <v>1594</v>
      </c>
      <c r="ML5">
        <v>2024</v>
      </c>
      <c r="MM5" t="s">
        <v>5032</v>
      </c>
      <c r="MN5" s="6">
        <v>45714</v>
      </c>
      <c r="MO5">
        <v>5</v>
      </c>
      <c r="MP5">
        <v>-2.4245362661989844E-14</v>
      </c>
      <c r="MQ5">
        <v>69344989</v>
      </c>
      <c r="MR5" t="s">
        <v>3715</v>
      </c>
      <c r="MW5" t="str">
        <f>_xll.BDS("GMST US Equity","SUPPLY_CHAIN_SUPPLIERS_ALL_DATA")</f>
        <v>#N/A N/A</v>
      </c>
      <c r="NK5" t="str">
        <f>_xll.BDS("GMST US Equity","SUPPLY_CHAIN_CUSTOMERS_ALL_DATA")</f>
        <v>#N/A N/A</v>
      </c>
      <c r="OA5" t="str">
        <f>_xll.BDS("NOC US Equity","SUPPLY_CHAIN_SUPPLIERS_ALL_DATA","cols=12;rows=5")</f>
        <v>RTX US Equity</v>
      </c>
      <c r="OB5" t="s">
        <v>1598</v>
      </c>
      <c r="OC5">
        <v>0.51138700000000004</v>
      </c>
      <c r="OD5">
        <v>1.351197</v>
      </c>
      <c r="OE5" t="s">
        <v>1664</v>
      </c>
      <c r="OF5">
        <v>2025</v>
      </c>
      <c r="OG5" t="s">
        <v>2129</v>
      </c>
      <c r="OH5" s="6">
        <v>45895</v>
      </c>
      <c r="OI5">
        <v>5</v>
      </c>
      <c r="OJ5">
        <v>110362432</v>
      </c>
      <c r="OK5">
        <v>101555</v>
      </c>
      <c r="OL5" t="s">
        <v>2130</v>
      </c>
      <c r="OO5" t="str">
        <f>_xll.BDS("NOC US Equity","SUPPLY_CHAIN_CUSTOMERS_ALL_DATA","cols=12;rows=5")</f>
        <v>3352Z US Equity</v>
      </c>
      <c r="OP5">
        <v>84</v>
      </c>
      <c r="OR5">
        <v>-2.4245362661989844E-14</v>
      </c>
      <c r="OS5" t="s">
        <v>1594</v>
      </c>
      <c r="OT5">
        <v>2025</v>
      </c>
      <c r="OU5" t="s">
        <v>1627</v>
      </c>
      <c r="OV5" s="6">
        <v>46049</v>
      </c>
      <c r="OW5">
        <v>5</v>
      </c>
      <c r="OX5">
        <v>8795750000</v>
      </c>
      <c r="OY5">
        <v>218252</v>
      </c>
      <c r="OZ5" t="s">
        <v>1622</v>
      </c>
      <c r="PE5" t="str">
        <f>_xll.BDS("WY US Equity","SUPPLY_CHAIN_SUPPLIERS_ALL_DATA","cols=12;rows=5")</f>
        <v>CNR CN Equity</v>
      </c>
      <c r="PF5" t="s">
        <v>1598</v>
      </c>
      <c r="PG5">
        <v>2.7681999999999998E-2</v>
      </c>
      <c r="PH5">
        <v>5.9485999999999997E-2</v>
      </c>
      <c r="PI5" t="s">
        <v>1603</v>
      </c>
      <c r="PJ5">
        <v>2025</v>
      </c>
      <c r="PK5" t="s">
        <v>2089</v>
      </c>
      <c r="PL5" s="6">
        <v>45849</v>
      </c>
      <c r="PM5">
        <v>5</v>
      </c>
      <c r="PN5">
        <v>849447.14</v>
      </c>
      <c r="PO5">
        <v>179551</v>
      </c>
      <c r="PP5" t="s">
        <v>2090</v>
      </c>
      <c r="PS5" t="str">
        <f>_xll.BDS("WY US Equity","SUPPLY_CHAIN_CUSTOMERS_ALL_DATA","cols=12;rows=5")</f>
        <v>BLDR US Equity</v>
      </c>
      <c r="PT5">
        <v>-2.4245362661989844E-14</v>
      </c>
      <c r="PV5">
        <v>-2.4245362661989844E-14</v>
      </c>
      <c r="PW5" t="s">
        <v>1594</v>
      </c>
      <c r="PX5">
        <v>2025</v>
      </c>
      <c r="PY5" t="s">
        <v>1718</v>
      </c>
      <c r="PZ5" s="6">
        <v>46070</v>
      </c>
      <c r="QA5">
        <v>5</v>
      </c>
      <c r="QB5">
        <v>-2.4245362661989844E-14</v>
      </c>
      <c r="QC5">
        <v>952888</v>
      </c>
      <c r="QD5" t="s">
        <v>2787</v>
      </c>
      <c r="QI5" t="str">
        <f>_xll.BDS("BX US Equity","SUPPLY_CHAIN_SUPPLIERS_ALL_DATA","cols=12;rows=5")</f>
        <v>ORCL US Equity</v>
      </c>
      <c r="QJ5" t="s">
        <v>1598</v>
      </c>
      <c r="QK5">
        <v>3.7003000000000001E-2</v>
      </c>
      <c r="QL5">
        <v>0.33128000000000002</v>
      </c>
      <c r="QM5" t="s">
        <v>1606</v>
      </c>
      <c r="QN5">
        <v>2025</v>
      </c>
      <c r="QO5" t="s">
        <v>2251</v>
      </c>
      <c r="QP5" s="6">
        <v>45848</v>
      </c>
      <c r="QQ5">
        <v>5</v>
      </c>
      <c r="QR5">
        <v>5884587</v>
      </c>
      <c r="QS5">
        <v>101752</v>
      </c>
      <c r="QT5" t="s">
        <v>2265</v>
      </c>
      <c r="QW5" t="str">
        <f>_xll.BDS("BX US Equity","SUPPLY_CHAIN_CUSTOMERS_ALL_DATA","cols=12;rows=5")</f>
        <v>002284 CH Equity</v>
      </c>
      <c r="QX5">
        <v>-2.4245362661989844E-14</v>
      </c>
      <c r="QZ5">
        <v>-2.4245362661989844E-14</v>
      </c>
      <c r="RA5" t="s">
        <v>1594</v>
      </c>
      <c r="RB5">
        <v>2024</v>
      </c>
      <c r="RC5" t="s">
        <v>1789</v>
      </c>
      <c r="RD5" s="6">
        <v>45744</v>
      </c>
      <c r="RE5">
        <v>5</v>
      </c>
      <c r="RF5">
        <v>-2.4245362661989844E-14</v>
      </c>
      <c r="RG5">
        <v>15069854</v>
      </c>
      <c r="RH5" t="s">
        <v>1790</v>
      </c>
      <c r="RM5" t="str">
        <f>_xll.BDS("MGM US Equity","SUPPLY_CHAIN_SUPPLIERS_ALL_DATA","cols=12;rows=5")</f>
        <v>VICI US Equity</v>
      </c>
      <c r="RN5" t="s">
        <v>1685</v>
      </c>
      <c r="RO5">
        <v>35</v>
      </c>
      <c r="RP5">
        <v>27.919884</v>
      </c>
      <c r="RQ5" t="s">
        <v>1594</v>
      </c>
      <c r="RR5">
        <v>2024</v>
      </c>
      <c r="RS5" t="s">
        <v>2351</v>
      </c>
      <c r="RT5" s="6">
        <v>45708</v>
      </c>
      <c r="RU5">
        <v>5</v>
      </c>
      <c r="RV5">
        <v>336805440</v>
      </c>
      <c r="RW5">
        <v>55267607</v>
      </c>
      <c r="RX5" t="s">
        <v>2352</v>
      </c>
      <c r="SA5" t="str">
        <f>_xll.BDS("MGM US Equity","SUPPLY_CHAIN_CUSTOMERS_ALL_DATA","cols=12;rows=5")</f>
        <v>0676719D US Equity</v>
      </c>
      <c r="SB5">
        <v>-2.4245362661989844E-14</v>
      </c>
      <c r="SD5">
        <v>-2.4245362661989844E-14</v>
      </c>
      <c r="SE5" t="s">
        <v>1594</v>
      </c>
      <c r="SF5">
        <v>2022</v>
      </c>
      <c r="SG5" t="s">
        <v>1837</v>
      </c>
      <c r="SH5" s="6">
        <v>44914</v>
      </c>
      <c r="SI5">
        <v>5</v>
      </c>
      <c r="SJ5">
        <v>-2.4245362661989844E-14</v>
      </c>
      <c r="SK5">
        <v>937707</v>
      </c>
      <c r="SL5" t="s">
        <v>1838</v>
      </c>
      <c r="SQ5" t="str">
        <f>_xll.BDS("LNC US Equity","SUPPLY_CHAIN_SUPPLIERS_ALL_DATA","cols=12;rows=5")</f>
        <v>BDN US Equity</v>
      </c>
      <c r="SR5" t="s">
        <v>1685</v>
      </c>
      <c r="SS5">
        <v>2.0517609999999999</v>
      </c>
      <c r="ST5">
        <v>6.7790850000000002</v>
      </c>
      <c r="SU5" t="s">
        <v>1594</v>
      </c>
      <c r="SV5">
        <v>2024</v>
      </c>
      <c r="SW5" t="s">
        <v>5984</v>
      </c>
      <c r="SX5" s="6">
        <v>45693</v>
      </c>
      <c r="SY5">
        <v>5</v>
      </c>
      <c r="SZ5">
        <v>2593000.25</v>
      </c>
      <c r="TA5">
        <v>105115</v>
      </c>
      <c r="TB5" t="s">
        <v>5985</v>
      </c>
      <c r="TE5" t="str">
        <f>_xll.BDS("LNC US Equity","SUPPLY_CHAIN_CUSTOMERS_ALL_DATA")</f>
        <v>#N/A N/A</v>
      </c>
      <c r="TU5" t="str">
        <f>_xll.BDS("CME US Equity","SUPPLY_CHAIN_SUPPLIERS_ALL_DATA","cols=12;rows=2")</f>
        <v>BUC LN Equity</v>
      </c>
      <c r="TW5">
        <v>-2.4245362661989844E-14</v>
      </c>
      <c r="TX5">
        <v>-2.4245362661989844E-14</v>
      </c>
      <c r="TY5" t="s">
        <v>1594</v>
      </c>
      <c r="TZ5">
        <v>2021</v>
      </c>
      <c r="UA5" t="s">
        <v>4863</v>
      </c>
      <c r="UB5" s="6">
        <v>44650</v>
      </c>
      <c r="UC5">
        <v>2</v>
      </c>
      <c r="UD5">
        <v>-2.4245362661989844E-14</v>
      </c>
      <c r="UE5">
        <v>111137</v>
      </c>
      <c r="UF5" t="s">
        <v>4864</v>
      </c>
      <c r="UI5" t="str">
        <f>_xll.BDS("CME US Equity","SUPPLY_CHAIN_CUSTOMERS_ALL_DATA","cols=12;rows=2")</f>
        <v>8284 TT Equity</v>
      </c>
      <c r="UJ5">
        <v>-2.4245362661989844E-14</v>
      </c>
      <c r="UL5">
        <v>-2.4245362661989844E-14</v>
      </c>
      <c r="UM5" t="s">
        <v>1594</v>
      </c>
      <c r="UN5">
        <v>2024</v>
      </c>
      <c r="UO5" t="s">
        <v>4346</v>
      </c>
      <c r="UP5" s="6">
        <v>45793</v>
      </c>
      <c r="UQ5">
        <v>2</v>
      </c>
      <c r="UR5">
        <v>-2.4245362661989844E-14</v>
      </c>
      <c r="US5">
        <v>33142972</v>
      </c>
      <c r="UT5" t="s">
        <v>4347</v>
      </c>
      <c r="UY5" t="str">
        <f>_xll.BDS("RIG US Equity","SUPPLY_CHAIN_SUPPLIERS_ALL_DATA","cols=12;rows=5")</f>
        <v>PDM US Equity</v>
      </c>
      <c r="UZ5" t="s">
        <v>1685</v>
      </c>
      <c r="VA5">
        <v>2.0547970000000002</v>
      </c>
      <c r="VB5">
        <v>5.4761680000000004</v>
      </c>
      <c r="VC5" t="s">
        <v>1594</v>
      </c>
      <c r="VD5">
        <v>2024</v>
      </c>
      <c r="VE5" t="s">
        <v>3907</v>
      </c>
      <c r="VF5" s="6">
        <v>45702</v>
      </c>
      <c r="VG5">
        <v>5</v>
      </c>
      <c r="VH5">
        <v>2929750</v>
      </c>
      <c r="VI5">
        <v>225922</v>
      </c>
      <c r="VJ5" t="s">
        <v>3908</v>
      </c>
      <c r="VM5" t="str">
        <f>_xll.BDS("RIG US Equity","SUPPLY_CHAIN_CUSTOMERS_ALL_DATA","cols=12;rows=5")</f>
        <v>PETR4 BZ Equity</v>
      </c>
      <c r="VN5">
        <v>22</v>
      </c>
      <c r="VO5" t="s">
        <v>1634</v>
      </c>
      <c r="VP5">
        <v>5.0154269999999999</v>
      </c>
      <c r="VQ5" t="s">
        <v>1594</v>
      </c>
      <c r="VR5">
        <v>2025</v>
      </c>
      <c r="VS5" t="s">
        <v>5345</v>
      </c>
      <c r="VT5" s="6">
        <v>46076</v>
      </c>
      <c r="VU5">
        <v>5</v>
      </c>
      <c r="VV5">
        <v>218075008</v>
      </c>
      <c r="VW5">
        <v>136114</v>
      </c>
      <c r="VX5" t="s">
        <v>1810</v>
      </c>
    </row>
    <row r="6" spans="1:600" x14ac:dyDescent="0.25">
      <c r="AE6" t="s">
        <v>3241</v>
      </c>
      <c r="AF6" t="s">
        <v>1634</v>
      </c>
      <c r="AG6">
        <v>0.23535700000000001</v>
      </c>
      <c r="AH6">
        <v>0.98457099999999997</v>
      </c>
      <c r="AI6" t="s">
        <v>1599</v>
      </c>
      <c r="AJ6">
        <v>2025</v>
      </c>
      <c r="AK6" t="s">
        <v>3242</v>
      </c>
      <c r="AL6" s="6">
        <v>45966</v>
      </c>
      <c r="AM6">
        <v>5</v>
      </c>
      <c r="AN6">
        <v>2447889</v>
      </c>
      <c r="AO6">
        <v>10656931</v>
      </c>
      <c r="AP6" t="s">
        <v>3243</v>
      </c>
      <c r="AS6" t="s">
        <v>1917</v>
      </c>
      <c r="AT6">
        <v>1.6844600000000001</v>
      </c>
      <c r="AU6" t="s">
        <v>1598</v>
      </c>
      <c r="AV6">
        <v>8.8949E-2</v>
      </c>
      <c r="AW6" t="s">
        <v>1606</v>
      </c>
      <c r="AX6">
        <v>2025</v>
      </c>
      <c r="AY6" t="s">
        <v>2093</v>
      </c>
      <c r="AZ6" s="6">
        <v>46071</v>
      </c>
      <c r="BA6">
        <v>5</v>
      </c>
      <c r="BB6">
        <v>66289396</v>
      </c>
      <c r="BC6">
        <v>101695</v>
      </c>
      <c r="BD6" t="s">
        <v>1919</v>
      </c>
      <c r="BI6" t="s">
        <v>5237</v>
      </c>
      <c r="BK6">
        <v>-2.4245362661989844E-14</v>
      </c>
      <c r="BL6">
        <v>-2.4245362661989844E-14</v>
      </c>
      <c r="BM6" t="s">
        <v>1594</v>
      </c>
      <c r="BN6">
        <v>2024</v>
      </c>
      <c r="BO6" t="s">
        <v>5238</v>
      </c>
      <c r="BP6" s="6">
        <v>45511</v>
      </c>
      <c r="BQ6">
        <v>5</v>
      </c>
      <c r="BR6">
        <v>-2.4245362661989844E-14</v>
      </c>
      <c r="BS6">
        <v>169071</v>
      </c>
      <c r="BT6" t="s">
        <v>5239</v>
      </c>
      <c r="BW6" t="s">
        <v>4583</v>
      </c>
      <c r="BX6">
        <v>-2.4245362661989844E-14</v>
      </c>
      <c r="BZ6">
        <v>-2.4245362661989844E-14</v>
      </c>
      <c r="CA6" t="s">
        <v>1594</v>
      </c>
      <c r="CB6">
        <v>2025</v>
      </c>
      <c r="CC6" t="s">
        <v>4584</v>
      </c>
      <c r="CD6" s="6">
        <v>46087</v>
      </c>
      <c r="CE6">
        <v>5</v>
      </c>
      <c r="CF6">
        <v>-2.4245362661989844E-14</v>
      </c>
      <c r="CG6">
        <v>100179</v>
      </c>
      <c r="CH6" t="s">
        <v>4585</v>
      </c>
      <c r="DQ6" t="s">
        <v>2303</v>
      </c>
      <c r="DS6">
        <v>-2.4245362661989844E-14</v>
      </c>
      <c r="DT6">
        <v>-2.4245362661989844E-14</v>
      </c>
      <c r="DU6" t="s">
        <v>1594</v>
      </c>
      <c r="DV6">
        <v>2023</v>
      </c>
      <c r="DW6" t="s">
        <v>2304</v>
      </c>
      <c r="DX6" s="6">
        <v>45042</v>
      </c>
      <c r="DY6">
        <v>5</v>
      </c>
      <c r="DZ6">
        <v>-2.4245362661989844E-14</v>
      </c>
      <c r="EA6">
        <v>41727115</v>
      </c>
      <c r="EB6" t="s">
        <v>2305</v>
      </c>
      <c r="EE6" t="s">
        <v>365</v>
      </c>
      <c r="EF6">
        <v>2.5655939999999999</v>
      </c>
      <c r="EG6" t="s">
        <v>1685</v>
      </c>
      <c r="EH6">
        <v>0.75958400000000004</v>
      </c>
      <c r="EI6" t="s">
        <v>1594</v>
      </c>
      <c r="EJ6">
        <v>2024</v>
      </c>
      <c r="EK6" t="s">
        <v>1903</v>
      </c>
      <c r="EL6" s="6">
        <v>45702</v>
      </c>
      <c r="EM6">
        <v>5</v>
      </c>
      <c r="EN6">
        <v>52605000</v>
      </c>
      <c r="EO6">
        <v>100743</v>
      </c>
      <c r="EP6" t="s">
        <v>1904</v>
      </c>
      <c r="HC6" t="s">
        <v>3952</v>
      </c>
      <c r="HD6" t="s">
        <v>1598</v>
      </c>
      <c r="HE6">
        <v>0.876467</v>
      </c>
      <c r="HF6">
        <v>1.161265</v>
      </c>
      <c r="HG6" t="s">
        <v>1606</v>
      </c>
      <c r="HH6">
        <v>2025</v>
      </c>
      <c r="HI6" t="s">
        <v>3953</v>
      </c>
      <c r="HJ6" s="6">
        <v>45986</v>
      </c>
      <c r="HK6">
        <v>5</v>
      </c>
      <c r="HL6">
        <v>40218112.399999999</v>
      </c>
      <c r="HM6">
        <v>300730</v>
      </c>
      <c r="HN6" t="s">
        <v>3954</v>
      </c>
      <c r="HQ6" t="s">
        <v>1943</v>
      </c>
      <c r="HR6">
        <v>8.8456980000000005</v>
      </c>
      <c r="HS6" t="s">
        <v>1598</v>
      </c>
      <c r="HT6">
        <v>0.57429200000000002</v>
      </c>
      <c r="HU6" t="s">
        <v>1603</v>
      </c>
      <c r="HV6">
        <v>2026</v>
      </c>
      <c r="HW6" t="s">
        <v>1979</v>
      </c>
      <c r="HX6" s="6">
        <v>45945</v>
      </c>
      <c r="HY6">
        <v>5</v>
      </c>
      <c r="HZ6">
        <v>430931456</v>
      </c>
      <c r="IA6">
        <v>101758</v>
      </c>
      <c r="IB6" t="s">
        <v>1944</v>
      </c>
      <c r="KO6" t="s">
        <v>2152</v>
      </c>
      <c r="KQ6">
        <v>-2.4245362661989844E-14</v>
      </c>
      <c r="KR6">
        <v>-2.4245362661989844E-14</v>
      </c>
      <c r="KS6" t="s">
        <v>1594</v>
      </c>
      <c r="KT6">
        <v>2021</v>
      </c>
      <c r="KU6" t="s">
        <v>2153</v>
      </c>
      <c r="KV6" s="6">
        <v>44693</v>
      </c>
      <c r="KW6">
        <v>5</v>
      </c>
      <c r="KX6">
        <v>-2.4245362661989844E-14</v>
      </c>
      <c r="KY6">
        <v>100060</v>
      </c>
      <c r="KZ6" t="s">
        <v>2154</v>
      </c>
      <c r="LS6" t="s">
        <v>143</v>
      </c>
      <c r="LT6" t="s">
        <v>1598</v>
      </c>
      <c r="LU6">
        <v>0.45644699999999999</v>
      </c>
      <c r="LV6">
        <v>0.26349899999999998</v>
      </c>
      <c r="LW6" t="s">
        <v>1606</v>
      </c>
      <c r="LX6">
        <v>2025</v>
      </c>
      <c r="LY6" t="s">
        <v>2251</v>
      </c>
      <c r="LZ6" s="6">
        <v>45848</v>
      </c>
      <c r="MA6">
        <v>5</v>
      </c>
      <c r="MB6">
        <v>72588768</v>
      </c>
      <c r="MC6">
        <v>101752</v>
      </c>
      <c r="MD6" t="s">
        <v>2265</v>
      </c>
      <c r="MG6" t="s">
        <v>2888</v>
      </c>
      <c r="MH6">
        <v>-2.4245362661989844E-14</v>
      </c>
      <c r="MJ6">
        <v>-2.4245362661989844E-14</v>
      </c>
      <c r="MK6" t="s">
        <v>1594</v>
      </c>
      <c r="ML6">
        <v>2025</v>
      </c>
      <c r="MM6" t="s">
        <v>2889</v>
      </c>
      <c r="MN6" s="6">
        <v>45834</v>
      </c>
      <c r="MO6">
        <v>5</v>
      </c>
      <c r="MP6">
        <v>-2.4245362661989844E-14</v>
      </c>
      <c r="MQ6">
        <v>108241</v>
      </c>
      <c r="MR6" t="s">
        <v>2890</v>
      </c>
      <c r="OA6" t="s">
        <v>2182</v>
      </c>
      <c r="OB6" t="s">
        <v>1598</v>
      </c>
      <c r="OC6">
        <v>2.205819</v>
      </c>
      <c r="OD6">
        <v>0.66992200000000002</v>
      </c>
      <c r="OE6" t="s">
        <v>1664</v>
      </c>
      <c r="OF6">
        <v>2026</v>
      </c>
      <c r="OG6" t="s">
        <v>2183</v>
      </c>
      <c r="OH6" s="6">
        <v>46017</v>
      </c>
      <c r="OI6">
        <v>5</v>
      </c>
      <c r="OJ6">
        <v>56247939.43</v>
      </c>
      <c r="OK6">
        <v>113796</v>
      </c>
      <c r="OL6" t="s">
        <v>2184</v>
      </c>
      <c r="OO6" t="s">
        <v>1628</v>
      </c>
      <c r="OP6">
        <v>1.0381830000000001</v>
      </c>
      <c r="OQ6" t="s">
        <v>1598</v>
      </c>
      <c r="OR6">
        <v>0.65061599999999997</v>
      </c>
      <c r="OS6" t="s">
        <v>1599</v>
      </c>
      <c r="OT6">
        <v>2025</v>
      </c>
      <c r="OU6" t="s">
        <v>1629</v>
      </c>
      <c r="OV6" s="6">
        <v>45964</v>
      </c>
      <c r="OW6">
        <v>5</v>
      </c>
      <c r="OX6">
        <v>106499408</v>
      </c>
      <c r="OY6">
        <v>156923</v>
      </c>
      <c r="OZ6" t="s">
        <v>1630</v>
      </c>
      <c r="PE6" t="s">
        <v>3200</v>
      </c>
      <c r="PG6">
        <v>-2.4245362661989844E-14</v>
      </c>
      <c r="PH6">
        <v>-2.4245362661989844E-14</v>
      </c>
      <c r="PI6" t="s">
        <v>1594</v>
      </c>
      <c r="PJ6">
        <v>2024</v>
      </c>
      <c r="PK6" t="s">
        <v>2794</v>
      </c>
      <c r="PL6" s="6">
        <v>45349</v>
      </c>
      <c r="PM6">
        <v>5</v>
      </c>
      <c r="PN6">
        <v>-2.4245362661989844E-14</v>
      </c>
      <c r="PO6">
        <v>71057165</v>
      </c>
      <c r="PP6" t="s">
        <v>3201</v>
      </c>
      <c r="PS6" t="s">
        <v>2788</v>
      </c>
      <c r="PT6">
        <v>-2.4245362661989844E-14</v>
      </c>
      <c r="PV6">
        <v>-2.4245362661989844E-14</v>
      </c>
      <c r="PW6" t="s">
        <v>1594</v>
      </c>
      <c r="PX6">
        <v>2024</v>
      </c>
      <c r="PY6" t="s">
        <v>2789</v>
      </c>
      <c r="PZ6" s="6">
        <v>45706</v>
      </c>
      <c r="QA6">
        <v>5</v>
      </c>
      <c r="QB6">
        <v>-2.4245362661989844E-14</v>
      </c>
      <c r="QC6">
        <v>9152706</v>
      </c>
      <c r="QD6" t="s">
        <v>2790</v>
      </c>
      <c r="QI6" t="s">
        <v>2266</v>
      </c>
      <c r="QJ6" t="s">
        <v>1685</v>
      </c>
      <c r="QK6">
        <v>0.597939</v>
      </c>
      <c r="QL6">
        <v>5.9714000000000003E-2</v>
      </c>
      <c r="QM6" t="s">
        <v>1594</v>
      </c>
      <c r="QN6">
        <v>2024</v>
      </c>
      <c r="QO6" t="s">
        <v>2267</v>
      </c>
      <c r="QP6" s="6">
        <v>45694</v>
      </c>
      <c r="QQ6">
        <v>5</v>
      </c>
      <c r="QR6">
        <v>957052.25</v>
      </c>
      <c r="QS6">
        <v>103579</v>
      </c>
      <c r="QT6" t="s">
        <v>2268</v>
      </c>
      <c r="QW6" t="s">
        <v>1791</v>
      </c>
      <c r="QX6">
        <v>-2.4245362661989844E-14</v>
      </c>
      <c r="QZ6">
        <v>-2.4245362661989844E-14</v>
      </c>
      <c r="RA6" t="s">
        <v>1792</v>
      </c>
      <c r="RB6">
        <v>2025</v>
      </c>
      <c r="RC6" t="s">
        <v>1793</v>
      </c>
      <c r="RD6" s="6">
        <v>45894</v>
      </c>
      <c r="RE6">
        <v>5</v>
      </c>
      <c r="RF6">
        <v>-2.4245362661989844E-14</v>
      </c>
      <c r="RG6">
        <v>15149577</v>
      </c>
      <c r="RH6" t="s">
        <v>1794</v>
      </c>
      <c r="RM6" t="s">
        <v>238</v>
      </c>
      <c r="RN6" t="s">
        <v>1685</v>
      </c>
      <c r="RO6">
        <v>1.1316310000000001</v>
      </c>
      <c r="RP6">
        <v>1.2361869999999999</v>
      </c>
      <c r="RQ6" t="s">
        <v>1594</v>
      </c>
      <c r="RR6">
        <v>2024</v>
      </c>
      <c r="RS6" t="s">
        <v>2353</v>
      </c>
      <c r="RT6" s="6">
        <v>45713</v>
      </c>
      <c r="RU6">
        <v>5</v>
      </c>
      <c r="RV6">
        <v>14912472</v>
      </c>
      <c r="RW6">
        <v>154861</v>
      </c>
      <c r="RX6" t="s">
        <v>2354</v>
      </c>
      <c r="SA6" t="s">
        <v>1839</v>
      </c>
      <c r="SB6">
        <v>-2.4245362661989844E-14</v>
      </c>
      <c r="SD6">
        <v>-2.4245362661989844E-14</v>
      </c>
      <c r="SE6" t="s">
        <v>1594</v>
      </c>
      <c r="SF6">
        <v>2022</v>
      </c>
      <c r="SG6" t="s">
        <v>1837</v>
      </c>
      <c r="SH6" s="6">
        <v>44796</v>
      </c>
      <c r="SI6">
        <v>5</v>
      </c>
      <c r="SJ6">
        <v>-2.4245362661989844E-14</v>
      </c>
      <c r="SK6">
        <v>34633660</v>
      </c>
      <c r="SL6" t="s">
        <v>1840</v>
      </c>
      <c r="SQ6" t="s">
        <v>5986</v>
      </c>
      <c r="SS6">
        <v>-2.4245362661989844E-14</v>
      </c>
      <c r="ST6">
        <v>-2.4245362661989844E-14</v>
      </c>
      <c r="SU6" t="s">
        <v>1594</v>
      </c>
      <c r="SV6">
        <v>2022</v>
      </c>
      <c r="SW6" t="s">
        <v>5987</v>
      </c>
      <c r="SX6" s="6">
        <v>44974</v>
      </c>
      <c r="SY6">
        <v>5</v>
      </c>
      <c r="SZ6">
        <v>-2.4245362661989844E-14</v>
      </c>
      <c r="TA6">
        <v>116500</v>
      </c>
      <c r="TB6" t="s">
        <v>5988</v>
      </c>
      <c r="TU6" t="s">
        <v>4865</v>
      </c>
      <c r="TW6">
        <v>-2.4245362661989844E-14</v>
      </c>
      <c r="TX6">
        <v>-2.4245362661989844E-14</v>
      </c>
      <c r="TY6" t="s">
        <v>1594</v>
      </c>
      <c r="TZ6">
        <v>2022</v>
      </c>
      <c r="UA6" t="s">
        <v>4866</v>
      </c>
      <c r="UB6" s="6">
        <v>44988</v>
      </c>
      <c r="UC6">
        <v>2</v>
      </c>
      <c r="UD6">
        <v>-2.4245362661989844E-14</v>
      </c>
      <c r="UE6">
        <v>171858</v>
      </c>
      <c r="UF6" t="s">
        <v>4867</v>
      </c>
      <c r="UI6" t="s">
        <v>1700</v>
      </c>
      <c r="UJ6">
        <v>-2.4245362661989844E-14</v>
      </c>
      <c r="UL6">
        <v>-2.4245362661989844E-14</v>
      </c>
      <c r="UM6" t="s">
        <v>1594</v>
      </c>
      <c r="UN6">
        <v>2021</v>
      </c>
      <c r="UO6" t="s">
        <v>4265</v>
      </c>
      <c r="UP6" s="6">
        <v>44656</v>
      </c>
      <c r="UQ6">
        <v>2</v>
      </c>
      <c r="UR6">
        <v>-2.4245362661989844E-14</v>
      </c>
      <c r="US6">
        <v>1499717</v>
      </c>
      <c r="UT6" t="s">
        <v>1702</v>
      </c>
      <c r="UY6" t="s">
        <v>2072</v>
      </c>
      <c r="UZ6" t="s">
        <v>1598</v>
      </c>
      <c r="VA6">
        <v>0.143071</v>
      </c>
      <c r="VB6">
        <v>0.121754</v>
      </c>
      <c r="VC6" t="s">
        <v>1599</v>
      </c>
      <c r="VD6">
        <v>2025</v>
      </c>
      <c r="VE6" t="s">
        <v>2073</v>
      </c>
      <c r="VF6" s="6">
        <v>46027</v>
      </c>
      <c r="VG6">
        <v>5</v>
      </c>
      <c r="VH6">
        <v>907070</v>
      </c>
      <c r="VI6">
        <v>36965288</v>
      </c>
      <c r="VJ6" t="s">
        <v>2074</v>
      </c>
      <c r="VM6" t="s">
        <v>82</v>
      </c>
      <c r="VN6">
        <v>14.893827999999999</v>
      </c>
      <c r="VO6" t="s">
        <v>1634</v>
      </c>
      <c r="VP6">
        <v>3.5820059999999998</v>
      </c>
      <c r="VQ6" t="s">
        <v>1606</v>
      </c>
      <c r="VR6">
        <v>2025</v>
      </c>
      <c r="VS6" t="s">
        <v>4441</v>
      </c>
      <c r="VT6" s="6">
        <v>46090</v>
      </c>
      <c r="VU6">
        <v>5</v>
      </c>
      <c r="VV6">
        <v>155342624</v>
      </c>
      <c r="VW6">
        <v>100315</v>
      </c>
      <c r="VX6" t="s">
        <v>1985</v>
      </c>
    </row>
    <row r="7" spans="1:600" x14ac:dyDescent="0.25">
      <c r="AE7" t="s">
        <v>1142</v>
      </c>
      <c r="AF7" t="s">
        <v>1598</v>
      </c>
      <c r="AG7">
        <v>7.2828000000000004E-2</v>
      </c>
      <c r="AH7">
        <v>6.8084000000000006E-2</v>
      </c>
      <c r="AI7" t="s">
        <v>1664</v>
      </c>
      <c r="AJ7">
        <v>2025</v>
      </c>
      <c r="AK7" t="s">
        <v>2543</v>
      </c>
      <c r="AL7" s="6">
        <v>45916</v>
      </c>
      <c r="AM7">
        <v>5</v>
      </c>
      <c r="AN7">
        <v>1514822</v>
      </c>
      <c r="AO7">
        <v>7359873</v>
      </c>
      <c r="AP7" t="s">
        <v>5107</v>
      </c>
      <c r="AS7" t="s">
        <v>1943</v>
      </c>
      <c r="AT7">
        <v>1.474974</v>
      </c>
      <c r="AU7" t="s">
        <v>1598</v>
      </c>
      <c r="AV7">
        <v>9.9206000000000003E-2</v>
      </c>
      <c r="AW7" t="s">
        <v>1606</v>
      </c>
      <c r="AX7">
        <v>2025</v>
      </c>
      <c r="AY7" t="s">
        <v>2093</v>
      </c>
      <c r="AZ7" s="6">
        <v>46071</v>
      </c>
      <c r="BA7">
        <v>5</v>
      </c>
      <c r="BB7">
        <v>58045388</v>
      </c>
      <c r="BC7">
        <v>101758</v>
      </c>
      <c r="BD7" t="s">
        <v>1944</v>
      </c>
      <c r="BI7" t="s">
        <v>5240</v>
      </c>
      <c r="BK7">
        <v>-2.4245362661989844E-14</v>
      </c>
      <c r="BL7">
        <v>-2.4245362661989844E-14</v>
      </c>
      <c r="BM7" t="s">
        <v>1594</v>
      </c>
      <c r="BN7">
        <v>2024</v>
      </c>
      <c r="BO7" t="s">
        <v>5241</v>
      </c>
      <c r="BP7" s="6">
        <v>45728</v>
      </c>
      <c r="BQ7">
        <v>5</v>
      </c>
      <c r="BR7">
        <v>-2.4245362661989844E-14</v>
      </c>
      <c r="BS7">
        <v>384585</v>
      </c>
      <c r="BT7" t="s">
        <v>5242</v>
      </c>
      <c r="BW7" t="s">
        <v>29</v>
      </c>
      <c r="BX7">
        <v>-2.4245362661989844E-14</v>
      </c>
      <c r="BZ7">
        <v>-2.4245362661989844E-14</v>
      </c>
      <c r="CA7" t="s">
        <v>1594</v>
      </c>
      <c r="CB7">
        <v>2022</v>
      </c>
      <c r="CC7" t="s">
        <v>4586</v>
      </c>
      <c r="CD7" s="6">
        <v>44862</v>
      </c>
      <c r="CE7">
        <v>5</v>
      </c>
      <c r="CF7">
        <v>-2.4245362661989844E-14</v>
      </c>
      <c r="CG7">
        <v>100185</v>
      </c>
      <c r="CH7" t="s">
        <v>3617</v>
      </c>
      <c r="DQ7" t="s">
        <v>2306</v>
      </c>
      <c r="DS7">
        <v>-2.4245362661989844E-14</v>
      </c>
      <c r="DT7">
        <v>-2.4245362661989844E-14</v>
      </c>
      <c r="DU7" t="s">
        <v>1603</v>
      </c>
      <c r="DV7">
        <v>2026</v>
      </c>
      <c r="DW7" t="s">
        <v>2307</v>
      </c>
      <c r="DX7" s="6">
        <v>46002</v>
      </c>
      <c r="DY7">
        <v>5</v>
      </c>
      <c r="DZ7">
        <v>-2.4245362661989844E-14</v>
      </c>
      <c r="EA7">
        <v>65904199</v>
      </c>
      <c r="EB7" t="s">
        <v>2308</v>
      </c>
      <c r="EE7" t="s">
        <v>1905</v>
      </c>
      <c r="EF7">
        <v>1.557682</v>
      </c>
      <c r="EG7" t="s">
        <v>1685</v>
      </c>
      <c r="EH7">
        <v>0.86001300000000003</v>
      </c>
      <c r="EI7" t="s">
        <v>1594</v>
      </c>
      <c r="EJ7">
        <v>2024</v>
      </c>
      <c r="EK7" t="s">
        <v>1903</v>
      </c>
      <c r="EL7" s="6">
        <v>45702</v>
      </c>
      <c r="EM7">
        <v>5</v>
      </c>
      <c r="EN7">
        <v>31938750</v>
      </c>
      <c r="EO7">
        <v>100554</v>
      </c>
      <c r="EP7" t="s">
        <v>1906</v>
      </c>
      <c r="HC7" t="s">
        <v>2335</v>
      </c>
      <c r="HD7" t="s">
        <v>1598</v>
      </c>
      <c r="HE7">
        <v>0.73559600000000003</v>
      </c>
      <c r="HF7">
        <v>1.257139</v>
      </c>
      <c r="HG7" t="s">
        <v>1664</v>
      </c>
      <c r="HH7">
        <v>2026</v>
      </c>
      <c r="HI7" t="s">
        <v>2336</v>
      </c>
      <c r="HJ7" s="6">
        <v>46071</v>
      </c>
      <c r="HK7">
        <v>5</v>
      </c>
      <c r="HL7">
        <v>40082624</v>
      </c>
      <c r="HM7">
        <v>61417091</v>
      </c>
      <c r="HN7" t="s">
        <v>2337</v>
      </c>
      <c r="HQ7" t="s">
        <v>303</v>
      </c>
      <c r="HR7">
        <v>6.0199699999999998</v>
      </c>
      <c r="HS7" t="s">
        <v>1598</v>
      </c>
      <c r="HT7">
        <v>0.36292000000000002</v>
      </c>
      <c r="HU7" t="s">
        <v>1603</v>
      </c>
      <c r="HV7">
        <v>2026</v>
      </c>
      <c r="HW7" t="s">
        <v>1979</v>
      </c>
      <c r="HX7" s="6">
        <v>45945</v>
      </c>
      <c r="HY7">
        <v>5</v>
      </c>
      <c r="HZ7">
        <v>293271872</v>
      </c>
      <c r="IA7">
        <v>216952</v>
      </c>
      <c r="IB7" t="s">
        <v>1631</v>
      </c>
      <c r="KO7" t="s">
        <v>810</v>
      </c>
      <c r="KQ7">
        <v>-2.4245362661989844E-14</v>
      </c>
      <c r="KR7">
        <v>-2.4245362661989844E-14</v>
      </c>
      <c r="KS7" t="s">
        <v>1594</v>
      </c>
      <c r="KT7">
        <v>2021</v>
      </c>
      <c r="KU7" t="s">
        <v>2346</v>
      </c>
      <c r="KV7" s="6">
        <v>44693</v>
      </c>
      <c r="KW7">
        <v>5</v>
      </c>
      <c r="KX7">
        <v>-2.4245362661989844E-14</v>
      </c>
      <c r="KY7">
        <v>101690</v>
      </c>
      <c r="KZ7" t="s">
        <v>2347</v>
      </c>
      <c r="LS7" t="s">
        <v>2317</v>
      </c>
      <c r="LT7" t="s">
        <v>1598</v>
      </c>
      <c r="LU7">
        <v>4.1193600000000004</v>
      </c>
      <c r="LV7">
        <v>0.25783</v>
      </c>
      <c r="LW7" t="s">
        <v>1603</v>
      </c>
      <c r="LX7">
        <v>2025</v>
      </c>
      <c r="LY7" t="s">
        <v>2318</v>
      </c>
      <c r="LZ7" s="6">
        <v>45863</v>
      </c>
      <c r="MA7">
        <v>5</v>
      </c>
      <c r="MB7">
        <v>67891664</v>
      </c>
      <c r="MC7">
        <v>10832677</v>
      </c>
      <c r="MD7" t="s">
        <v>2319</v>
      </c>
      <c r="MG7" t="s">
        <v>5033</v>
      </c>
      <c r="MH7">
        <v>-2.4245362661989844E-14</v>
      </c>
      <c r="MJ7">
        <v>-2.4245362661989844E-14</v>
      </c>
      <c r="MK7" t="s">
        <v>1603</v>
      </c>
      <c r="ML7">
        <v>2024</v>
      </c>
      <c r="MM7" t="s">
        <v>5034</v>
      </c>
      <c r="MN7" s="6">
        <v>45413</v>
      </c>
      <c r="MO7">
        <v>5</v>
      </c>
      <c r="MP7">
        <v>-2.4245362661989844E-14</v>
      </c>
      <c r="MQ7">
        <v>11391268</v>
      </c>
      <c r="MR7" t="s">
        <v>5035</v>
      </c>
      <c r="OA7" t="s">
        <v>2185</v>
      </c>
      <c r="OB7" t="s">
        <v>1598</v>
      </c>
      <c r="OC7">
        <v>6.9616020000000001</v>
      </c>
      <c r="OD7">
        <v>0.64157799999999998</v>
      </c>
      <c r="OE7" t="s">
        <v>1599</v>
      </c>
      <c r="OF7">
        <v>2025</v>
      </c>
      <c r="OG7" t="s">
        <v>2186</v>
      </c>
      <c r="OH7" s="6">
        <v>46001</v>
      </c>
      <c r="OI7">
        <v>5</v>
      </c>
      <c r="OJ7">
        <v>52402484</v>
      </c>
      <c r="OK7">
        <v>1182195</v>
      </c>
      <c r="OL7" t="s">
        <v>2187</v>
      </c>
      <c r="OO7" t="s">
        <v>303</v>
      </c>
      <c r="OP7">
        <v>0.57939300000000005</v>
      </c>
      <c r="OQ7" t="s">
        <v>1598</v>
      </c>
      <c r="OR7">
        <v>6.7030000000000006E-2</v>
      </c>
      <c r="OS7" t="s">
        <v>1599</v>
      </c>
      <c r="OT7">
        <v>2025</v>
      </c>
      <c r="OU7" t="s">
        <v>1629</v>
      </c>
      <c r="OV7" s="6">
        <v>45964</v>
      </c>
      <c r="OW7">
        <v>5</v>
      </c>
      <c r="OX7">
        <v>59435584</v>
      </c>
      <c r="OY7">
        <v>216952</v>
      </c>
      <c r="OZ7" t="s">
        <v>1631</v>
      </c>
      <c r="PE7" t="s">
        <v>3202</v>
      </c>
      <c r="PG7">
        <v>-2.4245362661989844E-14</v>
      </c>
      <c r="PH7">
        <v>-2.4245362661989844E-14</v>
      </c>
      <c r="PI7" t="s">
        <v>1594</v>
      </c>
      <c r="PJ7">
        <v>2022</v>
      </c>
      <c r="PK7" t="s">
        <v>3203</v>
      </c>
      <c r="PL7" s="6">
        <v>44736</v>
      </c>
      <c r="PM7">
        <v>5</v>
      </c>
      <c r="PN7">
        <v>-2.4245362661989844E-14</v>
      </c>
      <c r="PO7">
        <v>114846</v>
      </c>
      <c r="PP7" t="s">
        <v>3204</v>
      </c>
      <c r="PS7" t="s">
        <v>2791</v>
      </c>
      <c r="PT7">
        <v>-2.4245362661989844E-14</v>
      </c>
      <c r="PV7">
        <v>-2.4245362661989844E-14</v>
      </c>
      <c r="PW7" t="s">
        <v>1594</v>
      </c>
      <c r="PX7">
        <v>2024</v>
      </c>
      <c r="PY7" t="s">
        <v>2792</v>
      </c>
      <c r="PZ7" s="6">
        <v>45715</v>
      </c>
      <c r="QA7">
        <v>5</v>
      </c>
      <c r="QB7">
        <v>-2.4245362661989844E-14</v>
      </c>
      <c r="QC7">
        <v>8898179</v>
      </c>
      <c r="QD7" t="s">
        <v>2793</v>
      </c>
      <c r="QI7" t="s">
        <v>2269</v>
      </c>
      <c r="QJ7" t="s">
        <v>1598</v>
      </c>
      <c r="QK7">
        <v>7.4065000000000006E-2</v>
      </c>
      <c r="QL7">
        <v>2.879E-3</v>
      </c>
      <c r="QM7" t="s">
        <v>1594</v>
      </c>
      <c r="QN7">
        <v>2024</v>
      </c>
      <c r="QO7" t="s">
        <v>2270</v>
      </c>
      <c r="QP7" s="6">
        <v>45758</v>
      </c>
      <c r="QQ7">
        <v>5</v>
      </c>
      <c r="QR7">
        <v>46697.46</v>
      </c>
      <c r="QS7">
        <v>130878</v>
      </c>
      <c r="QT7" t="s">
        <v>2271</v>
      </c>
      <c r="QW7" t="s">
        <v>1795</v>
      </c>
      <c r="QX7">
        <v>-2.4245362661989844E-14</v>
      </c>
      <c r="QZ7">
        <v>-2.4245362661989844E-14</v>
      </c>
      <c r="RA7" t="s">
        <v>1664</v>
      </c>
      <c r="RB7">
        <v>2024</v>
      </c>
      <c r="RC7" t="s">
        <v>1796</v>
      </c>
      <c r="RD7" s="6">
        <v>45433</v>
      </c>
      <c r="RE7">
        <v>5</v>
      </c>
      <c r="RF7">
        <v>-2.4245362661989844E-14</v>
      </c>
      <c r="RG7">
        <v>27196144</v>
      </c>
      <c r="RH7" t="s">
        <v>1797</v>
      </c>
      <c r="RM7" t="s">
        <v>143</v>
      </c>
      <c r="RN7" t="s">
        <v>1598</v>
      </c>
      <c r="RO7">
        <v>3.9223000000000001E-2</v>
      </c>
      <c r="RP7">
        <v>0.26887699999999998</v>
      </c>
      <c r="RQ7" t="s">
        <v>1606</v>
      </c>
      <c r="RR7">
        <v>2025</v>
      </c>
      <c r="RS7" t="s">
        <v>2251</v>
      </c>
      <c r="RT7" s="6">
        <v>45848</v>
      </c>
      <c r="RU7">
        <v>5</v>
      </c>
      <c r="RV7">
        <v>6237634</v>
      </c>
      <c r="RW7">
        <v>101752</v>
      </c>
      <c r="RX7" t="s">
        <v>2265</v>
      </c>
      <c r="SA7" t="s">
        <v>1841</v>
      </c>
      <c r="SB7">
        <v>-2.4245362661989844E-14</v>
      </c>
      <c r="SD7">
        <v>-2.4245362661989844E-14</v>
      </c>
      <c r="SE7" t="s">
        <v>1594</v>
      </c>
      <c r="SF7">
        <v>2022</v>
      </c>
      <c r="SG7" t="s">
        <v>1837</v>
      </c>
      <c r="SH7" s="6">
        <v>44747</v>
      </c>
      <c r="SI7">
        <v>5</v>
      </c>
      <c r="SJ7">
        <v>-2.4245362661989844E-14</v>
      </c>
      <c r="SK7">
        <v>69580632</v>
      </c>
      <c r="SL7" t="s">
        <v>1842</v>
      </c>
      <c r="SQ7" t="s">
        <v>2046</v>
      </c>
      <c r="SS7">
        <v>-2.4245362661989844E-14</v>
      </c>
      <c r="ST7">
        <v>-2.4245362661989844E-14</v>
      </c>
      <c r="SU7" t="s">
        <v>1594</v>
      </c>
      <c r="SV7">
        <v>2024</v>
      </c>
      <c r="SW7" t="s">
        <v>2047</v>
      </c>
      <c r="SX7" s="6">
        <v>45833</v>
      </c>
      <c r="SY7">
        <v>5</v>
      </c>
      <c r="SZ7">
        <v>-2.4245362661989844E-14</v>
      </c>
      <c r="TA7">
        <v>7979475</v>
      </c>
      <c r="TB7" t="s">
        <v>2048</v>
      </c>
      <c r="UY7" t="s">
        <v>2078</v>
      </c>
      <c r="UZ7" t="s">
        <v>1598</v>
      </c>
      <c r="VA7">
        <v>2.92E-2</v>
      </c>
      <c r="VB7">
        <v>4.0926999999999998E-2</v>
      </c>
      <c r="VC7" t="s">
        <v>1606</v>
      </c>
      <c r="VD7">
        <v>2025</v>
      </c>
      <c r="VE7" t="s">
        <v>2079</v>
      </c>
      <c r="VF7" s="6">
        <v>46079</v>
      </c>
      <c r="VG7">
        <v>5</v>
      </c>
      <c r="VH7">
        <v>307768</v>
      </c>
      <c r="VI7">
        <v>49689146</v>
      </c>
      <c r="VJ7" t="s">
        <v>2080</v>
      </c>
      <c r="VM7" t="s">
        <v>1817</v>
      </c>
      <c r="VN7">
        <v>14.540621</v>
      </c>
      <c r="VO7" t="s">
        <v>1634</v>
      </c>
      <c r="VP7">
        <v>2.834212</v>
      </c>
      <c r="VQ7" t="s">
        <v>1606</v>
      </c>
      <c r="VR7">
        <v>2025</v>
      </c>
      <c r="VS7" t="s">
        <v>4441</v>
      </c>
      <c r="VT7" s="6">
        <v>46090</v>
      </c>
      <c r="VU7">
        <v>5</v>
      </c>
      <c r="VV7">
        <v>151658672</v>
      </c>
      <c r="VW7">
        <v>9268711</v>
      </c>
      <c r="VX7" t="s">
        <v>1818</v>
      </c>
    </row>
    <row r="8" spans="1:600" x14ac:dyDescent="0.25">
      <c r="AE8" t="s">
        <v>5108</v>
      </c>
      <c r="AG8">
        <v>-2.4245362661989844E-14</v>
      </c>
      <c r="AH8">
        <v>-2.4245362661989844E-14</v>
      </c>
      <c r="AI8" t="s">
        <v>1651</v>
      </c>
      <c r="AJ8">
        <v>2025</v>
      </c>
      <c r="AK8" t="s">
        <v>5109</v>
      </c>
      <c r="AL8" s="6">
        <v>45975</v>
      </c>
      <c r="AM8">
        <v>5</v>
      </c>
      <c r="AN8">
        <v>-2.4245362661989844E-14</v>
      </c>
      <c r="AO8">
        <v>17472489</v>
      </c>
      <c r="AP8" t="s">
        <v>5110</v>
      </c>
      <c r="AS8" t="s">
        <v>2381</v>
      </c>
      <c r="AT8">
        <v>1.0282009999999999</v>
      </c>
      <c r="AU8" t="s">
        <v>1598</v>
      </c>
      <c r="AV8">
        <v>8.8413000000000005E-2</v>
      </c>
      <c r="AW8" t="s">
        <v>1606</v>
      </c>
      <c r="AX8">
        <v>2025</v>
      </c>
      <c r="AY8" t="s">
        <v>2093</v>
      </c>
      <c r="AZ8" s="6">
        <v>46071</v>
      </c>
      <c r="BA8">
        <v>5</v>
      </c>
      <c r="BB8">
        <v>40463308</v>
      </c>
      <c r="BC8">
        <v>46946968</v>
      </c>
      <c r="BD8" t="s">
        <v>2382</v>
      </c>
      <c r="BI8" t="s">
        <v>2326</v>
      </c>
      <c r="BK8">
        <v>-2.4245362661989844E-14</v>
      </c>
      <c r="BL8">
        <v>-2.4245362661989844E-14</v>
      </c>
      <c r="BM8" t="s">
        <v>1594</v>
      </c>
      <c r="BN8">
        <v>2025</v>
      </c>
      <c r="BO8" t="s">
        <v>5243</v>
      </c>
      <c r="BP8" s="6">
        <v>46079</v>
      </c>
      <c r="BQ8">
        <v>5</v>
      </c>
      <c r="BR8">
        <v>-2.4245362661989844E-14</v>
      </c>
      <c r="BS8">
        <v>33838804</v>
      </c>
      <c r="BT8" t="s">
        <v>2328</v>
      </c>
      <c r="BW8" t="s">
        <v>4587</v>
      </c>
      <c r="BX8">
        <v>-2.4245362661989844E-14</v>
      </c>
      <c r="BZ8">
        <v>-2.4245362661989844E-14</v>
      </c>
      <c r="CA8" t="s">
        <v>1594</v>
      </c>
      <c r="CB8">
        <v>2023</v>
      </c>
      <c r="CC8" t="s">
        <v>4588</v>
      </c>
      <c r="CD8" s="6">
        <v>45346</v>
      </c>
      <c r="CE8">
        <v>5</v>
      </c>
      <c r="CF8">
        <v>-2.4245362661989844E-14</v>
      </c>
      <c r="CG8">
        <v>101624</v>
      </c>
      <c r="CH8" t="s">
        <v>4589</v>
      </c>
      <c r="DQ8" t="s">
        <v>2309</v>
      </c>
      <c r="DS8">
        <v>-2.4245362661989844E-14</v>
      </c>
      <c r="DT8">
        <v>-2.4245362661989844E-14</v>
      </c>
      <c r="DU8" t="s">
        <v>1594</v>
      </c>
      <c r="DV8">
        <v>2023</v>
      </c>
      <c r="DW8" t="s">
        <v>2310</v>
      </c>
      <c r="DX8" s="6">
        <v>45369</v>
      </c>
      <c r="DY8">
        <v>5</v>
      </c>
      <c r="DZ8">
        <v>-2.4245362661989844E-14</v>
      </c>
      <c r="EA8">
        <v>29973420</v>
      </c>
      <c r="EB8" t="s">
        <v>2311</v>
      </c>
      <c r="EE8" t="s">
        <v>1907</v>
      </c>
      <c r="EF8">
        <v>0.91628399999999999</v>
      </c>
      <c r="EG8" t="s">
        <v>1685</v>
      </c>
      <c r="EH8">
        <v>0.75112400000000001</v>
      </c>
      <c r="EI8" t="s">
        <v>1594</v>
      </c>
      <c r="EJ8">
        <v>2024</v>
      </c>
      <c r="EK8" t="s">
        <v>1903</v>
      </c>
      <c r="EL8" s="6">
        <v>45702</v>
      </c>
      <c r="EM8">
        <v>5</v>
      </c>
      <c r="EN8">
        <v>18787500</v>
      </c>
      <c r="EO8">
        <v>143027</v>
      </c>
      <c r="EP8" t="s">
        <v>1908</v>
      </c>
      <c r="HC8" t="s">
        <v>3093</v>
      </c>
      <c r="HD8" t="s">
        <v>1598</v>
      </c>
      <c r="HE8">
        <v>1.680712</v>
      </c>
      <c r="HF8">
        <v>0.77414799999999995</v>
      </c>
      <c r="HG8" t="s">
        <v>1606</v>
      </c>
      <c r="HH8">
        <v>2025</v>
      </c>
      <c r="HI8" t="s">
        <v>3094</v>
      </c>
      <c r="HJ8" s="6">
        <v>46077</v>
      </c>
      <c r="HK8">
        <v>5</v>
      </c>
      <c r="HL8">
        <v>24682936</v>
      </c>
      <c r="HM8">
        <v>159323</v>
      </c>
      <c r="HN8" t="s">
        <v>3095</v>
      </c>
      <c r="HQ8" t="s">
        <v>311</v>
      </c>
      <c r="HR8">
        <v>4.9311600000000002</v>
      </c>
      <c r="HS8" t="s">
        <v>1598</v>
      </c>
      <c r="HT8">
        <v>0.91935999999999996</v>
      </c>
      <c r="HU8" t="s">
        <v>1603</v>
      </c>
      <c r="HV8">
        <v>2026</v>
      </c>
      <c r="HW8" t="s">
        <v>1979</v>
      </c>
      <c r="HX8" s="6">
        <v>45945</v>
      </c>
      <c r="HY8">
        <v>5</v>
      </c>
      <c r="HZ8">
        <v>240228864</v>
      </c>
      <c r="IA8">
        <v>100864</v>
      </c>
      <c r="IB8" t="s">
        <v>1668</v>
      </c>
      <c r="KO8" t="s">
        <v>110</v>
      </c>
      <c r="KQ8">
        <v>-2.4245362661989844E-14</v>
      </c>
      <c r="KR8">
        <v>-2.4245362661989844E-14</v>
      </c>
      <c r="KS8" t="s">
        <v>1594</v>
      </c>
      <c r="KT8">
        <v>2021</v>
      </c>
      <c r="KU8" t="s">
        <v>4239</v>
      </c>
      <c r="KV8" s="6">
        <v>44693</v>
      </c>
      <c r="KW8">
        <v>5</v>
      </c>
      <c r="KX8">
        <v>-2.4245362661989844E-14</v>
      </c>
      <c r="KY8">
        <v>100193</v>
      </c>
      <c r="KZ8" t="s">
        <v>3708</v>
      </c>
      <c r="LS8" t="s">
        <v>243</v>
      </c>
      <c r="LT8" t="s">
        <v>1598</v>
      </c>
      <c r="LU8">
        <v>0.45408300000000001</v>
      </c>
      <c r="LV8">
        <v>0.17851500000000001</v>
      </c>
      <c r="LW8" t="s">
        <v>1664</v>
      </c>
      <c r="LX8">
        <v>2025</v>
      </c>
      <c r="LY8" t="s">
        <v>2180</v>
      </c>
      <c r="LZ8" s="6">
        <v>45898</v>
      </c>
      <c r="MA8">
        <v>5</v>
      </c>
      <c r="MB8">
        <v>47006672</v>
      </c>
      <c r="MC8">
        <v>100043</v>
      </c>
      <c r="MD8" t="s">
        <v>2181</v>
      </c>
      <c r="MG8" t="s">
        <v>5036</v>
      </c>
      <c r="MH8">
        <v>-2.4245362661989844E-14</v>
      </c>
      <c r="MJ8">
        <v>-2.4245362661989844E-14</v>
      </c>
      <c r="MK8" t="s">
        <v>1594</v>
      </c>
      <c r="ML8">
        <v>2024</v>
      </c>
      <c r="MM8" t="s">
        <v>5037</v>
      </c>
      <c r="MN8" s="6">
        <v>45715</v>
      </c>
      <c r="MO8">
        <v>5</v>
      </c>
      <c r="MP8">
        <v>-2.4245362661989844E-14</v>
      </c>
      <c r="MQ8">
        <v>30541166</v>
      </c>
      <c r="MR8" t="s">
        <v>5038</v>
      </c>
      <c r="OA8" t="s">
        <v>2188</v>
      </c>
      <c r="OB8" t="s">
        <v>1598</v>
      </c>
      <c r="OC8">
        <v>2.2395689999999999</v>
      </c>
      <c r="OD8">
        <v>0.51293900000000003</v>
      </c>
      <c r="OE8" t="s">
        <v>1664</v>
      </c>
      <c r="OF8">
        <v>2025</v>
      </c>
      <c r="OG8" t="s">
        <v>2189</v>
      </c>
      <c r="OH8" s="6">
        <v>45859</v>
      </c>
      <c r="OI8">
        <v>5</v>
      </c>
      <c r="OJ8">
        <v>45819367.549999997</v>
      </c>
      <c r="OK8">
        <v>328221</v>
      </c>
      <c r="OL8" t="s">
        <v>2190</v>
      </c>
      <c r="OO8" t="s">
        <v>872</v>
      </c>
      <c r="OP8">
        <v>0.42797499999999999</v>
      </c>
      <c r="OQ8" t="s">
        <v>1598</v>
      </c>
      <c r="OR8">
        <v>0.17119400000000001</v>
      </c>
      <c r="OS8" t="s">
        <v>1599</v>
      </c>
      <c r="OT8">
        <v>2025</v>
      </c>
      <c r="OU8" t="s">
        <v>1629</v>
      </c>
      <c r="OV8" s="6">
        <v>45964</v>
      </c>
      <c r="OW8">
        <v>5</v>
      </c>
      <c r="OX8">
        <v>43902744</v>
      </c>
      <c r="OY8">
        <v>100211</v>
      </c>
      <c r="OZ8" t="s">
        <v>1632</v>
      </c>
      <c r="PE8" t="s">
        <v>2152</v>
      </c>
      <c r="PG8">
        <v>-2.4245362661989844E-14</v>
      </c>
      <c r="PH8">
        <v>-2.4245362661989844E-14</v>
      </c>
      <c r="PI8" t="s">
        <v>1594</v>
      </c>
      <c r="PJ8">
        <v>2021</v>
      </c>
      <c r="PK8" t="s">
        <v>2153</v>
      </c>
      <c r="PL8" s="6">
        <v>44693</v>
      </c>
      <c r="PM8">
        <v>5</v>
      </c>
      <c r="PN8">
        <v>-2.4245362661989844E-14</v>
      </c>
      <c r="PO8">
        <v>100060</v>
      </c>
      <c r="PP8" t="s">
        <v>2154</v>
      </c>
      <c r="PS8" t="s">
        <v>900</v>
      </c>
      <c r="PT8">
        <v>-2.4245362661989844E-14</v>
      </c>
      <c r="PV8">
        <v>-2.4245362661989844E-14</v>
      </c>
      <c r="PW8" t="s">
        <v>1594</v>
      </c>
      <c r="PX8">
        <v>2022</v>
      </c>
      <c r="PY8" t="s">
        <v>2794</v>
      </c>
      <c r="PZ8" s="6">
        <v>44907</v>
      </c>
      <c r="QA8">
        <v>5</v>
      </c>
      <c r="QB8">
        <v>-2.4245362661989844E-14</v>
      </c>
      <c r="QC8">
        <v>108653</v>
      </c>
      <c r="QD8" t="s">
        <v>2795</v>
      </c>
      <c r="QI8" t="s">
        <v>2272</v>
      </c>
      <c r="QJ8" t="s">
        <v>1634</v>
      </c>
      <c r="QK8">
        <v>2.0240000000000002E-3</v>
      </c>
      <c r="QL8">
        <v>2.6168E-2</v>
      </c>
      <c r="QM8" t="s">
        <v>1599</v>
      </c>
      <c r="QN8">
        <v>2025</v>
      </c>
      <c r="QO8" t="s">
        <v>2273</v>
      </c>
      <c r="QP8" s="6">
        <v>45964</v>
      </c>
      <c r="QQ8">
        <v>5</v>
      </c>
      <c r="QR8">
        <v>10506</v>
      </c>
      <c r="QS8">
        <v>16546862</v>
      </c>
      <c r="QT8" t="s">
        <v>2274</v>
      </c>
      <c r="QW8" t="s">
        <v>1798</v>
      </c>
      <c r="QX8">
        <v>-2.4245362661989844E-14</v>
      </c>
      <c r="QZ8">
        <v>-2.4245362661989844E-14</v>
      </c>
      <c r="RA8" t="s">
        <v>1594</v>
      </c>
      <c r="RB8">
        <v>2024</v>
      </c>
      <c r="RC8" t="s">
        <v>1799</v>
      </c>
      <c r="RD8" s="6">
        <v>45771</v>
      </c>
      <c r="RE8">
        <v>5</v>
      </c>
      <c r="RF8">
        <v>-2.4245362661989844E-14</v>
      </c>
      <c r="RG8">
        <v>135686</v>
      </c>
      <c r="RH8" t="s">
        <v>1800</v>
      </c>
      <c r="RM8" t="s">
        <v>1518</v>
      </c>
      <c r="RN8" t="s">
        <v>1598</v>
      </c>
      <c r="RO8">
        <v>7.3467000000000005E-2</v>
      </c>
      <c r="RP8">
        <v>5.9725E-2</v>
      </c>
      <c r="RQ8" t="s">
        <v>1606</v>
      </c>
      <c r="RR8">
        <v>2025</v>
      </c>
      <c r="RS8" t="s">
        <v>1667</v>
      </c>
      <c r="RT8" s="6">
        <v>45946</v>
      </c>
      <c r="RU8">
        <v>5</v>
      </c>
      <c r="RV8">
        <v>1460524</v>
      </c>
      <c r="RW8">
        <v>100345</v>
      </c>
      <c r="RX8" t="s">
        <v>2355</v>
      </c>
      <c r="SA8" t="s">
        <v>1843</v>
      </c>
      <c r="SB8">
        <v>-2.4245362661989844E-14</v>
      </c>
      <c r="SD8">
        <v>-2.4245362661989844E-14</v>
      </c>
      <c r="SE8" t="s">
        <v>1594</v>
      </c>
      <c r="SF8">
        <v>2024</v>
      </c>
      <c r="SG8" t="s">
        <v>1837</v>
      </c>
      <c r="SH8" s="6">
        <v>45385</v>
      </c>
      <c r="SI8">
        <v>5</v>
      </c>
      <c r="SJ8">
        <v>-2.4245362661989844E-14</v>
      </c>
      <c r="SK8">
        <v>70068664</v>
      </c>
      <c r="SL8" t="s">
        <v>1844</v>
      </c>
      <c r="SQ8" t="s">
        <v>5563</v>
      </c>
      <c r="SS8">
        <v>-2.4245362661989844E-14</v>
      </c>
      <c r="ST8">
        <v>-2.4245362661989844E-14</v>
      </c>
      <c r="SU8" t="s">
        <v>1603</v>
      </c>
      <c r="SV8">
        <v>2023</v>
      </c>
      <c r="SW8" t="s">
        <v>5564</v>
      </c>
      <c r="SX8" s="6">
        <v>44706</v>
      </c>
      <c r="SY8">
        <v>5</v>
      </c>
      <c r="SZ8">
        <v>-2.4245362661989844E-14</v>
      </c>
      <c r="TA8">
        <v>43575125</v>
      </c>
      <c r="TB8" t="s">
        <v>5565</v>
      </c>
      <c r="UY8" t="s">
        <v>5815</v>
      </c>
      <c r="UZ8" t="s">
        <v>1598</v>
      </c>
      <c r="VA8">
        <v>26.017952000000001</v>
      </c>
      <c r="VB8">
        <v>9.0950000000000007E-3</v>
      </c>
      <c r="VC8" t="s">
        <v>1594</v>
      </c>
      <c r="VD8">
        <v>2024</v>
      </c>
      <c r="VE8" t="s">
        <v>5816</v>
      </c>
      <c r="VF8" s="6">
        <v>45747</v>
      </c>
      <c r="VG8">
        <v>5</v>
      </c>
      <c r="VH8">
        <v>50000</v>
      </c>
      <c r="VI8">
        <v>179138</v>
      </c>
      <c r="VJ8" t="s">
        <v>5817</v>
      </c>
      <c r="VM8" t="s">
        <v>1811</v>
      </c>
      <c r="VN8">
        <v>12</v>
      </c>
      <c r="VO8" t="s">
        <v>1634</v>
      </c>
      <c r="VP8">
        <v>3.400029</v>
      </c>
      <c r="VQ8" t="s">
        <v>1594</v>
      </c>
      <c r="VR8">
        <v>2025</v>
      </c>
      <c r="VS8" t="s">
        <v>5345</v>
      </c>
      <c r="VT8" s="6">
        <v>46076</v>
      </c>
      <c r="VU8">
        <v>5</v>
      </c>
      <c r="VV8">
        <v>118950000</v>
      </c>
      <c r="VW8">
        <v>182074</v>
      </c>
      <c r="VX8" t="s">
        <v>1812</v>
      </c>
    </row>
    <row r="9" spans="1:600" x14ac:dyDescent="0.25">
      <c r="AE9" t="s">
        <v>5111</v>
      </c>
      <c r="AG9">
        <v>-2.4245362661989844E-14</v>
      </c>
      <c r="AH9">
        <v>-2.4245362661989844E-14</v>
      </c>
      <c r="AI9" t="s">
        <v>1792</v>
      </c>
      <c r="AJ9">
        <v>2022</v>
      </c>
      <c r="AK9" t="s">
        <v>5112</v>
      </c>
      <c r="AL9" s="6">
        <v>44788</v>
      </c>
      <c r="AM9">
        <v>5</v>
      </c>
      <c r="AN9">
        <v>-2.4245362661989844E-14</v>
      </c>
      <c r="AO9">
        <v>40130546</v>
      </c>
      <c r="AP9" t="s">
        <v>5113</v>
      </c>
      <c r="AS9" t="s">
        <v>1940</v>
      </c>
      <c r="AT9">
        <v>0.83748599999999995</v>
      </c>
      <c r="AU9" t="s">
        <v>1598</v>
      </c>
      <c r="AV9">
        <v>0.194213</v>
      </c>
      <c r="AW9" t="s">
        <v>1606</v>
      </c>
      <c r="AX9">
        <v>2025</v>
      </c>
      <c r="AY9" t="s">
        <v>2093</v>
      </c>
      <c r="AZ9" s="6">
        <v>46071</v>
      </c>
      <c r="BA9">
        <v>5</v>
      </c>
      <c r="BB9">
        <v>32958004</v>
      </c>
      <c r="BC9">
        <v>101433</v>
      </c>
      <c r="BD9" t="s">
        <v>1942</v>
      </c>
      <c r="BI9" t="s">
        <v>2807</v>
      </c>
      <c r="BK9">
        <v>-2.4245362661989844E-14</v>
      </c>
      <c r="BL9">
        <v>-2.4245362661989844E-14</v>
      </c>
      <c r="BM9" t="s">
        <v>1594</v>
      </c>
      <c r="BN9">
        <v>2024</v>
      </c>
      <c r="BO9" t="s">
        <v>5244</v>
      </c>
      <c r="BP9" s="6">
        <v>45702</v>
      </c>
      <c r="BQ9">
        <v>5</v>
      </c>
      <c r="BR9">
        <v>-2.4245362661989844E-14</v>
      </c>
      <c r="BS9">
        <v>300948</v>
      </c>
      <c r="BT9" t="s">
        <v>2808</v>
      </c>
      <c r="BW9" t="s">
        <v>776</v>
      </c>
      <c r="BX9">
        <v>-2.4245362661989844E-14</v>
      </c>
      <c r="BZ9">
        <v>-2.4245362661989844E-14</v>
      </c>
      <c r="CA9" t="s">
        <v>1594</v>
      </c>
      <c r="CB9">
        <v>2023</v>
      </c>
      <c r="CC9" t="s">
        <v>4590</v>
      </c>
      <c r="CD9" s="6">
        <v>45351</v>
      </c>
      <c r="CE9">
        <v>5</v>
      </c>
      <c r="CF9">
        <v>-2.4245362661989844E-14</v>
      </c>
      <c r="CG9">
        <v>101712</v>
      </c>
      <c r="CH9" t="s">
        <v>2809</v>
      </c>
      <c r="DQ9" t="s">
        <v>2312</v>
      </c>
      <c r="DS9">
        <v>-2.4245362661989844E-14</v>
      </c>
      <c r="DT9">
        <v>-2.4245362661989844E-14</v>
      </c>
      <c r="DU9" t="s">
        <v>1594</v>
      </c>
      <c r="DV9">
        <v>2024</v>
      </c>
      <c r="DW9" t="s">
        <v>2313</v>
      </c>
      <c r="DX9" s="6">
        <v>45476</v>
      </c>
      <c r="DY9">
        <v>5</v>
      </c>
      <c r="DZ9">
        <v>-2.4245362661989844E-14</v>
      </c>
      <c r="EA9">
        <v>117406</v>
      </c>
      <c r="EB9" t="s">
        <v>2314</v>
      </c>
      <c r="EE9" t="s">
        <v>1909</v>
      </c>
      <c r="EF9">
        <v>0.82465500000000003</v>
      </c>
      <c r="EH9">
        <v>-2.4245362661989844E-14</v>
      </c>
      <c r="EI9" t="s">
        <v>1594</v>
      </c>
      <c r="EJ9">
        <v>2024</v>
      </c>
      <c r="EK9" t="s">
        <v>1903</v>
      </c>
      <c r="EL9" s="6">
        <v>45702</v>
      </c>
      <c r="EM9">
        <v>5</v>
      </c>
      <c r="EN9">
        <v>16908750</v>
      </c>
      <c r="EO9">
        <v>117322</v>
      </c>
      <c r="EP9" t="s">
        <v>1910</v>
      </c>
      <c r="HC9" t="s">
        <v>5580</v>
      </c>
      <c r="HD9" t="s">
        <v>1598</v>
      </c>
      <c r="HE9">
        <v>0.71675299999999997</v>
      </c>
      <c r="HF9">
        <v>0.49625599999999997</v>
      </c>
      <c r="HG9" t="s">
        <v>1664</v>
      </c>
      <c r="HH9">
        <v>2025</v>
      </c>
      <c r="HI9" t="s">
        <v>5581</v>
      </c>
      <c r="HJ9" s="6">
        <v>45890</v>
      </c>
      <c r="HK9">
        <v>5</v>
      </c>
      <c r="HL9">
        <v>16755125.779999999</v>
      </c>
      <c r="HM9">
        <v>1197437</v>
      </c>
      <c r="HN9" t="s">
        <v>5582</v>
      </c>
      <c r="HQ9" t="s">
        <v>1980</v>
      </c>
      <c r="HR9">
        <v>2.8587180000000001</v>
      </c>
      <c r="HS9" t="s">
        <v>1598</v>
      </c>
      <c r="HT9">
        <v>6.4415699999999996</v>
      </c>
      <c r="HU9" t="s">
        <v>1603</v>
      </c>
      <c r="HV9">
        <v>2026</v>
      </c>
      <c r="HW9" t="s">
        <v>1979</v>
      </c>
      <c r="HX9" s="6">
        <v>45945</v>
      </c>
      <c r="HY9">
        <v>5</v>
      </c>
      <c r="HZ9">
        <v>139266736</v>
      </c>
      <c r="IA9">
        <v>53523229</v>
      </c>
      <c r="IB9" t="s">
        <v>1981</v>
      </c>
      <c r="KO9" t="s">
        <v>172</v>
      </c>
      <c r="KQ9">
        <v>-2.4245362661989844E-14</v>
      </c>
      <c r="KR9">
        <v>-2.4245362661989844E-14</v>
      </c>
      <c r="KS9" t="s">
        <v>1594</v>
      </c>
      <c r="KT9">
        <v>2021</v>
      </c>
      <c r="KU9" t="s">
        <v>4240</v>
      </c>
      <c r="KV9" s="6">
        <v>44693</v>
      </c>
      <c r="KW9">
        <v>5</v>
      </c>
      <c r="KX9">
        <v>-2.4245362661989844E-14</v>
      </c>
      <c r="KY9">
        <v>100481</v>
      </c>
      <c r="KZ9" t="s">
        <v>4241</v>
      </c>
      <c r="LS9" t="s">
        <v>2088</v>
      </c>
      <c r="LT9" t="s">
        <v>1598</v>
      </c>
      <c r="LU9">
        <v>1.149265</v>
      </c>
      <c r="LV9">
        <v>0.12801899999999999</v>
      </c>
      <c r="LW9" t="s">
        <v>1603</v>
      </c>
      <c r="LX9">
        <v>2025</v>
      </c>
      <c r="LY9" t="s">
        <v>2089</v>
      </c>
      <c r="LZ9" s="6">
        <v>45849</v>
      </c>
      <c r="MA9">
        <v>5</v>
      </c>
      <c r="MB9">
        <v>35266245.240000002</v>
      </c>
      <c r="MC9">
        <v>179551</v>
      </c>
      <c r="MD9" t="s">
        <v>2090</v>
      </c>
      <c r="MG9" t="s">
        <v>82</v>
      </c>
      <c r="MH9">
        <v>-2.4245362661989844E-14</v>
      </c>
      <c r="MJ9">
        <v>-2.4245362661989844E-14</v>
      </c>
      <c r="MK9" t="s">
        <v>1603</v>
      </c>
      <c r="ML9">
        <v>2024</v>
      </c>
      <c r="MM9" t="s">
        <v>5034</v>
      </c>
      <c r="MN9" s="6">
        <v>45413</v>
      </c>
      <c r="MO9">
        <v>5</v>
      </c>
      <c r="MP9">
        <v>-2.4245362661989844E-14</v>
      </c>
      <c r="MQ9">
        <v>100315</v>
      </c>
      <c r="MR9" t="s">
        <v>1985</v>
      </c>
      <c r="OA9" t="s">
        <v>2191</v>
      </c>
      <c r="OB9" t="s">
        <v>1598</v>
      </c>
      <c r="OC9">
        <v>0.59006199999999998</v>
      </c>
      <c r="OD9">
        <v>0.53252200000000005</v>
      </c>
      <c r="OE9" t="s">
        <v>1664</v>
      </c>
      <c r="OF9">
        <v>2025</v>
      </c>
      <c r="OG9" t="s">
        <v>2192</v>
      </c>
      <c r="OH9" s="6">
        <v>45875</v>
      </c>
      <c r="OI9">
        <v>5</v>
      </c>
      <c r="OJ9">
        <v>45441434.649999999</v>
      </c>
      <c r="OK9">
        <v>111270</v>
      </c>
      <c r="OL9" t="s">
        <v>2193</v>
      </c>
      <c r="OO9" t="s">
        <v>1633</v>
      </c>
      <c r="OP9">
        <v>0.26823999999999998</v>
      </c>
      <c r="OQ9" t="s">
        <v>1634</v>
      </c>
      <c r="OR9">
        <v>-2.4245362661989844E-14</v>
      </c>
      <c r="OS9" t="s">
        <v>1594</v>
      </c>
      <c r="OT9">
        <v>2025</v>
      </c>
      <c r="OU9" t="s">
        <v>1635</v>
      </c>
      <c r="OV9" s="6">
        <v>45925</v>
      </c>
      <c r="OW9">
        <v>5</v>
      </c>
      <c r="OX9">
        <v>26796000</v>
      </c>
      <c r="OY9">
        <v>340053</v>
      </c>
      <c r="OZ9" t="s">
        <v>1636</v>
      </c>
      <c r="PE9" t="s">
        <v>3205</v>
      </c>
      <c r="PG9">
        <v>-2.4245362661989844E-14</v>
      </c>
      <c r="PH9">
        <v>-2.4245362661989844E-14</v>
      </c>
      <c r="PI9" t="s">
        <v>1594</v>
      </c>
      <c r="PJ9">
        <v>2025</v>
      </c>
      <c r="PK9" t="s">
        <v>3206</v>
      </c>
      <c r="PL9" s="6">
        <v>45743</v>
      </c>
      <c r="PM9">
        <v>5</v>
      </c>
      <c r="PN9">
        <v>-2.4245362661989844E-14</v>
      </c>
      <c r="PO9">
        <v>106343</v>
      </c>
      <c r="PP9" t="s">
        <v>3207</v>
      </c>
      <c r="PS9" t="s">
        <v>1720</v>
      </c>
      <c r="PT9">
        <v>-2.4245362661989844E-14</v>
      </c>
      <c r="PV9">
        <v>-2.4245362661989844E-14</v>
      </c>
      <c r="PW9" t="s">
        <v>1594</v>
      </c>
      <c r="PX9">
        <v>2023</v>
      </c>
      <c r="PY9" t="s">
        <v>1721</v>
      </c>
      <c r="PZ9" s="6">
        <v>45401</v>
      </c>
      <c r="QA9">
        <v>5</v>
      </c>
      <c r="QB9">
        <v>-2.4245362661989844E-14</v>
      </c>
      <c r="QC9">
        <v>100842</v>
      </c>
      <c r="QD9" t="s">
        <v>1722</v>
      </c>
      <c r="QI9" t="s">
        <v>2275</v>
      </c>
      <c r="QJ9" t="s">
        <v>1598</v>
      </c>
      <c r="QK9">
        <v>1.2467000000000001E-2</v>
      </c>
      <c r="QL9">
        <v>4.5800000000000002E-4</v>
      </c>
      <c r="QM9" t="s">
        <v>1664</v>
      </c>
      <c r="QN9">
        <v>2025</v>
      </c>
      <c r="QO9" t="s">
        <v>2276</v>
      </c>
      <c r="QP9" s="6">
        <v>45744</v>
      </c>
      <c r="QQ9">
        <v>5</v>
      </c>
      <c r="QR9">
        <v>6232.4</v>
      </c>
      <c r="QS9">
        <v>28653435</v>
      </c>
      <c r="QT9" t="s">
        <v>2277</v>
      </c>
      <c r="QW9" t="s">
        <v>1801</v>
      </c>
      <c r="QX9">
        <v>-2.4245362661989844E-14</v>
      </c>
      <c r="QZ9">
        <v>-2.4245362661989844E-14</v>
      </c>
      <c r="RA9" t="s">
        <v>1594</v>
      </c>
      <c r="RB9">
        <v>2022</v>
      </c>
      <c r="RC9" t="s">
        <v>1802</v>
      </c>
      <c r="RD9" s="6">
        <v>45083</v>
      </c>
      <c r="RE9">
        <v>5</v>
      </c>
      <c r="RF9">
        <v>-2.4245362661989844E-14</v>
      </c>
      <c r="RG9">
        <v>34532225</v>
      </c>
      <c r="RH9" t="s">
        <v>1803</v>
      </c>
      <c r="RM9" t="s">
        <v>2356</v>
      </c>
      <c r="RO9">
        <v>-2.4245362661989844E-14</v>
      </c>
      <c r="RP9">
        <v>-2.4245362661989844E-14</v>
      </c>
      <c r="RQ9" t="s">
        <v>1792</v>
      </c>
      <c r="RR9">
        <v>2025</v>
      </c>
      <c r="RS9" t="s">
        <v>2357</v>
      </c>
      <c r="RT9" s="6">
        <v>45896</v>
      </c>
      <c r="RU9">
        <v>5</v>
      </c>
      <c r="RV9">
        <v>-2.4245362661989844E-14</v>
      </c>
      <c r="RW9">
        <v>12202769</v>
      </c>
      <c r="RX9" t="s">
        <v>2358</v>
      </c>
      <c r="SA9" t="s">
        <v>1845</v>
      </c>
      <c r="SB9">
        <v>-2.4245362661989844E-14</v>
      </c>
      <c r="SD9">
        <v>-2.4245362661989844E-14</v>
      </c>
      <c r="SE9" t="s">
        <v>1594</v>
      </c>
      <c r="SF9">
        <v>2023</v>
      </c>
      <c r="SG9" t="s">
        <v>1846</v>
      </c>
      <c r="SH9" s="6">
        <v>45392</v>
      </c>
      <c r="SI9">
        <v>5</v>
      </c>
      <c r="SJ9">
        <v>-2.4245362661989844E-14</v>
      </c>
      <c r="SK9">
        <v>23962876</v>
      </c>
      <c r="SL9" t="s">
        <v>1847</v>
      </c>
      <c r="SQ9" t="s">
        <v>3024</v>
      </c>
      <c r="SS9">
        <v>-2.4245362661989844E-14</v>
      </c>
      <c r="ST9">
        <v>-2.4245362661989844E-14</v>
      </c>
      <c r="SU9" t="s">
        <v>1599</v>
      </c>
      <c r="SV9">
        <v>2023</v>
      </c>
      <c r="SW9" t="s">
        <v>5148</v>
      </c>
      <c r="SX9" s="6">
        <v>45231</v>
      </c>
      <c r="SY9">
        <v>5</v>
      </c>
      <c r="SZ9">
        <v>-2.4245362661989844E-14</v>
      </c>
      <c r="TA9">
        <v>69762655</v>
      </c>
      <c r="TB9" t="s">
        <v>3026</v>
      </c>
      <c r="UY9" t="s">
        <v>5818</v>
      </c>
      <c r="VA9">
        <v>-2.4245362661989844E-14</v>
      </c>
      <c r="VB9">
        <v>-2.4245362661989844E-14</v>
      </c>
      <c r="VC9" t="s">
        <v>1651</v>
      </c>
      <c r="VD9">
        <v>2025</v>
      </c>
      <c r="VE9" t="s">
        <v>5819</v>
      </c>
      <c r="VF9" s="6">
        <v>45965</v>
      </c>
      <c r="VG9">
        <v>5</v>
      </c>
      <c r="VH9">
        <v>-2.4245362661989844E-14</v>
      </c>
      <c r="VI9">
        <v>330633</v>
      </c>
      <c r="VJ9" t="s">
        <v>5820</v>
      </c>
      <c r="VM9" t="s">
        <v>1422</v>
      </c>
      <c r="VN9">
        <v>5.1084389999999997</v>
      </c>
      <c r="VO9" t="s">
        <v>1634</v>
      </c>
      <c r="VP9">
        <v>2.769495</v>
      </c>
      <c r="VQ9" t="s">
        <v>1606</v>
      </c>
      <c r="VR9">
        <v>2024</v>
      </c>
      <c r="VS9" t="s">
        <v>4441</v>
      </c>
      <c r="VT9" s="6">
        <v>45763</v>
      </c>
      <c r="VU9">
        <v>5</v>
      </c>
      <c r="VV9">
        <v>48632340</v>
      </c>
      <c r="VW9">
        <v>100078</v>
      </c>
      <c r="VX9" t="s">
        <v>5346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506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507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508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509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510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511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512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513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514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515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516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517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518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519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520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521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522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523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524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139</v>
      </c>
      <c r="AE2" s="3" t="s">
        <v>525</v>
      </c>
      <c r="BI2" s="3" t="s">
        <v>526</v>
      </c>
      <c r="CM2" s="3" t="s">
        <v>527</v>
      </c>
      <c r="DQ2" s="3" t="s">
        <v>528</v>
      </c>
      <c r="EU2" s="3" t="s">
        <v>529</v>
      </c>
      <c r="FY2" s="3" t="s">
        <v>245</v>
      </c>
      <c r="HC2" s="3" t="s">
        <v>530</v>
      </c>
      <c r="IG2" s="3" t="s">
        <v>78</v>
      </c>
      <c r="JK2" s="3" t="s">
        <v>531</v>
      </c>
      <c r="KO2" s="3" t="s">
        <v>113</v>
      </c>
      <c r="LS2" s="3" t="s">
        <v>532</v>
      </c>
      <c r="MW2" s="3" t="s">
        <v>334</v>
      </c>
      <c r="OA2" s="3" t="s">
        <v>143</v>
      </c>
      <c r="PE2" s="3" t="s">
        <v>434</v>
      </c>
      <c r="QI2" s="3" t="s">
        <v>184</v>
      </c>
      <c r="RM2" s="3" t="s">
        <v>306</v>
      </c>
      <c r="SQ2" s="3" t="s">
        <v>533</v>
      </c>
      <c r="TU2" s="3" t="s">
        <v>534</v>
      </c>
      <c r="UY2" s="3" t="s">
        <v>177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_xll.BDS("ABT US Equity","SUPPLY_CHAIN_SUPPLIERS_ALL_DATA","cols=12;rows=5")</f>
        <v>MSFT US Equity</v>
      </c>
      <c r="B5" t="s">
        <v>1598</v>
      </c>
      <c r="C5">
        <v>5.0347999999999997E-2</v>
      </c>
      <c r="D5">
        <v>0.78954400000000002</v>
      </c>
      <c r="E5" t="s">
        <v>1599</v>
      </c>
      <c r="F5">
        <v>2025</v>
      </c>
      <c r="G5" t="s">
        <v>1735</v>
      </c>
      <c r="H5" s="6">
        <v>45843</v>
      </c>
      <c r="I5">
        <v>5</v>
      </c>
      <c r="J5">
        <v>35276832</v>
      </c>
      <c r="K5">
        <v>101743</v>
      </c>
      <c r="L5" t="s">
        <v>1736</v>
      </c>
      <c r="O5" t="str">
        <f>_xll.BDS("ABT US Equity","SUPPLY_CHAIN_CUSTOMERS_ALL_DATA","cols=12;rows=5")</f>
        <v>SNX US Equity</v>
      </c>
      <c r="P5">
        <v>0.37113800000000002</v>
      </c>
      <c r="Q5" t="s">
        <v>1598</v>
      </c>
      <c r="R5">
        <v>0.260712</v>
      </c>
      <c r="S5" t="s">
        <v>1606</v>
      </c>
      <c r="T5">
        <v>2025</v>
      </c>
      <c r="U5" t="s">
        <v>1701</v>
      </c>
      <c r="V5" s="6">
        <v>46056</v>
      </c>
      <c r="W5">
        <v>5</v>
      </c>
      <c r="X5">
        <v>42194648</v>
      </c>
      <c r="Y5">
        <v>1499717</v>
      </c>
      <c r="Z5" t="s">
        <v>1702</v>
      </c>
      <c r="AE5" t="str">
        <f>_xll.BDS("TRB US Equity","SUPPLY_CHAIN_SUPPLIERS_ALL_DATA")</f>
        <v>#N/A N/A</v>
      </c>
      <c r="AS5" t="str">
        <f>_xll.BDS("TRB US Equity","SUPPLY_CHAIN_CUSTOMERS_ALL_DATA")</f>
        <v>#N/A N/A</v>
      </c>
      <c r="BI5" t="str">
        <f>_xll.BDS("AMSG US Equity","SUPPLY_CHAIN_SUPPLIERS_ALL_DATA")</f>
        <v>#N/A N/A</v>
      </c>
      <c r="BW5" t="str">
        <f>_xll.BDS("AMSG US Equity","SUPPLY_CHAIN_CUSTOMERS_ALL_DATA")</f>
        <v>#N/A N/A</v>
      </c>
      <c r="CM5" t="str">
        <f>_xll.BDS("QDEL US Equity","SUPPLY_CHAIN_SUPPLIERS_ALL_DATA","cols=12;rows=5")</f>
        <v>JBL US Equity</v>
      </c>
      <c r="CN5" t="s">
        <v>1598</v>
      </c>
      <c r="CO5">
        <v>2.8593E-2</v>
      </c>
      <c r="CP5">
        <v>0.58639200000000002</v>
      </c>
      <c r="CQ5" t="s">
        <v>1599</v>
      </c>
      <c r="CR5">
        <v>2025</v>
      </c>
      <c r="CS5" t="s">
        <v>2560</v>
      </c>
      <c r="CT5" s="6">
        <v>45867</v>
      </c>
      <c r="CU5">
        <v>5</v>
      </c>
      <c r="CV5">
        <v>2238260</v>
      </c>
      <c r="CW5">
        <v>117092</v>
      </c>
      <c r="CX5" t="s">
        <v>2561</v>
      </c>
      <c r="DA5" t="str">
        <f>_xll.BDS("QDEL US Equity","SUPPLY_CHAIN_CUSTOMERS_ALL_DATA","cols=12;rows=5")</f>
        <v>MDLA IJ Equity</v>
      </c>
      <c r="DB5">
        <v>-2.4245362661989844E-14</v>
      </c>
      <c r="DD5">
        <v>-2.4245362661989844E-14</v>
      </c>
      <c r="DE5" t="s">
        <v>1651</v>
      </c>
      <c r="DF5">
        <v>2024</v>
      </c>
      <c r="DG5" t="s">
        <v>1964</v>
      </c>
      <c r="DH5" s="6">
        <v>45743</v>
      </c>
      <c r="DI5">
        <v>5</v>
      </c>
      <c r="DJ5">
        <v>-2.4245362661989844E-14</v>
      </c>
      <c r="DK5">
        <v>72259528</v>
      </c>
      <c r="DL5" t="s">
        <v>1965</v>
      </c>
      <c r="DQ5" t="str">
        <f>_xll.BDS("FDC US Equity","SUPPLY_CHAIN_SUPPLIERS_ALL_DATA")</f>
        <v>#N/A N/A</v>
      </c>
      <c r="EE5" t="str">
        <f>_xll.BDS("FDC US Equity","SUPPLY_CHAIN_CUSTOMERS_ALL_DATA")</f>
        <v>#N/A N/A</v>
      </c>
      <c r="EU5" t="str">
        <f>_xll.BDS("PXD US Equity","SUPPLY_CHAIN_SUPPLIERS_ALL_DATA","cols=12;rows=5")</f>
        <v>CUZ US Equity</v>
      </c>
      <c r="EW5">
        <v>-2.4245362661989844E-14</v>
      </c>
      <c r="EX5">
        <v>-2.4245362661989844E-14</v>
      </c>
      <c r="EY5" t="s">
        <v>1594</v>
      </c>
      <c r="EZ5">
        <v>2023</v>
      </c>
      <c r="FA5" t="s">
        <v>2846</v>
      </c>
      <c r="FB5" s="6">
        <v>45330</v>
      </c>
      <c r="FC5">
        <v>5</v>
      </c>
      <c r="FD5">
        <v>-2.4245362661989844E-14</v>
      </c>
      <c r="FE5">
        <v>106045</v>
      </c>
      <c r="FF5" t="s">
        <v>2847</v>
      </c>
      <c r="FI5" t="str">
        <f>_xll.BDS("PXD US Equity","SUPPLY_CHAIN_CUSTOMERS_ALL_DATA","cols=12;rows=5")</f>
        <v>0834107D US Equity</v>
      </c>
      <c r="FJ5">
        <v>-2.4245362661989844E-14</v>
      </c>
      <c r="FL5">
        <v>-2.4245362661989844E-14</v>
      </c>
      <c r="FM5" t="s">
        <v>1594</v>
      </c>
      <c r="FN5">
        <v>2023</v>
      </c>
      <c r="FO5" t="s">
        <v>2404</v>
      </c>
      <c r="FP5" s="6">
        <v>45344</v>
      </c>
      <c r="FQ5">
        <v>5</v>
      </c>
      <c r="FR5">
        <v>-2.4245362661989844E-14</v>
      </c>
      <c r="FS5">
        <v>952546</v>
      </c>
      <c r="FT5" t="s">
        <v>2405</v>
      </c>
      <c r="FY5" t="str">
        <f>_xll.BDS("FBF US Equity","SUPPLY_CHAIN_SUPPLIERS_ALL_DATA")</f>
        <v>#N/A N/A</v>
      </c>
      <c r="GM5" t="str">
        <f>_xll.BDS("FBF US Equity","SUPPLY_CHAIN_CUSTOMERS_ALL_DATA")</f>
        <v>#N/A N/A</v>
      </c>
      <c r="HC5" t="str">
        <f>_xll.BDS("VISN US Equity","SUPPLY_CHAIN_SUPPLIERS_ALL_DATA","cols=12;rows=5")</f>
        <v>MXL US Equity</v>
      </c>
      <c r="HD5" t="s">
        <v>1598</v>
      </c>
      <c r="HE5">
        <v>6.5244859999999996</v>
      </c>
      <c r="HF5">
        <v>0.92543399999999998</v>
      </c>
      <c r="HG5" t="s">
        <v>1606</v>
      </c>
      <c r="HH5">
        <v>2025</v>
      </c>
      <c r="HI5" t="s">
        <v>6239</v>
      </c>
      <c r="HJ5" s="6">
        <v>46070</v>
      </c>
      <c r="HK5">
        <v>5</v>
      </c>
      <c r="HL5">
        <v>8901748</v>
      </c>
      <c r="HM5">
        <v>17463341</v>
      </c>
      <c r="HN5" t="s">
        <v>6240</v>
      </c>
      <c r="HQ5" t="str">
        <f>_xll.BDS("VISN US Equity","SUPPLY_CHAIN_CUSTOMERS_ALL_DATA","cols=12;rows=5")</f>
        <v>CMCSA US Equity</v>
      </c>
      <c r="HR5">
        <v>35</v>
      </c>
      <c r="HS5" t="s">
        <v>1598</v>
      </c>
      <c r="HT5">
        <v>1.9343079999999999</v>
      </c>
      <c r="HU5" t="s">
        <v>1594</v>
      </c>
      <c r="HV5">
        <v>2025</v>
      </c>
      <c r="HW5" t="s">
        <v>3225</v>
      </c>
      <c r="HX5" s="6">
        <v>46079</v>
      </c>
      <c r="HY5">
        <v>5</v>
      </c>
      <c r="HZ5">
        <v>169015008</v>
      </c>
      <c r="IA5">
        <v>101712</v>
      </c>
      <c r="IB5" t="s">
        <v>2809</v>
      </c>
      <c r="IG5" t="str">
        <f>_xll.BDS("nan Equity","SUPPLY_CHAIN_SUPPLIERS_ALL_DATA")</f>
        <v>#N/A N/A</v>
      </c>
      <c r="IU5" t="str">
        <f>_xll.BDS("nan Equity","SUPPLY_CHAIN_CUSTOMERS_ALL_DATA")</f>
        <v>#N/A N/A</v>
      </c>
      <c r="JK5" t="str">
        <f>_xll.BDS("APO US Equity","SUPPLY_CHAIN_SUPPLIERS_ALL_DATA","cols=12;rows=5")</f>
        <v>PG US Equity</v>
      </c>
      <c r="JL5" t="s">
        <v>1598</v>
      </c>
      <c r="JM5">
        <v>0.57909100000000002</v>
      </c>
      <c r="JN5">
        <v>2.1118830000000002</v>
      </c>
      <c r="JO5" t="s">
        <v>1603</v>
      </c>
      <c r="JP5">
        <v>2025</v>
      </c>
      <c r="JQ5" t="s">
        <v>2670</v>
      </c>
      <c r="JR5" s="6">
        <v>45679</v>
      </c>
      <c r="JS5">
        <v>5</v>
      </c>
      <c r="JT5">
        <v>121665568</v>
      </c>
      <c r="JU5">
        <v>101215</v>
      </c>
      <c r="JV5" t="s">
        <v>1868</v>
      </c>
      <c r="JY5" t="str">
        <f>_xll.BDS("APO US Equity","SUPPLY_CHAIN_CUSTOMERS_ALL_DATA","cols=12;rows=5")</f>
        <v>RTX US Equity</v>
      </c>
      <c r="JZ5">
        <v>0.13495699999999999</v>
      </c>
      <c r="KA5" t="s">
        <v>1598</v>
      </c>
      <c r="KB5">
        <v>4.7856000000000003E-2</v>
      </c>
      <c r="KC5" t="s">
        <v>1603</v>
      </c>
      <c r="KD5">
        <v>2025</v>
      </c>
      <c r="KE5" t="s">
        <v>2129</v>
      </c>
      <c r="KF5" s="6">
        <v>45798</v>
      </c>
      <c r="KG5">
        <v>5</v>
      </c>
      <c r="KH5">
        <v>7747886</v>
      </c>
      <c r="KI5">
        <v>101555</v>
      </c>
      <c r="KJ5" t="s">
        <v>2130</v>
      </c>
      <c r="KO5" t="str">
        <f>_xll.BDS("BX US Equity","SUPPLY_CHAIN_SUPPLIERS_ALL_DATA","cols=12;rows=5")</f>
        <v>ORCL US Equity</v>
      </c>
      <c r="KP5" t="s">
        <v>1598</v>
      </c>
      <c r="KQ5">
        <v>3.7003000000000001E-2</v>
      </c>
      <c r="KR5">
        <v>0.33128000000000002</v>
      </c>
      <c r="KS5" t="s">
        <v>1606</v>
      </c>
      <c r="KT5">
        <v>2025</v>
      </c>
      <c r="KU5" t="s">
        <v>2251</v>
      </c>
      <c r="KV5" s="6">
        <v>45848</v>
      </c>
      <c r="KW5">
        <v>5</v>
      </c>
      <c r="KX5">
        <v>5884587</v>
      </c>
      <c r="KY5">
        <v>101752</v>
      </c>
      <c r="KZ5" t="s">
        <v>2265</v>
      </c>
      <c r="LC5" t="str">
        <f>_xll.BDS("BX US Equity","SUPPLY_CHAIN_CUSTOMERS_ALL_DATA","cols=12;rows=5")</f>
        <v>002284 CH Equity</v>
      </c>
      <c r="LD5">
        <v>-2.4245362661989844E-14</v>
      </c>
      <c r="LF5">
        <v>-2.4245362661989844E-14</v>
      </c>
      <c r="LG5" t="s">
        <v>1594</v>
      </c>
      <c r="LH5">
        <v>2024</v>
      </c>
      <c r="LI5" t="s">
        <v>1789</v>
      </c>
      <c r="LJ5" s="6">
        <v>45744</v>
      </c>
      <c r="LK5">
        <v>5</v>
      </c>
      <c r="LL5">
        <v>-2.4245362661989844E-14</v>
      </c>
      <c r="LM5">
        <v>15069854</v>
      </c>
      <c r="LN5" t="s">
        <v>1790</v>
      </c>
      <c r="LS5" t="str">
        <f>_xll.BDS("LVLT US Equity","SUPPLY_CHAIN_SUPPLIERS_ALL_DATA")</f>
        <v>#N/A N/A</v>
      </c>
      <c r="MG5" t="str">
        <f>_xll.BDS("LVLT US Equity","SUPPLY_CHAIN_CUSTOMERS_ALL_DATA")</f>
        <v>#N/A N/A</v>
      </c>
      <c r="MW5" t="str">
        <f>_xll.BDS("EXC US Equity","SUPPLY_CHAIN_SUPPLIERS_ALL_DATA","cols=12;rows=5")</f>
        <v>PWR US Equity</v>
      </c>
      <c r="MX5" t="s">
        <v>1634</v>
      </c>
      <c r="MY5">
        <v>2.4096030000000002</v>
      </c>
      <c r="MZ5">
        <v>8.6089249999999993</v>
      </c>
      <c r="NA5" t="s">
        <v>1599</v>
      </c>
      <c r="NB5">
        <v>2025</v>
      </c>
      <c r="NC5" t="s">
        <v>2321</v>
      </c>
      <c r="ND5" s="6">
        <v>45975</v>
      </c>
      <c r="NE5">
        <v>5</v>
      </c>
      <c r="NF5">
        <v>183886640</v>
      </c>
      <c r="NG5">
        <v>305366</v>
      </c>
      <c r="NH5" t="s">
        <v>2322</v>
      </c>
      <c r="NK5" t="str">
        <f>_xll.BDS("EXC US Equity","SUPPLY_CHAIN_CUSTOMERS_ALL_DATA","cols=12;rows=5")</f>
        <v>ARW US Equity</v>
      </c>
      <c r="NL5">
        <v>0.232519</v>
      </c>
      <c r="NM5" t="s">
        <v>1598</v>
      </c>
      <c r="NN5">
        <v>0.258465</v>
      </c>
      <c r="NO5" t="s">
        <v>1603</v>
      </c>
      <c r="NP5">
        <v>2025</v>
      </c>
      <c r="NQ5" t="s">
        <v>1892</v>
      </c>
      <c r="NR5" s="6">
        <v>45784</v>
      </c>
      <c r="NS5">
        <v>5</v>
      </c>
      <c r="NT5">
        <v>15611351</v>
      </c>
      <c r="NU5">
        <v>100115</v>
      </c>
      <c r="NV5" t="s">
        <v>1893</v>
      </c>
      <c r="OA5" t="str">
        <f>_xll.BDS("ORCL US Equity","SUPPLY_CHAIN_SUPPLIERS_ALL_DATA","cols=12;rows=5")</f>
        <v>NVDA US Equity</v>
      </c>
      <c r="OB5" t="s">
        <v>1634</v>
      </c>
      <c r="OC5">
        <v>1.9751799999999999</v>
      </c>
      <c r="OD5">
        <v>11.182838</v>
      </c>
      <c r="OE5" t="s">
        <v>1606</v>
      </c>
      <c r="OF5">
        <v>2026</v>
      </c>
      <c r="OG5" t="s">
        <v>2004</v>
      </c>
      <c r="OH5" s="6">
        <v>46087</v>
      </c>
      <c r="OI5">
        <v>5</v>
      </c>
      <c r="OJ5">
        <v>1345630848</v>
      </c>
      <c r="OK5">
        <v>313657</v>
      </c>
      <c r="OL5" t="s">
        <v>2005</v>
      </c>
      <c r="OO5" t="str">
        <f>_xll.BDS("ORCL US Equity","SUPPLY_CHAIN_CUSTOMERS_ALL_DATA","cols=12;rows=5")</f>
        <v>ACN US Equity</v>
      </c>
      <c r="OP5">
        <v>1.9061380000000001</v>
      </c>
      <c r="OQ5" t="s">
        <v>1598</v>
      </c>
      <c r="OR5">
        <v>2.7725070000000001</v>
      </c>
      <c r="OS5" t="s">
        <v>1606</v>
      </c>
      <c r="OT5">
        <v>2025</v>
      </c>
      <c r="OU5" t="s">
        <v>2251</v>
      </c>
      <c r="OV5" s="6">
        <v>45848</v>
      </c>
      <c r="OW5">
        <v>5</v>
      </c>
      <c r="OX5">
        <v>303133120</v>
      </c>
      <c r="OY5">
        <v>300787</v>
      </c>
      <c r="OZ5" t="s">
        <v>2252</v>
      </c>
      <c r="PE5" t="str">
        <f>_xll.BDS("2370058D US Equity","SUPPLY_CHAIN_SUPPLIERS_ALL_DATA")</f>
        <v>#N/A N/A</v>
      </c>
      <c r="PS5" t="str">
        <f>_xll.BDS("2370058D US Equity","SUPPLY_CHAIN_CUSTOMERS_ALL_DATA")</f>
        <v>#N/A N/A</v>
      </c>
      <c r="QI5" t="str">
        <f>_xll.BDS("TMO US Equity","SUPPLY_CHAIN_SUPPLIERS_ALL_DATA","cols=12;rows=5")</f>
        <v>EMR US Equity</v>
      </c>
      <c r="QJ5" t="s">
        <v>1598</v>
      </c>
      <c r="QK5">
        <v>4.2224550000000001</v>
      </c>
      <c r="QL5">
        <v>2.8645350000000001</v>
      </c>
      <c r="QM5" t="s">
        <v>1599</v>
      </c>
      <c r="QN5">
        <v>2025</v>
      </c>
      <c r="QO5" t="s">
        <v>2931</v>
      </c>
      <c r="QP5" s="6">
        <v>45881</v>
      </c>
      <c r="QQ5">
        <v>5</v>
      </c>
      <c r="QR5">
        <v>184647952</v>
      </c>
      <c r="QS5">
        <v>100515</v>
      </c>
      <c r="QT5" t="s">
        <v>2932</v>
      </c>
      <c r="QW5" t="str">
        <f>_xll.BDS("TMO US Equity","SUPPLY_CHAIN_CUSTOMERS_ALL_DATA","cols=12;rows=5")</f>
        <v>4195 TT Equity</v>
      </c>
      <c r="QX5">
        <v>9.7099999999999999E-3</v>
      </c>
      <c r="QY5" t="s">
        <v>1598</v>
      </c>
      <c r="QZ5">
        <v>37.527434999999997</v>
      </c>
      <c r="RA5" t="s">
        <v>1594</v>
      </c>
      <c r="RB5">
        <v>2024</v>
      </c>
      <c r="RC5" t="s">
        <v>2828</v>
      </c>
      <c r="RD5" s="6">
        <v>45803</v>
      </c>
      <c r="RE5">
        <v>5</v>
      </c>
      <c r="RF5">
        <v>1052629.3999999999</v>
      </c>
      <c r="RG5">
        <v>38166930</v>
      </c>
      <c r="RH5" t="s">
        <v>2829</v>
      </c>
      <c r="RM5" t="str">
        <f>_xll.BDS("UNH US Equity","SUPPLY_CHAIN_SUPPLIERS_ALL_DATA","cols=12;rows=5")</f>
        <v>VRTX US Equity</v>
      </c>
      <c r="RN5" t="s">
        <v>1598</v>
      </c>
      <c r="RO5">
        <v>9.6255240000000004</v>
      </c>
      <c r="RP5">
        <v>0.32416699999999998</v>
      </c>
      <c r="RQ5" t="s">
        <v>1606</v>
      </c>
      <c r="RR5">
        <v>2025</v>
      </c>
      <c r="RS5" t="s">
        <v>2965</v>
      </c>
      <c r="RT5" s="6">
        <v>46077</v>
      </c>
      <c r="RU5">
        <v>5</v>
      </c>
      <c r="RV5">
        <v>307054208</v>
      </c>
      <c r="RW5">
        <v>107741</v>
      </c>
      <c r="RX5" t="s">
        <v>2966</v>
      </c>
      <c r="SA5" t="str">
        <f>_xll.BDS("UNH US Equity","SUPPLY_CHAIN_CUSTOMERS_ALL_DATA","cols=12;rows=5")</f>
        <v>9877893Z US Equity</v>
      </c>
      <c r="SB5">
        <v>40</v>
      </c>
      <c r="SD5">
        <v>-2.4245362661989844E-14</v>
      </c>
      <c r="SE5" t="s">
        <v>1594</v>
      </c>
      <c r="SF5">
        <v>2024</v>
      </c>
      <c r="SG5" t="s">
        <v>2840</v>
      </c>
      <c r="SH5" s="6">
        <v>45715</v>
      </c>
      <c r="SI5">
        <v>5</v>
      </c>
      <c r="SJ5">
        <v>40027799552</v>
      </c>
      <c r="SK5">
        <v>17483390</v>
      </c>
      <c r="SL5" t="s">
        <v>2729</v>
      </c>
      <c r="SQ5" t="str">
        <f>_xll.BDS("COHR US Equity","SUPPLY_CHAIN_SUPPLIERS_ALL_DATA","cols=12;rows=5")</f>
        <v>AVGO US Equity</v>
      </c>
      <c r="SR5" t="s">
        <v>1598</v>
      </c>
      <c r="SS5">
        <v>5.4529000000000001E-2</v>
      </c>
      <c r="ST5">
        <v>0.98020499999999999</v>
      </c>
      <c r="SU5" t="s">
        <v>1606</v>
      </c>
      <c r="SV5">
        <v>2025</v>
      </c>
      <c r="SW5" t="s">
        <v>2691</v>
      </c>
      <c r="SX5" s="6">
        <v>46010</v>
      </c>
      <c r="SY5">
        <v>5</v>
      </c>
      <c r="SZ5">
        <v>9823399</v>
      </c>
      <c r="TA5">
        <v>59907412</v>
      </c>
      <c r="TB5" t="s">
        <v>3354</v>
      </c>
      <c r="TE5" t="str">
        <f>_xll.BDS("COHR US Equity","SUPPLY_CHAIN_CUSTOMERS_ALL_DATA","cols=12;rows=5")</f>
        <v>HPE US Equity</v>
      </c>
      <c r="TF5">
        <v>7.2540740000000001</v>
      </c>
      <c r="TG5" t="s">
        <v>1598</v>
      </c>
      <c r="TH5">
        <v>1.774689</v>
      </c>
      <c r="TI5" t="s">
        <v>1603</v>
      </c>
      <c r="TJ5">
        <v>2026</v>
      </c>
      <c r="TK5" t="s">
        <v>4252</v>
      </c>
      <c r="TL5" s="6">
        <v>45967</v>
      </c>
      <c r="TM5">
        <v>5</v>
      </c>
      <c r="TN5">
        <v>114715928</v>
      </c>
      <c r="TO5">
        <v>42602315</v>
      </c>
      <c r="TP5" t="s">
        <v>3111</v>
      </c>
      <c r="TU5" t="str">
        <f>_xll.BDS("NOV US Equity","SUPPLY_CHAIN_SUPPLIERS_ALL_DATA","cols=12;rows=5")</f>
        <v>OERL SW Equity</v>
      </c>
      <c r="TV5" t="s">
        <v>1598</v>
      </c>
      <c r="TW5">
        <v>0.48962800000000001</v>
      </c>
      <c r="TX5">
        <v>0.18532199999999999</v>
      </c>
      <c r="TY5" t="s">
        <v>1606</v>
      </c>
      <c r="TZ5">
        <v>2024</v>
      </c>
      <c r="UA5" t="s">
        <v>3311</v>
      </c>
      <c r="UB5" s="6">
        <v>45719</v>
      </c>
      <c r="UC5">
        <v>5</v>
      </c>
      <c r="UD5">
        <v>3366520.82</v>
      </c>
      <c r="UE5">
        <v>117826</v>
      </c>
      <c r="UF5" t="s">
        <v>3312</v>
      </c>
      <c r="UI5" t="str">
        <f>_xll.BDS("NOV US Equity","SUPPLY_CHAIN_CUSTOMERS_ALL_DATA","cols=12;rows=5")</f>
        <v>329180 KS Equity</v>
      </c>
      <c r="UJ5">
        <v>-2.4245362661989844E-14</v>
      </c>
      <c r="UL5">
        <v>-2.4245362661989844E-14</v>
      </c>
      <c r="UM5" t="s">
        <v>1651</v>
      </c>
      <c r="UN5">
        <v>2022</v>
      </c>
      <c r="UO5" t="s">
        <v>2761</v>
      </c>
      <c r="UP5" s="6">
        <v>44879</v>
      </c>
      <c r="UQ5">
        <v>5</v>
      </c>
      <c r="UR5">
        <v>-2.4245362661989844E-14</v>
      </c>
      <c r="US5">
        <v>65893902</v>
      </c>
      <c r="UT5" t="s">
        <v>2762</v>
      </c>
      <c r="UY5" t="str">
        <f>_xll.BDS("1255173D US Equity","SUPPLY_CHAIN_SUPPLIERS_ALL_DATA")</f>
        <v>#N/A N/A</v>
      </c>
      <c r="VM5" t="str">
        <f>_xll.BDS("1255173D US Equity","SUPPLY_CHAIN_CUSTOMERS_ALL_DATA")</f>
        <v>#N/A N/A</v>
      </c>
    </row>
    <row r="6" spans="1:600" x14ac:dyDescent="0.25">
      <c r="A6" t="s">
        <v>2796</v>
      </c>
      <c r="B6" t="s">
        <v>1685</v>
      </c>
      <c r="C6">
        <v>9.5382999999999996E-2</v>
      </c>
      <c r="D6">
        <v>1.0817209999999999</v>
      </c>
      <c r="E6" t="s">
        <v>1603</v>
      </c>
      <c r="F6">
        <v>2026</v>
      </c>
      <c r="G6" t="s">
        <v>2797</v>
      </c>
      <c r="H6" s="6">
        <v>45973</v>
      </c>
      <c r="I6">
        <v>5</v>
      </c>
      <c r="J6">
        <v>32671380.140000001</v>
      </c>
      <c r="K6">
        <v>16857643</v>
      </c>
      <c r="L6" t="s">
        <v>2798</v>
      </c>
      <c r="O6" t="s">
        <v>2896</v>
      </c>
      <c r="P6">
        <v>0.16034200000000001</v>
      </c>
      <c r="Q6" t="s">
        <v>1598</v>
      </c>
      <c r="R6">
        <v>12.286398</v>
      </c>
      <c r="S6" t="s">
        <v>1594</v>
      </c>
      <c r="T6">
        <v>2025</v>
      </c>
      <c r="U6" t="s">
        <v>2897</v>
      </c>
      <c r="V6" s="6">
        <v>45856</v>
      </c>
      <c r="W6">
        <v>5</v>
      </c>
      <c r="X6">
        <v>17393065.039999999</v>
      </c>
      <c r="Y6">
        <v>169572</v>
      </c>
      <c r="Z6" t="s">
        <v>2898</v>
      </c>
      <c r="CM6" t="s">
        <v>5292</v>
      </c>
      <c r="CO6">
        <v>-2.4245362661989844E-14</v>
      </c>
      <c r="CP6">
        <v>-2.4245362661989844E-14</v>
      </c>
      <c r="CQ6" t="s">
        <v>1594</v>
      </c>
      <c r="CR6">
        <v>2021</v>
      </c>
      <c r="CS6" t="s">
        <v>5293</v>
      </c>
      <c r="CT6" s="6">
        <v>44638</v>
      </c>
      <c r="CU6">
        <v>5</v>
      </c>
      <c r="CV6">
        <v>-2.4245362661989844E-14</v>
      </c>
      <c r="CW6">
        <v>45079292</v>
      </c>
      <c r="CX6" t="s">
        <v>5294</v>
      </c>
      <c r="DA6" t="s">
        <v>1966</v>
      </c>
      <c r="DB6">
        <v>-2.4245362661989844E-14</v>
      </c>
      <c r="DD6">
        <v>-2.4245362661989844E-14</v>
      </c>
      <c r="DE6" t="s">
        <v>1792</v>
      </c>
      <c r="DF6">
        <v>2024</v>
      </c>
      <c r="DG6" t="s">
        <v>1967</v>
      </c>
      <c r="DH6" s="6">
        <v>45533</v>
      </c>
      <c r="DI6">
        <v>5</v>
      </c>
      <c r="DJ6">
        <v>-2.4245362661989844E-14</v>
      </c>
      <c r="DK6">
        <v>41186181</v>
      </c>
      <c r="DL6" t="s">
        <v>1968</v>
      </c>
      <c r="EU6" t="s">
        <v>2848</v>
      </c>
      <c r="EW6">
        <v>-2.4245362661989844E-14</v>
      </c>
      <c r="EX6">
        <v>-2.4245362661989844E-14</v>
      </c>
      <c r="EY6" t="s">
        <v>1594</v>
      </c>
      <c r="EZ6">
        <v>2023</v>
      </c>
      <c r="FA6" t="s">
        <v>2849</v>
      </c>
      <c r="FB6" s="6">
        <v>45344</v>
      </c>
      <c r="FC6">
        <v>5</v>
      </c>
      <c r="FD6">
        <v>-2.4245362661989844E-14</v>
      </c>
      <c r="FE6">
        <v>8016379</v>
      </c>
      <c r="FF6" t="s">
        <v>2850</v>
      </c>
      <c r="FI6" t="s">
        <v>70</v>
      </c>
      <c r="FJ6">
        <v>-2.4245362661989844E-14</v>
      </c>
      <c r="FL6">
        <v>-2.4245362661989844E-14</v>
      </c>
      <c r="FM6" t="s">
        <v>1594</v>
      </c>
      <c r="FN6">
        <v>2023</v>
      </c>
      <c r="FO6" t="s">
        <v>2404</v>
      </c>
      <c r="FP6" s="6">
        <v>45344</v>
      </c>
      <c r="FQ6">
        <v>5</v>
      </c>
      <c r="FR6">
        <v>-2.4245362661989844E-14</v>
      </c>
      <c r="FS6">
        <v>10005604</v>
      </c>
      <c r="FT6" t="s">
        <v>2406</v>
      </c>
      <c r="HC6" t="s">
        <v>617</v>
      </c>
      <c r="HD6" t="s">
        <v>1598</v>
      </c>
      <c r="HE6">
        <v>4.5233000000000002E-2</v>
      </c>
      <c r="HF6">
        <v>0.98330499999999998</v>
      </c>
      <c r="HG6" t="s">
        <v>1664</v>
      </c>
      <c r="HH6">
        <v>2025</v>
      </c>
      <c r="HI6" t="s">
        <v>3227</v>
      </c>
      <c r="HJ6" s="6">
        <v>45783</v>
      </c>
      <c r="HK6">
        <v>5</v>
      </c>
      <c r="HL6">
        <v>6328549</v>
      </c>
      <c r="HM6">
        <v>69423747</v>
      </c>
      <c r="HN6" t="s">
        <v>3228</v>
      </c>
      <c r="HQ6" t="s">
        <v>6332</v>
      </c>
      <c r="HR6">
        <v>13</v>
      </c>
      <c r="HS6" t="s">
        <v>1598</v>
      </c>
      <c r="HT6">
        <v>1.2837179999999999</v>
      </c>
      <c r="HU6" t="s">
        <v>1594</v>
      </c>
      <c r="HV6">
        <v>2025</v>
      </c>
      <c r="HW6" t="s">
        <v>3225</v>
      </c>
      <c r="HX6" s="6">
        <v>46079</v>
      </c>
      <c r="HY6">
        <v>5</v>
      </c>
      <c r="HZ6">
        <v>62777000</v>
      </c>
      <c r="IA6">
        <v>14038385</v>
      </c>
      <c r="IB6" t="s">
        <v>6333</v>
      </c>
      <c r="JK6" t="s">
        <v>4431</v>
      </c>
      <c r="JL6" t="s">
        <v>1598</v>
      </c>
      <c r="JM6">
        <v>2.3059889999999998</v>
      </c>
      <c r="JN6">
        <v>1.5310429999999999</v>
      </c>
      <c r="JO6" t="s">
        <v>1603</v>
      </c>
      <c r="JP6">
        <v>2025</v>
      </c>
      <c r="JQ6" t="s">
        <v>4432</v>
      </c>
      <c r="JR6" s="6">
        <v>45834</v>
      </c>
      <c r="JS6">
        <v>5</v>
      </c>
      <c r="JT6">
        <v>65559268</v>
      </c>
      <c r="JU6">
        <v>100803</v>
      </c>
      <c r="JV6" t="s">
        <v>4433</v>
      </c>
      <c r="JY6" t="s">
        <v>462</v>
      </c>
      <c r="JZ6">
        <v>0.10491399999999999</v>
      </c>
      <c r="KA6" t="s">
        <v>1598</v>
      </c>
      <c r="KB6">
        <v>5.4052999999999997E-2</v>
      </c>
      <c r="KC6" t="s">
        <v>1664</v>
      </c>
      <c r="KD6">
        <v>2025</v>
      </c>
      <c r="KE6" t="s">
        <v>3366</v>
      </c>
      <c r="KF6" s="6">
        <v>45876</v>
      </c>
      <c r="KG6">
        <v>5</v>
      </c>
      <c r="KH6">
        <v>6023126</v>
      </c>
      <c r="KI6">
        <v>100285</v>
      </c>
      <c r="KJ6" t="s">
        <v>1764</v>
      </c>
      <c r="KO6" t="s">
        <v>2266</v>
      </c>
      <c r="KP6" t="s">
        <v>1685</v>
      </c>
      <c r="KQ6">
        <v>0.597939</v>
      </c>
      <c r="KR6">
        <v>5.9714000000000003E-2</v>
      </c>
      <c r="KS6" t="s">
        <v>1594</v>
      </c>
      <c r="KT6">
        <v>2024</v>
      </c>
      <c r="KU6" t="s">
        <v>2267</v>
      </c>
      <c r="KV6" s="6">
        <v>45694</v>
      </c>
      <c r="KW6">
        <v>5</v>
      </c>
      <c r="KX6">
        <v>957052.25</v>
      </c>
      <c r="KY6">
        <v>103579</v>
      </c>
      <c r="KZ6" t="s">
        <v>2268</v>
      </c>
      <c r="LC6" t="s">
        <v>1791</v>
      </c>
      <c r="LD6">
        <v>-2.4245362661989844E-14</v>
      </c>
      <c r="LF6">
        <v>-2.4245362661989844E-14</v>
      </c>
      <c r="LG6" t="s">
        <v>1792</v>
      </c>
      <c r="LH6">
        <v>2025</v>
      </c>
      <c r="LI6" t="s">
        <v>1793</v>
      </c>
      <c r="LJ6" s="6">
        <v>45894</v>
      </c>
      <c r="LK6">
        <v>5</v>
      </c>
      <c r="LL6">
        <v>-2.4245362661989844E-14</v>
      </c>
      <c r="LM6">
        <v>15149577</v>
      </c>
      <c r="LN6" t="s">
        <v>1794</v>
      </c>
      <c r="MW6" t="s">
        <v>3820</v>
      </c>
      <c r="MX6" t="s">
        <v>1598</v>
      </c>
      <c r="MY6">
        <v>0.32812200000000002</v>
      </c>
      <c r="MZ6">
        <v>0.37049900000000002</v>
      </c>
      <c r="NA6" t="s">
        <v>1603</v>
      </c>
      <c r="NB6">
        <v>2025</v>
      </c>
      <c r="NC6" t="s">
        <v>3821</v>
      </c>
      <c r="ND6" s="6">
        <v>45849</v>
      </c>
      <c r="NE6">
        <v>5</v>
      </c>
      <c r="NF6">
        <v>9343989</v>
      </c>
      <c r="NG6">
        <v>102595</v>
      </c>
      <c r="NH6" t="s">
        <v>3822</v>
      </c>
      <c r="NK6" t="s">
        <v>5082</v>
      </c>
      <c r="NL6">
        <v>-2.4245362661989844E-14</v>
      </c>
      <c r="NN6">
        <v>-2.4245362661989844E-14</v>
      </c>
      <c r="NO6" t="s">
        <v>1594</v>
      </c>
      <c r="NP6">
        <v>2021</v>
      </c>
      <c r="NQ6" t="s">
        <v>5083</v>
      </c>
      <c r="NR6" s="6">
        <v>44693</v>
      </c>
      <c r="NS6">
        <v>5</v>
      </c>
      <c r="NT6">
        <v>-2.4245362661989844E-14</v>
      </c>
      <c r="NU6">
        <v>117699</v>
      </c>
      <c r="NV6" t="s">
        <v>5084</v>
      </c>
      <c r="OA6" t="s">
        <v>114</v>
      </c>
      <c r="OB6" t="s">
        <v>1634</v>
      </c>
      <c r="OC6">
        <v>3.5808580000000001</v>
      </c>
      <c r="OD6">
        <v>3.236755</v>
      </c>
      <c r="OE6" t="s">
        <v>1664</v>
      </c>
      <c r="OF6">
        <v>2025</v>
      </c>
      <c r="OG6" t="s">
        <v>3353</v>
      </c>
      <c r="OH6" s="6">
        <v>45947</v>
      </c>
      <c r="OI6">
        <v>5</v>
      </c>
      <c r="OJ6">
        <v>275188928</v>
      </c>
      <c r="OK6">
        <v>100010</v>
      </c>
      <c r="OL6" t="s">
        <v>1996</v>
      </c>
      <c r="OO6" t="s">
        <v>303</v>
      </c>
      <c r="OP6">
        <v>1.3419890000000001</v>
      </c>
      <c r="OQ6" t="s">
        <v>1598</v>
      </c>
      <c r="OR6">
        <v>0.27725100000000003</v>
      </c>
      <c r="OS6" t="s">
        <v>1606</v>
      </c>
      <c r="OT6">
        <v>2025</v>
      </c>
      <c r="OU6" t="s">
        <v>2251</v>
      </c>
      <c r="OV6" s="6">
        <v>45848</v>
      </c>
      <c r="OW6">
        <v>5</v>
      </c>
      <c r="OX6">
        <v>213416512</v>
      </c>
      <c r="OY6">
        <v>216952</v>
      </c>
      <c r="OZ6" t="s">
        <v>1631</v>
      </c>
      <c r="QI6" t="s">
        <v>24</v>
      </c>
      <c r="QJ6" t="s">
        <v>1598</v>
      </c>
      <c r="QK6">
        <v>0.39111600000000002</v>
      </c>
      <c r="QL6">
        <v>0.88908200000000004</v>
      </c>
      <c r="QM6" t="s">
        <v>1664</v>
      </c>
      <c r="QN6">
        <v>2025</v>
      </c>
      <c r="QO6" t="s">
        <v>3358</v>
      </c>
      <c r="QP6" s="6">
        <v>45914</v>
      </c>
      <c r="QQ6">
        <v>5</v>
      </c>
      <c r="QR6">
        <v>57310228</v>
      </c>
      <c r="QS6">
        <v>101166</v>
      </c>
      <c r="QT6" t="s">
        <v>2119</v>
      </c>
      <c r="QW6" t="s">
        <v>1706</v>
      </c>
      <c r="QX6">
        <v>2.545E-3</v>
      </c>
      <c r="QY6" t="s">
        <v>1598</v>
      </c>
      <c r="QZ6">
        <v>3.8306200000000001</v>
      </c>
      <c r="RA6" t="s">
        <v>1594</v>
      </c>
      <c r="RB6">
        <v>2024</v>
      </c>
      <c r="RC6" t="s">
        <v>1707</v>
      </c>
      <c r="RD6" s="6">
        <v>45819</v>
      </c>
      <c r="RE6">
        <v>5</v>
      </c>
      <c r="RF6">
        <v>275861.17</v>
      </c>
      <c r="RG6">
        <v>15291339</v>
      </c>
      <c r="RH6" t="s">
        <v>1708</v>
      </c>
      <c r="RM6" t="s">
        <v>2361</v>
      </c>
      <c r="RN6" t="s">
        <v>1598</v>
      </c>
      <c r="RO6">
        <v>12.627013</v>
      </c>
      <c r="RP6">
        <v>0.18209500000000001</v>
      </c>
      <c r="RQ6" t="s">
        <v>1599</v>
      </c>
      <c r="RR6">
        <v>2025</v>
      </c>
      <c r="RS6" t="s">
        <v>3406</v>
      </c>
      <c r="RT6" s="6">
        <v>46050</v>
      </c>
      <c r="RU6">
        <v>5</v>
      </c>
      <c r="RV6">
        <v>172482464</v>
      </c>
      <c r="RW6">
        <v>126255</v>
      </c>
      <c r="RX6" t="s">
        <v>2363</v>
      </c>
      <c r="SA6" t="s">
        <v>1621</v>
      </c>
      <c r="SB6">
        <v>-2.4245362661989844E-14</v>
      </c>
      <c r="SD6">
        <v>-2.4245362661989844E-14</v>
      </c>
      <c r="SE6" t="s">
        <v>1594</v>
      </c>
      <c r="SF6">
        <v>2024</v>
      </c>
      <c r="SG6" t="s">
        <v>2840</v>
      </c>
      <c r="SH6" s="6">
        <v>45715</v>
      </c>
      <c r="SI6">
        <v>5</v>
      </c>
      <c r="SJ6">
        <v>-2.4245362661989844E-14</v>
      </c>
      <c r="SK6">
        <v>218252</v>
      </c>
      <c r="SL6" t="s">
        <v>1622</v>
      </c>
      <c r="SQ6" t="s">
        <v>4497</v>
      </c>
      <c r="SR6" t="s">
        <v>1598</v>
      </c>
      <c r="SS6">
        <v>8.1725010000000005</v>
      </c>
      <c r="ST6">
        <v>0.91561800000000004</v>
      </c>
      <c r="SU6" t="s">
        <v>1603</v>
      </c>
      <c r="SV6">
        <v>2025</v>
      </c>
      <c r="SW6" t="s">
        <v>4498</v>
      </c>
      <c r="SX6" s="6">
        <v>45861</v>
      </c>
      <c r="SY6">
        <v>5</v>
      </c>
      <c r="SZ6">
        <v>8883813.5099999998</v>
      </c>
      <c r="TA6">
        <v>14336256</v>
      </c>
      <c r="TB6" t="s">
        <v>4499</v>
      </c>
      <c r="TE6" t="s">
        <v>617</v>
      </c>
      <c r="TF6">
        <v>6.8054249999999996</v>
      </c>
      <c r="TG6" t="s">
        <v>1598</v>
      </c>
      <c r="TH6">
        <v>2.1361849999999998</v>
      </c>
      <c r="TI6" t="s">
        <v>1603</v>
      </c>
      <c r="TJ6">
        <v>2026</v>
      </c>
      <c r="TK6" t="s">
        <v>4252</v>
      </c>
      <c r="TL6" s="6">
        <v>45967</v>
      </c>
      <c r="TM6">
        <v>5</v>
      </c>
      <c r="TN6">
        <v>107620992</v>
      </c>
      <c r="TO6">
        <v>69423747</v>
      </c>
      <c r="TP6" t="s">
        <v>3228</v>
      </c>
      <c r="TU6" t="s">
        <v>2072</v>
      </c>
      <c r="TV6" t="s">
        <v>1598</v>
      </c>
      <c r="TW6">
        <v>0.52293800000000001</v>
      </c>
      <c r="TX6">
        <v>0.187949</v>
      </c>
      <c r="TY6" t="s">
        <v>1599</v>
      </c>
      <c r="TZ6">
        <v>2025</v>
      </c>
      <c r="UA6" t="s">
        <v>2073</v>
      </c>
      <c r="UB6" s="6">
        <v>46027</v>
      </c>
      <c r="UC6">
        <v>5</v>
      </c>
      <c r="UD6">
        <v>3315427</v>
      </c>
      <c r="UE6">
        <v>36965288</v>
      </c>
      <c r="UF6" t="s">
        <v>2074</v>
      </c>
      <c r="UI6" t="s">
        <v>2763</v>
      </c>
      <c r="UJ6">
        <v>-2.4245362661989844E-14</v>
      </c>
      <c r="UL6">
        <v>-2.4245362661989844E-14</v>
      </c>
      <c r="UM6" t="s">
        <v>1594</v>
      </c>
      <c r="UN6">
        <v>2023</v>
      </c>
      <c r="UO6" t="s">
        <v>2764</v>
      </c>
      <c r="UP6" s="6">
        <v>45028</v>
      </c>
      <c r="UQ6">
        <v>5</v>
      </c>
      <c r="UR6">
        <v>-2.4245362661989844E-14</v>
      </c>
      <c r="US6">
        <v>21481240</v>
      </c>
      <c r="UT6" t="s">
        <v>2765</v>
      </c>
    </row>
    <row r="7" spans="1:600" x14ac:dyDescent="0.25">
      <c r="A7" t="s">
        <v>2335</v>
      </c>
      <c r="B7" t="s">
        <v>1598</v>
      </c>
      <c r="C7">
        <v>0.54199799999999998</v>
      </c>
      <c r="D7">
        <v>0.58194000000000001</v>
      </c>
      <c r="E7" t="s">
        <v>1664</v>
      </c>
      <c r="F7">
        <v>2026</v>
      </c>
      <c r="G7" t="s">
        <v>2336</v>
      </c>
      <c r="H7" s="6">
        <v>46071</v>
      </c>
      <c r="I7">
        <v>5</v>
      </c>
      <c r="J7">
        <v>29533472</v>
      </c>
      <c r="K7">
        <v>61417091</v>
      </c>
      <c r="L7" t="s">
        <v>2337</v>
      </c>
      <c r="O7" t="s">
        <v>2899</v>
      </c>
      <c r="P7">
        <v>4.6823999999999998E-2</v>
      </c>
      <c r="Q7" t="s">
        <v>1598</v>
      </c>
      <c r="R7">
        <v>12.031086999999999</v>
      </c>
      <c r="S7" t="s">
        <v>1594</v>
      </c>
      <c r="T7">
        <v>2024</v>
      </c>
      <c r="U7" t="s">
        <v>2900</v>
      </c>
      <c r="V7" s="6">
        <v>45785</v>
      </c>
      <c r="W7">
        <v>5</v>
      </c>
      <c r="X7">
        <v>5010938.38</v>
      </c>
      <c r="Y7">
        <v>33604341</v>
      </c>
      <c r="Z7" t="s">
        <v>2901</v>
      </c>
      <c r="CM7" t="s">
        <v>4113</v>
      </c>
      <c r="CO7">
        <v>-2.4245362661989844E-14</v>
      </c>
      <c r="CP7">
        <v>-2.4245362661989844E-14</v>
      </c>
      <c r="CQ7" t="s">
        <v>1594</v>
      </c>
      <c r="CR7">
        <v>2023</v>
      </c>
      <c r="CS7" t="s">
        <v>4114</v>
      </c>
      <c r="CT7" s="6">
        <v>45407</v>
      </c>
      <c r="CU7">
        <v>5</v>
      </c>
      <c r="CV7">
        <v>-2.4245362661989844E-14</v>
      </c>
      <c r="CW7">
        <v>22884053</v>
      </c>
      <c r="CX7" t="s">
        <v>4115</v>
      </c>
      <c r="DA7" t="s">
        <v>1969</v>
      </c>
      <c r="DB7">
        <v>-2.4245362661989844E-14</v>
      </c>
      <c r="DD7">
        <v>-2.4245362661989844E-14</v>
      </c>
      <c r="DE7" t="s">
        <v>1594</v>
      </c>
      <c r="DF7">
        <v>2023</v>
      </c>
      <c r="DG7" t="s">
        <v>1970</v>
      </c>
      <c r="DH7" s="6">
        <v>45196</v>
      </c>
      <c r="DI7">
        <v>5</v>
      </c>
      <c r="DJ7">
        <v>-2.4245362661989844E-14</v>
      </c>
      <c r="DK7">
        <v>109877</v>
      </c>
      <c r="DL7" t="s">
        <v>1971</v>
      </c>
      <c r="EU7" t="s">
        <v>2072</v>
      </c>
      <c r="EW7">
        <v>-2.4245362661989844E-14</v>
      </c>
      <c r="EX7">
        <v>-2.4245362661989844E-14</v>
      </c>
      <c r="EY7" t="s">
        <v>1594</v>
      </c>
      <c r="EZ7">
        <v>2023</v>
      </c>
      <c r="FA7" t="s">
        <v>2851</v>
      </c>
      <c r="FB7" s="6">
        <v>45352</v>
      </c>
      <c r="FC7">
        <v>5</v>
      </c>
      <c r="FD7">
        <v>-2.4245362661989844E-14</v>
      </c>
      <c r="FE7">
        <v>36965288</v>
      </c>
      <c r="FF7" t="s">
        <v>2074</v>
      </c>
      <c r="FI7" t="s">
        <v>74</v>
      </c>
      <c r="FJ7">
        <v>-2.4245362661989844E-14</v>
      </c>
      <c r="FL7">
        <v>-2.4245362661989844E-14</v>
      </c>
      <c r="FM7" t="s">
        <v>1594</v>
      </c>
      <c r="FN7">
        <v>2023</v>
      </c>
      <c r="FO7" t="s">
        <v>2404</v>
      </c>
      <c r="FP7" s="6">
        <v>45344</v>
      </c>
      <c r="FQ7">
        <v>5</v>
      </c>
      <c r="FR7">
        <v>-2.4245362661989844E-14</v>
      </c>
      <c r="FS7">
        <v>101106</v>
      </c>
      <c r="FT7" t="s">
        <v>2407</v>
      </c>
      <c r="HC7" t="s">
        <v>3738</v>
      </c>
      <c r="HD7" t="s">
        <v>1598</v>
      </c>
      <c r="HE7">
        <v>0.54730199999999996</v>
      </c>
      <c r="HF7">
        <v>0.53723699999999996</v>
      </c>
      <c r="HG7" t="s">
        <v>1603</v>
      </c>
      <c r="HH7">
        <v>2025</v>
      </c>
      <c r="HI7" t="s">
        <v>3739</v>
      </c>
      <c r="HJ7" s="6">
        <v>45793</v>
      </c>
      <c r="HK7">
        <v>5</v>
      </c>
      <c r="HL7">
        <v>3457657</v>
      </c>
      <c r="HM7">
        <v>102417</v>
      </c>
      <c r="HN7" t="s">
        <v>3740</v>
      </c>
      <c r="HQ7" t="s">
        <v>875</v>
      </c>
      <c r="HR7">
        <v>10.167664</v>
      </c>
      <c r="HS7" t="s">
        <v>1598</v>
      </c>
      <c r="HT7">
        <v>2.6809409999999998</v>
      </c>
      <c r="HU7" t="s">
        <v>1603</v>
      </c>
      <c r="HV7">
        <v>2025</v>
      </c>
      <c r="HW7" t="s">
        <v>4778</v>
      </c>
      <c r="HX7" s="6">
        <v>45800</v>
      </c>
      <c r="HY7">
        <v>5</v>
      </c>
      <c r="HZ7">
        <v>113084760</v>
      </c>
      <c r="IA7">
        <v>305945</v>
      </c>
      <c r="IB7" t="s">
        <v>5356</v>
      </c>
      <c r="JK7" t="s">
        <v>1451</v>
      </c>
      <c r="JL7" t="s">
        <v>1598</v>
      </c>
      <c r="JM7">
        <v>0.91261199999999998</v>
      </c>
      <c r="JN7">
        <v>0.92368399999999995</v>
      </c>
      <c r="JO7" t="s">
        <v>1606</v>
      </c>
      <c r="JP7">
        <v>2025</v>
      </c>
      <c r="JQ7" t="s">
        <v>1930</v>
      </c>
      <c r="JR7" s="6">
        <v>46076</v>
      </c>
      <c r="JS7">
        <v>5</v>
      </c>
      <c r="JT7">
        <v>64713316</v>
      </c>
      <c r="JU7">
        <v>9932803</v>
      </c>
      <c r="JV7" t="s">
        <v>1931</v>
      </c>
      <c r="JY7" t="s">
        <v>4212</v>
      </c>
      <c r="JZ7">
        <v>0.103394</v>
      </c>
      <c r="KA7" t="s">
        <v>1598</v>
      </c>
      <c r="KB7">
        <v>5.8633490000000004</v>
      </c>
      <c r="KC7" t="s">
        <v>1594</v>
      </c>
      <c r="KD7">
        <v>2025</v>
      </c>
      <c r="KE7" t="s">
        <v>4213</v>
      </c>
      <c r="KF7" s="6">
        <v>45966</v>
      </c>
      <c r="KG7">
        <v>5</v>
      </c>
      <c r="KH7">
        <v>7246011.29</v>
      </c>
      <c r="KI7">
        <v>64873228</v>
      </c>
      <c r="KJ7" t="s">
        <v>4214</v>
      </c>
      <c r="KO7" t="s">
        <v>2269</v>
      </c>
      <c r="KP7" t="s">
        <v>1598</v>
      </c>
      <c r="KQ7">
        <v>7.4065000000000006E-2</v>
      </c>
      <c r="KR7">
        <v>2.879E-3</v>
      </c>
      <c r="KS7" t="s">
        <v>1594</v>
      </c>
      <c r="KT7">
        <v>2024</v>
      </c>
      <c r="KU7" t="s">
        <v>2270</v>
      </c>
      <c r="KV7" s="6">
        <v>45758</v>
      </c>
      <c r="KW7">
        <v>5</v>
      </c>
      <c r="KX7">
        <v>46697.46</v>
      </c>
      <c r="KY7">
        <v>130878</v>
      </c>
      <c r="KZ7" t="s">
        <v>2271</v>
      </c>
      <c r="LC7" t="s">
        <v>1795</v>
      </c>
      <c r="LD7">
        <v>-2.4245362661989844E-14</v>
      </c>
      <c r="LF7">
        <v>-2.4245362661989844E-14</v>
      </c>
      <c r="LG7" t="s">
        <v>1664</v>
      </c>
      <c r="LH7">
        <v>2024</v>
      </c>
      <c r="LI7" t="s">
        <v>1796</v>
      </c>
      <c r="LJ7" s="6">
        <v>45433</v>
      </c>
      <c r="LK7">
        <v>5</v>
      </c>
      <c r="LL7">
        <v>-2.4245362661989844E-14</v>
      </c>
      <c r="LM7">
        <v>27196144</v>
      </c>
      <c r="LN7" t="s">
        <v>1797</v>
      </c>
      <c r="MW7" t="s">
        <v>2272</v>
      </c>
      <c r="MX7" t="s">
        <v>1634</v>
      </c>
      <c r="MY7">
        <v>1.1751769999999999</v>
      </c>
      <c r="MZ7">
        <v>0.30301699999999998</v>
      </c>
      <c r="NA7" t="s">
        <v>1599</v>
      </c>
      <c r="NB7">
        <v>2025</v>
      </c>
      <c r="NC7" t="s">
        <v>2273</v>
      </c>
      <c r="ND7" s="6">
        <v>45964</v>
      </c>
      <c r="NE7">
        <v>5</v>
      </c>
      <c r="NF7">
        <v>6099733</v>
      </c>
      <c r="NG7">
        <v>16546862</v>
      </c>
      <c r="NH7" t="s">
        <v>2274</v>
      </c>
      <c r="NK7" t="s">
        <v>2730</v>
      </c>
      <c r="NL7">
        <v>-2.4245362661989844E-14</v>
      </c>
      <c r="NN7">
        <v>-2.4245362661989844E-14</v>
      </c>
      <c r="NO7" t="s">
        <v>1594</v>
      </c>
      <c r="NP7">
        <v>2021</v>
      </c>
      <c r="NQ7" t="s">
        <v>5083</v>
      </c>
      <c r="NR7" s="6">
        <v>44693</v>
      </c>
      <c r="NS7">
        <v>5</v>
      </c>
      <c r="NT7">
        <v>-2.4245362661989844E-14</v>
      </c>
      <c r="NU7">
        <v>117832</v>
      </c>
      <c r="NV7" t="s">
        <v>2732</v>
      </c>
      <c r="OA7" t="s">
        <v>211</v>
      </c>
      <c r="OB7" t="s">
        <v>1634</v>
      </c>
      <c r="OC7">
        <v>0.91127400000000003</v>
      </c>
      <c r="OD7">
        <v>1.364298</v>
      </c>
      <c r="OE7" t="s">
        <v>1606</v>
      </c>
      <c r="OF7">
        <v>2025</v>
      </c>
      <c r="OG7" t="s">
        <v>2691</v>
      </c>
      <c r="OH7" s="6">
        <v>46010</v>
      </c>
      <c r="OI7">
        <v>5</v>
      </c>
      <c r="OJ7">
        <v>164166016</v>
      </c>
      <c r="OK7">
        <v>59907412</v>
      </c>
      <c r="OL7" t="s">
        <v>3354</v>
      </c>
      <c r="OO7" t="s">
        <v>1700</v>
      </c>
      <c r="OP7">
        <v>1.0301469999999999</v>
      </c>
      <c r="OQ7" t="s">
        <v>1598</v>
      </c>
      <c r="OR7">
        <v>1.0221020000000001</v>
      </c>
      <c r="OS7" t="s">
        <v>1606</v>
      </c>
      <c r="OT7">
        <v>2025</v>
      </c>
      <c r="OU7" t="s">
        <v>1701</v>
      </c>
      <c r="OV7" s="6">
        <v>46056</v>
      </c>
      <c r="OW7">
        <v>5</v>
      </c>
      <c r="OX7">
        <v>165420976</v>
      </c>
      <c r="OY7">
        <v>1499717</v>
      </c>
      <c r="OZ7" t="s">
        <v>1702</v>
      </c>
      <c r="QI7" t="s">
        <v>2556</v>
      </c>
      <c r="QJ7" t="s">
        <v>1598</v>
      </c>
      <c r="QK7">
        <v>0.56451700000000005</v>
      </c>
      <c r="QL7">
        <v>0.57008199999999998</v>
      </c>
      <c r="QM7" t="s">
        <v>1599</v>
      </c>
      <c r="QN7">
        <v>2025</v>
      </c>
      <c r="QO7" t="s">
        <v>2557</v>
      </c>
      <c r="QP7" s="6">
        <v>45763</v>
      </c>
      <c r="QQ7">
        <v>5</v>
      </c>
      <c r="QR7">
        <v>37009736</v>
      </c>
      <c r="QS7">
        <v>136547</v>
      </c>
      <c r="QT7" t="s">
        <v>2558</v>
      </c>
      <c r="QW7" t="s">
        <v>2830</v>
      </c>
      <c r="QX7">
        <v>8.6300000000000005E-4</v>
      </c>
      <c r="QY7" t="s">
        <v>1598</v>
      </c>
      <c r="QZ7">
        <v>0.46444600000000003</v>
      </c>
      <c r="RA7" t="s">
        <v>1594</v>
      </c>
      <c r="RB7">
        <v>2024</v>
      </c>
      <c r="RC7" t="s">
        <v>2831</v>
      </c>
      <c r="RD7" s="6">
        <v>45730</v>
      </c>
      <c r="RE7">
        <v>5</v>
      </c>
      <c r="RF7">
        <v>92615.79</v>
      </c>
      <c r="RG7">
        <v>7369845</v>
      </c>
      <c r="RH7" t="s">
        <v>2832</v>
      </c>
      <c r="RM7" t="s">
        <v>3407</v>
      </c>
      <c r="RN7" t="s">
        <v>1598</v>
      </c>
      <c r="RO7">
        <v>1.035563</v>
      </c>
      <c r="RP7">
        <v>0.169491</v>
      </c>
      <c r="RQ7" t="s">
        <v>1599</v>
      </c>
      <c r="RR7">
        <v>2025</v>
      </c>
      <c r="RS7" t="s">
        <v>3408</v>
      </c>
      <c r="RT7" s="6">
        <v>46080</v>
      </c>
      <c r="RU7">
        <v>5</v>
      </c>
      <c r="RV7">
        <v>160543328</v>
      </c>
      <c r="RW7">
        <v>111093</v>
      </c>
      <c r="RX7" t="s">
        <v>3409</v>
      </c>
      <c r="SA7" t="s">
        <v>117</v>
      </c>
      <c r="SB7">
        <v>-2.4245362661989844E-14</v>
      </c>
      <c r="SD7">
        <v>-2.4245362661989844E-14</v>
      </c>
      <c r="SE7" t="s">
        <v>1594</v>
      </c>
      <c r="SF7">
        <v>2023</v>
      </c>
      <c r="SG7" t="s">
        <v>2841</v>
      </c>
      <c r="SH7" s="6">
        <v>45398</v>
      </c>
      <c r="SI7">
        <v>5</v>
      </c>
      <c r="SJ7">
        <v>-2.4245362661989844E-14</v>
      </c>
      <c r="SK7">
        <v>100801</v>
      </c>
      <c r="SL7" t="s">
        <v>1745</v>
      </c>
      <c r="SQ7" t="s">
        <v>4500</v>
      </c>
      <c r="SR7" t="s">
        <v>1598</v>
      </c>
      <c r="SS7">
        <v>1.799021</v>
      </c>
      <c r="ST7">
        <v>0.71026599999999995</v>
      </c>
      <c r="SU7" t="s">
        <v>1664</v>
      </c>
      <c r="SV7">
        <v>2025</v>
      </c>
      <c r="SW7" t="s">
        <v>4501</v>
      </c>
      <c r="SX7" s="6">
        <v>46014</v>
      </c>
      <c r="SY7">
        <v>5</v>
      </c>
      <c r="SZ7">
        <v>7118132</v>
      </c>
      <c r="TA7">
        <v>159009</v>
      </c>
      <c r="TB7" t="s">
        <v>4502</v>
      </c>
      <c r="TE7" t="s">
        <v>3675</v>
      </c>
      <c r="TF7">
        <v>6.5266529999999996</v>
      </c>
      <c r="TG7" t="s">
        <v>1598</v>
      </c>
      <c r="TH7">
        <v>0.424236</v>
      </c>
      <c r="TI7" t="s">
        <v>1603</v>
      </c>
      <c r="TJ7">
        <v>2026</v>
      </c>
      <c r="TK7" t="s">
        <v>4252</v>
      </c>
      <c r="TL7" s="6">
        <v>45967</v>
      </c>
      <c r="TM7">
        <v>5</v>
      </c>
      <c r="TN7">
        <v>103212488</v>
      </c>
      <c r="TO7">
        <v>50985605</v>
      </c>
      <c r="TP7" t="s">
        <v>3676</v>
      </c>
      <c r="TU7" t="s">
        <v>3313</v>
      </c>
      <c r="TV7" t="s">
        <v>1598</v>
      </c>
      <c r="TW7">
        <v>0.26110299999999997</v>
      </c>
      <c r="TX7">
        <v>6.7391999999999994E-2</v>
      </c>
      <c r="TY7" t="s">
        <v>1664</v>
      </c>
      <c r="TZ7">
        <v>2026</v>
      </c>
      <c r="UA7" t="s">
        <v>3314</v>
      </c>
      <c r="UB7" s="6">
        <v>45966</v>
      </c>
      <c r="UC7">
        <v>5</v>
      </c>
      <c r="UD7">
        <v>1188802</v>
      </c>
      <c r="UE7">
        <v>9777162</v>
      </c>
      <c r="UF7" t="s">
        <v>3315</v>
      </c>
      <c r="UI7" t="s">
        <v>2766</v>
      </c>
      <c r="UJ7">
        <v>-2.4245362661989844E-14</v>
      </c>
      <c r="UL7">
        <v>-2.4245362661989844E-14</v>
      </c>
      <c r="UM7" t="s">
        <v>1594</v>
      </c>
      <c r="UN7">
        <v>2022</v>
      </c>
      <c r="UO7" t="s">
        <v>2767</v>
      </c>
      <c r="UP7" s="6">
        <v>45174</v>
      </c>
      <c r="UQ7">
        <v>5</v>
      </c>
      <c r="UR7">
        <v>-2.4245362661989844E-14</v>
      </c>
      <c r="US7">
        <v>70808467</v>
      </c>
      <c r="UT7" t="s">
        <v>2768</v>
      </c>
    </row>
    <row r="8" spans="1:600" x14ac:dyDescent="0.25">
      <c r="A8" t="s">
        <v>3376</v>
      </c>
      <c r="B8" t="s">
        <v>1598</v>
      </c>
      <c r="C8">
        <v>0.634911</v>
      </c>
      <c r="D8">
        <v>0.46775099999999997</v>
      </c>
      <c r="E8" t="s">
        <v>1606</v>
      </c>
      <c r="F8">
        <v>2025</v>
      </c>
      <c r="G8" t="s">
        <v>3377</v>
      </c>
      <c r="H8" s="6">
        <v>46072</v>
      </c>
      <c r="I8">
        <v>5</v>
      </c>
      <c r="J8">
        <v>23653411.170000002</v>
      </c>
      <c r="K8">
        <v>70579391</v>
      </c>
      <c r="L8" t="s">
        <v>3378</v>
      </c>
      <c r="O8" t="s">
        <v>2902</v>
      </c>
      <c r="P8">
        <v>1.312E-2</v>
      </c>
      <c r="Q8" t="s">
        <v>1598</v>
      </c>
      <c r="R8">
        <v>1.7301280000000001</v>
      </c>
      <c r="S8" t="s">
        <v>1651</v>
      </c>
      <c r="T8">
        <v>2025</v>
      </c>
      <c r="U8" t="s">
        <v>2903</v>
      </c>
      <c r="V8" s="6">
        <v>45975</v>
      </c>
      <c r="W8">
        <v>5</v>
      </c>
      <c r="X8">
        <v>1435299.06</v>
      </c>
      <c r="Y8">
        <v>12025725</v>
      </c>
      <c r="Z8" t="s">
        <v>2904</v>
      </c>
      <c r="CM8" t="s">
        <v>5295</v>
      </c>
      <c r="CO8">
        <v>-2.4245362661989844E-14</v>
      </c>
      <c r="CP8">
        <v>-2.4245362661989844E-14</v>
      </c>
      <c r="CQ8" t="s">
        <v>1792</v>
      </c>
      <c r="CR8">
        <v>2025</v>
      </c>
      <c r="CS8" t="s">
        <v>5296</v>
      </c>
      <c r="CT8" s="6">
        <v>45891</v>
      </c>
      <c r="CU8">
        <v>5</v>
      </c>
      <c r="CV8">
        <v>-2.4245362661989844E-14</v>
      </c>
      <c r="CW8">
        <v>67844787</v>
      </c>
      <c r="CX8" t="s">
        <v>5297</v>
      </c>
      <c r="DA8" t="s">
        <v>1972</v>
      </c>
      <c r="DB8">
        <v>-2.4245362661989844E-14</v>
      </c>
      <c r="DD8">
        <v>-2.4245362661989844E-14</v>
      </c>
      <c r="DE8" t="s">
        <v>1594</v>
      </c>
      <c r="DF8">
        <v>2024</v>
      </c>
      <c r="DG8" t="s">
        <v>1973</v>
      </c>
      <c r="DH8" s="6">
        <v>45715</v>
      </c>
      <c r="DI8">
        <v>5</v>
      </c>
      <c r="DJ8">
        <v>-2.4245362661989844E-14</v>
      </c>
      <c r="DK8">
        <v>10550128</v>
      </c>
      <c r="DL8" t="s">
        <v>1974</v>
      </c>
      <c r="EU8" t="s">
        <v>2852</v>
      </c>
      <c r="EW8">
        <v>-2.4245362661989844E-14</v>
      </c>
      <c r="EX8">
        <v>-2.4245362661989844E-14</v>
      </c>
      <c r="EY8" t="s">
        <v>1599</v>
      </c>
      <c r="EZ8">
        <v>2023</v>
      </c>
      <c r="FA8" t="s">
        <v>2853</v>
      </c>
      <c r="FB8" s="6">
        <v>45152</v>
      </c>
      <c r="FC8">
        <v>5</v>
      </c>
      <c r="FD8">
        <v>-2.4245362661989844E-14</v>
      </c>
      <c r="FE8">
        <v>69818423</v>
      </c>
      <c r="FF8" t="s">
        <v>2854</v>
      </c>
      <c r="FI8" t="s">
        <v>2408</v>
      </c>
      <c r="FJ8">
        <v>-2.4245362661989844E-14</v>
      </c>
      <c r="FL8">
        <v>-2.4245362661989844E-14</v>
      </c>
      <c r="FM8" t="s">
        <v>1594</v>
      </c>
      <c r="FN8">
        <v>2023</v>
      </c>
      <c r="FO8" t="s">
        <v>2404</v>
      </c>
      <c r="FP8" s="6">
        <v>45344</v>
      </c>
      <c r="FQ8">
        <v>5</v>
      </c>
      <c r="FR8">
        <v>-2.4245362661989844E-14</v>
      </c>
      <c r="FS8">
        <v>13161367</v>
      </c>
      <c r="FT8" t="s">
        <v>2409</v>
      </c>
      <c r="HC8" t="s">
        <v>964</v>
      </c>
      <c r="HD8" t="s">
        <v>1685</v>
      </c>
      <c r="HE8">
        <v>1.1000000000000001</v>
      </c>
      <c r="HF8">
        <v>0.584179</v>
      </c>
      <c r="HG8" t="s">
        <v>1664</v>
      </c>
      <c r="HH8">
        <v>2025</v>
      </c>
      <c r="HI8" t="s">
        <v>3155</v>
      </c>
      <c r="HJ8" s="6">
        <v>45868</v>
      </c>
      <c r="HK8">
        <v>5</v>
      </c>
      <c r="HL8">
        <v>1259489</v>
      </c>
      <c r="HM8">
        <v>15671511</v>
      </c>
      <c r="HN8" t="s">
        <v>3139</v>
      </c>
      <c r="HQ8" t="s">
        <v>1700</v>
      </c>
      <c r="HR8">
        <v>6.2066819999999998</v>
      </c>
      <c r="HS8" t="s">
        <v>1598</v>
      </c>
      <c r="HT8">
        <v>0.51006499999999999</v>
      </c>
      <c r="HU8" t="s">
        <v>1603</v>
      </c>
      <c r="HV8">
        <v>2025</v>
      </c>
      <c r="HW8" t="s">
        <v>4778</v>
      </c>
      <c r="HX8" s="6">
        <v>45800</v>
      </c>
      <c r="HY8">
        <v>5</v>
      </c>
      <c r="HZ8">
        <v>69030720</v>
      </c>
      <c r="IA8">
        <v>1499717</v>
      </c>
      <c r="IB8" t="s">
        <v>1702</v>
      </c>
      <c r="JK8" t="s">
        <v>559</v>
      </c>
      <c r="JL8" t="s">
        <v>1685</v>
      </c>
      <c r="JM8">
        <v>2.8</v>
      </c>
      <c r="JN8">
        <v>0.73512200000000005</v>
      </c>
      <c r="JO8" t="s">
        <v>1594</v>
      </c>
      <c r="JP8">
        <v>2024</v>
      </c>
      <c r="JQ8" t="s">
        <v>4434</v>
      </c>
      <c r="JR8" s="6">
        <v>45701</v>
      </c>
      <c r="JS8">
        <v>5</v>
      </c>
      <c r="JT8">
        <v>34469864</v>
      </c>
      <c r="JU8">
        <v>101595</v>
      </c>
      <c r="JV8" t="s">
        <v>4435</v>
      </c>
      <c r="JY8" t="s">
        <v>872</v>
      </c>
      <c r="JZ8">
        <v>8.5290000000000005E-2</v>
      </c>
      <c r="KA8" t="s">
        <v>1598</v>
      </c>
      <c r="KB8">
        <v>2.4104E-2</v>
      </c>
      <c r="KC8" t="s">
        <v>1664</v>
      </c>
      <c r="KD8">
        <v>2025</v>
      </c>
      <c r="KE8" t="s">
        <v>2179</v>
      </c>
      <c r="KF8" s="6">
        <v>45873</v>
      </c>
      <c r="KG8">
        <v>5</v>
      </c>
      <c r="KH8">
        <v>4896487</v>
      </c>
      <c r="KI8">
        <v>100211</v>
      </c>
      <c r="KJ8" t="s">
        <v>1632</v>
      </c>
      <c r="KO8" t="s">
        <v>2272</v>
      </c>
      <c r="KP8" t="s">
        <v>1634</v>
      </c>
      <c r="KQ8">
        <v>2.0240000000000002E-3</v>
      </c>
      <c r="KR8">
        <v>2.6168E-2</v>
      </c>
      <c r="KS8" t="s">
        <v>1599</v>
      </c>
      <c r="KT8">
        <v>2025</v>
      </c>
      <c r="KU8" t="s">
        <v>2273</v>
      </c>
      <c r="KV8" s="6">
        <v>45964</v>
      </c>
      <c r="KW8">
        <v>5</v>
      </c>
      <c r="KX8">
        <v>10506</v>
      </c>
      <c r="KY8">
        <v>16546862</v>
      </c>
      <c r="KZ8" t="s">
        <v>2274</v>
      </c>
      <c r="LC8" t="s">
        <v>1798</v>
      </c>
      <c r="LD8">
        <v>-2.4245362661989844E-14</v>
      </c>
      <c r="LF8">
        <v>-2.4245362661989844E-14</v>
      </c>
      <c r="LG8" t="s">
        <v>1594</v>
      </c>
      <c r="LH8">
        <v>2024</v>
      </c>
      <c r="LI8" t="s">
        <v>1799</v>
      </c>
      <c r="LJ8" s="6">
        <v>45771</v>
      </c>
      <c r="LK8">
        <v>5</v>
      </c>
      <c r="LL8">
        <v>-2.4245362661989844E-14</v>
      </c>
      <c r="LM8">
        <v>135686</v>
      </c>
      <c r="LN8" t="s">
        <v>1800</v>
      </c>
      <c r="MW8" t="s">
        <v>493</v>
      </c>
      <c r="MX8" t="s">
        <v>1598</v>
      </c>
      <c r="MY8">
        <v>0.10707800000000001</v>
      </c>
      <c r="MZ8">
        <v>0.16708500000000001</v>
      </c>
      <c r="NA8" t="s">
        <v>1603</v>
      </c>
      <c r="NB8">
        <v>2025</v>
      </c>
      <c r="NC8" t="s">
        <v>2093</v>
      </c>
      <c r="ND8" s="6">
        <v>45795</v>
      </c>
      <c r="NE8">
        <v>5</v>
      </c>
      <c r="NF8">
        <v>4213894</v>
      </c>
      <c r="NG8">
        <v>100499</v>
      </c>
      <c r="NH8" t="s">
        <v>2094</v>
      </c>
      <c r="NK8" t="s">
        <v>5085</v>
      </c>
      <c r="NL8">
        <v>-2.4245362661989844E-14</v>
      </c>
      <c r="NN8">
        <v>-2.4245362661989844E-14</v>
      </c>
      <c r="NO8" t="s">
        <v>1594</v>
      </c>
      <c r="NP8">
        <v>2021</v>
      </c>
      <c r="NQ8" t="s">
        <v>5083</v>
      </c>
      <c r="NR8" s="6">
        <v>44693</v>
      </c>
      <c r="NS8">
        <v>5</v>
      </c>
      <c r="NT8">
        <v>-2.4245362661989844E-14</v>
      </c>
      <c r="NU8">
        <v>128983</v>
      </c>
      <c r="NV8" t="s">
        <v>5086</v>
      </c>
      <c r="OA8" t="s">
        <v>1997</v>
      </c>
      <c r="OB8" t="s">
        <v>1634</v>
      </c>
      <c r="OC8">
        <v>6.234559</v>
      </c>
      <c r="OD8">
        <v>1.5138720000000001</v>
      </c>
      <c r="OE8" t="s">
        <v>1664</v>
      </c>
      <c r="OF8">
        <v>2025</v>
      </c>
      <c r="OG8" t="s">
        <v>3355</v>
      </c>
      <c r="OH8" s="6">
        <v>45897</v>
      </c>
      <c r="OI8">
        <v>5</v>
      </c>
      <c r="OJ8">
        <v>137459552</v>
      </c>
      <c r="OK8">
        <v>16532368</v>
      </c>
      <c r="OL8" t="s">
        <v>1999</v>
      </c>
      <c r="OO8" t="s">
        <v>32</v>
      </c>
      <c r="OP8">
        <v>0.69902799999999998</v>
      </c>
      <c r="OQ8" t="s">
        <v>1598</v>
      </c>
      <c r="OR8">
        <v>0.138625</v>
      </c>
      <c r="OS8" t="s">
        <v>1606</v>
      </c>
      <c r="OT8">
        <v>2025</v>
      </c>
      <c r="OU8" t="s">
        <v>2251</v>
      </c>
      <c r="OV8" s="6">
        <v>45848</v>
      </c>
      <c r="OW8">
        <v>5</v>
      </c>
      <c r="OX8">
        <v>111166424</v>
      </c>
      <c r="OY8">
        <v>100976</v>
      </c>
      <c r="OZ8" t="s">
        <v>1820</v>
      </c>
      <c r="QI8" t="s">
        <v>2559</v>
      </c>
      <c r="QJ8" t="s">
        <v>1598</v>
      </c>
      <c r="QK8">
        <v>0.30367300000000003</v>
      </c>
      <c r="QL8">
        <v>0.37271100000000001</v>
      </c>
      <c r="QM8" t="s">
        <v>1599</v>
      </c>
      <c r="QN8">
        <v>2025</v>
      </c>
      <c r="QO8" t="s">
        <v>2560</v>
      </c>
      <c r="QP8" s="6">
        <v>45867</v>
      </c>
      <c r="QQ8">
        <v>5</v>
      </c>
      <c r="QR8">
        <v>23771522</v>
      </c>
      <c r="QS8">
        <v>117092</v>
      </c>
      <c r="QT8" t="s">
        <v>2561</v>
      </c>
      <c r="QW8" t="s">
        <v>2833</v>
      </c>
      <c r="QX8">
        <v>-2.4245362661989844E-14</v>
      </c>
      <c r="QZ8">
        <v>-2.4245362661989844E-14</v>
      </c>
      <c r="RA8" t="s">
        <v>1651</v>
      </c>
      <c r="RB8">
        <v>2025</v>
      </c>
      <c r="RC8" t="s">
        <v>2834</v>
      </c>
      <c r="RD8" s="6">
        <v>45975</v>
      </c>
      <c r="RE8">
        <v>5</v>
      </c>
      <c r="RF8">
        <v>-2.4245362661989844E-14</v>
      </c>
      <c r="RG8">
        <v>1459457</v>
      </c>
      <c r="RH8" t="s">
        <v>2835</v>
      </c>
      <c r="RM8" t="s">
        <v>2223</v>
      </c>
      <c r="RN8" t="s">
        <v>1598</v>
      </c>
      <c r="RO8">
        <v>1.2087429999999999</v>
      </c>
      <c r="RP8">
        <v>0.14913000000000001</v>
      </c>
      <c r="RQ8" t="s">
        <v>1599</v>
      </c>
      <c r="RR8">
        <v>2025</v>
      </c>
      <c r="RS8" t="s">
        <v>2224</v>
      </c>
      <c r="RT8" s="6">
        <v>46049</v>
      </c>
      <c r="RU8">
        <v>5</v>
      </c>
      <c r="RV8">
        <v>141902324.31</v>
      </c>
      <c r="RW8">
        <v>101095</v>
      </c>
      <c r="RX8" t="s">
        <v>2225</v>
      </c>
      <c r="SA8" t="s">
        <v>1663</v>
      </c>
      <c r="SB8">
        <v>-2.4245362661989844E-14</v>
      </c>
      <c r="SD8">
        <v>-2.4245362661989844E-14</v>
      </c>
      <c r="SE8" t="s">
        <v>1594</v>
      </c>
      <c r="SF8">
        <v>2024</v>
      </c>
      <c r="SG8" t="s">
        <v>2842</v>
      </c>
      <c r="SH8" s="6">
        <v>45367</v>
      </c>
      <c r="SI8">
        <v>5</v>
      </c>
      <c r="SJ8">
        <v>-2.4245362661989844E-14</v>
      </c>
      <c r="SK8">
        <v>101616</v>
      </c>
      <c r="SL8" t="s">
        <v>1666</v>
      </c>
      <c r="SQ8" t="s">
        <v>3817</v>
      </c>
      <c r="SR8" t="s">
        <v>1634</v>
      </c>
      <c r="SS8">
        <v>0.18715000000000001</v>
      </c>
      <c r="ST8">
        <v>4.0173759999999996</v>
      </c>
      <c r="SU8" t="s">
        <v>1664</v>
      </c>
      <c r="SV8">
        <v>2026</v>
      </c>
      <c r="SW8" t="s">
        <v>3818</v>
      </c>
      <c r="SX8" s="6">
        <v>46063</v>
      </c>
      <c r="SY8">
        <v>5</v>
      </c>
      <c r="SZ8">
        <v>6170609</v>
      </c>
      <c r="TA8">
        <v>101732</v>
      </c>
      <c r="TB8" t="s">
        <v>3819</v>
      </c>
      <c r="TE8" t="s">
        <v>3622</v>
      </c>
      <c r="TF8">
        <v>3.9732440000000002</v>
      </c>
      <c r="TG8" t="s">
        <v>1598</v>
      </c>
      <c r="TH8">
        <v>1.978315</v>
      </c>
      <c r="TI8" t="s">
        <v>1603</v>
      </c>
      <c r="TJ8">
        <v>2026</v>
      </c>
      <c r="TK8" t="s">
        <v>4252</v>
      </c>
      <c r="TL8" s="6">
        <v>45967</v>
      </c>
      <c r="TM8">
        <v>5</v>
      </c>
      <c r="TN8">
        <v>62832880</v>
      </c>
      <c r="TO8">
        <v>115790</v>
      </c>
      <c r="TP8" t="s">
        <v>3623</v>
      </c>
      <c r="TU8" t="s">
        <v>3316</v>
      </c>
      <c r="TV8" t="s">
        <v>1598</v>
      </c>
      <c r="TW8">
        <v>9.0144000000000002E-2</v>
      </c>
      <c r="TX8">
        <v>1.3390000000000001E-2</v>
      </c>
      <c r="TY8" t="s">
        <v>1664</v>
      </c>
      <c r="TZ8">
        <v>2026</v>
      </c>
      <c r="UA8" t="s">
        <v>3317</v>
      </c>
      <c r="UB8" s="6">
        <v>46035</v>
      </c>
      <c r="UC8">
        <v>5</v>
      </c>
      <c r="UD8">
        <v>236200</v>
      </c>
      <c r="UE8">
        <v>105325</v>
      </c>
      <c r="UF8" t="s">
        <v>3318</v>
      </c>
      <c r="UI8" t="s">
        <v>2769</v>
      </c>
      <c r="UJ8">
        <v>-2.4245362661989844E-14</v>
      </c>
      <c r="UL8">
        <v>-2.4245362661989844E-14</v>
      </c>
      <c r="UM8" t="s">
        <v>1594</v>
      </c>
      <c r="UN8">
        <v>2023</v>
      </c>
      <c r="UO8" t="s">
        <v>2770</v>
      </c>
      <c r="UP8" s="6">
        <v>45377</v>
      </c>
      <c r="UQ8">
        <v>5</v>
      </c>
      <c r="UR8">
        <v>-2.4245362661989844E-14</v>
      </c>
      <c r="US8">
        <v>24248093</v>
      </c>
      <c r="UT8" t="s">
        <v>2771</v>
      </c>
    </row>
    <row r="9" spans="1:600" x14ac:dyDescent="0.25">
      <c r="A9" t="s">
        <v>3379</v>
      </c>
      <c r="B9" t="s">
        <v>1598</v>
      </c>
      <c r="C9">
        <v>0.81015999999999999</v>
      </c>
      <c r="D9">
        <v>0.38313000000000003</v>
      </c>
      <c r="E9" t="s">
        <v>1599</v>
      </c>
      <c r="F9">
        <v>2025</v>
      </c>
      <c r="G9" t="s">
        <v>3380</v>
      </c>
      <c r="H9" s="6">
        <v>46050</v>
      </c>
      <c r="I9">
        <v>5</v>
      </c>
      <c r="J9">
        <v>19443840</v>
      </c>
      <c r="K9">
        <v>32348903</v>
      </c>
      <c r="L9" t="s">
        <v>3381</v>
      </c>
      <c r="O9" t="s">
        <v>2905</v>
      </c>
      <c r="P9">
        <v>1.312E-2</v>
      </c>
      <c r="Q9" t="s">
        <v>1598</v>
      </c>
      <c r="R9">
        <v>1.9811540000000001</v>
      </c>
      <c r="S9" t="s">
        <v>1651</v>
      </c>
      <c r="T9">
        <v>2025</v>
      </c>
      <c r="U9" t="s">
        <v>2906</v>
      </c>
      <c r="V9" s="6">
        <v>45975</v>
      </c>
      <c r="W9">
        <v>5</v>
      </c>
      <c r="X9">
        <v>1435298.82</v>
      </c>
      <c r="Y9">
        <v>128948</v>
      </c>
      <c r="Z9" t="s">
        <v>2907</v>
      </c>
      <c r="CM9" t="s">
        <v>5298</v>
      </c>
      <c r="CO9">
        <v>-2.4245362661989844E-14</v>
      </c>
      <c r="CP9">
        <v>-2.4245362661989844E-14</v>
      </c>
      <c r="CQ9" t="s">
        <v>1594</v>
      </c>
      <c r="CR9">
        <v>2026</v>
      </c>
      <c r="CS9" t="s">
        <v>5299</v>
      </c>
      <c r="CT9" s="6">
        <v>46069</v>
      </c>
      <c r="CU9">
        <v>5</v>
      </c>
      <c r="CV9">
        <v>-2.4245362661989844E-14</v>
      </c>
      <c r="CW9">
        <v>64518643</v>
      </c>
      <c r="CX9" t="s">
        <v>5300</v>
      </c>
      <c r="DA9" t="s">
        <v>1975</v>
      </c>
      <c r="DB9">
        <v>-2.4245362661989844E-14</v>
      </c>
      <c r="DD9">
        <v>-2.4245362661989844E-14</v>
      </c>
      <c r="DE9" t="s">
        <v>1594</v>
      </c>
      <c r="DF9">
        <v>2024</v>
      </c>
      <c r="DG9" t="s">
        <v>1976</v>
      </c>
      <c r="DH9" s="6">
        <v>45709</v>
      </c>
      <c r="DI9">
        <v>5</v>
      </c>
      <c r="DJ9">
        <v>-2.4245362661989844E-14</v>
      </c>
      <c r="DK9">
        <v>104601</v>
      </c>
      <c r="DL9" t="s">
        <v>1977</v>
      </c>
      <c r="EU9" t="s">
        <v>2855</v>
      </c>
      <c r="EW9">
        <v>-2.4245362661989844E-14</v>
      </c>
      <c r="EX9">
        <v>-2.4245362661989844E-14</v>
      </c>
      <c r="EY9" t="s">
        <v>1594</v>
      </c>
      <c r="EZ9">
        <v>2023</v>
      </c>
      <c r="FA9" t="s">
        <v>2856</v>
      </c>
      <c r="FB9" s="6">
        <v>45351</v>
      </c>
      <c r="FC9">
        <v>5</v>
      </c>
      <c r="FD9">
        <v>-2.4245362661989844E-14</v>
      </c>
      <c r="FE9">
        <v>202396</v>
      </c>
      <c r="FF9" t="s">
        <v>2857</v>
      </c>
      <c r="FI9" t="s">
        <v>2410</v>
      </c>
      <c r="FJ9">
        <v>-2.4245362661989844E-14</v>
      </c>
      <c r="FL9">
        <v>-2.4245362661989844E-14</v>
      </c>
      <c r="FM9" t="s">
        <v>1594</v>
      </c>
      <c r="FN9">
        <v>2023</v>
      </c>
      <c r="FO9" t="s">
        <v>2411</v>
      </c>
      <c r="FP9" s="6">
        <v>45349</v>
      </c>
      <c r="FQ9">
        <v>5</v>
      </c>
      <c r="FR9">
        <v>-2.4245362661989844E-14</v>
      </c>
      <c r="FS9">
        <v>70642886</v>
      </c>
      <c r="FT9" t="s">
        <v>2412</v>
      </c>
      <c r="HC9" t="s">
        <v>6241</v>
      </c>
      <c r="HD9" t="s">
        <v>1598</v>
      </c>
      <c r="HE9">
        <v>0.88200000000000001</v>
      </c>
      <c r="HF9">
        <v>0.136848</v>
      </c>
      <c r="HG9" t="s">
        <v>1603</v>
      </c>
      <c r="HH9">
        <v>2025</v>
      </c>
      <c r="HI9" t="s">
        <v>6242</v>
      </c>
      <c r="HJ9" s="6">
        <v>45819</v>
      </c>
      <c r="HK9">
        <v>5</v>
      </c>
      <c r="HL9">
        <v>880756</v>
      </c>
      <c r="HM9">
        <v>7426827</v>
      </c>
      <c r="HN9" t="s">
        <v>6243</v>
      </c>
      <c r="HQ9" t="s">
        <v>33</v>
      </c>
      <c r="HR9">
        <v>5.5757640000000004</v>
      </c>
      <c r="HS9" t="s">
        <v>1634</v>
      </c>
      <c r="HT9">
        <v>2.5301369999999999</v>
      </c>
      <c r="HU9" t="s">
        <v>1603</v>
      </c>
      <c r="HV9">
        <v>2025</v>
      </c>
      <c r="HW9" t="s">
        <v>4778</v>
      </c>
      <c r="HX9" s="6">
        <v>45800</v>
      </c>
      <c r="HY9">
        <v>5</v>
      </c>
      <c r="HZ9">
        <v>62013648</v>
      </c>
      <c r="IA9">
        <v>8779219</v>
      </c>
      <c r="IB9" t="s">
        <v>5655</v>
      </c>
      <c r="JK9" t="s">
        <v>4436</v>
      </c>
      <c r="JL9" t="s">
        <v>1598</v>
      </c>
      <c r="JM9">
        <v>0.175651</v>
      </c>
      <c r="JN9">
        <v>0.75103900000000001</v>
      </c>
      <c r="JO9" t="s">
        <v>1603</v>
      </c>
      <c r="JP9">
        <v>2025</v>
      </c>
      <c r="JQ9" t="s">
        <v>4437</v>
      </c>
      <c r="JR9" s="6">
        <v>45805</v>
      </c>
      <c r="JS9">
        <v>5</v>
      </c>
      <c r="JT9">
        <v>32165431.010000002</v>
      </c>
      <c r="JU9">
        <v>115694</v>
      </c>
      <c r="JV9" t="s">
        <v>4438</v>
      </c>
      <c r="JY9" t="s">
        <v>1732</v>
      </c>
      <c r="JZ9">
        <v>6.9483000000000003E-2</v>
      </c>
      <c r="KA9" t="s">
        <v>1598</v>
      </c>
      <c r="KB9">
        <v>2.7682999999999999E-2</v>
      </c>
      <c r="KC9" t="s">
        <v>1664</v>
      </c>
      <c r="KD9">
        <v>2025</v>
      </c>
      <c r="KE9" t="s">
        <v>2161</v>
      </c>
      <c r="KF9" s="6">
        <v>45874</v>
      </c>
      <c r="KG9">
        <v>5</v>
      </c>
      <c r="KH9">
        <v>4296866.1500000004</v>
      </c>
      <c r="KI9">
        <v>876285</v>
      </c>
      <c r="KJ9" t="s">
        <v>1734</v>
      </c>
      <c r="KO9" t="s">
        <v>2275</v>
      </c>
      <c r="KP9" t="s">
        <v>1598</v>
      </c>
      <c r="KQ9">
        <v>1.2467000000000001E-2</v>
      </c>
      <c r="KR9">
        <v>4.5800000000000002E-4</v>
      </c>
      <c r="KS9" t="s">
        <v>1664</v>
      </c>
      <c r="KT9">
        <v>2025</v>
      </c>
      <c r="KU9" t="s">
        <v>2276</v>
      </c>
      <c r="KV9" s="6">
        <v>45744</v>
      </c>
      <c r="KW9">
        <v>5</v>
      </c>
      <c r="KX9">
        <v>6232.4</v>
      </c>
      <c r="KY9">
        <v>28653435</v>
      </c>
      <c r="KZ9" t="s">
        <v>2277</v>
      </c>
      <c r="LC9" t="s">
        <v>1801</v>
      </c>
      <c r="LD9">
        <v>-2.4245362661989844E-14</v>
      </c>
      <c r="LF9">
        <v>-2.4245362661989844E-14</v>
      </c>
      <c r="LG9" t="s">
        <v>1594</v>
      </c>
      <c r="LH9">
        <v>2022</v>
      </c>
      <c r="LI9" t="s">
        <v>1802</v>
      </c>
      <c r="LJ9" s="6">
        <v>45083</v>
      </c>
      <c r="LK9">
        <v>5</v>
      </c>
      <c r="LL9">
        <v>-2.4245362661989844E-14</v>
      </c>
      <c r="LM9">
        <v>34532225</v>
      </c>
      <c r="LN9" t="s">
        <v>1803</v>
      </c>
      <c r="MW9" t="s">
        <v>3980</v>
      </c>
      <c r="MX9" t="s">
        <v>1634</v>
      </c>
      <c r="MY9">
        <v>5.1830230000000004</v>
      </c>
      <c r="MZ9">
        <v>0.15981500000000001</v>
      </c>
      <c r="NA9" t="s">
        <v>1664</v>
      </c>
      <c r="NB9">
        <v>2026</v>
      </c>
      <c r="NC9" t="s">
        <v>3981</v>
      </c>
      <c r="ND9" s="6">
        <v>46051</v>
      </c>
      <c r="NE9">
        <v>5</v>
      </c>
      <c r="NF9">
        <v>3413643</v>
      </c>
      <c r="NG9">
        <v>102076</v>
      </c>
      <c r="NH9" t="s">
        <v>3982</v>
      </c>
      <c r="NK9" t="s">
        <v>5087</v>
      </c>
      <c r="NL9">
        <v>-2.4245362661989844E-14</v>
      </c>
      <c r="NN9">
        <v>-2.4245362661989844E-14</v>
      </c>
      <c r="NO9" t="s">
        <v>1594</v>
      </c>
      <c r="NP9">
        <v>2021</v>
      </c>
      <c r="NQ9" t="s">
        <v>5083</v>
      </c>
      <c r="NR9" s="6">
        <v>44693</v>
      </c>
      <c r="NS9">
        <v>5</v>
      </c>
      <c r="NT9">
        <v>-2.4245362661989844E-14</v>
      </c>
      <c r="NU9">
        <v>18488759</v>
      </c>
      <c r="NV9" t="s">
        <v>5088</v>
      </c>
      <c r="OA9" t="s">
        <v>276</v>
      </c>
      <c r="OB9" t="s">
        <v>1634</v>
      </c>
      <c r="OC9">
        <v>3.6037650000000001</v>
      </c>
      <c r="OD9">
        <v>0.90356199999999998</v>
      </c>
      <c r="OE9" t="s">
        <v>1664</v>
      </c>
      <c r="OF9">
        <v>2026</v>
      </c>
      <c r="OG9" t="s">
        <v>3356</v>
      </c>
      <c r="OH9" s="6">
        <v>46059</v>
      </c>
      <c r="OI9">
        <v>5</v>
      </c>
      <c r="OJ9">
        <v>108725592</v>
      </c>
      <c r="OK9">
        <v>101643</v>
      </c>
      <c r="OL9" t="s">
        <v>3357</v>
      </c>
      <c r="OO9" t="s">
        <v>306</v>
      </c>
      <c r="OP9">
        <v>0.66108800000000001</v>
      </c>
      <c r="OQ9" t="s">
        <v>1598</v>
      </c>
      <c r="OR9">
        <v>0.122531</v>
      </c>
      <c r="OS9" t="s">
        <v>1606</v>
      </c>
      <c r="OT9">
        <v>2025</v>
      </c>
      <c r="OU9" t="s">
        <v>2251</v>
      </c>
      <c r="OV9" s="6">
        <v>45848</v>
      </c>
      <c r="OW9">
        <v>5</v>
      </c>
      <c r="OX9">
        <v>105132824</v>
      </c>
      <c r="OY9">
        <v>101548</v>
      </c>
      <c r="OZ9" t="s">
        <v>1770</v>
      </c>
      <c r="QI9" t="s">
        <v>1905</v>
      </c>
      <c r="QJ9" t="s">
        <v>1598</v>
      </c>
      <c r="QK9">
        <v>8.0865999999999993E-2</v>
      </c>
      <c r="QL9">
        <v>0.27508500000000002</v>
      </c>
      <c r="QM9" t="s">
        <v>1603</v>
      </c>
      <c r="QN9">
        <v>2026</v>
      </c>
      <c r="QO9" t="s">
        <v>3359</v>
      </c>
      <c r="QP9" s="6">
        <v>45980</v>
      </c>
      <c r="QQ9">
        <v>5</v>
      </c>
      <c r="QR9">
        <v>17987832</v>
      </c>
      <c r="QS9">
        <v>100554</v>
      </c>
      <c r="QT9" t="s">
        <v>1906</v>
      </c>
      <c r="QW9" t="s">
        <v>2836</v>
      </c>
      <c r="QX9">
        <v>-2.4245362661989844E-14</v>
      </c>
      <c r="QZ9">
        <v>-2.4245362661989844E-14</v>
      </c>
      <c r="RA9" t="s">
        <v>1594</v>
      </c>
      <c r="RB9">
        <v>2024</v>
      </c>
      <c r="RC9" t="s">
        <v>2837</v>
      </c>
      <c r="RD9" s="6">
        <v>45774</v>
      </c>
      <c r="RE9">
        <v>5</v>
      </c>
      <c r="RF9">
        <v>-2.4245362661989844E-14</v>
      </c>
      <c r="RG9">
        <v>9020238</v>
      </c>
      <c r="RH9" t="s">
        <v>2838</v>
      </c>
      <c r="RM9" t="s">
        <v>23</v>
      </c>
      <c r="RN9" t="s">
        <v>1598</v>
      </c>
      <c r="RO9">
        <v>1.0236080000000001</v>
      </c>
      <c r="RP9">
        <v>0.137097</v>
      </c>
      <c r="RQ9" t="s">
        <v>1664</v>
      </c>
      <c r="RR9">
        <v>2025</v>
      </c>
      <c r="RS9" t="s">
        <v>1768</v>
      </c>
      <c r="RT9" s="6">
        <v>45929</v>
      </c>
      <c r="RU9">
        <v>5</v>
      </c>
      <c r="RV9">
        <v>125586464</v>
      </c>
      <c r="RW9">
        <v>100225</v>
      </c>
      <c r="RX9" t="s">
        <v>2222</v>
      </c>
      <c r="SA9" t="s">
        <v>2843</v>
      </c>
      <c r="SB9">
        <v>-2.4245362661989844E-14</v>
      </c>
      <c r="SD9">
        <v>-2.4245362661989844E-14</v>
      </c>
      <c r="SE9" t="s">
        <v>1594</v>
      </c>
      <c r="SF9">
        <v>2024</v>
      </c>
      <c r="SG9" t="s">
        <v>2844</v>
      </c>
      <c r="SH9" s="6">
        <v>45435</v>
      </c>
      <c r="SI9">
        <v>5</v>
      </c>
      <c r="SJ9">
        <v>-2.4245362661989844E-14</v>
      </c>
      <c r="SK9">
        <v>1028866</v>
      </c>
      <c r="SL9" t="s">
        <v>2845</v>
      </c>
      <c r="SQ9" t="s">
        <v>3969</v>
      </c>
      <c r="SR9" t="s">
        <v>1598</v>
      </c>
      <c r="SS9">
        <v>0.18715399999999999</v>
      </c>
      <c r="ST9">
        <v>0.29530099999999998</v>
      </c>
      <c r="SU9" t="s">
        <v>1599</v>
      </c>
      <c r="SV9">
        <v>2025</v>
      </c>
      <c r="SW9" t="s">
        <v>3970</v>
      </c>
      <c r="SX9" s="6">
        <v>45968</v>
      </c>
      <c r="SY9">
        <v>5</v>
      </c>
      <c r="SZ9">
        <v>2959991.03</v>
      </c>
      <c r="TA9">
        <v>127005</v>
      </c>
      <c r="TB9" t="s">
        <v>3971</v>
      </c>
      <c r="TE9" t="s">
        <v>4253</v>
      </c>
      <c r="TF9">
        <v>3.4842870000000001</v>
      </c>
      <c r="TG9" t="s">
        <v>1598</v>
      </c>
      <c r="TH9">
        <v>1.836141</v>
      </c>
      <c r="TI9" t="s">
        <v>1603</v>
      </c>
      <c r="TJ9">
        <v>2026</v>
      </c>
      <c r="TK9" t="s">
        <v>4252</v>
      </c>
      <c r="TL9" s="6">
        <v>45967</v>
      </c>
      <c r="TM9">
        <v>5</v>
      </c>
      <c r="TN9">
        <v>55100516</v>
      </c>
      <c r="TO9">
        <v>304299</v>
      </c>
      <c r="TP9" t="s">
        <v>4254</v>
      </c>
      <c r="TU9" t="s">
        <v>3319</v>
      </c>
      <c r="TV9" t="s">
        <v>1598</v>
      </c>
      <c r="TW9">
        <v>3.5172000000000002E-2</v>
      </c>
      <c r="TX9">
        <v>2.8899999999999998E-4</v>
      </c>
      <c r="TY9" t="s">
        <v>1606</v>
      </c>
      <c r="TZ9">
        <v>2024</v>
      </c>
      <c r="UA9" t="s">
        <v>3320</v>
      </c>
      <c r="UB9" s="6">
        <v>45770</v>
      </c>
      <c r="UC9">
        <v>5</v>
      </c>
      <c r="UD9">
        <v>5248</v>
      </c>
      <c r="UE9">
        <v>1176738</v>
      </c>
      <c r="UF9" t="s">
        <v>3321</v>
      </c>
      <c r="UI9" t="s">
        <v>2072</v>
      </c>
      <c r="UJ9">
        <v>-2.4245362661989844E-14</v>
      </c>
      <c r="UL9">
        <v>-2.4245362661989844E-14</v>
      </c>
      <c r="UM9" t="s">
        <v>1594</v>
      </c>
      <c r="UN9">
        <v>2024</v>
      </c>
      <c r="UO9" t="s">
        <v>2772</v>
      </c>
      <c r="UP9" s="6">
        <v>45726</v>
      </c>
      <c r="UQ9">
        <v>5</v>
      </c>
      <c r="UR9">
        <v>-2.4245362661989844E-14</v>
      </c>
      <c r="US9">
        <v>36965288</v>
      </c>
      <c r="UT9" t="s">
        <v>2074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536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537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538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539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540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541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542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543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544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545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546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547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548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549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550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551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552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553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554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555</v>
      </c>
      <c r="AE2" s="3" t="s">
        <v>279</v>
      </c>
      <c r="BI2" s="3" t="s">
        <v>182</v>
      </c>
      <c r="CM2" s="3" t="s">
        <v>395</v>
      </c>
      <c r="DQ2" s="3" t="s">
        <v>78</v>
      </c>
      <c r="EU2" s="3" t="s">
        <v>556</v>
      </c>
      <c r="FY2" s="3" t="s">
        <v>557</v>
      </c>
      <c r="HC2" s="3" t="s">
        <v>558</v>
      </c>
      <c r="IG2" s="3" t="s">
        <v>559</v>
      </c>
      <c r="JK2" s="3" t="s">
        <v>70</v>
      </c>
      <c r="KO2" s="3" t="s">
        <v>278</v>
      </c>
      <c r="LS2" s="3" t="s">
        <v>214</v>
      </c>
      <c r="MW2" s="3" t="s">
        <v>497</v>
      </c>
      <c r="OA2" s="3" t="s">
        <v>21</v>
      </c>
      <c r="PE2" s="3" t="s">
        <v>560</v>
      </c>
      <c r="QI2" s="3" t="s">
        <v>561</v>
      </c>
      <c r="RM2" s="3" t="s">
        <v>275</v>
      </c>
      <c r="SQ2" s="3" t="s">
        <v>562</v>
      </c>
      <c r="TU2" s="3" t="s">
        <v>563</v>
      </c>
      <c r="UY2" s="3" t="s">
        <v>78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_xll.BDS("LLY US Equity","SUPPLY_CHAIN_SUPPLIERS_ALL_DATA","cols=12;rows=5")</f>
        <v>RIGL US Equity</v>
      </c>
      <c r="B5" t="s">
        <v>1598</v>
      </c>
      <c r="C5">
        <v>39</v>
      </c>
      <c r="D5">
        <v>1.782985</v>
      </c>
      <c r="E5" t="s">
        <v>1664</v>
      </c>
      <c r="F5">
        <v>2025</v>
      </c>
      <c r="G5" t="s">
        <v>2359</v>
      </c>
      <c r="H5" s="6">
        <v>45874</v>
      </c>
      <c r="I5">
        <v>5</v>
      </c>
      <c r="J5">
        <v>39657152</v>
      </c>
      <c r="K5">
        <v>1176875</v>
      </c>
      <c r="L5" t="s">
        <v>2360</v>
      </c>
      <c r="O5" t="str">
        <f>_xll.BDS("LLY US Equity","SUPPLY_CHAIN_CUSTOMERS_ALL_DATA","cols=12;rows=5")</f>
        <v>MCK US Equity</v>
      </c>
      <c r="P5">
        <v>23.281113000000001</v>
      </c>
      <c r="Q5" t="s">
        <v>1598</v>
      </c>
      <c r="R5">
        <v>5.5350809999999999</v>
      </c>
      <c r="S5" t="s">
        <v>1599</v>
      </c>
      <c r="T5">
        <v>2025</v>
      </c>
      <c r="U5" t="s">
        <v>1859</v>
      </c>
      <c r="V5" s="6">
        <v>46041</v>
      </c>
      <c r="W5">
        <v>5</v>
      </c>
      <c r="X5">
        <v>4097661952</v>
      </c>
      <c r="Y5">
        <v>154936</v>
      </c>
      <c r="Z5" t="s">
        <v>1766</v>
      </c>
      <c r="AE5" t="str">
        <f>_xll.BDS("DHR US Equity","SUPPLY_CHAIN_SUPPLIERS_ALL_DATA","cols=12;rows=5")</f>
        <v>FLEX US Equity</v>
      </c>
      <c r="AF5" t="s">
        <v>1598</v>
      </c>
      <c r="AG5">
        <v>1.165869</v>
      </c>
      <c r="AH5">
        <v>2.8864939999999999</v>
      </c>
      <c r="AI5" t="s">
        <v>1599</v>
      </c>
      <c r="AJ5">
        <v>2025</v>
      </c>
      <c r="AK5" t="s">
        <v>2557</v>
      </c>
      <c r="AL5" s="6">
        <v>45763</v>
      </c>
      <c r="AM5">
        <v>5</v>
      </c>
      <c r="AN5">
        <v>76434368</v>
      </c>
      <c r="AO5">
        <v>136547</v>
      </c>
      <c r="AP5" t="s">
        <v>2558</v>
      </c>
      <c r="AS5" t="str">
        <f>_xll.BDS("DHR US Equity","SUPPLY_CHAIN_CUSTOMERS_ALL_DATA","cols=12;rows=5")</f>
        <v>CDW US Equity</v>
      </c>
      <c r="AT5">
        <v>0.25350099999999998</v>
      </c>
      <c r="AU5" t="s">
        <v>1598</v>
      </c>
      <c r="AV5">
        <v>0.35698299999999999</v>
      </c>
      <c r="AW5" t="s">
        <v>1603</v>
      </c>
      <c r="AX5">
        <v>2025</v>
      </c>
      <c r="AY5" t="s">
        <v>1680</v>
      </c>
      <c r="AZ5" s="6">
        <v>45820</v>
      </c>
      <c r="BA5">
        <v>5</v>
      </c>
      <c r="BB5">
        <v>14553483</v>
      </c>
      <c r="BC5">
        <v>12129192</v>
      </c>
      <c r="BD5" t="s">
        <v>1681</v>
      </c>
      <c r="BI5" t="str">
        <f>_xll.BDS("USB US Equity","SUPPLY_CHAIN_SUPPLIERS_ALL_DATA","cols=12;rows=5")</f>
        <v>INFO IN Equity</v>
      </c>
      <c r="BJ5" t="s">
        <v>1685</v>
      </c>
      <c r="BK5">
        <v>1.3519060000000001</v>
      </c>
      <c r="BL5">
        <v>1.509646</v>
      </c>
      <c r="BM5" t="s">
        <v>1664</v>
      </c>
      <c r="BN5">
        <v>2026</v>
      </c>
      <c r="BO5" t="s">
        <v>3374</v>
      </c>
      <c r="BP5" s="6">
        <v>46022</v>
      </c>
      <c r="BQ5">
        <v>5</v>
      </c>
      <c r="BR5">
        <v>63385504.969999999</v>
      </c>
      <c r="BS5">
        <v>174545</v>
      </c>
      <c r="BT5" t="s">
        <v>3375</v>
      </c>
      <c r="BW5" t="str">
        <f>_xll.BDS("USB US Equity","SUPPLY_CHAIN_CUSTOMERS_ALL_DATA","cols=12;rows=2")</f>
        <v>FISV US Equity</v>
      </c>
      <c r="BX5">
        <v>-2.4245362661989844E-14</v>
      </c>
      <c r="BZ5">
        <v>-2.4245362661989844E-14</v>
      </c>
      <c r="CA5" t="s">
        <v>1594</v>
      </c>
      <c r="CB5">
        <v>2023</v>
      </c>
      <c r="CC5" t="s">
        <v>4423</v>
      </c>
      <c r="CD5" s="6">
        <v>45344</v>
      </c>
      <c r="CE5">
        <v>2</v>
      </c>
      <c r="CF5">
        <v>-2.4245362661989844E-14</v>
      </c>
      <c r="CG5">
        <v>103882</v>
      </c>
      <c r="CH5" t="s">
        <v>2175</v>
      </c>
      <c r="CM5" t="str">
        <f>_xll.BDS("DBRG US Equity","SUPPLY_CHAIN_SUPPLIERS_ALL_DATA","cols=12;rows=5")</f>
        <v>1504275D US Equity</v>
      </c>
      <c r="CO5">
        <v>-2.4245362661989844E-14</v>
      </c>
      <c r="CP5">
        <v>-2.4245362661989844E-14</v>
      </c>
      <c r="CQ5" t="s">
        <v>1594</v>
      </c>
      <c r="CR5">
        <v>2025</v>
      </c>
      <c r="CS5" t="s">
        <v>4693</v>
      </c>
      <c r="CT5" s="6">
        <v>45845</v>
      </c>
      <c r="CU5">
        <v>5</v>
      </c>
      <c r="CV5">
        <v>-2.4245362661989844E-14</v>
      </c>
      <c r="CW5">
        <v>53552391</v>
      </c>
      <c r="CX5" t="s">
        <v>4694</v>
      </c>
      <c r="DA5" t="str">
        <f>_xll.BDS("DBRG US Equity","SUPPLY_CHAIN_CUSTOMERS_ALL_DATA","cols=12;rows=5")</f>
        <v>603667 CH Equity</v>
      </c>
      <c r="DB5">
        <v>4.1456E-2</v>
      </c>
      <c r="DC5" t="s">
        <v>1598</v>
      </c>
      <c r="DD5">
        <v>5.4593000000000003E-2</v>
      </c>
      <c r="DE5" t="s">
        <v>1792</v>
      </c>
      <c r="DF5">
        <v>2025</v>
      </c>
      <c r="DG5" t="s">
        <v>5468</v>
      </c>
      <c r="DH5" s="6">
        <v>45896</v>
      </c>
      <c r="DI5">
        <v>5</v>
      </c>
      <c r="DJ5">
        <v>59653.42</v>
      </c>
      <c r="DK5">
        <v>21769261</v>
      </c>
      <c r="DL5" t="s">
        <v>5469</v>
      </c>
      <c r="DQ5" t="str">
        <f>_xll.BDS("nan Equity","SUPPLY_CHAIN_SUPPLIERS_ALL_DATA")</f>
        <v>#N/A N/A</v>
      </c>
      <c r="EE5" t="str">
        <f>_xll.BDS("nan Equity","SUPPLY_CHAIN_CUSTOMERS_ALL_DATA")</f>
        <v>#N/A N/A</v>
      </c>
      <c r="EU5" t="str">
        <f>_xll.BDS("OVV US Equity","SUPPLY_CHAIN_SUPPLIERS_ALL_DATA","cols=12;rows=5")</f>
        <v>VK FP Equity</v>
      </c>
      <c r="EV5" t="s">
        <v>1634</v>
      </c>
      <c r="EW5">
        <v>0.44927699999999998</v>
      </c>
      <c r="EX5">
        <v>0.89478599999999997</v>
      </c>
      <c r="EY5" t="s">
        <v>1599</v>
      </c>
      <c r="EZ5">
        <v>2025</v>
      </c>
      <c r="FA5" t="s">
        <v>2070</v>
      </c>
      <c r="FB5" s="6">
        <v>45979</v>
      </c>
      <c r="FC5">
        <v>5</v>
      </c>
      <c r="FD5">
        <v>4868545.92</v>
      </c>
      <c r="FE5">
        <v>115557</v>
      </c>
      <c r="FF5" t="s">
        <v>2071</v>
      </c>
      <c r="FI5" t="str">
        <f>_xll.BDS("OVV US Equity","SUPPLY_CHAIN_CUSTOMERS_ALL_DATA","cols=12;rows=1")</f>
        <v>9888092Z US Equity</v>
      </c>
      <c r="FJ5">
        <v>-2.4245362661989844E-14</v>
      </c>
      <c r="FL5">
        <v>-2.4245362661989844E-14</v>
      </c>
      <c r="FM5" t="s">
        <v>1594</v>
      </c>
      <c r="FN5">
        <v>2022</v>
      </c>
      <c r="FO5" t="s">
        <v>5800</v>
      </c>
      <c r="FP5" s="6">
        <v>44985</v>
      </c>
      <c r="FQ5">
        <v>1</v>
      </c>
      <c r="FR5">
        <v>-2.4245362661989844E-14</v>
      </c>
      <c r="FS5">
        <v>17234565</v>
      </c>
      <c r="FT5" t="s">
        <v>4101</v>
      </c>
      <c r="FY5" t="str">
        <f>_xll.BDS("ES US Equity","SUPPLY_CHAIN_SUPPLIERS_ALL_DATA","cols=12;rows=5")</f>
        <v>PWR US Equity</v>
      </c>
      <c r="FZ5" t="s">
        <v>1634</v>
      </c>
      <c r="GA5">
        <v>1.143059</v>
      </c>
      <c r="GB5">
        <v>7.7473200000000002</v>
      </c>
      <c r="GC5" t="s">
        <v>1599</v>
      </c>
      <c r="GD5">
        <v>2025</v>
      </c>
      <c r="GE5" t="s">
        <v>2321</v>
      </c>
      <c r="GF5" s="6">
        <v>45975</v>
      </c>
      <c r="GG5">
        <v>5</v>
      </c>
      <c r="GH5">
        <v>87231496</v>
      </c>
      <c r="GI5">
        <v>305366</v>
      </c>
      <c r="GJ5" t="s">
        <v>2322</v>
      </c>
      <c r="GM5" t="str">
        <f>_xll.BDS("ES US Equity","SUPPLY_CHAIN_CUSTOMERS_ALL_DATA","cols=12;rows=5")</f>
        <v>ARW US Equity</v>
      </c>
      <c r="GN5">
        <v>0.12659200000000001</v>
      </c>
      <c r="GO5" t="s">
        <v>1598</v>
      </c>
      <c r="GP5">
        <v>8.6316000000000004E-2</v>
      </c>
      <c r="GQ5" t="s">
        <v>1603</v>
      </c>
      <c r="GR5">
        <v>2025</v>
      </c>
      <c r="GS5" t="s">
        <v>1892</v>
      </c>
      <c r="GT5" s="6">
        <v>45784</v>
      </c>
      <c r="GU5">
        <v>5</v>
      </c>
      <c r="GV5">
        <v>5213508</v>
      </c>
      <c r="GW5">
        <v>100115</v>
      </c>
      <c r="GX5" t="s">
        <v>1893</v>
      </c>
      <c r="HC5" t="str">
        <f>_xll.BDS("GEC US Equity","SUPPLY_CHAIN_SUPPLIERS_ALL_DATA")</f>
        <v>#N/A N/A</v>
      </c>
      <c r="HQ5" t="str">
        <f>_xll.BDS("GEC US Equity","SUPPLY_CHAIN_CUSTOMERS_ALL_DATA")</f>
        <v>#N/A N/A</v>
      </c>
      <c r="IG5" t="str">
        <f>_xll.BDS("VTR US Equity","SUPPLY_CHAIN_SUPPLIERS_ALL_DATA")</f>
        <v>#N/A N/A</v>
      </c>
      <c r="IU5" t="str">
        <f>_xll.BDS("VTR US Equity","SUPPLY_CHAIN_CUSTOMERS_ALL_DATA","cols=12;rows=3")</f>
        <v>BKD US Equity</v>
      </c>
      <c r="IV5">
        <v>3.1</v>
      </c>
      <c r="IW5" t="s">
        <v>1685</v>
      </c>
      <c r="IX5">
        <v>82.137343999999999</v>
      </c>
      <c r="IY5" t="s">
        <v>1594</v>
      </c>
      <c r="IZ5">
        <v>2024</v>
      </c>
      <c r="JA5" t="s">
        <v>4434</v>
      </c>
      <c r="JB5" s="6">
        <v>45701</v>
      </c>
      <c r="JC5">
        <v>3</v>
      </c>
      <c r="JD5">
        <v>38163060</v>
      </c>
      <c r="JE5">
        <v>9938236</v>
      </c>
      <c r="JF5" t="s">
        <v>4655</v>
      </c>
      <c r="JK5" t="str">
        <f>_xll.BDS("ET US Equity","SUPPLY_CHAIN_SUPPLIERS_ALL_DATA","cols=12;rows=5")</f>
        <v>CNR CN Equity</v>
      </c>
      <c r="JL5" t="s">
        <v>1598</v>
      </c>
      <c r="JM5">
        <v>1.0582020000000001</v>
      </c>
      <c r="JN5">
        <v>0.20854300000000001</v>
      </c>
      <c r="JO5" t="s">
        <v>1603</v>
      </c>
      <c r="JP5">
        <v>2025</v>
      </c>
      <c r="JQ5" t="s">
        <v>2089</v>
      </c>
      <c r="JR5" s="6">
        <v>45849</v>
      </c>
      <c r="JS5">
        <v>5</v>
      </c>
      <c r="JT5">
        <v>32471893.800000001</v>
      </c>
      <c r="JU5">
        <v>179551</v>
      </c>
      <c r="JV5" t="s">
        <v>2090</v>
      </c>
      <c r="JY5" t="str">
        <f>_xll.BDS("ET US Equity","SUPPLY_CHAIN_CUSTOMERS_ALL_DATA","cols=12;rows=5")</f>
        <v>384 HK Equity</v>
      </c>
      <c r="JZ5">
        <v>-2.4245362661989844E-14</v>
      </c>
      <c r="KB5">
        <v>-2.4245362661989844E-14</v>
      </c>
      <c r="KC5" t="s">
        <v>1594</v>
      </c>
      <c r="KD5">
        <v>2022</v>
      </c>
      <c r="KE5" t="s">
        <v>1982</v>
      </c>
      <c r="KF5" s="6">
        <v>44717</v>
      </c>
      <c r="KG5">
        <v>5</v>
      </c>
      <c r="KH5">
        <v>-2.4245362661989844E-14</v>
      </c>
      <c r="KI5">
        <v>178275</v>
      </c>
      <c r="KJ5" t="s">
        <v>1983</v>
      </c>
      <c r="KO5" t="str">
        <f>_xll.BDS("WAMUQ US Equity","SUPPLY_CHAIN_SUPPLIERS_ALL_DATA")</f>
        <v>#N/A N/A</v>
      </c>
      <c r="LC5" t="str">
        <f>_xll.BDS("WAMUQ US Equity","SUPPLY_CHAIN_CUSTOMERS_ALL_DATA")</f>
        <v>#N/A N/A</v>
      </c>
      <c r="LS5" t="str">
        <f>_xll.BDS("9876456D US Equity","SUPPLY_CHAIN_SUPPLIERS_ALL_DATA")</f>
        <v>#N/A N/A</v>
      </c>
      <c r="MG5" t="str">
        <f>_xll.BDS("9876456D US Equity","SUPPLY_CHAIN_CUSTOMERS_ALL_DATA")</f>
        <v>#N/A N/A</v>
      </c>
      <c r="MW5" t="str">
        <f>_xll.BDS("CELG US Equity","SUPPLY_CHAIN_SUPPLIERS_ALL_DATA","cols=12;rows=1")</f>
        <v>FE US Equity</v>
      </c>
      <c r="MY5">
        <v>-2.4245362661989844E-14</v>
      </c>
      <c r="MZ5">
        <v>-2.4245362661989844E-14</v>
      </c>
      <c r="NA5" t="s">
        <v>1594</v>
      </c>
      <c r="NB5">
        <v>2021</v>
      </c>
      <c r="NC5" t="s">
        <v>3048</v>
      </c>
      <c r="ND5" s="6">
        <v>44693</v>
      </c>
      <c r="NE5">
        <v>1</v>
      </c>
      <c r="NF5">
        <v>-2.4245362661989844E-14</v>
      </c>
      <c r="NG5">
        <v>302916</v>
      </c>
      <c r="NH5" t="s">
        <v>3049</v>
      </c>
      <c r="NK5" t="str">
        <f>_xll.BDS("CELG US Equity","SUPPLY_CHAIN_CUSTOMERS_ALL_DATA")</f>
        <v>#N/A N/A</v>
      </c>
      <c r="OA5" t="str">
        <f>_xll.BDS("T US Equity","SUPPLY_CHAIN_SUPPLIERS_ALL_DATA","cols=12;rows=5")</f>
        <v>AAPL US Equity</v>
      </c>
      <c r="OB5" t="s">
        <v>1598</v>
      </c>
      <c r="OC5">
        <v>1.2812509999999999</v>
      </c>
      <c r="OD5">
        <v>9.9289989999999992</v>
      </c>
      <c r="OE5" t="s">
        <v>1664</v>
      </c>
      <c r="OF5">
        <v>2025</v>
      </c>
      <c r="OG5" t="s">
        <v>3183</v>
      </c>
      <c r="OH5" s="6">
        <v>45863</v>
      </c>
      <c r="OI5">
        <v>5</v>
      </c>
      <c r="OJ5">
        <v>1221788160</v>
      </c>
      <c r="OK5">
        <v>101695</v>
      </c>
      <c r="OL5" t="s">
        <v>1919</v>
      </c>
      <c r="OO5" t="str">
        <f>_xll.BDS("T US Equity","SUPPLY_CHAIN_CUSTOMERS_ALL_DATA","cols=12;rows=5")</f>
        <v>IBM US Equity</v>
      </c>
      <c r="OP5">
        <v>0.86485599999999996</v>
      </c>
      <c r="OQ5" t="s">
        <v>1598</v>
      </c>
      <c r="OR5">
        <v>4.0630959999999998</v>
      </c>
      <c r="OS5" t="s">
        <v>1603</v>
      </c>
      <c r="OT5">
        <v>2025</v>
      </c>
      <c r="OU5" t="s">
        <v>1744</v>
      </c>
      <c r="OV5" s="6">
        <v>45797</v>
      </c>
      <c r="OW5">
        <v>5</v>
      </c>
      <c r="OX5">
        <v>264507552</v>
      </c>
      <c r="OY5">
        <v>100801</v>
      </c>
      <c r="OZ5" t="s">
        <v>1745</v>
      </c>
      <c r="PE5" t="str">
        <f>_xll.BDS("CYH US Equity","SUPPLY_CHAIN_SUPPLIERS_ALL_DATA","cols=12;rows=5")</f>
        <v>DOC US Equity</v>
      </c>
      <c r="PG5">
        <v>0.84334399999999998</v>
      </c>
      <c r="PH5">
        <v>-2.4245362661989844E-14</v>
      </c>
      <c r="PI5" t="s">
        <v>1606</v>
      </c>
      <c r="PJ5">
        <v>2024</v>
      </c>
      <c r="PK5" t="s">
        <v>3283</v>
      </c>
      <c r="PL5" s="6">
        <v>45691</v>
      </c>
      <c r="PM5">
        <v>5</v>
      </c>
      <c r="PN5">
        <v>5886441</v>
      </c>
      <c r="PO5">
        <v>70929473</v>
      </c>
      <c r="PP5" t="s">
        <v>3284</v>
      </c>
      <c r="PS5" t="str">
        <f>_xll.BDS("CYH US Equity","SUPPLY_CHAIN_CUSTOMERS_ALL_DATA","cols=12;rows=1")</f>
        <v>9877893Z US Equity</v>
      </c>
      <c r="PT5">
        <v>-2.4245362661989844E-14</v>
      </c>
      <c r="PV5">
        <v>-2.4245362661989844E-14</v>
      </c>
      <c r="PW5" t="s">
        <v>1599</v>
      </c>
      <c r="PX5">
        <v>2025</v>
      </c>
      <c r="PY5" t="s">
        <v>2728</v>
      </c>
      <c r="PZ5" s="6">
        <v>45954</v>
      </c>
      <c r="QA5">
        <v>1</v>
      </c>
      <c r="QB5">
        <v>-2.4245362661989844E-14</v>
      </c>
      <c r="QC5">
        <v>17483390</v>
      </c>
      <c r="QD5" t="s">
        <v>2729</v>
      </c>
      <c r="QI5" t="str">
        <f>_xll.BDS("MNIQQ US Equity","SUPPLY_CHAIN_SUPPLIERS_ALL_DATA")</f>
        <v>#N/A N/A</v>
      </c>
      <c r="QW5" t="str">
        <f>_xll.BDS("MNIQQ US Equity","SUPPLY_CHAIN_CUSTOMERS_ALL_DATA")</f>
        <v>#N/A N/A</v>
      </c>
      <c r="RM5" t="str">
        <f>_xll.BDS("INTC US Equity","SUPPLY_CHAIN_SUPPLIERS_ALL_DATA","cols=12;rows=5")</f>
        <v>ASML NA Equity</v>
      </c>
      <c r="RN5" t="s">
        <v>1634</v>
      </c>
      <c r="RO5">
        <v>9.5417889999999996</v>
      </c>
      <c r="RP5">
        <v>34.554512000000003</v>
      </c>
      <c r="RQ5" t="s">
        <v>1664</v>
      </c>
      <c r="RR5">
        <v>2025</v>
      </c>
      <c r="RS5" t="s">
        <v>3855</v>
      </c>
      <c r="RT5" s="6">
        <v>45979</v>
      </c>
      <c r="RU5">
        <v>5</v>
      </c>
      <c r="RV5">
        <v>812256358.32000005</v>
      </c>
      <c r="RW5">
        <v>163205</v>
      </c>
      <c r="RX5" t="s">
        <v>3856</v>
      </c>
      <c r="SA5" t="str">
        <f>_xll.BDS("INTC US Equity","SUPPLY_CHAIN_CUSTOMERS_ALL_DATA","cols=12;rows=5")</f>
        <v>DELL US Equity</v>
      </c>
      <c r="SB5">
        <v>19.035398000000001</v>
      </c>
      <c r="SC5" t="s">
        <v>1598</v>
      </c>
      <c r="SD5">
        <v>12.156269</v>
      </c>
      <c r="SE5" t="s">
        <v>1606</v>
      </c>
      <c r="SF5">
        <v>2025</v>
      </c>
      <c r="SG5" t="s">
        <v>2228</v>
      </c>
      <c r="SH5" s="6">
        <v>46048</v>
      </c>
      <c r="SI5">
        <v>5</v>
      </c>
      <c r="SJ5">
        <v>2602900224</v>
      </c>
      <c r="SK5">
        <v>50985605</v>
      </c>
      <c r="SL5" t="s">
        <v>3676</v>
      </c>
      <c r="SQ5" t="str">
        <f>_xll.BDS("3133754Q US Equity","SUPPLY_CHAIN_SUPPLIERS_ALL_DATA")</f>
        <v>#N/A N/A</v>
      </c>
      <c r="TE5" t="str">
        <f>_xll.BDS("3133754Q US Equity","SUPPLY_CHAIN_CUSTOMERS_ALL_DATA")</f>
        <v>#N/A N/A</v>
      </c>
      <c r="TU5" t="str">
        <f>_xll.BDS("4622869Z US Equity","SUPPLY_CHAIN_SUPPLIERS_ALL_DATA")</f>
        <v>#N/A N/A</v>
      </c>
      <c r="UI5" t="str">
        <f>_xll.BDS("4622869Z US Equity","SUPPLY_CHAIN_CUSTOMERS_ALL_DATA")</f>
        <v>#N/A N/A</v>
      </c>
      <c r="UY5" t="str">
        <f>_xll.BDS("nan Equity","SUPPLY_CHAIN_SUPPLIERS_ALL_DATA")</f>
        <v>#N/A N/A</v>
      </c>
      <c r="VM5" t="str">
        <f>_xll.BDS("nan Equity","SUPPLY_CHAIN_CUSTOMERS_ALL_DATA")</f>
        <v>#N/A N/A</v>
      </c>
    </row>
    <row r="6" spans="1:600" x14ac:dyDescent="0.25">
      <c r="A6" t="s">
        <v>2361</v>
      </c>
      <c r="B6" t="s">
        <v>1598</v>
      </c>
      <c r="C6">
        <v>2.8125499999999999</v>
      </c>
      <c r="D6">
        <v>1.308325</v>
      </c>
      <c r="E6" t="s">
        <v>1594</v>
      </c>
      <c r="F6">
        <v>2025</v>
      </c>
      <c r="G6" t="s">
        <v>2362</v>
      </c>
      <c r="H6" s="6">
        <v>46063</v>
      </c>
      <c r="I6">
        <v>5</v>
      </c>
      <c r="J6">
        <v>36150000</v>
      </c>
      <c r="K6">
        <v>126255</v>
      </c>
      <c r="L6" t="s">
        <v>2363</v>
      </c>
      <c r="O6" t="s">
        <v>959</v>
      </c>
      <c r="P6">
        <v>22.163627999999999</v>
      </c>
      <c r="Q6" t="s">
        <v>1598</v>
      </c>
      <c r="R6">
        <v>4.8294360000000003</v>
      </c>
      <c r="S6" t="s">
        <v>1599</v>
      </c>
      <c r="T6">
        <v>2025</v>
      </c>
      <c r="U6" t="s">
        <v>1859</v>
      </c>
      <c r="V6" s="6">
        <v>46041</v>
      </c>
      <c r="W6">
        <v>5</v>
      </c>
      <c r="X6">
        <v>3900975616</v>
      </c>
      <c r="Y6">
        <v>156969</v>
      </c>
      <c r="Z6" t="s">
        <v>1767</v>
      </c>
      <c r="AE6" t="s">
        <v>2559</v>
      </c>
      <c r="AF6" t="s">
        <v>1598</v>
      </c>
      <c r="AG6">
        <v>0.147895</v>
      </c>
      <c r="AH6">
        <v>0.47978500000000002</v>
      </c>
      <c r="AI6" t="s">
        <v>1599</v>
      </c>
      <c r="AJ6">
        <v>2025</v>
      </c>
      <c r="AK6" t="s">
        <v>2560</v>
      </c>
      <c r="AL6" s="6">
        <v>45867</v>
      </c>
      <c r="AM6">
        <v>5</v>
      </c>
      <c r="AN6">
        <v>11577221</v>
      </c>
      <c r="AO6">
        <v>117092</v>
      </c>
      <c r="AP6" t="s">
        <v>2561</v>
      </c>
      <c r="AS6" t="s">
        <v>1700</v>
      </c>
      <c r="AT6">
        <v>0.22051499999999999</v>
      </c>
      <c r="AU6" t="s">
        <v>1598</v>
      </c>
      <c r="AV6">
        <v>9.3169000000000002E-2</v>
      </c>
      <c r="AW6" t="s">
        <v>1606</v>
      </c>
      <c r="AX6">
        <v>2025</v>
      </c>
      <c r="AY6" t="s">
        <v>1701</v>
      </c>
      <c r="AZ6" s="6">
        <v>46056</v>
      </c>
      <c r="BA6">
        <v>5</v>
      </c>
      <c r="BB6">
        <v>15078834</v>
      </c>
      <c r="BC6">
        <v>1499717</v>
      </c>
      <c r="BD6" t="s">
        <v>1702</v>
      </c>
      <c r="BI6" t="s">
        <v>178</v>
      </c>
      <c r="BJ6" t="s">
        <v>1598</v>
      </c>
      <c r="BK6">
        <v>1.2899000000000001E-2</v>
      </c>
      <c r="BL6">
        <v>0.213559</v>
      </c>
      <c r="BM6" t="s">
        <v>1599</v>
      </c>
      <c r="BN6">
        <v>2025</v>
      </c>
      <c r="BO6" t="s">
        <v>1735</v>
      </c>
      <c r="BP6" s="6">
        <v>45843</v>
      </c>
      <c r="BQ6">
        <v>5</v>
      </c>
      <c r="BR6">
        <v>9037813</v>
      </c>
      <c r="BS6">
        <v>101743</v>
      </c>
      <c r="BT6" t="s">
        <v>1736</v>
      </c>
      <c r="BW6" t="s">
        <v>4399</v>
      </c>
      <c r="BX6">
        <v>-2.4245362661989844E-14</v>
      </c>
      <c r="BZ6">
        <v>-2.4245362661989844E-14</v>
      </c>
      <c r="CA6" t="s">
        <v>1599</v>
      </c>
      <c r="CB6">
        <v>2025</v>
      </c>
      <c r="CC6" t="s">
        <v>4400</v>
      </c>
      <c r="CD6" s="6">
        <v>45966</v>
      </c>
      <c r="CE6">
        <v>2</v>
      </c>
      <c r="CF6">
        <v>-2.4245362661989844E-14</v>
      </c>
      <c r="CG6">
        <v>38748702</v>
      </c>
      <c r="CH6" t="s">
        <v>4401</v>
      </c>
      <c r="CM6" t="s">
        <v>1416</v>
      </c>
      <c r="CO6">
        <v>-2.4245362661989844E-14</v>
      </c>
      <c r="CP6">
        <v>-2.4245362661989844E-14</v>
      </c>
      <c r="CQ6" t="s">
        <v>1594</v>
      </c>
      <c r="CR6">
        <v>2025</v>
      </c>
      <c r="CS6" t="s">
        <v>4695</v>
      </c>
      <c r="CT6" s="6">
        <v>45882</v>
      </c>
      <c r="CU6">
        <v>5</v>
      </c>
      <c r="CV6">
        <v>-2.4245362661989844E-14</v>
      </c>
      <c r="CW6">
        <v>393374</v>
      </c>
      <c r="CX6" t="s">
        <v>2013</v>
      </c>
      <c r="DA6" t="s">
        <v>5470</v>
      </c>
      <c r="DB6">
        <v>-2.4245362661989844E-14</v>
      </c>
      <c r="DD6">
        <v>-2.4245362661989844E-14</v>
      </c>
      <c r="DE6" t="s">
        <v>1594</v>
      </c>
      <c r="DF6">
        <v>2023</v>
      </c>
      <c r="DG6" t="s">
        <v>4695</v>
      </c>
      <c r="DH6" s="6">
        <v>45187</v>
      </c>
      <c r="DI6">
        <v>5</v>
      </c>
      <c r="DJ6">
        <v>-2.4245362661989844E-14</v>
      </c>
      <c r="DK6">
        <v>935799</v>
      </c>
      <c r="DL6" t="s">
        <v>5471</v>
      </c>
      <c r="EU6" t="s">
        <v>4443</v>
      </c>
      <c r="EV6" t="s">
        <v>1685</v>
      </c>
      <c r="EW6">
        <v>1.9</v>
      </c>
      <c r="EX6">
        <v>3.3853520000000001</v>
      </c>
      <c r="EY6" t="s">
        <v>1594</v>
      </c>
      <c r="EZ6">
        <v>2024</v>
      </c>
      <c r="FA6" t="s">
        <v>4444</v>
      </c>
      <c r="FB6" s="6">
        <v>45700</v>
      </c>
      <c r="FC6">
        <v>5</v>
      </c>
      <c r="FD6">
        <v>2833054.77</v>
      </c>
      <c r="FE6">
        <v>202552</v>
      </c>
      <c r="FF6" t="s">
        <v>4445</v>
      </c>
      <c r="FY6" t="s">
        <v>3718</v>
      </c>
      <c r="FZ6" t="s">
        <v>1634</v>
      </c>
      <c r="GA6">
        <v>0.56222700000000003</v>
      </c>
      <c r="GB6">
        <v>0.645401</v>
      </c>
      <c r="GC6" t="s">
        <v>1599</v>
      </c>
      <c r="GD6">
        <v>2025</v>
      </c>
      <c r="GE6" t="s">
        <v>3719</v>
      </c>
      <c r="GF6" s="6">
        <v>46013</v>
      </c>
      <c r="GG6">
        <v>5</v>
      </c>
      <c r="GH6">
        <v>7268211.2400000002</v>
      </c>
      <c r="GI6">
        <v>40179625</v>
      </c>
      <c r="GJ6" t="s">
        <v>3720</v>
      </c>
      <c r="GM6" t="s">
        <v>2782</v>
      </c>
      <c r="GN6">
        <v>-2.4245362661989844E-14</v>
      </c>
      <c r="GP6">
        <v>-2.4245362661989844E-14</v>
      </c>
      <c r="GQ6" t="s">
        <v>1594</v>
      </c>
      <c r="GR6">
        <v>2021</v>
      </c>
      <c r="GS6" t="s">
        <v>2783</v>
      </c>
      <c r="GT6" s="6">
        <v>44693</v>
      </c>
      <c r="GU6">
        <v>5</v>
      </c>
      <c r="GV6">
        <v>-2.4245362661989844E-14</v>
      </c>
      <c r="GW6">
        <v>24999838</v>
      </c>
      <c r="GX6" t="s">
        <v>2784</v>
      </c>
      <c r="IU6" t="s">
        <v>531</v>
      </c>
      <c r="IV6">
        <v>2.8</v>
      </c>
      <c r="IW6" t="s">
        <v>1685</v>
      </c>
      <c r="IX6">
        <v>0.73512200000000005</v>
      </c>
      <c r="IY6" t="s">
        <v>1594</v>
      </c>
      <c r="IZ6">
        <v>2024</v>
      </c>
      <c r="JA6" t="s">
        <v>4434</v>
      </c>
      <c r="JB6" s="6">
        <v>45701</v>
      </c>
      <c r="JC6">
        <v>3</v>
      </c>
      <c r="JD6">
        <v>34469864</v>
      </c>
      <c r="JE6">
        <v>69491275</v>
      </c>
      <c r="JF6" t="s">
        <v>1780</v>
      </c>
      <c r="JK6" t="s">
        <v>462</v>
      </c>
      <c r="JL6" t="s">
        <v>1634</v>
      </c>
      <c r="JM6">
        <v>0.122599</v>
      </c>
      <c r="JN6">
        <v>1.659594</v>
      </c>
      <c r="JO6" t="s">
        <v>1664</v>
      </c>
      <c r="JP6">
        <v>2025</v>
      </c>
      <c r="JQ6" t="s">
        <v>3366</v>
      </c>
      <c r="JR6" s="6">
        <v>45876</v>
      </c>
      <c r="JS6">
        <v>5</v>
      </c>
      <c r="JT6">
        <v>20313428</v>
      </c>
      <c r="JU6">
        <v>100285</v>
      </c>
      <c r="JV6" t="s">
        <v>1764</v>
      </c>
      <c r="JY6" t="s">
        <v>82</v>
      </c>
      <c r="JZ6">
        <v>-2.4245362661989844E-14</v>
      </c>
      <c r="KB6">
        <v>-2.4245362661989844E-14</v>
      </c>
      <c r="KC6" t="s">
        <v>1594</v>
      </c>
      <c r="KD6">
        <v>2025</v>
      </c>
      <c r="KE6" t="s">
        <v>1984</v>
      </c>
      <c r="KF6" s="6">
        <v>45833</v>
      </c>
      <c r="KG6">
        <v>5</v>
      </c>
      <c r="KH6">
        <v>-2.4245362661989844E-14</v>
      </c>
      <c r="KI6">
        <v>100315</v>
      </c>
      <c r="KJ6" t="s">
        <v>1985</v>
      </c>
      <c r="OA6" t="s">
        <v>2376</v>
      </c>
      <c r="OB6" t="s">
        <v>1598</v>
      </c>
      <c r="OC6">
        <v>2.0413640000000002</v>
      </c>
      <c r="OD6">
        <v>9.0393749999999997</v>
      </c>
      <c r="OE6" t="s">
        <v>1664</v>
      </c>
      <c r="OF6">
        <v>2025</v>
      </c>
      <c r="OG6" t="s">
        <v>3183</v>
      </c>
      <c r="OH6" s="6">
        <v>45863</v>
      </c>
      <c r="OI6">
        <v>5</v>
      </c>
      <c r="OJ6">
        <v>1112317696</v>
      </c>
      <c r="OK6">
        <v>117929</v>
      </c>
      <c r="OL6" t="s">
        <v>2378</v>
      </c>
      <c r="OO6" t="s">
        <v>1700</v>
      </c>
      <c r="OP6">
        <v>0.112041</v>
      </c>
      <c r="OQ6" t="s">
        <v>1598</v>
      </c>
      <c r="OR6">
        <v>0.211726</v>
      </c>
      <c r="OS6" t="s">
        <v>1606</v>
      </c>
      <c r="OT6">
        <v>2025</v>
      </c>
      <c r="OU6" t="s">
        <v>1701</v>
      </c>
      <c r="OV6" s="6">
        <v>46056</v>
      </c>
      <c r="OW6">
        <v>5</v>
      </c>
      <c r="OX6">
        <v>34266560</v>
      </c>
      <c r="OY6">
        <v>1499717</v>
      </c>
      <c r="OZ6" t="s">
        <v>1702</v>
      </c>
      <c r="PE6" t="s">
        <v>3285</v>
      </c>
      <c r="PG6">
        <v>-2.4245362661989844E-14</v>
      </c>
      <c r="PH6">
        <v>-2.4245362661989844E-14</v>
      </c>
      <c r="PI6" t="s">
        <v>1594</v>
      </c>
      <c r="PJ6">
        <v>2023</v>
      </c>
      <c r="PK6" t="s">
        <v>3286</v>
      </c>
      <c r="PL6" s="6">
        <v>45176</v>
      </c>
      <c r="PM6">
        <v>5</v>
      </c>
      <c r="PN6">
        <v>-2.4245362661989844E-14</v>
      </c>
      <c r="PO6">
        <v>50172077</v>
      </c>
      <c r="PP6" t="s">
        <v>3287</v>
      </c>
      <c r="RM6" t="s">
        <v>2582</v>
      </c>
      <c r="RN6" t="s">
        <v>1598</v>
      </c>
      <c r="RO6">
        <v>2.9053209999999998</v>
      </c>
      <c r="RP6">
        <v>8.9932630000000007</v>
      </c>
      <c r="RQ6" t="s">
        <v>1606</v>
      </c>
      <c r="RR6">
        <v>2024</v>
      </c>
      <c r="RS6" t="s">
        <v>3144</v>
      </c>
      <c r="RT6" s="6">
        <v>45741</v>
      </c>
      <c r="RU6">
        <v>5</v>
      </c>
      <c r="RV6">
        <v>779959532.52999997</v>
      </c>
      <c r="RW6">
        <v>153737</v>
      </c>
      <c r="RX6" t="s">
        <v>2584</v>
      </c>
      <c r="SA6" t="s">
        <v>173</v>
      </c>
      <c r="SB6">
        <v>12.003353000000001</v>
      </c>
      <c r="SC6" t="s">
        <v>1598</v>
      </c>
      <c r="SD6">
        <v>14.056165999999999</v>
      </c>
      <c r="SE6" t="s">
        <v>1606</v>
      </c>
      <c r="SF6">
        <v>2025</v>
      </c>
      <c r="SG6" t="s">
        <v>2228</v>
      </c>
      <c r="SH6" s="6">
        <v>46048</v>
      </c>
      <c r="SI6">
        <v>5</v>
      </c>
      <c r="SJ6">
        <v>1641338496</v>
      </c>
      <c r="SK6">
        <v>100732</v>
      </c>
      <c r="SL6" t="s">
        <v>1869</v>
      </c>
    </row>
    <row r="7" spans="1:600" x14ac:dyDescent="0.25">
      <c r="A7" t="s">
        <v>2364</v>
      </c>
      <c r="B7" t="s">
        <v>1598</v>
      </c>
      <c r="C7">
        <v>13.694044</v>
      </c>
      <c r="D7">
        <v>1.0251479999999999</v>
      </c>
      <c r="E7" t="s">
        <v>1594</v>
      </c>
      <c r="F7">
        <v>2024</v>
      </c>
      <c r="G7" t="s">
        <v>2365</v>
      </c>
      <c r="H7" s="6">
        <v>45735</v>
      </c>
      <c r="I7">
        <v>5</v>
      </c>
      <c r="J7">
        <v>21575000</v>
      </c>
      <c r="K7">
        <v>10664510</v>
      </c>
      <c r="L7" t="s">
        <v>2366</v>
      </c>
      <c r="O7" t="s">
        <v>618</v>
      </c>
      <c r="P7">
        <v>19.020800000000001</v>
      </c>
      <c r="Q7" t="s">
        <v>1598</v>
      </c>
      <c r="R7">
        <v>5.4268320000000001</v>
      </c>
      <c r="S7" t="s">
        <v>1599</v>
      </c>
      <c r="T7">
        <v>2025</v>
      </c>
      <c r="U7" t="s">
        <v>1859</v>
      </c>
      <c r="V7" s="6">
        <v>46041</v>
      </c>
      <c r="W7">
        <v>5</v>
      </c>
      <c r="X7">
        <v>3347812864</v>
      </c>
      <c r="Y7">
        <v>102782</v>
      </c>
      <c r="Z7" t="s">
        <v>1626</v>
      </c>
      <c r="AE7" t="s">
        <v>205</v>
      </c>
      <c r="AF7" t="s">
        <v>1598</v>
      </c>
      <c r="AG7">
        <v>0.32230900000000001</v>
      </c>
      <c r="AH7">
        <v>0.38473400000000002</v>
      </c>
      <c r="AI7" t="s">
        <v>1599</v>
      </c>
      <c r="AJ7">
        <v>2025</v>
      </c>
      <c r="AK7" t="s">
        <v>2562</v>
      </c>
      <c r="AL7" s="6">
        <v>45891</v>
      </c>
      <c r="AM7">
        <v>5</v>
      </c>
      <c r="AN7">
        <v>9283621</v>
      </c>
      <c r="AO7">
        <v>100097</v>
      </c>
      <c r="AP7" t="s">
        <v>2563</v>
      </c>
      <c r="AS7" t="s">
        <v>1703</v>
      </c>
      <c r="AT7">
        <v>8.1423999999999996E-2</v>
      </c>
      <c r="AU7" t="s">
        <v>1598</v>
      </c>
      <c r="AV7">
        <v>0.194387</v>
      </c>
      <c r="AW7" t="s">
        <v>1599</v>
      </c>
      <c r="AX7">
        <v>2025</v>
      </c>
      <c r="AY7" t="s">
        <v>1704</v>
      </c>
      <c r="AZ7" s="6">
        <v>45694</v>
      </c>
      <c r="BA7">
        <v>5</v>
      </c>
      <c r="BB7">
        <v>5430637.3600000003</v>
      </c>
      <c r="BC7">
        <v>111827</v>
      </c>
      <c r="BD7" t="s">
        <v>1705</v>
      </c>
      <c r="BI7" t="s">
        <v>1084</v>
      </c>
      <c r="BJ7" t="s">
        <v>1685</v>
      </c>
      <c r="BK7">
        <v>0.108861</v>
      </c>
      <c r="BL7">
        <v>0.15107300000000001</v>
      </c>
      <c r="BM7" t="s">
        <v>1664</v>
      </c>
      <c r="BN7">
        <v>2025</v>
      </c>
      <c r="BO7" t="s">
        <v>2052</v>
      </c>
      <c r="BP7" s="6">
        <v>45838</v>
      </c>
      <c r="BQ7">
        <v>5</v>
      </c>
      <c r="BR7">
        <v>6393407</v>
      </c>
      <c r="BS7">
        <v>101689</v>
      </c>
      <c r="BT7" t="s">
        <v>2053</v>
      </c>
      <c r="CM7" t="s">
        <v>4696</v>
      </c>
      <c r="CO7">
        <v>-2.4245362661989844E-14</v>
      </c>
      <c r="CP7">
        <v>-2.4245362661989844E-14</v>
      </c>
      <c r="CQ7" t="s">
        <v>1594</v>
      </c>
      <c r="CR7">
        <v>2025</v>
      </c>
      <c r="CS7" t="s">
        <v>4697</v>
      </c>
      <c r="CT7" s="6">
        <v>45916</v>
      </c>
      <c r="CU7">
        <v>5</v>
      </c>
      <c r="CV7">
        <v>-2.4245362661989844E-14</v>
      </c>
      <c r="CW7">
        <v>22423521</v>
      </c>
      <c r="CX7" t="s">
        <v>4698</v>
      </c>
      <c r="DA7" t="s">
        <v>5472</v>
      </c>
      <c r="DB7">
        <v>-2.4245362661989844E-14</v>
      </c>
      <c r="DD7">
        <v>-2.4245362661989844E-14</v>
      </c>
      <c r="DE7" t="s">
        <v>1594</v>
      </c>
      <c r="DF7">
        <v>2023</v>
      </c>
      <c r="DG7" t="s">
        <v>4695</v>
      </c>
      <c r="DH7" s="6">
        <v>45187</v>
      </c>
      <c r="DI7">
        <v>5</v>
      </c>
      <c r="DJ7">
        <v>-2.4245362661989844E-14</v>
      </c>
      <c r="DK7">
        <v>837620</v>
      </c>
      <c r="DL7" t="s">
        <v>5473</v>
      </c>
      <c r="EU7" t="s">
        <v>2072</v>
      </c>
      <c r="EV7" t="s">
        <v>1598</v>
      </c>
      <c r="EW7">
        <v>0.398061</v>
      </c>
      <c r="EX7">
        <v>0.161053</v>
      </c>
      <c r="EY7" t="s">
        <v>1599</v>
      </c>
      <c r="EZ7">
        <v>2025</v>
      </c>
      <c r="FA7" t="s">
        <v>2073</v>
      </c>
      <c r="FB7" s="6">
        <v>46027</v>
      </c>
      <c r="FC7">
        <v>5</v>
      </c>
      <c r="FD7">
        <v>2523707</v>
      </c>
      <c r="FE7">
        <v>36965288</v>
      </c>
      <c r="FF7" t="s">
        <v>2074</v>
      </c>
      <c r="FY7" t="s">
        <v>3721</v>
      </c>
      <c r="FZ7" t="s">
        <v>1598</v>
      </c>
      <c r="GA7">
        <v>15</v>
      </c>
      <c r="GB7">
        <v>0.60074099999999997</v>
      </c>
      <c r="GC7" t="s">
        <v>1594</v>
      </c>
      <c r="GD7">
        <v>2025</v>
      </c>
      <c r="GE7" t="s">
        <v>3722</v>
      </c>
      <c r="GF7" s="6">
        <v>46009</v>
      </c>
      <c r="GG7">
        <v>5</v>
      </c>
      <c r="GH7">
        <v>5931075</v>
      </c>
      <c r="GI7">
        <v>103672</v>
      </c>
      <c r="GJ7" t="s">
        <v>3723</v>
      </c>
      <c r="GM7" t="s">
        <v>2730</v>
      </c>
      <c r="GN7">
        <v>-2.4245362661989844E-14</v>
      </c>
      <c r="GP7">
        <v>-2.4245362661989844E-14</v>
      </c>
      <c r="GQ7" t="s">
        <v>1594</v>
      </c>
      <c r="GR7">
        <v>2021</v>
      </c>
      <c r="GS7" t="s">
        <v>2783</v>
      </c>
      <c r="GT7" s="6">
        <v>44693</v>
      </c>
      <c r="GU7">
        <v>5</v>
      </c>
      <c r="GV7">
        <v>-2.4245362661989844E-14</v>
      </c>
      <c r="GW7">
        <v>117832</v>
      </c>
      <c r="GX7" t="s">
        <v>2732</v>
      </c>
      <c r="IU7" t="s">
        <v>4656</v>
      </c>
      <c r="IV7">
        <v>2.8</v>
      </c>
      <c r="IW7" t="s">
        <v>1685</v>
      </c>
      <c r="IX7">
        <v>2.6547749999999999</v>
      </c>
      <c r="IY7" t="s">
        <v>1594</v>
      </c>
      <c r="IZ7">
        <v>2024</v>
      </c>
      <c r="JA7" t="s">
        <v>4434</v>
      </c>
      <c r="JB7" s="6">
        <v>45701</v>
      </c>
      <c r="JC7">
        <v>3</v>
      </c>
      <c r="JD7">
        <v>34469864</v>
      </c>
      <c r="JE7">
        <v>50818234</v>
      </c>
      <c r="JF7" t="s">
        <v>4657</v>
      </c>
      <c r="JK7" t="s">
        <v>3894</v>
      </c>
      <c r="JL7" t="s">
        <v>1634</v>
      </c>
      <c r="JM7">
        <v>0.87248300000000001</v>
      </c>
      <c r="JN7">
        <v>1.0253380000000001</v>
      </c>
      <c r="JO7" t="s">
        <v>1664</v>
      </c>
      <c r="JP7">
        <v>2025</v>
      </c>
      <c r="JQ7" t="s">
        <v>3895</v>
      </c>
      <c r="JR7" s="6">
        <v>45925</v>
      </c>
      <c r="JS7">
        <v>5</v>
      </c>
      <c r="JT7">
        <v>17030868</v>
      </c>
      <c r="JU7">
        <v>10659312</v>
      </c>
      <c r="JV7" t="s">
        <v>3896</v>
      </c>
      <c r="JY7" t="s">
        <v>1986</v>
      </c>
      <c r="JZ7">
        <v>-2.4245362661989844E-14</v>
      </c>
      <c r="KB7">
        <v>-2.4245362661989844E-14</v>
      </c>
      <c r="KC7" t="s">
        <v>1594</v>
      </c>
      <c r="KD7">
        <v>2025</v>
      </c>
      <c r="KE7" t="s">
        <v>1987</v>
      </c>
      <c r="KF7" s="6">
        <v>46063</v>
      </c>
      <c r="KG7">
        <v>5</v>
      </c>
      <c r="KH7">
        <v>-2.4245362661989844E-14</v>
      </c>
      <c r="KI7">
        <v>100348</v>
      </c>
      <c r="KJ7" t="s">
        <v>1988</v>
      </c>
      <c r="OA7" t="s">
        <v>2383</v>
      </c>
      <c r="OB7" t="s">
        <v>1634</v>
      </c>
      <c r="OC7">
        <v>13.01698</v>
      </c>
      <c r="OD7">
        <v>13.663121</v>
      </c>
      <c r="OE7" t="s">
        <v>1599</v>
      </c>
      <c r="OF7">
        <v>2025</v>
      </c>
      <c r="OG7" t="s">
        <v>2384</v>
      </c>
      <c r="OH7" s="6">
        <v>46029</v>
      </c>
      <c r="OI7">
        <v>5</v>
      </c>
      <c r="OJ7">
        <v>769456564.02999997</v>
      </c>
      <c r="OK7">
        <v>115705</v>
      </c>
      <c r="OL7" t="s">
        <v>2385</v>
      </c>
      <c r="OO7" t="s">
        <v>1645</v>
      </c>
      <c r="OP7">
        <v>3.6669E-2</v>
      </c>
      <c r="OQ7" t="s">
        <v>1598</v>
      </c>
      <c r="OR7">
        <v>1.85477</v>
      </c>
      <c r="OS7" t="s">
        <v>1599</v>
      </c>
      <c r="OT7">
        <v>2025</v>
      </c>
      <c r="OU7" t="s">
        <v>1897</v>
      </c>
      <c r="OV7" s="6">
        <v>45840</v>
      </c>
      <c r="OW7">
        <v>5</v>
      </c>
      <c r="OX7">
        <v>11214774</v>
      </c>
      <c r="OY7">
        <v>136424</v>
      </c>
      <c r="OZ7" t="s">
        <v>1647</v>
      </c>
      <c r="PE7" t="s">
        <v>3288</v>
      </c>
      <c r="PG7">
        <v>-2.4245362661989844E-14</v>
      </c>
      <c r="PH7">
        <v>-2.4245362661989844E-14</v>
      </c>
      <c r="PI7" t="s">
        <v>1594</v>
      </c>
      <c r="PJ7">
        <v>2024</v>
      </c>
      <c r="PK7" t="s">
        <v>3289</v>
      </c>
      <c r="PL7" s="6">
        <v>45776</v>
      </c>
      <c r="PM7">
        <v>5</v>
      </c>
      <c r="PN7">
        <v>-2.4245362661989844E-14</v>
      </c>
      <c r="PO7">
        <v>23463925</v>
      </c>
      <c r="PP7" t="s">
        <v>3290</v>
      </c>
      <c r="RM7" t="s">
        <v>2587</v>
      </c>
      <c r="RN7" t="s">
        <v>1598</v>
      </c>
      <c r="RO7">
        <v>1.4676359999999999</v>
      </c>
      <c r="RP7">
        <v>2.8381699999999999</v>
      </c>
      <c r="RQ7" t="s">
        <v>1599</v>
      </c>
      <c r="RR7">
        <v>2025</v>
      </c>
      <c r="RS7" t="s">
        <v>3857</v>
      </c>
      <c r="RT7" s="6">
        <v>46080</v>
      </c>
      <c r="RU7">
        <v>5</v>
      </c>
      <c r="RV7">
        <v>258849259.34</v>
      </c>
      <c r="RW7">
        <v>193974</v>
      </c>
      <c r="RX7" t="s">
        <v>2588</v>
      </c>
      <c r="SA7" t="s">
        <v>3659</v>
      </c>
      <c r="SB7">
        <v>12.001497000000001</v>
      </c>
      <c r="SC7" t="s">
        <v>1598</v>
      </c>
      <c r="SD7">
        <v>9.4830839999999998</v>
      </c>
      <c r="SE7" t="s">
        <v>1606</v>
      </c>
      <c r="SF7">
        <v>2025</v>
      </c>
      <c r="SG7" t="s">
        <v>2228</v>
      </c>
      <c r="SH7" s="6">
        <v>46048</v>
      </c>
      <c r="SI7">
        <v>5</v>
      </c>
      <c r="SJ7">
        <v>1641084672</v>
      </c>
      <c r="SK7">
        <v>130929</v>
      </c>
      <c r="SL7" t="s">
        <v>3661</v>
      </c>
    </row>
    <row r="8" spans="1:600" x14ac:dyDescent="0.25">
      <c r="A8" t="s">
        <v>2367</v>
      </c>
      <c r="B8" t="s">
        <v>2128</v>
      </c>
      <c r="C8">
        <v>2.0662310000000002</v>
      </c>
      <c r="D8">
        <v>0.63925799999999999</v>
      </c>
      <c r="E8" t="s">
        <v>1664</v>
      </c>
      <c r="F8">
        <v>2025</v>
      </c>
      <c r="G8" t="s">
        <v>2368</v>
      </c>
      <c r="H8" s="6">
        <v>45921</v>
      </c>
      <c r="I8">
        <v>5</v>
      </c>
      <c r="J8">
        <v>21326292</v>
      </c>
      <c r="K8">
        <v>963610</v>
      </c>
      <c r="L8" t="s">
        <v>2369</v>
      </c>
      <c r="O8" t="s">
        <v>1860</v>
      </c>
      <c r="P8">
        <v>5.4489999999999998</v>
      </c>
      <c r="R8">
        <v>-2.4245362661989844E-14</v>
      </c>
      <c r="S8" t="s">
        <v>1599</v>
      </c>
      <c r="T8">
        <v>2025</v>
      </c>
      <c r="U8" t="s">
        <v>1859</v>
      </c>
      <c r="V8" s="6">
        <v>46041</v>
      </c>
      <c r="W8">
        <v>5</v>
      </c>
      <c r="X8">
        <v>959067584</v>
      </c>
      <c r="Y8">
        <v>199844</v>
      </c>
      <c r="Z8" t="s">
        <v>1861</v>
      </c>
      <c r="AE8" t="s">
        <v>2564</v>
      </c>
      <c r="AF8" t="s">
        <v>1598</v>
      </c>
      <c r="AG8">
        <v>1.1725810000000001</v>
      </c>
      <c r="AH8">
        <v>0.15703400000000001</v>
      </c>
      <c r="AI8" t="s">
        <v>1603</v>
      </c>
      <c r="AJ8">
        <v>2026</v>
      </c>
      <c r="AK8" t="s">
        <v>2565</v>
      </c>
      <c r="AL8" s="6">
        <v>46051</v>
      </c>
      <c r="AM8">
        <v>5</v>
      </c>
      <c r="AN8">
        <v>4510016</v>
      </c>
      <c r="AO8">
        <v>225757</v>
      </c>
      <c r="AP8" t="s">
        <v>2566</v>
      </c>
      <c r="AS8" t="s">
        <v>1706</v>
      </c>
      <c r="AT8">
        <v>6.6940000000000003E-3</v>
      </c>
      <c r="AU8" t="s">
        <v>1598</v>
      </c>
      <c r="AV8">
        <v>5.5948409999999997</v>
      </c>
      <c r="AW8" t="s">
        <v>1594</v>
      </c>
      <c r="AX8">
        <v>2024</v>
      </c>
      <c r="AY8" t="s">
        <v>1707</v>
      </c>
      <c r="AZ8" s="6">
        <v>45819</v>
      </c>
      <c r="BA8">
        <v>5</v>
      </c>
      <c r="BB8">
        <v>402911.11</v>
      </c>
      <c r="BC8">
        <v>15291339</v>
      </c>
      <c r="BD8" t="s">
        <v>1708</v>
      </c>
      <c r="BI8" t="s">
        <v>493</v>
      </c>
      <c r="BJ8" t="s">
        <v>1598</v>
      </c>
      <c r="BK8">
        <v>0.124473</v>
      </c>
      <c r="BL8">
        <v>0.116713</v>
      </c>
      <c r="BM8" t="s">
        <v>1606</v>
      </c>
      <c r="BN8">
        <v>2025</v>
      </c>
      <c r="BO8" t="s">
        <v>2093</v>
      </c>
      <c r="BP8" s="6">
        <v>46071</v>
      </c>
      <c r="BQ8">
        <v>5</v>
      </c>
      <c r="BR8">
        <v>4898448</v>
      </c>
      <c r="BS8">
        <v>100499</v>
      </c>
      <c r="BT8" t="s">
        <v>2094</v>
      </c>
      <c r="CM8" t="s">
        <v>4699</v>
      </c>
      <c r="CO8">
        <v>-2.4245362661989844E-14</v>
      </c>
      <c r="CP8">
        <v>-2.4245362661989844E-14</v>
      </c>
      <c r="CQ8" t="s">
        <v>1594</v>
      </c>
      <c r="CR8">
        <v>2024</v>
      </c>
      <c r="CS8" t="s">
        <v>4700</v>
      </c>
      <c r="CT8" s="6">
        <v>45735</v>
      </c>
      <c r="CU8">
        <v>5</v>
      </c>
      <c r="CV8">
        <v>-2.4245362661989844E-14</v>
      </c>
      <c r="CW8">
        <v>37585679</v>
      </c>
      <c r="CX8" t="s">
        <v>4701</v>
      </c>
      <c r="DA8" t="s">
        <v>5474</v>
      </c>
      <c r="DB8">
        <v>-2.4245362661989844E-14</v>
      </c>
      <c r="DD8">
        <v>-2.4245362661989844E-14</v>
      </c>
      <c r="DE8" t="s">
        <v>1594</v>
      </c>
      <c r="DF8">
        <v>2023</v>
      </c>
      <c r="DG8" t="s">
        <v>4695</v>
      </c>
      <c r="DH8" s="6">
        <v>45187</v>
      </c>
      <c r="DI8">
        <v>5</v>
      </c>
      <c r="DJ8">
        <v>-2.4245362661989844E-14</v>
      </c>
      <c r="DK8">
        <v>929178</v>
      </c>
      <c r="DL8" t="s">
        <v>5475</v>
      </c>
      <c r="EU8" t="s">
        <v>992</v>
      </c>
      <c r="EV8" t="s">
        <v>1685</v>
      </c>
      <c r="EW8">
        <v>0.86172899999999997</v>
      </c>
      <c r="EX8">
        <v>2.5873110000000001</v>
      </c>
      <c r="EY8" t="s">
        <v>1594</v>
      </c>
      <c r="EZ8">
        <v>2025</v>
      </c>
      <c r="FA8" t="s">
        <v>4168</v>
      </c>
      <c r="FB8" s="6">
        <v>46058</v>
      </c>
      <c r="FC8">
        <v>5</v>
      </c>
      <c r="FD8">
        <v>2141000.25</v>
      </c>
      <c r="FE8">
        <v>106045</v>
      </c>
      <c r="FF8" t="s">
        <v>2847</v>
      </c>
      <c r="FY8" t="s">
        <v>247</v>
      </c>
      <c r="FZ8" t="s">
        <v>1634</v>
      </c>
      <c r="GA8">
        <v>3.6712000000000002E-2</v>
      </c>
      <c r="GB8">
        <v>0.291099</v>
      </c>
      <c r="GC8" t="s">
        <v>1599</v>
      </c>
      <c r="GD8">
        <v>2025</v>
      </c>
      <c r="GE8" t="s">
        <v>1809</v>
      </c>
      <c r="GF8" s="6">
        <v>45985</v>
      </c>
      <c r="GG8">
        <v>5</v>
      </c>
      <c r="GH8">
        <v>3277647</v>
      </c>
      <c r="GI8">
        <v>101318</v>
      </c>
      <c r="GJ8" t="s">
        <v>3724</v>
      </c>
      <c r="GM8" t="s">
        <v>2785</v>
      </c>
      <c r="GN8">
        <v>-2.4245362661989844E-14</v>
      </c>
      <c r="GP8">
        <v>-2.4245362661989844E-14</v>
      </c>
      <c r="GQ8" t="s">
        <v>1594</v>
      </c>
      <c r="GR8">
        <v>2021</v>
      </c>
      <c r="GS8" t="s">
        <v>2783</v>
      </c>
      <c r="GT8" s="6">
        <v>44693</v>
      </c>
      <c r="GU8">
        <v>5</v>
      </c>
      <c r="GV8">
        <v>-2.4245362661989844E-14</v>
      </c>
      <c r="GW8">
        <v>117924</v>
      </c>
      <c r="GX8" t="s">
        <v>2786</v>
      </c>
      <c r="JK8" t="s">
        <v>3897</v>
      </c>
      <c r="JL8" t="s">
        <v>1598</v>
      </c>
      <c r="JM8">
        <v>4.2</v>
      </c>
      <c r="JN8">
        <v>7.9800999999999997E-2</v>
      </c>
      <c r="JO8" t="s">
        <v>1594</v>
      </c>
      <c r="JP8">
        <v>2024</v>
      </c>
      <c r="JQ8" t="s">
        <v>3898</v>
      </c>
      <c r="JR8" s="6">
        <v>45842</v>
      </c>
      <c r="JS8">
        <v>5</v>
      </c>
      <c r="JT8">
        <v>12195268.279999999</v>
      </c>
      <c r="JU8">
        <v>193849</v>
      </c>
      <c r="JV8" t="s">
        <v>3899</v>
      </c>
      <c r="JY8" t="s">
        <v>1989</v>
      </c>
      <c r="JZ8">
        <v>-2.4245362661989844E-14</v>
      </c>
      <c r="KB8">
        <v>-2.4245362661989844E-14</v>
      </c>
      <c r="KC8" t="s">
        <v>1594</v>
      </c>
      <c r="KD8">
        <v>2025</v>
      </c>
      <c r="KE8" t="s">
        <v>1982</v>
      </c>
      <c r="KF8" s="6">
        <v>45965</v>
      </c>
      <c r="KG8">
        <v>5</v>
      </c>
      <c r="KH8">
        <v>-2.4245362661989844E-14</v>
      </c>
      <c r="KI8">
        <v>100532</v>
      </c>
      <c r="KJ8" t="s">
        <v>1990</v>
      </c>
      <c r="OA8" t="s">
        <v>428</v>
      </c>
      <c r="OB8" t="s">
        <v>1598</v>
      </c>
      <c r="OC8">
        <v>17</v>
      </c>
      <c r="OD8">
        <v>3.5607669999999998</v>
      </c>
      <c r="OE8" t="s">
        <v>1594</v>
      </c>
      <c r="OF8">
        <v>2025</v>
      </c>
      <c r="OG8" t="s">
        <v>2379</v>
      </c>
      <c r="OH8" s="6">
        <v>46077</v>
      </c>
      <c r="OI8">
        <v>5</v>
      </c>
      <c r="OJ8">
        <v>452395488</v>
      </c>
      <c r="OK8">
        <v>210870</v>
      </c>
      <c r="OL8" t="s">
        <v>2380</v>
      </c>
      <c r="OO8" t="s">
        <v>2589</v>
      </c>
      <c r="OP8">
        <v>1.3672E-2</v>
      </c>
      <c r="OQ8" t="s">
        <v>1598</v>
      </c>
      <c r="OR8">
        <v>7.3932999999999999E-2</v>
      </c>
      <c r="OS8" t="s">
        <v>1664</v>
      </c>
      <c r="OT8">
        <v>2026</v>
      </c>
      <c r="OU8" t="s">
        <v>2590</v>
      </c>
      <c r="OV8" s="6">
        <v>46063</v>
      </c>
      <c r="OW8">
        <v>5</v>
      </c>
      <c r="OX8">
        <v>4181589</v>
      </c>
      <c r="OY8">
        <v>100142</v>
      </c>
      <c r="OZ8" t="s">
        <v>2591</v>
      </c>
      <c r="PE8" t="s">
        <v>3291</v>
      </c>
      <c r="PG8">
        <v>-2.4245362661989844E-14</v>
      </c>
      <c r="PH8">
        <v>-2.4245362661989844E-14</v>
      </c>
      <c r="PI8" t="s">
        <v>1594</v>
      </c>
      <c r="PJ8">
        <v>2024</v>
      </c>
      <c r="PK8" t="s">
        <v>3292</v>
      </c>
      <c r="PL8" s="6">
        <v>45751</v>
      </c>
      <c r="PM8">
        <v>5</v>
      </c>
      <c r="PN8">
        <v>-2.4245362661989844E-14</v>
      </c>
      <c r="PO8">
        <v>102075</v>
      </c>
      <c r="PP8" t="s">
        <v>3293</v>
      </c>
      <c r="RM8" t="s">
        <v>2376</v>
      </c>
      <c r="RN8" t="s">
        <v>1598</v>
      </c>
      <c r="RO8">
        <v>0.36901099999999998</v>
      </c>
      <c r="RP8">
        <v>2.1074079999999999</v>
      </c>
      <c r="RQ8" t="s">
        <v>1664</v>
      </c>
      <c r="RR8">
        <v>2025</v>
      </c>
      <c r="RS8" t="s">
        <v>2377</v>
      </c>
      <c r="RT8" s="6">
        <v>45952</v>
      </c>
      <c r="RU8">
        <v>5</v>
      </c>
      <c r="RV8">
        <v>196578595.78</v>
      </c>
      <c r="RW8">
        <v>117929</v>
      </c>
      <c r="RX8" t="s">
        <v>2378</v>
      </c>
      <c r="SA8" t="s">
        <v>3653</v>
      </c>
      <c r="SB8">
        <v>6.9003030000000001</v>
      </c>
      <c r="SC8" t="s">
        <v>1598</v>
      </c>
      <c r="SD8">
        <v>13.993990999999999</v>
      </c>
      <c r="SE8" t="s">
        <v>1594</v>
      </c>
      <c r="SF8">
        <v>2024</v>
      </c>
      <c r="SG8" t="s">
        <v>3677</v>
      </c>
      <c r="SH8" s="6">
        <v>45786</v>
      </c>
      <c r="SI8">
        <v>5</v>
      </c>
      <c r="SJ8">
        <v>924964005.08000004</v>
      </c>
      <c r="SK8">
        <v>9568853</v>
      </c>
      <c r="SL8" t="s">
        <v>3654</v>
      </c>
    </row>
    <row r="9" spans="1:600" x14ac:dyDescent="0.25">
      <c r="A9" t="s">
        <v>2370</v>
      </c>
      <c r="B9" t="s">
        <v>1685</v>
      </c>
      <c r="C9">
        <v>2.8060939999999999</v>
      </c>
      <c r="D9">
        <v>0.76549599999999995</v>
      </c>
      <c r="E9" t="s">
        <v>1594</v>
      </c>
      <c r="F9">
        <v>2025</v>
      </c>
      <c r="G9" t="s">
        <v>2371</v>
      </c>
      <c r="H9" s="6">
        <v>46048</v>
      </c>
      <c r="I9">
        <v>5</v>
      </c>
      <c r="J9">
        <v>21232000</v>
      </c>
      <c r="K9">
        <v>216867</v>
      </c>
      <c r="L9" t="s">
        <v>2372</v>
      </c>
      <c r="O9" t="s">
        <v>1862</v>
      </c>
      <c r="P9">
        <v>0.28446199999999999</v>
      </c>
      <c r="Q9" t="s">
        <v>1598</v>
      </c>
      <c r="R9">
        <v>0.82704999999999995</v>
      </c>
      <c r="S9" t="s">
        <v>1599</v>
      </c>
      <c r="T9">
        <v>2025</v>
      </c>
      <c r="U9" t="s">
        <v>1859</v>
      </c>
      <c r="V9" s="6">
        <v>46041</v>
      </c>
      <c r="W9">
        <v>5</v>
      </c>
      <c r="X9">
        <v>50067588</v>
      </c>
      <c r="Y9">
        <v>169936</v>
      </c>
      <c r="Z9" t="s">
        <v>1863</v>
      </c>
      <c r="AE9" t="s">
        <v>1084</v>
      </c>
      <c r="AF9" t="s">
        <v>1685</v>
      </c>
      <c r="AG9">
        <v>5.9742000000000003E-2</v>
      </c>
      <c r="AH9">
        <v>0.18884000000000001</v>
      </c>
      <c r="AI9" t="s">
        <v>1664</v>
      </c>
      <c r="AJ9">
        <v>2025</v>
      </c>
      <c r="AK9" t="s">
        <v>2052</v>
      </c>
      <c r="AL9" s="6">
        <v>45838</v>
      </c>
      <c r="AM9">
        <v>5</v>
      </c>
      <c r="AN9">
        <v>3508648</v>
      </c>
      <c r="AO9">
        <v>101689</v>
      </c>
      <c r="AP9" t="s">
        <v>2053</v>
      </c>
      <c r="AS9" t="s">
        <v>1709</v>
      </c>
      <c r="AT9">
        <v>5.1640000000000002E-3</v>
      </c>
      <c r="AU9" t="s">
        <v>1598</v>
      </c>
      <c r="AV9">
        <v>5.0558560000000003</v>
      </c>
      <c r="AW9" t="s">
        <v>1594</v>
      </c>
      <c r="AX9">
        <v>2024</v>
      </c>
      <c r="AY9" t="s">
        <v>1710</v>
      </c>
      <c r="AZ9" s="6">
        <v>45814</v>
      </c>
      <c r="BA9">
        <v>5</v>
      </c>
      <c r="BB9">
        <v>310853.61</v>
      </c>
      <c r="BC9">
        <v>36034450</v>
      </c>
      <c r="BD9" t="s">
        <v>1711</v>
      </c>
      <c r="BI9" t="s">
        <v>3906</v>
      </c>
      <c r="BJ9" t="s">
        <v>1685</v>
      </c>
      <c r="BK9">
        <v>2.7852589999999999</v>
      </c>
      <c r="BL9">
        <v>9.2419000000000001E-2</v>
      </c>
      <c r="BM9" t="s">
        <v>1594</v>
      </c>
      <c r="BN9">
        <v>2024</v>
      </c>
      <c r="BO9" t="s">
        <v>3907</v>
      </c>
      <c r="BP9" s="6">
        <v>45702</v>
      </c>
      <c r="BQ9">
        <v>5</v>
      </c>
      <c r="BR9">
        <v>3971250</v>
      </c>
      <c r="BS9">
        <v>225922</v>
      </c>
      <c r="BT9" t="s">
        <v>3908</v>
      </c>
      <c r="CM9" t="s">
        <v>4702</v>
      </c>
      <c r="CO9">
        <v>-2.4245362661989844E-14</v>
      </c>
      <c r="CP9">
        <v>-2.4245362661989844E-14</v>
      </c>
      <c r="CQ9" t="s">
        <v>1599</v>
      </c>
      <c r="CR9">
        <v>2023</v>
      </c>
      <c r="CS9" t="s">
        <v>4703</v>
      </c>
      <c r="CT9" s="6">
        <v>45223</v>
      </c>
      <c r="CU9">
        <v>5</v>
      </c>
      <c r="CV9">
        <v>-2.4245362661989844E-14</v>
      </c>
      <c r="CW9">
        <v>922300</v>
      </c>
      <c r="CX9" t="s">
        <v>4704</v>
      </c>
      <c r="DA9" t="s">
        <v>5476</v>
      </c>
      <c r="DB9">
        <v>-2.4245362661989844E-14</v>
      </c>
      <c r="DD9">
        <v>-2.4245362661989844E-14</v>
      </c>
      <c r="DE9" t="s">
        <v>1594</v>
      </c>
      <c r="DF9">
        <v>2023</v>
      </c>
      <c r="DG9" t="s">
        <v>4695</v>
      </c>
      <c r="DH9" s="6">
        <v>45187</v>
      </c>
      <c r="DI9">
        <v>5</v>
      </c>
      <c r="DJ9">
        <v>-2.4245362661989844E-14</v>
      </c>
      <c r="DK9">
        <v>340388</v>
      </c>
      <c r="DL9" t="s">
        <v>5477</v>
      </c>
      <c r="EU9" t="s">
        <v>5341</v>
      </c>
      <c r="EW9">
        <v>-2.4245362661989844E-14</v>
      </c>
      <c r="EX9">
        <v>-2.4245362661989844E-14</v>
      </c>
      <c r="EY9" t="s">
        <v>1599</v>
      </c>
      <c r="EZ9">
        <v>2024</v>
      </c>
      <c r="FA9" t="s">
        <v>5342</v>
      </c>
      <c r="FB9" s="6">
        <v>45498</v>
      </c>
      <c r="FC9">
        <v>5</v>
      </c>
      <c r="FD9">
        <v>-2.4245362661989844E-14</v>
      </c>
      <c r="FE9">
        <v>100729</v>
      </c>
      <c r="FF9" t="s">
        <v>5343</v>
      </c>
      <c r="FY9" t="s">
        <v>2194</v>
      </c>
      <c r="FZ9" t="s">
        <v>1598</v>
      </c>
      <c r="GA9">
        <v>2.3585999999999999E-2</v>
      </c>
      <c r="GB9">
        <v>2.5048999999999998E-2</v>
      </c>
      <c r="GC9" t="s">
        <v>1599</v>
      </c>
      <c r="GD9">
        <v>2025</v>
      </c>
      <c r="GE9" t="s">
        <v>2195</v>
      </c>
      <c r="GF9" s="6">
        <v>46022</v>
      </c>
      <c r="GG9">
        <v>5</v>
      </c>
      <c r="GH9">
        <v>262831</v>
      </c>
      <c r="GI9">
        <v>17300196</v>
      </c>
      <c r="GJ9" t="s">
        <v>2196</v>
      </c>
      <c r="GM9" t="s">
        <v>2739</v>
      </c>
      <c r="GN9">
        <v>-2.4245362661989844E-14</v>
      </c>
      <c r="GP9">
        <v>-2.4245362661989844E-14</v>
      </c>
      <c r="GQ9" t="s">
        <v>1594</v>
      </c>
      <c r="GR9">
        <v>2021</v>
      </c>
      <c r="GS9" t="s">
        <v>2783</v>
      </c>
      <c r="GT9" s="6">
        <v>44693</v>
      </c>
      <c r="GU9">
        <v>5</v>
      </c>
      <c r="GV9">
        <v>-2.4245362661989844E-14</v>
      </c>
      <c r="GW9">
        <v>15564314</v>
      </c>
      <c r="GX9" t="s">
        <v>2740</v>
      </c>
      <c r="JK9" t="s">
        <v>2298</v>
      </c>
      <c r="JL9" t="s">
        <v>1598</v>
      </c>
      <c r="JM9">
        <v>0.181587</v>
      </c>
      <c r="JN9">
        <v>4.4729999999999999E-2</v>
      </c>
      <c r="JO9" t="s">
        <v>1599</v>
      </c>
      <c r="JP9">
        <v>2025</v>
      </c>
      <c r="JQ9" t="s">
        <v>2299</v>
      </c>
      <c r="JR9" s="6">
        <v>45993</v>
      </c>
      <c r="JS9">
        <v>5</v>
      </c>
      <c r="JT9">
        <v>6513526</v>
      </c>
      <c r="JU9">
        <v>100415</v>
      </c>
      <c r="JV9" t="s">
        <v>2300</v>
      </c>
      <c r="JY9" t="s">
        <v>1991</v>
      </c>
      <c r="JZ9">
        <v>-2.4245362661989844E-14</v>
      </c>
      <c r="KB9">
        <v>-2.4245362661989844E-14</v>
      </c>
      <c r="KC9" t="s">
        <v>1594</v>
      </c>
      <c r="KD9">
        <v>2025</v>
      </c>
      <c r="KE9" t="s">
        <v>1992</v>
      </c>
      <c r="KF9" s="6">
        <v>45975</v>
      </c>
      <c r="KG9">
        <v>5</v>
      </c>
      <c r="KH9">
        <v>-2.4245362661989844E-14</v>
      </c>
      <c r="KI9">
        <v>100875</v>
      </c>
      <c r="KJ9" t="s">
        <v>1993</v>
      </c>
      <c r="OA9" t="s">
        <v>3184</v>
      </c>
      <c r="OB9" t="s">
        <v>1634</v>
      </c>
      <c r="OC9">
        <v>24.9</v>
      </c>
      <c r="OD9">
        <v>7.4053610000000001</v>
      </c>
      <c r="OE9" t="s">
        <v>1599</v>
      </c>
      <c r="OF9">
        <v>2026</v>
      </c>
      <c r="OG9" t="s">
        <v>3185</v>
      </c>
      <c r="OH9" s="6">
        <v>45981</v>
      </c>
      <c r="OI9">
        <v>5</v>
      </c>
      <c r="OJ9">
        <v>361900000</v>
      </c>
      <c r="OK9">
        <v>100487</v>
      </c>
      <c r="OL9" t="s">
        <v>3186</v>
      </c>
      <c r="OO9" t="s">
        <v>2592</v>
      </c>
      <c r="OP9">
        <v>7.0479999999999996E-3</v>
      </c>
      <c r="OQ9" t="s">
        <v>1598</v>
      </c>
      <c r="OR9">
        <v>0.37631900000000001</v>
      </c>
      <c r="OS9" t="s">
        <v>1606</v>
      </c>
      <c r="OT9">
        <v>2024</v>
      </c>
      <c r="OU9" t="s">
        <v>2593</v>
      </c>
      <c r="OV9" s="6">
        <v>45742</v>
      </c>
      <c r="OW9">
        <v>5</v>
      </c>
      <c r="OX9">
        <v>2163480.08</v>
      </c>
      <c r="OY9">
        <v>153672</v>
      </c>
      <c r="OZ9" t="s">
        <v>2594</v>
      </c>
      <c r="PE9" t="s">
        <v>3294</v>
      </c>
      <c r="PG9">
        <v>-2.4245362661989844E-14</v>
      </c>
      <c r="PH9">
        <v>-2.4245362661989844E-14</v>
      </c>
      <c r="PI9" t="s">
        <v>1594</v>
      </c>
      <c r="PJ9">
        <v>2022</v>
      </c>
      <c r="PK9" t="s">
        <v>3295</v>
      </c>
      <c r="PL9" s="6">
        <v>44656</v>
      </c>
      <c r="PM9">
        <v>5</v>
      </c>
      <c r="PN9">
        <v>-2.4245362661989844E-14</v>
      </c>
      <c r="PO9">
        <v>8889775</v>
      </c>
      <c r="PP9" t="s">
        <v>3296</v>
      </c>
      <c r="RM9" t="s">
        <v>812</v>
      </c>
      <c r="RN9" t="s">
        <v>1634</v>
      </c>
      <c r="RO9">
        <v>2.5439250000000002</v>
      </c>
      <c r="RP9">
        <v>5.2326030000000001</v>
      </c>
      <c r="RQ9" t="s">
        <v>1599</v>
      </c>
      <c r="RR9">
        <v>2025</v>
      </c>
      <c r="RS9" t="s">
        <v>3858</v>
      </c>
      <c r="RT9" s="6">
        <v>45931</v>
      </c>
      <c r="RU9">
        <v>5</v>
      </c>
      <c r="RV9">
        <v>185757408</v>
      </c>
      <c r="RW9">
        <v>102032</v>
      </c>
      <c r="RX9" t="s">
        <v>3859</v>
      </c>
      <c r="SA9" t="s">
        <v>3678</v>
      </c>
      <c r="SB9">
        <v>3.0830000000000002</v>
      </c>
      <c r="SC9" t="s">
        <v>1598</v>
      </c>
      <c r="SD9">
        <v>9.6257199999999994</v>
      </c>
      <c r="SE9" t="s">
        <v>1664</v>
      </c>
      <c r="SF9">
        <v>2025</v>
      </c>
      <c r="SG9" t="s">
        <v>3679</v>
      </c>
      <c r="SH9" s="6">
        <v>45958</v>
      </c>
      <c r="SI9">
        <v>5</v>
      </c>
      <c r="SJ9">
        <v>416758099.12</v>
      </c>
      <c r="SK9">
        <v>1456094</v>
      </c>
      <c r="SL9" t="s">
        <v>3680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565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566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567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568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569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570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571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572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573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574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575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576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577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578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579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580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581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582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583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584</v>
      </c>
      <c r="AE2" s="3" t="s">
        <v>585</v>
      </c>
      <c r="BI2" s="3" t="s">
        <v>368</v>
      </c>
      <c r="CM2" s="3" t="s">
        <v>29</v>
      </c>
      <c r="DQ2" s="3" t="s">
        <v>586</v>
      </c>
      <c r="EU2" s="3" t="s">
        <v>587</v>
      </c>
      <c r="FY2" s="3" t="s">
        <v>172</v>
      </c>
      <c r="HC2" s="3" t="s">
        <v>588</v>
      </c>
      <c r="IG2" s="3" t="s">
        <v>84</v>
      </c>
      <c r="JK2" s="3" t="s">
        <v>210</v>
      </c>
      <c r="KO2" s="3" t="s">
        <v>304</v>
      </c>
      <c r="LS2" s="3" t="s">
        <v>589</v>
      </c>
      <c r="MW2" s="3" t="s">
        <v>23</v>
      </c>
      <c r="OA2" s="3" t="s">
        <v>590</v>
      </c>
      <c r="PE2" s="3" t="s">
        <v>591</v>
      </c>
      <c r="QI2" s="3" t="s">
        <v>592</v>
      </c>
      <c r="RM2" s="3" t="s">
        <v>271</v>
      </c>
      <c r="SQ2" s="3" t="s">
        <v>593</v>
      </c>
      <c r="TU2" s="3" t="s">
        <v>594</v>
      </c>
      <c r="UY2" s="3" t="s">
        <v>503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_xll.BDS("CNCEQ US Equity","SUPPLY_CHAIN_SUPPLIERS_ALL_DATA")</f>
        <v>#N/A N/A</v>
      </c>
      <c r="O5" t="str">
        <f>_xll.BDS("CNCEQ US Equity","SUPPLY_CHAIN_CUSTOMERS_ALL_DATA")</f>
        <v>#N/A N/A</v>
      </c>
      <c r="AE5" t="str">
        <f>_xll.BDS("2860436Q US Equity","SUPPLY_CHAIN_SUPPLIERS_ALL_DATA")</f>
        <v>#N/A N/A</v>
      </c>
      <c r="AS5" t="str">
        <f>_xll.BDS("2860436Q US Equity","SUPPLY_CHAIN_CUSTOMERS_ALL_DATA")</f>
        <v>#N/A N/A</v>
      </c>
      <c r="BI5" t="str">
        <f>_xll.BDS("CAG US Equity","SUPPLY_CHAIN_SUPPLIERS_ALL_DATA","cols=12;rows=5")</f>
        <v>AMCR US Equity</v>
      </c>
      <c r="BJ5" t="s">
        <v>1598</v>
      </c>
      <c r="BK5">
        <v>0.77134499999999995</v>
      </c>
      <c r="BL5">
        <v>1.952799</v>
      </c>
      <c r="BM5" t="s">
        <v>1664</v>
      </c>
      <c r="BN5">
        <v>2026</v>
      </c>
      <c r="BO5" t="s">
        <v>2336</v>
      </c>
      <c r="BP5" s="6">
        <v>46071</v>
      </c>
      <c r="BQ5">
        <v>5</v>
      </c>
      <c r="BR5">
        <v>42030588</v>
      </c>
      <c r="BS5">
        <v>61417091</v>
      </c>
      <c r="BT5" t="s">
        <v>2337</v>
      </c>
      <c r="BW5" t="str">
        <f>_xll.BDS("CAG US Equity","SUPPLY_CHAIN_CUSTOMERS_ALL_DATA","cols=12;rows=5")</f>
        <v>WMT US Equity</v>
      </c>
      <c r="BX5">
        <v>29</v>
      </c>
      <c r="BY5" t="s">
        <v>1598</v>
      </c>
      <c r="BZ5">
        <v>0.65440100000000001</v>
      </c>
      <c r="CA5" t="s">
        <v>1594</v>
      </c>
      <c r="CB5">
        <v>2025</v>
      </c>
      <c r="CC5" t="s">
        <v>2709</v>
      </c>
      <c r="CD5" s="6">
        <v>45848</v>
      </c>
      <c r="CE5">
        <v>5</v>
      </c>
      <c r="CF5">
        <v>841928000</v>
      </c>
      <c r="CG5">
        <v>101616</v>
      </c>
      <c r="CH5" t="s">
        <v>1666</v>
      </c>
      <c r="CM5" t="str">
        <f>_xll.BDS("VZ US Equity","SUPPLY_CHAIN_SUPPLIERS_ALL_DATA","cols=12;rows=5")</f>
        <v>AAPL US Equity</v>
      </c>
      <c r="CN5" t="s">
        <v>1598</v>
      </c>
      <c r="CO5">
        <v>2.0425080000000002</v>
      </c>
      <c r="CP5">
        <v>14.027474</v>
      </c>
      <c r="CQ5" t="s">
        <v>1664</v>
      </c>
      <c r="CR5">
        <v>2025</v>
      </c>
      <c r="CS5" t="s">
        <v>2375</v>
      </c>
      <c r="CT5" s="6">
        <v>45862</v>
      </c>
      <c r="CU5">
        <v>5</v>
      </c>
      <c r="CV5">
        <v>1947714816</v>
      </c>
      <c r="CW5">
        <v>101695</v>
      </c>
      <c r="CX5" t="s">
        <v>1919</v>
      </c>
      <c r="DA5" t="str">
        <f>_xll.BDS("VZ US Equity","SUPPLY_CHAIN_CUSTOMERS_ALL_DATA","cols=12;rows=5")</f>
        <v>SNX US Equity</v>
      </c>
      <c r="DB5">
        <v>0.47808400000000001</v>
      </c>
      <c r="DC5" t="s">
        <v>1598</v>
      </c>
      <c r="DD5">
        <v>1.074689</v>
      </c>
      <c r="DE5" t="s">
        <v>1606</v>
      </c>
      <c r="DF5">
        <v>2025</v>
      </c>
      <c r="DG5" t="s">
        <v>1701</v>
      </c>
      <c r="DH5" s="6">
        <v>46056</v>
      </c>
      <c r="DI5">
        <v>5</v>
      </c>
      <c r="DJ5">
        <v>173931856</v>
      </c>
      <c r="DK5">
        <v>1499717</v>
      </c>
      <c r="DL5" t="s">
        <v>1702</v>
      </c>
      <c r="DQ5" t="str">
        <f>_xll.BDS("TXN US Equity","SUPPLY_CHAIN_SUPPLIERS_ALL_DATA","cols=12;rows=5")</f>
        <v>2330 TT Equity</v>
      </c>
      <c r="DR5" t="s">
        <v>1598</v>
      </c>
      <c r="DS5">
        <v>0.48809900000000001</v>
      </c>
      <c r="DT5">
        <v>7.736631</v>
      </c>
      <c r="DU5" t="s">
        <v>1606</v>
      </c>
      <c r="DV5">
        <v>2024</v>
      </c>
      <c r="DW5" t="s">
        <v>3144</v>
      </c>
      <c r="DX5" s="6">
        <v>45741</v>
      </c>
      <c r="DY5">
        <v>5</v>
      </c>
      <c r="DZ5">
        <v>131034563.84999999</v>
      </c>
      <c r="EA5">
        <v>153737</v>
      </c>
      <c r="EB5" t="s">
        <v>2584</v>
      </c>
      <c r="EE5" t="str">
        <f>_xll.BDS("TXN US Equity","SUPPLY_CHAIN_CUSTOMERS_ALL_DATA","cols=12;rows=5")</f>
        <v>VOW GR Equity</v>
      </c>
      <c r="EF5">
        <v>6.0573319999999997</v>
      </c>
      <c r="EG5" t="s">
        <v>1598</v>
      </c>
      <c r="EH5">
        <v>0.37687500000000002</v>
      </c>
      <c r="EI5" t="s">
        <v>1599</v>
      </c>
      <c r="EJ5">
        <v>2025</v>
      </c>
      <c r="EK5" t="s">
        <v>5486</v>
      </c>
      <c r="EL5" s="6">
        <v>45954</v>
      </c>
      <c r="EM5">
        <v>5</v>
      </c>
      <c r="EN5">
        <v>287238688</v>
      </c>
      <c r="EO5">
        <v>115757</v>
      </c>
      <c r="EP5" t="s">
        <v>5358</v>
      </c>
      <c r="EU5" t="str">
        <f>_xll.BDS("HR US Equity","SUPPLY_CHAIN_SUPPLIERS_ALL_DATA")</f>
        <v>#N/A N/A</v>
      </c>
      <c r="FI5" t="str">
        <f>_xll.BDS("HR US Equity","SUPPLY_CHAIN_CUSTOMERS_ALL_DATA","cols=12;rows=5")</f>
        <v>HCA US Equity</v>
      </c>
      <c r="FJ5">
        <v>3.908274</v>
      </c>
      <c r="FK5" t="s">
        <v>1685</v>
      </c>
      <c r="FL5">
        <v>8.2538E-2</v>
      </c>
      <c r="FM5" t="s">
        <v>1594</v>
      </c>
      <c r="FN5">
        <v>2024</v>
      </c>
      <c r="FO5" t="s">
        <v>5829</v>
      </c>
      <c r="FP5" s="6">
        <v>45707</v>
      </c>
      <c r="FQ5">
        <v>5</v>
      </c>
      <c r="FR5">
        <v>12392316</v>
      </c>
      <c r="FS5">
        <v>21445200</v>
      </c>
      <c r="FT5" t="s">
        <v>5830</v>
      </c>
      <c r="FY5" t="str">
        <f>_xll.BDS("DUK US Equity","SUPPLY_CHAIN_SUPPLIERS_ALL_DATA","cols=12;rows=5")</f>
        <v>PWR US Equity</v>
      </c>
      <c r="FZ5" t="s">
        <v>1634</v>
      </c>
      <c r="GA5">
        <v>3.994469</v>
      </c>
      <c r="GB5">
        <v>8.8280980000000007</v>
      </c>
      <c r="GC5" t="s">
        <v>1599</v>
      </c>
      <c r="GD5">
        <v>2025</v>
      </c>
      <c r="GE5" t="s">
        <v>2321</v>
      </c>
      <c r="GF5" s="6">
        <v>45975</v>
      </c>
      <c r="GG5">
        <v>5</v>
      </c>
      <c r="GH5">
        <v>304834240</v>
      </c>
      <c r="GI5">
        <v>305366</v>
      </c>
      <c r="GJ5" t="s">
        <v>2322</v>
      </c>
      <c r="GM5" t="str">
        <f>_xll.BDS("DUK US Equity","SUPPLY_CHAIN_CUSTOMERS_ALL_DATA","cols=12;rows=5")</f>
        <v>000150 KS Equity</v>
      </c>
      <c r="GN5">
        <v>-2.4245362661989844E-14</v>
      </c>
      <c r="GP5">
        <v>-2.4245362661989844E-14</v>
      </c>
      <c r="GQ5" t="s">
        <v>1594</v>
      </c>
      <c r="GR5">
        <v>2021</v>
      </c>
      <c r="GS5" t="s">
        <v>4240</v>
      </c>
      <c r="GT5" s="6">
        <v>44693</v>
      </c>
      <c r="GU5">
        <v>5</v>
      </c>
      <c r="GV5">
        <v>-2.4245362661989844E-14</v>
      </c>
      <c r="GW5">
        <v>117832</v>
      </c>
      <c r="GX5" t="s">
        <v>2732</v>
      </c>
      <c r="HC5" t="str">
        <f>_xll.BDS("LYO US Equity","SUPPLY_CHAIN_SUPPLIERS_ALL_DATA")</f>
        <v>#N/A N/A</v>
      </c>
      <c r="HQ5" t="str">
        <f>_xll.BDS("LYO US Equity","SUPPLY_CHAIN_CUSTOMERS_ALL_DATA")</f>
        <v>#N/A N/A</v>
      </c>
      <c r="IG5" t="str">
        <f>_xll.BDS("0848680D US Equity","SUPPLY_CHAIN_SUPPLIERS_ALL_DATA")</f>
        <v>#N/A N/A</v>
      </c>
      <c r="IU5" t="str">
        <f>_xll.BDS("0848680D US Equity","SUPPLY_CHAIN_CUSTOMERS_ALL_DATA")</f>
        <v>#N/A N/A</v>
      </c>
      <c r="JK5" t="str">
        <f>_xll.BDS("APC US Equity","SUPPLY_CHAIN_SUPPLIERS_ALL_DATA")</f>
        <v>#N/A N/A</v>
      </c>
      <c r="JY5" t="str">
        <f>_xll.BDS("APC US Equity","SUPPLY_CHAIN_CUSTOMERS_ALL_DATA")</f>
        <v>#N/A N/A</v>
      </c>
      <c r="KO5" t="str">
        <f>_xll.BDS("CNC US Equity","SUPPLY_CHAIN_SUPPLIERS_ALL_DATA","cols=12;rows=5")</f>
        <v>CI US Equity</v>
      </c>
      <c r="KP5" t="s">
        <v>1598</v>
      </c>
      <c r="KQ5">
        <v>0.82464999999999999</v>
      </c>
      <c r="KR5">
        <v>1.4172499999999999</v>
      </c>
      <c r="KS5" t="s">
        <v>1606</v>
      </c>
      <c r="KT5">
        <v>2025</v>
      </c>
      <c r="KU5" t="s">
        <v>2450</v>
      </c>
      <c r="KV5" s="6">
        <v>46070</v>
      </c>
      <c r="KW5">
        <v>5</v>
      </c>
      <c r="KX5">
        <v>597640128</v>
      </c>
      <c r="KY5">
        <v>60401289</v>
      </c>
      <c r="KZ5" t="s">
        <v>1769</v>
      </c>
      <c r="LC5" t="str">
        <f>_xll.BDS("CNC US Equity","SUPPLY_CHAIN_CUSTOMERS_ALL_DATA","cols=12;rows=5")</f>
        <v>STONY1 US Equity</v>
      </c>
      <c r="LD5">
        <v>7.37</v>
      </c>
      <c r="LF5">
        <v>-2.4245362661989844E-14</v>
      </c>
      <c r="LG5" t="s">
        <v>1603</v>
      </c>
      <c r="LH5">
        <v>2025</v>
      </c>
      <c r="LI5" t="s">
        <v>2450</v>
      </c>
      <c r="LJ5" s="6">
        <v>45839</v>
      </c>
      <c r="LK5">
        <v>5</v>
      </c>
      <c r="LL5">
        <v>3435894016</v>
      </c>
      <c r="LM5">
        <v>171854</v>
      </c>
      <c r="LN5" t="s">
        <v>2451</v>
      </c>
      <c r="LS5" t="str">
        <f>_xll.BDS("EOP US Equity","SUPPLY_CHAIN_SUPPLIERS_ALL_DATA")</f>
        <v>#N/A N/A</v>
      </c>
      <c r="MG5" t="str">
        <f>_xll.BDS("EOP US Equity","SUPPLY_CHAIN_CUSTOMERS_ALL_DATA")</f>
        <v>#N/A N/A</v>
      </c>
      <c r="MW5" t="str">
        <f>_xll.BDS("BMY US Equity","SUPPLY_CHAIN_SUPPLIERS_ALL_DATA","cols=12;rows=5")</f>
        <v>PFE US Equity</v>
      </c>
      <c r="MX5" t="s">
        <v>1598</v>
      </c>
      <c r="MY5">
        <v>11.153900999999999</v>
      </c>
      <c r="MZ5">
        <v>50.086109</v>
      </c>
      <c r="NA5" t="s">
        <v>1594</v>
      </c>
      <c r="NB5">
        <v>2025</v>
      </c>
      <c r="NC5" t="s">
        <v>1765</v>
      </c>
      <c r="ND5" s="6">
        <v>46064</v>
      </c>
      <c r="NE5">
        <v>5</v>
      </c>
      <c r="NF5">
        <v>1745000000</v>
      </c>
      <c r="NG5">
        <v>101166</v>
      </c>
      <c r="NH5" t="s">
        <v>2119</v>
      </c>
      <c r="NK5" t="str">
        <f>_xll.BDS("BMY US Equity","SUPPLY_CHAIN_CUSTOMERS_ALL_DATA","cols=12;rows=5")</f>
        <v>MCK US Equity</v>
      </c>
      <c r="NL5">
        <v>36</v>
      </c>
      <c r="NM5" t="s">
        <v>1598</v>
      </c>
      <c r="NN5">
        <v>4.5203889999999998</v>
      </c>
      <c r="NO5" t="s">
        <v>1594</v>
      </c>
      <c r="NP5">
        <v>2025</v>
      </c>
      <c r="NQ5" t="s">
        <v>1765</v>
      </c>
      <c r="NR5" s="6">
        <v>46064</v>
      </c>
      <c r="NS5">
        <v>5</v>
      </c>
      <c r="NT5">
        <v>4337460224</v>
      </c>
      <c r="NU5">
        <v>154936</v>
      </c>
      <c r="NV5" t="s">
        <v>1766</v>
      </c>
      <c r="OA5" t="str">
        <f>_xll.BDS("SPG US Equity","SUPPLY_CHAIN_SUPPLIERS_ALL_DATA","cols=12;rows=4")</f>
        <v>420 HK Equity</v>
      </c>
      <c r="OC5">
        <v>-2.4245362661989844E-14</v>
      </c>
      <c r="OD5">
        <v>-2.4245362661989844E-14</v>
      </c>
      <c r="OE5" t="s">
        <v>1792</v>
      </c>
      <c r="OF5">
        <v>2022</v>
      </c>
      <c r="OG5" t="s">
        <v>4820</v>
      </c>
      <c r="OH5" s="6">
        <v>44804</v>
      </c>
      <c r="OI5">
        <v>4</v>
      </c>
      <c r="OJ5">
        <v>-2.4245362661989844E-14</v>
      </c>
      <c r="OK5">
        <v>116354</v>
      </c>
      <c r="OL5" t="s">
        <v>4821</v>
      </c>
      <c r="OO5" t="str">
        <f>_xll.BDS("SPG US Equity","SUPPLY_CHAIN_CUSTOMERS_ALL_DATA","cols=12;rows=5")</f>
        <v>GAP US Equity</v>
      </c>
      <c r="OP5">
        <v>2.5917919999999999</v>
      </c>
      <c r="OQ5" t="s">
        <v>1685</v>
      </c>
      <c r="OR5">
        <v>2.9610970000000001</v>
      </c>
      <c r="OS5" t="s">
        <v>1594</v>
      </c>
      <c r="OT5">
        <v>2024</v>
      </c>
      <c r="OU5" t="s">
        <v>4722</v>
      </c>
      <c r="OV5" s="6">
        <v>45693</v>
      </c>
      <c r="OW5">
        <v>5</v>
      </c>
      <c r="OX5">
        <v>38642317</v>
      </c>
      <c r="OY5">
        <v>100625</v>
      </c>
      <c r="OZ5" t="s">
        <v>4723</v>
      </c>
      <c r="PE5" t="str">
        <f>_xll.BDS("2471693D US Equity","SUPPLY_CHAIN_SUPPLIERS_ALL_DATA")</f>
        <v>#N/A N/A</v>
      </c>
      <c r="PS5" t="str">
        <f>_xll.BDS("2471693D US Equity","SUPPLY_CHAIN_CUSTOMERS_ALL_DATA")</f>
        <v>#N/A N/A</v>
      </c>
      <c r="QI5" t="str">
        <f>_xll.BDS("ENTG US Equity","SUPPLY_CHAIN_SUPPLIERS_ALL_DATA","cols=12;rows=5")</f>
        <v>CBT US Equity</v>
      </c>
      <c r="QJ5" t="s">
        <v>1598</v>
      </c>
      <c r="QK5">
        <v>0.35865000000000002</v>
      </c>
      <c r="QL5">
        <v>0.74043300000000001</v>
      </c>
      <c r="QM5" t="s">
        <v>1603</v>
      </c>
      <c r="QN5">
        <v>2025</v>
      </c>
      <c r="QO5" t="s">
        <v>6244</v>
      </c>
      <c r="QP5" s="6">
        <v>45777</v>
      </c>
      <c r="QQ5">
        <v>5</v>
      </c>
      <c r="QR5">
        <v>3425108</v>
      </c>
      <c r="QS5">
        <v>100252</v>
      </c>
      <c r="QT5" t="s">
        <v>6245</v>
      </c>
      <c r="QW5" t="str">
        <f>_xll.BDS("ENTG US Equity","SUPPLY_CHAIN_CUSTOMERS_ALL_DATA","cols=12;rows=5")</f>
        <v>2330 TT Equity</v>
      </c>
      <c r="QX5">
        <v>16</v>
      </c>
      <c r="QY5" t="s">
        <v>1598</v>
      </c>
      <c r="QZ5">
        <v>1.0404880000000001</v>
      </c>
      <c r="RA5" t="s">
        <v>1594</v>
      </c>
      <c r="RB5">
        <v>2025</v>
      </c>
      <c r="RC5" t="s">
        <v>6278</v>
      </c>
      <c r="RD5" s="6">
        <v>46064</v>
      </c>
      <c r="RE5">
        <v>5</v>
      </c>
      <c r="RF5">
        <v>127864000</v>
      </c>
      <c r="RG5">
        <v>153737</v>
      </c>
      <c r="RH5" t="s">
        <v>2584</v>
      </c>
      <c r="RM5" t="str">
        <f>_xll.BDS("ELV US Equity","SUPPLY_CHAIN_SUPPLIERS_ALL_DATA","cols=12;rows=5")</f>
        <v>HNGE US Equity</v>
      </c>
      <c r="RN5" t="s">
        <v>1598</v>
      </c>
      <c r="RO5">
        <v>13.8</v>
      </c>
      <c r="RP5">
        <v>4.8899999999999999E-2</v>
      </c>
      <c r="RQ5" t="s">
        <v>1599</v>
      </c>
      <c r="RR5">
        <v>2025</v>
      </c>
      <c r="RS5" t="s">
        <v>3340</v>
      </c>
      <c r="RT5" s="6">
        <v>45968</v>
      </c>
      <c r="RU5">
        <v>5</v>
      </c>
      <c r="RV5">
        <v>21281118</v>
      </c>
      <c r="RW5">
        <v>54419104</v>
      </c>
      <c r="RX5" t="s">
        <v>3341</v>
      </c>
      <c r="SA5" t="str">
        <f>_xll.BDS("ELV US Equity","SUPPLY_CHAIN_CUSTOMERS_ALL_DATA","cols=12;rows=5")</f>
        <v>3352Z US Equity</v>
      </c>
      <c r="SB5">
        <v>31</v>
      </c>
      <c r="SD5">
        <v>-2.4245362661989844E-14</v>
      </c>
      <c r="SE5" t="s">
        <v>1594</v>
      </c>
      <c r="SF5">
        <v>2024</v>
      </c>
      <c r="SG5" t="s">
        <v>2811</v>
      </c>
      <c r="SH5" s="6">
        <v>45708</v>
      </c>
      <c r="SI5">
        <v>5</v>
      </c>
      <c r="SJ5">
        <v>13718352896</v>
      </c>
      <c r="SK5">
        <v>218252</v>
      </c>
      <c r="SL5" t="s">
        <v>1622</v>
      </c>
      <c r="SQ5" t="str">
        <f>_xll.BDS("EQT US Equity","SUPPLY_CHAIN_SUPPLIERS_ALL_DATA","cols=12;rows=5")</f>
        <v>PWR US Equity</v>
      </c>
      <c r="SR5" t="s">
        <v>1634</v>
      </c>
      <c r="SS5">
        <v>0.37664399999999998</v>
      </c>
      <c r="ST5">
        <v>4.5886250000000004</v>
      </c>
      <c r="SU5" t="s">
        <v>1599</v>
      </c>
      <c r="SV5">
        <v>2025</v>
      </c>
      <c r="SW5" t="s">
        <v>2321</v>
      </c>
      <c r="SX5" s="6">
        <v>45975</v>
      </c>
      <c r="SY5">
        <v>5</v>
      </c>
      <c r="SZ5">
        <v>28743240</v>
      </c>
      <c r="TA5">
        <v>305366</v>
      </c>
      <c r="TB5" t="s">
        <v>2322</v>
      </c>
      <c r="TE5" t="str">
        <f>_xll.BDS("EQT US Equity","SUPPLY_CHAIN_CUSTOMERS_ALL_DATA","cols=12;rows=4")</f>
        <v>0641942D US Equity</v>
      </c>
      <c r="TF5">
        <v>-2.4245362661989844E-14</v>
      </c>
      <c r="TH5">
        <v>-2.4245362661989844E-14</v>
      </c>
      <c r="TI5" t="s">
        <v>1594</v>
      </c>
      <c r="TJ5">
        <v>2025</v>
      </c>
      <c r="TK5" t="s">
        <v>3126</v>
      </c>
      <c r="TL5" s="6">
        <v>46071</v>
      </c>
      <c r="TM5">
        <v>4</v>
      </c>
      <c r="TN5">
        <v>-2.4245362661989844E-14</v>
      </c>
      <c r="TO5">
        <v>33705996</v>
      </c>
      <c r="TP5" t="s">
        <v>5809</v>
      </c>
      <c r="TU5" t="str">
        <f>_xll.BDS("1255459D US Equity","SUPPLY_CHAIN_SUPPLIERS_ALL_DATA","cols=12;rows=2")</f>
        <v>CREI LN Equity</v>
      </c>
      <c r="TW5">
        <v>-2.4245362661989844E-14</v>
      </c>
      <c r="TX5">
        <v>-2.4245362661989844E-14</v>
      </c>
      <c r="TY5" t="s">
        <v>1594</v>
      </c>
      <c r="TZ5">
        <v>2022</v>
      </c>
      <c r="UA5" t="s">
        <v>2891</v>
      </c>
      <c r="UB5" s="6">
        <v>44757</v>
      </c>
      <c r="UC5">
        <v>2</v>
      </c>
      <c r="UD5">
        <v>-2.4245362661989844E-14</v>
      </c>
      <c r="UE5">
        <v>39775273</v>
      </c>
      <c r="UF5" t="s">
        <v>2892</v>
      </c>
      <c r="UI5" t="str">
        <f>_xll.BDS("1255459D US Equity","SUPPLY_CHAIN_CUSTOMERS_ALL_DATA","cols=12;rows=5")</f>
        <v>028260 KS Equity</v>
      </c>
      <c r="UJ5">
        <v>-2.4245362661989844E-14</v>
      </c>
      <c r="UL5">
        <v>-2.4245362661989844E-14</v>
      </c>
      <c r="UM5" t="s">
        <v>1651</v>
      </c>
      <c r="UN5">
        <v>2023</v>
      </c>
      <c r="UO5" t="s">
        <v>2435</v>
      </c>
      <c r="UP5" s="6">
        <v>45244</v>
      </c>
      <c r="UQ5">
        <v>5</v>
      </c>
      <c r="UR5">
        <v>-2.4245362661989844E-14</v>
      </c>
      <c r="US5">
        <v>307967</v>
      </c>
      <c r="UT5" t="s">
        <v>2436</v>
      </c>
      <c r="UY5" t="str">
        <f>_xll.BDS("MGM US Equity","SUPPLY_CHAIN_SUPPLIERS_ALL_DATA","cols=12;rows=5")</f>
        <v>VICI US Equity</v>
      </c>
      <c r="UZ5" t="s">
        <v>1685</v>
      </c>
      <c r="VA5">
        <v>35</v>
      </c>
      <c r="VB5">
        <v>27.919884</v>
      </c>
      <c r="VC5" t="s">
        <v>1594</v>
      </c>
      <c r="VD5">
        <v>2024</v>
      </c>
      <c r="VE5" t="s">
        <v>2351</v>
      </c>
      <c r="VF5" s="6">
        <v>45708</v>
      </c>
      <c r="VG5">
        <v>5</v>
      </c>
      <c r="VH5">
        <v>336805440</v>
      </c>
      <c r="VI5">
        <v>55267607</v>
      </c>
      <c r="VJ5" t="s">
        <v>2352</v>
      </c>
      <c r="VM5" t="str">
        <f>_xll.BDS("MGM US Equity","SUPPLY_CHAIN_CUSTOMERS_ALL_DATA","cols=12;rows=5")</f>
        <v>0676719D US Equity</v>
      </c>
      <c r="VN5">
        <v>-2.4245362661989844E-14</v>
      </c>
      <c r="VP5">
        <v>-2.4245362661989844E-14</v>
      </c>
      <c r="VQ5" t="s">
        <v>1594</v>
      </c>
      <c r="VR5">
        <v>2022</v>
      </c>
      <c r="VS5" t="s">
        <v>1837</v>
      </c>
      <c r="VT5" s="6">
        <v>44914</v>
      </c>
      <c r="VU5">
        <v>5</v>
      </c>
      <c r="VV5">
        <v>-2.4245362661989844E-14</v>
      </c>
      <c r="VW5">
        <v>937707</v>
      </c>
      <c r="VX5" t="s">
        <v>1838</v>
      </c>
    </row>
    <row r="6" spans="1:600" x14ac:dyDescent="0.25">
      <c r="BI6" t="s">
        <v>3599</v>
      </c>
      <c r="BJ6" t="s">
        <v>1598</v>
      </c>
      <c r="BK6">
        <v>0.88658599999999999</v>
      </c>
      <c r="BL6">
        <v>1.5828880000000001</v>
      </c>
      <c r="BM6" t="s">
        <v>1599</v>
      </c>
      <c r="BN6">
        <v>2024</v>
      </c>
      <c r="BO6" t="s">
        <v>3600</v>
      </c>
      <c r="BP6" s="6">
        <v>45686</v>
      </c>
      <c r="BQ6">
        <v>5</v>
      </c>
      <c r="BR6">
        <v>34497060</v>
      </c>
      <c r="BS6">
        <v>12271051</v>
      </c>
      <c r="BT6" t="s">
        <v>3601</v>
      </c>
      <c r="BW6" t="s">
        <v>311</v>
      </c>
      <c r="BX6">
        <v>5.1173909999999996</v>
      </c>
      <c r="BY6" t="s">
        <v>1598</v>
      </c>
      <c r="BZ6">
        <v>0.57236200000000004</v>
      </c>
      <c r="CA6" t="s">
        <v>1664</v>
      </c>
      <c r="CB6">
        <v>2026</v>
      </c>
      <c r="CC6" t="s">
        <v>2710</v>
      </c>
      <c r="CD6" s="6">
        <v>46020</v>
      </c>
      <c r="CE6">
        <v>5</v>
      </c>
      <c r="CF6">
        <v>148568096</v>
      </c>
      <c r="CG6">
        <v>100864</v>
      </c>
      <c r="CH6" t="s">
        <v>1668</v>
      </c>
      <c r="CM6" t="s">
        <v>2376</v>
      </c>
      <c r="CN6" t="s">
        <v>1598</v>
      </c>
      <c r="CO6">
        <v>2.370431</v>
      </c>
      <c r="CP6">
        <v>9.0958559999999995</v>
      </c>
      <c r="CQ6" t="s">
        <v>1664</v>
      </c>
      <c r="CR6">
        <v>2025</v>
      </c>
      <c r="CS6" t="s">
        <v>2377</v>
      </c>
      <c r="CT6" s="6">
        <v>45952</v>
      </c>
      <c r="CU6">
        <v>5</v>
      </c>
      <c r="CV6">
        <v>1262769985.1900001</v>
      </c>
      <c r="CW6">
        <v>117929</v>
      </c>
      <c r="CX6" t="s">
        <v>2378</v>
      </c>
      <c r="DA6" t="s">
        <v>1891</v>
      </c>
      <c r="DB6">
        <v>0.203543</v>
      </c>
      <c r="DC6" t="s">
        <v>1598</v>
      </c>
      <c r="DD6">
        <v>1.128412</v>
      </c>
      <c r="DE6" t="s">
        <v>1603</v>
      </c>
      <c r="DF6">
        <v>2025</v>
      </c>
      <c r="DG6" t="s">
        <v>1892</v>
      </c>
      <c r="DH6" s="6">
        <v>45784</v>
      </c>
      <c r="DI6">
        <v>5</v>
      </c>
      <c r="DJ6">
        <v>68156368</v>
      </c>
      <c r="DK6">
        <v>100115</v>
      </c>
      <c r="DL6" t="s">
        <v>1893</v>
      </c>
      <c r="DQ6" t="s">
        <v>5638</v>
      </c>
      <c r="DR6" t="s">
        <v>1634</v>
      </c>
      <c r="DS6">
        <v>1.628396</v>
      </c>
      <c r="DT6">
        <v>5.8130329999999999</v>
      </c>
      <c r="DU6" t="s">
        <v>1664</v>
      </c>
      <c r="DV6">
        <v>2026</v>
      </c>
      <c r="DW6" t="s">
        <v>5639</v>
      </c>
      <c r="DX6" s="6">
        <v>46028</v>
      </c>
      <c r="DY6">
        <v>5</v>
      </c>
      <c r="DZ6">
        <v>69609374.329999998</v>
      </c>
      <c r="EA6">
        <v>114992</v>
      </c>
      <c r="EB6" t="s">
        <v>5640</v>
      </c>
      <c r="EE6" t="s">
        <v>1891</v>
      </c>
      <c r="EF6">
        <v>5.3475780000000004</v>
      </c>
      <c r="EG6" t="s">
        <v>1598</v>
      </c>
      <c r="EH6">
        <v>3.7672150000000002</v>
      </c>
      <c r="EI6" t="s">
        <v>1599</v>
      </c>
      <c r="EJ6">
        <v>2025</v>
      </c>
      <c r="EK6" t="s">
        <v>5486</v>
      </c>
      <c r="EL6" s="6">
        <v>45954</v>
      </c>
      <c r="EM6">
        <v>5</v>
      </c>
      <c r="EN6">
        <v>253582144</v>
      </c>
      <c r="EO6">
        <v>100115</v>
      </c>
      <c r="EP6" t="s">
        <v>1893</v>
      </c>
      <c r="FI6" t="s">
        <v>5752</v>
      </c>
      <c r="FJ6">
        <v>3.5283030000000002</v>
      </c>
      <c r="FK6" t="s">
        <v>1685</v>
      </c>
      <c r="FL6">
        <v>0.114844</v>
      </c>
      <c r="FM6" t="s">
        <v>1594</v>
      </c>
      <c r="FN6">
        <v>2024</v>
      </c>
      <c r="FO6" t="s">
        <v>5829</v>
      </c>
      <c r="FP6" s="6">
        <v>45707</v>
      </c>
      <c r="FQ6">
        <v>5</v>
      </c>
      <c r="FR6">
        <v>11187507.5</v>
      </c>
      <c r="FS6">
        <v>1081218</v>
      </c>
      <c r="FT6" t="s">
        <v>5754</v>
      </c>
      <c r="FY6" t="s">
        <v>3820</v>
      </c>
      <c r="FZ6" t="s">
        <v>1598</v>
      </c>
      <c r="GA6">
        <v>5.3509349999999998</v>
      </c>
      <c r="GB6">
        <v>6.1617280000000001</v>
      </c>
      <c r="GC6" t="s">
        <v>1603</v>
      </c>
      <c r="GD6">
        <v>2025</v>
      </c>
      <c r="GE6" t="s">
        <v>3821</v>
      </c>
      <c r="GF6" s="6">
        <v>45849</v>
      </c>
      <c r="GG6">
        <v>5</v>
      </c>
      <c r="GH6">
        <v>152379536</v>
      </c>
      <c r="GI6">
        <v>102595</v>
      </c>
      <c r="GJ6" t="s">
        <v>3822</v>
      </c>
      <c r="GM6" t="s">
        <v>2032</v>
      </c>
      <c r="GN6">
        <v>-2.4245362661989844E-14</v>
      </c>
      <c r="GP6">
        <v>-2.4245362661989844E-14</v>
      </c>
      <c r="GQ6" t="s">
        <v>1594</v>
      </c>
      <c r="GR6">
        <v>2021</v>
      </c>
      <c r="GS6" t="s">
        <v>4240</v>
      </c>
      <c r="GT6" s="6">
        <v>44693</v>
      </c>
      <c r="GU6">
        <v>5</v>
      </c>
      <c r="GV6">
        <v>-2.4245362661989844E-14</v>
      </c>
      <c r="GW6">
        <v>128990</v>
      </c>
      <c r="GX6" t="s">
        <v>2034</v>
      </c>
      <c r="KO6" t="s">
        <v>2964</v>
      </c>
      <c r="KP6" t="s">
        <v>1598</v>
      </c>
      <c r="KQ6">
        <v>4.3933309999999999</v>
      </c>
      <c r="KR6">
        <v>0.332347</v>
      </c>
      <c r="KS6" t="s">
        <v>1606</v>
      </c>
      <c r="KT6">
        <v>2025</v>
      </c>
      <c r="KU6" t="s">
        <v>2965</v>
      </c>
      <c r="KV6" s="6">
        <v>46077</v>
      </c>
      <c r="KW6">
        <v>5</v>
      </c>
      <c r="KX6">
        <v>140147264</v>
      </c>
      <c r="KY6">
        <v>107741</v>
      </c>
      <c r="KZ6" t="s">
        <v>2966</v>
      </c>
      <c r="LC6" t="s">
        <v>2452</v>
      </c>
      <c r="LD6">
        <v>6.22</v>
      </c>
      <c r="LF6">
        <v>-2.4245362661989844E-14</v>
      </c>
      <c r="LG6" t="s">
        <v>1603</v>
      </c>
      <c r="LH6">
        <v>2025</v>
      </c>
      <c r="LI6" t="s">
        <v>2450</v>
      </c>
      <c r="LJ6" s="6">
        <v>45839</v>
      </c>
      <c r="LK6">
        <v>5</v>
      </c>
      <c r="LL6">
        <v>2899763968</v>
      </c>
      <c r="LM6">
        <v>952397</v>
      </c>
      <c r="LN6" t="s">
        <v>2453</v>
      </c>
      <c r="MW6" t="s">
        <v>2120</v>
      </c>
      <c r="MX6" t="s">
        <v>1598</v>
      </c>
      <c r="MY6">
        <v>25.6</v>
      </c>
      <c r="MZ6">
        <v>5.8001680000000002</v>
      </c>
      <c r="NA6" t="s">
        <v>1594</v>
      </c>
      <c r="NB6">
        <v>2025</v>
      </c>
      <c r="NC6" t="s">
        <v>2121</v>
      </c>
      <c r="ND6" s="6">
        <v>45827</v>
      </c>
      <c r="NE6">
        <v>5</v>
      </c>
      <c r="NF6">
        <v>204217368.44999999</v>
      </c>
      <c r="NG6">
        <v>114514</v>
      </c>
      <c r="NH6" t="s">
        <v>2122</v>
      </c>
      <c r="NK6" t="s">
        <v>959</v>
      </c>
      <c r="NL6">
        <v>29</v>
      </c>
      <c r="NM6" t="s">
        <v>1598</v>
      </c>
      <c r="NN6">
        <v>4.4540850000000001</v>
      </c>
      <c r="NO6" t="s">
        <v>1594</v>
      </c>
      <c r="NP6">
        <v>2025</v>
      </c>
      <c r="NQ6" t="s">
        <v>1765</v>
      </c>
      <c r="NR6" s="6">
        <v>46064</v>
      </c>
      <c r="NS6">
        <v>5</v>
      </c>
      <c r="NT6">
        <v>3494064896</v>
      </c>
      <c r="NU6">
        <v>156969</v>
      </c>
      <c r="NV6" t="s">
        <v>1767</v>
      </c>
      <c r="OA6" t="s">
        <v>4822</v>
      </c>
      <c r="OC6">
        <v>-2.4245362661989844E-14</v>
      </c>
      <c r="OD6">
        <v>-2.4245362661989844E-14</v>
      </c>
      <c r="OE6" t="s">
        <v>1792</v>
      </c>
      <c r="OF6">
        <v>2023</v>
      </c>
      <c r="OG6" t="s">
        <v>4823</v>
      </c>
      <c r="OH6" s="6">
        <v>45166</v>
      </c>
      <c r="OI6">
        <v>4</v>
      </c>
      <c r="OJ6">
        <v>-2.4245362661989844E-14</v>
      </c>
      <c r="OK6">
        <v>25971390</v>
      </c>
      <c r="OL6" t="s">
        <v>4824</v>
      </c>
      <c r="OO6" t="s">
        <v>4724</v>
      </c>
      <c r="OP6">
        <v>1.6661520000000001</v>
      </c>
      <c r="OR6">
        <v>-2.4245362661989844E-14</v>
      </c>
      <c r="OS6" t="s">
        <v>1594</v>
      </c>
      <c r="OT6">
        <v>2024</v>
      </c>
      <c r="OU6" t="s">
        <v>4722</v>
      </c>
      <c r="OV6" s="6">
        <v>45693</v>
      </c>
      <c r="OW6">
        <v>5</v>
      </c>
      <c r="OX6">
        <v>24841489.5</v>
      </c>
      <c r="OY6">
        <v>71265740</v>
      </c>
      <c r="OZ6" t="s">
        <v>4725</v>
      </c>
      <c r="QI6" t="s">
        <v>6246</v>
      </c>
      <c r="QK6">
        <v>-2.4245362661989844E-14</v>
      </c>
      <c r="QL6">
        <v>-2.4245362661989844E-14</v>
      </c>
      <c r="QM6" t="s">
        <v>1594</v>
      </c>
      <c r="QN6">
        <v>2022</v>
      </c>
      <c r="QO6" t="s">
        <v>6247</v>
      </c>
      <c r="QP6" s="6">
        <v>45006</v>
      </c>
      <c r="QQ6">
        <v>5</v>
      </c>
      <c r="QR6">
        <v>-2.4245362661989844E-14</v>
      </c>
      <c r="QS6">
        <v>7595232</v>
      </c>
      <c r="QT6" t="s">
        <v>6248</v>
      </c>
      <c r="QW6" t="s">
        <v>2376</v>
      </c>
      <c r="QX6">
        <v>6.3256480000000002</v>
      </c>
      <c r="QY6" t="s">
        <v>1598</v>
      </c>
      <c r="QZ6">
        <v>0.13467499999999999</v>
      </c>
      <c r="RA6" t="s">
        <v>1599</v>
      </c>
      <c r="RB6">
        <v>2025</v>
      </c>
      <c r="RC6" t="s">
        <v>6279</v>
      </c>
      <c r="RD6" s="6">
        <v>45996</v>
      </c>
      <c r="RE6">
        <v>5</v>
      </c>
      <c r="RF6">
        <v>51054304</v>
      </c>
      <c r="RG6">
        <v>117929</v>
      </c>
      <c r="RH6" t="s">
        <v>2378</v>
      </c>
      <c r="RM6" t="s">
        <v>3342</v>
      </c>
      <c r="RN6" t="s">
        <v>1685</v>
      </c>
      <c r="RO6">
        <v>31</v>
      </c>
      <c r="RP6">
        <v>0.36833199999999999</v>
      </c>
      <c r="RQ6" t="s">
        <v>1594</v>
      </c>
      <c r="RR6">
        <v>2025</v>
      </c>
      <c r="RS6" t="s">
        <v>3343</v>
      </c>
      <c r="RT6" s="6">
        <v>46065</v>
      </c>
      <c r="RU6">
        <v>5</v>
      </c>
      <c r="RV6">
        <v>19322688</v>
      </c>
      <c r="RW6">
        <v>29633010</v>
      </c>
      <c r="RX6" t="s">
        <v>3344</v>
      </c>
      <c r="SA6" t="s">
        <v>2812</v>
      </c>
      <c r="SB6">
        <v>-2.4245362661989844E-14</v>
      </c>
      <c r="SD6">
        <v>-2.4245362661989844E-14</v>
      </c>
      <c r="SE6" t="s">
        <v>1594</v>
      </c>
      <c r="SF6">
        <v>2023</v>
      </c>
      <c r="SG6" t="s">
        <v>2813</v>
      </c>
      <c r="SH6" s="6">
        <v>45303</v>
      </c>
      <c r="SI6">
        <v>5</v>
      </c>
      <c r="SJ6">
        <v>-2.4245362661989844E-14</v>
      </c>
      <c r="SK6">
        <v>38176982</v>
      </c>
      <c r="SL6" t="s">
        <v>2814</v>
      </c>
      <c r="SQ6" t="s">
        <v>5890</v>
      </c>
      <c r="SR6" t="s">
        <v>1634</v>
      </c>
      <c r="SS6">
        <v>31.9</v>
      </c>
      <c r="ST6">
        <v>4.1356229999999998</v>
      </c>
      <c r="SU6" t="s">
        <v>1594</v>
      </c>
      <c r="SV6">
        <v>2024</v>
      </c>
      <c r="SW6" t="s">
        <v>5891</v>
      </c>
      <c r="SX6" s="6">
        <v>45720</v>
      </c>
      <c r="SY6">
        <v>5</v>
      </c>
      <c r="SZ6">
        <v>24831916</v>
      </c>
      <c r="TA6">
        <v>35858022</v>
      </c>
      <c r="TB6" t="s">
        <v>5892</v>
      </c>
      <c r="TE6" t="s">
        <v>281</v>
      </c>
      <c r="TF6">
        <v>-2.4245362661989844E-14</v>
      </c>
      <c r="TH6">
        <v>-2.4245362661989844E-14</v>
      </c>
      <c r="TI6" t="s">
        <v>1594</v>
      </c>
      <c r="TJ6">
        <v>2025</v>
      </c>
      <c r="TK6" t="s">
        <v>3126</v>
      </c>
      <c r="TL6" s="6">
        <v>46071</v>
      </c>
      <c r="TM6">
        <v>4</v>
      </c>
      <c r="TN6">
        <v>-2.4245362661989844E-14</v>
      </c>
      <c r="TO6">
        <v>31969391</v>
      </c>
      <c r="TP6" t="s">
        <v>5810</v>
      </c>
      <c r="TU6" t="s">
        <v>2893</v>
      </c>
      <c r="TW6">
        <v>-2.4245362661989844E-14</v>
      </c>
      <c r="TX6">
        <v>-2.4245362661989844E-14</v>
      </c>
      <c r="TY6" t="s">
        <v>1594</v>
      </c>
      <c r="TZ6">
        <v>2022</v>
      </c>
      <c r="UA6" t="s">
        <v>2894</v>
      </c>
      <c r="UB6" s="6">
        <v>44797</v>
      </c>
      <c r="UC6">
        <v>2</v>
      </c>
      <c r="UD6">
        <v>-2.4245362661989844E-14</v>
      </c>
      <c r="UE6">
        <v>42186257</v>
      </c>
      <c r="UF6" t="s">
        <v>2895</v>
      </c>
      <c r="UI6" t="s">
        <v>2437</v>
      </c>
      <c r="UJ6">
        <v>-2.4245362661989844E-14</v>
      </c>
      <c r="UL6">
        <v>-2.4245362661989844E-14</v>
      </c>
      <c r="UM6" t="s">
        <v>2438</v>
      </c>
      <c r="UN6">
        <v>2025</v>
      </c>
      <c r="UO6" t="s">
        <v>2439</v>
      </c>
      <c r="UP6" s="6">
        <v>45792</v>
      </c>
      <c r="UQ6">
        <v>5</v>
      </c>
      <c r="UR6">
        <v>-2.4245362661989844E-14</v>
      </c>
      <c r="US6">
        <v>25611178</v>
      </c>
      <c r="UT6" t="s">
        <v>2440</v>
      </c>
      <c r="UY6" t="s">
        <v>238</v>
      </c>
      <c r="UZ6" t="s">
        <v>1685</v>
      </c>
      <c r="VA6">
        <v>1.1316310000000001</v>
      </c>
      <c r="VB6">
        <v>1.2361869999999999</v>
      </c>
      <c r="VC6" t="s">
        <v>1594</v>
      </c>
      <c r="VD6">
        <v>2024</v>
      </c>
      <c r="VE6" t="s">
        <v>2353</v>
      </c>
      <c r="VF6" s="6">
        <v>45713</v>
      </c>
      <c r="VG6">
        <v>5</v>
      </c>
      <c r="VH6">
        <v>14912472</v>
      </c>
      <c r="VI6">
        <v>154861</v>
      </c>
      <c r="VJ6" t="s">
        <v>2354</v>
      </c>
      <c r="VM6" t="s">
        <v>1839</v>
      </c>
      <c r="VN6">
        <v>-2.4245362661989844E-14</v>
      </c>
      <c r="VP6">
        <v>-2.4245362661989844E-14</v>
      </c>
      <c r="VQ6" t="s">
        <v>1594</v>
      </c>
      <c r="VR6">
        <v>2022</v>
      </c>
      <c r="VS6" t="s">
        <v>1837</v>
      </c>
      <c r="VT6" s="6">
        <v>44796</v>
      </c>
      <c r="VU6">
        <v>5</v>
      </c>
      <c r="VV6">
        <v>-2.4245362661989844E-14</v>
      </c>
      <c r="VW6">
        <v>34633660</v>
      </c>
      <c r="VX6" t="s">
        <v>1840</v>
      </c>
    </row>
    <row r="7" spans="1:600" x14ac:dyDescent="0.25">
      <c r="BI7" t="s">
        <v>3093</v>
      </c>
      <c r="BJ7" t="s">
        <v>1598</v>
      </c>
      <c r="BK7">
        <v>2.173902</v>
      </c>
      <c r="BL7">
        <v>1.4833229999999999</v>
      </c>
      <c r="BM7" t="s">
        <v>1606</v>
      </c>
      <c r="BN7">
        <v>2025</v>
      </c>
      <c r="BO7" t="s">
        <v>3094</v>
      </c>
      <c r="BP7" s="6">
        <v>46077</v>
      </c>
      <c r="BQ7">
        <v>5</v>
      </c>
      <c r="BR7">
        <v>31925924</v>
      </c>
      <c r="BS7">
        <v>159323</v>
      </c>
      <c r="BT7" t="s">
        <v>3095</v>
      </c>
      <c r="BW7" t="s">
        <v>2711</v>
      </c>
      <c r="BX7">
        <v>2.5004659999999999</v>
      </c>
      <c r="BY7" t="s">
        <v>1598</v>
      </c>
      <c r="BZ7">
        <v>0.63146800000000003</v>
      </c>
      <c r="CA7" t="s">
        <v>1664</v>
      </c>
      <c r="CB7">
        <v>2026</v>
      </c>
      <c r="CC7" t="s">
        <v>2710</v>
      </c>
      <c r="CD7" s="6">
        <v>46020</v>
      </c>
      <c r="CE7">
        <v>5</v>
      </c>
      <c r="CF7">
        <v>72593528</v>
      </c>
      <c r="CG7">
        <v>143036</v>
      </c>
      <c r="CH7" t="s">
        <v>2712</v>
      </c>
      <c r="CM7" t="s">
        <v>428</v>
      </c>
      <c r="CN7" t="s">
        <v>1598</v>
      </c>
      <c r="CO7">
        <v>14</v>
      </c>
      <c r="CP7">
        <v>2.6252870000000001</v>
      </c>
      <c r="CQ7" t="s">
        <v>1594</v>
      </c>
      <c r="CR7">
        <v>2025</v>
      </c>
      <c r="CS7" t="s">
        <v>2379</v>
      </c>
      <c r="CT7" s="6">
        <v>46077</v>
      </c>
      <c r="CU7">
        <v>5</v>
      </c>
      <c r="CV7">
        <v>372560992</v>
      </c>
      <c r="CW7">
        <v>210870</v>
      </c>
      <c r="CX7" t="s">
        <v>2380</v>
      </c>
      <c r="DA7" t="s">
        <v>1679</v>
      </c>
      <c r="DB7">
        <v>0.11801499999999999</v>
      </c>
      <c r="DC7" t="s">
        <v>1598</v>
      </c>
      <c r="DD7">
        <v>0.96932300000000005</v>
      </c>
      <c r="DE7" t="s">
        <v>1603</v>
      </c>
      <c r="DF7">
        <v>2025</v>
      </c>
      <c r="DG7" t="s">
        <v>1680</v>
      </c>
      <c r="DH7" s="6">
        <v>45820</v>
      </c>
      <c r="DI7">
        <v>5</v>
      </c>
      <c r="DJ7">
        <v>39517360</v>
      </c>
      <c r="DK7">
        <v>12129192</v>
      </c>
      <c r="DL7" t="s">
        <v>1681</v>
      </c>
      <c r="DQ7" t="s">
        <v>3817</v>
      </c>
      <c r="DR7" t="s">
        <v>1634</v>
      </c>
      <c r="DS7">
        <v>1.3678159999999999</v>
      </c>
      <c r="DT7">
        <v>4.8755559999999996</v>
      </c>
      <c r="DU7" t="s">
        <v>1664</v>
      </c>
      <c r="DV7">
        <v>2026</v>
      </c>
      <c r="DW7" t="s">
        <v>3818</v>
      </c>
      <c r="DX7" s="6">
        <v>46063</v>
      </c>
      <c r="DY7">
        <v>5</v>
      </c>
      <c r="DZ7">
        <v>45098892</v>
      </c>
      <c r="EA7">
        <v>101732</v>
      </c>
      <c r="EB7" t="s">
        <v>3819</v>
      </c>
      <c r="EE7" t="s">
        <v>1917</v>
      </c>
      <c r="EF7">
        <v>4.7165480000000004</v>
      </c>
      <c r="EG7" t="s">
        <v>1598</v>
      </c>
      <c r="EH7">
        <v>0.44449</v>
      </c>
      <c r="EI7" t="s">
        <v>1599</v>
      </c>
      <c r="EJ7">
        <v>2025</v>
      </c>
      <c r="EK7" t="s">
        <v>5486</v>
      </c>
      <c r="EL7" s="6">
        <v>45954</v>
      </c>
      <c r="EM7">
        <v>5</v>
      </c>
      <c r="EN7">
        <v>223658704</v>
      </c>
      <c r="EO7">
        <v>101695</v>
      </c>
      <c r="EP7" t="s">
        <v>1919</v>
      </c>
      <c r="FI7" t="s">
        <v>5831</v>
      </c>
      <c r="FJ7">
        <v>3.5283030000000002</v>
      </c>
      <c r="FL7">
        <v>-2.4245362661989844E-14</v>
      </c>
      <c r="FM7" t="s">
        <v>1594</v>
      </c>
      <c r="FN7">
        <v>2024</v>
      </c>
      <c r="FO7" t="s">
        <v>5829</v>
      </c>
      <c r="FP7" s="6">
        <v>45707</v>
      </c>
      <c r="FQ7">
        <v>5</v>
      </c>
      <c r="FR7">
        <v>11187507.5</v>
      </c>
      <c r="FS7">
        <v>37944379</v>
      </c>
      <c r="FT7" t="s">
        <v>5832</v>
      </c>
      <c r="FY7" t="s">
        <v>3975</v>
      </c>
      <c r="FZ7" t="s">
        <v>1634</v>
      </c>
      <c r="GA7">
        <v>0.69737099999999996</v>
      </c>
      <c r="GB7">
        <v>1.9371179999999999</v>
      </c>
      <c r="GC7" t="s">
        <v>1664</v>
      </c>
      <c r="GD7">
        <v>2025</v>
      </c>
      <c r="GE7" t="s">
        <v>3976</v>
      </c>
      <c r="GF7" s="6">
        <v>45937</v>
      </c>
      <c r="GG7">
        <v>5</v>
      </c>
      <c r="GH7">
        <v>63537472</v>
      </c>
      <c r="GI7">
        <v>69818593</v>
      </c>
      <c r="GJ7" t="s">
        <v>3977</v>
      </c>
      <c r="GM7" t="s">
        <v>1848</v>
      </c>
      <c r="GN7">
        <v>-2.4245362661989844E-14</v>
      </c>
      <c r="GP7">
        <v>-2.4245362661989844E-14</v>
      </c>
      <c r="GQ7" t="s">
        <v>1594</v>
      </c>
      <c r="GR7">
        <v>2021</v>
      </c>
      <c r="GS7" t="s">
        <v>4240</v>
      </c>
      <c r="GT7" s="6">
        <v>44693</v>
      </c>
      <c r="GU7">
        <v>5</v>
      </c>
      <c r="GV7">
        <v>-2.4245362661989844E-14</v>
      </c>
      <c r="GW7">
        <v>9288162</v>
      </c>
      <c r="GX7" t="s">
        <v>1850</v>
      </c>
      <c r="KO7" t="s">
        <v>2967</v>
      </c>
      <c r="KP7" t="s">
        <v>1685</v>
      </c>
      <c r="KQ7">
        <v>20.650155999999999</v>
      </c>
      <c r="KR7">
        <v>1.6579189999999999</v>
      </c>
      <c r="KS7" t="s">
        <v>1594</v>
      </c>
      <c r="KT7">
        <v>2024</v>
      </c>
      <c r="KU7" t="s">
        <v>2968</v>
      </c>
      <c r="KV7" s="6">
        <v>45719</v>
      </c>
      <c r="KW7">
        <v>5</v>
      </c>
      <c r="KX7">
        <v>51395504</v>
      </c>
      <c r="KY7">
        <v>8992842</v>
      </c>
      <c r="KZ7" t="s">
        <v>2969</v>
      </c>
      <c r="LC7" t="s">
        <v>2454</v>
      </c>
      <c r="LD7">
        <v>5.44</v>
      </c>
      <c r="LF7">
        <v>-2.4245362661989844E-14</v>
      </c>
      <c r="LG7" t="s">
        <v>1603</v>
      </c>
      <c r="LH7">
        <v>2025</v>
      </c>
      <c r="LI7" t="s">
        <v>2450</v>
      </c>
      <c r="LJ7" s="6">
        <v>45839</v>
      </c>
      <c r="LK7">
        <v>5</v>
      </c>
      <c r="LL7">
        <v>2536128000</v>
      </c>
      <c r="LM7">
        <v>201826</v>
      </c>
      <c r="LN7" t="s">
        <v>2455</v>
      </c>
      <c r="MW7" t="s">
        <v>2123</v>
      </c>
      <c r="MX7" t="s">
        <v>1598</v>
      </c>
      <c r="MY7">
        <v>91.610000999999997</v>
      </c>
      <c r="MZ7">
        <v>5.3039319999999996</v>
      </c>
      <c r="NA7" t="s">
        <v>1594</v>
      </c>
      <c r="NB7">
        <v>2024</v>
      </c>
      <c r="NC7" t="s">
        <v>2124</v>
      </c>
      <c r="ND7" s="6">
        <v>45744</v>
      </c>
      <c r="NE7">
        <v>5</v>
      </c>
      <c r="NF7">
        <v>185227362.65000001</v>
      </c>
      <c r="NG7">
        <v>41186103</v>
      </c>
      <c r="NH7" t="s">
        <v>2125</v>
      </c>
      <c r="NK7" t="s">
        <v>618</v>
      </c>
      <c r="NL7">
        <v>22</v>
      </c>
      <c r="NM7" t="s">
        <v>1598</v>
      </c>
      <c r="NN7">
        <v>4.4996770000000001</v>
      </c>
      <c r="NO7" t="s">
        <v>1594</v>
      </c>
      <c r="NP7">
        <v>2025</v>
      </c>
      <c r="NQ7" t="s">
        <v>1765</v>
      </c>
      <c r="NR7" s="6">
        <v>46064</v>
      </c>
      <c r="NS7">
        <v>5</v>
      </c>
      <c r="NT7">
        <v>2650670080</v>
      </c>
      <c r="NU7">
        <v>102782</v>
      </c>
      <c r="NV7" t="s">
        <v>1626</v>
      </c>
      <c r="OA7" t="s">
        <v>4825</v>
      </c>
      <c r="OC7">
        <v>-2.4245362661989844E-14</v>
      </c>
      <c r="OD7">
        <v>-2.4245362661989844E-14</v>
      </c>
      <c r="OE7" t="s">
        <v>1594</v>
      </c>
      <c r="OF7">
        <v>2023</v>
      </c>
      <c r="OG7" t="s">
        <v>4826</v>
      </c>
      <c r="OH7" s="6">
        <v>45104</v>
      </c>
      <c r="OI7">
        <v>4</v>
      </c>
      <c r="OJ7">
        <v>-2.4245362661989844E-14</v>
      </c>
      <c r="OK7">
        <v>69692516</v>
      </c>
      <c r="OL7" t="s">
        <v>4827</v>
      </c>
      <c r="OO7" t="s">
        <v>1328</v>
      </c>
      <c r="OP7">
        <v>1.573588</v>
      </c>
      <c r="OQ7" t="s">
        <v>1685</v>
      </c>
      <c r="OR7">
        <v>2.417144</v>
      </c>
      <c r="OS7" t="s">
        <v>1594</v>
      </c>
      <c r="OT7">
        <v>2024</v>
      </c>
      <c r="OU7" t="s">
        <v>4722</v>
      </c>
      <c r="OV7" s="6">
        <v>45693</v>
      </c>
      <c r="OW7">
        <v>5</v>
      </c>
      <c r="OX7">
        <v>23461406.75</v>
      </c>
      <c r="OY7">
        <v>1182041</v>
      </c>
      <c r="OZ7" t="s">
        <v>4726</v>
      </c>
      <c r="QI7" t="s">
        <v>6249</v>
      </c>
      <c r="QK7">
        <v>-2.4245362661989844E-14</v>
      </c>
      <c r="QL7">
        <v>-2.4245362661989844E-14</v>
      </c>
      <c r="QM7" t="s">
        <v>1594</v>
      </c>
      <c r="QN7">
        <v>2023</v>
      </c>
      <c r="QO7" t="s">
        <v>6250</v>
      </c>
      <c r="QP7" s="6">
        <v>45020</v>
      </c>
      <c r="QQ7">
        <v>5</v>
      </c>
      <c r="QR7">
        <v>-2.4245362661989844E-14</v>
      </c>
      <c r="QS7">
        <v>70553029</v>
      </c>
      <c r="QT7" t="s">
        <v>6251</v>
      </c>
      <c r="QW7" t="s">
        <v>3854</v>
      </c>
      <c r="QX7">
        <v>4.1531789999999997</v>
      </c>
      <c r="QY7" t="s">
        <v>1598</v>
      </c>
      <c r="QZ7">
        <v>0.78904099999999999</v>
      </c>
      <c r="RA7" t="s">
        <v>1599</v>
      </c>
      <c r="RB7">
        <v>2025</v>
      </c>
      <c r="RC7" t="s">
        <v>6279</v>
      </c>
      <c r="RD7" s="6">
        <v>45996</v>
      </c>
      <c r="RE7">
        <v>5</v>
      </c>
      <c r="RF7">
        <v>33520308</v>
      </c>
      <c r="RG7">
        <v>163205</v>
      </c>
      <c r="RH7" t="s">
        <v>3856</v>
      </c>
      <c r="RM7" t="s">
        <v>620</v>
      </c>
      <c r="RN7" t="s">
        <v>1598</v>
      </c>
      <c r="RO7">
        <v>0.69203999999999999</v>
      </c>
      <c r="RP7">
        <v>4.3590999999999998E-2</v>
      </c>
      <c r="RQ7" t="s">
        <v>1664</v>
      </c>
      <c r="RR7">
        <v>2025</v>
      </c>
      <c r="RS7" t="s">
        <v>2970</v>
      </c>
      <c r="RT7" s="6">
        <v>45891</v>
      </c>
      <c r="RU7">
        <v>5</v>
      </c>
      <c r="RV7">
        <v>18307918</v>
      </c>
      <c r="RW7">
        <v>104597</v>
      </c>
      <c r="RX7" t="s">
        <v>2971</v>
      </c>
      <c r="SA7" t="s">
        <v>2815</v>
      </c>
      <c r="SB7">
        <v>-2.4245362661989844E-14</v>
      </c>
      <c r="SD7">
        <v>-2.4245362661989844E-14</v>
      </c>
      <c r="SE7" t="s">
        <v>1594</v>
      </c>
      <c r="SF7">
        <v>2022</v>
      </c>
      <c r="SG7" t="s">
        <v>2816</v>
      </c>
      <c r="SH7" s="6">
        <v>45008</v>
      </c>
      <c r="SI7">
        <v>5</v>
      </c>
      <c r="SJ7">
        <v>-2.4245362661989844E-14</v>
      </c>
      <c r="SK7">
        <v>11533366</v>
      </c>
      <c r="SL7" t="s">
        <v>2817</v>
      </c>
      <c r="SQ7" t="s">
        <v>3820</v>
      </c>
      <c r="SR7" t="s">
        <v>1598</v>
      </c>
      <c r="SS7">
        <v>4.8302999999999999E-2</v>
      </c>
      <c r="ST7">
        <v>0.121222</v>
      </c>
      <c r="SU7" t="s">
        <v>1603</v>
      </c>
      <c r="SV7">
        <v>2025</v>
      </c>
      <c r="SW7" t="s">
        <v>3821</v>
      </c>
      <c r="SX7" s="6">
        <v>45849</v>
      </c>
      <c r="SY7">
        <v>5</v>
      </c>
      <c r="SZ7">
        <v>1375533</v>
      </c>
      <c r="TA7">
        <v>102595</v>
      </c>
      <c r="TB7" t="s">
        <v>3822</v>
      </c>
      <c r="TE7" t="s">
        <v>397</v>
      </c>
      <c r="TF7">
        <v>-2.4245362661989844E-14</v>
      </c>
      <c r="TH7">
        <v>-2.4245362661989844E-14</v>
      </c>
      <c r="TI7" t="s">
        <v>1594</v>
      </c>
      <c r="TJ7">
        <v>2025</v>
      </c>
      <c r="TK7" t="s">
        <v>3126</v>
      </c>
      <c r="TL7" s="6">
        <v>46071</v>
      </c>
      <c r="TM7">
        <v>4</v>
      </c>
      <c r="TN7">
        <v>-2.4245362661989844E-14</v>
      </c>
      <c r="TO7">
        <v>101661</v>
      </c>
      <c r="TP7" t="s">
        <v>5811</v>
      </c>
      <c r="UI7" t="s">
        <v>2441</v>
      </c>
      <c r="UJ7">
        <v>-2.4245362661989844E-14</v>
      </c>
      <c r="UL7">
        <v>-2.4245362661989844E-14</v>
      </c>
      <c r="UM7" t="s">
        <v>1651</v>
      </c>
      <c r="UN7">
        <v>2025</v>
      </c>
      <c r="UO7" t="s">
        <v>2442</v>
      </c>
      <c r="UP7" s="6">
        <v>45973</v>
      </c>
      <c r="UQ7">
        <v>5</v>
      </c>
      <c r="UR7">
        <v>-2.4245362661989844E-14</v>
      </c>
      <c r="US7">
        <v>16444455</v>
      </c>
      <c r="UT7" t="s">
        <v>2443</v>
      </c>
      <c r="UY7" t="s">
        <v>143</v>
      </c>
      <c r="UZ7" t="s">
        <v>1598</v>
      </c>
      <c r="VA7">
        <v>3.9223000000000001E-2</v>
      </c>
      <c r="VB7">
        <v>0.26887699999999998</v>
      </c>
      <c r="VC7" t="s">
        <v>1606</v>
      </c>
      <c r="VD7">
        <v>2025</v>
      </c>
      <c r="VE7" t="s">
        <v>2251</v>
      </c>
      <c r="VF7" s="6">
        <v>45848</v>
      </c>
      <c r="VG7">
        <v>5</v>
      </c>
      <c r="VH7">
        <v>6237634</v>
      </c>
      <c r="VI7">
        <v>101752</v>
      </c>
      <c r="VJ7" t="s">
        <v>2265</v>
      </c>
      <c r="VM7" t="s">
        <v>1841</v>
      </c>
      <c r="VN7">
        <v>-2.4245362661989844E-14</v>
      </c>
      <c r="VP7">
        <v>-2.4245362661989844E-14</v>
      </c>
      <c r="VQ7" t="s">
        <v>1594</v>
      </c>
      <c r="VR7">
        <v>2022</v>
      </c>
      <c r="VS7" t="s">
        <v>1837</v>
      </c>
      <c r="VT7" s="6">
        <v>44747</v>
      </c>
      <c r="VU7">
        <v>5</v>
      </c>
      <c r="VV7">
        <v>-2.4245362661989844E-14</v>
      </c>
      <c r="VW7">
        <v>69580632</v>
      </c>
      <c r="VX7" t="s">
        <v>1842</v>
      </c>
    </row>
    <row r="8" spans="1:600" x14ac:dyDescent="0.25">
      <c r="BI8" t="s">
        <v>3602</v>
      </c>
      <c r="BJ8" t="s">
        <v>1598</v>
      </c>
      <c r="BK8">
        <v>0.89916700000000005</v>
      </c>
      <c r="BL8">
        <v>0.87856100000000004</v>
      </c>
      <c r="BM8" t="s">
        <v>1606</v>
      </c>
      <c r="BN8">
        <v>2025</v>
      </c>
      <c r="BO8" t="s">
        <v>3603</v>
      </c>
      <c r="BP8" s="6">
        <v>46076</v>
      </c>
      <c r="BQ8">
        <v>5</v>
      </c>
      <c r="BR8">
        <v>18909482</v>
      </c>
      <c r="BS8">
        <v>187274</v>
      </c>
      <c r="BT8" t="s">
        <v>3604</v>
      </c>
      <c r="BW8" t="s">
        <v>2713</v>
      </c>
      <c r="BX8">
        <v>2.40829</v>
      </c>
      <c r="BY8" t="s">
        <v>1598</v>
      </c>
      <c r="BZ8">
        <v>0.50631099999999996</v>
      </c>
      <c r="CA8" t="s">
        <v>1664</v>
      </c>
      <c r="CB8">
        <v>2026</v>
      </c>
      <c r="CC8" t="s">
        <v>2710</v>
      </c>
      <c r="CD8" s="6">
        <v>46020</v>
      </c>
      <c r="CE8">
        <v>5</v>
      </c>
      <c r="CF8">
        <v>69917472</v>
      </c>
      <c r="CG8">
        <v>46386935</v>
      </c>
      <c r="CH8" t="s">
        <v>2714</v>
      </c>
      <c r="CM8" t="s">
        <v>2381</v>
      </c>
      <c r="CN8" t="s">
        <v>1598</v>
      </c>
      <c r="CO8">
        <v>0.38197399999999998</v>
      </c>
      <c r="CP8">
        <v>2.6527189999999998</v>
      </c>
      <c r="CQ8" t="s">
        <v>1664</v>
      </c>
      <c r="CR8">
        <v>2025</v>
      </c>
      <c r="CS8" t="s">
        <v>2375</v>
      </c>
      <c r="CT8" s="6">
        <v>45862</v>
      </c>
      <c r="CU8">
        <v>5</v>
      </c>
      <c r="CV8">
        <v>368330048</v>
      </c>
      <c r="CW8">
        <v>46946968</v>
      </c>
      <c r="CX8" t="s">
        <v>2382</v>
      </c>
      <c r="DA8" t="s">
        <v>1894</v>
      </c>
      <c r="DB8">
        <v>4.8992000000000001E-2</v>
      </c>
      <c r="DC8" t="s">
        <v>1598</v>
      </c>
      <c r="DD8">
        <v>1.135372</v>
      </c>
      <c r="DE8" t="s">
        <v>1606</v>
      </c>
      <c r="DF8">
        <v>2025</v>
      </c>
      <c r="DG8" t="s">
        <v>1895</v>
      </c>
      <c r="DH8" s="6">
        <v>46091</v>
      </c>
      <c r="DI8">
        <v>5</v>
      </c>
      <c r="DJ8">
        <v>17823852</v>
      </c>
      <c r="DK8">
        <v>156637</v>
      </c>
      <c r="DL8" t="s">
        <v>1896</v>
      </c>
      <c r="DQ8" t="s">
        <v>3151</v>
      </c>
      <c r="DR8" t="s">
        <v>1598</v>
      </c>
      <c r="DS8">
        <v>3.0638139999999998</v>
      </c>
      <c r="DT8">
        <v>2.2388059999999999</v>
      </c>
      <c r="DU8" t="s">
        <v>1603</v>
      </c>
      <c r="DV8">
        <v>2025</v>
      </c>
      <c r="DW8" t="s">
        <v>3152</v>
      </c>
      <c r="DX8" s="6">
        <v>45804</v>
      </c>
      <c r="DY8">
        <v>5</v>
      </c>
      <c r="DZ8">
        <v>39311874.579999998</v>
      </c>
      <c r="EA8">
        <v>8118223</v>
      </c>
      <c r="EB8" t="s">
        <v>3153</v>
      </c>
      <c r="EE8" t="s">
        <v>5487</v>
      </c>
      <c r="EF8">
        <v>2.3648120000000001</v>
      </c>
      <c r="EG8" t="s">
        <v>1598</v>
      </c>
      <c r="EH8">
        <v>30.796358000000001</v>
      </c>
      <c r="EI8" t="s">
        <v>1606</v>
      </c>
      <c r="EJ8">
        <v>2025</v>
      </c>
      <c r="EK8" t="s">
        <v>5488</v>
      </c>
      <c r="EL8" s="6">
        <v>45777</v>
      </c>
      <c r="EM8">
        <v>5</v>
      </c>
      <c r="EN8">
        <v>96225683.870000005</v>
      </c>
      <c r="EO8">
        <v>955442</v>
      </c>
      <c r="EP8" t="s">
        <v>5489</v>
      </c>
      <c r="FI8" t="s">
        <v>5833</v>
      </c>
      <c r="FJ8">
        <v>3.0940500000000002</v>
      </c>
      <c r="FK8" t="s">
        <v>1685</v>
      </c>
      <c r="FL8">
        <v>0.13098599999999999</v>
      </c>
      <c r="FM8" t="s">
        <v>1594</v>
      </c>
      <c r="FN8">
        <v>2024</v>
      </c>
      <c r="FO8" t="s">
        <v>5829</v>
      </c>
      <c r="FP8" s="6">
        <v>45707</v>
      </c>
      <c r="FQ8">
        <v>5</v>
      </c>
      <c r="FR8">
        <v>9810583.5</v>
      </c>
      <c r="FS8">
        <v>29627285</v>
      </c>
      <c r="FT8" t="s">
        <v>5834</v>
      </c>
      <c r="FY8" t="s">
        <v>2317</v>
      </c>
      <c r="FZ8" t="s">
        <v>1598</v>
      </c>
      <c r="GA8">
        <v>3.4728490000000001</v>
      </c>
      <c r="GB8">
        <v>2.314454</v>
      </c>
      <c r="GC8" t="s">
        <v>1603</v>
      </c>
      <c r="GD8">
        <v>2025</v>
      </c>
      <c r="GE8" t="s">
        <v>2318</v>
      </c>
      <c r="GF8" s="6">
        <v>45863</v>
      </c>
      <c r="GG8">
        <v>5</v>
      </c>
      <c r="GH8">
        <v>57236440</v>
      </c>
      <c r="GI8">
        <v>10832677</v>
      </c>
      <c r="GJ8" t="s">
        <v>2319</v>
      </c>
      <c r="GM8" t="s">
        <v>4368</v>
      </c>
      <c r="GN8">
        <v>-2.4245362661989844E-14</v>
      </c>
      <c r="GP8">
        <v>-2.4245362661989844E-14</v>
      </c>
      <c r="GQ8" t="s">
        <v>1594</v>
      </c>
      <c r="GR8">
        <v>2021</v>
      </c>
      <c r="GS8" t="s">
        <v>4240</v>
      </c>
      <c r="GT8" s="6">
        <v>44693</v>
      </c>
      <c r="GU8">
        <v>5</v>
      </c>
      <c r="GV8">
        <v>-2.4245362661989844E-14</v>
      </c>
      <c r="GW8">
        <v>209135</v>
      </c>
      <c r="GX8" t="s">
        <v>4369</v>
      </c>
      <c r="KO8" t="s">
        <v>620</v>
      </c>
      <c r="KP8" t="s">
        <v>1598</v>
      </c>
      <c r="KQ8">
        <v>0.34321200000000002</v>
      </c>
      <c r="KR8">
        <v>2.3015999999999998E-2</v>
      </c>
      <c r="KS8" t="s">
        <v>1664</v>
      </c>
      <c r="KT8">
        <v>2025</v>
      </c>
      <c r="KU8" t="s">
        <v>2970</v>
      </c>
      <c r="KV8" s="6">
        <v>45891</v>
      </c>
      <c r="KW8">
        <v>5</v>
      </c>
      <c r="KX8">
        <v>9079673</v>
      </c>
      <c r="KY8">
        <v>104597</v>
      </c>
      <c r="KZ8" t="s">
        <v>2971</v>
      </c>
      <c r="LC8" t="s">
        <v>2456</v>
      </c>
      <c r="LD8">
        <v>4.78</v>
      </c>
      <c r="LF8">
        <v>-2.4245362661989844E-14</v>
      </c>
      <c r="LG8" t="s">
        <v>1603</v>
      </c>
      <c r="LH8">
        <v>2025</v>
      </c>
      <c r="LI8" t="s">
        <v>2450</v>
      </c>
      <c r="LJ8" s="6">
        <v>45839</v>
      </c>
      <c r="LK8">
        <v>5</v>
      </c>
      <c r="LL8">
        <v>2228435968</v>
      </c>
      <c r="LM8">
        <v>209530</v>
      </c>
      <c r="LN8" t="s">
        <v>2457</v>
      </c>
      <c r="MW8" t="s">
        <v>79</v>
      </c>
      <c r="MX8" t="s">
        <v>1598</v>
      </c>
      <c r="MY8">
        <v>0.787219</v>
      </c>
      <c r="MZ8">
        <v>3.9592429999999998</v>
      </c>
      <c r="NA8" t="s">
        <v>1599</v>
      </c>
      <c r="NB8">
        <v>2025</v>
      </c>
      <c r="NC8" t="s">
        <v>2126</v>
      </c>
      <c r="ND8" s="6">
        <v>45966</v>
      </c>
      <c r="NE8">
        <v>5</v>
      </c>
      <c r="NF8">
        <v>136000000</v>
      </c>
      <c r="NG8">
        <v>100978</v>
      </c>
      <c r="NH8" t="s">
        <v>2127</v>
      </c>
      <c r="NK8" t="s">
        <v>31</v>
      </c>
      <c r="NL8">
        <v>2.3733979999999999</v>
      </c>
      <c r="NM8" t="s">
        <v>1598</v>
      </c>
      <c r="NN8">
        <v>0.47723100000000002</v>
      </c>
      <c r="NO8" t="s">
        <v>1664</v>
      </c>
      <c r="NP8">
        <v>2025</v>
      </c>
      <c r="NQ8" t="s">
        <v>1768</v>
      </c>
      <c r="NR8" s="6">
        <v>45929</v>
      </c>
      <c r="NS8">
        <v>5</v>
      </c>
      <c r="NT8">
        <v>291192192</v>
      </c>
      <c r="NU8">
        <v>60401289</v>
      </c>
      <c r="NV8" t="s">
        <v>1769</v>
      </c>
      <c r="OA8" t="s">
        <v>4828</v>
      </c>
      <c r="OC8">
        <v>-2.4245362661989844E-14</v>
      </c>
      <c r="OD8">
        <v>-2.4245362661989844E-14</v>
      </c>
      <c r="OE8" t="s">
        <v>1594</v>
      </c>
      <c r="OF8">
        <v>2022</v>
      </c>
      <c r="OG8" t="s">
        <v>4829</v>
      </c>
      <c r="OH8" s="6">
        <v>45019</v>
      </c>
      <c r="OI8">
        <v>4</v>
      </c>
      <c r="OJ8">
        <v>-2.4245362661989844E-14</v>
      </c>
      <c r="OK8">
        <v>11190543</v>
      </c>
      <c r="OL8" t="s">
        <v>4830</v>
      </c>
      <c r="OO8" t="s">
        <v>4727</v>
      </c>
      <c r="OP8">
        <v>1.38846</v>
      </c>
      <c r="OQ8" t="s">
        <v>1685</v>
      </c>
      <c r="OR8">
        <v>3.841923</v>
      </c>
      <c r="OS8" t="s">
        <v>1594</v>
      </c>
      <c r="OT8">
        <v>2024</v>
      </c>
      <c r="OU8" t="s">
        <v>4722</v>
      </c>
      <c r="OV8" s="6">
        <v>45693</v>
      </c>
      <c r="OW8">
        <v>5</v>
      </c>
      <c r="OX8">
        <v>20701241.25</v>
      </c>
      <c r="OY8">
        <v>112150</v>
      </c>
      <c r="OZ8" t="s">
        <v>4728</v>
      </c>
      <c r="QI8" t="s">
        <v>6252</v>
      </c>
      <c r="QK8">
        <v>-2.4245362661989844E-14</v>
      </c>
      <c r="QL8">
        <v>-2.4245362661989844E-14</v>
      </c>
      <c r="QM8" t="s">
        <v>1792</v>
      </c>
      <c r="QN8">
        <v>2025</v>
      </c>
      <c r="QO8" t="s">
        <v>6253</v>
      </c>
      <c r="QP8" s="6">
        <v>45856</v>
      </c>
      <c r="QQ8">
        <v>5</v>
      </c>
      <c r="QR8">
        <v>-2.4245362661989844E-14</v>
      </c>
      <c r="QS8">
        <v>20507888</v>
      </c>
      <c r="QT8" t="s">
        <v>6254</v>
      </c>
      <c r="QW8" t="s">
        <v>812</v>
      </c>
      <c r="QX8">
        <v>3.4559039999999999</v>
      </c>
      <c r="QY8" t="s">
        <v>1598</v>
      </c>
      <c r="QZ8">
        <v>0.78904099999999999</v>
      </c>
      <c r="RA8" t="s">
        <v>1599</v>
      </c>
      <c r="RB8">
        <v>2025</v>
      </c>
      <c r="RC8" t="s">
        <v>6279</v>
      </c>
      <c r="RD8" s="6">
        <v>45996</v>
      </c>
      <c r="RE8">
        <v>5</v>
      </c>
      <c r="RF8">
        <v>27892600</v>
      </c>
      <c r="RG8">
        <v>102032</v>
      </c>
      <c r="RH8" t="s">
        <v>3859</v>
      </c>
      <c r="RM8" t="s">
        <v>1084</v>
      </c>
      <c r="RN8" t="s">
        <v>1685</v>
      </c>
      <c r="RO8">
        <v>0.17041600000000001</v>
      </c>
      <c r="RP8">
        <v>0.18884000000000001</v>
      </c>
      <c r="RQ8" t="s">
        <v>1664</v>
      </c>
      <c r="RR8">
        <v>2025</v>
      </c>
      <c r="RS8" t="s">
        <v>2052</v>
      </c>
      <c r="RT8" s="6">
        <v>45838</v>
      </c>
      <c r="RU8">
        <v>5</v>
      </c>
      <c r="RV8">
        <v>10008532</v>
      </c>
      <c r="RW8">
        <v>101689</v>
      </c>
      <c r="RX8" t="s">
        <v>2053</v>
      </c>
      <c r="SA8" t="s">
        <v>2818</v>
      </c>
      <c r="SB8">
        <v>-2.4245362661989844E-14</v>
      </c>
      <c r="SD8">
        <v>-2.4245362661989844E-14</v>
      </c>
      <c r="SE8" t="s">
        <v>1594</v>
      </c>
      <c r="SF8">
        <v>2024</v>
      </c>
      <c r="SG8" t="s">
        <v>2819</v>
      </c>
      <c r="SH8" s="6">
        <v>45404</v>
      </c>
      <c r="SI8">
        <v>5</v>
      </c>
      <c r="SJ8">
        <v>-2.4245362661989844E-14</v>
      </c>
      <c r="SK8">
        <v>59738013</v>
      </c>
      <c r="SL8" t="s">
        <v>2820</v>
      </c>
      <c r="SQ8" t="s">
        <v>1557</v>
      </c>
      <c r="SS8">
        <v>-2.4245362661989844E-14</v>
      </c>
      <c r="ST8">
        <v>-2.4245362661989844E-14</v>
      </c>
      <c r="SU8" t="s">
        <v>1594</v>
      </c>
      <c r="SV8">
        <v>2025</v>
      </c>
      <c r="SW8" t="s">
        <v>5893</v>
      </c>
      <c r="SX8" s="6">
        <v>45896</v>
      </c>
      <c r="SY8">
        <v>5</v>
      </c>
      <c r="SZ8">
        <v>-2.4245362661989844E-14</v>
      </c>
      <c r="TA8">
        <v>350245</v>
      </c>
      <c r="TB8" t="s">
        <v>5894</v>
      </c>
      <c r="TE8" t="s">
        <v>5812</v>
      </c>
      <c r="TF8">
        <v>-2.4245362661989844E-14</v>
      </c>
      <c r="TH8">
        <v>-2.4245362661989844E-14</v>
      </c>
      <c r="TI8" t="s">
        <v>1594</v>
      </c>
      <c r="TJ8">
        <v>2024</v>
      </c>
      <c r="TK8" t="s">
        <v>5813</v>
      </c>
      <c r="TL8" s="6">
        <v>45618</v>
      </c>
      <c r="TM8">
        <v>4</v>
      </c>
      <c r="TN8">
        <v>-2.4245362661989844E-14</v>
      </c>
      <c r="TO8">
        <v>101039</v>
      </c>
      <c r="TP8" t="s">
        <v>5814</v>
      </c>
      <c r="UI8" t="s">
        <v>2444</v>
      </c>
      <c r="UJ8">
        <v>-2.4245362661989844E-14</v>
      </c>
      <c r="UL8">
        <v>-2.4245362661989844E-14</v>
      </c>
      <c r="UM8" t="s">
        <v>1594</v>
      </c>
      <c r="UN8">
        <v>2024</v>
      </c>
      <c r="UO8" t="s">
        <v>2445</v>
      </c>
      <c r="UP8" s="6">
        <v>45820</v>
      </c>
      <c r="UQ8">
        <v>5</v>
      </c>
      <c r="UR8">
        <v>-2.4245362661989844E-14</v>
      </c>
      <c r="US8">
        <v>48621274</v>
      </c>
      <c r="UT8" t="s">
        <v>2446</v>
      </c>
      <c r="UY8" t="s">
        <v>1518</v>
      </c>
      <c r="UZ8" t="s">
        <v>1598</v>
      </c>
      <c r="VA8">
        <v>7.3467000000000005E-2</v>
      </c>
      <c r="VB8">
        <v>5.9725E-2</v>
      </c>
      <c r="VC8" t="s">
        <v>1606</v>
      </c>
      <c r="VD8">
        <v>2025</v>
      </c>
      <c r="VE8" t="s">
        <v>1667</v>
      </c>
      <c r="VF8" s="6">
        <v>45946</v>
      </c>
      <c r="VG8">
        <v>5</v>
      </c>
      <c r="VH8">
        <v>1460524</v>
      </c>
      <c r="VI8">
        <v>100345</v>
      </c>
      <c r="VJ8" t="s">
        <v>2355</v>
      </c>
      <c r="VM8" t="s">
        <v>1843</v>
      </c>
      <c r="VN8">
        <v>-2.4245362661989844E-14</v>
      </c>
      <c r="VP8">
        <v>-2.4245362661989844E-14</v>
      </c>
      <c r="VQ8" t="s">
        <v>1594</v>
      </c>
      <c r="VR8">
        <v>2024</v>
      </c>
      <c r="VS8" t="s">
        <v>1837</v>
      </c>
      <c r="VT8" s="6">
        <v>45385</v>
      </c>
      <c r="VU8">
        <v>5</v>
      </c>
      <c r="VV8">
        <v>-2.4245362661989844E-14</v>
      </c>
      <c r="VW8">
        <v>70068664</v>
      </c>
      <c r="VX8" t="s">
        <v>1844</v>
      </c>
    </row>
    <row r="9" spans="1:600" x14ac:dyDescent="0.25">
      <c r="BI9" t="s">
        <v>3373</v>
      </c>
      <c r="BJ9" t="s">
        <v>1685</v>
      </c>
      <c r="BK9">
        <v>0.119411</v>
      </c>
      <c r="BL9">
        <v>1.4986539999999999</v>
      </c>
      <c r="BM9" t="s">
        <v>1664</v>
      </c>
      <c r="BN9">
        <v>2026</v>
      </c>
      <c r="BO9" t="s">
        <v>3374</v>
      </c>
      <c r="BP9" s="6">
        <v>46022</v>
      </c>
      <c r="BQ9">
        <v>5</v>
      </c>
      <c r="BR9">
        <v>5598707.7800000003</v>
      </c>
      <c r="BS9">
        <v>174545</v>
      </c>
      <c r="BT9" t="s">
        <v>3375</v>
      </c>
      <c r="BW9" t="s">
        <v>1943</v>
      </c>
      <c r="BX9">
        <v>2.1785049999999999</v>
      </c>
      <c r="BY9" t="s">
        <v>1598</v>
      </c>
      <c r="BZ9">
        <v>0.108095</v>
      </c>
      <c r="CA9" t="s">
        <v>1664</v>
      </c>
      <c r="CB9">
        <v>2026</v>
      </c>
      <c r="CC9" t="s">
        <v>2710</v>
      </c>
      <c r="CD9" s="6">
        <v>46020</v>
      </c>
      <c r="CE9">
        <v>5</v>
      </c>
      <c r="CF9">
        <v>63246356</v>
      </c>
      <c r="CG9">
        <v>101758</v>
      </c>
      <c r="CH9" t="s">
        <v>1944</v>
      </c>
      <c r="CM9" t="s">
        <v>2383</v>
      </c>
      <c r="CN9" t="s">
        <v>1634</v>
      </c>
      <c r="CO9">
        <v>5.5977880000000004</v>
      </c>
      <c r="CP9">
        <v>7.6756450000000003</v>
      </c>
      <c r="CQ9" t="s">
        <v>1599</v>
      </c>
      <c r="CR9">
        <v>2025</v>
      </c>
      <c r="CS9" t="s">
        <v>2384</v>
      </c>
      <c r="CT9" s="6">
        <v>46029</v>
      </c>
      <c r="CU9">
        <v>5</v>
      </c>
      <c r="CV9">
        <v>330895084.14999998</v>
      </c>
      <c r="CW9">
        <v>115705</v>
      </c>
      <c r="CX9" t="s">
        <v>2385</v>
      </c>
      <c r="DA9" t="s">
        <v>1645</v>
      </c>
      <c r="DB9">
        <v>4.8830999999999999E-2</v>
      </c>
      <c r="DC9" t="s">
        <v>1598</v>
      </c>
      <c r="DD9">
        <v>2.7042419999999998</v>
      </c>
      <c r="DE9" t="s">
        <v>1599</v>
      </c>
      <c r="DF9">
        <v>2025</v>
      </c>
      <c r="DG9" t="s">
        <v>1897</v>
      </c>
      <c r="DH9" s="6">
        <v>45840</v>
      </c>
      <c r="DI9">
        <v>5</v>
      </c>
      <c r="DJ9">
        <v>16351064</v>
      </c>
      <c r="DK9">
        <v>136424</v>
      </c>
      <c r="DL9" t="s">
        <v>1647</v>
      </c>
      <c r="DQ9" t="s">
        <v>3145</v>
      </c>
      <c r="DR9" t="s">
        <v>1598</v>
      </c>
      <c r="DS9">
        <v>0.75007900000000005</v>
      </c>
      <c r="DT9">
        <v>1.9236930000000001</v>
      </c>
      <c r="DU9" t="s">
        <v>1603</v>
      </c>
      <c r="DV9">
        <v>2025</v>
      </c>
      <c r="DW9" t="s">
        <v>3146</v>
      </c>
      <c r="DX9" s="6">
        <v>45819</v>
      </c>
      <c r="DY9">
        <v>5</v>
      </c>
      <c r="DZ9">
        <v>33782291.130000003</v>
      </c>
      <c r="EA9">
        <v>58244711</v>
      </c>
      <c r="EB9" t="s">
        <v>3147</v>
      </c>
      <c r="EE9" t="s">
        <v>1679</v>
      </c>
      <c r="EF9">
        <v>1.559631</v>
      </c>
      <c r="EG9" t="s">
        <v>1598</v>
      </c>
      <c r="EH9">
        <v>1.5618050000000001</v>
      </c>
      <c r="EI9" t="s">
        <v>1599</v>
      </c>
      <c r="EJ9">
        <v>2025</v>
      </c>
      <c r="EK9" t="s">
        <v>5486</v>
      </c>
      <c r="EL9" s="6">
        <v>45954</v>
      </c>
      <c r="EM9">
        <v>5</v>
      </c>
      <c r="EN9">
        <v>73957704</v>
      </c>
      <c r="EO9">
        <v>12129192</v>
      </c>
      <c r="EP9" t="s">
        <v>1681</v>
      </c>
      <c r="FI9" t="s">
        <v>5835</v>
      </c>
      <c r="FJ9">
        <v>2.4426709999999998</v>
      </c>
      <c r="FL9">
        <v>-2.4245362661989844E-14</v>
      </c>
      <c r="FM9" t="s">
        <v>1594</v>
      </c>
      <c r="FN9">
        <v>2024</v>
      </c>
      <c r="FO9" t="s">
        <v>5829</v>
      </c>
      <c r="FP9" s="6">
        <v>45707</v>
      </c>
      <c r="FQ9">
        <v>5</v>
      </c>
      <c r="FR9">
        <v>7745197.5</v>
      </c>
      <c r="FS9">
        <v>9993161</v>
      </c>
      <c r="FT9" t="s">
        <v>5836</v>
      </c>
      <c r="FY9" t="s">
        <v>493</v>
      </c>
      <c r="FZ9" t="s">
        <v>1598</v>
      </c>
      <c r="GA9">
        <v>0.123136</v>
      </c>
      <c r="GB9">
        <v>0.19595000000000001</v>
      </c>
      <c r="GC9" t="s">
        <v>1603</v>
      </c>
      <c r="GD9">
        <v>2025</v>
      </c>
      <c r="GE9" t="s">
        <v>2093</v>
      </c>
      <c r="GF9" s="6">
        <v>45795</v>
      </c>
      <c r="GG9">
        <v>5</v>
      </c>
      <c r="GH9">
        <v>4845833</v>
      </c>
      <c r="GI9">
        <v>100499</v>
      </c>
      <c r="GJ9" t="s">
        <v>2094</v>
      </c>
      <c r="GM9" t="s">
        <v>4370</v>
      </c>
      <c r="GN9">
        <v>-2.4245362661989844E-14</v>
      </c>
      <c r="GP9">
        <v>-2.4245362661989844E-14</v>
      </c>
      <c r="GQ9" t="s">
        <v>1594</v>
      </c>
      <c r="GR9">
        <v>2021</v>
      </c>
      <c r="GS9" t="s">
        <v>4240</v>
      </c>
      <c r="GT9" s="6">
        <v>44693</v>
      </c>
      <c r="GU9">
        <v>5</v>
      </c>
      <c r="GV9">
        <v>-2.4245362661989844E-14</v>
      </c>
      <c r="GW9">
        <v>227360</v>
      </c>
      <c r="GX9" t="s">
        <v>4371</v>
      </c>
      <c r="KO9" t="s">
        <v>2972</v>
      </c>
      <c r="KP9" t="s">
        <v>1598</v>
      </c>
      <c r="KQ9">
        <v>0.222939</v>
      </c>
      <c r="KR9">
        <v>2.0771999999999999E-2</v>
      </c>
      <c r="KS9" t="s">
        <v>1664</v>
      </c>
      <c r="KT9">
        <v>2025</v>
      </c>
      <c r="KU9" t="s">
        <v>2973</v>
      </c>
      <c r="KV9" s="6">
        <v>45929</v>
      </c>
      <c r="KW9">
        <v>5</v>
      </c>
      <c r="KX9">
        <v>8194346</v>
      </c>
      <c r="KY9">
        <v>106470</v>
      </c>
      <c r="KZ9" t="s">
        <v>2974</v>
      </c>
      <c r="LC9" t="s">
        <v>2458</v>
      </c>
      <c r="LD9">
        <v>4.74</v>
      </c>
      <c r="LF9">
        <v>-2.4245362661989844E-14</v>
      </c>
      <c r="LG9" t="s">
        <v>1603</v>
      </c>
      <c r="LH9">
        <v>2025</v>
      </c>
      <c r="LI9" t="s">
        <v>2450</v>
      </c>
      <c r="LJ9" s="6">
        <v>45839</v>
      </c>
      <c r="LK9">
        <v>5</v>
      </c>
      <c r="LL9">
        <v>2209787904</v>
      </c>
      <c r="LM9">
        <v>1060118</v>
      </c>
      <c r="LN9" t="s">
        <v>2459</v>
      </c>
      <c r="MW9" t="s">
        <v>240</v>
      </c>
      <c r="MX9" t="s">
        <v>2128</v>
      </c>
      <c r="MY9">
        <v>0.29407699999999998</v>
      </c>
      <c r="MZ9">
        <v>2.7836400000000001</v>
      </c>
      <c r="NA9" t="s">
        <v>1594</v>
      </c>
      <c r="NB9">
        <v>2025</v>
      </c>
      <c r="NC9" t="s">
        <v>1765</v>
      </c>
      <c r="ND9" s="6">
        <v>46064</v>
      </c>
      <c r="NE9">
        <v>5</v>
      </c>
      <c r="NF9">
        <v>69250000</v>
      </c>
      <c r="NG9">
        <v>100828</v>
      </c>
      <c r="NH9" t="s">
        <v>1865</v>
      </c>
      <c r="NK9" t="s">
        <v>306</v>
      </c>
      <c r="NL9">
        <v>1.0236080000000001</v>
      </c>
      <c r="NM9" t="s">
        <v>1598</v>
      </c>
      <c r="NN9">
        <v>0.137097</v>
      </c>
      <c r="NO9" t="s">
        <v>1664</v>
      </c>
      <c r="NP9">
        <v>2025</v>
      </c>
      <c r="NQ9" t="s">
        <v>1768</v>
      </c>
      <c r="NR9" s="6">
        <v>45929</v>
      </c>
      <c r="NS9">
        <v>5</v>
      </c>
      <c r="NT9">
        <v>125586464</v>
      </c>
      <c r="NU9">
        <v>101548</v>
      </c>
      <c r="NV9" t="s">
        <v>1770</v>
      </c>
      <c r="OO9" t="s">
        <v>3499</v>
      </c>
      <c r="OP9">
        <v>1.38846</v>
      </c>
      <c r="OQ9" t="s">
        <v>1685</v>
      </c>
      <c r="OR9">
        <v>4.1475580000000001</v>
      </c>
      <c r="OS9" t="s">
        <v>1594</v>
      </c>
      <c r="OT9">
        <v>2024</v>
      </c>
      <c r="OU9" t="s">
        <v>4722</v>
      </c>
      <c r="OV9" s="6">
        <v>45693</v>
      </c>
      <c r="OW9">
        <v>5</v>
      </c>
      <c r="OX9">
        <v>20701241.25</v>
      </c>
      <c r="OY9">
        <v>69579252</v>
      </c>
      <c r="OZ9" t="s">
        <v>3500</v>
      </c>
      <c r="QI9" t="s">
        <v>6255</v>
      </c>
      <c r="QK9">
        <v>-2.4245362661989844E-14</v>
      </c>
      <c r="QL9">
        <v>-2.4245362661989844E-14</v>
      </c>
      <c r="QM9" t="s">
        <v>1792</v>
      </c>
      <c r="QN9">
        <v>2024</v>
      </c>
      <c r="QO9" t="s">
        <v>6256</v>
      </c>
      <c r="QP9" s="6">
        <v>45660</v>
      </c>
      <c r="QQ9">
        <v>5</v>
      </c>
      <c r="QR9">
        <v>-2.4245362661989844E-14</v>
      </c>
      <c r="QS9">
        <v>66939206</v>
      </c>
      <c r="QT9" t="s">
        <v>6257</v>
      </c>
      <c r="QW9" t="s">
        <v>275</v>
      </c>
      <c r="QX9">
        <v>2.6170840000000002</v>
      </c>
      <c r="QY9" t="s">
        <v>1598</v>
      </c>
      <c r="QZ9">
        <v>0.250415</v>
      </c>
      <c r="RA9" t="s">
        <v>1599</v>
      </c>
      <c r="RB9">
        <v>2025</v>
      </c>
      <c r="RC9" t="s">
        <v>6279</v>
      </c>
      <c r="RD9" s="6">
        <v>45996</v>
      </c>
      <c r="RE9">
        <v>5</v>
      </c>
      <c r="RF9">
        <v>21122484</v>
      </c>
      <c r="RG9">
        <v>101729</v>
      </c>
      <c r="RH9" t="s">
        <v>2229</v>
      </c>
      <c r="RM9" t="s">
        <v>3162</v>
      </c>
      <c r="RN9" t="s">
        <v>1685</v>
      </c>
      <c r="RO9">
        <v>0.29472100000000001</v>
      </c>
      <c r="RP9">
        <v>2.6449E-2</v>
      </c>
      <c r="RQ9" t="s">
        <v>1603</v>
      </c>
      <c r="RR9">
        <v>2025</v>
      </c>
      <c r="RS9" t="s">
        <v>3163</v>
      </c>
      <c r="RT9" s="6">
        <v>45855</v>
      </c>
      <c r="RU9">
        <v>5</v>
      </c>
      <c r="RV9">
        <v>1401790</v>
      </c>
      <c r="RW9">
        <v>171977</v>
      </c>
      <c r="RX9" t="s">
        <v>3164</v>
      </c>
      <c r="SA9" t="s">
        <v>2821</v>
      </c>
      <c r="SB9">
        <v>-2.4245362661989844E-14</v>
      </c>
      <c r="SD9">
        <v>-2.4245362661989844E-14</v>
      </c>
      <c r="SE9" t="s">
        <v>1594</v>
      </c>
      <c r="SF9">
        <v>2023</v>
      </c>
      <c r="SG9" t="s">
        <v>2822</v>
      </c>
      <c r="SH9" s="6">
        <v>45302</v>
      </c>
      <c r="SI9">
        <v>5</v>
      </c>
      <c r="SJ9">
        <v>-2.4245362661989844E-14</v>
      </c>
      <c r="SK9">
        <v>8168286</v>
      </c>
      <c r="SL9" t="s">
        <v>2823</v>
      </c>
      <c r="SQ9" t="s">
        <v>5895</v>
      </c>
      <c r="SS9">
        <v>-2.4245362661989844E-14</v>
      </c>
      <c r="ST9">
        <v>-2.4245362661989844E-14</v>
      </c>
      <c r="SU9" t="s">
        <v>1599</v>
      </c>
      <c r="SV9">
        <v>2025</v>
      </c>
      <c r="SW9" t="s">
        <v>5896</v>
      </c>
      <c r="SX9" s="6">
        <v>45951</v>
      </c>
      <c r="SY9">
        <v>5</v>
      </c>
      <c r="SZ9">
        <v>-2.4245362661989844E-14</v>
      </c>
      <c r="TA9">
        <v>1018898</v>
      </c>
      <c r="TB9" t="s">
        <v>5897</v>
      </c>
      <c r="UI9" t="s">
        <v>2447</v>
      </c>
      <c r="UJ9">
        <v>-2.4245362661989844E-14</v>
      </c>
      <c r="UL9">
        <v>-2.4245362661989844E-14</v>
      </c>
      <c r="UM9" t="s">
        <v>1594</v>
      </c>
      <c r="UN9">
        <v>2024</v>
      </c>
      <c r="UO9" t="s">
        <v>2448</v>
      </c>
      <c r="UP9" s="6">
        <v>45730</v>
      </c>
      <c r="UQ9">
        <v>5</v>
      </c>
      <c r="UR9">
        <v>-2.4245362661989844E-14</v>
      </c>
      <c r="US9">
        <v>11486695</v>
      </c>
      <c r="UT9" t="s">
        <v>2449</v>
      </c>
      <c r="UY9" t="s">
        <v>2356</v>
      </c>
      <c r="VA9">
        <v>-2.4245362661989844E-14</v>
      </c>
      <c r="VB9">
        <v>-2.4245362661989844E-14</v>
      </c>
      <c r="VC9" t="s">
        <v>1792</v>
      </c>
      <c r="VD9">
        <v>2025</v>
      </c>
      <c r="VE9" t="s">
        <v>2357</v>
      </c>
      <c r="VF9" s="6">
        <v>45896</v>
      </c>
      <c r="VG9">
        <v>5</v>
      </c>
      <c r="VH9">
        <v>-2.4245362661989844E-14</v>
      </c>
      <c r="VI9">
        <v>12202769</v>
      </c>
      <c r="VJ9" t="s">
        <v>2358</v>
      </c>
      <c r="VM9" t="s">
        <v>1845</v>
      </c>
      <c r="VN9">
        <v>-2.4245362661989844E-14</v>
      </c>
      <c r="VP9">
        <v>-2.4245362661989844E-14</v>
      </c>
      <c r="VQ9" t="s">
        <v>1594</v>
      </c>
      <c r="VR9">
        <v>2023</v>
      </c>
      <c r="VS9" t="s">
        <v>1846</v>
      </c>
      <c r="VT9" s="6">
        <v>45392</v>
      </c>
      <c r="VU9">
        <v>5</v>
      </c>
      <c r="VV9">
        <v>-2.4245362661989844E-14</v>
      </c>
      <c r="VW9">
        <v>23962876</v>
      </c>
      <c r="VX9" t="s">
        <v>1847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596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597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598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599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600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601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602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603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604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605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606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607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608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609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610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611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612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613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614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586</v>
      </c>
      <c r="AE2" s="3" t="s">
        <v>560</v>
      </c>
      <c r="BI2" s="3" t="s">
        <v>615</v>
      </c>
      <c r="CM2" s="3" t="s">
        <v>399</v>
      </c>
      <c r="DQ2" s="3" t="s">
        <v>616</v>
      </c>
      <c r="EU2" s="3" t="s">
        <v>617</v>
      </c>
      <c r="FY2" s="3" t="s">
        <v>248</v>
      </c>
      <c r="HC2" s="3" t="s">
        <v>618</v>
      </c>
      <c r="IG2" s="3" t="s">
        <v>531</v>
      </c>
      <c r="JK2" s="3" t="s">
        <v>619</v>
      </c>
      <c r="KO2" s="3" t="s">
        <v>620</v>
      </c>
      <c r="LS2" s="3" t="s">
        <v>621</v>
      </c>
      <c r="MW2" s="3" t="s">
        <v>622</v>
      </c>
      <c r="OA2" s="3" t="s">
        <v>623</v>
      </c>
      <c r="PE2" s="3" t="s">
        <v>624</v>
      </c>
      <c r="QI2" s="3" t="s">
        <v>625</v>
      </c>
      <c r="RM2" s="3" t="s">
        <v>531</v>
      </c>
      <c r="SQ2" s="3" t="s">
        <v>626</v>
      </c>
      <c r="TU2" s="3" t="s">
        <v>627</v>
      </c>
      <c r="UY2" s="3" t="s">
        <v>395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_xll.BDS("TXN US Equity","SUPPLY_CHAIN_SUPPLIERS_ALL_DATA","cols=12;rows=5")</f>
        <v>2330 TT Equity</v>
      </c>
      <c r="B5" t="s">
        <v>1598</v>
      </c>
      <c r="C5">
        <v>0.48809900000000001</v>
      </c>
      <c r="D5">
        <v>7.736631</v>
      </c>
      <c r="E5" t="s">
        <v>1606</v>
      </c>
      <c r="F5">
        <v>2024</v>
      </c>
      <c r="G5" t="s">
        <v>3144</v>
      </c>
      <c r="H5" s="6">
        <v>45741</v>
      </c>
      <c r="I5">
        <v>5</v>
      </c>
      <c r="J5">
        <v>131034563.84999999</v>
      </c>
      <c r="K5">
        <v>153737</v>
      </c>
      <c r="L5" t="s">
        <v>2584</v>
      </c>
      <c r="O5" t="str">
        <f>_xll.BDS("TXN US Equity","SUPPLY_CHAIN_CUSTOMERS_ALL_DATA","cols=12;rows=5")</f>
        <v>VOW GR Equity</v>
      </c>
      <c r="P5">
        <v>6.0573319999999997</v>
      </c>
      <c r="Q5" t="s">
        <v>1598</v>
      </c>
      <c r="R5">
        <v>0.37687500000000002</v>
      </c>
      <c r="S5" t="s">
        <v>1599</v>
      </c>
      <c r="T5">
        <v>2025</v>
      </c>
      <c r="U5" t="s">
        <v>5486</v>
      </c>
      <c r="V5" s="6">
        <v>45954</v>
      </c>
      <c r="W5">
        <v>5</v>
      </c>
      <c r="X5">
        <v>287238688</v>
      </c>
      <c r="Y5">
        <v>115757</v>
      </c>
      <c r="Z5" t="s">
        <v>5358</v>
      </c>
      <c r="AE5" t="str">
        <f>_xll.BDS("CYH US Equity","SUPPLY_CHAIN_SUPPLIERS_ALL_DATA","cols=12;rows=5")</f>
        <v>DOC US Equity</v>
      </c>
      <c r="AG5">
        <v>0.84334399999999998</v>
      </c>
      <c r="AH5">
        <v>-2.4245362661989844E-14</v>
      </c>
      <c r="AI5" t="s">
        <v>1606</v>
      </c>
      <c r="AJ5">
        <v>2024</v>
      </c>
      <c r="AK5" t="s">
        <v>3283</v>
      </c>
      <c r="AL5" s="6">
        <v>45691</v>
      </c>
      <c r="AM5">
        <v>5</v>
      </c>
      <c r="AN5">
        <v>5886441</v>
      </c>
      <c r="AO5">
        <v>70929473</v>
      </c>
      <c r="AP5" t="s">
        <v>3284</v>
      </c>
      <c r="AS5" t="str">
        <f>_xll.BDS("CYH US Equity","SUPPLY_CHAIN_CUSTOMERS_ALL_DATA","cols=12;rows=1")</f>
        <v>9877893Z US Equity</v>
      </c>
      <c r="AT5">
        <v>-2.4245362661989844E-14</v>
      </c>
      <c r="AV5">
        <v>-2.4245362661989844E-14</v>
      </c>
      <c r="AW5" t="s">
        <v>1599</v>
      </c>
      <c r="AX5">
        <v>2025</v>
      </c>
      <c r="AY5" t="s">
        <v>2728</v>
      </c>
      <c r="AZ5" s="6">
        <v>45954</v>
      </c>
      <c r="BA5">
        <v>1</v>
      </c>
      <c r="BB5">
        <v>-2.4245362661989844E-14</v>
      </c>
      <c r="BC5">
        <v>17483390</v>
      </c>
      <c r="BD5" t="s">
        <v>2729</v>
      </c>
      <c r="BI5" t="str">
        <f>_xll.BDS("DLR US Equity","SUPPLY_CHAIN_SUPPLIERS_ALL_DATA","cols=12;rows=5")</f>
        <v>5401 JP Equity</v>
      </c>
      <c r="BJ5" t="s">
        <v>1598</v>
      </c>
      <c r="BK5">
        <v>2.3973999999999999E-2</v>
      </c>
      <c r="BL5">
        <v>3.0128590000000002</v>
      </c>
      <c r="BM5" t="s">
        <v>1599</v>
      </c>
      <c r="BN5">
        <v>2026</v>
      </c>
      <c r="BO5" t="s">
        <v>5114</v>
      </c>
      <c r="BP5" s="6">
        <v>46071</v>
      </c>
      <c r="BQ5">
        <v>5</v>
      </c>
      <c r="BR5">
        <v>3608736.23</v>
      </c>
      <c r="BS5">
        <v>114402</v>
      </c>
      <c r="BT5" t="s">
        <v>1605</v>
      </c>
      <c r="BW5" t="str">
        <f>_xll.BDS("DLR US Equity","SUPPLY_CHAIN_CUSTOMERS_ALL_DATA","cols=12;rows=5")</f>
        <v>ORCL US Equity</v>
      </c>
      <c r="BX5">
        <v>6.9385139999999996</v>
      </c>
      <c r="BY5" t="s">
        <v>1685</v>
      </c>
      <c r="BZ5">
        <v>4.1261799999999997</v>
      </c>
      <c r="CA5" t="s">
        <v>1594</v>
      </c>
      <c r="CB5">
        <v>2025</v>
      </c>
      <c r="CC5" t="s">
        <v>2044</v>
      </c>
      <c r="CD5" s="6">
        <v>46066</v>
      </c>
      <c r="CE5">
        <v>5</v>
      </c>
      <c r="CF5">
        <v>106032500</v>
      </c>
      <c r="CG5">
        <v>101752</v>
      </c>
      <c r="CH5" t="s">
        <v>2265</v>
      </c>
      <c r="CM5" t="str">
        <f>_xll.BDS("IP US Equity","SUPPLY_CHAIN_SUPPLIERS_ALL_DATA","cols=12;rows=5")</f>
        <v>MTX US Equity</v>
      </c>
      <c r="CN5" t="s">
        <v>1598</v>
      </c>
      <c r="CO5">
        <v>2.7562509999999998</v>
      </c>
      <c r="CP5">
        <v>0.34728900000000001</v>
      </c>
      <c r="CQ5" t="s">
        <v>1606</v>
      </c>
      <c r="CR5">
        <v>2025</v>
      </c>
      <c r="CS5" t="s">
        <v>3756</v>
      </c>
      <c r="CT5" s="6">
        <v>46070</v>
      </c>
      <c r="CU5">
        <v>5</v>
      </c>
      <c r="CV5">
        <v>14318724</v>
      </c>
      <c r="CW5">
        <v>115851</v>
      </c>
      <c r="CX5" t="s">
        <v>3757</v>
      </c>
      <c r="DA5" t="str">
        <f>_xll.BDS("IP US Equity","SUPPLY_CHAIN_CUSTOMERS_ALL_DATA","cols=12;rows=5")</f>
        <v>TSCO LN Equity</v>
      </c>
      <c r="DB5">
        <v>0.128079</v>
      </c>
      <c r="DC5" t="s">
        <v>1598</v>
      </c>
      <c r="DD5">
        <v>4.0013E-2</v>
      </c>
      <c r="DE5" t="s">
        <v>1603</v>
      </c>
      <c r="DF5">
        <v>2026</v>
      </c>
      <c r="DG5" t="s">
        <v>1876</v>
      </c>
      <c r="DH5" s="6">
        <v>45898</v>
      </c>
      <c r="DI5">
        <v>5</v>
      </c>
      <c r="DJ5">
        <v>8490118.5899999999</v>
      </c>
      <c r="DK5">
        <v>112370</v>
      </c>
      <c r="DL5" t="s">
        <v>1877</v>
      </c>
      <c r="DQ5" t="str">
        <f>_xll.BDS("SSCCQ US Equity","SUPPLY_CHAIN_SUPPLIERS_ALL_DATA")</f>
        <v>#N/A N/A</v>
      </c>
      <c r="EE5" t="str">
        <f>_xll.BDS("SSCCQ US Equity","SUPPLY_CHAIN_CUSTOMERS_ALL_DATA")</f>
        <v>#N/A N/A</v>
      </c>
      <c r="EU5" t="str">
        <f>_xll.BDS("CSCO US Equity","SUPPLY_CHAIN_SUPPLIERS_ALL_DATA","cols=12;rows=5")</f>
        <v>NVDA US Equity</v>
      </c>
      <c r="EV5" t="s">
        <v>1598</v>
      </c>
      <c r="EW5">
        <v>0.44414500000000001</v>
      </c>
      <c r="EX5">
        <v>5.627351</v>
      </c>
      <c r="EY5" t="s">
        <v>1606</v>
      </c>
      <c r="EZ5">
        <v>2026</v>
      </c>
      <c r="FA5" t="s">
        <v>2004</v>
      </c>
      <c r="FB5" s="6">
        <v>46087</v>
      </c>
      <c r="FC5">
        <v>5</v>
      </c>
      <c r="FD5">
        <v>302582656</v>
      </c>
      <c r="FE5">
        <v>313657</v>
      </c>
      <c r="FF5" t="s">
        <v>2005</v>
      </c>
      <c r="FI5" t="str">
        <f>_xll.BDS("CSCO US Equity","SUPPLY_CHAIN_CUSTOMERS_ALL_DATA","cols=12;rows=5")</f>
        <v>SNX US Equity</v>
      </c>
      <c r="FJ5">
        <v>3.3352200000000001</v>
      </c>
      <c r="FK5" t="s">
        <v>1598</v>
      </c>
      <c r="FL5">
        <v>3.067034</v>
      </c>
      <c r="FM5" t="s">
        <v>1606</v>
      </c>
      <c r="FN5">
        <v>2025</v>
      </c>
      <c r="FO5" t="s">
        <v>1701</v>
      </c>
      <c r="FP5" s="6">
        <v>46056</v>
      </c>
      <c r="FQ5">
        <v>5</v>
      </c>
      <c r="FR5">
        <v>496380736</v>
      </c>
      <c r="FS5">
        <v>1499717</v>
      </c>
      <c r="FT5" t="s">
        <v>1702</v>
      </c>
      <c r="FY5" t="str">
        <f>_xll.BDS("1996074D US Equity","SUPPLY_CHAIN_SUPPLIERS_ALL_DATA")</f>
        <v>#N/A N/A</v>
      </c>
      <c r="GM5" t="str">
        <f>_xll.BDS("1996074D US Equity","SUPPLY_CHAIN_CUSTOMERS_ALL_DATA")</f>
        <v>#N/A N/A</v>
      </c>
      <c r="HC5" t="str">
        <f>_xll.BDS("CAH US Equity","SUPPLY_CHAIN_SUPPLIERS_ALL_DATA","cols=12;rows=5")</f>
        <v>LLY US Equity</v>
      </c>
      <c r="HD5" t="s">
        <v>1598</v>
      </c>
      <c r="HE5">
        <v>19.020800000000001</v>
      </c>
      <c r="HF5">
        <v>5.4268320000000001</v>
      </c>
      <c r="HG5" t="s">
        <v>1599</v>
      </c>
      <c r="HH5">
        <v>2025</v>
      </c>
      <c r="HI5" t="s">
        <v>1859</v>
      </c>
      <c r="HJ5" s="6">
        <v>46041</v>
      </c>
      <c r="HK5">
        <v>5</v>
      </c>
      <c r="HL5">
        <v>3347812864</v>
      </c>
      <c r="HM5">
        <v>100894</v>
      </c>
      <c r="HN5" t="s">
        <v>2218</v>
      </c>
      <c r="HQ5" t="str">
        <f>_xll.BDS("CAH US Equity","SUPPLY_CHAIN_CUSTOMERS_ALL_DATA","cols=12;rows=5")</f>
        <v>CVS US Equity</v>
      </c>
      <c r="HR5">
        <v>30</v>
      </c>
      <c r="HS5" t="s">
        <v>1598</v>
      </c>
      <c r="HT5">
        <v>20.040337000000001</v>
      </c>
      <c r="HU5" t="s">
        <v>1594</v>
      </c>
      <c r="HV5">
        <v>2025</v>
      </c>
      <c r="HW5" t="s">
        <v>1819</v>
      </c>
      <c r="HX5" s="6">
        <v>45881</v>
      </c>
      <c r="HY5">
        <v>5</v>
      </c>
      <c r="HZ5">
        <v>16693350400</v>
      </c>
      <c r="IA5">
        <v>100976</v>
      </c>
      <c r="IB5" t="s">
        <v>1820</v>
      </c>
      <c r="IG5" t="str">
        <f>_xll.BDS("APO US Equity","SUPPLY_CHAIN_SUPPLIERS_ALL_DATA","cols=12;rows=5")</f>
        <v>PG US Equity</v>
      </c>
      <c r="IH5" t="s">
        <v>1598</v>
      </c>
      <c r="II5">
        <v>0.57909100000000002</v>
      </c>
      <c r="IJ5">
        <v>2.1118830000000002</v>
      </c>
      <c r="IK5" t="s">
        <v>1603</v>
      </c>
      <c r="IL5">
        <v>2025</v>
      </c>
      <c r="IM5" t="s">
        <v>2670</v>
      </c>
      <c r="IN5" s="6">
        <v>45679</v>
      </c>
      <c r="IO5">
        <v>5</v>
      </c>
      <c r="IP5">
        <v>121665568</v>
      </c>
      <c r="IQ5">
        <v>101215</v>
      </c>
      <c r="IR5" t="s">
        <v>1868</v>
      </c>
      <c r="IU5" t="str">
        <f>_xll.BDS("APO US Equity","SUPPLY_CHAIN_CUSTOMERS_ALL_DATA","cols=12;rows=5")</f>
        <v>RTX US Equity</v>
      </c>
      <c r="IV5">
        <v>0.13495699999999999</v>
      </c>
      <c r="IW5" t="s">
        <v>1598</v>
      </c>
      <c r="IX5">
        <v>4.7856000000000003E-2</v>
      </c>
      <c r="IY5" t="s">
        <v>1603</v>
      </c>
      <c r="IZ5">
        <v>2025</v>
      </c>
      <c r="JA5" t="s">
        <v>2129</v>
      </c>
      <c r="JB5" s="6">
        <v>45798</v>
      </c>
      <c r="JC5">
        <v>5</v>
      </c>
      <c r="JD5">
        <v>7747886</v>
      </c>
      <c r="JE5">
        <v>101555</v>
      </c>
      <c r="JF5" t="s">
        <v>2130</v>
      </c>
      <c r="JK5" t="str">
        <f>_xll.BDS("DXC US Equity","SUPPLY_CHAIN_SUPPLIERS_ALL_DATA","cols=12;rows=5")</f>
        <v>IBM US Equity</v>
      </c>
      <c r="JL5" t="s">
        <v>1598</v>
      </c>
      <c r="JM5">
        <v>0.115673</v>
      </c>
      <c r="JN5">
        <v>0.700542</v>
      </c>
      <c r="JO5" t="s">
        <v>1603</v>
      </c>
      <c r="JP5">
        <v>2025</v>
      </c>
      <c r="JQ5" t="s">
        <v>1744</v>
      </c>
      <c r="JR5" s="6">
        <v>45797</v>
      </c>
      <c r="JS5">
        <v>5</v>
      </c>
      <c r="JT5">
        <v>16820012</v>
      </c>
      <c r="JU5">
        <v>100801</v>
      </c>
      <c r="JV5" t="s">
        <v>1745</v>
      </c>
      <c r="JY5" t="str">
        <f>_xll.BDS("DXC US Equity","SUPPLY_CHAIN_CUSTOMERS_ALL_DATA","cols=12;rows=5")</f>
        <v>8206440Z LN Equity</v>
      </c>
      <c r="JZ5">
        <v>2.2744970000000002</v>
      </c>
      <c r="KA5" t="s">
        <v>1685</v>
      </c>
      <c r="KB5">
        <v>-2.4245362661989844E-14</v>
      </c>
      <c r="KC5" t="s">
        <v>1594</v>
      </c>
      <c r="KD5">
        <v>2025</v>
      </c>
      <c r="KE5" t="s">
        <v>1635</v>
      </c>
      <c r="KF5" s="6">
        <v>45925</v>
      </c>
      <c r="KG5">
        <v>5</v>
      </c>
      <c r="KH5">
        <v>71775000</v>
      </c>
      <c r="KI5">
        <v>340053</v>
      </c>
      <c r="KJ5" t="s">
        <v>1636</v>
      </c>
      <c r="KO5" t="str">
        <f>_xll.BDS("BIIB US Equity","SUPPLY_CHAIN_SUPPLIERS_ALL_DATA","cols=12;rows=5")</f>
        <v>IONS US Equity</v>
      </c>
      <c r="KP5" t="s">
        <v>1598</v>
      </c>
      <c r="KQ5">
        <v>21.945872999999999</v>
      </c>
      <c r="KR5">
        <v>8.8303799999999999</v>
      </c>
      <c r="KS5" t="s">
        <v>1594</v>
      </c>
      <c r="KT5">
        <v>2025</v>
      </c>
      <c r="KU5" t="s">
        <v>5938</v>
      </c>
      <c r="KV5" s="6">
        <v>46059</v>
      </c>
      <c r="KW5">
        <v>5</v>
      </c>
      <c r="KX5">
        <v>53075000</v>
      </c>
      <c r="KY5">
        <v>104764</v>
      </c>
      <c r="KZ5" t="s">
        <v>5939</v>
      </c>
      <c r="LC5" t="str">
        <f>_xll.BDS("BIIB US Equity","SUPPLY_CHAIN_CUSTOMERS_ALL_DATA","cols=12;rows=5")</f>
        <v>COR US Equity</v>
      </c>
      <c r="LD5">
        <v>27.546534000000001</v>
      </c>
      <c r="LE5" t="s">
        <v>1598</v>
      </c>
      <c r="LF5">
        <v>0.93721299999999996</v>
      </c>
      <c r="LG5" t="s">
        <v>1664</v>
      </c>
      <c r="LH5">
        <v>2025</v>
      </c>
      <c r="LI5" t="s">
        <v>2970</v>
      </c>
      <c r="LJ5" s="6">
        <v>45891</v>
      </c>
      <c r="LK5">
        <v>5</v>
      </c>
      <c r="LL5">
        <v>728743552</v>
      </c>
      <c r="LM5">
        <v>156969</v>
      </c>
      <c r="LN5" t="s">
        <v>1767</v>
      </c>
      <c r="LS5" t="str">
        <f>_xll.BDS("285939Q US Equity","SUPPLY_CHAIN_SUPPLIERS_ALL_DATA")</f>
        <v>#N/A N/A</v>
      </c>
      <c r="MG5" t="str">
        <f>_xll.BDS("285939Q US Equity","SUPPLY_CHAIN_CUSTOMERS_ALL_DATA")</f>
        <v>#N/A N/A</v>
      </c>
      <c r="MW5" t="str">
        <f>_xll.BDS("ACM US Equity","SUPPLY_CHAIN_SUPPLIERS_ALL_DATA","cols=12;rows=5")</f>
        <v>ERF FP Equity</v>
      </c>
      <c r="MX5" t="s">
        <v>1598</v>
      </c>
      <c r="MY5">
        <v>3.7766000000000001E-2</v>
      </c>
      <c r="MZ5">
        <v>1.8984999999999998E-2</v>
      </c>
      <c r="NA5" t="s">
        <v>1606</v>
      </c>
      <c r="NB5">
        <v>2024</v>
      </c>
      <c r="NC5" t="s">
        <v>4063</v>
      </c>
      <c r="ND5" s="6">
        <v>45730</v>
      </c>
      <c r="NE5">
        <v>5</v>
      </c>
      <c r="NF5">
        <v>711893.37</v>
      </c>
      <c r="NG5">
        <v>239787</v>
      </c>
      <c r="NH5" t="s">
        <v>4064</v>
      </c>
      <c r="NK5" t="str">
        <f>_xll.BDS("ACM US Equity","SUPPLY_CHAIN_CUSTOMERS_ALL_DATA","cols=12;rows=5")</f>
        <v>3352Z US Equity</v>
      </c>
      <c r="NL5">
        <v>7</v>
      </c>
      <c r="NN5">
        <v>-2.4245362661989844E-14</v>
      </c>
      <c r="NO5" t="s">
        <v>1594</v>
      </c>
      <c r="NP5">
        <v>2024</v>
      </c>
      <c r="NQ5" t="s">
        <v>5528</v>
      </c>
      <c r="NR5" s="6">
        <v>45980</v>
      </c>
      <c r="NS5">
        <v>5</v>
      </c>
      <c r="NT5">
        <v>266000000</v>
      </c>
      <c r="NU5">
        <v>218252</v>
      </c>
      <c r="NV5" t="s">
        <v>1622</v>
      </c>
      <c r="OA5" t="str">
        <f>_xll.BDS("1715651D US Equity","SUPPLY_CHAIN_SUPPLIERS_ALL_DATA","cols=12;rows=1")</f>
        <v>FE US Equity</v>
      </c>
      <c r="OC5">
        <v>-2.4245362661989844E-14</v>
      </c>
      <c r="OD5">
        <v>-2.4245362661989844E-14</v>
      </c>
      <c r="OE5" t="s">
        <v>1594</v>
      </c>
      <c r="OF5">
        <v>2021</v>
      </c>
      <c r="OG5" t="s">
        <v>3048</v>
      </c>
      <c r="OH5" s="6">
        <v>44693</v>
      </c>
      <c r="OI5">
        <v>1</v>
      </c>
      <c r="OJ5">
        <v>-2.4245362661989844E-14</v>
      </c>
      <c r="OK5">
        <v>302916</v>
      </c>
      <c r="OL5" t="s">
        <v>3049</v>
      </c>
      <c r="OO5" t="str">
        <f>_xll.BDS("1715651D US Equity","SUPPLY_CHAIN_CUSTOMERS_ALL_DATA")</f>
        <v>#N/A N/A</v>
      </c>
      <c r="PE5" t="str">
        <f>_xll.BDS("MTCH US Equity","SUPPLY_CHAIN_SUPPLIERS_ALL_DATA","cols=12;rows=5")</f>
        <v>053300 KS Equity</v>
      </c>
      <c r="PG5">
        <v>-2.4245362661989844E-14</v>
      </c>
      <c r="PH5">
        <v>-2.4245362661989844E-14</v>
      </c>
      <c r="PI5" t="s">
        <v>1651</v>
      </c>
      <c r="PJ5">
        <v>2025</v>
      </c>
      <c r="PK5" t="s">
        <v>3270</v>
      </c>
      <c r="PL5" s="6">
        <v>45974</v>
      </c>
      <c r="PM5">
        <v>5</v>
      </c>
      <c r="PN5">
        <v>-2.4245362661989844E-14</v>
      </c>
      <c r="PO5">
        <v>23189849</v>
      </c>
      <c r="PP5" t="s">
        <v>3271</v>
      </c>
      <c r="PS5" t="str">
        <f>_xll.BDS("MTCH US Equity","SUPPLY_CHAIN_CUSTOMERS_ALL_DATA","cols=12;rows=3")</f>
        <v>AAPL US Equity</v>
      </c>
      <c r="PT5">
        <v>-2.4245362661989844E-14</v>
      </c>
      <c r="PV5">
        <v>-2.4245362661989844E-14</v>
      </c>
      <c r="PW5" t="s">
        <v>1664</v>
      </c>
      <c r="PX5">
        <v>2024</v>
      </c>
      <c r="PY5" t="s">
        <v>2638</v>
      </c>
      <c r="PZ5" s="6">
        <v>45505</v>
      </c>
      <c r="QA5">
        <v>3</v>
      </c>
      <c r="QB5">
        <v>-2.4245362661989844E-14</v>
      </c>
      <c r="QC5">
        <v>101695</v>
      </c>
      <c r="QD5" t="s">
        <v>1919</v>
      </c>
      <c r="QI5" t="str">
        <f>_xll.BDS("NFB US Equity","SUPPLY_CHAIN_SUPPLIERS_ALL_DATA")</f>
        <v>#N/A N/A</v>
      </c>
      <c r="QW5" t="str">
        <f>_xll.BDS("NFB US Equity","SUPPLY_CHAIN_CUSTOMERS_ALL_DATA")</f>
        <v>#N/A N/A</v>
      </c>
      <c r="RM5" t="str">
        <f>_xll.BDS("APO US Equity","SUPPLY_CHAIN_SUPPLIERS_ALL_DATA","cols=12;rows=5")</f>
        <v>PG US Equity</v>
      </c>
      <c r="RN5" t="s">
        <v>1598</v>
      </c>
      <c r="RO5">
        <v>0.57909100000000002</v>
      </c>
      <c r="RP5">
        <v>2.1118830000000002</v>
      </c>
      <c r="RQ5" t="s">
        <v>1603</v>
      </c>
      <c r="RR5">
        <v>2025</v>
      </c>
      <c r="RS5" t="s">
        <v>2670</v>
      </c>
      <c r="RT5" s="6">
        <v>45679</v>
      </c>
      <c r="RU5">
        <v>5</v>
      </c>
      <c r="RV5">
        <v>121665568</v>
      </c>
      <c r="RW5">
        <v>101215</v>
      </c>
      <c r="RX5" t="s">
        <v>1868</v>
      </c>
      <c r="SA5" t="str">
        <f>_xll.BDS("APO US Equity","SUPPLY_CHAIN_CUSTOMERS_ALL_DATA","cols=12;rows=5")</f>
        <v>RTX US Equity</v>
      </c>
      <c r="SB5">
        <v>0.13495699999999999</v>
      </c>
      <c r="SC5" t="s">
        <v>1598</v>
      </c>
      <c r="SD5">
        <v>4.7856000000000003E-2</v>
      </c>
      <c r="SE5" t="s">
        <v>1603</v>
      </c>
      <c r="SF5">
        <v>2025</v>
      </c>
      <c r="SG5" t="s">
        <v>2129</v>
      </c>
      <c r="SH5" s="6">
        <v>45798</v>
      </c>
      <c r="SI5">
        <v>5</v>
      </c>
      <c r="SJ5">
        <v>7747886</v>
      </c>
      <c r="SK5">
        <v>101555</v>
      </c>
      <c r="SL5" t="s">
        <v>2130</v>
      </c>
      <c r="SQ5" t="str">
        <f>_xll.BDS("CPB US Equity","SUPPLY_CHAIN_SUPPLIERS_ALL_DATA","cols=12;rows=5")</f>
        <v>SLGN US Equity</v>
      </c>
      <c r="SR5" t="s">
        <v>1598</v>
      </c>
      <c r="SS5">
        <v>7.7075839999999998</v>
      </c>
      <c r="ST5">
        <v>6.0049640000000002</v>
      </c>
      <c r="SU5" t="s">
        <v>1606</v>
      </c>
      <c r="SV5">
        <v>2025</v>
      </c>
      <c r="SW5" t="s">
        <v>3094</v>
      </c>
      <c r="SX5" s="6">
        <v>46077</v>
      </c>
      <c r="SY5">
        <v>5</v>
      </c>
      <c r="SZ5">
        <v>113193576</v>
      </c>
      <c r="TA5">
        <v>159323</v>
      </c>
      <c r="TB5" t="s">
        <v>3095</v>
      </c>
      <c r="TE5" t="str">
        <f>_xll.BDS("CPB US Equity","SUPPLY_CHAIN_CUSTOMERS_ALL_DATA","cols=12;rows=5")</f>
        <v>WMT US Equity</v>
      </c>
      <c r="TF5">
        <v>21</v>
      </c>
      <c r="TG5" t="s">
        <v>1598</v>
      </c>
      <c r="TH5">
        <v>0.41359699999999999</v>
      </c>
      <c r="TI5" t="s">
        <v>1594</v>
      </c>
      <c r="TJ5">
        <v>2025</v>
      </c>
      <c r="TK5" t="s">
        <v>5012</v>
      </c>
      <c r="TL5" s="6">
        <v>45918</v>
      </c>
      <c r="TM5">
        <v>5</v>
      </c>
      <c r="TN5">
        <v>538282496</v>
      </c>
      <c r="TO5">
        <v>101616</v>
      </c>
      <c r="TP5" t="s">
        <v>1666</v>
      </c>
      <c r="TU5" t="str">
        <f>_xll.BDS("WLL US Equity","SUPPLY_CHAIN_SUPPLIERS_ALL_DATA")</f>
        <v>#N/A N/A</v>
      </c>
      <c r="UI5" t="str">
        <f>_xll.BDS("WLL US Equity","SUPPLY_CHAIN_CUSTOMERS_ALL_DATA")</f>
        <v>#N/A N/A</v>
      </c>
      <c r="UY5" t="str">
        <f>_xll.BDS("DBRG US Equity","SUPPLY_CHAIN_SUPPLIERS_ALL_DATA","cols=12;rows=5")</f>
        <v>1504275D US Equity</v>
      </c>
      <c r="VA5">
        <v>-2.4245362661989844E-14</v>
      </c>
      <c r="VB5">
        <v>-2.4245362661989844E-14</v>
      </c>
      <c r="VC5" t="s">
        <v>1594</v>
      </c>
      <c r="VD5">
        <v>2025</v>
      </c>
      <c r="VE5" t="s">
        <v>4693</v>
      </c>
      <c r="VF5" s="6">
        <v>45845</v>
      </c>
      <c r="VG5">
        <v>5</v>
      </c>
      <c r="VH5">
        <v>-2.4245362661989844E-14</v>
      </c>
      <c r="VI5">
        <v>53552391</v>
      </c>
      <c r="VJ5" t="s">
        <v>4694</v>
      </c>
      <c r="VM5" t="str">
        <f>_xll.BDS("DBRG US Equity","SUPPLY_CHAIN_CUSTOMERS_ALL_DATA","cols=12;rows=5")</f>
        <v>603667 CH Equity</v>
      </c>
      <c r="VN5">
        <v>4.1456E-2</v>
      </c>
      <c r="VO5" t="s">
        <v>1598</v>
      </c>
      <c r="VP5">
        <v>5.4593000000000003E-2</v>
      </c>
      <c r="VQ5" t="s">
        <v>1792</v>
      </c>
      <c r="VR5">
        <v>2025</v>
      </c>
      <c r="VS5" t="s">
        <v>5468</v>
      </c>
      <c r="VT5" s="6">
        <v>45896</v>
      </c>
      <c r="VU5">
        <v>5</v>
      </c>
      <c r="VV5">
        <v>59653.42</v>
      </c>
      <c r="VW5">
        <v>21769261</v>
      </c>
      <c r="VX5" t="s">
        <v>5469</v>
      </c>
    </row>
    <row r="6" spans="1:600" x14ac:dyDescent="0.25">
      <c r="A6" t="s">
        <v>5638</v>
      </c>
      <c r="B6" t="s">
        <v>1634</v>
      </c>
      <c r="C6">
        <v>1.628396</v>
      </c>
      <c r="D6">
        <v>5.8130329999999999</v>
      </c>
      <c r="E6" t="s">
        <v>1664</v>
      </c>
      <c r="F6">
        <v>2026</v>
      </c>
      <c r="G6" t="s">
        <v>5639</v>
      </c>
      <c r="H6" s="6">
        <v>46028</v>
      </c>
      <c r="I6">
        <v>5</v>
      </c>
      <c r="J6">
        <v>69609374.329999998</v>
      </c>
      <c r="K6">
        <v>114992</v>
      </c>
      <c r="L6" t="s">
        <v>5640</v>
      </c>
      <c r="O6" t="s">
        <v>1891</v>
      </c>
      <c r="P6">
        <v>5.3475780000000004</v>
      </c>
      <c r="Q6" t="s">
        <v>1598</v>
      </c>
      <c r="R6">
        <v>3.7672150000000002</v>
      </c>
      <c r="S6" t="s">
        <v>1599</v>
      </c>
      <c r="T6">
        <v>2025</v>
      </c>
      <c r="U6" t="s">
        <v>5486</v>
      </c>
      <c r="V6" s="6">
        <v>45954</v>
      </c>
      <c r="W6">
        <v>5</v>
      </c>
      <c r="X6">
        <v>253582144</v>
      </c>
      <c r="Y6">
        <v>100115</v>
      </c>
      <c r="Z6" t="s">
        <v>1893</v>
      </c>
      <c r="AE6" t="s">
        <v>3285</v>
      </c>
      <c r="AG6">
        <v>-2.4245362661989844E-14</v>
      </c>
      <c r="AH6">
        <v>-2.4245362661989844E-14</v>
      </c>
      <c r="AI6" t="s">
        <v>1594</v>
      </c>
      <c r="AJ6">
        <v>2023</v>
      </c>
      <c r="AK6" t="s">
        <v>3286</v>
      </c>
      <c r="AL6" s="6">
        <v>45176</v>
      </c>
      <c r="AM6">
        <v>5</v>
      </c>
      <c r="AN6">
        <v>-2.4245362661989844E-14</v>
      </c>
      <c r="AO6">
        <v>50172077</v>
      </c>
      <c r="AP6" t="s">
        <v>3287</v>
      </c>
      <c r="BI6" t="s">
        <v>2272</v>
      </c>
      <c r="BJ6" t="s">
        <v>1634</v>
      </c>
      <c r="BK6">
        <v>8.1880000000000008E-3</v>
      </c>
      <c r="BL6">
        <v>6.0601000000000002E-2</v>
      </c>
      <c r="BM6" t="s">
        <v>1599</v>
      </c>
      <c r="BN6">
        <v>2025</v>
      </c>
      <c r="BO6" t="s">
        <v>2273</v>
      </c>
      <c r="BP6" s="6">
        <v>45964</v>
      </c>
      <c r="BQ6">
        <v>5</v>
      </c>
      <c r="BR6">
        <v>42500</v>
      </c>
      <c r="BS6">
        <v>16546862</v>
      </c>
      <c r="BT6" t="s">
        <v>2274</v>
      </c>
      <c r="BW6" t="s">
        <v>117</v>
      </c>
      <c r="BX6">
        <v>1.7929250000000001</v>
      </c>
      <c r="BY6" t="s">
        <v>1685</v>
      </c>
      <c r="BZ6">
        <v>0.54463099999999998</v>
      </c>
      <c r="CA6" t="s">
        <v>1594</v>
      </c>
      <c r="CB6">
        <v>2025</v>
      </c>
      <c r="CC6" t="s">
        <v>2044</v>
      </c>
      <c r="CD6" s="6">
        <v>46066</v>
      </c>
      <c r="CE6">
        <v>5</v>
      </c>
      <c r="CF6">
        <v>27399000</v>
      </c>
      <c r="CG6">
        <v>100801</v>
      </c>
      <c r="CH6" t="s">
        <v>1745</v>
      </c>
      <c r="CM6" t="s">
        <v>143</v>
      </c>
      <c r="CN6" t="s">
        <v>1598</v>
      </c>
      <c r="CO6">
        <v>6.6083000000000003E-2</v>
      </c>
      <c r="CP6">
        <v>0.246752</v>
      </c>
      <c r="CQ6" t="s">
        <v>1606</v>
      </c>
      <c r="CR6">
        <v>2025</v>
      </c>
      <c r="CS6" t="s">
        <v>2251</v>
      </c>
      <c r="CT6" s="6">
        <v>45848</v>
      </c>
      <c r="CU6">
        <v>5</v>
      </c>
      <c r="CV6">
        <v>10509179</v>
      </c>
      <c r="CW6">
        <v>101752</v>
      </c>
      <c r="CX6" t="s">
        <v>2265</v>
      </c>
      <c r="DA6" t="s">
        <v>2032</v>
      </c>
      <c r="DB6">
        <v>-2.4245362661989844E-14</v>
      </c>
      <c r="DD6">
        <v>-2.4245362661989844E-14</v>
      </c>
      <c r="DE6" t="s">
        <v>1651</v>
      </c>
      <c r="DF6">
        <v>2025</v>
      </c>
      <c r="DG6" t="s">
        <v>4358</v>
      </c>
      <c r="DH6" s="6">
        <v>45975</v>
      </c>
      <c r="DI6">
        <v>5</v>
      </c>
      <c r="DJ6">
        <v>-2.4245362661989844E-14</v>
      </c>
      <c r="DK6">
        <v>128990</v>
      </c>
      <c r="DL6" t="s">
        <v>2034</v>
      </c>
      <c r="EU6" t="s">
        <v>3655</v>
      </c>
      <c r="EV6" t="s">
        <v>1598</v>
      </c>
      <c r="EW6">
        <v>0.347161</v>
      </c>
      <c r="EX6">
        <v>4.1422239999999997</v>
      </c>
      <c r="EY6" t="s">
        <v>1664</v>
      </c>
      <c r="EZ6">
        <v>2025</v>
      </c>
      <c r="FA6" t="s">
        <v>3656</v>
      </c>
      <c r="FB6" s="6">
        <v>45889</v>
      </c>
      <c r="FC6">
        <v>5</v>
      </c>
      <c r="FD6">
        <v>201928052.13999999</v>
      </c>
      <c r="FE6">
        <v>119133</v>
      </c>
      <c r="FF6" t="s">
        <v>3657</v>
      </c>
      <c r="FI6" t="s">
        <v>178</v>
      </c>
      <c r="FJ6">
        <v>2.8732120000000001</v>
      </c>
      <c r="FK6" t="s">
        <v>1634</v>
      </c>
      <c r="FL6">
        <v>2.4006630000000002</v>
      </c>
      <c r="FM6" t="s">
        <v>1664</v>
      </c>
      <c r="FN6">
        <v>2025</v>
      </c>
      <c r="FO6" t="s">
        <v>3227</v>
      </c>
      <c r="FP6" s="6">
        <v>45783</v>
      </c>
      <c r="FQ6">
        <v>5</v>
      </c>
      <c r="FR6">
        <v>401991104</v>
      </c>
      <c r="FS6">
        <v>101743</v>
      </c>
      <c r="FT6" t="s">
        <v>1736</v>
      </c>
      <c r="HC6" t="s">
        <v>25</v>
      </c>
      <c r="HD6" t="s">
        <v>1598</v>
      </c>
      <c r="HE6">
        <v>18.560427000000001</v>
      </c>
      <c r="HF6">
        <v>4.8780200000000002</v>
      </c>
      <c r="HG6" t="s">
        <v>1606</v>
      </c>
      <c r="HH6">
        <v>2025</v>
      </c>
      <c r="HI6" t="s">
        <v>2220</v>
      </c>
      <c r="HJ6" s="6">
        <v>46077</v>
      </c>
      <c r="HK6">
        <v>5</v>
      </c>
      <c r="HL6">
        <v>3084371712</v>
      </c>
      <c r="HM6">
        <v>28046509</v>
      </c>
      <c r="HN6" t="s">
        <v>2221</v>
      </c>
      <c r="HQ6" t="s">
        <v>1821</v>
      </c>
      <c r="HR6">
        <v>4</v>
      </c>
      <c r="HT6">
        <v>-2.4245362661989844E-14</v>
      </c>
      <c r="HU6" t="s">
        <v>1606</v>
      </c>
      <c r="HV6">
        <v>2025</v>
      </c>
      <c r="HW6" t="s">
        <v>1822</v>
      </c>
      <c r="HX6" s="6">
        <v>45954</v>
      </c>
      <c r="HY6">
        <v>5</v>
      </c>
      <c r="HZ6">
        <v>2406360064</v>
      </c>
      <c r="IA6">
        <v>48003505</v>
      </c>
      <c r="IB6" t="s">
        <v>1823</v>
      </c>
      <c r="IG6" t="s">
        <v>4431</v>
      </c>
      <c r="IH6" t="s">
        <v>1598</v>
      </c>
      <c r="II6">
        <v>2.3059889999999998</v>
      </c>
      <c r="IJ6">
        <v>1.5310429999999999</v>
      </c>
      <c r="IK6" t="s">
        <v>1603</v>
      </c>
      <c r="IL6">
        <v>2025</v>
      </c>
      <c r="IM6" t="s">
        <v>4432</v>
      </c>
      <c r="IN6" s="6">
        <v>45834</v>
      </c>
      <c r="IO6">
        <v>5</v>
      </c>
      <c r="IP6">
        <v>65559268</v>
      </c>
      <c r="IQ6">
        <v>100803</v>
      </c>
      <c r="IR6" t="s">
        <v>4433</v>
      </c>
      <c r="IU6" t="s">
        <v>462</v>
      </c>
      <c r="IV6">
        <v>0.10491399999999999</v>
      </c>
      <c r="IW6" t="s">
        <v>1598</v>
      </c>
      <c r="IX6">
        <v>5.4052999999999997E-2</v>
      </c>
      <c r="IY6" t="s">
        <v>1664</v>
      </c>
      <c r="IZ6">
        <v>2025</v>
      </c>
      <c r="JA6" t="s">
        <v>3366</v>
      </c>
      <c r="JB6" s="6">
        <v>45876</v>
      </c>
      <c r="JC6">
        <v>5</v>
      </c>
      <c r="JD6">
        <v>6023126</v>
      </c>
      <c r="JE6">
        <v>100285</v>
      </c>
      <c r="JF6" t="s">
        <v>1764</v>
      </c>
      <c r="JK6" t="s">
        <v>143</v>
      </c>
      <c r="JL6" t="s">
        <v>1598</v>
      </c>
      <c r="JM6">
        <v>4.1859E-2</v>
      </c>
      <c r="JN6">
        <v>0.27725300000000003</v>
      </c>
      <c r="JO6" t="s">
        <v>1606</v>
      </c>
      <c r="JP6">
        <v>2025</v>
      </c>
      <c r="JQ6" t="s">
        <v>2251</v>
      </c>
      <c r="JR6" s="6">
        <v>45848</v>
      </c>
      <c r="JS6">
        <v>5</v>
      </c>
      <c r="JT6">
        <v>6656837</v>
      </c>
      <c r="JU6">
        <v>101752</v>
      </c>
      <c r="JV6" t="s">
        <v>2265</v>
      </c>
      <c r="JY6" t="s">
        <v>5962</v>
      </c>
      <c r="JZ6">
        <v>4.6890000000000001E-2</v>
      </c>
      <c r="KA6" t="s">
        <v>1598</v>
      </c>
      <c r="KB6">
        <v>38.625701999999997</v>
      </c>
      <c r="KC6" t="s">
        <v>1594</v>
      </c>
      <c r="KD6">
        <v>2025</v>
      </c>
      <c r="KE6" t="s">
        <v>5963</v>
      </c>
      <c r="KF6" s="6">
        <v>45856</v>
      </c>
      <c r="KG6">
        <v>5</v>
      </c>
      <c r="KH6">
        <v>1509585.69</v>
      </c>
      <c r="KI6">
        <v>9529669</v>
      </c>
      <c r="KJ6" t="s">
        <v>5964</v>
      </c>
      <c r="KO6" t="s">
        <v>5940</v>
      </c>
      <c r="KP6" t="s">
        <v>1598</v>
      </c>
      <c r="KQ6">
        <v>11</v>
      </c>
      <c r="KR6">
        <v>7.4160110000000001</v>
      </c>
      <c r="KS6" t="s">
        <v>1594</v>
      </c>
      <c r="KT6">
        <v>2024</v>
      </c>
      <c r="KU6" t="s">
        <v>5941</v>
      </c>
      <c r="KV6" s="6">
        <v>45700</v>
      </c>
      <c r="KW6">
        <v>5</v>
      </c>
      <c r="KX6">
        <v>42834880</v>
      </c>
      <c r="KY6">
        <v>102006</v>
      </c>
      <c r="KZ6" t="s">
        <v>5942</v>
      </c>
      <c r="LC6" t="s">
        <v>3797</v>
      </c>
      <c r="LD6">
        <v>13.84</v>
      </c>
      <c r="LE6" t="s">
        <v>1598</v>
      </c>
      <c r="LF6">
        <v>7.8694610000000003</v>
      </c>
      <c r="LG6" t="s">
        <v>1664</v>
      </c>
      <c r="LH6">
        <v>2025</v>
      </c>
      <c r="LI6" t="s">
        <v>2970</v>
      </c>
      <c r="LJ6" s="6">
        <v>45891</v>
      </c>
      <c r="LK6">
        <v>5</v>
      </c>
      <c r="LL6">
        <v>366137216</v>
      </c>
      <c r="LM6">
        <v>115785</v>
      </c>
      <c r="LN6" t="s">
        <v>3799</v>
      </c>
      <c r="MW6" t="s">
        <v>1084</v>
      </c>
      <c r="MX6" t="s">
        <v>1685</v>
      </c>
      <c r="MY6">
        <v>1.2880000000000001E-3</v>
      </c>
      <c r="MZ6">
        <v>0.188856</v>
      </c>
      <c r="NA6" t="s">
        <v>1664</v>
      </c>
      <c r="NB6">
        <v>2025</v>
      </c>
      <c r="NC6" t="s">
        <v>2052</v>
      </c>
      <c r="ND6" s="6">
        <v>45838</v>
      </c>
      <c r="NE6">
        <v>5</v>
      </c>
      <c r="NF6">
        <v>75644</v>
      </c>
      <c r="NG6">
        <v>101689</v>
      </c>
      <c r="NH6" t="s">
        <v>2053</v>
      </c>
      <c r="NK6" t="s">
        <v>5529</v>
      </c>
      <c r="NL6">
        <v>-2.4245362661989844E-14</v>
      </c>
      <c r="NN6">
        <v>-2.4245362661989844E-14</v>
      </c>
      <c r="NO6" t="s">
        <v>1594</v>
      </c>
      <c r="NP6">
        <v>2023</v>
      </c>
      <c r="NQ6" t="s">
        <v>5530</v>
      </c>
      <c r="NR6" s="6">
        <v>45175</v>
      </c>
      <c r="NS6">
        <v>5</v>
      </c>
      <c r="NT6">
        <v>-2.4245362661989844E-14</v>
      </c>
      <c r="NU6">
        <v>22150812</v>
      </c>
      <c r="NV6" t="s">
        <v>5531</v>
      </c>
      <c r="PE6" t="s">
        <v>3272</v>
      </c>
      <c r="PG6">
        <v>-2.4245362661989844E-14</v>
      </c>
      <c r="PH6">
        <v>-2.4245362661989844E-14</v>
      </c>
      <c r="PI6" t="s">
        <v>1594</v>
      </c>
      <c r="PJ6">
        <v>2023</v>
      </c>
      <c r="PK6" t="s">
        <v>3273</v>
      </c>
      <c r="PL6" s="6">
        <v>45373</v>
      </c>
      <c r="PM6">
        <v>5</v>
      </c>
      <c r="PN6">
        <v>-2.4245362661989844E-14</v>
      </c>
      <c r="PO6">
        <v>1459277</v>
      </c>
      <c r="PP6" t="s">
        <v>3274</v>
      </c>
      <c r="PS6" t="s">
        <v>2381</v>
      </c>
      <c r="PT6">
        <v>-2.4245362661989844E-14</v>
      </c>
      <c r="PV6">
        <v>-2.4245362661989844E-14</v>
      </c>
      <c r="PW6" t="s">
        <v>1664</v>
      </c>
      <c r="PX6">
        <v>2024</v>
      </c>
      <c r="PY6" t="s">
        <v>2638</v>
      </c>
      <c r="PZ6" s="6">
        <v>45505</v>
      </c>
      <c r="QA6">
        <v>3</v>
      </c>
      <c r="QB6">
        <v>-2.4245362661989844E-14</v>
      </c>
      <c r="QC6">
        <v>46946968</v>
      </c>
      <c r="QD6" t="s">
        <v>2382</v>
      </c>
      <c r="RM6" t="s">
        <v>4431</v>
      </c>
      <c r="RN6" t="s">
        <v>1598</v>
      </c>
      <c r="RO6">
        <v>2.3059889999999998</v>
      </c>
      <c r="RP6">
        <v>1.5310429999999999</v>
      </c>
      <c r="RQ6" t="s">
        <v>1603</v>
      </c>
      <c r="RR6">
        <v>2025</v>
      </c>
      <c r="RS6" t="s">
        <v>4432</v>
      </c>
      <c r="RT6" s="6">
        <v>45834</v>
      </c>
      <c r="RU6">
        <v>5</v>
      </c>
      <c r="RV6">
        <v>65559268</v>
      </c>
      <c r="RW6">
        <v>100803</v>
      </c>
      <c r="RX6" t="s">
        <v>4433</v>
      </c>
      <c r="SA6" t="s">
        <v>462</v>
      </c>
      <c r="SB6">
        <v>0.10491399999999999</v>
      </c>
      <c r="SC6" t="s">
        <v>1598</v>
      </c>
      <c r="SD6">
        <v>5.4052999999999997E-2</v>
      </c>
      <c r="SE6" t="s">
        <v>1664</v>
      </c>
      <c r="SF6">
        <v>2025</v>
      </c>
      <c r="SG6" t="s">
        <v>3366</v>
      </c>
      <c r="SH6" s="6">
        <v>45876</v>
      </c>
      <c r="SI6">
        <v>5</v>
      </c>
      <c r="SJ6">
        <v>6023126</v>
      </c>
      <c r="SK6">
        <v>100285</v>
      </c>
      <c r="SL6" t="s">
        <v>1764</v>
      </c>
      <c r="SQ6" t="s">
        <v>3842</v>
      </c>
      <c r="SR6" t="s">
        <v>1598</v>
      </c>
      <c r="SS6">
        <v>0.81552599999999997</v>
      </c>
      <c r="ST6">
        <v>1.4618899999999999</v>
      </c>
      <c r="SU6" t="s">
        <v>1599</v>
      </c>
      <c r="SV6">
        <v>2025</v>
      </c>
      <c r="SW6" t="s">
        <v>3843</v>
      </c>
      <c r="SX6" s="6">
        <v>46050</v>
      </c>
      <c r="SY6">
        <v>5</v>
      </c>
      <c r="SZ6">
        <v>27556624</v>
      </c>
      <c r="TA6">
        <v>100149</v>
      </c>
      <c r="TB6" t="s">
        <v>3844</v>
      </c>
      <c r="TE6" t="s">
        <v>1943</v>
      </c>
      <c r="TF6">
        <v>5.7894139999999998</v>
      </c>
      <c r="TG6" t="s">
        <v>1598</v>
      </c>
      <c r="TH6">
        <v>0.26054300000000002</v>
      </c>
      <c r="TI6" t="s">
        <v>1599</v>
      </c>
      <c r="TJ6">
        <v>2025</v>
      </c>
      <c r="TK6" t="s">
        <v>5013</v>
      </c>
      <c r="TL6" s="6">
        <v>45833</v>
      </c>
      <c r="TM6">
        <v>5</v>
      </c>
      <c r="TN6">
        <v>143288000</v>
      </c>
      <c r="TO6">
        <v>101758</v>
      </c>
      <c r="TP6" t="s">
        <v>1944</v>
      </c>
      <c r="UY6" t="s">
        <v>1416</v>
      </c>
      <c r="VA6">
        <v>-2.4245362661989844E-14</v>
      </c>
      <c r="VB6">
        <v>-2.4245362661989844E-14</v>
      </c>
      <c r="VC6" t="s">
        <v>1594</v>
      </c>
      <c r="VD6">
        <v>2025</v>
      </c>
      <c r="VE6" t="s">
        <v>4695</v>
      </c>
      <c r="VF6" s="6">
        <v>45882</v>
      </c>
      <c r="VG6">
        <v>5</v>
      </c>
      <c r="VH6">
        <v>-2.4245362661989844E-14</v>
      </c>
      <c r="VI6">
        <v>393374</v>
      </c>
      <c r="VJ6" t="s">
        <v>2013</v>
      </c>
      <c r="VM6" t="s">
        <v>5470</v>
      </c>
      <c r="VN6">
        <v>-2.4245362661989844E-14</v>
      </c>
      <c r="VP6">
        <v>-2.4245362661989844E-14</v>
      </c>
      <c r="VQ6" t="s">
        <v>1594</v>
      </c>
      <c r="VR6">
        <v>2023</v>
      </c>
      <c r="VS6" t="s">
        <v>4695</v>
      </c>
      <c r="VT6" s="6">
        <v>45187</v>
      </c>
      <c r="VU6">
        <v>5</v>
      </c>
      <c r="VV6">
        <v>-2.4245362661989844E-14</v>
      </c>
      <c r="VW6">
        <v>935799</v>
      </c>
      <c r="VX6" t="s">
        <v>5471</v>
      </c>
    </row>
    <row r="7" spans="1:600" x14ac:dyDescent="0.25">
      <c r="A7" t="s">
        <v>3817</v>
      </c>
      <c r="B7" t="s">
        <v>1634</v>
      </c>
      <c r="C7">
        <v>1.3678159999999999</v>
      </c>
      <c r="D7">
        <v>4.8755559999999996</v>
      </c>
      <c r="E7" t="s">
        <v>1664</v>
      </c>
      <c r="F7">
        <v>2026</v>
      </c>
      <c r="G7" t="s">
        <v>3818</v>
      </c>
      <c r="H7" s="6">
        <v>46063</v>
      </c>
      <c r="I7">
        <v>5</v>
      </c>
      <c r="J7">
        <v>45098892</v>
      </c>
      <c r="K7">
        <v>101732</v>
      </c>
      <c r="L7" t="s">
        <v>3819</v>
      </c>
      <c r="O7" t="s">
        <v>1917</v>
      </c>
      <c r="P7">
        <v>4.7165480000000004</v>
      </c>
      <c r="Q7" t="s">
        <v>1598</v>
      </c>
      <c r="R7">
        <v>0.44449</v>
      </c>
      <c r="S7" t="s">
        <v>1599</v>
      </c>
      <c r="T7">
        <v>2025</v>
      </c>
      <c r="U7" t="s">
        <v>5486</v>
      </c>
      <c r="V7" s="6">
        <v>45954</v>
      </c>
      <c r="W7">
        <v>5</v>
      </c>
      <c r="X7">
        <v>223658704</v>
      </c>
      <c r="Y7">
        <v>101695</v>
      </c>
      <c r="Z7" t="s">
        <v>1919</v>
      </c>
      <c r="AE7" t="s">
        <v>3288</v>
      </c>
      <c r="AG7">
        <v>-2.4245362661989844E-14</v>
      </c>
      <c r="AH7">
        <v>-2.4245362661989844E-14</v>
      </c>
      <c r="AI7" t="s">
        <v>1594</v>
      </c>
      <c r="AJ7">
        <v>2024</v>
      </c>
      <c r="AK7" t="s">
        <v>3289</v>
      </c>
      <c r="AL7" s="6">
        <v>45776</v>
      </c>
      <c r="AM7">
        <v>5</v>
      </c>
      <c r="AN7">
        <v>-2.4245362661989844E-14</v>
      </c>
      <c r="AO7">
        <v>23463925</v>
      </c>
      <c r="AP7" t="s">
        <v>3290</v>
      </c>
      <c r="BI7" t="s">
        <v>2041</v>
      </c>
      <c r="BJ7" t="s">
        <v>1634</v>
      </c>
      <c r="BK7">
        <v>1.1230000000000001E-3</v>
      </c>
      <c r="BL7">
        <v>3.3097000000000001E-2</v>
      </c>
      <c r="BM7" t="s">
        <v>1603</v>
      </c>
      <c r="BN7">
        <v>2025</v>
      </c>
      <c r="BO7" t="s">
        <v>3890</v>
      </c>
      <c r="BP7" s="6">
        <v>45812</v>
      </c>
      <c r="BQ7">
        <v>5</v>
      </c>
      <c r="BR7">
        <v>12041</v>
      </c>
      <c r="BS7">
        <v>211040</v>
      </c>
      <c r="BT7" t="s">
        <v>2043</v>
      </c>
      <c r="BW7" t="s">
        <v>2046</v>
      </c>
      <c r="BX7">
        <v>1.56463</v>
      </c>
      <c r="BY7" t="s">
        <v>1685</v>
      </c>
      <c r="BZ7">
        <v>3.6884299999999999</v>
      </c>
      <c r="CA7" t="s">
        <v>1594</v>
      </c>
      <c r="CB7">
        <v>2025</v>
      </c>
      <c r="CC7" t="s">
        <v>2044</v>
      </c>
      <c r="CD7" s="6">
        <v>46066</v>
      </c>
      <c r="CE7">
        <v>5</v>
      </c>
      <c r="CF7">
        <v>23910250</v>
      </c>
      <c r="CG7">
        <v>7979475</v>
      </c>
      <c r="CH7" t="s">
        <v>2048</v>
      </c>
      <c r="CM7" t="s">
        <v>2242</v>
      </c>
      <c r="CN7" t="s">
        <v>1598</v>
      </c>
      <c r="CO7">
        <v>1.29813</v>
      </c>
      <c r="CP7">
        <v>0.24332400000000001</v>
      </c>
      <c r="CQ7" t="s">
        <v>1599</v>
      </c>
      <c r="CR7">
        <v>2025</v>
      </c>
      <c r="CS7" t="s">
        <v>2243</v>
      </c>
      <c r="CT7" s="6">
        <v>45985</v>
      </c>
      <c r="CU7">
        <v>5</v>
      </c>
      <c r="CV7">
        <v>10433265.390000001</v>
      </c>
      <c r="CW7">
        <v>125320</v>
      </c>
      <c r="CX7" t="s">
        <v>2244</v>
      </c>
      <c r="DA7" t="s">
        <v>4359</v>
      </c>
      <c r="DB7">
        <v>-2.4245362661989844E-14</v>
      </c>
      <c r="DD7">
        <v>-2.4245362661989844E-14</v>
      </c>
      <c r="DE7" t="s">
        <v>1792</v>
      </c>
      <c r="DF7">
        <v>2023</v>
      </c>
      <c r="DG7" t="s">
        <v>4360</v>
      </c>
      <c r="DH7" s="6">
        <v>45154</v>
      </c>
      <c r="DI7">
        <v>5</v>
      </c>
      <c r="DJ7">
        <v>-2.4245362661989844E-14</v>
      </c>
      <c r="DK7">
        <v>330418</v>
      </c>
      <c r="DL7" t="s">
        <v>4361</v>
      </c>
      <c r="EU7" t="s">
        <v>2582</v>
      </c>
      <c r="EV7" t="s">
        <v>1598</v>
      </c>
      <c r="EW7">
        <v>0.664825</v>
      </c>
      <c r="EX7">
        <v>3.6327410000000002</v>
      </c>
      <c r="EY7" t="s">
        <v>1606</v>
      </c>
      <c r="EZ7">
        <v>2024</v>
      </c>
      <c r="FA7" t="s">
        <v>3144</v>
      </c>
      <c r="FB7" s="6">
        <v>45741</v>
      </c>
      <c r="FC7">
        <v>5</v>
      </c>
      <c r="FD7">
        <v>178478249.27000001</v>
      </c>
      <c r="FE7">
        <v>153737</v>
      </c>
      <c r="FF7" t="s">
        <v>2584</v>
      </c>
      <c r="FI7" t="s">
        <v>2376</v>
      </c>
      <c r="FJ7">
        <v>2.64514</v>
      </c>
      <c r="FK7" t="s">
        <v>1598</v>
      </c>
      <c r="FL7">
        <v>1.094911</v>
      </c>
      <c r="FM7" t="s">
        <v>1664</v>
      </c>
      <c r="FN7">
        <v>2025</v>
      </c>
      <c r="FO7" t="s">
        <v>3227</v>
      </c>
      <c r="FP7" s="6">
        <v>45783</v>
      </c>
      <c r="FQ7">
        <v>5</v>
      </c>
      <c r="FR7">
        <v>370081536</v>
      </c>
      <c r="FS7">
        <v>117929</v>
      </c>
      <c r="FT7" t="s">
        <v>2378</v>
      </c>
      <c r="HC7" t="s">
        <v>240</v>
      </c>
      <c r="HD7" t="s">
        <v>1598</v>
      </c>
      <c r="HE7">
        <v>12.373919000000001</v>
      </c>
      <c r="HF7">
        <v>4.81257</v>
      </c>
      <c r="HG7" t="s">
        <v>1599</v>
      </c>
      <c r="HH7">
        <v>2025</v>
      </c>
      <c r="HI7" t="s">
        <v>2219</v>
      </c>
      <c r="HJ7" s="6">
        <v>46018</v>
      </c>
      <c r="HK7">
        <v>5</v>
      </c>
      <c r="HL7">
        <v>2968874496</v>
      </c>
      <c r="HM7">
        <v>100828</v>
      </c>
      <c r="HN7" t="s">
        <v>1865</v>
      </c>
      <c r="HQ7" t="s">
        <v>1824</v>
      </c>
      <c r="HR7">
        <v>3.75</v>
      </c>
      <c r="HT7">
        <v>-2.4245362661989844E-14</v>
      </c>
      <c r="HU7" t="s">
        <v>1606</v>
      </c>
      <c r="HV7">
        <v>2025</v>
      </c>
      <c r="HW7" t="s">
        <v>1822</v>
      </c>
      <c r="HX7" s="6">
        <v>45954</v>
      </c>
      <c r="HY7">
        <v>5</v>
      </c>
      <c r="HZ7">
        <v>2255962624</v>
      </c>
      <c r="IA7">
        <v>353064</v>
      </c>
      <c r="IB7" t="s">
        <v>1825</v>
      </c>
      <c r="IG7" t="s">
        <v>1451</v>
      </c>
      <c r="IH7" t="s">
        <v>1598</v>
      </c>
      <c r="II7">
        <v>0.91261199999999998</v>
      </c>
      <c r="IJ7">
        <v>0.92368399999999995</v>
      </c>
      <c r="IK7" t="s">
        <v>1606</v>
      </c>
      <c r="IL7">
        <v>2025</v>
      </c>
      <c r="IM7" t="s">
        <v>1930</v>
      </c>
      <c r="IN7" s="6">
        <v>46076</v>
      </c>
      <c r="IO7">
        <v>5</v>
      </c>
      <c r="IP7">
        <v>64713316</v>
      </c>
      <c r="IQ7">
        <v>9932803</v>
      </c>
      <c r="IR7" t="s">
        <v>1931</v>
      </c>
      <c r="IU7" t="s">
        <v>4212</v>
      </c>
      <c r="IV7">
        <v>0.103394</v>
      </c>
      <c r="IW7" t="s">
        <v>1598</v>
      </c>
      <c r="IX7">
        <v>5.8633490000000004</v>
      </c>
      <c r="IY7" t="s">
        <v>1594</v>
      </c>
      <c r="IZ7">
        <v>2025</v>
      </c>
      <c r="JA7" t="s">
        <v>4213</v>
      </c>
      <c r="JB7" s="6">
        <v>45966</v>
      </c>
      <c r="JC7">
        <v>5</v>
      </c>
      <c r="JD7">
        <v>7246011.29</v>
      </c>
      <c r="JE7">
        <v>64873228</v>
      </c>
      <c r="JF7" t="s">
        <v>4214</v>
      </c>
      <c r="JK7" t="s">
        <v>3839</v>
      </c>
      <c r="JL7" t="s">
        <v>1685</v>
      </c>
      <c r="JM7">
        <v>1.2229460000000001</v>
      </c>
      <c r="JN7">
        <v>1.008264</v>
      </c>
      <c r="JO7" t="s">
        <v>1594</v>
      </c>
      <c r="JP7">
        <v>2025</v>
      </c>
      <c r="JQ7" t="s">
        <v>3840</v>
      </c>
      <c r="JR7" s="6">
        <v>46058</v>
      </c>
      <c r="JS7">
        <v>5</v>
      </c>
      <c r="JT7">
        <v>3600426.68</v>
      </c>
      <c r="JU7">
        <v>7890735</v>
      </c>
      <c r="JV7" t="s">
        <v>3841</v>
      </c>
      <c r="JY7" t="s">
        <v>5965</v>
      </c>
      <c r="JZ7">
        <v>-2.4245362661989844E-14</v>
      </c>
      <c r="KB7">
        <v>-2.4245362661989844E-14</v>
      </c>
      <c r="KC7" t="s">
        <v>1594</v>
      </c>
      <c r="KD7">
        <v>2025</v>
      </c>
      <c r="KE7" t="s">
        <v>5966</v>
      </c>
      <c r="KF7" s="6">
        <v>45947</v>
      </c>
      <c r="KG7">
        <v>5</v>
      </c>
      <c r="KH7">
        <v>-2.4245362661989844E-14</v>
      </c>
      <c r="KI7">
        <v>115724</v>
      </c>
      <c r="KJ7" t="s">
        <v>5967</v>
      </c>
      <c r="KO7" t="s">
        <v>5943</v>
      </c>
      <c r="KP7" t="s">
        <v>1598</v>
      </c>
      <c r="KQ7">
        <v>6.5267229999999996</v>
      </c>
      <c r="KR7">
        <v>8.1929800000000004</v>
      </c>
      <c r="KS7" t="s">
        <v>1606</v>
      </c>
      <c r="KT7">
        <v>2025</v>
      </c>
      <c r="KU7" t="s">
        <v>5944</v>
      </c>
      <c r="KV7" s="6">
        <v>46072</v>
      </c>
      <c r="KW7">
        <v>5</v>
      </c>
      <c r="KX7">
        <v>40596216</v>
      </c>
      <c r="KY7">
        <v>68003261</v>
      </c>
      <c r="KZ7" t="s">
        <v>5945</v>
      </c>
      <c r="LC7" t="s">
        <v>277</v>
      </c>
      <c r="LD7">
        <v>11.777291999999999</v>
      </c>
      <c r="LE7" t="s">
        <v>1598</v>
      </c>
      <c r="LF7">
        <v>0.42086299999999999</v>
      </c>
      <c r="LG7" t="s">
        <v>1664</v>
      </c>
      <c r="LH7">
        <v>2025</v>
      </c>
      <c r="LI7" t="s">
        <v>2970</v>
      </c>
      <c r="LJ7" s="6">
        <v>45891</v>
      </c>
      <c r="LK7">
        <v>5</v>
      </c>
      <c r="LL7">
        <v>311568256</v>
      </c>
      <c r="LM7">
        <v>154936</v>
      </c>
      <c r="LN7" t="s">
        <v>1766</v>
      </c>
      <c r="MW7" t="s">
        <v>4065</v>
      </c>
      <c r="MX7" t="s">
        <v>1634</v>
      </c>
      <c r="MY7">
        <v>3.2009999999999999E-3</v>
      </c>
      <c r="MZ7">
        <v>0.46623100000000001</v>
      </c>
      <c r="NA7" t="s">
        <v>1603</v>
      </c>
      <c r="NB7">
        <v>2025</v>
      </c>
      <c r="NC7" t="s">
        <v>4066</v>
      </c>
      <c r="ND7" s="6">
        <v>45812</v>
      </c>
      <c r="NE7">
        <v>5</v>
      </c>
      <c r="NF7">
        <v>57728.27</v>
      </c>
      <c r="NG7">
        <v>110543</v>
      </c>
      <c r="NH7" t="s">
        <v>4067</v>
      </c>
      <c r="NK7" t="s">
        <v>5532</v>
      </c>
      <c r="NL7">
        <v>-2.4245362661989844E-14</v>
      </c>
      <c r="NN7">
        <v>-2.4245362661989844E-14</v>
      </c>
      <c r="NO7" t="s">
        <v>1594</v>
      </c>
      <c r="NP7">
        <v>2023</v>
      </c>
      <c r="NQ7" t="s">
        <v>5533</v>
      </c>
      <c r="NR7" s="6">
        <v>45271</v>
      </c>
      <c r="NS7">
        <v>5</v>
      </c>
      <c r="NT7">
        <v>-2.4245362661989844E-14</v>
      </c>
      <c r="NU7">
        <v>7873942</v>
      </c>
      <c r="NV7" t="s">
        <v>5534</v>
      </c>
      <c r="PE7" t="s">
        <v>3275</v>
      </c>
      <c r="PG7">
        <v>-2.4245362661989844E-14</v>
      </c>
      <c r="PH7">
        <v>-2.4245362661989844E-14</v>
      </c>
      <c r="PI7" t="s">
        <v>1594</v>
      </c>
      <c r="PJ7">
        <v>2022</v>
      </c>
      <c r="PK7" t="s">
        <v>3276</v>
      </c>
      <c r="PL7" s="6">
        <v>44736</v>
      </c>
      <c r="PM7">
        <v>5</v>
      </c>
      <c r="PN7">
        <v>-2.4245362661989844E-14</v>
      </c>
      <c r="PO7">
        <v>114629</v>
      </c>
      <c r="PP7" t="s">
        <v>3277</v>
      </c>
      <c r="PS7" t="s">
        <v>2639</v>
      </c>
      <c r="PT7">
        <v>-2.4245362661989844E-14</v>
      </c>
      <c r="PV7">
        <v>-2.4245362661989844E-14</v>
      </c>
      <c r="PW7" t="s">
        <v>1599</v>
      </c>
      <c r="PX7">
        <v>2022</v>
      </c>
      <c r="PY7" t="s">
        <v>2640</v>
      </c>
      <c r="PZ7" s="6">
        <v>44870</v>
      </c>
      <c r="QA7">
        <v>3</v>
      </c>
      <c r="QB7">
        <v>-2.4245362661989844E-14</v>
      </c>
      <c r="QC7">
        <v>67335162</v>
      </c>
      <c r="QD7" t="s">
        <v>2641</v>
      </c>
      <c r="RM7" t="s">
        <v>1451</v>
      </c>
      <c r="RN7" t="s">
        <v>1598</v>
      </c>
      <c r="RO7">
        <v>0.91261199999999998</v>
      </c>
      <c r="RP7">
        <v>0.92368399999999995</v>
      </c>
      <c r="RQ7" t="s">
        <v>1606</v>
      </c>
      <c r="RR7">
        <v>2025</v>
      </c>
      <c r="RS7" t="s">
        <v>1930</v>
      </c>
      <c r="RT7" s="6">
        <v>46076</v>
      </c>
      <c r="RU7">
        <v>5</v>
      </c>
      <c r="RV7">
        <v>64713316</v>
      </c>
      <c r="RW7">
        <v>9932803</v>
      </c>
      <c r="RX7" t="s">
        <v>1931</v>
      </c>
      <c r="SA7" t="s">
        <v>4212</v>
      </c>
      <c r="SB7">
        <v>0.103394</v>
      </c>
      <c r="SC7" t="s">
        <v>1598</v>
      </c>
      <c r="SD7">
        <v>5.8633490000000004</v>
      </c>
      <c r="SE7" t="s">
        <v>1594</v>
      </c>
      <c r="SF7">
        <v>2025</v>
      </c>
      <c r="SG7" t="s">
        <v>4213</v>
      </c>
      <c r="SH7" s="6">
        <v>45966</v>
      </c>
      <c r="SI7">
        <v>5</v>
      </c>
      <c r="SJ7">
        <v>7246011.29</v>
      </c>
      <c r="SK7">
        <v>64873228</v>
      </c>
      <c r="SL7" t="s">
        <v>4214</v>
      </c>
      <c r="SQ7" t="s">
        <v>5216</v>
      </c>
      <c r="SR7" t="s">
        <v>1598</v>
      </c>
      <c r="SS7">
        <v>0.508602</v>
      </c>
      <c r="ST7">
        <v>0.44600499999999998</v>
      </c>
      <c r="SU7" t="s">
        <v>1599</v>
      </c>
      <c r="SV7">
        <v>2025</v>
      </c>
      <c r="SW7" t="s">
        <v>5217</v>
      </c>
      <c r="SX7" s="6">
        <v>46048</v>
      </c>
      <c r="SY7">
        <v>5</v>
      </c>
      <c r="SZ7">
        <v>8407191</v>
      </c>
      <c r="TA7">
        <v>66766968</v>
      </c>
      <c r="TB7" t="s">
        <v>5218</v>
      </c>
      <c r="TE7" t="s">
        <v>2713</v>
      </c>
      <c r="TF7">
        <v>5.4996099999999997</v>
      </c>
      <c r="TG7" t="s">
        <v>1598</v>
      </c>
      <c r="TH7">
        <v>0.99714599999999998</v>
      </c>
      <c r="TI7" t="s">
        <v>1599</v>
      </c>
      <c r="TJ7">
        <v>2025</v>
      </c>
      <c r="TK7" t="s">
        <v>5013</v>
      </c>
      <c r="TL7" s="6">
        <v>45833</v>
      </c>
      <c r="TM7">
        <v>5</v>
      </c>
      <c r="TN7">
        <v>136115344</v>
      </c>
      <c r="TO7">
        <v>46386935</v>
      </c>
      <c r="TP7" t="s">
        <v>2714</v>
      </c>
      <c r="UY7" t="s">
        <v>4696</v>
      </c>
      <c r="VA7">
        <v>-2.4245362661989844E-14</v>
      </c>
      <c r="VB7">
        <v>-2.4245362661989844E-14</v>
      </c>
      <c r="VC7" t="s">
        <v>1594</v>
      </c>
      <c r="VD7">
        <v>2025</v>
      </c>
      <c r="VE7" t="s">
        <v>4697</v>
      </c>
      <c r="VF7" s="6">
        <v>45916</v>
      </c>
      <c r="VG7">
        <v>5</v>
      </c>
      <c r="VH7">
        <v>-2.4245362661989844E-14</v>
      </c>
      <c r="VI7">
        <v>22423521</v>
      </c>
      <c r="VJ7" t="s">
        <v>4698</v>
      </c>
      <c r="VM7" t="s">
        <v>5472</v>
      </c>
      <c r="VN7">
        <v>-2.4245362661989844E-14</v>
      </c>
      <c r="VP7">
        <v>-2.4245362661989844E-14</v>
      </c>
      <c r="VQ7" t="s">
        <v>1594</v>
      </c>
      <c r="VR7">
        <v>2023</v>
      </c>
      <c r="VS7" t="s">
        <v>4695</v>
      </c>
      <c r="VT7" s="6">
        <v>45187</v>
      </c>
      <c r="VU7">
        <v>5</v>
      </c>
      <c r="VV7">
        <v>-2.4245362661989844E-14</v>
      </c>
      <c r="VW7">
        <v>837620</v>
      </c>
      <c r="VX7" t="s">
        <v>5473</v>
      </c>
    </row>
    <row r="8" spans="1:600" x14ac:dyDescent="0.25">
      <c r="A8" t="s">
        <v>3151</v>
      </c>
      <c r="B8" t="s">
        <v>1598</v>
      </c>
      <c r="C8">
        <v>3.0638139999999998</v>
      </c>
      <c r="D8">
        <v>2.2388059999999999</v>
      </c>
      <c r="E8" t="s">
        <v>1603</v>
      </c>
      <c r="F8">
        <v>2025</v>
      </c>
      <c r="G8" t="s">
        <v>3152</v>
      </c>
      <c r="H8" s="6">
        <v>45804</v>
      </c>
      <c r="I8">
        <v>5</v>
      </c>
      <c r="J8">
        <v>39311874.579999998</v>
      </c>
      <c r="K8">
        <v>8118223</v>
      </c>
      <c r="L8" t="s">
        <v>3153</v>
      </c>
      <c r="O8" t="s">
        <v>5487</v>
      </c>
      <c r="P8">
        <v>2.3648120000000001</v>
      </c>
      <c r="Q8" t="s">
        <v>1598</v>
      </c>
      <c r="R8">
        <v>30.796358000000001</v>
      </c>
      <c r="S8" t="s">
        <v>1606</v>
      </c>
      <c r="T8">
        <v>2025</v>
      </c>
      <c r="U8" t="s">
        <v>5488</v>
      </c>
      <c r="V8" s="6">
        <v>45777</v>
      </c>
      <c r="W8">
        <v>5</v>
      </c>
      <c r="X8">
        <v>96225683.870000005</v>
      </c>
      <c r="Y8">
        <v>955442</v>
      </c>
      <c r="Z8" t="s">
        <v>5489</v>
      </c>
      <c r="AE8" t="s">
        <v>3291</v>
      </c>
      <c r="AG8">
        <v>-2.4245362661989844E-14</v>
      </c>
      <c r="AH8">
        <v>-2.4245362661989844E-14</v>
      </c>
      <c r="AI8" t="s">
        <v>1594</v>
      </c>
      <c r="AJ8">
        <v>2024</v>
      </c>
      <c r="AK8" t="s">
        <v>3292</v>
      </c>
      <c r="AL8" s="6">
        <v>45751</v>
      </c>
      <c r="AM8">
        <v>5</v>
      </c>
      <c r="AN8">
        <v>-2.4245362661989844E-14</v>
      </c>
      <c r="AO8">
        <v>102075</v>
      </c>
      <c r="AP8" t="s">
        <v>3293</v>
      </c>
      <c r="BI8" t="s">
        <v>5115</v>
      </c>
      <c r="BJ8" t="s">
        <v>1685</v>
      </c>
      <c r="BK8">
        <v>1.451E-3</v>
      </c>
      <c r="BL8">
        <v>1.346E-3</v>
      </c>
      <c r="BM8" t="s">
        <v>1594</v>
      </c>
      <c r="BN8">
        <v>2025</v>
      </c>
      <c r="BO8" t="s">
        <v>5116</v>
      </c>
      <c r="BP8" s="6">
        <v>45797</v>
      </c>
      <c r="BQ8">
        <v>5</v>
      </c>
      <c r="BR8">
        <v>502.74</v>
      </c>
      <c r="BS8">
        <v>64585649</v>
      </c>
      <c r="BT8" t="s">
        <v>5117</v>
      </c>
      <c r="BW8" t="s">
        <v>178</v>
      </c>
      <c r="BX8">
        <v>1.2611140000000001</v>
      </c>
      <c r="BY8" t="s">
        <v>1685</v>
      </c>
      <c r="BZ8">
        <v>0.23175299999999999</v>
      </c>
      <c r="CA8" t="s">
        <v>1594</v>
      </c>
      <c r="CB8">
        <v>2025</v>
      </c>
      <c r="CC8" t="s">
        <v>2044</v>
      </c>
      <c r="CD8" s="6">
        <v>46066</v>
      </c>
      <c r="CE8">
        <v>5</v>
      </c>
      <c r="CF8">
        <v>19272004</v>
      </c>
      <c r="CG8">
        <v>101743</v>
      </c>
      <c r="CH8" t="s">
        <v>1736</v>
      </c>
      <c r="CM8" t="s">
        <v>493</v>
      </c>
      <c r="CN8" t="s">
        <v>1598</v>
      </c>
      <c r="CO8">
        <v>0.205987</v>
      </c>
      <c r="CP8">
        <v>0.19661200000000001</v>
      </c>
      <c r="CQ8" t="s">
        <v>1606</v>
      </c>
      <c r="CR8">
        <v>2025</v>
      </c>
      <c r="CS8" t="s">
        <v>2093</v>
      </c>
      <c r="CT8" s="6">
        <v>46071</v>
      </c>
      <c r="CU8">
        <v>5</v>
      </c>
      <c r="CV8">
        <v>8106309</v>
      </c>
      <c r="CW8">
        <v>100499</v>
      </c>
      <c r="CX8" t="s">
        <v>2094</v>
      </c>
      <c r="DA8" t="s">
        <v>4362</v>
      </c>
      <c r="DB8">
        <v>-2.4245362661989844E-14</v>
      </c>
      <c r="DD8">
        <v>-2.4245362661989844E-14</v>
      </c>
      <c r="DE8" t="s">
        <v>1594</v>
      </c>
      <c r="DF8">
        <v>2022</v>
      </c>
      <c r="DG8" t="s">
        <v>4363</v>
      </c>
      <c r="DH8" s="6">
        <v>45042</v>
      </c>
      <c r="DI8">
        <v>5</v>
      </c>
      <c r="DJ8">
        <v>-2.4245362661989844E-14</v>
      </c>
      <c r="DK8">
        <v>812686</v>
      </c>
      <c r="DL8" t="s">
        <v>4364</v>
      </c>
      <c r="EU8" t="s">
        <v>2556</v>
      </c>
      <c r="EV8" t="s">
        <v>1598</v>
      </c>
      <c r="EW8">
        <v>2.6461350000000001</v>
      </c>
      <c r="EX8">
        <v>3.5549309999999998</v>
      </c>
      <c r="EY8" t="s">
        <v>1599</v>
      </c>
      <c r="EZ8">
        <v>2025</v>
      </c>
      <c r="FA8" t="s">
        <v>2557</v>
      </c>
      <c r="FB8" s="6">
        <v>45763</v>
      </c>
      <c r="FC8">
        <v>5</v>
      </c>
      <c r="FD8">
        <v>173480608</v>
      </c>
      <c r="FE8">
        <v>136547</v>
      </c>
      <c r="FF8" t="s">
        <v>2558</v>
      </c>
      <c r="FI8" t="s">
        <v>303</v>
      </c>
      <c r="FJ8">
        <v>2.5842719999999999</v>
      </c>
      <c r="FK8" t="s">
        <v>1634</v>
      </c>
      <c r="FL8">
        <v>1.4451639999999999</v>
      </c>
      <c r="FM8" t="s">
        <v>1664</v>
      </c>
      <c r="FN8">
        <v>2025</v>
      </c>
      <c r="FO8" t="s">
        <v>3227</v>
      </c>
      <c r="FP8" s="6">
        <v>45783</v>
      </c>
      <c r="FQ8">
        <v>5</v>
      </c>
      <c r="FR8">
        <v>361565504</v>
      </c>
      <c r="FS8">
        <v>216952</v>
      </c>
      <c r="FT8" t="s">
        <v>1631</v>
      </c>
      <c r="HC8" t="s">
        <v>23</v>
      </c>
      <c r="HD8" t="s">
        <v>1598</v>
      </c>
      <c r="HE8">
        <v>22</v>
      </c>
      <c r="HF8">
        <v>4.4996770000000001</v>
      </c>
      <c r="HG8" t="s">
        <v>1594</v>
      </c>
      <c r="HH8">
        <v>2025</v>
      </c>
      <c r="HI8" t="s">
        <v>1765</v>
      </c>
      <c r="HJ8" s="6">
        <v>46064</v>
      </c>
      <c r="HK8">
        <v>5</v>
      </c>
      <c r="HL8">
        <v>2650670080</v>
      </c>
      <c r="HM8">
        <v>100225</v>
      </c>
      <c r="HN8" t="s">
        <v>2222</v>
      </c>
      <c r="HQ8" t="s">
        <v>311</v>
      </c>
      <c r="HR8">
        <v>3.1469290000000001</v>
      </c>
      <c r="HS8" t="s">
        <v>1598</v>
      </c>
      <c r="HT8">
        <v>7.2451629999999998</v>
      </c>
      <c r="HU8" t="s">
        <v>1606</v>
      </c>
      <c r="HV8">
        <v>2025</v>
      </c>
      <c r="HW8" t="s">
        <v>1822</v>
      </c>
      <c r="HX8" s="6">
        <v>45954</v>
      </c>
      <c r="HY8">
        <v>5</v>
      </c>
      <c r="HZ8">
        <v>1893160960</v>
      </c>
      <c r="IA8">
        <v>100864</v>
      </c>
      <c r="IB8" t="s">
        <v>1668</v>
      </c>
      <c r="IG8" t="s">
        <v>559</v>
      </c>
      <c r="IH8" t="s">
        <v>1685</v>
      </c>
      <c r="II8">
        <v>2.8</v>
      </c>
      <c r="IJ8">
        <v>0.73512200000000005</v>
      </c>
      <c r="IK8" t="s">
        <v>1594</v>
      </c>
      <c r="IL8">
        <v>2024</v>
      </c>
      <c r="IM8" t="s">
        <v>4434</v>
      </c>
      <c r="IN8" s="6">
        <v>45701</v>
      </c>
      <c r="IO8">
        <v>5</v>
      </c>
      <c r="IP8">
        <v>34469864</v>
      </c>
      <c r="IQ8">
        <v>101595</v>
      </c>
      <c r="IR8" t="s">
        <v>4435</v>
      </c>
      <c r="IU8" t="s">
        <v>872</v>
      </c>
      <c r="IV8">
        <v>8.5290000000000005E-2</v>
      </c>
      <c r="IW8" t="s">
        <v>1598</v>
      </c>
      <c r="IX8">
        <v>2.4104E-2</v>
      </c>
      <c r="IY8" t="s">
        <v>1664</v>
      </c>
      <c r="IZ8">
        <v>2025</v>
      </c>
      <c r="JA8" t="s">
        <v>2179</v>
      </c>
      <c r="JB8" s="6">
        <v>45873</v>
      </c>
      <c r="JC8">
        <v>5</v>
      </c>
      <c r="JD8">
        <v>4896487</v>
      </c>
      <c r="JE8">
        <v>100211</v>
      </c>
      <c r="JF8" t="s">
        <v>1632</v>
      </c>
      <c r="JK8" t="s">
        <v>6158</v>
      </c>
      <c r="JL8" t="s">
        <v>1598</v>
      </c>
      <c r="JM8">
        <v>0.24249899999999999</v>
      </c>
      <c r="JN8">
        <v>8.1907999999999995E-2</v>
      </c>
      <c r="JO8" t="s">
        <v>1603</v>
      </c>
      <c r="JP8">
        <v>2026</v>
      </c>
      <c r="JQ8" t="s">
        <v>6159</v>
      </c>
      <c r="JR8" s="6">
        <v>46070</v>
      </c>
      <c r="JS8">
        <v>5</v>
      </c>
      <c r="JT8">
        <v>1994469</v>
      </c>
      <c r="JU8">
        <v>386861</v>
      </c>
      <c r="JV8" t="s">
        <v>6160</v>
      </c>
      <c r="JY8" t="s">
        <v>5968</v>
      </c>
      <c r="JZ8">
        <v>-2.4245362661989844E-14</v>
      </c>
      <c r="KB8">
        <v>-2.4245362661989844E-14</v>
      </c>
      <c r="KC8" t="s">
        <v>1594</v>
      </c>
      <c r="KD8">
        <v>2026</v>
      </c>
      <c r="KE8" t="s">
        <v>5969</v>
      </c>
      <c r="KF8" s="6">
        <v>46056</v>
      </c>
      <c r="KG8">
        <v>5</v>
      </c>
      <c r="KH8">
        <v>-2.4245362661989844E-14</v>
      </c>
      <c r="KI8">
        <v>201728</v>
      </c>
      <c r="KJ8" t="s">
        <v>5970</v>
      </c>
      <c r="KO8" t="s">
        <v>5946</v>
      </c>
      <c r="KP8" t="s">
        <v>1598</v>
      </c>
      <c r="KQ8">
        <v>10.5</v>
      </c>
      <c r="KR8">
        <v>2.9909270000000001</v>
      </c>
      <c r="KS8" t="s">
        <v>1599</v>
      </c>
      <c r="KT8">
        <v>2025</v>
      </c>
      <c r="KU8" t="s">
        <v>5947</v>
      </c>
      <c r="KV8" s="6">
        <v>46015</v>
      </c>
      <c r="KW8">
        <v>5</v>
      </c>
      <c r="KX8">
        <v>20170816</v>
      </c>
      <c r="KY8">
        <v>10433769</v>
      </c>
      <c r="KZ8" t="s">
        <v>5948</v>
      </c>
      <c r="LC8" t="s">
        <v>31</v>
      </c>
      <c r="LD8">
        <v>8.4715830000000008</v>
      </c>
      <c r="LE8" t="s">
        <v>1598</v>
      </c>
      <c r="LF8">
        <v>0.36730000000000002</v>
      </c>
      <c r="LG8" t="s">
        <v>1664</v>
      </c>
      <c r="LH8">
        <v>2025</v>
      </c>
      <c r="LI8" t="s">
        <v>2970</v>
      </c>
      <c r="LJ8" s="6">
        <v>45891</v>
      </c>
      <c r="LK8">
        <v>5</v>
      </c>
      <c r="LL8">
        <v>224115728</v>
      </c>
      <c r="LM8">
        <v>60401289</v>
      </c>
      <c r="LN8" t="s">
        <v>1769</v>
      </c>
      <c r="MW8" t="s">
        <v>4068</v>
      </c>
      <c r="MY8">
        <v>-2.4245362661989844E-14</v>
      </c>
      <c r="MZ8">
        <v>-2.4245362661989844E-14</v>
      </c>
      <c r="NA8" t="s">
        <v>1594</v>
      </c>
      <c r="NB8">
        <v>2021</v>
      </c>
      <c r="NC8" t="s">
        <v>4069</v>
      </c>
      <c r="ND8" s="6">
        <v>44642</v>
      </c>
      <c r="NE8">
        <v>5</v>
      </c>
      <c r="NF8">
        <v>-2.4245362661989844E-14</v>
      </c>
      <c r="NG8">
        <v>331070</v>
      </c>
      <c r="NH8" t="s">
        <v>4070</v>
      </c>
      <c r="NK8" t="s">
        <v>5535</v>
      </c>
      <c r="NL8">
        <v>-2.4245362661989844E-14</v>
      </c>
      <c r="NN8">
        <v>-2.4245362661989844E-14</v>
      </c>
      <c r="NO8" t="s">
        <v>1594</v>
      </c>
      <c r="NP8">
        <v>2024</v>
      </c>
      <c r="NQ8" t="s">
        <v>5530</v>
      </c>
      <c r="NR8" s="6">
        <v>45348</v>
      </c>
      <c r="NS8">
        <v>5</v>
      </c>
      <c r="NT8">
        <v>-2.4245362661989844E-14</v>
      </c>
      <c r="NU8">
        <v>9284942</v>
      </c>
      <c r="NV8" t="s">
        <v>5536</v>
      </c>
      <c r="PE8" t="s">
        <v>1917</v>
      </c>
      <c r="PG8">
        <v>-2.4245362661989844E-14</v>
      </c>
      <c r="PH8">
        <v>-2.4245362661989844E-14</v>
      </c>
      <c r="PI8" t="s">
        <v>1599</v>
      </c>
      <c r="PJ8">
        <v>2025</v>
      </c>
      <c r="PK8" t="s">
        <v>3278</v>
      </c>
      <c r="PL8" s="6">
        <v>45966</v>
      </c>
      <c r="PM8">
        <v>5</v>
      </c>
      <c r="PN8">
        <v>-2.4245362661989844E-14</v>
      </c>
      <c r="PO8">
        <v>101695</v>
      </c>
      <c r="PP8" t="s">
        <v>1919</v>
      </c>
      <c r="RM8" t="s">
        <v>559</v>
      </c>
      <c r="RN8" t="s">
        <v>1685</v>
      </c>
      <c r="RO8">
        <v>2.8</v>
      </c>
      <c r="RP8">
        <v>0.73512200000000005</v>
      </c>
      <c r="RQ8" t="s">
        <v>1594</v>
      </c>
      <c r="RR8">
        <v>2024</v>
      </c>
      <c r="RS8" t="s">
        <v>4434</v>
      </c>
      <c r="RT8" s="6">
        <v>45701</v>
      </c>
      <c r="RU8">
        <v>5</v>
      </c>
      <c r="RV8">
        <v>34469864</v>
      </c>
      <c r="RW8">
        <v>101595</v>
      </c>
      <c r="RX8" t="s">
        <v>4435</v>
      </c>
      <c r="SA8" t="s">
        <v>872</v>
      </c>
      <c r="SB8">
        <v>8.5290000000000005E-2</v>
      </c>
      <c r="SC8" t="s">
        <v>1598</v>
      </c>
      <c r="SD8">
        <v>2.4104E-2</v>
      </c>
      <c r="SE8" t="s">
        <v>1664</v>
      </c>
      <c r="SF8">
        <v>2025</v>
      </c>
      <c r="SG8" t="s">
        <v>2179</v>
      </c>
      <c r="SH8" s="6">
        <v>45873</v>
      </c>
      <c r="SI8">
        <v>5</v>
      </c>
      <c r="SJ8">
        <v>4896487</v>
      </c>
      <c r="SK8">
        <v>100211</v>
      </c>
      <c r="SL8" t="s">
        <v>1632</v>
      </c>
      <c r="SQ8" t="s">
        <v>4425</v>
      </c>
      <c r="SR8" t="s">
        <v>1598</v>
      </c>
      <c r="SS8">
        <v>0.53132299999999999</v>
      </c>
      <c r="ST8">
        <v>6.1322000000000002E-2</v>
      </c>
      <c r="SU8" t="s">
        <v>1603</v>
      </c>
      <c r="SV8">
        <v>2025</v>
      </c>
      <c r="SW8" t="s">
        <v>4426</v>
      </c>
      <c r="SX8" s="6">
        <v>45846</v>
      </c>
      <c r="SY8">
        <v>5</v>
      </c>
      <c r="SZ8">
        <v>1071296</v>
      </c>
      <c r="TA8">
        <v>107051</v>
      </c>
      <c r="TB8" t="s">
        <v>4427</v>
      </c>
      <c r="TE8" t="s">
        <v>1671</v>
      </c>
      <c r="TF8">
        <v>5.042821</v>
      </c>
      <c r="TG8" t="s">
        <v>1598</v>
      </c>
      <c r="TH8">
        <v>0.69375200000000004</v>
      </c>
      <c r="TI8" t="s">
        <v>1599</v>
      </c>
      <c r="TJ8">
        <v>2025</v>
      </c>
      <c r="TK8" t="s">
        <v>5013</v>
      </c>
      <c r="TL8" s="6">
        <v>45833</v>
      </c>
      <c r="TM8">
        <v>5</v>
      </c>
      <c r="TN8">
        <v>124809824</v>
      </c>
      <c r="TO8">
        <v>115643</v>
      </c>
      <c r="TP8" t="s">
        <v>1672</v>
      </c>
      <c r="UY8" t="s">
        <v>4699</v>
      </c>
      <c r="VA8">
        <v>-2.4245362661989844E-14</v>
      </c>
      <c r="VB8">
        <v>-2.4245362661989844E-14</v>
      </c>
      <c r="VC8" t="s">
        <v>1594</v>
      </c>
      <c r="VD8">
        <v>2024</v>
      </c>
      <c r="VE8" t="s">
        <v>4700</v>
      </c>
      <c r="VF8" s="6">
        <v>45735</v>
      </c>
      <c r="VG8">
        <v>5</v>
      </c>
      <c r="VH8">
        <v>-2.4245362661989844E-14</v>
      </c>
      <c r="VI8">
        <v>37585679</v>
      </c>
      <c r="VJ8" t="s">
        <v>4701</v>
      </c>
      <c r="VM8" t="s">
        <v>5474</v>
      </c>
      <c r="VN8">
        <v>-2.4245362661989844E-14</v>
      </c>
      <c r="VP8">
        <v>-2.4245362661989844E-14</v>
      </c>
      <c r="VQ8" t="s">
        <v>1594</v>
      </c>
      <c r="VR8">
        <v>2023</v>
      </c>
      <c r="VS8" t="s">
        <v>4695</v>
      </c>
      <c r="VT8" s="6">
        <v>45187</v>
      </c>
      <c r="VU8">
        <v>5</v>
      </c>
      <c r="VV8">
        <v>-2.4245362661989844E-14</v>
      </c>
      <c r="VW8">
        <v>929178</v>
      </c>
      <c r="VX8" t="s">
        <v>5475</v>
      </c>
    </row>
    <row r="9" spans="1:600" x14ac:dyDescent="0.25">
      <c r="A9" t="s">
        <v>3145</v>
      </c>
      <c r="B9" t="s">
        <v>1598</v>
      </c>
      <c r="C9">
        <v>0.75007900000000005</v>
      </c>
      <c r="D9">
        <v>1.9236930000000001</v>
      </c>
      <c r="E9" t="s">
        <v>1603</v>
      </c>
      <c r="F9">
        <v>2025</v>
      </c>
      <c r="G9" t="s">
        <v>3146</v>
      </c>
      <c r="H9" s="6">
        <v>45819</v>
      </c>
      <c r="I9">
        <v>5</v>
      </c>
      <c r="J9">
        <v>33782291.130000003</v>
      </c>
      <c r="K9">
        <v>58244711</v>
      </c>
      <c r="L9" t="s">
        <v>3147</v>
      </c>
      <c r="O9" t="s">
        <v>1679</v>
      </c>
      <c r="P9">
        <v>1.559631</v>
      </c>
      <c r="Q9" t="s">
        <v>1598</v>
      </c>
      <c r="R9">
        <v>1.5618050000000001</v>
      </c>
      <c r="S9" t="s">
        <v>1599</v>
      </c>
      <c r="T9">
        <v>2025</v>
      </c>
      <c r="U9" t="s">
        <v>5486</v>
      </c>
      <c r="V9" s="6">
        <v>45954</v>
      </c>
      <c r="W9">
        <v>5</v>
      </c>
      <c r="X9">
        <v>73957704</v>
      </c>
      <c r="Y9">
        <v>12129192</v>
      </c>
      <c r="Z9" t="s">
        <v>1681</v>
      </c>
      <c r="AE9" t="s">
        <v>3294</v>
      </c>
      <c r="AG9">
        <v>-2.4245362661989844E-14</v>
      </c>
      <c r="AH9">
        <v>-2.4245362661989844E-14</v>
      </c>
      <c r="AI9" t="s">
        <v>1594</v>
      </c>
      <c r="AJ9">
        <v>2022</v>
      </c>
      <c r="AK9" t="s">
        <v>3295</v>
      </c>
      <c r="AL9" s="6">
        <v>44656</v>
      </c>
      <c r="AM9">
        <v>5</v>
      </c>
      <c r="AN9">
        <v>-2.4245362661989844E-14</v>
      </c>
      <c r="AO9">
        <v>8889775</v>
      </c>
      <c r="AP9" t="s">
        <v>3296</v>
      </c>
      <c r="BI9" t="s">
        <v>116</v>
      </c>
      <c r="BK9">
        <v>-2.4245362661989844E-14</v>
      </c>
      <c r="BL9">
        <v>-2.4245362661989844E-14</v>
      </c>
      <c r="BM9" t="s">
        <v>1606</v>
      </c>
      <c r="BN9">
        <v>2025</v>
      </c>
      <c r="BO9" t="s">
        <v>3728</v>
      </c>
      <c r="BP9" s="6">
        <v>46056</v>
      </c>
      <c r="BQ9">
        <v>5</v>
      </c>
      <c r="BR9">
        <v>-2.4245362661989844E-14</v>
      </c>
      <c r="BS9">
        <v>100302</v>
      </c>
      <c r="BT9" t="s">
        <v>5118</v>
      </c>
      <c r="BW9" t="s">
        <v>2693</v>
      </c>
      <c r="BX9">
        <v>1.202318</v>
      </c>
      <c r="BY9" t="s">
        <v>1685</v>
      </c>
      <c r="BZ9">
        <v>0.30441099999999999</v>
      </c>
      <c r="CA9" t="s">
        <v>1594</v>
      </c>
      <c r="CB9">
        <v>2025</v>
      </c>
      <c r="CC9" t="s">
        <v>2044</v>
      </c>
      <c r="CD9" s="6">
        <v>46066</v>
      </c>
      <c r="CE9">
        <v>5</v>
      </c>
      <c r="CF9">
        <v>18373500</v>
      </c>
      <c r="CG9">
        <v>11092218</v>
      </c>
      <c r="CH9" t="s">
        <v>2694</v>
      </c>
      <c r="CM9" t="s">
        <v>5320</v>
      </c>
      <c r="CN9" t="s">
        <v>1685</v>
      </c>
      <c r="CO9">
        <v>0.79573300000000002</v>
      </c>
      <c r="CP9">
        <v>0.29065099999999999</v>
      </c>
      <c r="CQ9" t="s">
        <v>1599</v>
      </c>
      <c r="CR9">
        <v>2025</v>
      </c>
      <c r="CS9" t="s">
        <v>5321</v>
      </c>
      <c r="CT9" s="6">
        <v>45959</v>
      </c>
      <c r="CU9">
        <v>5</v>
      </c>
      <c r="CV9">
        <v>1679960</v>
      </c>
      <c r="CW9">
        <v>20264138</v>
      </c>
      <c r="CX9" t="s">
        <v>5322</v>
      </c>
      <c r="DA9" t="s">
        <v>4365</v>
      </c>
      <c r="DB9">
        <v>-2.4245362661989844E-14</v>
      </c>
      <c r="DD9">
        <v>-2.4245362661989844E-14</v>
      </c>
      <c r="DE9" t="s">
        <v>1792</v>
      </c>
      <c r="DF9">
        <v>2024</v>
      </c>
      <c r="DG9" t="s">
        <v>4366</v>
      </c>
      <c r="DH9" s="6">
        <v>45534</v>
      </c>
      <c r="DI9">
        <v>5</v>
      </c>
      <c r="DJ9">
        <v>-2.4245362661989844E-14</v>
      </c>
      <c r="DK9">
        <v>21796045</v>
      </c>
      <c r="DL9" t="s">
        <v>4367</v>
      </c>
      <c r="EU9" t="s">
        <v>4008</v>
      </c>
      <c r="EV9" t="s">
        <v>1598</v>
      </c>
      <c r="EW9">
        <v>18.200001</v>
      </c>
      <c r="EX9">
        <v>3.1899000000000002</v>
      </c>
      <c r="EY9" t="s">
        <v>1594</v>
      </c>
      <c r="EZ9">
        <v>2025</v>
      </c>
      <c r="FA9" t="s">
        <v>4009</v>
      </c>
      <c r="FB9" s="6">
        <v>45888</v>
      </c>
      <c r="FC9">
        <v>5</v>
      </c>
      <c r="FD9">
        <v>155579376</v>
      </c>
      <c r="FE9">
        <v>9858567</v>
      </c>
      <c r="FF9" t="s">
        <v>4010</v>
      </c>
      <c r="FI9" t="s">
        <v>21</v>
      </c>
      <c r="FJ9">
        <v>1.966375</v>
      </c>
      <c r="FK9" t="s">
        <v>1634</v>
      </c>
      <c r="FL9">
        <v>5.4308940000000003</v>
      </c>
      <c r="FM9" t="s">
        <v>1664</v>
      </c>
      <c r="FN9">
        <v>2025</v>
      </c>
      <c r="FO9" t="s">
        <v>3227</v>
      </c>
      <c r="FP9" s="6">
        <v>45783</v>
      </c>
      <c r="FQ9">
        <v>5</v>
      </c>
      <c r="FR9">
        <v>275115520</v>
      </c>
      <c r="FS9">
        <v>101376</v>
      </c>
      <c r="FT9" t="s">
        <v>3621</v>
      </c>
      <c r="HC9" t="s">
        <v>207</v>
      </c>
      <c r="HD9" t="s">
        <v>1598</v>
      </c>
      <c r="HE9">
        <v>29</v>
      </c>
      <c r="HF9">
        <v>3.6236459999999999</v>
      </c>
      <c r="HG9" t="s">
        <v>1594</v>
      </c>
      <c r="HH9">
        <v>2025</v>
      </c>
      <c r="HI9" t="s">
        <v>2373</v>
      </c>
      <c r="HJ9" s="6">
        <v>46077</v>
      </c>
      <c r="HK9">
        <v>5</v>
      </c>
      <c r="HL9">
        <v>2134617472</v>
      </c>
      <c r="HM9">
        <v>104161</v>
      </c>
      <c r="HN9" t="s">
        <v>2374</v>
      </c>
      <c r="HQ9" t="s">
        <v>1826</v>
      </c>
      <c r="HR9">
        <v>1.1000000000000001</v>
      </c>
      <c r="HT9">
        <v>-2.4245362661989844E-14</v>
      </c>
      <c r="HU9" t="s">
        <v>1606</v>
      </c>
      <c r="HV9">
        <v>2025</v>
      </c>
      <c r="HW9" t="s">
        <v>1822</v>
      </c>
      <c r="HX9" s="6">
        <v>45954</v>
      </c>
      <c r="HY9">
        <v>5</v>
      </c>
      <c r="HZ9">
        <v>661748992</v>
      </c>
      <c r="IA9">
        <v>935121</v>
      </c>
      <c r="IB9" t="s">
        <v>1827</v>
      </c>
      <c r="IG9" t="s">
        <v>4436</v>
      </c>
      <c r="IH9" t="s">
        <v>1598</v>
      </c>
      <c r="II9">
        <v>0.175651</v>
      </c>
      <c r="IJ9">
        <v>0.75103900000000001</v>
      </c>
      <c r="IK9" t="s">
        <v>1603</v>
      </c>
      <c r="IL9">
        <v>2025</v>
      </c>
      <c r="IM9" t="s">
        <v>4437</v>
      </c>
      <c r="IN9" s="6">
        <v>45805</v>
      </c>
      <c r="IO9">
        <v>5</v>
      </c>
      <c r="IP9">
        <v>32165431.010000002</v>
      </c>
      <c r="IQ9">
        <v>115694</v>
      </c>
      <c r="IR9" t="s">
        <v>4438</v>
      </c>
      <c r="IU9" t="s">
        <v>1732</v>
      </c>
      <c r="IV9">
        <v>6.9483000000000003E-2</v>
      </c>
      <c r="IW9" t="s">
        <v>1598</v>
      </c>
      <c r="IX9">
        <v>2.7682999999999999E-2</v>
      </c>
      <c r="IY9" t="s">
        <v>1664</v>
      </c>
      <c r="IZ9">
        <v>2025</v>
      </c>
      <c r="JA9" t="s">
        <v>2161</v>
      </c>
      <c r="JB9" s="6">
        <v>45874</v>
      </c>
      <c r="JC9">
        <v>5</v>
      </c>
      <c r="JD9">
        <v>4296866.1500000004</v>
      </c>
      <c r="JE9">
        <v>876285</v>
      </c>
      <c r="JF9" t="s">
        <v>1734</v>
      </c>
      <c r="JK9" t="s">
        <v>3162</v>
      </c>
      <c r="JL9" t="s">
        <v>1598</v>
      </c>
      <c r="JM9">
        <v>0.38929900000000001</v>
      </c>
      <c r="JN9">
        <v>7.7118999999999993E-2</v>
      </c>
      <c r="JO9" t="s">
        <v>1603</v>
      </c>
      <c r="JP9">
        <v>2025</v>
      </c>
      <c r="JQ9" t="s">
        <v>3163</v>
      </c>
      <c r="JR9" s="6">
        <v>45855</v>
      </c>
      <c r="JS9">
        <v>5</v>
      </c>
      <c r="JT9">
        <v>1851635</v>
      </c>
      <c r="JU9">
        <v>171977</v>
      </c>
      <c r="JV9" t="s">
        <v>3164</v>
      </c>
      <c r="JY9" t="s">
        <v>3622</v>
      </c>
      <c r="JZ9">
        <v>-2.4245362661989844E-14</v>
      </c>
      <c r="KB9">
        <v>-2.4245362661989844E-14</v>
      </c>
      <c r="KC9" t="s">
        <v>1594</v>
      </c>
      <c r="KD9">
        <v>2023</v>
      </c>
      <c r="KE9" t="s">
        <v>5969</v>
      </c>
      <c r="KF9" s="6">
        <v>45092</v>
      </c>
      <c r="KG9">
        <v>5</v>
      </c>
      <c r="KH9">
        <v>-2.4245362661989844E-14</v>
      </c>
      <c r="KI9">
        <v>115790</v>
      </c>
      <c r="KJ9" t="s">
        <v>3623</v>
      </c>
      <c r="KO9" t="s">
        <v>3370</v>
      </c>
      <c r="KP9" t="s">
        <v>1685</v>
      </c>
      <c r="KQ9">
        <v>1.7262839999999999</v>
      </c>
      <c r="KR9">
        <v>2.5293779999999999</v>
      </c>
      <c r="KS9" t="s">
        <v>1599</v>
      </c>
      <c r="KT9">
        <v>2025</v>
      </c>
      <c r="KU9" t="s">
        <v>3371</v>
      </c>
      <c r="KV9" s="6">
        <v>45996</v>
      </c>
      <c r="KW9">
        <v>5</v>
      </c>
      <c r="KX9">
        <v>15044738</v>
      </c>
      <c r="KY9">
        <v>225275</v>
      </c>
      <c r="KZ9" t="s">
        <v>3372</v>
      </c>
      <c r="LC9" t="s">
        <v>32</v>
      </c>
      <c r="LD9">
        <v>5.1776350000000004</v>
      </c>
      <c r="LE9" t="s">
        <v>1598</v>
      </c>
      <c r="LF9">
        <v>0.16053799999999999</v>
      </c>
      <c r="LG9" t="s">
        <v>1664</v>
      </c>
      <c r="LH9">
        <v>2025</v>
      </c>
      <c r="LI9" t="s">
        <v>2970</v>
      </c>
      <c r="LJ9" s="6">
        <v>45891</v>
      </c>
      <c r="LK9">
        <v>5</v>
      </c>
      <c r="LL9">
        <v>136974336</v>
      </c>
      <c r="LM9">
        <v>100976</v>
      </c>
      <c r="LN9" t="s">
        <v>1820</v>
      </c>
      <c r="MW9" t="s">
        <v>3168</v>
      </c>
      <c r="MY9">
        <v>-2.4245362661989844E-14</v>
      </c>
      <c r="MZ9">
        <v>-2.4245362661989844E-14</v>
      </c>
      <c r="NA9" t="s">
        <v>1792</v>
      </c>
      <c r="NB9">
        <v>2025</v>
      </c>
      <c r="NC9" t="s">
        <v>3169</v>
      </c>
      <c r="ND9" s="6">
        <v>45890</v>
      </c>
      <c r="NE9">
        <v>5</v>
      </c>
      <c r="NF9">
        <v>-2.4245362661989844E-14</v>
      </c>
      <c r="NG9">
        <v>38007258</v>
      </c>
      <c r="NH9" t="s">
        <v>3170</v>
      </c>
      <c r="NK9" t="s">
        <v>3454</v>
      </c>
      <c r="NL9">
        <v>-2.4245362661989844E-14</v>
      </c>
      <c r="NN9">
        <v>-2.4245362661989844E-14</v>
      </c>
      <c r="NO9" t="s">
        <v>1594</v>
      </c>
      <c r="NP9">
        <v>2024</v>
      </c>
      <c r="NQ9" t="s">
        <v>5528</v>
      </c>
      <c r="NR9" s="6">
        <v>45980</v>
      </c>
      <c r="NS9">
        <v>5</v>
      </c>
      <c r="NT9">
        <v>-2.4245362661989844E-14</v>
      </c>
      <c r="NU9">
        <v>17530883</v>
      </c>
      <c r="NV9" t="s">
        <v>3455</v>
      </c>
      <c r="PE9" t="s">
        <v>3279</v>
      </c>
      <c r="PG9">
        <v>-2.4245362661989844E-14</v>
      </c>
      <c r="PH9">
        <v>-2.4245362661989844E-14</v>
      </c>
      <c r="PI9" t="s">
        <v>1594</v>
      </c>
      <c r="PJ9">
        <v>2022</v>
      </c>
      <c r="PK9" t="s">
        <v>3280</v>
      </c>
      <c r="PL9" s="6">
        <v>45016</v>
      </c>
      <c r="PM9">
        <v>5</v>
      </c>
      <c r="PN9">
        <v>-2.4245362661989844E-14</v>
      </c>
      <c r="PO9">
        <v>9840510</v>
      </c>
      <c r="PP9" t="s">
        <v>3281</v>
      </c>
      <c r="RM9" t="s">
        <v>4436</v>
      </c>
      <c r="RN9" t="s">
        <v>1598</v>
      </c>
      <c r="RO9">
        <v>0.175651</v>
      </c>
      <c r="RP9">
        <v>0.75103900000000001</v>
      </c>
      <c r="RQ9" t="s">
        <v>1603</v>
      </c>
      <c r="RR9">
        <v>2025</v>
      </c>
      <c r="RS9" t="s">
        <v>4437</v>
      </c>
      <c r="RT9" s="6">
        <v>45805</v>
      </c>
      <c r="RU9">
        <v>5</v>
      </c>
      <c r="RV9">
        <v>32165431.010000002</v>
      </c>
      <c r="RW9">
        <v>115694</v>
      </c>
      <c r="RX9" t="s">
        <v>4438</v>
      </c>
      <c r="SA9" t="s">
        <v>1732</v>
      </c>
      <c r="SB9">
        <v>6.9483000000000003E-2</v>
      </c>
      <c r="SC9" t="s">
        <v>1598</v>
      </c>
      <c r="SD9">
        <v>2.7682999999999999E-2</v>
      </c>
      <c r="SE9" t="s">
        <v>1664</v>
      </c>
      <c r="SF9">
        <v>2025</v>
      </c>
      <c r="SG9" t="s">
        <v>2161</v>
      </c>
      <c r="SH9" s="6">
        <v>45874</v>
      </c>
      <c r="SI9">
        <v>5</v>
      </c>
      <c r="SJ9">
        <v>4296866.1500000004</v>
      </c>
      <c r="SK9">
        <v>876285</v>
      </c>
      <c r="SL9" t="s">
        <v>1734</v>
      </c>
      <c r="SQ9" t="s">
        <v>5219</v>
      </c>
      <c r="SR9" t="s">
        <v>1598</v>
      </c>
      <c r="SS9">
        <v>8.4899999999999993E-3</v>
      </c>
      <c r="ST9">
        <v>1.5462999999999999E-2</v>
      </c>
      <c r="SU9" t="s">
        <v>1599</v>
      </c>
      <c r="SV9">
        <v>2025</v>
      </c>
      <c r="SW9" t="s">
        <v>5220</v>
      </c>
      <c r="SX9" s="6">
        <v>46069</v>
      </c>
      <c r="SY9">
        <v>5</v>
      </c>
      <c r="SZ9">
        <v>291763.62</v>
      </c>
      <c r="TA9">
        <v>69628524</v>
      </c>
      <c r="TB9" t="s">
        <v>5221</v>
      </c>
      <c r="TE9" t="s">
        <v>311</v>
      </c>
      <c r="TF9">
        <v>4.9643480000000002</v>
      </c>
      <c r="TG9" t="s">
        <v>1598</v>
      </c>
      <c r="TH9">
        <v>0.35561199999999998</v>
      </c>
      <c r="TI9" t="s">
        <v>1599</v>
      </c>
      <c r="TJ9">
        <v>2025</v>
      </c>
      <c r="TK9" t="s">
        <v>5013</v>
      </c>
      <c r="TL9" s="6">
        <v>45833</v>
      </c>
      <c r="TM9">
        <v>5</v>
      </c>
      <c r="TN9">
        <v>122867616</v>
      </c>
      <c r="TO9">
        <v>100864</v>
      </c>
      <c r="TP9" t="s">
        <v>1668</v>
      </c>
      <c r="UY9" t="s">
        <v>4702</v>
      </c>
      <c r="VA9">
        <v>-2.4245362661989844E-14</v>
      </c>
      <c r="VB9">
        <v>-2.4245362661989844E-14</v>
      </c>
      <c r="VC9" t="s">
        <v>1599</v>
      </c>
      <c r="VD9">
        <v>2023</v>
      </c>
      <c r="VE9" t="s">
        <v>4703</v>
      </c>
      <c r="VF9" s="6">
        <v>45223</v>
      </c>
      <c r="VG9">
        <v>5</v>
      </c>
      <c r="VH9">
        <v>-2.4245362661989844E-14</v>
      </c>
      <c r="VI9">
        <v>922300</v>
      </c>
      <c r="VJ9" t="s">
        <v>4704</v>
      </c>
      <c r="VM9" t="s">
        <v>5476</v>
      </c>
      <c r="VN9">
        <v>-2.4245362661989844E-14</v>
      </c>
      <c r="VP9">
        <v>-2.4245362661989844E-14</v>
      </c>
      <c r="VQ9" t="s">
        <v>1594</v>
      </c>
      <c r="VR9">
        <v>2023</v>
      </c>
      <c r="VS9" t="s">
        <v>4695</v>
      </c>
      <c r="VT9" s="6">
        <v>45187</v>
      </c>
      <c r="VU9">
        <v>5</v>
      </c>
      <c r="VV9">
        <v>-2.4245362661989844E-14</v>
      </c>
      <c r="VW9">
        <v>340388</v>
      </c>
      <c r="VX9" t="s">
        <v>5477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629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630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631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632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633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634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635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636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637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638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639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640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641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642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643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644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645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646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647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648</v>
      </c>
      <c r="AE2" s="3" t="s">
        <v>212</v>
      </c>
      <c r="BI2" s="3" t="s">
        <v>397</v>
      </c>
      <c r="CM2" s="3" t="s">
        <v>555</v>
      </c>
      <c r="DQ2" s="3" t="s">
        <v>649</v>
      </c>
      <c r="EU2" s="3" t="s">
        <v>274</v>
      </c>
      <c r="FY2" s="3" t="s">
        <v>650</v>
      </c>
      <c r="HC2" s="3" t="s">
        <v>651</v>
      </c>
      <c r="IG2" s="3" t="s">
        <v>652</v>
      </c>
      <c r="JK2" s="3" t="s">
        <v>653</v>
      </c>
      <c r="KO2" s="3" t="s">
        <v>654</v>
      </c>
      <c r="LS2" s="3" t="s">
        <v>20</v>
      </c>
      <c r="MW2" s="3" t="s">
        <v>655</v>
      </c>
      <c r="OA2" s="3" t="s">
        <v>649</v>
      </c>
      <c r="PE2" s="3" t="s">
        <v>437</v>
      </c>
      <c r="QI2" s="3" t="s">
        <v>656</v>
      </c>
      <c r="RM2" s="3" t="s">
        <v>657</v>
      </c>
      <c r="SQ2" s="3" t="s">
        <v>658</v>
      </c>
      <c r="TU2" s="3" t="s">
        <v>659</v>
      </c>
      <c r="UY2" s="3" t="s">
        <v>660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_xll.BDS("ALB US Equity","SUPPLY_CHAIN_SUPPLIERS_ALL_DATA","cols=12;rows=5")</f>
        <v>002466 CH Equity</v>
      </c>
      <c r="B5" t="s">
        <v>1598</v>
      </c>
      <c r="C5">
        <v>33.950001</v>
      </c>
      <c r="D5">
        <v>11.589318</v>
      </c>
      <c r="E5" t="s">
        <v>1594</v>
      </c>
      <c r="F5">
        <v>2024</v>
      </c>
      <c r="G5" t="s">
        <v>4013</v>
      </c>
      <c r="H5" s="6">
        <v>45742</v>
      </c>
      <c r="I5">
        <v>5</v>
      </c>
      <c r="J5">
        <v>154004380.34999999</v>
      </c>
      <c r="K5">
        <v>18495257</v>
      </c>
      <c r="L5" t="s">
        <v>4014</v>
      </c>
      <c r="O5" t="str">
        <f>_xll.BDS("ALB US Equity","SUPPLY_CHAIN_CUSTOMERS_ALL_DATA","cols=12;rows=5")</f>
        <v>UMI BB Equity</v>
      </c>
      <c r="P5">
        <v>7.3872879999999999</v>
      </c>
      <c r="Q5" t="s">
        <v>1598</v>
      </c>
      <c r="R5">
        <v>1.9978260000000001</v>
      </c>
      <c r="S5" t="s">
        <v>1603</v>
      </c>
      <c r="T5">
        <v>2025</v>
      </c>
      <c r="U5" t="s">
        <v>6122</v>
      </c>
      <c r="V5" s="6">
        <v>45779</v>
      </c>
      <c r="W5">
        <v>5</v>
      </c>
      <c r="X5">
        <v>79552304</v>
      </c>
      <c r="Y5">
        <v>118955</v>
      </c>
      <c r="Z5" t="s">
        <v>6123</v>
      </c>
      <c r="AE5" t="str">
        <f>_xll.BDS("NWL US Equity","SUPPLY_CHAIN_SUPPLIERS_ALL_DATA","cols=12;rows=5")</f>
        <v>ORCL US Equity</v>
      </c>
      <c r="AF5" t="s">
        <v>1598</v>
      </c>
      <c r="AG5">
        <v>2.1940999999999999E-2</v>
      </c>
      <c r="AH5">
        <v>0.27725699999999998</v>
      </c>
      <c r="AI5" t="s">
        <v>1606</v>
      </c>
      <c r="AJ5">
        <v>2025</v>
      </c>
      <c r="AK5" t="s">
        <v>2251</v>
      </c>
      <c r="AL5" s="6">
        <v>45848</v>
      </c>
      <c r="AM5">
        <v>5</v>
      </c>
      <c r="AN5">
        <v>3489277</v>
      </c>
      <c r="AO5">
        <v>101752</v>
      </c>
      <c r="AP5" t="s">
        <v>2265</v>
      </c>
      <c r="AS5" t="str">
        <f>_xll.BDS("NWL US Equity","SUPPLY_CHAIN_CUSTOMERS_ALL_DATA","cols=12;rows=5")</f>
        <v>AMZN US Equity</v>
      </c>
      <c r="AT5">
        <v>17</v>
      </c>
      <c r="AU5" t="s">
        <v>1598</v>
      </c>
      <c r="AV5">
        <v>0.34361199999999997</v>
      </c>
      <c r="AW5" t="s">
        <v>1594</v>
      </c>
      <c r="AX5">
        <v>2025</v>
      </c>
      <c r="AY5" t="s">
        <v>3267</v>
      </c>
      <c r="AZ5" s="6">
        <v>46066</v>
      </c>
      <c r="BA5">
        <v>5</v>
      </c>
      <c r="BB5">
        <v>306169984</v>
      </c>
      <c r="BC5">
        <v>216952</v>
      </c>
      <c r="BD5" t="s">
        <v>1631</v>
      </c>
      <c r="BI5" t="str">
        <f>_xll.BDS("WMB US Equity","SUPPLY_CHAIN_SUPPLIERS_ALL_DATA","cols=12;rows=5")</f>
        <v>PWR US Equity</v>
      </c>
      <c r="BJ5" t="s">
        <v>1634</v>
      </c>
      <c r="BK5">
        <v>0.62114000000000003</v>
      </c>
      <c r="BL5">
        <v>4.9687349999999997</v>
      </c>
      <c r="BM5" t="s">
        <v>1599</v>
      </c>
      <c r="BN5">
        <v>2025</v>
      </c>
      <c r="BO5" t="s">
        <v>2321</v>
      </c>
      <c r="BP5" s="6">
        <v>45975</v>
      </c>
      <c r="BQ5">
        <v>5</v>
      </c>
      <c r="BR5">
        <v>47401728</v>
      </c>
      <c r="BS5">
        <v>305366</v>
      </c>
      <c r="BT5" t="s">
        <v>2322</v>
      </c>
      <c r="BW5" t="str">
        <f>_xll.BDS("WMB US Equity","SUPPLY_CHAIN_CUSTOMERS_ALL_DATA","cols=12;rows=5")</f>
        <v>3352Z US Equity</v>
      </c>
      <c r="BX5">
        <v>-2.4245362661989844E-14</v>
      </c>
      <c r="BZ5">
        <v>-2.4245362661989844E-14</v>
      </c>
      <c r="CA5" t="s">
        <v>1594</v>
      </c>
      <c r="CB5">
        <v>2023</v>
      </c>
      <c r="CC5" t="s">
        <v>2745</v>
      </c>
      <c r="CD5" s="6">
        <v>45216</v>
      </c>
      <c r="CE5">
        <v>5</v>
      </c>
      <c r="CF5">
        <v>-2.4245362661989844E-14</v>
      </c>
      <c r="CG5">
        <v>218252</v>
      </c>
      <c r="CH5" t="s">
        <v>1622</v>
      </c>
      <c r="CM5" t="str">
        <f>_xll.BDS("LLY US Equity","SUPPLY_CHAIN_SUPPLIERS_ALL_DATA","cols=12;rows=5")</f>
        <v>RIGL US Equity</v>
      </c>
      <c r="CN5" t="s">
        <v>1598</v>
      </c>
      <c r="CO5">
        <v>39</v>
      </c>
      <c r="CP5">
        <v>1.782985</v>
      </c>
      <c r="CQ5" t="s">
        <v>1664</v>
      </c>
      <c r="CR5">
        <v>2025</v>
      </c>
      <c r="CS5" t="s">
        <v>2359</v>
      </c>
      <c r="CT5" s="6">
        <v>45874</v>
      </c>
      <c r="CU5">
        <v>5</v>
      </c>
      <c r="CV5">
        <v>39657152</v>
      </c>
      <c r="CW5">
        <v>1176875</v>
      </c>
      <c r="CX5" t="s">
        <v>2360</v>
      </c>
      <c r="DA5" t="str">
        <f>_xll.BDS("LLY US Equity","SUPPLY_CHAIN_CUSTOMERS_ALL_DATA","cols=12;rows=5")</f>
        <v>MCK US Equity</v>
      </c>
      <c r="DB5">
        <v>23.281113000000001</v>
      </c>
      <c r="DC5" t="s">
        <v>1598</v>
      </c>
      <c r="DD5">
        <v>5.5350809999999999</v>
      </c>
      <c r="DE5" t="s">
        <v>1599</v>
      </c>
      <c r="DF5">
        <v>2025</v>
      </c>
      <c r="DG5" t="s">
        <v>1859</v>
      </c>
      <c r="DH5" s="6">
        <v>46041</v>
      </c>
      <c r="DI5">
        <v>5</v>
      </c>
      <c r="DJ5">
        <v>4097661952</v>
      </c>
      <c r="DK5">
        <v>154936</v>
      </c>
      <c r="DL5" t="s">
        <v>1766</v>
      </c>
      <c r="DQ5" t="str">
        <f>_xll.BDS("TFCFA US Equity","SUPPLY_CHAIN_SUPPLIERS_ALL_DATA")</f>
        <v>#N/A N/A</v>
      </c>
      <c r="EE5" t="str">
        <f>_xll.BDS("TFCFA US Equity","SUPPLY_CHAIN_CUSTOMERS_ALL_DATA")</f>
        <v>#N/A N/A</v>
      </c>
      <c r="EU5" t="str">
        <f>_xll.BDS("D US Equity","SUPPLY_CHAIN_SUPPLIERS_ALL_DATA","cols=12;rows=5")</f>
        <v>PWR US Equity</v>
      </c>
      <c r="EV5" t="s">
        <v>1634</v>
      </c>
      <c r="EW5">
        <v>3.1101740000000002</v>
      </c>
      <c r="EX5">
        <v>7.8050009999999999</v>
      </c>
      <c r="EY5" t="s">
        <v>1599</v>
      </c>
      <c r="EZ5">
        <v>2025</v>
      </c>
      <c r="FA5" t="s">
        <v>2321</v>
      </c>
      <c r="FB5" s="6">
        <v>45975</v>
      </c>
      <c r="FC5">
        <v>5</v>
      </c>
      <c r="FD5">
        <v>237350064</v>
      </c>
      <c r="FE5">
        <v>305366</v>
      </c>
      <c r="FF5" t="s">
        <v>2322</v>
      </c>
      <c r="FI5" t="str">
        <f>_xll.BDS("D US Equity","SUPPLY_CHAIN_CUSTOMERS_ALL_DATA","cols=12;rows=5")</f>
        <v>000039 CH Equity</v>
      </c>
      <c r="FJ5">
        <v>-2.4245362661989844E-14</v>
      </c>
      <c r="FL5">
        <v>-2.4245362661989844E-14</v>
      </c>
      <c r="FM5" t="s">
        <v>1594</v>
      </c>
      <c r="FN5">
        <v>2021</v>
      </c>
      <c r="FO5" t="s">
        <v>3689</v>
      </c>
      <c r="FP5" s="6">
        <v>44693</v>
      </c>
      <c r="FQ5">
        <v>5</v>
      </c>
      <c r="FR5">
        <v>-2.4245362661989844E-14</v>
      </c>
      <c r="FS5">
        <v>135744</v>
      </c>
      <c r="FT5" t="s">
        <v>3690</v>
      </c>
      <c r="FY5" t="str">
        <f>_xll.BDS("EMR US Equity","SUPPLY_CHAIN_SUPPLIERS_ALL_DATA","cols=12;rows=5")</f>
        <v>JBL US Equity</v>
      </c>
      <c r="FZ5" t="s">
        <v>1598</v>
      </c>
      <c r="GA5">
        <v>0.48485499999999998</v>
      </c>
      <c r="GB5">
        <v>1.7638879999999999</v>
      </c>
      <c r="GC5" t="s">
        <v>1599</v>
      </c>
      <c r="GD5">
        <v>2025</v>
      </c>
      <c r="GE5" t="s">
        <v>2560</v>
      </c>
      <c r="GF5" s="6">
        <v>45867</v>
      </c>
      <c r="GG5">
        <v>5</v>
      </c>
      <c r="GH5">
        <v>37954448</v>
      </c>
      <c r="GI5">
        <v>117092</v>
      </c>
      <c r="GJ5" t="s">
        <v>2561</v>
      </c>
      <c r="GM5" t="str">
        <f>_xll.BDS("EMR US Equity","SUPPLY_CHAIN_CUSTOMERS_ALL_DATA","cols=12;rows=5")</f>
        <v>TMO US Equity</v>
      </c>
      <c r="GN5">
        <v>4.2224550000000001</v>
      </c>
      <c r="GO5" t="s">
        <v>1598</v>
      </c>
      <c r="GP5">
        <v>2.8645350000000001</v>
      </c>
      <c r="GQ5" t="s">
        <v>1599</v>
      </c>
      <c r="GR5">
        <v>2025</v>
      </c>
      <c r="GS5" t="s">
        <v>2931</v>
      </c>
      <c r="GT5" s="6">
        <v>45881</v>
      </c>
      <c r="GU5">
        <v>5</v>
      </c>
      <c r="GV5">
        <v>184647952</v>
      </c>
      <c r="GW5">
        <v>101466</v>
      </c>
      <c r="GX5" t="s">
        <v>4341</v>
      </c>
      <c r="HC5" t="str">
        <f>_xll.BDS("DVN US Equity","SUPPLY_CHAIN_SUPPLIERS_ALL_DATA","cols=12;rows=5")</f>
        <v>AROC US Equity</v>
      </c>
      <c r="HD5" t="s">
        <v>1634</v>
      </c>
      <c r="HE5">
        <v>4.2080089999999997</v>
      </c>
      <c r="HF5">
        <v>1.658752</v>
      </c>
      <c r="HG5" t="s">
        <v>1664</v>
      </c>
      <c r="HH5">
        <v>2025</v>
      </c>
      <c r="HI5" t="s">
        <v>2067</v>
      </c>
      <c r="HJ5" s="6">
        <v>45929</v>
      </c>
      <c r="HK5">
        <v>5</v>
      </c>
      <c r="HL5">
        <v>16123071</v>
      </c>
      <c r="HM5">
        <v>13070762</v>
      </c>
      <c r="HN5" t="s">
        <v>2068</v>
      </c>
      <c r="HQ5" t="str">
        <f>_xll.BDS("DVN US Equity","SUPPLY_CHAIN_CUSTOMERS_ALL_DATA","cols=12;rows=1")</f>
        <v>CNA LN Equity</v>
      </c>
      <c r="HR5">
        <v>-2.4245362661989844E-14</v>
      </c>
      <c r="HT5">
        <v>-2.4245362661989844E-14</v>
      </c>
      <c r="HU5" t="s">
        <v>1594</v>
      </c>
      <c r="HV5">
        <v>2025</v>
      </c>
      <c r="HW5" t="s">
        <v>1754</v>
      </c>
      <c r="HX5" s="6">
        <v>45884</v>
      </c>
      <c r="HY5">
        <v>1</v>
      </c>
      <c r="HZ5">
        <v>-2.4245362661989844E-14</v>
      </c>
      <c r="IA5">
        <v>216204</v>
      </c>
      <c r="IB5" t="s">
        <v>1755</v>
      </c>
      <c r="IG5" t="str">
        <f>_xll.BDS("3692470Q US Equity","SUPPLY_CHAIN_SUPPLIERS_ALL_DATA")</f>
        <v>#N/A N/A</v>
      </c>
      <c r="IU5" t="str">
        <f>_xll.BDS("3692470Q US Equity","SUPPLY_CHAIN_CUSTOMERS_ALL_DATA")</f>
        <v>#N/A N/A</v>
      </c>
      <c r="JK5" t="str">
        <f>_xll.BDS("ESS US Equity","SUPPLY_CHAIN_SUPPLIERS_ALL_DATA","cols=12;rows=2")</f>
        <v>1447661D US Equity</v>
      </c>
      <c r="JM5">
        <v>-2.4245362661989844E-14</v>
      </c>
      <c r="JN5">
        <v>-2.4245362661989844E-14</v>
      </c>
      <c r="JO5" t="s">
        <v>1594</v>
      </c>
      <c r="JP5">
        <v>2023</v>
      </c>
      <c r="JQ5" t="s">
        <v>5731</v>
      </c>
      <c r="JR5" s="6">
        <v>45294</v>
      </c>
      <c r="JS5">
        <v>2</v>
      </c>
      <c r="JT5">
        <v>-2.4245362661989844E-14</v>
      </c>
      <c r="JU5">
        <v>51299406</v>
      </c>
      <c r="JV5" t="s">
        <v>5732</v>
      </c>
      <c r="JY5" t="str">
        <f>_xll.BDS("ESS US Equity","SUPPLY_CHAIN_CUSTOMERS_ALL_DATA")</f>
        <v>#N/A N/A</v>
      </c>
      <c r="KO5" t="str">
        <f>_xll.BDS("CG US Equity","SUPPLY_CHAIN_SUPPLIERS_ALL_DATA","cols=12;rows=5")</f>
        <v>SLG US Equity</v>
      </c>
      <c r="KP5" t="s">
        <v>1685</v>
      </c>
      <c r="KQ5">
        <v>2.3414929999999998</v>
      </c>
      <c r="KR5">
        <v>0.61569499999999999</v>
      </c>
      <c r="KS5" t="s">
        <v>1594</v>
      </c>
      <c r="KT5">
        <v>2024</v>
      </c>
      <c r="KU5" t="s">
        <v>2278</v>
      </c>
      <c r="KV5" s="6">
        <v>45706</v>
      </c>
      <c r="KW5">
        <v>5</v>
      </c>
      <c r="KX5">
        <v>5187999</v>
      </c>
      <c r="KY5">
        <v>231753</v>
      </c>
      <c r="KZ5" t="s">
        <v>2279</v>
      </c>
      <c r="LC5" t="str">
        <f>_xll.BDS("CG US Equity","SUPPLY_CHAIN_CUSTOMERS_ALL_DATA","cols=12;rows=5")</f>
        <v>POOL US Equity</v>
      </c>
      <c r="LD5">
        <v>8.2254889999999996</v>
      </c>
      <c r="LE5" t="s">
        <v>1598</v>
      </c>
      <c r="LF5">
        <v>12</v>
      </c>
      <c r="LG5" t="s">
        <v>1594</v>
      </c>
      <c r="LH5">
        <v>2024</v>
      </c>
      <c r="LI5" t="s">
        <v>1870</v>
      </c>
      <c r="LJ5" s="6">
        <v>45715</v>
      </c>
      <c r="LK5">
        <v>5</v>
      </c>
      <c r="LL5">
        <v>112068176</v>
      </c>
      <c r="LM5">
        <v>171077</v>
      </c>
      <c r="LN5" t="s">
        <v>1871</v>
      </c>
      <c r="LS5" t="str">
        <f>_xll.BDS("TWX US Equity","SUPPLY_CHAIN_SUPPLIERS_ALL_DATA")</f>
        <v>#N/A N/A</v>
      </c>
      <c r="MG5" t="str">
        <f>_xll.BDS("TWX US Equity","SUPPLY_CHAIN_CUSTOMERS_ALL_DATA")</f>
        <v>#N/A N/A</v>
      </c>
      <c r="MW5" t="str">
        <f>_xll.BDS("PNC US Equity","SUPPLY_CHAIN_SUPPLIERS_ALL_DATA","cols=12;rows=5")</f>
        <v>ORCL US Equity</v>
      </c>
      <c r="MX5" t="s">
        <v>1598</v>
      </c>
      <c r="MY5">
        <v>7.3811000000000002E-2</v>
      </c>
      <c r="MZ5">
        <v>0.34656500000000001</v>
      </c>
      <c r="NA5" t="s">
        <v>1606</v>
      </c>
      <c r="NB5">
        <v>2025</v>
      </c>
      <c r="NC5" t="s">
        <v>2251</v>
      </c>
      <c r="ND5" s="6">
        <v>45848</v>
      </c>
      <c r="NE5">
        <v>5</v>
      </c>
      <c r="NF5">
        <v>11738163</v>
      </c>
      <c r="NG5">
        <v>101752</v>
      </c>
      <c r="NH5" t="s">
        <v>2265</v>
      </c>
      <c r="NK5" t="str">
        <f>_xll.BDS("PNC US Equity","SUPPLY_CHAIN_CUSTOMERS_ALL_DATA","cols=12;rows=1")</f>
        <v>4502 JP Equity</v>
      </c>
      <c r="NL5">
        <v>-2.4245362661989844E-14</v>
      </c>
      <c r="NN5">
        <v>-2.4245362661989844E-14</v>
      </c>
      <c r="NO5" t="s">
        <v>1594</v>
      </c>
      <c r="NP5">
        <v>2025</v>
      </c>
      <c r="NQ5" t="s">
        <v>2681</v>
      </c>
      <c r="NR5" s="6">
        <v>45834</v>
      </c>
      <c r="NS5">
        <v>1</v>
      </c>
      <c r="NT5">
        <v>-2.4245362661989844E-14</v>
      </c>
      <c r="NU5">
        <v>114881</v>
      </c>
      <c r="NV5" t="s">
        <v>2682</v>
      </c>
      <c r="OA5" t="str">
        <f>_xll.BDS("TFCFA US Equity","SUPPLY_CHAIN_SUPPLIERS_ALL_DATA")</f>
        <v>#N/A N/A</v>
      </c>
      <c r="OO5" t="str">
        <f>_xll.BDS("TFCFA US Equity","SUPPLY_CHAIN_CUSTOMERS_ALL_DATA")</f>
        <v>#N/A N/A</v>
      </c>
      <c r="PE5" t="str">
        <f>_xll.BDS("EPD US Equity","SUPPLY_CHAIN_SUPPLIERS_ALL_DATA","cols=12;rows=5")</f>
        <v>MTDR US Equity</v>
      </c>
      <c r="PF5" t="s">
        <v>1598</v>
      </c>
      <c r="PG5">
        <v>11</v>
      </c>
      <c r="PH5">
        <v>0.78312800000000005</v>
      </c>
      <c r="PI5" t="s">
        <v>1594</v>
      </c>
      <c r="PJ5">
        <v>2024</v>
      </c>
      <c r="PK5" t="s">
        <v>2315</v>
      </c>
      <c r="PL5" s="6">
        <v>45713</v>
      </c>
      <c r="PM5">
        <v>5</v>
      </c>
      <c r="PN5">
        <v>96021256</v>
      </c>
      <c r="PO5">
        <v>15224879</v>
      </c>
      <c r="PP5" t="s">
        <v>2316</v>
      </c>
      <c r="PS5" t="str">
        <f>_xll.BDS("EPD US Equity","SUPPLY_CHAIN_CUSTOMERS_ALL_DATA","cols=12;rows=5")</f>
        <v>62647Z LN Equity</v>
      </c>
      <c r="PT5">
        <v>11.5</v>
      </c>
      <c r="PV5">
        <v>-2.4245362661989844E-14</v>
      </c>
      <c r="PW5" t="s">
        <v>1594</v>
      </c>
      <c r="PX5">
        <v>2024</v>
      </c>
      <c r="PY5" t="s">
        <v>1928</v>
      </c>
      <c r="PZ5" s="6">
        <v>45716</v>
      </c>
      <c r="QA5">
        <v>5</v>
      </c>
      <c r="QB5">
        <v>1612500000</v>
      </c>
      <c r="QC5">
        <v>958757</v>
      </c>
      <c r="QD5" t="s">
        <v>1929</v>
      </c>
      <c r="QI5" t="str">
        <f>_xll.BDS("REG US Equity","SUPPLY_CHAIN_SUPPLIERS_ALL_DATA")</f>
        <v>#N/A N/A</v>
      </c>
      <c r="QW5" t="str">
        <f>_xll.BDS("REG US Equity","SUPPLY_CHAIN_CUSTOMERS_ALL_DATA","cols=12;rows=5")</f>
        <v>2455892D US Equity</v>
      </c>
      <c r="QX5">
        <v>2.3296070000000002</v>
      </c>
      <c r="QY5" t="s">
        <v>1685</v>
      </c>
      <c r="QZ5">
        <v>0.310253</v>
      </c>
      <c r="RA5" t="s">
        <v>1594</v>
      </c>
      <c r="RB5">
        <v>2025</v>
      </c>
      <c r="RC5" t="s">
        <v>4166</v>
      </c>
      <c r="RD5" s="6">
        <v>46066</v>
      </c>
      <c r="RE5">
        <v>5</v>
      </c>
      <c r="RF5">
        <v>9047750</v>
      </c>
      <c r="RG5">
        <v>143036</v>
      </c>
      <c r="RH5" t="s">
        <v>2712</v>
      </c>
      <c r="RM5" t="str">
        <f>_xll.BDS("ANDV US Equity","SUPPLY_CHAIN_SUPPLIERS_ALL_DATA")</f>
        <v>#N/A N/A</v>
      </c>
      <c r="SA5" t="str">
        <f>_xll.BDS("ANDV US Equity","SUPPLY_CHAIN_CUSTOMERS_ALL_DATA")</f>
        <v>#N/A N/A</v>
      </c>
      <c r="SQ5" t="str">
        <f>_xll.BDS("WBS US Equity","SUPPLY_CHAIN_SUPPLIERS_ALL_DATA","cols=12;rows=2")</f>
        <v>FISV US Equity</v>
      </c>
      <c r="SS5">
        <v>-2.4245362661989844E-14</v>
      </c>
      <c r="ST5">
        <v>-2.4245362661989844E-14</v>
      </c>
      <c r="SU5" t="s">
        <v>1651</v>
      </c>
      <c r="SV5">
        <v>2023</v>
      </c>
      <c r="SW5" t="s">
        <v>2174</v>
      </c>
      <c r="SX5" s="6">
        <v>45245</v>
      </c>
      <c r="SY5">
        <v>2</v>
      </c>
      <c r="SZ5">
        <v>-2.4245362661989844E-14</v>
      </c>
      <c r="TA5">
        <v>103882</v>
      </c>
      <c r="TB5" t="s">
        <v>2175</v>
      </c>
      <c r="TE5" t="str">
        <f>_xll.BDS("WBS US Equity","SUPPLY_CHAIN_CUSTOMERS_ALL_DATA","cols=12;rows=1")</f>
        <v>CNXN US Equity</v>
      </c>
      <c r="TF5">
        <v>-2.4245362661989844E-14</v>
      </c>
      <c r="TH5">
        <v>-2.4245362661989844E-14</v>
      </c>
      <c r="TI5" t="s">
        <v>1603</v>
      </c>
      <c r="TJ5">
        <v>2025</v>
      </c>
      <c r="TK5" t="s">
        <v>5125</v>
      </c>
      <c r="TL5" s="6">
        <v>45799</v>
      </c>
      <c r="TM5">
        <v>1</v>
      </c>
      <c r="TN5">
        <v>-2.4245362661989844E-14</v>
      </c>
      <c r="TO5">
        <v>313021</v>
      </c>
      <c r="TP5" t="s">
        <v>2860</v>
      </c>
      <c r="TU5" t="str">
        <f>_xll.BDS("SITC US Equity","SUPPLY_CHAIN_SUPPLIERS_ALL_DATA")</f>
        <v>#N/A N/A</v>
      </c>
      <c r="UI5" t="str">
        <f>_xll.BDS("SITC US Equity","SUPPLY_CHAIN_CUSTOMERS_ALL_DATA","cols=12;rows=5")</f>
        <v>TJX US Equity</v>
      </c>
      <c r="UJ5">
        <v>1.577124</v>
      </c>
      <c r="UK5" t="s">
        <v>1685</v>
      </c>
      <c r="UL5">
        <v>3.9978E-2</v>
      </c>
      <c r="UM5" t="s">
        <v>1594</v>
      </c>
      <c r="UN5">
        <v>2024</v>
      </c>
      <c r="UO5" t="s">
        <v>2756</v>
      </c>
      <c r="UP5" s="6">
        <v>45715</v>
      </c>
      <c r="UQ5">
        <v>5</v>
      </c>
      <c r="UR5">
        <v>1094000</v>
      </c>
      <c r="US5">
        <v>101481</v>
      </c>
      <c r="UT5" t="s">
        <v>1773</v>
      </c>
      <c r="UY5" t="str">
        <f>_xll.BDS("BEN US Equity","SUPPLY_CHAIN_SUPPLIERS_ALL_DATA","cols=12;rows=5")</f>
        <v>SLG US Equity</v>
      </c>
      <c r="UZ5" t="s">
        <v>1685</v>
      </c>
      <c r="VA5">
        <v>2.1589309999999999</v>
      </c>
      <c r="VB5">
        <v>0.23002</v>
      </c>
      <c r="VC5" t="s">
        <v>1594</v>
      </c>
      <c r="VD5">
        <v>2024</v>
      </c>
      <c r="VE5" t="s">
        <v>2278</v>
      </c>
      <c r="VF5" s="6">
        <v>45706</v>
      </c>
      <c r="VG5">
        <v>5</v>
      </c>
      <c r="VH5">
        <v>4783500</v>
      </c>
      <c r="VI5">
        <v>231753</v>
      </c>
      <c r="VJ5" t="s">
        <v>2279</v>
      </c>
      <c r="VM5" t="str">
        <f>_xll.BDS("BEN US Equity","SUPPLY_CHAIN_CUSTOMERS_ALL_DATA")</f>
        <v>#N/A N/A</v>
      </c>
    </row>
    <row r="6" spans="1:600" x14ac:dyDescent="0.25">
      <c r="A6" t="s">
        <v>4015</v>
      </c>
      <c r="B6" t="s">
        <v>1598</v>
      </c>
      <c r="C6">
        <v>1.854174</v>
      </c>
      <c r="D6">
        <v>0.32059199999999999</v>
      </c>
      <c r="E6" t="s">
        <v>1594</v>
      </c>
      <c r="F6">
        <v>2024</v>
      </c>
      <c r="G6" t="s">
        <v>4016</v>
      </c>
      <c r="H6" s="6">
        <v>45742</v>
      </c>
      <c r="I6">
        <v>5</v>
      </c>
      <c r="J6">
        <v>4259736.5199999996</v>
      </c>
      <c r="K6">
        <v>182966</v>
      </c>
      <c r="L6" t="s">
        <v>4017</v>
      </c>
      <c r="O6" t="s">
        <v>5357</v>
      </c>
      <c r="P6">
        <v>2.0472709999999998</v>
      </c>
      <c r="Q6" t="s">
        <v>1598</v>
      </c>
      <c r="R6">
        <v>3.2344999999999999E-2</v>
      </c>
      <c r="S6" t="s">
        <v>1603</v>
      </c>
      <c r="T6">
        <v>2025</v>
      </c>
      <c r="U6" t="s">
        <v>6122</v>
      </c>
      <c r="V6" s="6">
        <v>45779</v>
      </c>
      <c r="W6">
        <v>5</v>
      </c>
      <c r="X6">
        <v>22046672</v>
      </c>
      <c r="Y6">
        <v>115757</v>
      </c>
      <c r="Z6" t="s">
        <v>5358</v>
      </c>
      <c r="AE6" t="s">
        <v>6072</v>
      </c>
      <c r="AF6" t="s">
        <v>1598</v>
      </c>
      <c r="AG6">
        <v>3.65</v>
      </c>
      <c r="AH6">
        <v>0.21015400000000001</v>
      </c>
      <c r="AI6" t="s">
        <v>1594</v>
      </c>
      <c r="AJ6">
        <v>2024</v>
      </c>
      <c r="AK6" t="s">
        <v>6073</v>
      </c>
      <c r="AL6" s="6">
        <v>45771</v>
      </c>
      <c r="AM6">
        <v>5</v>
      </c>
      <c r="AN6">
        <v>2607244.5299999998</v>
      </c>
      <c r="AO6">
        <v>24385844</v>
      </c>
      <c r="AP6" t="s">
        <v>6074</v>
      </c>
      <c r="AS6" t="s">
        <v>1663</v>
      </c>
      <c r="AT6">
        <v>13</v>
      </c>
      <c r="AU6" t="s">
        <v>1598</v>
      </c>
      <c r="AV6">
        <v>0.17738699999999999</v>
      </c>
      <c r="AW6" t="s">
        <v>1594</v>
      </c>
      <c r="AX6">
        <v>2025</v>
      </c>
      <c r="AY6" t="s">
        <v>3267</v>
      </c>
      <c r="AZ6" s="6">
        <v>46066</v>
      </c>
      <c r="BA6">
        <v>5</v>
      </c>
      <c r="BB6">
        <v>234130000</v>
      </c>
      <c r="BC6">
        <v>101616</v>
      </c>
      <c r="BD6" t="s">
        <v>1666</v>
      </c>
      <c r="BI6" t="s">
        <v>2066</v>
      </c>
      <c r="BJ6" t="s">
        <v>1634</v>
      </c>
      <c r="BK6">
        <v>8.2072929999999999</v>
      </c>
      <c r="BL6">
        <v>3.2352270000000001</v>
      </c>
      <c r="BM6" t="s">
        <v>1664</v>
      </c>
      <c r="BN6">
        <v>2025</v>
      </c>
      <c r="BO6" t="s">
        <v>2067</v>
      </c>
      <c r="BP6" s="6">
        <v>45929</v>
      </c>
      <c r="BQ6">
        <v>5</v>
      </c>
      <c r="BR6">
        <v>31446408</v>
      </c>
      <c r="BS6">
        <v>13070762</v>
      </c>
      <c r="BT6" t="s">
        <v>2068</v>
      </c>
      <c r="BW6" t="s">
        <v>2428</v>
      </c>
      <c r="BX6">
        <v>-2.4245362661989844E-14</v>
      </c>
      <c r="BZ6">
        <v>-2.4245362661989844E-14</v>
      </c>
      <c r="CA6" t="s">
        <v>1594</v>
      </c>
      <c r="CB6">
        <v>2023</v>
      </c>
      <c r="CC6" t="s">
        <v>2745</v>
      </c>
      <c r="CD6" s="6">
        <v>45216</v>
      </c>
      <c r="CE6">
        <v>5</v>
      </c>
      <c r="CF6">
        <v>-2.4245362661989844E-14</v>
      </c>
      <c r="CG6">
        <v>962207</v>
      </c>
      <c r="CH6" t="s">
        <v>2429</v>
      </c>
      <c r="CM6" t="s">
        <v>2361</v>
      </c>
      <c r="CN6" t="s">
        <v>1598</v>
      </c>
      <c r="CO6">
        <v>2.8125499999999999</v>
      </c>
      <c r="CP6">
        <v>1.308325</v>
      </c>
      <c r="CQ6" t="s">
        <v>1594</v>
      </c>
      <c r="CR6">
        <v>2025</v>
      </c>
      <c r="CS6" t="s">
        <v>2362</v>
      </c>
      <c r="CT6" s="6">
        <v>46063</v>
      </c>
      <c r="CU6">
        <v>5</v>
      </c>
      <c r="CV6">
        <v>36150000</v>
      </c>
      <c r="CW6">
        <v>126255</v>
      </c>
      <c r="CX6" t="s">
        <v>2363</v>
      </c>
      <c r="DA6" t="s">
        <v>959</v>
      </c>
      <c r="DB6">
        <v>22.163627999999999</v>
      </c>
      <c r="DC6" t="s">
        <v>1598</v>
      </c>
      <c r="DD6">
        <v>4.8294360000000003</v>
      </c>
      <c r="DE6" t="s">
        <v>1599</v>
      </c>
      <c r="DF6">
        <v>2025</v>
      </c>
      <c r="DG6" t="s">
        <v>1859</v>
      </c>
      <c r="DH6" s="6">
        <v>46041</v>
      </c>
      <c r="DI6">
        <v>5</v>
      </c>
      <c r="DJ6">
        <v>3900975616</v>
      </c>
      <c r="DK6">
        <v>156969</v>
      </c>
      <c r="DL6" t="s">
        <v>1767</v>
      </c>
      <c r="EU6" t="s">
        <v>3820</v>
      </c>
      <c r="EV6" t="s">
        <v>1598</v>
      </c>
      <c r="EW6">
        <v>2.5734720000000002</v>
      </c>
      <c r="EX6">
        <v>6.5550290000000002</v>
      </c>
      <c r="EY6" t="s">
        <v>1603</v>
      </c>
      <c r="EZ6">
        <v>2025</v>
      </c>
      <c r="FA6" t="s">
        <v>3821</v>
      </c>
      <c r="FB6" s="6">
        <v>45849</v>
      </c>
      <c r="FC6">
        <v>5</v>
      </c>
      <c r="FD6">
        <v>73285224</v>
      </c>
      <c r="FE6">
        <v>102595</v>
      </c>
      <c r="FF6" t="s">
        <v>3822</v>
      </c>
      <c r="FI6" t="s">
        <v>1848</v>
      </c>
      <c r="FJ6">
        <v>-2.4245362661989844E-14</v>
      </c>
      <c r="FL6">
        <v>-2.4245362661989844E-14</v>
      </c>
      <c r="FM6" t="s">
        <v>1594</v>
      </c>
      <c r="FN6">
        <v>2021</v>
      </c>
      <c r="FO6" t="s">
        <v>3689</v>
      </c>
      <c r="FP6" s="6">
        <v>44693</v>
      </c>
      <c r="FQ6">
        <v>5</v>
      </c>
      <c r="FR6">
        <v>-2.4245362661989844E-14</v>
      </c>
      <c r="FS6">
        <v>9288162</v>
      </c>
      <c r="FT6" t="s">
        <v>1850</v>
      </c>
      <c r="FY6" t="s">
        <v>5484</v>
      </c>
      <c r="FZ6" t="s">
        <v>1598</v>
      </c>
      <c r="GA6">
        <v>0.26191500000000001</v>
      </c>
      <c r="GB6">
        <v>0.80558700000000005</v>
      </c>
      <c r="GC6" t="s">
        <v>1603</v>
      </c>
      <c r="GD6">
        <v>2025</v>
      </c>
      <c r="GE6" t="s">
        <v>2931</v>
      </c>
      <c r="GF6" s="6">
        <v>45740</v>
      </c>
      <c r="GG6">
        <v>5</v>
      </c>
      <c r="GH6">
        <v>17334218</v>
      </c>
      <c r="GI6">
        <v>115110</v>
      </c>
      <c r="GJ6" t="s">
        <v>5485</v>
      </c>
      <c r="GM6" t="s">
        <v>365</v>
      </c>
      <c r="GN6">
        <v>2.5764130000000001</v>
      </c>
      <c r="GO6" t="s">
        <v>1598</v>
      </c>
      <c r="GP6">
        <v>0.42681599999999997</v>
      </c>
      <c r="GQ6" t="s">
        <v>1599</v>
      </c>
      <c r="GR6">
        <v>2025</v>
      </c>
      <c r="GS6" t="s">
        <v>2931</v>
      </c>
      <c r="GT6" s="6">
        <v>45881</v>
      </c>
      <c r="GU6">
        <v>5</v>
      </c>
      <c r="GV6">
        <v>112666544</v>
      </c>
      <c r="GW6">
        <v>100743</v>
      </c>
      <c r="GX6" t="s">
        <v>1904</v>
      </c>
      <c r="HC6" t="s">
        <v>2069</v>
      </c>
      <c r="HD6" t="s">
        <v>1634</v>
      </c>
      <c r="HE6">
        <v>0.66700099999999996</v>
      </c>
      <c r="HF6">
        <v>0.67727700000000002</v>
      </c>
      <c r="HG6" t="s">
        <v>1599</v>
      </c>
      <c r="HH6">
        <v>2025</v>
      </c>
      <c r="HI6" t="s">
        <v>2070</v>
      </c>
      <c r="HJ6" s="6">
        <v>45979</v>
      </c>
      <c r="HK6">
        <v>5</v>
      </c>
      <c r="HL6">
        <v>7227891.7699999996</v>
      </c>
      <c r="HM6">
        <v>115557</v>
      </c>
      <c r="HN6" t="s">
        <v>2071</v>
      </c>
      <c r="JK6" t="s">
        <v>2168</v>
      </c>
      <c r="JM6">
        <v>-2.4245362661989844E-14</v>
      </c>
      <c r="JN6">
        <v>-2.4245362661989844E-14</v>
      </c>
      <c r="JO6" t="s">
        <v>1603</v>
      </c>
      <c r="JP6">
        <v>2024</v>
      </c>
      <c r="JQ6" t="s">
        <v>2169</v>
      </c>
      <c r="JR6" s="6">
        <v>45420</v>
      </c>
      <c r="JS6">
        <v>2</v>
      </c>
      <c r="JT6">
        <v>-2.4245362661989844E-14</v>
      </c>
      <c r="JU6">
        <v>69417624</v>
      </c>
      <c r="JV6" t="s">
        <v>2170</v>
      </c>
      <c r="KO6" t="s">
        <v>2280</v>
      </c>
      <c r="KP6" t="s">
        <v>1685</v>
      </c>
      <c r="KQ6">
        <v>0.89158300000000001</v>
      </c>
      <c r="KR6">
        <v>0.19925799999999999</v>
      </c>
      <c r="KS6" t="s">
        <v>1594</v>
      </c>
      <c r="KT6">
        <v>2024</v>
      </c>
      <c r="KU6" t="s">
        <v>2281</v>
      </c>
      <c r="KV6" s="6">
        <v>45694</v>
      </c>
      <c r="KW6">
        <v>5</v>
      </c>
      <c r="KX6">
        <v>1679000.25</v>
      </c>
      <c r="KY6">
        <v>106543</v>
      </c>
      <c r="KZ6" t="s">
        <v>2282</v>
      </c>
      <c r="LC6" t="s">
        <v>1872</v>
      </c>
      <c r="LD6">
        <v>0.112706</v>
      </c>
      <c r="LE6" t="s">
        <v>1598</v>
      </c>
      <c r="LF6">
        <v>3.4763000000000002E-2</v>
      </c>
      <c r="LG6" t="s">
        <v>1603</v>
      </c>
      <c r="LH6">
        <v>2025</v>
      </c>
      <c r="LI6" t="s">
        <v>1873</v>
      </c>
      <c r="LJ6" s="6">
        <v>45852</v>
      </c>
      <c r="LK6">
        <v>5</v>
      </c>
      <c r="LL6">
        <v>1103394.56</v>
      </c>
      <c r="LM6">
        <v>14866501</v>
      </c>
      <c r="LN6" t="s">
        <v>1874</v>
      </c>
      <c r="MW6" t="s">
        <v>3065</v>
      </c>
      <c r="MX6" t="s">
        <v>1685</v>
      </c>
      <c r="MY6">
        <v>0.58391400000000004</v>
      </c>
      <c r="MZ6">
        <v>3.4025E-2</v>
      </c>
      <c r="NA6" t="s">
        <v>1594</v>
      </c>
      <c r="NB6">
        <v>2025</v>
      </c>
      <c r="NC6" t="s">
        <v>3066</v>
      </c>
      <c r="ND6" s="6">
        <v>46063</v>
      </c>
      <c r="NE6">
        <v>5</v>
      </c>
      <c r="NF6">
        <v>1176750</v>
      </c>
      <c r="NG6">
        <v>143096</v>
      </c>
      <c r="NH6" t="s">
        <v>3067</v>
      </c>
      <c r="PE6" t="s">
        <v>2317</v>
      </c>
      <c r="PF6" t="s">
        <v>1598</v>
      </c>
      <c r="PG6">
        <v>4.7074870000000004</v>
      </c>
      <c r="PH6">
        <v>0.56672500000000003</v>
      </c>
      <c r="PI6" t="s">
        <v>1603</v>
      </c>
      <c r="PJ6">
        <v>2025</v>
      </c>
      <c r="PK6" t="s">
        <v>2318</v>
      </c>
      <c r="PL6" s="6">
        <v>45863</v>
      </c>
      <c r="PM6">
        <v>5</v>
      </c>
      <c r="PN6">
        <v>77584656</v>
      </c>
      <c r="PO6">
        <v>10832677</v>
      </c>
      <c r="PP6" t="s">
        <v>2319</v>
      </c>
      <c r="PS6" t="s">
        <v>1451</v>
      </c>
      <c r="PT6">
        <v>0.57596999999999998</v>
      </c>
      <c r="PU6" t="s">
        <v>1598</v>
      </c>
      <c r="PV6">
        <v>1.024999</v>
      </c>
      <c r="PW6" t="s">
        <v>1606</v>
      </c>
      <c r="PX6">
        <v>2025</v>
      </c>
      <c r="PY6" t="s">
        <v>1930</v>
      </c>
      <c r="PZ6" s="6">
        <v>46076</v>
      </c>
      <c r="QA6">
        <v>5</v>
      </c>
      <c r="QB6">
        <v>69248928</v>
      </c>
      <c r="QC6">
        <v>9932803</v>
      </c>
      <c r="QD6" t="s">
        <v>1931</v>
      </c>
      <c r="QW6" t="s">
        <v>1771</v>
      </c>
      <c r="QX6">
        <v>2.1731240000000001</v>
      </c>
      <c r="QY6" t="s">
        <v>1685</v>
      </c>
      <c r="QZ6">
        <v>0.29292800000000002</v>
      </c>
      <c r="RA6" t="s">
        <v>1594</v>
      </c>
      <c r="RB6">
        <v>2025</v>
      </c>
      <c r="RC6" t="s">
        <v>4166</v>
      </c>
      <c r="RD6" s="6">
        <v>46066</v>
      </c>
      <c r="RE6">
        <v>5</v>
      </c>
      <c r="RF6">
        <v>8440000</v>
      </c>
      <c r="RG6">
        <v>101481</v>
      </c>
      <c r="RH6" t="s">
        <v>1773</v>
      </c>
      <c r="SQ6" t="s">
        <v>5663</v>
      </c>
      <c r="SS6">
        <v>-2.4245362661989844E-14</v>
      </c>
      <c r="ST6">
        <v>-2.4245362661989844E-14</v>
      </c>
      <c r="SU6" t="s">
        <v>1603</v>
      </c>
      <c r="SV6">
        <v>2024</v>
      </c>
      <c r="SW6" t="s">
        <v>5664</v>
      </c>
      <c r="SX6" s="6">
        <v>45432</v>
      </c>
      <c r="SY6">
        <v>2</v>
      </c>
      <c r="SZ6">
        <v>-2.4245362661989844E-14</v>
      </c>
      <c r="TA6">
        <v>1750153</v>
      </c>
      <c r="TB6" t="s">
        <v>5665</v>
      </c>
      <c r="UI6" t="s">
        <v>2757</v>
      </c>
      <c r="UJ6">
        <v>1.5129729999999999</v>
      </c>
      <c r="UK6" t="s">
        <v>1685</v>
      </c>
      <c r="UL6">
        <v>0.12743299999999999</v>
      </c>
      <c r="UM6" t="s">
        <v>1594</v>
      </c>
      <c r="UN6">
        <v>2024</v>
      </c>
      <c r="UO6" t="s">
        <v>2756</v>
      </c>
      <c r="UP6" s="6">
        <v>45715</v>
      </c>
      <c r="UQ6">
        <v>5</v>
      </c>
      <c r="UR6">
        <v>1049500</v>
      </c>
      <c r="US6">
        <v>1133363</v>
      </c>
      <c r="UT6" t="s">
        <v>2758</v>
      </c>
      <c r="UY6" t="s">
        <v>2567</v>
      </c>
      <c r="VA6">
        <v>0.52656800000000004</v>
      </c>
      <c r="VB6">
        <v>-2.4245362661989844E-14</v>
      </c>
      <c r="VC6" t="s">
        <v>1599</v>
      </c>
      <c r="VD6">
        <v>2025</v>
      </c>
      <c r="VE6" t="s">
        <v>2568</v>
      </c>
      <c r="VF6" s="6">
        <v>45966</v>
      </c>
      <c r="VG6">
        <v>5</v>
      </c>
      <c r="VH6">
        <v>484000</v>
      </c>
      <c r="VI6">
        <v>34865158</v>
      </c>
      <c r="VJ6" t="s">
        <v>2569</v>
      </c>
    </row>
    <row r="7" spans="1:600" x14ac:dyDescent="0.25">
      <c r="A7" t="s">
        <v>3065</v>
      </c>
      <c r="B7" t="s">
        <v>1685</v>
      </c>
      <c r="C7">
        <v>0.77098500000000003</v>
      </c>
      <c r="D7">
        <v>1.129926</v>
      </c>
      <c r="E7" t="s">
        <v>1594</v>
      </c>
      <c r="F7">
        <v>2025</v>
      </c>
      <c r="G7" t="s">
        <v>3066</v>
      </c>
      <c r="H7" s="6">
        <v>46063</v>
      </c>
      <c r="I7">
        <v>5</v>
      </c>
      <c r="J7">
        <v>1553750</v>
      </c>
      <c r="K7">
        <v>143096</v>
      </c>
      <c r="L7" t="s">
        <v>3067</v>
      </c>
      <c r="O7" t="s">
        <v>3021</v>
      </c>
      <c r="P7">
        <v>1.4654</v>
      </c>
      <c r="Q7" t="s">
        <v>1598</v>
      </c>
      <c r="R7">
        <v>3.7242999999999998E-2</v>
      </c>
      <c r="S7" t="s">
        <v>1603</v>
      </c>
      <c r="T7">
        <v>2025</v>
      </c>
      <c r="U7" t="s">
        <v>6122</v>
      </c>
      <c r="V7" s="6">
        <v>45779</v>
      </c>
      <c r="W7">
        <v>5</v>
      </c>
      <c r="X7">
        <v>15780614</v>
      </c>
      <c r="Y7">
        <v>100602</v>
      </c>
      <c r="Z7" t="s">
        <v>3023</v>
      </c>
      <c r="AE7" t="s">
        <v>1084</v>
      </c>
      <c r="AF7" t="s">
        <v>1685</v>
      </c>
      <c r="AG7">
        <v>1.4799E-2</v>
      </c>
      <c r="AH7">
        <v>0.166903</v>
      </c>
      <c r="AI7" t="s">
        <v>1664</v>
      </c>
      <c r="AJ7">
        <v>2025</v>
      </c>
      <c r="AK7" t="s">
        <v>2052</v>
      </c>
      <c r="AL7" s="6">
        <v>45838</v>
      </c>
      <c r="AM7">
        <v>5</v>
      </c>
      <c r="AN7">
        <v>869145</v>
      </c>
      <c r="AO7">
        <v>101689</v>
      </c>
      <c r="AP7" t="s">
        <v>2053</v>
      </c>
      <c r="AS7" t="s">
        <v>1943</v>
      </c>
      <c r="AT7">
        <v>8.2421959999999999</v>
      </c>
      <c r="AU7" t="s">
        <v>1598</v>
      </c>
      <c r="AV7">
        <v>0.28026499999999999</v>
      </c>
      <c r="AW7" t="s">
        <v>1606</v>
      </c>
      <c r="AX7">
        <v>2024</v>
      </c>
      <c r="AY7" t="s">
        <v>5806</v>
      </c>
      <c r="AZ7" s="6">
        <v>45776</v>
      </c>
      <c r="BA7">
        <v>5</v>
      </c>
      <c r="BB7">
        <v>156230832</v>
      </c>
      <c r="BC7">
        <v>101758</v>
      </c>
      <c r="BD7" t="s">
        <v>1944</v>
      </c>
      <c r="BI7" t="s">
        <v>2317</v>
      </c>
      <c r="BJ7" t="s">
        <v>1598</v>
      </c>
      <c r="BK7">
        <v>0.52091699999999996</v>
      </c>
      <c r="BL7">
        <v>1.395983</v>
      </c>
      <c r="BM7" t="s">
        <v>1603</v>
      </c>
      <c r="BN7">
        <v>2025</v>
      </c>
      <c r="BO7" t="s">
        <v>2318</v>
      </c>
      <c r="BP7" s="6">
        <v>45863</v>
      </c>
      <c r="BQ7">
        <v>5</v>
      </c>
      <c r="BR7">
        <v>8585296</v>
      </c>
      <c r="BS7">
        <v>10832677</v>
      </c>
      <c r="BT7" t="s">
        <v>2319</v>
      </c>
      <c r="BW7" t="s">
        <v>2746</v>
      </c>
      <c r="BX7">
        <v>-2.4245362661989844E-14</v>
      </c>
      <c r="BZ7">
        <v>-2.4245362661989844E-14</v>
      </c>
      <c r="CA7" t="s">
        <v>1594</v>
      </c>
      <c r="CB7">
        <v>2025</v>
      </c>
      <c r="CC7" t="s">
        <v>2747</v>
      </c>
      <c r="CD7" s="6">
        <v>45975</v>
      </c>
      <c r="CE7">
        <v>5</v>
      </c>
      <c r="CF7">
        <v>-2.4245362661989844E-14</v>
      </c>
      <c r="CG7">
        <v>100131</v>
      </c>
      <c r="CH7" t="s">
        <v>2748</v>
      </c>
      <c r="CM7" t="s">
        <v>2364</v>
      </c>
      <c r="CN7" t="s">
        <v>1598</v>
      </c>
      <c r="CO7">
        <v>13.694044</v>
      </c>
      <c r="CP7">
        <v>1.0251479999999999</v>
      </c>
      <c r="CQ7" t="s">
        <v>1594</v>
      </c>
      <c r="CR7">
        <v>2024</v>
      </c>
      <c r="CS7" t="s">
        <v>2365</v>
      </c>
      <c r="CT7" s="6">
        <v>45735</v>
      </c>
      <c r="CU7">
        <v>5</v>
      </c>
      <c r="CV7">
        <v>21575000</v>
      </c>
      <c r="CW7">
        <v>10664510</v>
      </c>
      <c r="CX7" t="s">
        <v>2366</v>
      </c>
      <c r="DA7" t="s">
        <v>618</v>
      </c>
      <c r="DB7">
        <v>19.020800000000001</v>
      </c>
      <c r="DC7" t="s">
        <v>1598</v>
      </c>
      <c r="DD7">
        <v>5.4268320000000001</v>
      </c>
      <c r="DE7" t="s">
        <v>1599</v>
      </c>
      <c r="DF7">
        <v>2025</v>
      </c>
      <c r="DG7" t="s">
        <v>1859</v>
      </c>
      <c r="DH7" s="6">
        <v>46041</v>
      </c>
      <c r="DI7">
        <v>5</v>
      </c>
      <c r="DJ7">
        <v>3347812864</v>
      </c>
      <c r="DK7">
        <v>102782</v>
      </c>
      <c r="DL7" t="s">
        <v>1626</v>
      </c>
      <c r="EU7" t="s">
        <v>3823</v>
      </c>
      <c r="EV7" t="s">
        <v>1634</v>
      </c>
      <c r="EW7">
        <v>0.95882900000000004</v>
      </c>
      <c r="EX7">
        <v>1.568192</v>
      </c>
      <c r="EY7" t="s">
        <v>1599</v>
      </c>
      <c r="EZ7">
        <v>2025</v>
      </c>
      <c r="FA7" t="s">
        <v>3824</v>
      </c>
      <c r="FB7" s="6">
        <v>46013</v>
      </c>
      <c r="FC7">
        <v>5</v>
      </c>
      <c r="FD7">
        <v>47697634.200000003</v>
      </c>
      <c r="FE7">
        <v>11796370</v>
      </c>
      <c r="FF7" t="s">
        <v>3825</v>
      </c>
      <c r="FI7" t="s">
        <v>3691</v>
      </c>
      <c r="FJ7">
        <v>-2.4245362661989844E-14</v>
      </c>
      <c r="FL7">
        <v>-2.4245362661989844E-14</v>
      </c>
      <c r="FM7" t="s">
        <v>1594</v>
      </c>
      <c r="FN7">
        <v>2021</v>
      </c>
      <c r="FO7" t="s">
        <v>3689</v>
      </c>
      <c r="FP7" s="6">
        <v>44693</v>
      </c>
      <c r="FQ7">
        <v>5</v>
      </c>
      <c r="FR7">
        <v>-2.4245362661989844E-14</v>
      </c>
      <c r="FS7">
        <v>129208</v>
      </c>
      <c r="FT7" t="s">
        <v>3692</v>
      </c>
      <c r="FY7" t="s">
        <v>6132</v>
      </c>
      <c r="FZ7" t="s">
        <v>1598</v>
      </c>
      <c r="GA7">
        <v>2.1447500000000002</v>
      </c>
      <c r="GB7">
        <v>0.66883300000000001</v>
      </c>
      <c r="GC7" t="s">
        <v>1599</v>
      </c>
      <c r="GD7">
        <v>2025</v>
      </c>
      <c r="GE7" t="s">
        <v>2931</v>
      </c>
      <c r="GF7" s="6">
        <v>45881</v>
      </c>
      <c r="GG7">
        <v>5</v>
      </c>
      <c r="GH7">
        <v>14391614</v>
      </c>
      <c r="GI7">
        <v>7304202</v>
      </c>
      <c r="GJ7" t="s">
        <v>6133</v>
      </c>
      <c r="GM7" t="s">
        <v>1451</v>
      </c>
      <c r="GN7">
        <v>1.2233309999999999</v>
      </c>
      <c r="GO7" t="s">
        <v>1598</v>
      </c>
      <c r="GP7">
        <v>0.77858000000000005</v>
      </c>
      <c r="GQ7" t="s">
        <v>1599</v>
      </c>
      <c r="GR7">
        <v>2025</v>
      </c>
      <c r="GS7" t="s">
        <v>2931</v>
      </c>
      <c r="GT7" s="6">
        <v>45881</v>
      </c>
      <c r="GU7">
        <v>5</v>
      </c>
      <c r="GV7">
        <v>53496264</v>
      </c>
      <c r="GW7">
        <v>9932803</v>
      </c>
      <c r="GX7" t="s">
        <v>1931</v>
      </c>
      <c r="HC7" t="s">
        <v>2072</v>
      </c>
      <c r="HD7" t="s">
        <v>1598</v>
      </c>
      <c r="HE7">
        <v>0.93894500000000003</v>
      </c>
      <c r="HF7">
        <v>0.184472</v>
      </c>
      <c r="HG7" t="s">
        <v>1599</v>
      </c>
      <c r="HH7">
        <v>2025</v>
      </c>
      <c r="HI7" t="s">
        <v>2073</v>
      </c>
      <c r="HJ7" s="6">
        <v>46027</v>
      </c>
      <c r="HK7">
        <v>5</v>
      </c>
      <c r="HL7">
        <v>5952911</v>
      </c>
      <c r="HM7">
        <v>36965288</v>
      </c>
      <c r="HN7" t="s">
        <v>2074</v>
      </c>
      <c r="KO7" t="s">
        <v>2283</v>
      </c>
      <c r="KP7" t="s">
        <v>1598</v>
      </c>
      <c r="KQ7">
        <v>10.91</v>
      </c>
      <c r="KR7">
        <v>0.11763700000000001</v>
      </c>
      <c r="KS7" t="s">
        <v>1594</v>
      </c>
      <c r="KT7">
        <v>2025</v>
      </c>
      <c r="KU7" t="s">
        <v>2284</v>
      </c>
      <c r="KV7" s="6">
        <v>45895</v>
      </c>
      <c r="KW7">
        <v>5</v>
      </c>
      <c r="KX7">
        <v>1168969.1100000001</v>
      </c>
      <c r="KY7">
        <v>59709175</v>
      </c>
      <c r="KZ7" t="s">
        <v>2285</v>
      </c>
      <c r="LC7" t="s">
        <v>1875</v>
      </c>
      <c r="LD7">
        <v>5.6222000000000001E-2</v>
      </c>
      <c r="LE7" t="s">
        <v>1598</v>
      </c>
      <c r="LF7">
        <v>4.2040000000000003E-3</v>
      </c>
      <c r="LG7" t="s">
        <v>1603</v>
      </c>
      <c r="LH7">
        <v>2026</v>
      </c>
      <c r="LI7" t="s">
        <v>1876</v>
      </c>
      <c r="LJ7" s="6">
        <v>45898</v>
      </c>
      <c r="LK7">
        <v>5</v>
      </c>
      <c r="LL7">
        <v>892021.61</v>
      </c>
      <c r="LM7">
        <v>112370</v>
      </c>
      <c r="LN7" t="s">
        <v>1877</v>
      </c>
      <c r="MW7" t="s">
        <v>2063</v>
      </c>
      <c r="MY7">
        <v>-2.4245362661989844E-14</v>
      </c>
      <c r="MZ7">
        <v>-2.4245362661989844E-14</v>
      </c>
      <c r="NA7" t="s">
        <v>1651</v>
      </c>
      <c r="NB7">
        <v>2023</v>
      </c>
      <c r="NC7" t="s">
        <v>3231</v>
      </c>
      <c r="ND7" s="6">
        <v>45244</v>
      </c>
      <c r="NE7">
        <v>5</v>
      </c>
      <c r="NF7">
        <v>-2.4245362661989844E-14</v>
      </c>
      <c r="NG7">
        <v>118099</v>
      </c>
      <c r="NH7" t="s">
        <v>2065</v>
      </c>
      <c r="PE7" t="s">
        <v>2320</v>
      </c>
      <c r="PF7" t="s">
        <v>1634</v>
      </c>
      <c r="PG7">
        <v>0.57097699999999996</v>
      </c>
      <c r="PH7">
        <v>2.229968</v>
      </c>
      <c r="PI7" t="s">
        <v>1599</v>
      </c>
      <c r="PJ7">
        <v>2025</v>
      </c>
      <c r="PK7" t="s">
        <v>2321</v>
      </c>
      <c r="PL7" s="6">
        <v>45975</v>
      </c>
      <c r="PM7">
        <v>5</v>
      </c>
      <c r="PN7">
        <v>43573584</v>
      </c>
      <c r="PO7">
        <v>305366</v>
      </c>
      <c r="PP7" t="s">
        <v>2322</v>
      </c>
      <c r="PS7" t="s">
        <v>1932</v>
      </c>
      <c r="PT7">
        <v>4.0911000000000003E-2</v>
      </c>
      <c r="PU7" t="s">
        <v>1598</v>
      </c>
      <c r="PV7">
        <v>0.108488</v>
      </c>
      <c r="PW7" t="s">
        <v>1594</v>
      </c>
      <c r="PX7">
        <v>2024</v>
      </c>
      <c r="PY7" t="s">
        <v>1928</v>
      </c>
      <c r="PZ7" s="6">
        <v>45716</v>
      </c>
      <c r="QA7">
        <v>5</v>
      </c>
      <c r="QB7">
        <v>5749939</v>
      </c>
      <c r="QC7">
        <v>109548</v>
      </c>
      <c r="QD7" t="s">
        <v>1933</v>
      </c>
      <c r="QW7" t="s">
        <v>2713</v>
      </c>
      <c r="QX7">
        <v>2.1640480000000002</v>
      </c>
      <c r="QY7" t="s">
        <v>1685</v>
      </c>
      <c r="QZ7">
        <v>0.176343</v>
      </c>
      <c r="RA7" t="s">
        <v>1594</v>
      </c>
      <c r="RB7">
        <v>2025</v>
      </c>
      <c r="RC7" t="s">
        <v>4166</v>
      </c>
      <c r="RD7" s="6">
        <v>46066</v>
      </c>
      <c r="RE7">
        <v>5</v>
      </c>
      <c r="RF7">
        <v>8404750</v>
      </c>
      <c r="RG7">
        <v>46386935</v>
      </c>
      <c r="RH7" t="s">
        <v>2714</v>
      </c>
      <c r="UI7" t="s">
        <v>2759</v>
      </c>
      <c r="UJ7">
        <v>1.5068459999999999</v>
      </c>
      <c r="UK7" t="s">
        <v>1685</v>
      </c>
      <c r="UL7">
        <v>0.11787499999999999</v>
      </c>
      <c r="UM7" t="s">
        <v>1594</v>
      </c>
      <c r="UN7">
        <v>2024</v>
      </c>
      <c r="UO7" t="s">
        <v>2756</v>
      </c>
      <c r="UP7" s="6">
        <v>45715</v>
      </c>
      <c r="UQ7">
        <v>5</v>
      </c>
      <c r="UR7">
        <v>1045250</v>
      </c>
      <c r="US7">
        <v>34501311</v>
      </c>
      <c r="UT7" t="s">
        <v>2760</v>
      </c>
      <c r="UY7" t="s">
        <v>2570</v>
      </c>
      <c r="VA7">
        <v>-2.4245362661989844E-14</v>
      </c>
      <c r="VB7">
        <v>-2.4245362661989844E-14</v>
      </c>
      <c r="VC7" t="s">
        <v>2469</v>
      </c>
      <c r="VD7">
        <v>2025</v>
      </c>
      <c r="VE7" t="s">
        <v>2571</v>
      </c>
      <c r="VF7" s="6">
        <v>45883</v>
      </c>
      <c r="VG7">
        <v>5</v>
      </c>
      <c r="VH7">
        <v>-2.4245362661989844E-14</v>
      </c>
      <c r="VI7">
        <v>129001</v>
      </c>
      <c r="VJ7" t="s">
        <v>2572</v>
      </c>
    </row>
    <row r="8" spans="1:600" x14ac:dyDescent="0.25">
      <c r="A8" t="s">
        <v>4018</v>
      </c>
      <c r="B8" t="s">
        <v>1598</v>
      </c>
      <c r="C8">
        <v>0.132216</v>
      </c>
      <c r="D8">
        <v>2.3352000000000001E-2</v>
      </c>
      <c r="E8" t="s">
        <v>1664</v>
      </c>
      <c r="F8">
        <v>2025</v>
      </c>
      <c r="G8" t="s">
        <v>4019</v>
      </c>
      <c r="H8" s="6">
        <v>45919</v>
      </c>
      <c r="I8">
        <v>5</v>
      </c>
      <c r="J8">
        <v>264601</v>
      </c>
      <c r="K8">
        <v>54027962</v>
      </c>
      <c r="L8" t="s">
        <v>4020</v>
      </c>
      <c r="O8" t="s">
        <v>4405</v>
      </c>
      <c r="P8">
        <v>1.268716</v>
      </c>
      <c r="Q8" t="s">
        <v>1598</v>
      </c>
      <c r="R8">
        <v>3.6177000000000001E-2</v>
      </c>
      <c r="S8" t="s">
        <v>1603</v>
      </c>
      <c r="T8">
        <v>2025</v>
      </c>
      <c r="U8" t="s">
        <v>6122</v>
      </c>
      <c r="V8" s="6">
        <v>45779</v>
      </c>
      <c r="W8">
        <v>5</v>
      </c>
      <c r="X8">
        <v>13662562</v>
      </c>
      <c r="Y8">
        <v>16632863</v>
      </c>
      <c r="Z8" t="s">
        <v>4407</v>
      </c>
      <c r="AE8" t="s">
        <v>6075</v>
      </c>
      <c r="AF8" t="s">
        <v>1634</v>
      </c>
      <c r="AG8">
        <v>3.2053999999999999E-2</v>
      </c>
      <c r="AH8">
        <v>0.70691199999999998</v>
      </c>
      <c r="AI8" t="s">
        <v>1664</v>
      </c>
      <c r="AJ8">
        <v>2026</v>
      </c>
      <c r="AK8" t="s">
        <v>6076</v>
      </c>
      <c r="AL8" s="6">
        <v>46073</v>
      </c>
      <c r="AM8">
        <v>5</v>
      </c>
      <c r="AN8">
        <v>443162.44</v>
      </c>
      <c r="AO8">
        <v>113566</v>
      </c>
      <c r="AP8" t="s">
        <v>6077</v>
      </c>
      <c r="AS8" t="s">
        <v>365</v>
      </c>
      <c r="AT8">
        <v>4.8461939999999997</v>
      </c>
      <c r="AU8" t="s">
        <v>1598</v>
      </c>
      <c r="AV8">
        <v>0.34443000000000001</v>
      </c>
      <c r="AW8" t="s">
        <v>1606</v>
      </c>
      <c r="AX8">
        <v>2024</v>
      </c>
      <c r="AY8" t="s">
        <v>5806</v>
      </c>
      <c r="AZ8" s="6">
        <v>45776</v>
      </c>
      <c r="BA8">
        <v>5</v>
      </c>
      <c r="BB8">
        <v>91859608</v>
      </c>
      <c r="BC8">
        <v>100743</v>
      </c>
      <c r="BD8" t="s">
        <v>1904</v>
      </c>
      <c r="BI8" t="s">
        <v>3238</v>
      </c>
      <c r="BJ8" t="s">
        <v>1634</v>
      </c>
      <c r="BK8">
        <v>0.78628900000000002</v>
      </c>
      <c r="BL8">
        <v>0.41281200000000001</v>
      </c>
      <c r="BM8" t="s">
        <v>1664</v>
      </c>
      <c r="BN8">
        <v>2026</v>
      </c>
      <c r="BO8" t="s">
        <v>3239</v>
      </c>
      <c r="BP8" s="6">
        <v>45980</v>
      </c>
      <c r="BQ8">
        <v>5</v>
      </c>
      <c r="BR8">
        <v>3939825.84</v>
      </c>
      <c r="BS8">
        <v>223067</v>
      </c>
      <c r="BT8" t="s">
        <v>3240</v>
      </c>
      <c r="BW8" t="s">
        <v>2749</v>
      </c>
      <c r="BX8">
        <v>-2.4245362661989844E-14</v>
      </c>
      <c r="BZ8">
        <v>-2.4245362661989844E-14</v>
      </c>
      <c r="CA8" t="s">
        <v>1594</v>
      </c>
      <c r="CB8">
        <v>2023</v>
      </c>
      <c r="CC8" t="s">
        <v>2750</v>
      </c>
      <c r="CD8" s="6">
        <v>45383</v>
      </c>
      <c r="CE8">
        <v>5</v>
      </c>
      <c r="CF8">
        <v>-2.4245362661989844E-14</v>
      </c>
      <c r="CG8">
        <v>25953572</v>
      </c>
      <c r="CH8" t="s">
        <v>2751</v>
      </c>
      <c r="CM8" t="s">
        <v>2367</v>
      </c>
      <c r="CN8" t="s">
        <v>2128</v>
      </c>
      <c r="CO8">
        <v>2.0662310000000002</v>
      </c>
      <c r="CP8">
        <v>0.63925799999999999</v>
      </c>
      <c r="CQ8" t="s">
        <v>1664</v>
      </c>
      <c r="CR8">
        <v>2025</v>
      </c>
      <c r="CS8" t="s">
        <v>2368</v>
      </c>
      <c r="CT8" s="6">
        <v>45921</v>
      </c>
      <c r="CU8">
        <v>5</v>
      </c>
      <c r="CV8">
        <v>21326292</v>
      </c>
      <c r="CW8">
        <v>963610</v>
      </c>
      <c r="CX8" t="s">
        <v>2369</v>
      </c>
      <c r="DA8" t="s">
        <v>1860</v>
      </c>
      <c r="DB8">
        <v>5.4489999999999998</v>
      </c>
      <c r="DD8">
        <v>-2.4245362661989844E-14</v>
      </c>
      <c r="DE8" t="s">
        <v>1599</v>
      </c>
      <c r="DF8">
        <v>2025</v>
      </c>
      <c r="DG8" t="s">
        <v>1859</v>
      </c>
      <c r="DH8" s="6">
        <v>46041</v>
      </c>
      <c r="DI8">
        <v>5</v>
      </c>
      <c r="DJ8">
        <v>959067584</v>
      </c>
      <c r="DK8">
        <v>199844</v>
      </c>
      <c r="DL8" t="s">
        <v>1861</v>
      </c>
      <c r="EU8" t="s">
        <v>3184</v>
      </c>
      <c r="EV8" t="s">
        <v>1634</v>
      </c>
      <c r="EW8">
        <v>0.77759999999999996</v>
      </c>
      <c r="EX8">
        <v>0.35574</v>
      </c>
      <c r="EY8" t="s">
        <v>1664</v>
      </c>
      <c r="EZ8">
        <v>2026</v>
      </c>
      <c r="FA8" t="s">
        <v>3826</v>
      </c>
      <c r="FB8" s="6">
        <v>45894</v>
      </c>
      <c r="FC8">
        <v>5</v>
      </c>
      <c r="FD8">
        <v>10714893</v>
      </c>
      <c r="FE8">
        <v>100487</v>
      </c>
      <c r="FF8" t="s">
        <v>3186</v>
      </c>
      <c r="FI8" t="s">
        <v>2063</v>
      </c>
      <c r="FJ8">
        <v>-2.4245362661989844E-14</v>
      </c>
      <c r="FL8">
        <v>-2.4245362661989844E-14</v>
      </c>
      <c r="FM8" t="s">
        <v>1594</v>
      </c>
      <c r="FN8">
        <v>2021</v>
      </c>
      <c r="FO8" t="s">
        <v>3689</v>
      </c>
      <c r="FP8" s="6">
        <v>44693</v>
      </c>
      <c r="FQ8">
        <v>5</v>
      </c>
      <c r="FR8">
        <v>-2.4245362661989844E-14</v>
      </c>
      <c r="FS8">
        <v>118099</v>
      </c>
      <c r="FT8" t="s">
        <v>2065</v>
      </c>
      <c r="FY8" t="s">
        <v>3934</v>
      </c>
      <c r="FZ8" t="s">
        <v>1598</v>
      </c>
      <c r="GA8">
        <v>0.36666900000000002</v>
      </c>
      <c r="GB8">
        <v>0.66739899999999996</v>
      </c>
      <c r="GC8" t="s">
        <v>1599</v>
      </c>
      <c r="GD8">
        <v>2025</v>
      </c>
      <c r="GE8" t="s">
        <v>2931</v>
      </c>
      <c r="GF8" s="6">
        <v>45881</v>
      </c>
      <c r="GG8">
        <v>5</v>
      </c>
      <c r="GH8">
        <v>14360758</v>
      </c>
      <c r="GI8">
        <v>116563</v>
      </c>
      <c r="GJ8" t="s">
        <v>3936</v>
      </c>
      <c r="GM8" t="s">
        <v>4342</v>
      </c>
      <c r="GN8">
        <v>1.059528</v>
      </c>
      <c r="GO8" t="s">
        <v>1598</v>
      </c>
      <c r="GP8">
        <v>1.4451590000000001</v>
      </c>
      <c r="GQ8" t="s">
        <v>1599</v>
      </c>
      <c r="GR8">
        <v>2025</v>
      </c>
      <c r="GS8" t="s">
        <v>2931</v>
      </c>
      <c r="GT8" s="6">
        <v>45881</v>
      </c>
      <c r="GU8">
        <v>5</v>
      </c>
      <c r="GV8">
        <v>46333160</v>
      </c>
      <c r="GW8">
        <v>47183276</v>
      </c>
      <c r="GX8" t="s">
        <v>4343</v>
      </c>
      <c r="HC8" t="s">
        <v>2075</v>
      </c>
      <c r="HD8" t="s">
        <v>1598</v>
      </c>
      <c r="HE8">
        <v>0.81212200000000001</v>
      </c>
      <c r="HF8">
        <v>3.9961000000000003E-2</v>
      </c>
      <c r="HG8" t="s">
        <v>1594</v>
      </c>
      <c r="HH8">
        <v>2024</v>
      </c>
      <c r="HI8" t="s">
        <v>2076</v>
      </c>
      <c r="HJ8" s="6">
        <v>45722</v>
      </c>
      <c r="HK8">
        <v>5</v>
      </c>
      <c r="HL8">
        <v>1125000</v>
      </c>
      <c r="HM8">
        <v>34755071</v>
      </c>
      <c r="HN8" t="s">
        <v>2077</v>
      </c>
      <c r="KO8" t="s">
        <v>2286</v>
      </c>
      <c r="KP8" t="s">
        <v>1685</v>
      </c>
      <c r="KQ8">
        <v>1.061577</v>
      </c>
      <c r="KR8">
        <v>0.111747</v>
      </c>
      <c r="KS8" t="s">
        <v>1594</v>
      </c>
      <c r="KT8">
        <v>2024</v>
      </c>
      <c r="KU8" t="s">
        <v>2287</v>
      </c>
      <c r="KV8" s="6">
        <v>45715</v>
      </c>
      <c r="KW8">
        <v>5</v>
      </c>
      <c r="KX8">
        <v>941885.68</v>
      </c>
      <c r="KY8">
        <v>111471</v>
      </c>
      <c r="KZ8" t="s">
        <v>2288</v>
      </c>
      <c r="LC8" t="s">
        <v>1878</v>
      </c>
      <c r="LD8">
        <v>4.8826000000000001E-2</v>
      </c>
      <c r="LE8" t="s">
        <v>1685</v>
      </c>
      <c r="LF8">
        <v>0.96890200000000004</v>
      </c>
      <c r="LG8" t="s">
        <v>1594</v>
      </c>
      <c r="LH8">
        <v>2025</v>
      </c>
      <c r="LI8" t="s">
        <v>1879</v>
      </c>
      <c r="LJ8" s="6">
        <v>46079</v>
      </c>
      <c r="LK8">
        <v>5</v>
      </c>
      <c r="LL8">
        <v>599999.75</v>
      </c>
      <c r="LM8">
        <v>11937231</v>
      </c>
      <c r="LN8" t="s">
        <v>1880</v>
      </c>
      <c r="MW8" t="s">
        <v>3232</v>
      </c>
      <c r="MY8">
        <v>-2.4245362661989844E-14</v>
      </c>
      <c r="MZ8">
        <v>-2.4245362661989844E-14</v>
      </c>
      <c r="NA8" t="s">
        <v>1594</v>
      </c>
      <c r="NB8">
        <v>2023</v>
      </c>
      <c r="NC8" t="s">
        <v>3233</v>
      </c>
      <c r="ND8" s="6">
        <v>45188</v>
      </c>
      <c r="NE8">
        <v>5</v>
      </c>
      <c r="NF8">
        <v>-2.4245362661989844E-14</v>
      </c>
      <c r="NG8">
        <v>38550351</v>
      </c>
      <c r="NH8" t="s">
        <v>3234</v>
      </c>
      <c r="PE8" t="s">
        <v>2066</v>
      </c>
      <c r="PF8" t="s">
        <v>1634</v>
      </c>
      <c r="PG8">
        <v>6.157108</v>
      </c>
      <c r="PH8">
        <v>1.810521</v>
      </c>
      <c r="PI8" t="s">
        <v>1664</v>
      </c>
      <c r="PJ8">
        <v>2025</v>
      </c>
      <c r="PK8" t="s">
        <v>2067</v>
      </c>
      <c r="PL8" s="6">
        <v>45929</v>
      </c>
      <c r="PM8">
        <v>5</v>
      </c>
      <c r="PN8">
        <v>23591082</v>
      </c>
      <c r="PO8">
        <v>13070762</v>
      </c>
      <c r="PP8" t="s">
        <v>2068</v>
      </c>
      <c r="PS8" t="s">
        <v>1934</v>
      </c>
      <c r="PT8">
        <v>3.5721000000000003E-2</v>
      </c>
      <c r="PU8" t="s">
        <v>1598</v>
      </c>
      <c r="PV8">
        <v>0.41368700000000003</v>
      </c>
      <c r="PW8" t="s">
        <v>1606</v>
      </c>
      <c r="PX8">
        <v>2025</v>
      </c>
      <c r="PY8" t="s">
        <v>1935</v>
      </c>
      <c r="PZ8" s="6">
        <v>46086</v>
      </c>
      <c r="QA8">
        <v>5</v>
      </c>
      <c r="QB8">
        <v>4927012</v>
      </c>
      <c r="QC8">
        <v>9188256</v>
      </c>
      <c r="QD8" t="s">
        <v>1936</v>
      </c>
      <c r="QW8" t="s">
        <v>303</v>
      </c>
      <c r="QX8">
        <v>2.0474739999999998</v>
      </c>
      <c r="QY8" t="s">
        <v>1685</v>
      </c>
      <c r="QZ8">
        <v>5.4558000000000002E-2</v>
      </c>
      <c r="RA8" t="s">
        <v>1594</v>
      </c>
      <c r="RB8">
        <v>2025</v>
      </c>
      <c r="RC8" t="s">
        <v>4166</v>
      </c>
      <c r="RD8" s="6">
        <v>46066</v>
      </c>
      <c r="RE8">
        <v>5</v>
      </c>
      <c r="RF8">
        <v>7952000</v>
      </c>
      <c r="RG8">
        <v>216952</v>
      </c>
      <c r="RH8" t="s">
        <v>1631</v>
      </c>
      <c r="UI8" t="s">
        <v>311</v>
      </c>
      <c r="UJ8">
        <v>1.2592490000000001</v>
      </c>
      <c r="UK8" t="s">
        <v>1685</v>
      </c>
      <c r="UL8">
        <v>1.3738999999999999E-2</v>
      </c>
      <c r="UM8" t="s">
        <v>1594</v>
      </c>
      <c r="UN8">
        <v>2024</v>
      </c>
      <c r="UO8" t="s">
        <v>2756</v>
      </c>
      <c r="UP8" s="6">
        <v>45715</v>
      </c>
      <c r="UQ8">
        <v>5</v>
      </c>
      <c r="UR8">
        <v>873500</v>
      </c>
      <c r="US8">
        <v>100864</v>
      </c>
      <c r="UT8" t="s">
        <v>1668</v>
      </c>
      <c r="UY8" t="s">
        <v>2573</v>
      </c>
      <c r="VA8">
        <v>-2.4245362661989844E-14</v>
      </c>
      <c r="VB8">
        <v>-2.4245362661989844E-14</v>
      </c>
      <c r="VC8" t="s">
        <v>1651</v>
      </c>
      <c r="VD8">
        <v>2025</v>
      </c>
      <c r="VE8" t="s">
        <v>2574</v>
      </c>
      <c r="VF8" s="6">
        <v>45975</v>
      </c>
      <c r="VG8">
        <v>5</v>
      </c>
      <c r="VH8">
        <v>-2.4245362661989844E-14</v>
      </c>
      <c r="VI8">
        <v>7815848</v>
      </c>
      <c r="VJ8" t="s">
        <v>2575</v>
      </c>
    </row>
    <row r="9" spans="1:600" x14ac:dyDescent="0.25">
      <c r="A9" t="s">
        <v>336</v>
      </c>
      <c r="C9">
        <v>-2.4245362661989844E-14</v>
      </c>
      <c r="D9">
        <v>-2.4245362661989844E-14</v>
      </c>
      <c r="E9" t="s">
        <v>1594</v>
      </c>
      <c r="F9">
        <v>2021</v>
      </c>
      <c r="G9" t="s">
        <v>4021</v>
      </c>
      <c r="H9" s="6">
        <v>44693</v>
      </c>
      <c r="I9">
        <v>5</v>
      </c>
      <c r="J9">
        <v>-2.4245362661989844E-14</v>
      </c>
      <c r="K9">
        <v>101370</v>
      </c>
      <c r="L9" t="s">
        <v>3442</v>
      </c>
      <c r="O9" t="s">
        <v>4833</v>
      </c>
      <c r="P9">
        <v>0.93486800000000003</v>
      </c>
      <c r="Q9" t="s">
        <v>1598</v>
      </c>
      <c r="R9">
        <v>3.0459E-2</v>
      </c>
      <c r="S9" t="s">
        <v>1603</v>
      </c>
      <c r="T9">
        <v>2025</v>
      </c>
      <c r="U9" t="s">
        <v>6122</v>
      </c>
      <c r="V9" s="6">
        <v>45779</v>
      </c>
      <c r="W9">
        <v>5</v>
      </c>
      <c r="X9">
        <v>10067416</v>
      </c>
      <c r="Y9">
        <v>115682</v>
      </c>
      <c r="Z9" t="s">
        <v>4834</v>
      </c>
      <c r="AE9" t="s">
        <v>6078</v>
      </c>
      <c r="AF9" t="s">
        <v>1598</v>
      </c>
      <c r="AG9">
        <v>2.0930000000000001E-2</v>
      </c>
      <c r="AH9">
        <v>1.5842999999999999E-2</v>
      </c>
      <c r="AI9" t="s">
        <v>1664</v>
      </c>
      <c r="AJ9">
        <v>2025</v>
      </c>
      <c r="AK9" t="s">
        <v>6079</v>
      </c>
      <c r="AL9" s="6">
        <v>45950</v>
      </c>
      <c r="AM9">
        <v>5</v>
      </c>
      <c r="AN9">
        <v>208941.99</v>
      </c>
      <c r="AO9">
        <v>22262012</v>
      </c>
      <c r="AP9" t="s">
        <v>6080</v>
      </c>
      <c r="AS9" t="s">
        <v>2643</v>
      </c>
      <c r="AT9">
        <v>3.0791019999999998</v>
      </c>
      <c r="AU9" t="s">
        <v>1598</v>
      </c>
      <c r="AV9">
        <v>0.25596200000000002</v>
      </c>
      <c r="AW9" t="s">
        <v>1606</v>
      </c>
      <c r="AX9">
        <v>2024</v>
      </c>
      <c r="AY9" t="s">
        <v>5806</v>
      </c>
      <c r="AZ9" s="6">
        <v>45776</v>
      </c>
      <c r="BA9">
        <v>5</v>
      </c>
      <c r="BB9">
        <v>58364376</v>
      </c>
      <c r="BC9">
        <v>100436</v>
      </c>
      <c r="BD9" t="s">
        <v>2644</v>
      </c>
      <c r="BI9" t="s">
        <v>3241</v>
      </c>
      <c r="BJ9" t="s">
        <v>1634</v>
      </c>
      <c r="BK9">
        <v>0.192249</v>
      </c>
      <c r="BL9">
        <v>0.209595</v>
      </c>
      <c r="BM9" t="s">
        <v>1599</v>
      </c>
      <c r="BN9">
        <v>2025</v>
      </c>
      <c r="BO9" t="s">
        <v>3242</v>
      </c>
      <c r="BP9" s="6">
        <v>45966</v>
      </c>
      <c r="BQ9">
        <v>5</v>
      </c>
      <c r="BR9">
        <v>1999534</v>
      </c>
      <c r="BS9">
        <v>10656931</v>
      </c>
      <c r="BT9" t="s">
        <v>3243</v>
      </c>
      <c r="BW9" t="s">
        <v>2752</v>
      </c>
      <c r="BX9">
        <v>-2.4245362661989844E-14</v>
      </c>
      <c r="BZ9">
        <v>-2.4245362661989844E-14</v>
      </c>
      <c r="CA9" t="s">
        <v>1594</v>
      </c>
      <c r="CB9">
        <v>2024</v>
      </c>
      <c r="CC9" t="s">
        <v>2753</v>
      </c>
      <c r="CD9" s="6">
        <v>45714</v>
      </c>
      <c r="CE9">
        <v>5</v>
      </c>
      <c r="CF9">
        <v>-2.4245362661989844E-14</v>
      </c>
      <c r="CG9">
        <v>102894</v>
      </c>
      <c r="CH9" t="s">
        <v>2754</v>
      </c>
      <c r="CM9" t="s">
        <v>2370</v>
      </c>
      <c r="CN9" t="s">
        <v>1685</v>
      </c>
      <c r="CO9">
        <v>2.8060939999999999</v>
      </c>
      <c r="CP9">
        <v>0.76549599999999995</v>
      </c>
      <c r="CQ9" t="s">
        <v>1594</v>
      </c>
      <c r="CR9">
        <v>2025</v>
      </c>
      <c r="CS9" t="s">
        <v>2371</v>
      </c>
      <c r="CT9" s="6">
        <v>46048</v>
      </c>
      <c r="CU9">
        <v>5</v>
      </c>
      <c r="CV9">
        <v>21232000</v>
      </c>
      <c r="CW9">
        <v>216867</v>
      </c>
      <c r="CX9" t="s">
        <v>2372</v>
      </c>
      <c r="DA9" t="s">
        <v>1862</v>
      </c>
      <c r="DB9">
        <v>0.28446199999999999</v>
      </c>
      <c r="DC9" t="s">
        <v>1598</v>
      </c>
      <c r="DD9">
        <v>0.82704999999999995</v>
      </c>
      <c r="DE9" t="s">
        <v>1599</v>
      </c>
      <c r="DF9">
        <v>2025</v>
      </c>
      <c r="DG9" t="s">
        <v>1859</v>
      </c>
      <c r="DH9" s="6">
        <v>46041</v>
      </c>
      <c r="DI9">
        <v>5</v>
      </c>
      <c r="DJ9">
        <v>50067588</v>
      </c>
      <c r="DK9">
        <v>169936</v>
      </c>
      <c r="DL9" t="s">
        <v>1863</v>
      </c>
      <c r="EU9" t="s">
        <v>2317</v>
      </c>
      <c r="EV9" t="s">
        <v>1598</v>
      </c>
      <c r="EW9">
        <v>0.60481300000000005</v>
      </c>
      <c r="EX9">
        <v>0.89159200000000005</v>
      </c>
      <c r="EY9" t="s">
        <v>1603</v>
      </c>
      <c r="EZ9">
        <v>2025</v>
      </c>
      <c r="FA9" t="s">
        <v>2318</v>
      </c>
      <c r="FB9" s="6">
        <v>45863</v>
      </c>
      <c r="FC9">
        <v>5</v>
      </c>
      <c r="FD9">
        <v>9967996</v>
      </c>
      <c r="FE9">
        <v>10832677</v>
      </c>
      <c r="FF9" t="s">
        <v>2319</v>
      </c>
      <c r="FI9" t="s">
        <v>2376</v>
      </c>
      <c r="FJ9">
        <v>-2.4245362661989844E-14</v>
      </c>
      <c r="FL9">
        <v>-2.4245362661989844E-14</v>
      </c>
      <c r="FM9" t="s">
        <v>1594</v>
      </c>
      <c r="FN9">
        <v>2021</v>
      </c>
      <c r="FO9" t="s">
        <v>3689</v>
      </c>
      <c r="FP9" s="6">
        <v>44693</v>
      </c>
      <c r="FQ9">
        <v>5</v>
      </c>
      <c r="FR9">
        <v>-2.4245362661989844E-14</v>
      </c>
      <c r="FS9">
        <v>117929</v>
      </c>
      <c r="FT9" t="s">
        <v>2378</v>
      </c>
      <c r="FY9" t="s">
        <v>6134</v>
      </c>
      <c r="FZ9" t="s">
        <v>1598</v>
      </c>
      <c r="GA9">
        <v>3.8373949999999999</v>
      </c>
      <c r="GB9">
        <v>0.65883999999999998</v>
      </c>
      <c r="GC9" t="s">
        <v>1603</v>
      </c>
      <c r="GD9">
        <v>2025</v>
      </c>
      <c r="GE9" t="s">
        <v>2931</v>
      </c>
      <c r="GF9" s="6">
        <v>45740</v>
      </c>
      <c r="GG9">
        <v>5</v>
      </c>
      <c r="GH9">
        <v>14176590</v>
      </c>
      <c r="GI9">
        <v>21813538</v>
      </c>
      <c r="GJ9" t="s">
        <v>6135</v>
      </c>
      <c r="GM9" t="s">
        <v>4344</v>
      </c>
      <c r="GN9">
        <v>0.95568799999999998</v>
      </c>
      <c r="GO9" t="s">
        <v>1598</v>
      </c>
      <c r="GP9">
        <v>2.8645339999999999</v>
      </c>
      <c r="GQ9" t="s">
        <v>1599</v>
      </c>
      <c r="GR9">
        <v>2025</v>
      </c>
      <c r="GS9" t="s">
        <v>2931</v>
      </c>
      <c r="GT9" s="6">
        <v>45881</v>
      </c>
      <c r="GU9">
        <v>5</v>
      </c>
      <c r="GV9">
        <v>41792236</v>
      </c>
      <c r="GW9">
        <v>107907</v>
      </c>
      <c r="GX9" t="s">
        <v>4345</v>
      </c>
      <c r="HC9" t="s">
        <v>2078</v>
      </c>
      <c r="HD9" t="s">
        <v>1598</v>
      </c>
      <c r="HE9">
        <v>7.6275999999999997E-2</v>
      </c>
      <c r="HF9">
        <v>2.5603000000000001E-2</v>
      </c>
      <c r="HG9" t="s">
        <v>1606</v>
      </c>
      <c r="HH9">
        <v>2025</v>
      </c>
      <c r="HI9" t="s">
        <v>2079</v>
      </c>
      <c r="HJ9" s="6">
        <v>46079</v>
      </c>
      <c r="HK9">
        <v>5</v>
      </c>
      <c r="HL9">
        <v>803949</v>
      </c>
      <c r="HM9">
        <v>49689146</v>
      </c>
      <c r="HN9" t="s">
        <v>2080</v>
      </c>
      <c r="KO9" t="s">
        <v>2009</v>
      </c>
      <c r="KP9" t="s">
        <v>1598</v>
      </c>
      <c r="KQ9">
        <v>2.7688999999999998E-2</v>
      </c>
      <c r="KR9">
        <v>6.7176E-2</v>
      </c>
      <c r="KS9" t="s">
        <v>1599</v>
      </c>
      <c r="KT9">
        <v>2025</v>
      </c>
      <c r="KU9" t="s">
        <v>2010</v>
      </c>
      <c r="KV9" s="6">
        <v>45974</v>
      </c>
      <c r="KW9">
        <v>5</v>
      </c>
      <c r="KX9">
        <v>679247.66</v>
      </c>
      <c r="KY9">
        <v>193571</v>
      </c>
      <c r="KZ9" t="s">
        <v>2011</v>
      </c>
      <c r="LC9" t="s">
        <v>1679</v>
      </c>
      <c r="LD9">
        <v>4.4743999999999999E-2</v>
      </c>
      <c r="LE9" t="s">
        <v>1598</v>
      </c>
      <c r="LF9">
        <v>1.0747E-2</v>
      </c>
      <c r="LG9" t="s">
        <v>1603</v>
      </c>
      <c r="LH9">
        <v>2025</v>
      </c>
      <c r="LI9" t="s">
        <v>1680</v>
      </c>
      <c r="LJ9" s="6">
        <v>45820</v>
      </c>
      <c r="LK9">
        <v>5</v>
      </c>
      <c r="LL9">
        <v>438134</v>
      </c>
      <c r="LM9">
        <v>12129192</v>
      </c>
      <c r="LN9" t="s">
        <v>1681</v>
      </c>
      <c r="MW9" t="s">
        <v>3235</v>
      </c>
      <c r="MY9">
        <v>-2.4245362661989844E-14</v>
      </c>
      <c r="MZ9">
        <v>-2.4245362661989844E-14</v>
      </c>
      <c r="NA9" t="s">
        <v>1594</v>
      </c>
      <c r="NB9">
        <v>2023</v>
      </c>
      <c r="NC9" t="s">
        <v>3236</v>
      </c>
      <c r="ND9" s="6">
        <v>45462</v>
      </c>
      <c r="NE9">
        <v>5</v>
      </c>
      <c r="NF9">
        <v>-2.4245362661989844E-14</v>
      </c>
      <c r="NG9">
        <v>48621208</v>
      </c>
      <c r="NH9" t="s">
        <v>3237</v>
      </c>
      <c r="PE9" t="s">
        <v>339</v>
      </c>
      <c r="PF9" t="s">
        <v>1598</v>
      </c>
      <c r="PG9">
        <v>0.45783699999999999</v>
      </c>
      <c r="PH9">
        <v>0.152921</v>
      </c>
      <c r="PI9" t="s">
        <v>1594</v>
      </c>
      <c r="PJ9">
        <v>2024</v>
      </c>
      <c r="PK9" t="s">
        <v>1928</v>
      </c>
      <c r="PL9" s="6">
        <v>45716</v>
      </c>
      <c r="PM9">
        <v>5</v>
      </c>
      <c r="PN9">
        <v>18750026</v>
      </c>
      <c r="PO9">
        <v>13041324</v>
      </c>
      <c r="PP9" t="s">
        <v>2323</v>
      </c>
      <c r="PS9" t="s">
        <v>1937</v>
      </c>
      <c r="PT9">
        <v>1.6008999999999999E-2</v>
      </c>
      <c r="PV9">
        <v>-2.4245362661989844E-14</v>
      </c>
      <c r="PW9" t="s">
        <v>1594</v>
      </c>
      <c r="PX9">
        <v>2024</v>
      </c>
      <c r="PY9" t="s">
        <v>1928</v>
      </c>
      <c r="PZ9" s="6">
        <v>45716</v>
      </c>
      <c r="QA9">
        <v>5</v>
      </c>
      <c r="QB9">
        <v>2250000</v>
      </c>
      <c r="QC9">
        <v>14465625</v>
      </c>
      <c r="QD9" t="s">
        <v>1938</v>
      </c>
      <c r="QW9" t="s">
        <v>311</v>
      </c>
      <c r="QX9">
        <v>2.014259</v>
      </c>
      <c r="QY9" t="s">
        <v>1685</v>
      </c>
      <c r="QZ9">
        <v>0.110183</v>
      </c>
      <c r="RA9" t="s">
        <v>1594</v>
      </c>
      <c r="RB9">
        <v>2025</v>
      </c>
      <c r="RC9" t="s">
        <v>4166</v>
      </c>
      <c r="RD9" s="6">
        <v>46066</v>
      </c>
      <c r="RE9">
        <v>5</v>
      </c>
      <c r="RF9">
        <v>7823000</v>
      </c>
      <c r="RG9">
        <v>100864</v>
      </c>
      <c r="RH9" t="s">
        <v>1668</v>
      </c>
      <c r="UI9" t="s">
        <v>1778</v>
      </c>
      <c r="UJ9">
        <v>1.1295040000000001</v>
      </c>
      <c r="UL9">
        <v>-2.4245362661989844E-14</v>
      </c>
      <c r="UM9" t="s">
        <v>1594</v>
      </c>
      <c r="UN9">
        <v>2024</v>
      </c>
      <c r="UO9" t="s">
        <v>2756</v>
      </c>
      <c r="UP9" s="6">
        <v>45715</v>
      </c>
      <c r="UQ9">
        <v>5</v>
      </c>
      <c r="UR9">
        <v>783500</v>
      </c>
      <c r="US9">
        <v>119389</v>
      </c>
      <c r="UT9" t="s">
        <v>1779</v>
      </c>
      <c r="UY9" t="s">
        <v>2576</v>
      </c>
      <c r="VA9">
        <v>-2.4245362661989844E-14</v>
      </c>
      <c r="VB9">
        <v>-2.4245362661989844E-14</v>
      </c>
      <c r="VC9" t="s">
        <v>1594</v>
      </c>
      <c r="VD9">
        <v>2023</v>
      </c>
      <c r="VE9" t="s">
        <v>2577</v>
      </c>
      <c r="VF9" s="6">
        <v>45402</v>
      </c>
      <c r="VG9">
        <v>5</v>
      </c>
      <c r="VH9">
        <v>-2.4245362661989844E-14</v>
      </c>
      <c r="VI9">
        <v>21799337</v>
      </c>
      <c r="VJ9" t="s">
        <v>2578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662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663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664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665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666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667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668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669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670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671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672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673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674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675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676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677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678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679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680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26</v>
      </c>
      <c r="AE2" s="3" t="s">
        <v>240</v>
      </c>
      <c r="BI2" s="3" t="s">
        <v>78</v>
      </c>
      <c r="CM2" s="3" t="s">
        <v>681</v>
      </c>
      <c r="DQ2" s="3" t="s">
        <v>501</v>
      </c>
      <c r="EU2" s="3" t="s">
        <v>682</v>
      </c>
      <c r="FY2" s="3" t="s">
        <v>683</v>
      </c>
      <c r="HC2" s="3" t="s">
        <v>684</v>
      </c>
      <c r="IG2" s="3" t="s">
        <v>685</v>
      </c>
      <c r="JK2" s="3" t="s">
        <v>143</v>
      </c>
      <c r="KO2" s="3" t="s">
        <v>78</v>
      </c>
      <c r="LS2" s="3" t="s">
        <v>686</v>
      </c>
      <c r="MW2" s="3" t="s">
        <v>687</v>
      </c>
      <c r="OA2" s="3" t="s">
        <v>171</v>
      </c>
      <c r="PE2" s="3" t="s">
        <v>688</v>
      </c>
      <c r="QI2" s="3" t="s">
        <v>689</v>
      </c>
      <c r="RM2" s="3" t="s">
        <v>690</v>
      </c>
      <c r="SQ2" s="3" t="s">
        <v>691</v>
      </c>
      <c r="TU2" s="3" t="s">
        <v>78</v>
      </c>
      <c r="UY2" s="3" t="s">
        <v>113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_xll.BDS("DIS US Equity","SUPPLY_CHAIN_SUPPLIERS_ALL_DATA","cols=12;rows=5")</f>
        <v>GTN US Equity</v>
      </c>
      <c r="B5" t="s">
        <v>1685</v>
      </c>
      <c r="C5">
        <v>11</v>
      </c>
      <c r="D5">
        <v>2.5200550000000002</v>
      </c>
      <c r="E5" t="s">
        <v>1594</v>
      </c>
      <c r="F5">
        <v>2024</v>
      </c>
      <c r="G5" t="s">
        <v>2324</v>
      </c>
      <c r="H5" s="6">
        <v>45715</v>
      </c>
      <c r="I5">
        <v>5</v>
      </c>
      <c r="J5">
        <v>100210000</v>
      </c>
      <c r="K5">
        <v>104103</v>
      </c>
      <c r="L5" t="s">
        <v>2325</v>
      </c>
      <c r="O5" t="str">
        <f>_xll.BDS("DIS US Equity","SUPPLY_CHAIN_CUSTOMERS_ALL_DATA","cols=12;rows=5")</f>
        <v>AD NA Equity</v>
      </c>
      <c r="P5">
        <v>0.105923</v>
      </c>
      <c r="Q5" t="s">
        <v>1598</v>
      </c>
      <c r="R5">
        <v>0.13025800000000001</v>
      </c>
      <c r="S5" t="s">
        <v>1664</v>
      </c>
      <c r="T5">
        <v>2025</v>
      </c>
      <c r="U5" t="s">
        <v>1920</v>
      </c>
      <c r="V5" s="6">
        <v>45887</v>
      </c>
      <c r="W5">
        <v>5</v>
      </c>
      <c r="X5">
        <v>25058004.829999998</v>
      </c>
      <c r="Y5">
        <v>115643</v>
      </c>
      <c r="Z5" t="s">
        <v>1672</v>
      </c>
      <c r="AE5" t="str">
        <f>_xll.BDS("JNJ US Equity","SUPPLY_CHAIN_SUPPLIERS_ALL_DATA","cols=12;rows=5")</f>
        <v>GMAB DC Equity</v>
      </c>
      <c r="AF5" t="s">
        <v>2128</v>
      </c>
      <c r="AG5">
        <v>66.998047</v>
      </c>
      <c r="AH5">
        <v>11.040321</v>
      </c>
      <c r="AI5" t="s">
        <v>1594</v>
      </c>
      <c r="AJ5">
        <v>2024</v>
      </c>
      <c r="AK5" t="s">
        <v>3382</v>
      </c>
      <c r="AL5" s="6">
        <v>45701</v>
      </c>
      <c r="AM5">
        <v>5</v>
      </c>
      <c r="AN5">
        <v>522920364.22000003</v>
      </c>
      <c r="AO5">
        <v>1405715</v>
      </c>
      <c r="AP5" t="s">
        <v>3383</v>
      </c>
      <c r="AS5" t="str">
        <f>_xll.BDS("JNJ US Equity","SUPPLY_CHAIN_CUSTOMERS_ALL_DATA","cols=12;rows=5")</f>
        <v>MCK US Equity</v>
      </c>
      <c r="AT5">
        <v>20.476745999999999</v>
      </c>
      <c r="AU5" t="s">
        <v>1598</v>
      </c>
      <c r="AV5">
        <v>6.636412</v>
      </c>
      <c r="AW5" t="s">
        <v>1599</v>
      </c>
      <c r="AX5">
        <v>2025</v>
      </c>
      <c r="AY5" t="s">
        <v>2219</v>
      </c>
      <c r="AZ5" s="6">
        <v>46018</v>
      </c>
      <c r="BA5">
        <v>5</v>
      </c>
      <c r="BB5">
        <v>4912985600</v>
      </c>
      <c r="BC5">
        <v>154936</v>
      </c>
      <c r="BD5" t="s">
        <v>1766</v>
      </c>
      <c r="BI5" t="str">
        <f>_xll.BDS("nan Equity","SUPPLY_CHAIN_SUPPLIERS_ALL_DATA")</f>
        <v>#N/A N/A</v>
      </c>
      <c r="BW5" t="str">
        <f>_xll.BDS("nan Equity","SUPPLY_CHAIN_CUSTOMERS_ALL_DATA")</f>
        <v>#N/A N/A</v>
      </c>
      <c r="CM5" t="str">
        <f>_xll.BDS("PENN US Equity","SUPPLY_CHAIN_SUPPLIERS_ALL_DATA","cols=12;rows=5")</f>
        <v>GLPI US Equity</v>
      </c>
      <c r="CN5" t="s">
        <v>1685</v>
      </c>
      <c r="CO5">
        <v>52.997311000000003</v>
      </c>
      <c r="CP5">
        <v>52.234904999999998</v>
      </c>
      <c r="CQ5" t="s">
        <v>1594</v>
      </c>
      <c r="CR5">
        <v>2024</v>
      </c>
      <c r="CS5" t="s">
        <v>3390</v>
      </c>
      <c r="CT5" s="6">
        <v>45708</v>
      </c>
      <c r="CU5">
        <v>5</v>
      </c>
      <c r="CV5">
        <v>202919550</v>
      </c>
      <c r="CW5">
        <v>33372374</v>
      </c>
      <c r="CX5" t="s">
        <v>3391</v>
      </c>
      <c r="DA5" t="str">
        <f>_xll.BDS("PENN US Equity","SUPPLY_CHAIN_CUSTOMERS_ALL_DATA","cols=12;rows=4")</f>
        <v>0127957D US Equity</v>
      </c>
      <c r="DB5">
        <v>-2.4245362661989844E-14</v>
      </c>
      <c r="DD5">
        <v>-2.4245362661989844E-14</v>
      </c>
      <c r="DE5" t="s">
        <v>1594</v>
      </c>
      <c r="DF5">
        <v>2024</v>
      </c>
      <c r="DG5" t="s">
        <v>2870</v>
      </c>
      <c r="DH5" s="6">
        <v>45747</v>
      </c>
      <c r="DI5">
        <v>4</v>
      </c>
      <c r="DJ5">
        <v>-2.4245362661989844E-14</v>
      </c>
      <c r="DK5">
        <v>19488118</v>
      </c>
      <c r="DL5" t="s">
        <v>2871</v>
      </c>
      <c r="DQ5" t="str">
        <f>_xll.BDS("VLO US Equity","SUPPLY_CHAIN_SUPPLIERS_ALL_DATA","cols=12;rows=5")</f>
        <v>DAR US Equity</v>
      </c>
      <c r="DR5" t="s">
        <v>1598</v>
      </c>
      <c r="DS5">
        <v>22</v>
      </c>
      <c r="DT5">
        <v>1.2306760000000001</v>
      </c>
      <c r="DU5" t="s">
        <v>1599</v>
      </c>
      <c r="DV5">
        <v>2025</v>
      </c>
      <c r="DW5" t="s">
        <v>4011</v>
      </c>
      <c r="DX5" s="6">
        <v>45966</v>
      </c>
      <c r="DY5">
        <v>5</v>
      </c>
      <c r="DZ5">
        <v>344072512</v>
      </c>
      <c r="EA5">
        <v>136254</v>
      </c>
      <c r="EB5" t="s">
        <v>4012</v>
      </c>
      <c r="EE5" t="str">
        <f>_xll.BDS("VLO US Equity","SUPPLY_CHAIN_CUSTOMERS_ALL_DATA","cols=12;rows=5")</f>
        <v>ARKO US Equity</v>
      </c>
      <c r="EF5">
        <v>-2.4245362661989844E-14</v>
      </c>
      <c r="EH5">
        <v>-2.4245362661989844E-14</v>
      </c>
      <c r="EI5" t="s">
        <v>1594</v>
      </c>
      <c r="EJ5">
        <v>2024</v>
      </c>
      <c r="EK5" t="s">
        <v>5032</v>
      </c>
      <c r="EL5" s="6">
        <v>45714</v>
      </c>
      <c r="EM5">
        <v>5</v>
      </c>
      <c r="EN5">
        <v>-2.4245362661989844E-14</v>
      </c>
      <c r="EO5">
        <v>69344989</v>
      </c>
      <c r="EP5" t="s">
        <v>3715</v>
      </c>
      <c r="EU5" t="str">
        <f>_xll.BDS("PXP US Equity","SUPPLY_CHAIN_SUPPLIERS_ALL_DATA")</f>
        <v>#N/A N/A</v>
      </c>
      <c r="FI5" t="str">
        <f>_xll.BDS("PXP US Equity","SUPPLY_CHAIN_CUSTOMERS_ALL_DATA")</f>
        <v>#N/A N/A</v>
      </c>
      <c r="FY5" t="str">
        <f>_xll.BDS("FSK US Equity","SUPPLY_CHAIN_SUPPLIERS_ALL_DATA")</f>
        <v>#N/A N/A</v>
      </c>
      <c r="GM5" t="str">
        <f>_xll.BDS("FSK US Equity","SUPPLY_CHAIN_CUSTOMERS_ALL_DATA")</f>
        <v>#N/A N/A</v>
      </c>
      <c r="HC5" t="str">
        <f>_xll.BDS("HBAN US Equity","SUPPLY_CHAIN_SUPPLIERS_ALL_DATA","cols=12;rows=4")</f>
        <v>004800 KS Equity</v>
      </c>
      <c r="HE5">
        <v>-2.4245362661989844E-14</v>
      </c>
      <c r="HF5">
        <v>-2.4245362661989844E-14</v>
      </c>
      <c r="HG5" t="s">
        <v>1651</v>
      </c>
      <c r="HH5">
        <v>2025</v>
      </c>
      <c r="HI5" t="s">
        <v>2064</v>
      </c>
      <c r="HJ5" s="6">
        <v>45974</v>
      </c>
      <c r="HK5">
        <v>4</v>
      </c>
      <c r="HL5">
        <v>-2.4245362661989844E-14</v>
      </c>
      <c r="HM5">
        <v>118099</v>
      </c>
      <c r="HN5" t="s">
        <v>2065</v>
      </c>
      <c r="HQ5" t="str">
        <f>_xll.BDS("HBAN US Equity","SUPPLY_CHAIN_CUSTOMERS_ALL_DATA")</f>
        <v>#N/A N/A</v>
      </c>
      <c r="IG5" t="str">
        <f>_xll.BDS("GLPI US Equity","SUPPLY_CHAIN_SUPPLIERS_ALL_DATA","cols=12;rows=1")</f>
        <v>AGYS US Equity</v>
      </c>
      <c r="II5">
        <v>-2.4245362661989844E-14</v>
      </c>
      <c r="IJ5">
        <v>-2.4245362661989844E-14</v>
      </c>
      <c r="IK5" t="s">
        <v>1606</v>
      </c>
      <c r="IL5">
        <v>2023</v>
      </c>
      <c r="IM5" t="s">
        <v>6267</v>
      </c>
      <c r="IN5" s="6">
        <v>45069</v>
      </c>
      <c r="IO5">
        <v>1</v>
      </c>
      <c r="IP5">
        <v>-2.4245362661989844E-14</v>
      </c>
      <c r="IQ5">
        <v>106119</v>
      </c>
      <c r="IR5" t="s">
        <v>3001</v>
      </c>
      <c r="IU5" t="str">
        <f>_xll.BDS("GLPI US Equity","SUPPLY_CHAIN_CUSTOMERS_ALL_DATA","cols=12;rows=5")</f>
        <v>PENN US Equity</v>
      </c>
      <c r="IV5">
        <v>52.997311000000003</v>
      </c>
      <c r="IW5" t="s">
        <v>1685</v>
      </c>
      <c r="IX5">
        <v>52.234904999999998</v>
      </c>
      <c r="IY5" t="s">
        <v>1594</v>
      </c>
      <c r="IZ5">
        <v>2024</v>
      </c>
      <c r="JA5" t="s">
        <v>3390</v>
      </c>
      <c r="JB5" s="6">
        <v>45708</v>
      </c>
      <c r="JC5">
        <v>5</v>
      </c>
      <c r="JD5">
        <v>202919550</v>
      </c>
      <c r="JE5">
        <v>148051</v>
      </c>
      <c r="JF5" t="s">
        <v>5721</v>
      </c>
      <c r="JK5" t="str">
        <f>_xll.BDS("ORCL US Equity","SUPPLY_CHAIN_SUPPLIERS_ALL_DATA","cols=12;rows=5")</f>
        <v>NVDA US Equity</v>
      </c>
      <c r="JL5" t="s">
        <v>1634</v>
      </c>
      <c r="JM5">
        <v>1.9751799999999999</v>
      </c>
      <c r="JN5">
        <v>11.182838</v>
      </c>
      <c r="JO5" t="s">
        <v>1606</v>
      </c>
      <c r="JP5">
        <v>2026</v>
      </c>
      <c r="JQ5" t="s">
        <v>2004</v>
      </c>
      <c r="JR5" s="6">
        <v>46087</v>
      </c>
      <c r="JS5">
        <v>5</v>
      </c>
      <c r="JT5">
        <v>1345630848</v>
      </c>
      <c r="JU5">
        <v>313657</v>
      </c>
      <c r="JV5" t="s">
        <v>2005</v>
      </c>
      <c r="JY5" t="str">
        <f>_xll.BDS("ORCL US Equity","SUPPLY_CHAIN_CUSTOMERS_ALL_DATA","cols=12;rows=5")</f>
        <v>ACN US Equity</v>
      </c>
      <c r="JZ5">
        <v>1.9061380000000001</v>
      </c>
      <c r="KA5" t="s">
        <v>1598</v>
      </c>
      <c r="KB5">
        <v>2.7725070000000001</v>
      </c>
      <c r="KC5" t="s">
        <v>1606</v>
      </c>
      <c r="KD5">
        <v>2025</v>
      </c>
      <c r="KE5" t="s">
        <v>2251</v>
      </c>
      <c r="KF5" s="6">
        <v>45848</v>
      </c>
      <c r="KG5">
        <v>5</v>
      </c>
      <c r="KH5">
        <v>303133120</v>
      </c>
      <c r="KI5">
        <v>300787</v>
      </c>
      <c r="KJ5" t="s">
        <v>2252</v>
      </c>
      <c r="KO5" t="str">
        <f>_xll.BDS("nan Equity","SUPPLY_CHAIN_SUPPLIERS_ALL_DATA")</f>
        <v>#N/A N/A</v>
      </c>
      <c r="LC5" t="str">
        <f>_xll.BDS("nan Equity","SUPPLY_CHAIN_CUSTOMERS_ALL_DATA")</f>
        <v>#N/A N/A</v>
      </c>
      <c r="LS5" t="str">
        <f>_xll.BDS("CCI US Equity","SUPPLY_CHAIN_SUPPLIERS_ALL_DATA","cols=12;rows=5")</f>
        <v>092200 KS Equity</v>
      </c>
      <c r="LU5">
        <v>-2.4245362661989844E-14</v>
      </c>
      <c r="LV5">
        <v>-2.4245362661989844E-14</v>
      </c>
      <c r="LW5" t="s">
        <v>1594</v>
      </c>
      <c r="LX5">
        <v>2021</v>
      </c>
      <c r="LY5" t="s">
        <v>5460</v>
      </c>
      <c r="LZ5" s="6">
        <v>44638</v>
      </c>
      <c r="MA5">
        <v>5</v>
      </c>
      <c r="MB5">
        <v>-2.4245362661989844E-14</v>
      </c>
      <c r="MC5">
        <v>12327095</v>
      </c>
      <c r="MD5" t="s">
        <v>5461</v>
      </c>
      <c r="MG5" t="str">
        <f>_xll.BDS("CCI US Equity","SUPPLY_CHAIN_CUSTOMERS_ALL_DATA","cols=12;rows=5")</f>
        <v>TMUS US Equity</v>
      </c>
      <c r="MH5">
        <v>35</v>
      </c>
      <c r="MI5" t="s">
        <v>1598</v>
      </c>
      <c r="MJ5">
        <v>7.7523350000000004</v>
      </c>
      <c r="MK5" t="s">
        <v>1594</v>
      </c>
      <c r="ML5">
        <v>2024</v>
      </c>
      <c r="MM5" t="s">
        <v>3472</v>
      </c>
      <c r="MN5" s="6">
        <v>45730</v>
      </c>
      <c r="MO5">
        <v>5</v>
      </c>
      <c r="MP5">
        <v>574700032</v>
      </c>
      <c r="MQ5">
        <v>8779219</v>
      </c>
      <c r="MR5" t="s">
        <v>5655</v>
      </c>
      <c r="MW5" t="str">
        <f>_xll.BDS("NLY US Equity","SUPPLY_CHAIN_SUPPLIERS_ALL_DATA")</f>
        <v>#N/A N/A</v>
      </c>
      <c r="NK5" t="str">
        <f>_xll.BDS("NLY US Equity","SUPPLY_CHAIN_CUSTOMERS_ALL_DATA")</f>
        <v>#N/A N/A</v>
      </c>
      <c r="OA5" t="str">
        <f>_xll.BDS("CRM US Equity","SUPPLY_CHAIN_SUPPLIERS_ALL_DATA","cols=12;rows=5")</f>
        <v>BXP US Equity</v>
      </c>
      <c r="OB5" t="s">
        <v>1685</v>
      </c>
      <c r="OC5">
        <v>3.2392069999999999</v>
      </c>
      <c r="OD5">
        <v>0.72514800000000001</v>
      </c>
      <c r="OE5" t="s">
        <v>1599</v>
      </c>
      <c r="OF5">
        <v>2025</v>
      </c>
      <c r="OG5" t="s">
        <v>3371</v>
      </c>
      <c r="OH5" s="6">
        <v>45996</v>
      </c>
      <c r="OI5">
        <v>5</v>
      </c>
      <c r="OJ5">
        <v>28230014</v>
      </c>
      <c r="OK5">
        <v>225275</v>
      </c>
      <c r="OL5" t="s">
        <v>3372</v>
      </c>
      <c r="OO5" t="str">
        <f>_xll.BDS("CRM US Equity","SUPPLY_CHAIN_CUSTOMERS_ALL_DATA","cols=12;rows=5")</f>
        <v>SNX US Equity</v>
      </c>
      <c r="OP5">
        <v>1.073215</v>
      </c>
      <c r="OQ5" t="s">
        <v>1598</v>
      </c>
      <c r="OR5">
        <v>0.68029200000000001</v>
      </c>
      <c r="OS5" t="s">
        <v>1606</v>
      </c>
      <c r="OT5">
        <v>2025</v>
      </c>
      <c r="OU5" t="s">
        <v>1701</v>
      </c>
      <c r="OV5" s="6">
        <v>46056</v>
      </c>
      <c r="OW5">
        <v>5</v>
      </c>
      <c r="OX5">
        <v>110101112</v>
      </c>
      <c r="OY5">
        <v>1499717</v>
      </c>
      <c r="OZ5" t="s">
        <v>1702</v>
      </c>
      <c r="PE5" t="str">
        <f>_xll.BDS("1793839D US Equity","SUPPLY_CHAIN_SUPPLIERS_ALL_DATA")</f>
        <v>#N/A N/A</v>
      </c>
      <c r="PS5" t="str">
        <f>_xll.BDS("1793839D US Equity","SUPPLY_CHAIN_CUSTOMERS_ALL_DATA")</f>
        <v>#N/A N/A</v>
      </c>
      <c r="QI5" t="str">
        <f>_xll.BDS("9210611D US Equity","SUPPLY_CHAIN_SUPPLIERS_ALL_DATA","cols=12;rows=5")</f>
        <v>0006325D US Equity</v>
      </c>
      <c r="QK5">
        <v>-2.4245362661989844E-14</v>
      </c>
      <c r="QL5">
        <v>-2.4245362661989844E-14</v>
      </c>
      <c r="QM5" t="s">
        <v>1594</v>
      </c>
      <c r="QN5">
        <v>2023</v>
      </c>
      <c r="QO5" t="s">
        <v>1918</v>
      </c>
      <c r="QP5" s="6">
        <v>45323</v>
      </c>
      <c r="QQ5">
        <v>5</v>
      </c>
      <c r="QR5">
        <v>-2.4245362661989844E-14</v>
      </c>
      <c r="QS5">
        <v>17795045</v>
      </c>
      <c r="QT5" t="s">
        <v>2253</v>
      </c>
      <c r="QW5" t="str">
        <f>_xll.BDS("9210611D US Equity","SUPPLY_CHAIN_CUSTOMERS_ALL_DATA","cols=12;rows=5")</f>
        <v>0115249D GR Equity</v>
      </c>
      <c r="QX5">
        <v>-2.4245362661989844E-14</v>
      </c>
      <c r="QZ5">
        <v>-2.4245362661989844E-14</v>
      </c>
      <c r="RA5" t="s">
        <v>1599</v>
      </c>
      <c r="RB5">
        <v>2022</v>
      </c>
      <c r="RC5" t="s">
        <v>1911</v>
      </c>
      <c r="RD5" s="6">
        <v>44882</v>
      </c>
      <c r="RE5">
        <v>5</v>
      </c>
      <c r="RF5">
        <v>-2.4245362661989844E-14</v>
      </c>
      <c r="RG5">
        <v>28677573</v>
      </c>
      <c r="RH5" t="s">
        <v>1912</v>
      </c>
      <c r="RM5" t="str">
        <f>_xll.BDS("HOLX US Equity","SUPPLY_CHAIN_SUPPLIERS_ALL_DATA","cols=12;rows=5")</f>
        <v>FLEX US Equity</v>
      </c>
      <c r="RN5" t="s">
        <v>1598</v>
      </c>
      <c r="RO5">
        <v>0.19427700000000001</v>
      </c>
      <c r="RP5">
        <v>2.8862000000000001</v>
      </c>
      <c r="RQ5" t="s">
        <v>1599</v>
      </c>
      <c r="RR5">
        <v>2025</v>
      </c>
      <c r="RS5" t="s">
        <v>2557</v>
      </c>
      <c r="RT5" s="6">
        <v>45763</v>
      </c>
      <c r="RU5">
        <v>5</v>
      </c>
      <c r="RV5">
        <v>12736800</v>
      </c>
      <c r="RW5">
        <v>136547</v>
      </c>
      <c r="RX5" t="s">
        <v>2558</v>
      </c>
      <c r="SA5" t="str">
        <f>_xll.BDS("HOLX US Equity","SUPPLY_CHAIN_CUSTOMERS_ALL_DATA","cols=12;rows=5")</f>
        <v>0219250Z US Equity</v>
      </c>
      <c r="SB5">
        <v>-2.4245362661989844E-14</v>
      </c>
      <c r="SD5">
        <v>-2.4245362661989844E-14</v>
      </c>
      <c r="SE5" t="s">
        <v>1599</v>
      </c>
      <c r="SF5">
        <v>2023</v>
      </c>
      <c r="SG5" t="s">
        <v>5062</v>
      </c>
      <c r="SH5" s="6">
        <v>45139</v>
      </c>
      <c r="SI5">
        <v>5</v>
      </c>
      <c r="SJ5">
        <v>-2.4245362661989844E-14</v>
      </c>
      <c r="SK5">
        <v>962217</v>
      </c>
      <c r="SL5" t="s">
        <v>2434</v>
      </c>
      <c r="SQ5" t="str">
        <f>_xll.BDS("AA US Equity","SUPPLY_CHAIN_SUPPLIERS_ALL_DATA","cols=12;rows=5")</f>
        <v>MAADEN AB Equity</v>
      </c>
      <c r="SR5" t="s">
        <v>1598</v>
      </c>
      <c r="SS5">
        <v>4.2572039999999998</v>
      </c>
      <c r="ST5">
        <v>3.644434</v>
      </c>
      <c r="SU5" t="s">
        <v>1594</v>
      </c>
      <c r="SV5">
        <v>2024</v>
      </c>
      <c r="SW5" t="s">
        <v>2615</v>
      </c>
      <c r="SX5" s="6">
        <v>45729</v>
      </c>
      <c r="SY5">
        <v>5</v>
      </c>
      <c r="SZ5">
        <v>91511433.980000004</v>
      </c>
      <c r="TA5">
        <v>948635</v>
      </c>
      <c r="TB5" t="s">
        <v>2616</v>
      </c>
      <c r="TE5" t="str">
        <f>_xll.BDS("AA US Equity","SUPPLY_CHAIN_CUSTOMERS_ALL_DATA","cols=12;rows=5")</f>
        <v>MAADEN AB Equity</v>
      </c>
      <c r="TF5">
        <v>1.3594E-2</v>
      </c>
      <c r="TG5" t="s">
        <v>1598</v>
      </c>
      <c r="TH5">
        <v>2.6039E-2</v>
      </c>
      <c r="TI5" t="s">
        <v>1594</v>
      </c>
      <c r="TJ5">
        <v>2024</v>
      </c>
      <c r="TK5" t="s">
        <v>2615</v>
      </c>
      <c r="TL5" s="6">
        <v>45729</v>
      </c>
      <c r="TM5">
        <v>5</v>
      </c>
      <c r="TN5">
        <v>404250.67</v>
      </c>
      <c r="TO5">
        <v>948635</v>
      </c>
      <c r="TP5" t="s">
        <v>2616</v>
      </c>
      <c r="TU5" t="str">
        <f>_xll.BDS("nan Equity","SUPPLY_CHAIN_SUPPLIERS_ALL_DATA")</f>
        <v>#N/A N/A</v>
      </c>
      <c r="UI5" t="str">
        <f>_xll.BDS("nan Equity","SUPPLY_CHAIN_CUSTOMERS_ALL_DATA")</f>
        <v>#N/A N/A</v>
      </c>
      <c r="UY5" t="str">
        <f>_xll.BDS("BX US Equity","SUPPLY_CHAIN_SUPPLIERS_ALL_DATA","cols=12;rows=5")</f>
        <v>ORCL US Equity</v>
      </c>
      <c r="UZ5" t="s">
        <v>1598</v>
      </c>
      <c r="VA5">
        <v>3.7003000000000001E-2</v>
      </c>
      <c r="VB5">
        <v>0.33128000000000002</v>
      </c>
      <c r="VC5" t="s">
        <v>1606</v>
      </c>
      <c r="VD5">
        <v>2025</v>
      </c>
      <c r="VE5" t="s">
        <v>2251</v>
      </c>
      <c r="VF5" s="6">
        <v>45848</v>
      </c>
      <c r="VG5">
        <v>5</v>
      </c>
      <c r="VH5">
        <v>5884587</v>
      </c>
      <c r="VI5">
        <v>101752</v>
      </c>
      <c r="VJ5" t="s">
        <v>2265</v>
      </c>
      <c r="VM5" t="str">
        <f>_xll.BDS("BX US Equity","SUPPLY_CHAIN_CUSTOMERS_ALL_DATA","cols=12;rows=5")</f>
        <v>002284 CH Equity</v>
      </c>
      <c r="VN5">
        <v>-2.4245362661989844E-14</v>
      </c>
      <c r="VP5">
        <v>-2.4245362661989844E-14</v>
      </c>
      <c r="VQ5" t="s">
        <v>1594</v>
      </c>
      <c r="VR5">
        <v>2024</v>
      </c>
      <c r="VS5" t="s">
        <v>1789</v>
      </c>
      <c r="VT5" s="6">
        <v>45744</v>
      </c>
      <c r="VU5">
        <v>5</v>
      </c>
      <c r="VV5">
        <v>-2.4245362661989844E-14</v>
      </c>
      <c r="VW5">
        <v>15069854</v>
      </c>
      <c r="VX5" t="s">
        <v>1790</v>
      </c>
    </row>
    <row r="6" spans="1:600" x14ac:dyDescent="0.25">
      <c r="A6" t="s">
        <v>178</v>
      </c>
      <c r="B6" t="s">
        <v>1598</v>
      </c>
      <c r="C6">
        <v>0.136354</v>
      </c>
      <c r="D6">
        <v>0.64509000000000005</v>
      </c>
      <c r="E6" t="s">
        <v>1599</v>
      </c>
      <c r="F6">
        <v>2025</v>
      </c>
      <c r="G6" t="s">
        <v>1735</v>
      </c>
      <c r="H6" s="6">
        <v>45843</v>
      </c>
      <c r="I6">
        <v>5</v>
      </c>
      <c r="J6">
        <v>95537792</v>
      </c>
      <c r="K6">
        <v>101743</v>
      </c>
      <c r="L6" t="s">
        <v>1736</v>
      </c>
      <c r="O6" t="s">
        <v>1669</v>
      </c>
      <c r="P6">
        <v>9.5786999999999997E-2</v>
      </c>
      <c r="Q6" t="s">
        <v>1598</v>
      </c>
      <c r="R6">
        <v>0.115719</v>
      </c>
      <c r="S6" t="s">
        <v>1664</v>
      </c>
      <c r="T6">
        <v>2025</v>
      </c>
      <c r="U6" t="s">
        <v>1921</v>
      </c>
      <c r="V6" s="6">
        <v>45919</v>
      </c>
      <c r="W6">
        <v>5</v>
      </c>
      <c r="X6">
        <v>22674200.559999999</v>
      </c>
      <c r="Y6">
        <v>115268</v>
      </c>
      <c r="Z6" t="s">
        <v>1670</v>
      </c>
      <c r="AE6" t="s">
        <v>2559</v>
      </c>
      <c r="AF6" t="s">
        <v>1598</v>
      </c>
      <c r="AG6">
        <v>6.6266720000000001</v>
      </c>
      <c r="AH6">
        <v>6.8004179999999996</v>
      </c>
      <c r="AI6" t="s">
        <v>1599</v>
      </c>
      <c r="AJ6">
        <v>2025</v>
      </c>
      <c r="AK6" t="s">
        <v>2560</v>
      </c>
      <c r="AL6" s="6">
        <v>45867</v>
      </c>
      <c r="AM6">
        <v>5</v>
      </c>
      <c r="AN6">
        <v>518735872</v>
      </c>
      <c r="AO6">
        <v>117092</v>
      </c>
      <c r="AP6" t="s">
        <v>2561</v>
      </c>
      <c r="AS6" t="s">
        <v>959</v>
      </c>
      <c r="AT6">
        <v>15.549336</v>
      </c>
      <c r="AU6" t="s">
        <v>1598</v>
      </c>
      <c r="AV6">
        <v>4.6186980000000002</v>
      </c>
      <c r="AW6" t="s">
        <v>1599</v>
      </c>
      <c r="AX6">
        <v>2025</v>
      </c>
      <c r="AY6" t="s">
        <v>2219</v>
      </c>
      <c r="AZ6" s="6">
        <v>46018</v>
      </c>
      <c r="BA6">
        <v>5</v>
      </c>
      <c r="BB6">
        <v>3730752256</v>
      </c>
      <c r="BC6">
        <v>156969</v>
      </c>
      <c r="BD6" t="s">
        <v>1767</v>
      </c>
      <c r="CM6" t="s">
        <v>4137</v>
      </c>
      <c r="CO6">
        <v>-2.4245362661989844E-14</v>
      </c>
      <c r="CP6">
        <v>-2.4245362661989844E-14</v>
      </c>
      <c r="CQ6" t="s">
        <v>1594</v>
      </c>
      <c r="CR6">
        <v>2025</v>
      </c>
      <c r="CS6" t="s">
        <v>4138</v>
      </c>
      <c r="CT6" s="6">
        <v>45903</v>
      </c>
      <c r="CU6">
        <v>5</v>
      </c>
      <c r="CV6">
        <v>-2.4245362661989844E-14</v>
      </c>
      <c r="CW6">
        <v>29450553</v>
      </c>
      <c r="CX6" t="s">
        <v>4139</v>
      </c>
      <c r="DA6" t="s">
        <v>4080</v>
      </c>
      <c r="DB6">
        <v>-2.4245362661989844E-14</v>
      </c>
      <c r="DD6">
        <v>-2.4245362661989844E-14</v>
      </c>
      <c r="DE6" t="s">
        <v>1594</v>
      </c>
      <c r="DF6">
        <v>2025</v>
      </c>
      <c r="DG6" t="s">
        <v>4081</v>
      </c>
      <c r="DH6" s="6">
        <v>45749</v>
      </c>
      <c r="DI6">
        <v>4</v>
      </c>
      <c r="DJ6">
        <v>-2.4245362661989844E-14</v>
      </c>
      <c r="DK6">
        <v>102456</v>
      </c>
      <c r="DL6" t="s">
        <v>4082</v>
      </c>
      <c r="DQ6" t="s">
        <v>143</v>
      </c>
      <c r="DR6" t="s">
        <v>1598</v>
      </c>
      <c r="DS6">
        <v>0.45644699999999999</v>
      </c>
      <c r="DT6">
        <v>0.26349899999999998</v>
      </c>
      <c r="DU6" t="s">
        <v>1606</v>
      </c>
      <c r="DV6">
        <v>2025</v>
      </c>
      <c r="DW6" t="s">
        <v>2251</v>
      </c>
      <c r="DX6" s="6">
        <v>45848</v>
      </c>
      <c r="DY6">
        <v>5</v>
      </c>
      <c r="DZ6">
        <v>72588768</v>
      </c>
      <c r="EA6">
        <v>101752</v>
      </c>
      <c r="EB6" t="s">
        <v>2265</v>
      </c>
      <c r="EE6" t="s">
        <v>2888</v>
      </c>
      <c r="EF6">
        <v>-2.4245362661989844E-14</v>
      </c>
      <c r="EH6">
        <v>-2.4245362661989844E-14</v>
      </c>
      <c r="EI6" t="s">
        <v>1594</v>
      </c>
      <c r="EJ6">
        <v>2025</v>
      </c>
      <c r="EK6" t="s">
        <v>2889</v>
      </c>
      <c r="EL6" s="6">
        <v>45834</v>
      </c>
      <c r="EM6">
        <v>5</v>
      </c>
      <c r="EN6">
        <v>-2.4245362661989844E-14</v>
      </c>
      <c r="EO6">
        <v>108241</v>
      </c>
      <c r="EP6" t="s">
        <v>2890</v>
      </c>
      <c r="HC6" t="s">
        <v>2171</v>
      </c>
      <c r="HE6">
        <v>-2.4245362661989844E-14</v>
      </c>
      <c r="HF6">
        <v>-2.4245362661989844E-14</v>
      </c>
      <c r="HG6" t="s">
        <v>1594</v>
      </c>
      <c r="HH6">
        <v>2023</v>
      </c>
      <c r="HI6" t="s">
        <v>2172</v>
      </c>
      <c r="HJ6" s="6">
        <v>45337</v>
      </c>
      <c r="HK6">
        <v>4</v>
      </c>
      <c r="HL6">
        <v>-2.4245362661989844E-14</v>
      </c>
      <c r="HM6">
        <v>46177523</v>
      </c>
      <c r="HN6" t="s">
        <v>2173</v>
      </c>
      <c r="IU6" t="s">
        <v>5722</v>
      </c>
      <c r="IV6">
        <v>9.5568919999999995</v>
      </c>
      <c r="IW6" t="s">
        <v>1685</v>
      </c>
      <c r="IX6">
        <v>12.658576</v>
      </c>
      <c r="IY6" t="s">
        <v>1594</v>
      </c>
      <c r="IZ6">
        <v>2024</v>
      </c>
      <c r="JA6" t="s">
        <v>3390</v>
      </c>
      <c r="JB6" s="6">
        <v>45708</v>
      </c>
      <c r="JC6">
        <v>5</v>
      </c>
      <c r="JD6">
        <v>36592050</v>
      </c>
      <c r="JE6">
        <v>38347846</v>
      </c>
      <c r="JF6" t="s">
        <v>5723</v>
      </c>
      <c r="JK6" t="s">
        <v>114</v>
      </c>
      <c r="JL6" t="s">
        <v>1634</v>
      </c>
      <c r="JM6">
        <v>3.5808580000000001</v>
      </c>
      <c r="JN6">
        <v>3.236755</v>
      </c>
      <c r="JO6" t="s">
        <v>1664</v>
      </c>
      <c r="JP6">
        <v>2025</v>
      </c>
      <c r="JQ6" t="s">
        <v>3353</v>
      </c>
      <c r="JR6" s="6">
        <v>45947</v>
      </c>
      <c r="JS6">
        <v>5</v>
      </c>
      <c r="JT6">
        <v>275188928</v>
      </c>
      <c r="JU6">
        <v>100010</v>
      </c>
      <c r="JV6" t="s">
        <v>1996</v>
      </c>
      <c r="JY6" t="s">
        <v>303</v>
      </c>
      <c r="JZ6">
        <v>1.3419890000000001</v>
      </c>
      <c r="KA6" t="s">
        <v>1598</v>
      </c>
      <c r="KB6">
        <v>0.27725100000000003</v>
      </c>
      <c r="KC6" t="s">
        <v>1606</v>
      </c>
      <c r="KD6">
        <v>2025</v>
      </c>
      <c r="KE6" t="s">
        <v>2251</v>
      </c>
      <c r="KF6" s="6">
        <v>45848</v>
      </c>
      <c r="KG6">
        <v>5</v>
      </c>
      <c r="KH6">
        <v>213416512</v>
      </c>
      <c r="KI6">
        <v>216952</v>
      </c>
      <c r="KJ6" t="s">
        <v>1631</v>
      </c>
      <c r="LS6" t="s">
        <v>4699</v>
      </c>
      <c r="LU6">
        <v>-2.4245362661989844E-14</v>
      </c>
      <c r="LV6">
        <v>-2.4245362661989844E-14</v>
      </c>
      <c r="LW6" t="s">
        <v>1594</v>
      </c>
      <c r="LX6">
        <v>2024</v>
      </c>
      <c r="LY6" t="s">
        <v>4700</v>
      </c>
      <c r="LZ6" s="6">
        <v>45735</v>
      </c>
      <c r="MA6">
        <v>5</v>
      </c>
      <c r="MB6">
        <v>-2.4245362661989844E-14</v>
      </c>
      <c r="MC6">
        <v>37585679</v>
      </c>
      <c r="MD6" t="s">
        <v>4701</v>
      </c>
      <c r="MG6" t="s">
        <v>21</v>
      </c>
      <c r="MH6">
        <v>19</v>
      </c>
      <c r="MI6" t="s">
        <v>1598</v>
      </c>
      <c r="MJ6">
        <v>2.5353409999999998</v>
      </c>
      <c r="MK6" t="s">
        <v>1594</v>
      </c>
      <c r="ML6">
        <v>2024</v>
      </c>
      <c r="MM6" t="s">
        <v>3472</v>
      </c>
      <c r="MN6" s="6">
        <v>45730</v>
      </c>
      <c r="MO6">
        <v>5</v>
      </c>
      <c r="MP6">
        <v>311980000</v>
      </c>
      <c r="MQ6">
        <v>101376</v>
      </c>
      <c r="MR6" t="s">
        <v>3621</v>
      </c>
      <c r="OA6" t="s">
        <v>2003</v>
      </c>
      <c r="OB6" t="s">
        <v>1634</v>
      </c>
      <c r="OC6">
        <v>4.1180000000000001E-2</v>
      </c>
      <c r="OD6">
        <v>13.423301</v>
      </c>
      <c r="OE6" t="s">
        <v>1606</v>
      </c>
      <c r="OF6">
        <v>2026</v>
      </c>
      <c r="OG6" t="s">
        <v>2004</v>
      </c>
      <c r="OH6" s="6">
        <v>46087</v>
      </c>
      <c r="OI6">
        <v>5</v>
      </c>
      <c r="OJ6">
        <v>28054700</v>
      </c>
      <c r="OK6">
        <v>313657</v>
      </c>
      <c r="OL6" t="s">
        <v>2005</v>
      </c>
      <c r="OO6" t="s">
        <v>117</v>
      </c>
      <c r="OP6">
        <v>0.84484700000000001</v>
      </c>
      <c r="OQ6" t="s">
        <v>1598</v>
      </c>
      <c r="OR6">
        <v>1.296859</v>
      </c>
      <c r="OS6" t="s">
        <v>1603</v>
      </c>
      <c r="OT6">
        <v>2025</v>
      </c>
      <c r="OU6" t="s">
        <v>1744</v>
      </c>
      <c r="OV6" s="6">
        <v>45797</v>
      </c>
      <c r="OW6">
        <v>5</v>
      </c>
      <c r="OX6">
        <v>84425520</v>
      </c>
      <c r="OY6">
        <v>100801</v>
      </c>
      <c r="OZ6" t="s">
        <v>1745</v>
      </c>
      <c r="QI6" t="s">
        <v>2254</v>
      </c>
      <c r="QK6">
        <v>-2.4245362661989844E-14</v>
      </c>
      <c r="QL6">
        <v>-2.4245362661989844E-14</v>
      </c>
      <c r="QM6" t="s">
        <v>1594</v>
      </c>
      <c r="QN6">
        <v>2022</v>
      </c>
      <c r="QO6" t="s">
        <v>2255</v>
      </c>
      <c r="QP6" s="6">
        <v>44728</v>
      </c>
      <c r="QQ6">
        <v>5</v>
      </c>
      <c r="QR6">
        <v>-2.4245362661989844E-14</v>
      </c>
      <c r="QS6">
        <v>28958686</v>
      </c>
      <c r="QT6" t="s">
        <v>2256</v>
      </c>
      <c r="QW6" t="s">
        <v>1913</v>
      </c>
      <c r="QX6">
        <v>-2.4245362661989844E-14</v>
      </c>
      <c r="QZ6">
        <v>-2.4245362661989844E-14</v>
      </c>
      <c r="RA6" t="s">
        <v>1599</v>
      </c>
      <c r="RB6">
        <v>2022</v>
      </c>
      <c r="RC6" t="s">
        <v>1911</v>
      </c>
      <c r="RD6" s="6">
        <v>44882</v>
      </c>
      <c r="RE6">
        <v>5</v>
      </c>
      <c r="RF6">
        <v>-2.4245362661989844E-14</v>
      </c>
      <c r="RG6">
        <v>60773971</v>
      </c>
      <c r="RH6" t="s">
        <v>1914</v>
      </c>
      <c r="RM6" t="s">
        <v>5801</v>
      </c>
      <c r="RN6" t="s">
        <v>1598</v>
      </c>
      <c r="RO6">
        <v>57</v>
      </c>
      <c r="RP6">
        <v>0.58612699999999995</v>
      </c>
      <c r="RQ6" t="s">
        <v>1594</v>
      </c>
      <c r="RR6">
        <v>2024</v>
      </c>
      <c r="RS6" t="s">
        <v>5802</v>
      </c>
      <c r="RT6" s="6">
        <v>45687</v>
      </c>
      <c r="RU6">
        <v>5</v>
      </c>
      <c r="RV6">
        <v>2640541.5699999998</v>
      </c>
      <c r="RW6">
        <v>13528079</v>
      </c>
      <c r="RX6" t="s">
        <v>5803</v>
      </c>
      <c r="SA6" t="s">
        <v>1615</v>
      </c>
      <c r="SB6">
        <v>-2.4245362661989844E-14</v>
      </c>
      <c r="SD6">
        <v>-2.4245362661989844E-14</v>
      </c>
      <c r="SE6" t="s">
        <v>1599</v>
      </c>
      <c r="SF6">
        <v>2023</v>
      </c>
      <c r="SG6" t="s">
        <v>5062</v>
      </c>
      <c r="SH6" s="6">
        <v>45139</v>
      </c>
      <c r="SI6">
        <v>5</v>
      </c>
      <c r="SJ6">
        <v>-2.4245362661989844E-14</v>
      </c>
      <c r="SK6">
        <v>962205</v>
      </c>
      <c r="SL6" t="s">
        <v>1617</v>
      </c>
      <c r="SQ6" t="s">
        <v>3177</v>
      </c>
      <c r="SR6" t="s">
        <v>1598</v>
      </c>
      <c r="SS6">
        <v>2.854762</v>
      </c>
      <c r="ST6">
        <v>0.41643999999999998</v>
      </c>
      <c r="SU6" t="s">
        <v>1664</v>
      </c>
      <c r="SV6">
        <v>2025</v>
      </c>
      <c r="SW6" t="s">
        <v>3178</v>
      </c>
      <c r="SX6" s="6">
        <v>45902</v>
      </c>
      <c r="SY6">
        <v>5</v>
      </c>
      <c r="SZ6">
        <v>11043989</v>
      </c>
      <c r="TA6">
        <v>47762945</v>
      </c>
      <c r="TB6" t="s">
        <v>3179</v>
      </c>
      <c r="TE6" t="s">
        <v>2617</v>
      </c>
      <c r="TF6">
        <v>-2.4245362661989844E-14</v>
      </c>
      <c r="TH6">
        <v>-2.4245362661989844E-14</v>
      </c>
      <c r="TI6" t="s">
        <v>1594</v>
      </c>
      <c r="TJ6">
        <v>2022</v>
      </c>
      <c r="TK6" t="s">
        <v>2618</v>
      </c>
      <c r="TL6" s="6">
        <v>44665</v>
      </c>
      <c r="TM6">
        <v>5</v>
      </c>
      <c r="TN6">
        <v>-2.4245362661989844E-14</v>
      </c>
      <c r="TO6">
        <v>32508551</v>
      </c>
      <c r="TP6" t="s">
        <v>2619</v>
      </c>
      <c r="UY6" t="s">
        <v>2266</v>
      </c>
      <c r="UZ6" t="s">
        <v>1685</v>
      </c>
      <c r="VA6">
        <v>0.597939</v>
      </c>
      <c r="VB6">
        <v>5.9714000000000003E-2</v>
      </c>
      <c r="VC6" t="s">
        <v>1594</v>
      </c>
      <c r="VD6">
        <v>2024</v>
      </c>
      <c r="VE6" t="s">
        <v>2267</v>
      </c>
      <c r="VF6" s="6">
        <v>45694</v>
      </c>
      <c r="VG6">
        <v>5</v>
      </c>
      <c r="VH6">
        <v>957052.25</v>
      </c>
      <c r="VI6">
        <v>103579</v>
      </c>
      <c r="VJ6" t="s">
        <v>2268</v>
      </c>
      <c r="VM6" t="s">
        <v>1791</v>
      </c>
      <c r="VN6">
        <v>-2.4245362661989844E-14</v>
      </c>
      <c r="VP6">
        <v>-2.4245362661989844E-14</v>
      </c>
      <c r="VQ6" t="s">
        <v>1792</v>
      </c>
      <c r="VR6">
        <v>2025</v>
      </c>
      <c r="VS6" t="s">
        <v>1793</v>
      </c>
      <c r="VT6" s="6">
        <v>45894</v>
      </c>
      <c r="VU6">
        <v>5</v>
      </c>
      <c r="VV6">
        <v>-2.4245362661989844E-14</v>
      </c>
      <c r="VW6">
        <v>15149577</v>
      </c>
      <c r="VX6" t="s">
        <v>1794</v>
      </c>
    </row>
    <row r="7" spans="1:600" x14ac:dyDescent="0.25">
      <c r="A7" t="s">
        <v>2326</v>
      </c>
      <c r="B7" t="s">
        <v>1598</v>
      </c>
      <c r="C7">
        <v>8.6999999999999993</v>
      </c>
      <c r="D7">
        <v>0.35915200000000003</v>
      </c>
      <c r="E7" t="s">
        <v>1594</v>
      </c>
      <c r="F7">
        <v>2024</v>
      </c>
      <c r="G7" t="s">
        <v>2327</v>
      </c>
      <c r="H7" s="6">
        <v>45716</v>
      </c>
      <c r="I7">
        <v>5</v>
      </c>
      <c r="J7">
        <v>52541236</v>
      </c>
      <c r="K7">
        <v>33838804</v>
      </c>
      <c r="L7" t="s">
        <v>2328</v>
      </c>
      <c r="O7" t="s">
        <v>1703</v>
      </c>
      <c r="P7">
        <v>2.0863E-2</v>
      </c>
      <c r="Q7" t="s">
        <v>1598</v>
      </c>
      <c r="R7">
        <v>0.187834</v>
      </c>
      <c r="S7" t="s">
        <v>1599</v>
      </c>
      <c r="T7">
        <v>2025</v>
      </c>
      <c r="U7" t="s">
        <v>1704</v>
      </c>
      <c r="V7" s="6">
        <v>45694</v>
      </c>
      <c r="W7">
        <v>5</v>
      </c>
      <c r="X7">
        <v>5247564.7699999996</v>
      </c>
      <c r="Y7">
        <v>111827</v>
      </c>
      <c r="Z7" t="s">
        <v>1705</v>
      </c>
      <c r="AE7" t="s">
        <v>25</v>
      </c>
      <c r="AF7" t="s">
        <v>1598</v>
      </c>
      <c r="AG7">
        <v>1.3419449999999999</v>
      </c>
      <c r="AH7">
        <v>2.7987500000000001</v>
      </c>
      <c r="AI7" t="s">
        <v>1606</v>
      </c>
      <c r="AJ7">
        <v>2025</v>
      </c>
      <c r="AK7" t="s">
        <v>2220</v>
      </c>
      <c r="AL7" s="6">
        <v>46077</v>
      </c>
      <c r="AM7">
        <v>5</v>
      </c>
      <c r="AN7">
        <v>223004416</v>
      </c>
      <c r="AO7">
        <v>28046509</v>
      </c>
      <c r="AP7" t="s">
        <v>2221</v>
      </c>
      <c r="AS7" t="s">
        <v>618</v>
      </c>
      <c r="AT7">
        <v>12.373919000000001</v>
      </c>
      <c r="AU7" t="s">
        <v>1598</v>
      </c>
      <c r="AV7">
        <v>4.81257</v>
      </c>
      <c r="AW7" t="s">
        <v>1599</v>
      </c>
      <c r="AX7">
        <v>2025</v>
      </c>
      <c r="AY7" t="s">
        <v>2219</v>
      </c>
      <c r="AZ7" s="6">
        <v>46018</v>
      </c>
      <c r="BA7">
        <v>5</v>
      </c>
      <c r="BB7">
        <v>2968874496</v>
      </c>
      <c r="BC7">
        <v>102782</v>
      </c>
      <c r="BD7" t="s">
        <v>1626</v>
      </c>
      <c r="CM7" t="s">
        <v>1917</v>
      </c>
      <c r="CO7">
        <v>-2.4245362661989844E-14</v>
      </c>
      <c r="CP7">
        <v>-2.4245362661989844E-14</v>
      </c>
      <c r="CQ7" t="s">
        <v>1594</v>
      </c>
      <c r="CR7">
        <v>2025</v>
      </c>
      <c r="CS7" t="s">
        <v>4140</v>
      </c>
      <c r="CT7" s="6">
        <v>46079</v>
      </c>
      <c r="CU7">
        <v>5</v>
      </c>
      <c r="CV7">
        <v>-2.4245362661989844E-14</v>
      </c>
      <c r="CW7">
        <v>101695</v>
      </c>
      <c r="CX7" t="s">
        <v>1919</v>
      </c>
      <c r="DA7" t="s">
        <v>26</v>
      </c>
      <c r="DB7">
        <v>-2.4245362661989844E-14</v>
      </c>
      <c r="DD7">
        <v>-2.4245362661989844E-14</v>
      </c>
      <c r="DE7" t="s">
        <v>1594</v>
      </c>
      <c r="DF7">
        <v>2023</v>
      </c>
      <c r="DG7" t="s">
        <v>4083</v>
      </c>
      <c r="DH7" s="6">
        <v>45146</v>
      </c>
      <c r="DI7">
        <v>4</v>
      </c>
      <c r="DJ7">
        <v>-2.4245362661989844E-14</v>
      </c>
      <c r="DK7">
        <v>60854400</v>
      </c>
      <c r="DL7" t="s">
        <v>4084</v>
      </c>
      <c r="DQ7" t="s">
        <v>2317</v>
      </c>
      <c r="DR7" t="s">
        <v>1598</v>
      </c>
      <c r="DS7">
        <v>4.1193600000000004</v>
      </c>
      <c r="DT7">
        <v>0.25783</v>
      </c>
      <c r="DU7" t="s">
        <v>1603</v>
      </c>
      <c r="DV7">
        <v>2025</v>
      </c>
      <c r="DW7" t="s">
        <v>2318</v>
      </c>
      <c r="DX7" s="6">
        <v>45863</v>
      </c>
      <c r="DY7">
        <v>5</v>
      </c>
      <c r="DZ7">
        <v>67891664</v>
      </c>
      <c r="EA7">
        <v>10832677</v>
      </c>
      <c r="EB7" t="s">
        <v>2319</v>
      </c>
      <c r="EE7" t="s">
        <v>5033</v>
      </c>
      <c r="EF7">
        <v>-2.4245362661989844E-14</v>
      </c>
      <c r="EH7">
        <v>-2.4245362661989844E-14</v>
      </c>
      <c r="EI7" t="s">
        <v>1603</v>
      </c>
      <c r="EJ7">
        <v>2024</v>
      </c>
      <c r="EK7" t="s">
        <v>5034</v>
      </c>
      <c r="EL7" s="6">
        <v>45413</v>
      </c>
      <c r="EM7">
        <v>5</v>
      </c>
      <c r="EN7">
        <v>-2.4245362661989844E-14</v>
      </c>
      <c r="EO7">
        <v>11391268</v>
      </c>
      <c r="EP7" t="s">
        <v>5035</v>
      </c>
      <c r="HC7" t="s">
        <v>106</v>
      </c>
      <c r="HE7">
        <v>-2.4245362661989844E-14</v>
      </c>
      <c r="HF7">
        <v>-2.4245362661989844E-14</v>
      </c>
      <c r="HG7" t="s">
        <v>1651</v>
      </c>
      <c r="HH7">
        <v>2023</v>
      </c>
      <c r="HI7" t="s">
        <v>2174</v>
      </c>
      <c r="HJ7" s="6">
        <v>45245</v>
      </c>
      <c r="HK7">
        <v>4</v>
      </c>
      <c r="HL7">
        <v>-2.4245362661989844E-14</v>
      </c>
      <c r="HM7">
        <v>103882</v>
      </c>
      <c r="HN7" t="s">
        <v>2175</v>
      </c>
      <c r="IU7" t="s">
        <v>5724</v>
      </c>
      <c r="IV7">
        <v>9.5568919999999995</v>
      </c>
      <c r="IX7">
        <v>-2.4245362661989844E-14</v>
      </c>
      <c r="IY7" t="s">
        <v>1594</v>
      </c>
      <c r="IZ7">
        <v>2024</v>
      </c>
      <c r="JA7" t="s">
        <v>3390</v>
      </c>
      <c r="JB7" s="6">
        <v>45708</v>
      </c>
      <c r="JC7">
        <v>5</v>
      </c>
      <c r="JD7">
        <v>36592050</v>
      </c>
      <c r="JE7">
        <v>11935066</v>
      </c>
      <c r="JF7" t="s">
        <v>5725</v>
      </c>
      <c r="JK7" t="s">
        <v>211</v>
      </c>
      <c r="JL7" t="s">
        <v>1634</v>
      </c>
      <c r="JM7">
        <v>0.91127400000000003</v>
      </c>
      <c r="JN7">
        <v>1.364298</v>
      </c>
      <c r="JO7" t="s">
        <v>1606</v>
      </c>
      <c r="JP7">
        <v>2025</v>
      </c>
      <c r="JQ7" t="s">
        <v>2691</v>
      </c>
      <c r="JR7" s="6">
        <v>46010</v>
      </c>
      <c r="JS7">
        <v>5</v>
      </c>
      <c r="JT7">
        <v>164166016</v>
      </c>
      <c r="JU7">
        <v>59907412</v>
      </c>
      <c r="JV7" t="s">
        <v>3354</v>
      </c>
      <c r="JY7" t="s">
        <v>1700</v>
      </c>
      <c r="JZ7">
        <v>1.0301469999999999</v>
      </c>
      <c r="KA7" t="s">
        <v>1598</v>
      </c>
      <c r="KB7">
        <v>1.0221020000000001</v>
      </c>
      <c r="KC7" t="s">
        <v>1606</v>
      </c>
      <c r="KD7">
        <v>2025</v>
      </c>
      <c r="KE7" t="s">
        <v>1701</v>
      </c>
      <c r="KF7" s="6">
        <v>46056</v>
      </c>
      <c r="KG7">
        <v>5</v>
      </c>
      <c r="KH7">
        <v>165420976</v>
      </c>
      <c r="KI7">
        <v>1499717</v>
      </c>
      <c r="KJ7" t="s">
        <v>1702</v>
      </c>
      <c r="LS7" t="s">
        <v>2041</v>
      </c>
      <c r="LU7">
        <v>-2.4245362661989844E-14</v>
      </c>
      <c r="LV7">
        <v>-2.4245362661989844E-14</v>
      </c>
      <c r="LW7" t="s">
        <v>1599</v>
      </c>
      <c r="LX7">
        <v>2024</v>
      </c>
      <c r="LY7" t="s">
        <v>2042</v>
      </c>
      <c r="LZ7" s="6">
        <v>45569</v>
      </c>
      <c r="MA7">
        <v>5</v>
      </c>
      <c r="MB7">
        <v>-2.4245362661989844E-14</v>
      </c>
      <c r="MC7">
        <v>211040</v>
      </c>
      <c r="MD7" t="s">
        <v>2043</v>
      </c>
      <c r="MG7" t="s">
        <v>29</v>
      </c>
      <c r="MH7">
        <v>19</v>
      </c>
      <c r="MI7" t="s">
        <v>1598</v>
      </c>
      <c r="MJ7">
        <v>2.306819</v>
      </c>
      <c r="MK7" t="s">
        <v>1594</v>
      </c>
      <c r="ML7">
        <v>2024</v>
      </c>
      <c r="MM7" t="s">
        <v>3472</v>
      </c>
      <c r="MN7" s="6">
        <v>45730</v>
      </c>
      <c r="MO7">
        <v>5</v>
      </c>
      <c r="MP7">
        <v>311980000</v>
      </c>
      <c r="MQ7">
        <v>100185</v>
      </c>
      <c r="MR7" t="s">
        <v>3617</v>
      </c>
      <c r="OA7" t="s">
        <v>117</v>
      </c>
      <c r="OB7" t="s">
        <v>1598</v>
      </c>
      <c r="OC7">
        <v>0.16295799999999999</v>
      </c>
      <c r="OD7">
        <v>1.068819</v>
      </c>
      <c r="OE7" t="s">
        <v>1603</v>
      </c>
      <c r="OF7">
        <v>2025</v>
      </c>
      <c r="OG7" t="s">
        <v>1744</v>
      </c>
      <c r="OH7" s="6">
        <v>45797</v>
      </c>
      <c r="OI7">
        <v>5</v>
      </c>
      <c r="OJ7">
        <v>23695724</v>
      </c>
      <c r="OK7">
        <v>100801</v>
      </c>
      <c r="OL7" t="s">
        <v>1745</v>
      </c>
      <c r="OO7" t="s">
        <v>2796</v>
      </c>
      <c r="OP7">
        <v>0.41590500000000002</v>
      </c>
      <c r="OQ7" t="s">
        <v>1598</v>
      </c>
      <c r="OR7">
        <v>0.224246</v>
      </c>
      <c r="OS7" t="s">
        <v>1603</v>
      </c>
      <c r="OT7">
        <v>2026</v>
      </c>
      <c r="OU7" t="s">
        <v>2797</v>
      </c>
      <c r="OV7" s="6">
        <v>45973</v>
      </c>
      <c r="OW7">
        <v>5</v>
      </c>
      <c r="OX7">
        <v>42314193.82</v>
      </c>
      <c r="OY7">
        <v>16857643</v>
      </c>
      <c r="OZ7" t="s">
        <v>2798</v>
      </c>
      <c r="QI7" t="s">
        <v>2257</v>
      </c>
      <c r="QK7">
        <v>-2.4245362661989844E-14</v>
      </c>
      <c r="QL7">
        <v>-2.4245362661989844E-14</v>
      </c>
      <c r="QM7" t="s">
        <v>1594</v>
      </c>
      <c r="QN7">
        <v>2023</v>
      </c>
      <c r="QO7" t="s">
        <v>2258</v>
      </c>
      <c r="QP7" s="6">
        <v>45027</v>
      </c>
      <c r="QQ7">
        <v>5</v>
      </c>
      <c r="QR7">
        <v>-2.4245362661989844E-14</v>
      </c>
      <c r="QS7">
        <v>23846136</v>
      </c>
      <c r="QT7" t="s">
        <v>2259</v>
      </c>
      <c r="QW7" t="s">
        <v>1915</v>
      </c>
      <c r="QX7">
        <v>-2.4245362661989844E-14</v>
      </c>
      <c r="QZ7">
        <v>-2.4245362661989844E-14</v>
      </c>
      <c r="RA7" t="s">
        <v>1599</v>
      </c>
      <c r="RB7">
        <v>2022</v>
      </c>
      <c r="RC7" t="s">
        <v>1911</v>
      </c>
      <c r="RD7" s="6">
        <v>44882</v>
      </c>
      <c r="RE7">
        <v>5</v>
      </c>
      <c r="RF7">
        <v>-2.4245362661989844E-14</v>
      </c>
      <c r="RG7">
        <v>34729407</v>
      </c>
      <c r="RH7" t="s">
        <v>1916</v>
      </c>
      <c r="RM7" t="s">
        <v>5311</v>
      </c>
      <c r="RN7" t="s">
        <v>1634</v>
      </c>
      <c r="RO7">
        <v>2.9821E-2</v>
      </c>
      <c r="RP7">
        <v>0.29687599999999997</v>
      </c>
      <c r="RQ7" t="s">
        <v>1606</v>
      </c>
      <c r="RR7">
        <v>2025</v>
      </c>
      <c r="RS7" t="s">
        <v>5804</v>
      </c>
      <c r="RT7" s="6">
        <v>45868</v>
      </c>
      <c r="RU7">
        <v>5</v>
      </c>
      <c r="RV7">
        <v>119346.11</v>
      </c>
      <c r="RW7">
        <v>126987</v>
      </c>
      <c r="RX7" t="s">
        <v>5313</v>
      </c>
      <c r="SA7" t="s">
        <v>5063</v>
      </c>
      <c r="SB7">
        <v>-2.4245362661989844E-14</v>
      </c>
      <c r="SD7">
        <v>-2.4245362661989844E-14</v>
      </c>
      <c r="SE7" t="s">
        <v>1651</v>
      </c>
      <c r="SF7">
        <v>2024</v>
      </c>
      <c r="SG7" t="s">
        <v>5064</v>
      </c>
      <c r="SH7" s="6">
        <v>45642</v>
      </c>
      <c r="SI7">
        <v>5</v>
      </c>
      <c r="SJ7">
        <v>-2.4245362661989844E-14</v>
      </c>
      <c r="SK7">
        <v>72018854</v>
      </c>
      <c r="SL7" t="s">
        <v>5065</v>
      </c>
      <c r="SQ7" t="s">
        <v>3180</v>
      </c>
      <c r="SR7" t="s">
        <v>1598</v>
      </c>
      <c r="SS7">
        <v>1.885923</v>
      </c>
      <c r="ST7">
        <v>0.25189800000000001</v>
      </c>
      <c r="SU7" t="s">
        <v>1599</v>
      </c>
      <c r="SV7">
        <v>2025</v>
      </c>
      <c r="SW7" t="s">
        <v>3181</v>
      </c>
      <c r="SX7" s="6">
        <v>46010</v>
      </c>
      <c r="SY7">
        <v>5</v>
      </c>
      <c r="SZ7">
        <v>6788644</v>
      </c>
      <c r="TA7">
        <v>12189467</v>
      </c>
      <c r="TB7" t="s">
        <v>3182</v>
      </c>
      <c r="TE7" t="s">
        <v>2620</v>
      </c>
      <c r="TF7">
        <v>-2.4245362661989844E-14</v>
      </c>
      <c r="TH7">
        <v>-2.4245362661989844E-14</v>
      </c>
      <c r="TI7" t="s">
        <v>1594</v>
      </c>
      <c r="TJ7">
        <v>2023</v>
      </c>
      <c r="TK7" t="s">
        <v>2618</v>
      </c>
      <c r="TL7" s="6">
        <v>45061</v>
      </c>
      <c r="TM7">
        <v>5</v>
      </c>
      <c r="TN7">
        <v>-2.4245362661989844E-14</v>
      </c>
      <c r="TO7">
        <v>35869103</v>
      </c>
      <c r="TP7" t="s">
        <v>2621</v>
      </c>
      <c r="UY7" t="s">
        <v>2269</v>
      </c>
      <c r="UZ7" t="s">
        <v>1598</v>
      </c>
      <c r="VA7">
        <v>7.4065000000000006E-2</v>
      </c>
      <c r="VB7">
        <v>2.879E-3</v>
      </c>
      <c r="VC7" t="s">
        <v>1594</v>
      </c>
      <c r="VD7">
        <v>2024</v>
      </c>
      <c r="VE7" t="s">
        <v>2270</v>
      </c>
      <c r="VF7" s="6">
        <v>45758</v>
      </c>
      <c r="VG7">
        <v>5</v>
      </c>
      <c r="VH7">
        <v>46697.46</v>
      </c>
      <c r="VI7">
        <v>130878</v>
      </c>
      <c r="VJ7" t="s">
        <v>2271</v>
      </c>
      <c r="VM7" t="s">
        <v>1795</v>
      </c>
      <c r="VN7">
        <v>-2.4245362661989844E-14</v>
      </c>
      <c r="VP7">
        <v>-2.4245362661989844E-14</v>
      </c>
      <c r="VQ7" t="s">
        <v>1664</v>
      </c>
      <c r="VR7">
        <v>2024</v>
      </c>
      <c r="VS7" t="s">
        <v>1796</v>
      </c>
      <c r="VT7" s="6">
        <v>45433</v>
      </c>
      <c r="VU7">
        <v>5</v>
      </c>
      <c r="VV7">
        <v>-2.4245362661989844E-14</v>
      </c>
      <c r="VW7">
        <v>27196144</v>
      </c>
      <c r="VX7" t="s">
        <v>1797</v>
      </c>
    </row>
    <row r="8" spans="1:600" x14ac:dyDescent="0.25">
      <c r="A8" t="s">
        <v>2329</v>
      </c>
      <c r="B8" t="s">
        <v>1598</v>
      </c>
      <c r="C8">
        <v>2.0555249999999998</v>
      </c>
      <c r="D8">
        <v>0.15715399999999999</v>
      </c>
      <c r="E8" t="s">
        <v>1664</v>
      </c>
      <c r="F8">
        <v>2025</v>
      </c>
      <c r="G8" t="s">
        <v>2330</v>
      </c>
      <c r="H8" s="6">
        <v>45884</v>
      </c>
      <c r="I8">
        <v>5</v>
      </c>
      <c r="J8">
        <v>22837664</v>
      </c>
      <c r="K8">
        <v>17257533</v>
      </c>
      <c r="L8" t="s">
        <v>2331</v>
      </c>
      <c r="O8" t="s">
        <v>1922</v>
      </c>
      <c r="P8">
        <v>9.5700000000000004E-3</v>
      </c>
      <c r="Q8" t="s">
        <v>1598</v>
      </c>
      <c r="R8">
        <v>7.616047</v>
      </c>
      <c r="S8" t="s">
        <v>1594</v>
      </c>
      <c r="T8">
        <v>2025</v>
      </c>
      <c r="U8" t="s">
        <v>1923</v>
      </c>
      <c r="V8" s="6">
        <v>45869</v>
      </c>
      <c r="W8">
        <v>5</v>
      </c>
      <c r="X8">
        <v>2250536.7200000002</v>
      </c>
      <c r="Y8">
        <v>16852453</v>
      </c>
      <c r="Z8" t="s">
        <v>1924</v>
      </c>
      <c r="AE8" t="s">
        <v>3384</v>
      </c>
      <c r="AF8" t="s">
        <v>1598</v>
      </c>
      <c r="AG8">
        <v>49.056618</v>
      </c>
      <c r="AH8">
        <v>2.3797060000000001</v>
      </c>
      <c r="AI8" t="s">
        <v>1599</v>
      </c>
      <c r="AJ8">
        <v>2025</v>
      </c>
      <c r="AK8" t="s">
        <v>3385</v>
      </c>
      <c r="AL8" s="6">
        <v>46050</v>
      </c>
      <c r="AM8">
        <v>5</v>
      </c>
      <c r="AN8">
        <v>173789936</v>
      </c>
      <c r="AO8">
        <v>1753841</v>
      </c>
      <c r="AP8" t="s">
        <v>3386</v>
      </c>
      <c r="AS8" t="s">
        <v>31</v>
      </c>
      <c r="AT8">
        <v>2.966253</v>
      </c>
      <c r="AU8" t="s">
        <v>1598</v>
      </c>
      <c r="AV8">
        <v>1.12304</v>
      </c>
      <c r="AW8" t="s">
        <v>1599</v>
      </c>
      <c r="AX8">
        <v>2025</v>
      </c>
      <c r="AY8" t="s">
        <v>2219</v>
      </c>
      <c r="AZ8" s="6">
        <v>46018</v>
      </c>
      <c r="BA8">
        <v>5</v>
      </c>
      <c r="BB8">
        <v>711693056</v>
      </c>
      <c r="BC8">
        <v>60401289</v>
      </c>
      <c r="BD8" t="s">
        <v>1769</v>
      </c>
      <c r="CM8" t="s">
        <v>4141</v>
      </c>
      <c r="CO8">
        <v>-2.4245362661989844E-14</v>
      </c>
      <c r="CP8">
        <v>-2.4245362661989844E-14</v>
      </c>
      <c r="CQ8" t="s">
        <v>1792</v>
      </c>
      <c r="CR8">
        <v>2023</v>
      </c>
      <c r="CS8" t="s">
        <v>4142</v>
      </c>
      <c r="CT8" s="6">
        <v>45064</v>
      </c>
      <c r="CU8">
        <v>5</v>
      </c>
      <c r="CV8">
        <v>-2.4245362661989844E-14</v>
      </c>
      <c r="CW8">
        <v>193196</v>
      </c>
      <c r="CX8" t="s">
        <v>4143</v>
      </c>
      <c r="DA8" t="s">
        <v>4085</v>
      </c>
      <c r="DB8">
        <v>-2.4245362661989844E-14</v>
      </c>
      <c r="DD8">
        <v>-2.4245362661989844E-14</v>
      </c>
      <c r="DE8" t="s">
        <v>1594</v>
      </c>
      <c r="DF8">
        <v>2025</v>
      </c>
      <c r="DG8" t="s">
        <v>4086</v>
      </c>
      <c r="DH8" s="6">
        <v>45798</v>
      </c>
      <c r="DI8">
        <v>4</v>
      </c>
      <c r="DJ8">
        <v>-2.4245362661989844E-14</v>
      </c>
      <c r="DK8">
        <v>39410923</v>
      </c>
      <c r="DL8" t="s">
        <v>4087</v>
      </c>
      <c r="DQ8" t="s">
        <v>243</v>
      </c>
      <c r="DR8" t="s">
        <v>1598</v>
      </c>
      <c r="DS8">
        <v>0.45408300000000001</v>
      </c>
      <c r="DT8">
        <v>0.17851500000000001</v>
      </c>
      <c r="DU8" t="s">
        <v>1664</v>
      </c>
      <c r="DV8">
        <v>2025</v>
      </c>
      <c r="DW8" t="s">
        <v>2180</v>
      </c>
      <c r="DX8" s="6">
        <v>45898</v>
      </c>
      <c r="DY8">
        <v>5</v>
      </c>
      <c r="DZ8">
        <v>47006672</v>
      </c>
      <c r="EA8">
        <v>100043</v>
      </c>
      <c r="EB8" t="s">
        <v>2181</v>
      </c>
      <c r="EE8" t="s">
        <v>5036</v>
      </c>
      <c r="EF8">
        <v>-2.4245362661989844E-14</v>
      </c>
      <c r="EH8">
        <v>-2.4245362661989844E-14</v>
      </c>
      <c r="EI8" t="s">
        <v>1594</v>
      </c>
      <c r="EJ8">
        <v>2024</v>
      </c>
      <c r="EK8" t="s">
        <v>5037</v>
      </c>
      <c r="EL8" s="6">
        <v>45715</v>
      </c>
      <c r="EM8">
        <v>5</v>
      </c>
      <c r="EN8">
        <v>-2.4245362661989844E-14</v>
      </c>
      <c r="EO8">
        <v>30541166</v>
      </c>
      <c r="EP8" t="s">
        <v>5038</v>
      </c>
      <c r="HC8" t="s">
        <v>2176</v>
      </c>
      <c r="HE8">
        <v>-2.4245362661989844E-14</v>
      </c>
      <c r="HF8">
        <v>-2.4245362661989844E-14</v>
      </c>
      <c r="HG8" t="s">
        <v>1603</v>
      </c>
      <c r="HH8">
        <v>2023</v>
      </c>
      <c r="HI8" t="s">
        <v>2177</v>
      </c>
      <c r="HJ8" s="6">
        <v>45057</v>
      </c>
      <c r="HK8">
        <v>4</v>
      </c>
      <c r="HL8">
        <v>-2.4245362661989844E-14</v>
      </c>
      <c r="HM8">
        <v>173249</v>
      </c>
      <c r="HN8" t="s">
        <v>2178</v>
      </c>
      <c r="IU8" t="s">
        <v>146</v>
      </c>
      <c r="IV8">
        <v>6.9504669999999997</v>
      </c>
      <c r="IW8" t="s">
        <v>1685</v>
      </c>
      <c r="IX8">
        <v>5.5442499999999999</v>
      </c>
      <c r="IY8" t="s">
        <v>1594</v>
      </c>
      <c r="IZ8">
        <v>2024</v>
      </c>
      <c r="JA8" t="s">
        <v>3390</v>
      </c>
      <c r="JB8" s="6">
        <v>45708</v>
      </c>
      <c r="JC8">
        <v>5</v>
      </c>
      <c r="JD8">
        <v>26612400</v>
      </c>
      <c r="JE8">
        <v>42293262</v>
      </c>
      <c r="JF8" t="s">
        <v>5549</v>
      </c>
      <c r="JK8" t="s">
        <v>1997</v>
      </c>
      <c r="JL8" t="s">
        <v>1634</v>
      </c>
      <c r="JM8">
        <v>6.234559</v>
      </c>
      <c r="JN8">
        <v>1.5138720000000001</v>
      </c>
      <c r="JO8" t="s">
        <v>1664</v>
      </c>
      <c r="JP8">
        <v>2025</v>
      </c>
      <c r="JQ8" t="s">
        <v>3355</v>
      </c>
      <c r="JR8" s="6">
        <v>45897</v>
      </c>
      <c r="JS8">
        <v>5</v>
      </c>
      <c r="JT8">
        <v>137459552</v>
      </c>
      <c r="JU8">
        <v>16532368</v>
      </c>
      <c r="JV8" t="s">
        <v>1999</v>
      </c>
      <c r="JY8" t="s">
        <v>32</v>
      </c>
      <c r="JZ8">
        <v>0.69902799999999998</v>
      </c>
      <c r="KA8" t="s">
        <v>1598</v>
      </c>
      <c r="KB8">
        <v>0.138625</v>
      </c>
      <c r="KC8" t="s">
        <v>1606</v>
      </c>
      <c r="KD8">
        <v>2025</v>
      </c>
      <c r="KE8" t="s">
        <v>2251</v>
      </c>
      <c r="KF8" s="6">
        <v>45848</v>
      </c>
      <c r="KG8">
        <v>5</v>
      </c>
      <c r="KH8">
        <v>111166424</v>
      </c>
      <c r="KI8">
        <v>100976</v>
      </c>
      <c r="KJ8" t="s">
        <v>1820</v>
      </c>
      <c r="LS8" t="s">
        <v>5462</v>
      </c>
      <c r="LU8">
        <v>-2.4245362661989844E-14</v>
      </c>
      <c r="LV8">
        <v>-2.4245362661989844E-14</v>
      </c>
      <c r="LW8" t="s">
        <v>1594</v>
      </c>
      <c r="LX8">
        <v>2025</v>
      </c>
      <c r="LY8" t="s">
        <v>5463</v>
      </c>
      <c r="LZ8" s="6">
        <v>45800</v>
      </c>
      <c r="MA8">
        <v>5</v>
      </c>
      <c r="MB8">
        <v>-2.4245362661989844E-14</v>
      </c>
      <c r="MC8">
        <v>162957</v>
      </c>
      <c r="MD8" t="s">
        <v>5464</v>
      </c>
      <c r="MG8" t="s">
        <v>3509</v>
      </c>
      <c r="MH8">
        <v>-2.4245362661989844E-14</v>
      </c>
      <c r="MJ8">
        <v>-2.4245362661989844E-14</v>
      </c>
      <c r="MK8" t="s">
        <v>1603</v>
      </c>
      <c r="ML8">
        <v>2022</v>
      </c>
      <c r="MM8" t="s">
        <v>6280</v>
      </c>
      <c r="MN8" s="6">
        <v>44691</v>
      </c>
      <c r="MO8">
        <v>5</v>
      </c>
      <c r="MP8">
        <v>-2.4245362661989844E-14</v>
      </c>
      <c r="MQ8">
        <v>171027</v>
      </c>
      <c r="MR8" t="s">
        <v>3511</v>
      </c>
      <c r="OA8" t="s">
        <v>3112</v>
      </c>
      <c r="OB8" t="s">
        <v>1685</v>
      </c>
      <c r="OC8">
        <v>0.25859599999999999</v>
      </c>
      <c r="OD8">
        <v>0.50587199999999999</v>
      </c>
      <c r="OE8" t="s">
        <v>1599</v>
      </c>
      <c r="OF8">
        <v>2026</v>
      </c>
      <c r="OG8" t="s">
        <v>3113</v>
      </c>
      <c r="OH8" s="6">
        <v>46058</v>
      </c>
      <c r="OI8">
        <v>5</v>
      </c>
      <c r="OJ8">
        <v>19471469.66</v>
      </c>
      <c r="OK8">
        <v>7259059</v>
      </c>
      <c r="OL8" t="s">
        <v>3114</v>
      </c>
      <c r="OO8" t="s">
        <v>1679</v>
      </c>
      <c r="OP8">
        <v>0.111719</v>
      </c>
      <c r="OQ8" t="s">
        <v>1598</v>
      </c>
      <c r="OR8">
        <v>0.26934900000000001</v>
      </c>
      <c r="OS8" t="s">
        <v>1603</v>
      </c>
      <c r="OT8">
        <v>2025</v>
      </c>
      <c r="OU8" t="s">
        <v>1680</v>
      </c>
      <c r="OV8" s="6">
        <v>45820</v>
      </c>
      <c r="OW8">
        <v>5</v>
      </c>
      <c r="OX8">
        <v>10980820</v>
      </c>
      <c r="OY8">
        <v>12129192</v>
      </c>
      <c r="OZ8" t="s">
        <v>1681</v>
      </c>
      <c r="QI8" t="s">
        <v>2260</v>
      </c>
      <c r="QK8">
        <v>-2.4245362661989844E-14</v>
      </c>
      <c r="QL8">
        <v>-2.4245362661989844E-14</v>
      </c>
      <c r="QM8" t="s">
        <v>1594</v>
      </c>
      <c r="QN8">
        <v>2023</v>
      </c>
      <c r="QO8" t="s">
        <v>1918</v>
      </c>
      <c r="QP8" s="6">
        <v>45323</v>
      </c>
      <c r="QQ8">
        <v>5</v>
      </c>
      <c r="QR8">
        <v>-2.4245362661989844E-14</v>
      </c>
      <c r="QS8">
        <v>29343402</v>
      </c>
      <c r="QT8" t="s">
        <v>2261</v>
      </c>
      <c r="QW8" t="s">
        <v>1917</v>
      </c>
      <c r="QX8">
        <v>-2.4245362661989844E-14</v>
      </c>
      <c r="QZ8">
        <v>-2.4245362661989844E-14</v>
      </c>
      <c r="RA8" t="s">
        <v>1594</v>
      </c>
      <c r="RB8">
        <v>2023</v>
      </c>
      <c r="RC8" t="s">
        <v>1918</v>
      </c>
      <c r="RD8" s="6">
        <v>45323</v>
      </c>
      <c r="RE8">
        <v>5</v>
      </c>
      <c r="RF8">
        <v>-2.4245362661989844E-14</v>
      </c>
      <c r="RG8">
        <v>101695</v>
      </c>
      <c r="RH8" t="s">
        <v>1919</v>
      </c>
      <c r="RM8" t="s">
        <v>5067</v>
      </c>
      <c r="RO8">
        <v>-2.4245362661989844E-14</v>
      </c>
      <c r="RP8">
        <v>-2.4245362661989844E-14</v>
      </c>
      <c r="RQ8" t="s">
        <v>1792</v>
      </c>
      <c r="RR8">
        <v>2025</v>
      </c>
      <c r="RS8" t="s">
        <v>5805</v>
      </c>
      <c r="RT8" s="6">
        <v>45890</v>
      </c>
      <c r="RU8">
        <v>5</v>
      </c>
      <c r="RV8">
        <v>-2.4245362661989844E-14</v>
      </c>
      <c r="RW8">
        <v>40810398</v>
      </c>
      <c r="RX8" t="s">
        <v>5069</v>
      </c>
      <c r="SA8" t="s">
        <v>1621</v>
      </c>
      <c r="SB8">
        <v>-2.4245362661989844E-14</v>
      </c>
      <c r="SD8">
        <v>-2.4245362661989844E-14</v>
      </c>
      <c r="SE8" t="s">
        <v>1664</v>
      </c>
      <c r="SF8">
        <v>2023</v>
      </c>
      <c r="SG8" t="s">
        <v>5066</v>
      </c>
      <c r="SH8" s="6">
        <v>45048</v>
      </c>
      <c r="SI8">
        <v>5</v>
      </c>
      <c r="SJ8">
        <v>-2.4245362661989844E-14</v>
      </c>
      <c r="SK8">
        <v>218252</v>
      </c>
      <c r="SL8" t="s">
        <v>1622</v>
      </c>
      <c r="SQ8" t="s">
        <v>493</v>
      </c>
      <c r="SR8" t="s">
        <v>1598</v>
      </c>
      <c r="SS8">
        <v>0.14258699999999999</v>
      </c>
      <c r="ST8">
        <v>0.19661200000000001</v>
      </c>
      <c r="SU8" t="s">
        <v>1606</v>
      </c>
      <c r="SV8">
        <v>2025</v>
      </c>
      <c r="SW8" t="s">
        <v>2093</v>
      </c>
      <c r="SX8" s="6">
        <v>46071</v>
      </c>
      <c r="SY8">
        <v>5</v>
      </c>
      <c r="SZ8">
        <v>5611298</v>
      </c>
      <c r="TA8">
        <v>100499</v>
      </c>
      <c r="TB8" t="s">
        <v>2094</v>
      </c>
      <c r="TE8" t="s">
        <v>2622</v>
      </c>
      <c r="TF8">
        <v>-2.4245362661989844E-14</v>
      </c>
      <c r="TH8">
        <v>-2.4245362661989844E-14</v>
      </c>
      <c r="TI8" t="s">
        <v>1651</v>
      </c>
      <c r="TJ8">
        <v>2025</v>
      </c>
      <c r="TK8" t="s">
        <v>2623</v>
      </c>
      <c r="TL8" s="6">
        <v>45975</v>
      </c>
      <c r="TM8">
        <v>5</v>
      </c>
      <c r="TN8">
        <v>-2.4245362661989844E-14</v>
      </c>
      <c r="TO8">
        <v>33634105</v>
      </c>
      <c r="TP8" t="s">
        <v>2624</v>
      </c>
      <c r="UY8" t="s">
        <v>2272</v>
      </c>
      <c r="UZ8" t="s">
        <v>1634</v>
      </c>
      <c r="VA8">
        <v>2.0240000000000002E-3</v>
      </c>
      <c r="VB8">
        <v>2.6168E-2</v>
      </c>
      <c r="VC8" t="s">
        <v>1599</v>
      </c>
      <c r="VD8">
        <v>2025</v>
      </c>
      <c r="VE8" t="s">
        <v>2273</v>
      </c>
      <c r="VF8" s="6">
        <v>45964</v>
      </c>
      <c r="VG8">
        <v>5</v>
      </c>
      <c r="VH8">
        <v>10506</v>
      </c>
      <c r="VI8">
        <v>16546862</v>
      </c>
      <c r="VJ8" t="s">
        <v>2274</v>
      </c>
      <c r="VM8" t="s">
        <v>1798</v>
      </c>
      <c r="VN8">
        <v>-2.4245362661989844E-14</v>
      </c>
      <c r="VP8">
        <v>-2.4245362661989844E-14</v>
      </c>
      <c r="VQ8" t="s">
        <v>1594</v>
      </c>
      <c r="VR8">
        <v>2024</v>
      </c>
      <c r="VS8" t="s">
        <v>1799</v>
      </c>
      <c r="VT8" s="6">
        <v>45771</v>
      </c>
      <c r="VU8">
        <v>5</v>
      </c>
      <c r="VV8">
        <v>-2.4245362661989844E-14</v>
      </c>
      <c r="VW8">
        <v>135686</v>
      </c>
      <c r="VX8" t="s">
        <v>1800</v>
      </c>
    </row>
    <row r="9" spans="1:600" x14ac:dyDescent="0.25">
      <c r="A9" t="s">
        <v>2332</v>
      </c>
      <c r="B9" t="s">
        <v>1598</v>
      </c>
      <c r="C9">
        <v>0.29686099999999999</v>
      </c>
      <c r="D9">
        <v>6.9705000000000003E-2</v>
      </c>
      <c r="E9" t="s">
        <v>1606</v>
      </c>
      <c r="F9">
        <v>2025</v>
      </c>
      <c r="G9" t="s">
        <v>2333</v>
      </c>
      <c r="H9" s="6">
        <v>46087</v>
      </c>
      <c r="I9">
        <v>5</v>
      </c>
      <c r="J9">
        <v>11619140</v>
      </c>
      <c r="K9">
        <v>101204</v>
      </c>
      <c r="L9" t="s">
        <v>2334</v>
      </c>
      <c r="O9" t="s">
        <v>1925</v>
      </c>
      <c r="P9">
        <v>5.3379999999999999E-3</v>
      </c>
      <c r="Q9" t="s">
        <v>1598</v>
      </c>
      <c r="R9">
        <v>1.0343059999999999</v>
      </c>
      <c r="S9" t="s">
        <v>1603</v>
      </c>
      <c r="T9">
        <v>2026</v>
      </c>
      <c r="U9" t="s">
        <v>1926</v>
      </c>
      <c r="V9" s="6">
        <v>45852</v>
      </c>
      <c r="W9">
        <v>5</v>
      </c>
      <c r="X9">
        <v>1261005</v>
      </c>
      <c r="Y9">
        <v>9515683</v>
      </c>
      <c r="Z9" t="s">
        <v>1927</v>
      </c>
      <c r="AE9" t="s">
        <v>3387</v>
      </c>
      <c r="AF9" t="s">
        <v>1598</v>
      </c>
      <c r="AG9">
        <v>1.017503</v>
      </c>
      <c r="AH9">
        <v>1.621964</v>
      </c>
      <c r="AI9" t="s">
        <v>1664</v>
      </c>
      <c r="AJ9">
        <v>2025</v>
      </c>
      <c r="AK9" t="s">
        <v>3388</v>
      </c>
      <c r="AL9" s="6">
        <v>45929</v>
      </c>
      <c r="AM9">
        <v>5</v>
      </c>
      <c r="AN9">
        <v>123835292.08</v>
      </c>
      <c r="AO9">
        <v>115679</v>
      </c>
      <c r="AP9" t="s">
        <v>3389</v>
      </c>
      <c r="AS9" t="s">
        <v>1669</v>
      </c>
      <c r="AT9">
        <v>2.108371</v>
      </c>
      <c r="AU9" t="s">
        <v>1598</v>
      </c>
      <c r="AV9">
        <v>2.5571009999999998</v>
      </c>
      <c r="AW9" t="s">
        <v>1664</v>
      </c>
      <c r="AX9">
        <v>2025</v>
      </c>
      <c r="AY9" t="s">
        <v>1921</v>
      </c>
      <c r="AZ9" s="6">
        <v>45919</v>
      </c>
      <c r="BA9">
        <v>5</v>
      </c>
      <c r="BB9">
        <v>501043244.87</v>
      </c>
      <c r="BC9">
        <v>115268</v>
      </c>
      <c r="BD9" t="s">
        <v>1670</v>
      </c>
      <c r="CM9" t="s">
        <v>4144</v>
      </c>
      <c r="CO9">
        <v>-2.4245362661989844E-14</v>
      </c>
      <c r="CP9">
        <v>-2.4245362661989844E-14</v>
      </c>
      <c r="CQ9" t="s">
        <v>1594</v>
      </c>
      <c r="CR9">
        <v>2024</v>
      </c>
      <c r="CS9" t="s">
        <v>4145</v>
      </c>
      <c r="CT9" s="6">
        <v>45747</v>
      </c>
      <c r="CU9">
        <v>5</v>
      </c>
      <c r="CV9">
        <v>-2.4245362661989844E-14</v>
      </c>
      <c r="CW9">
        <v>9549727</v>
      </c>
      <c r="CX9" t="s">
        <v>4146</v>
      </c>
      <c r="DQ9" t="s">
        <v>2088</v>
      </c>
      <c r="DR9" t="s">
        <v>1598</v>
      </c>
      <c r="DS9">
        <v>1.149265</v>
      </c>
      <c r="DT9">
        <v>0.12801899999999999</v>
      </c>
      <c r="DU9" t="s">
        <v>1603</v>
      </c>
      <c r="DV9">
        <v>2025</v>
      </c>
      <c r="DW9" t="s">
        <v>2089</v>
      </c>
      <c r="DX9" s="6">
        <v>45849</v>
      </c>
      <c r="DY9">
        <v>5</v>
      </c>
      <c r="DZ9">
        <v>35266245.240000002</v>
      </c>
      <c r="EA9">
        <v>179551</v>
      </c>
      <c r="EB9" t="s">
        <v>2090</v>
      </c>
      <c r="EE9" t="s">
        <v>82</v>
      </c>
      <c r="EF9">
        <v>-2.4245362661989844E-14</v>
      </c>
      <c r="EH9">
        <v>-2.4245362661989844E-14</v>
      </c>
      <c r="EI9" t="s">
        <v>1603</v>
      </c>
      <c r="EJ9">
        <v>2024</v>
      </c>
      <c r="EK9" t="s">
        <v>5034</v>
      </c>
      <c r="EL9" s="6">
        <v>45413</v>
      </c>
      <c r="EM9">
        <v>5</v>
      </c>
      <c r="EN9">
        <v>-2.4245362661989844E-14</v>
      </c>
      <c r="EO9">
        <v>100315</v>
      </c>
      <c r="EP9" t="s">
        <v>1985</v>
      </c>
      <c r="IU9" t="s">
        <v>5726</v>
      </c>
      <c r="IV9">
        <v>6.9504669999999997</v>
      </c>
      <c r="IW9" t="s">
        <v>1685</v>
      </c>
      <c r="IX9">
        <v>24.916460000000001</v>
      </c>
      <c r="IY9" t="s">
        <v>1594</v>
      </c>
      <c r="IZ9">
        <v>2024</v>
      </c>
      <c r="JA9" t="s">
        <v>3390</v>
      </c>
      <c r="JB9" s="6">
        <v>45708</v>
      </c>
      <c r="JC9">
        <v>5</v>
      </c>
      <c r="JD9">
        <v>26612400</v>
      </c>
      <c r="JE9">
        <v>119517</v>
      </c>
      <c r="JF9" t="s">
        <v>5727</v>
      </c>
      <c r="JK9" t="s">
        <v>276</v>
      </c>
      <c r="JL9" t="s">
        <v>1634</v>
      </c>
      <c r="JM9">
        <v>3.6037650000000001</v>
      </c>
      <c r="JN9">
        <v>0.90356199999999998</v>
      </c>
      <c r="JO9" t="s">
        <v>1664</v>
      </c>
      <c r="JP9">
        <v>2026</v>
      </c>
      <c r="JQ9" t="s">
        <v>3356</v>
      </c>
      <c r="JR9" s="6">
        <v>46059</v>
      </c>
      <c r="JS9">
        <v>5</v>
      </c>
      <c r="JT9">
        <v>108725592</v>
      </c>
      <c r="JU9">
        <v>101643</v>
      </c>
      <c r="JV9" t="s">
        <v>3357</v>
      </c>
      <c r="JY9" t="s">
        <v>306</v>
      </c>
      <c r="JZ9">
        <v>0.66108800000000001</v>
      </c>
      <c r="KA9" t="s">
        <v>1598</v>
      </c>
      <c r="KB9">
        <v>0.122531</v>
      </c>
      <c r="KC9" t="s">
        <v>1606</v>
      </c>
      <c r="KD9">
        <v>2025</v>
      </c>
      <c r="KE9" t="s">
        <v>2251</v>
      </c>
      <c r="KF9" s="6">
        <v>45848</v>
      </c>
      <c r="KG9">
        <v>5</v>
      </c>
      <c r="KH9">
        <v>105132824</v>
      </c>
      <c r="KI9">
        <v>101548</v>
      </c>
      <c r="KJ9" t="s">
        <v>1770</v>
      </c>
      <c r="LS9" t="s">
        <v>5465</v>
      </c>
      <c r="LU9">
        <v>-2.4245362661989844E-14</v>
      </c>
      <c r="LV9">
        <v>-2.4245362661989844E-14</v>
      </c>
      <c r="LW9" t="s">
        <v>1594</v>
      </c>
      <c r="LX9">
        <v>2025</v>
      </c>
      <c r="LY9" t="s">
        <v>5466</v>
      </c>
      <c r="LZ9" s="6">
        <v>45835</v>
      </c>
      <c r="MA9">
        <v>5</v>
      </c>
      <c r="MB9">
        <v>-2.4245362661989844E-14</v>
      </c>
      <c r="MC9">
        <v>40954740</v>
      </c>
      <c r="MD9" t="s">
        <v>5467</v>
      </c>
      <c r="MG9" t="s">
        <v>1639</v>
      </c>
      <c r="MH9">
        <v>-2.4245362661989844E-14</v>
      </c>
      <c r="MJ9">
        <v>-2.4245362661989844E-14</v>
      </c>
      <c r="MK9" t="s">
        <v>1594</v>
      </c>
      <c r="ML9">
        <v>2022</v>
      </c>
      <c r="MM9" t="s">
        <v>1640</v>
      </c>
      <c r="MN9" s="6">
        <v>44993</v>
      </c>
      <c r="MO9">
        <v>5</v>
      </c>
      <c r="MP9">
        <v>-2.4245362661989844E-14</v>
      </c>
      <c r="MQ9">
        <v>10092517</v>
      </c>
      <c r="MR9" t="s">
        <v>1641</v>
      </c>
      <c r="OA9" t="s">
        <v>3373</v>
      </c>
      <c r="OB9" t="s">
        <v>1685</v>
      </c>
      <c r="OC9">
        <v>0.23294300000000001</v>
      </c>
      <c r="OD9">
        <v>0.27798299999999998</v>
      </c>
      <c r="OE9" t="s">
        <v>1664</v>
      </c>
      <c r="OF9">
        <v>2026</v>
      </c>
      <c r="OG9" t="s">
        <v>3374</v>
      </c>
      <c r="OH9" s="6">
        <v>46022</v>
      </c>
      <c r="OI9">
        <v>5</v>
      </c>
      <c r="OJ9">
        <v>10921772.949999999</v>
      </c>
      <c r="OK9">
        <v>174545</v>
      </c>
      <c r="OL9" t="s">
        <v>3375</v>
      </c>
      <c r="OO9" t="s">
        <v>1786</v>
      </c>
      <c r="OP9">
        <v>7.2431999999999996E-2</v>
      </c>
      <c r="OQ9" t="s">
        <v>1598</v>
      </c>
      <c r="OR9">
        <v>0.31743900000000003</v>
      </c>
      <c r="OS9" t="s">
        <v>1664</v>
      </c>
      <c r="OT9">
        <v>2025</v>
      </c>
      <c r="OU9" t="s">
        <v>1787</v>
      </c>
      <c r="OV9" s="6">
        <v>46008</v>
      </c>
      <c r="OW9">
        <v>5</v>
      </c>
      <c r="OX9">
        <v>7382431.75</v>
      </c>
      <c r="OY9">
        <v>349049</v>
      </c>
      <c r="OZ9" t="s">
        <v>1788</v>
      </c>
      <c r="QI9" t="s">
        <v>2262</v>
      </c>
      <c r="QK9">
        <v>-2.4245362661989844E-14</v>
      </c>
      <c r="QL9">
        <v>-2.4245362661989844E-14</v>
      </c>
      <c r="QM9" t="s">
        <v>1594</v>
      </c>
      <c r="QN9">
        <v>2023</v>
      </c>
      <c r="QO9" t="s">
        <v>2263</v>
      </c>
      <c r="QP9" s="6">
        <v>45181</v>
      </c>
      <c r="QQ9">
        <v>5</v>
      </c>
      <c r="QR9">
        <v>-2.4245362661989844E-14</v>
      </c>
      <c r="QS9">
        <v>52215903</v>
      </c>
      <c r="QT9" t="s">
        <v>2264</v>
      </c>
      <c r="QW9" t="s">
        <v>303</v>
      </c>
      <c r="QX9">
        <v>-2.4245362661989844E-14</v>
      </c>
      <c r="QZ9">
        <v>-2.4245362661989844E-14</v>
      </c>
      <c r="RA9" t="s">
        <v>1594</v>
      </c>
      <c r="RB9">
        <v>2023</v>
      </c>
      <c r="RC9" t="s">
        <v>1918</v>
      </c>
      <c r="RD9" s="6">
        <v>45323</v>
      </c>
      <c r="RE9">
        <v>5</v>
      </c>
      <c r="RF9">
        <v>-2.4245362661989844E-14</v>
      </c>
      <c r="RG9">
        <v>216952</v>
      </c>
      <c r="RH9" t="s">
        <v>1631</v>
      </c>
      <c r="RM9" t="s">
        <v>5206</v>
      </c>
      <c r="RO9">
        <v>-2.4245362661989844E-14</v>
      </c>
      <c r="RP9">
        <v>-2.4245362661989844E-14</v>
      </c>
      <c r="RQ9" t="s">
        <v>1594</v>
      </c>
      <c r="RR9">
        <v>2022</v>
      </c>
      <c r="RS9" t="s">
        <v>5207</v>
      </c>
      <c r="RT9" s="6">
        <v>44693</v>
      </c>
      <c r="RU9">
        <v>5</v>
      </c>
      <c r="RV9">
        <v>-2.4245362661989844E-14</v>
      </c>
      <c r="RW9">
        <v>114991</v>
      </c>
      <c r="RX9" t="s">
        <v>5208</v>
      </c>
      <c r="SA9" t="s">
        <v>5067</v>
      </c>
      <c r="SB9">
        <v>-2.4245362661989844E-14</v>
      </c>
      <c r="SD9">
        <v>-2.4245362661989844E-14</v>
      </c>
      <c r="SE9" t="s">
        <v>1792</v>
      </c>
      <c r="SF9">
        <v>2022</v>
      </c>
      <c r="SG9" t="s">
        <v>5068</v>
      </c>
      <c r="SH9" s="6">
        <v>44790</v>
      </c>
      <c r="SI9">
        <v>5</v>
      </c>
      <c r="SJ9">
        <v>-2.4245362661989844E-14</v>
      </c>
      <c r="SK9">
        <v>40810398</v>
      </c>
      <c r="SL9" t="s">
        <v>5069</v>
      </c>
      <c r="SQ9" t="s">
        <v>2088</v>
      </c>
      <c r="SR9" t="s">
        <v>1598</v>
      </c>
      <c r="SS9">
        <v>0.14130899999999999</v>
      </c>
      <c r="ST9">
        <v>0.17785999999999999</v>
      </c>
      <c r="SU9" t="s">
        <v>1603</v>
      </c>
      <c r="SV9">
        <v>2025</v>
      </c>
      <c r="SW9" t="s">
        <v>2089</v>
      </c>
      <c r="SX9" s="6">
        <v>45849</v>
      </c>
      <c r="SY9">
        <v>5</v>
      </c>
      <c r="SZ9">
        <v>4336195.59</v>
      </c>
      <c r="TA9">
        <v>179551</v>
      </c>
      <c r="TB9" t="s">
        <v>2090</v>
      </c>
      <c r="TE9" t="s">
        <v>2625</v>
      </c>
      <c r="TF9">
        <v>-2.4245362661989844E-14</v>
      </c>
      <c r="TH9">
        <v>-2.4245362661989844E-14</v>
      </c>
      <c r="TI9" t="s">
        <v>1594</v>
      </c>
      <c r="TJ9">
        <v>2021</v>
      </c>
      <c r="TK9" t="s">
        <v>2626</v>
      </c>
      <c r="TL9" s="6">
        <v>44701</v>
      </c>
      <c r="TM9">
        <v>5</v>
      </c>
      <c r="TN9">
        <v>-2.4245362661989844E-14</v>
      </c>
      <c r="TO9">
        <v>384698</v>
      </c>
      <c r="TP9" t="s">
        <v>2627</v>
      </c>
      <c r="UY9" t="s">
        <v>2275</v>
      </c>
      <c r="UZ9" t="s">
        <v>1598</v>
      </c>
      <c r="VA9">
        <v>1.2467000000000001E-2</v>
      </c>
      <c r="VB9">
        <v>4.5800000000000002E-4</v>
      </c>
      <c r="VC9" t="s">
        <v>1664</v>
      </c>
      <c r="VD9">
        <v>2025</v>
      </c>
      <c r="VE9" t="s">
        <v>2276</v>
      </c>
      <c r="VF9" s="6">
        <v>45744</v>
      </c>
      <c r="VG9">
        <v>5</v>
      </c>
      <c r="VH9">
        <v>6232.4</v>
      </c>
      <c r="VI9">
        <v>28653435</v>
      </c>
      <c r="VJ9" t="s">
        <v>2277</v>
      </c>
      <c r="VM9" t="s">
        <v>1801</v>
      </c>
      <c r="VN9">
        <v>-2.4245362661989844E-14</v>
      </c>
      <c r="VP9">
        <v>-2.4245362661989844E-14</v>
      </c>
      <c r="VQ9" t="s">
        <v>1594</v>
      </c>
      <c r="VR9">
        <v>2022</v>
      </c>
      <c r="VS9" t="s">
        <v>1802</v>
      </c>
      <c r="VT9" s="6">
        <v>45083</v>
      </c>
      <c r="VU9">
        <v>5</v>
      </c>
      <c r="VV9">
        <v>-2.4245362661989844E-14</v>
      </c>
      <c r="VW9">
        <v>34532225</v>
      </c>
      <c r="VX9" t="s">
        <v>1803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693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694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695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696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697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698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699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700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701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702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703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704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705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706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707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708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709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710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711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78</v>
      </c>
      <c r="AE2" s="3" t="s">
        <v>278</v>
      </c>
      <c r="BI2" s="3" t="s">
        <v>712</v>
      </c>
      <c r="CM2" s="3" t="s">
        <v>713</v>
      </c>
      <c r="DQ2" s="3" t="s">
        <v>78</v>
      </c>
      <c r="EU2" s="3" t="s">
        <v>714</v>
      </c>
      <c r="FY2" s="3" t="s">
        <v>78</v>
      </c>
      <c r="HC2" s="3" t="s">
        <v>715</v>
      </c>
      <c r="IG2" s="3" t="s">
        <v>716</v>
      </c>
      <c r="JK2" s="3" t="s">
        <v>717</v>
      </c>
      <c r="KO2" s="3" t="s">
        <v>211</v>
      </c>
      <c r="LS2" s="3" t="s">
        <v>149</v>
      </c>
      <c r="MW2" s="3" t="s">
        <v>712</v>
      </c>
      <c r="OA2" s="3" t="s">
        <v>718</v>
      </c>
      <c r="PE2" s="3" t="s">
        <v>178</v>
      </c>
      <c r="QI2" s="3" t="s">
        <v>719</v>
      </c>
      <c r="RM2" s="3" t="s">
        <v>30</v>
      </c>
      <c r="SQ2" s="3" t="s">
        <v>24</v>
      </c>
      <c r="TU2" s="3" t="s">
        <v>180</v>
      </c>
      <c r="UY2" s="3" t="s">
        <v>113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_xll.BDS("nan Equity","SUPPLY_CHAIN_SUPPLIERS_ALL_DATA")</f>
        <v>#N/A N/A</v>
      </c>
      <c r="O5" t="str">
        <f>_xll.BDS("nan Equity","SUPPLY_CHAIN_CUSTOMERS_ALL_DATA")</f>
        <v>#N/A N/A</v>
      </c>
      <c r="AE5" t="str">
        <f>_xll.BDS("WAMUQ US Equity","SUPPLY_CHAIN_SUPPLIERS_ALL_DATA")</f>
        <v>#N/A N/A</v>
      </c>
      <c r="AS5" t="str">
        <f>_xll.BDS("WAMUQ US Equity","SUPPLY_CHAIN_CUSTOMERS_ALL_DATA")</f>
        <v>#N/A N/A</v>
      </c>
      <c r="BI5" t="str">
        <f>_xll.BDS("BKR US Equity","SUPPLY_CHAIN_SUPPLIERS_ALL_DATA","cols=12;rows=5")</f>
        <v>ACX SM Equity</v>
      </c>
      <c r="BJ5" t="s">
        <v>1598</v>
      </c>
      <c r="BK5">
        <v>0.99144200000000005</v>
      </c>
      <c r="BL5">
        <v>0.29530099999999998</v>
      </c>
      <c r="BM5" t="s">
        <v>1599</v>
      </c>
      <c r="BN5">
        <v>2025</v>
      </c>
      <c r="BO5" t="s">
        <v>3970</v>
      </c>
      <c r="BP5" s="6">
        <v>45968</v>
      </c>
      <c r="BQ5">
        <v>5</v>
      </c>
      <c r="BR5">
        <v>15680454.91</v>
      </c>
      <c r="BS5">
        <v>127005</v>
      </c>
      <c r="BT5" t="s">
        <v>3971</v>
      </c>
      <c r="BW5" t="str">
        <f>_xll.BDS("BKR US Equity","SUPPLY_CHAIN_CUSTOMERS_ALL_DATA","cols=12;rows=5")</f>
        <v>0125537D US Equity</v>
      </c>
      <c r="BX5">
        <v>-2.4245362661989844E-14</v>
      </c>
      <c r="BZ5">
        <v>-2.4245362661989844E-14</v>
      </c>
      <c r="CA5" t="s">
        <v>1594</v>
      </c>
      <c r="CB5">
        <v>2025</v>
      </c>
      <c r="CC5" t="s">
        <v>2773</v>
      </c>
      <c r="CD5" s="6">
        <v>45911</v>
      </c>
      <c r="CE5">
        <v>5</v>
      </c>
      <c r="CF5">
        <v>-2.4245362661989844E-14</v>
      </c>
      <c r="CG5">
        <v>906237</v>
      </c>
      <c r="CH5" t="s">
        <v>2774</v>
      </c>
      <c r="CM5" t="str">
        <f>_xll.BDS("AET US Equity","SUPPLY_CHAIN_SUPPLIERS_ALL_DATA")</f>
        <v>#N/A N/A</v>
      </c>
      <c r="DA5" t="str">
        <f>_xll.BDS("AET US Equity","SUPPLY_CHAIN_CUSTOMERS_ALL_DATA","cols=12;rows=2")</f>
        <v>002506 CH Equity</v>
      </c>
      <c r="DB5">
        <v>-2.4245362661989844E-14</v>
      </c>
      <c r="DD5">
        <v>-2.4245362661989844E-14</v>
      </c>
      <c r="DE5" t="s">
        <v>1594</v>
      </c>
      <c r="DF5">
        <v>2025</v>
      </c>
      <c r="DG5" t="s">
        <v>1899</v>
      </c>
      <c r="DH5" s="6">
        <v>45828</v>
      </c>
      <c r="DI5">
        <v>2</v>
      </c>
      <c r="DJ5">
        <v>-2.4245362661989844E-14</v>
      </c>
      <c r="DK5">
        <v>20735187</v>
      </c>
      <c r="DL5" t="s">
        <v>1900</v>
      </c>
      <c r="DQ5" t="str">
        <f>_xll.BDS("nan Equity","SUPPLY_CHAIN_SUPPLIERS_ALL_DATA")</f>
        <v>#N/A N/A</v>
      </c>
      <c r="EE5" t="str">
        <f>_xll.BDS("nan Equity","SUPPLY_CHAIN_CUSTOMERS_ALL_DATA")</f>
        <v>#N/A N/A</v>
      </c>
      <c r="EU5" t="str">
        <f>_xll.BDS("SSNC US Equity","SUPPLY_CHAIN_SUPPLIERS_ALL_DATA","cols=12;rows=5")</f>
        <v>D-U CN Equity</v>
      </c>
      <c r="EV5" t="s">
        <v>1685</v>
      </c>
      <c r="EW5">
        <v>4.0999999999999996</v>
      </c>
      <c r="EX5">
        <v>0.51905900000000005</v>
      </c>
      <c r="EY5" t="s">
        <v>1599</v>
      </c>
      <c r="EZ5">
        <v>2025</v>
      </c>
      <c r="FA5" t="s">
        <v>3003</v>
      </c>
      <c r="FB5" s="6">
        <v>45967</v>
      </c>
      <c r="FC5">
        <v>5</v>
      </c>
      <c r="FD5">
        <v>1367986.04</v>
      </c>
      <c r="FE5">
        <v>179603</v>
      </c>
      <c r="FF5" t="s">
        <v>3004</v>
      </c>
      <c r="FI5" t="str">
        <f>_xll.BDS("SSNC US Equity","SUPPLY_CHAIN_CUSTOMERS_ALL_DATA","cols=12;rows=5")</f>
        <v>AYX US Equity</v>
      </c>
      <c r="FJ5">
        <v>-2.4245362661989844E-14</v>
      </c>
      <c r="FL5">
        <v>-2.4245362661989844E-14</v>
      </c>
      <c r="FM5" t="s">
        <v>1594</v>
      </c>
      <c r="FN5">
        <v>2022</v>
      </c>
      <c r="FO5" t="s">
        <v>2479</v>
      </c>
      <c r="FP5" s="6">
        <v>44967</v>
      </c>
      <c r="FQ5">
        <v>5</v>
      </c>
      <c r="FR5">
        <v>-2.4245362661989844E-14</v>
      </c>
      <c r="FS5">
        <v>20343647</v>
      </c>
      <c r="FT5" t="s">
        <v>2480</v>
      </c>
      <c r="FY5" t="str">
        <f>_xll.BDS("nan Equity","SUPPLY_CHAIN_SUPPLIERS_ALL_DATA")</f>
        <v>#N/A N/A</v>
      </c>
      <c r="GM5" t="str">
        <f>_xll.BDS("nan Equity","SUPPLY_CHAIN_CUSTOMERS_ALL_DATA")</f>
        <v>#N/A N/A</v>
      </c>
      <c r="HC5" t="str">
        <f>_xll.BDS("9980328D US Equity","SUPPLY_CHAIN_SUPPLIERS_ALL_DATA","cols=12;rows=5")</f>
        <v>1052024D US Equity</v>
      </c>
      <c r="HE5">
        <v>-2.4245362661989844E-14</v>
      </c>
      <c r="HF5">
        <v>-2.4245362661989844E-14</v>
      </c>
      <c r="HG5" t="s">
        <v>1594</v>
      </c>
      <c r="HH5">
        <v>2024</v>
      </c>
      <c r="HI5" t="s">
        <v>5159</v>
      </c>
      <c r="HJ5" s="6">
        <v>45358</v>
      </c>
      <c r="HK5">
        <v>5</v>
      </c>
      <c r="HL5">
        <v>-2.4245362661989844E-14</v>
      </c>
      <c r="HM5">
        <v>41866638</v>
      </c>
      <c r="HN5" t="s">
        <v>5307</v>
      </c>
      <c r="HQ5" t="str">
        <f>_xll.BDS("9980328D US Equity","SUPPLY_CHAIN_CUSTOMERS_ALL_DATA","cols=12;rows=5")</f>
        <v>002630 KS Equity</v>
      </c>
      <c r="HR5">
        <v>-2.4245362661989844E-14</v>
      </c>
      <c r="HT5">
        <v>-2.4245362661989844E-14</v>
      </c>
      <c r="HU5" t="s">
        <v>1651</v>
      </c>
      <c r="HV5">
        <v>2023</v>
      </c>
      <c r="HW5" t="s">
        <v>5156</v>
      </c>
      <c r="HX5" s="6">
        <v>44971</v>
      </c>
      <c r="HY5">
        <v>5</v>
      </c>
      <c r="HZ5">
        <v>-2.4245362661989844E-14</v>
      </c>
      <c r="IA5">
        <v>129294</v>
      </c>
      <c r="IB5" t="s">
        <v>5157</v>
      </c>
      <c r="IG5" t="str">
        <f>_xll.BDS("UNP US Equity","SUPPLY_CHAIN_SUPPLIERS_ALL_DATA","cols=12;rows=5")</f>
        <v>WAB US Equity</v>
      </c>
      <c r="IH5" t="s">
        <v>1598</v>
      </c>
      <c r="II5">
        <v>5.4963600000000001</v>
      </c>
      <c r="IJ5">
        <v>4.0984160000000003</v>
      </c>
      <c r="IK5" t="s">
        <v>1599</v>
      </c>
      <c r="IL5">
        <v>2025</v>
      </c>
      <c r="IM5" t="s">
        <v>3404</v>
      </c>
      <c r="IN5" s="6">
        <v>45952</v>
      </c>
      <c r="IO5">
        <v>5</v>
      </c>
      <c r="IP5">
        <v>148731504</v>
      </c>
      <c r="IQ5">
        <v>171010</v>
      </c>
      <c r="IR5" t="s">
        <v>3405</v>
      </c>
      <c r="IU5" t="str">
        <f>_xll.BDS("UNP US Equity","SUPPLY_CHAIN_CUSTOMERS_ALL_DATA","cols=12;rows=5")</f>
        <v>0517476D US Equity</v>
      </c>
      <c r="IV5">
        <v>-2.4245362661989844E-14</v>
      </c>
      <c r="IX5">
        <v>-2.4245362661989844E-14</v>
      </c>
      <c r="IY5" t="s">
        <v>1606</v>
      </c>
      <c r="IZ5">
        <v>2025</v>
      </c>
      <c r="JA5" t="s">
        <v>4993</v>
      </c>
      <c r="JB5" s="6">
        <v>46034</v>
      </c>
      <c r="JC5">
        <v>5</v>
      </c>
      <c r="JD5">
        <v>-2.4245362661989844E-14</v>
      </c>
      <c r="JE5">
        <v>31488153</v>
      </c>
      <c r="JF5" t="s">
        <v>4994</v>
      </c>
      <c r="JK5" t="str">
        <f>_xll.BDS("KIM US Equity","SUPPLY_CHAIN_SUPPLIERS_ALL_DATA","cols=12;rows=1")</f>
        <v>WOOD IJ Equity</v>
      </c>
      <c r="JM5">
        <v>-2.4245362661989844E-14</v>
      </c>
      <c r="JN5">
        <v>-2.4245362661989844E-14</v>
      </c>
      <c r="JO5" t="s">
        <v>1594</v>
      </c>
      <c r="JP5">
        <v>2023</v>
      </c>
      <c r="JQ5" t="s">
        <v>4841</v>
      </c>
      <c r="JR5" s="6">
        <v>45412</v>
      </c>
      <c r="JS5">
        <v>1</v>
      </c>
      <c r="JT5">
        <v>-2.4245362661989844E-14</v>
      </c>
      <c r="JU5">
        <v>53777122</v>
      </c>
      <c r="JV5" t="s">
        <v>4842</v>
      </c>
      <c r="JY5" t="str">
        <f>_xll.BDS("KIM US Equity","SUPPLY_CHAIN_CUSTOMERS_ALL_DATA","cols=12;rows=5")</f>
        <v>TJX US Equity</v>
      </c>
      <c r="JZ5">
        <v>3.0607549999999999</v>
      </c>
      <c r="KA5" t="s">
        <v>1685</v>
      </c>
      <c r="KB5">
        <v>0.57157999999999998</v>
      </c>
      <c r="KC5" t="s">
        <v>1594</v>
      </c>
      <c r="KD5">
        <v>2024</v>
      </c>
      <c r="KE5" t="s">
        <v>4953</v>
      </c>
      <c r="KF5" s="6">
        <v>45695</v>
      </c>
      <c r="KG5">
        <v>5</v>
      </c>
      <c r="KH5">
        <v>15587000</v>
      </c>
      <c r="KI5">
        <v>101481</v>
      </c>
      <c r="KJ5" t="s">
        <v>1773</v>
      </c>
      <c r="KO5" t="str">
        <f>_xll.BDS("AVGO US Equity","SUPPLY_CHAIN_SUPPLIERS_ALL_DATA","cols=12;rows=5")</f>
        <v>2330 TT Equity</v>
      </c>
      <c r="KP5" t="s">
        <v>1598</v>
      </c>
      <c r="KQ5">
        <v>4.2638720000000001</v>
      </c>
      <c r="KR5">
        <v>24.305762999999999</v>
      </c>
      <c r="KS5" t="s">
        <v>1606</v>
      </c>
      <c r="KT5">
        <v>2024</v>
      </c>
      <c r="KU5" t="s">
        <v>3144</v>
      </c>
      <c r="KV5" s="6">
        <v>45741</v>
      </c>
      <c r="KW5">
        <v>5</v>
      </c>
      <c r="KX5">
        <v>1144674723.2</v>
      </c>
      <c r="KY5">
        <v>153737</v>
      </c>
      <c r="KZ5" t="s">
        <v>2584</v>
      </c>
      <c r="LC5" t="str">
        <f>_xll.BDS("AVGO US Equity","SUPPLY_CHAIN_CUSTOMERS_ALL_DATA","cols=12;rows=5")</f>
        <v>3036 TT Equity</v>
      </c>
      <c r="LD5">
        <v>31.898064000000002</v>
      </c>
      <c r="LE5" t="s">
        <v>1598</v>
      </c>
      <c r="LF5">
        <v>54.319256000000003</v>
      </c>
      <c r="LG5" t="s">
        <v>1606</v>
      </c>
      <c r="LH5">
        <v>2025</v>
      </c>
      <c r="LI5" t="s">
        <v>2691</v>
      </c>
      <c r="LJ5" s="6">
        <v>46010</v>
      </c>
      <c r="LK5">
        <v>5</v>
      </c>
      <c r="LL5">
        <v>5746436096</v>
      </c>
      <c r="LM5">
        <v>1459396</v>
      </c>
      <c r="LN5" t="s">
        <v>2692</v>
      </c>
      <c r="LS5" t="str">
        <f>_xll.BDS("PLD US Equity","SUPPLY_CHAIN_SUPPLIERS_ALL_DATA","cols=12;rows=5")</f>
        <v>SALFACOR CI Equity</v>
      </c>
      <c r="LT5" t="s">
        <v>1598</v>
      </c>
      <c r="LU5">
        <v>1.0878749999999999</v>
      </c>
      <c r="LV5">
        <v>25.782067999999999</v>
      </c>
      <c r="LW5" t="s">
        <v>1594</v>
      </c>
      <c r="LX5">
        <v>2024</v>
      </c>
      <c r="LY5" t="s">
        <v>2301</v>
      </c>
      <c r="LZ5" s="6">
        <v>45714</v>
      </c>
      <c r="MA5">
        <v>5</v>
      </c>
      <c r="MB5">
        <v>3034787.67</v>
      </c>
      <c r="MC5">
        <v>9218729</v>
      </c>
      <c r="MD5" t="s">
        <v>2302</v>
      </c>
      <c r="MG5" t="str">
        <f>_xll.BDS("PLD US Equity","SUPPLY_CHAIN_CUSTOMERS_ALL_DATA","cols=12;rows=5")</f>
        <v>AMZN US Equity</v>
      </c>
      <c r="MH5">
        <v>5.4977010000000002</v>
      </c>
      <c r="MI5" t="s">
        <v>1685</v>
      </c>
      <c r="MJ5">
        <v>0.81587200000000004</v>
      </c>
      <c r="MK5" t="s">
        <v>1594</v>
      </c>
      <c r="ML5">
        <v>2024</v>
      </c>
      <c r="MM5" t="s">
        <v>1903</v>
      </c>
      <c r="MN5" s="6">
        <v>45702</v>
      </c>
      <c r="MO5">
        <v>5</v>
      </c>
      <c r="MP5">
        <v>112725000</v>
      </c>
      <c r="MQ5">
        <v>216952</v>
      </c>
      <c r="MR5" t="s">
        <v>1631</v>
      </c>
      <c r="MW5" t="str">
        <f>_xll.BDS("BKR US Equity","SUPPLY_CHAIN_SUPPLIERS_ALL_DATA","cols=12;rows=5")</f>
        <v>ACX SM Equity</v>
      </c>
      <c r="MX5" t="s">
        <v>1598</v>
      </c>
      <c r="MY5">
        <v>0.99144200000000005</v>
      </c>
      <c r="MZ5">
        <v>0.29530099999999998</v>
      </c>
      <c r="NA5" t="s">
        <v>1599</v>
      </c>
      <c r="NB5">
        <v>2025</v>
      </c>
      <c r="NC5" t="s">
        <v>3970</v>
      </c>
      <c r="ND5" s="6">
        <v>45968</v>
      </c>
      <c r="NE5">
        <v>5</v>
      </c>
      <c r="NF5">
        <v>15680454.91</v>
      </c>
      <c r="NG5">
        <v>127005</v>
      </c>
      <c r="NH5" t="s">
        <v>3971</v>
      </c>
      <c r="NK5" t="str">
        <f>_xll.BDS("BKR US Equity","SUPPLY_CHAIN_CUSTOMERS_ALL_DATA","cols=12;rows=5")</f>
        <v>0125537D US Equity</v>
      </c>
      <c r="NL5">
        <v>-2.4245362661989844E-14</v>
      </c>
      <c r="NN5">
        <v>-2.4245362661989844E-14</v>
      </c>
      <c r="NO5" t="s">
        <v>1594</v>
      </c>
      <c r="NP5">
        <v>2025</v>
      </c>
      <c r="NQ5" t="s">
        <v>2773</v>
      </c>
      <c r="NR5" s="6">
        <v>45911</v>
      </c>
      <c r="NS5">
        <v>5</v>
      </c>
      <c r="NT5">
        <v>-2.4245362661989844E-14</v>
      </c>
      <c r="NU5">
        <v>906237</v>
      </c>
      <c r="NV5" t="s">
        <v>2774</v>
      </c>
      <c r="OA5" t="str">
        <f>_xll.BDS("WPC US Equity","SUPPLY_CHAIN_SUPPLIERS_ALL_DATA")</f>
        <v>#N/A N/A</v>
      </c>
      <c r="OO5" t="str">
        <f>_xll.BDS("WPC US Equity","SUPPLY_CHAIN_CUSTOMERS_ALL_DATA","cols=12;rows=5")</f>
        <v>EXR US Equity</v>
      </c>
      <c r="OP5">
        <v>2.2461530000000001</v>
      </c>
      <c r="OQ5" t="s">
        <v>1685</v>
      </c>
      <c r="OR5">
        <v>27.791716000000001</v>
      </c>
      <c r="OS5" t="s">
        <v>1594</v>
      </c>
      <c r="OT5">
        <v>2024</v>
      </c>
      <c r="OU5" t="s">
        <v>5821</v>
      </c>
      <c r="OV5" s="6">
        <v>45700</v>
      </c>
      <c r="OW5">
        <v>5</v>
      </c>
      <c r="OX5">
        <v>8889250</v>
      </c>
      <c r="OY5">
        <v>8900061</v>
      </c>
      <c r="OZ5" t="s">
        <v>5822</v>
      </c>
      <c r="PE5" t="str">
        <f>_xll.BDS("MSFT US Equity","SUPPLY_CHAIN_SUPPLIERS_ALL_DATA","cols=12;rows=5")</f>
        <v>NVDA US Equity</v>
      </c>
      <c r="PF5" t="s">
        <v>1634</v>
      </c>
      <c r="PG5">
        <v>22.047934000000001</v>
      </c>
      <c r="PH5">
        <v>50.276459000000003</v>
      </c>
      <c r="PI5" t="s">
        <v>1606</v>
      </c>
      <c r="PJ5">
        <v>2026</v>
      </c>
      <c r="PK5" t="s">
        <v>2004</v>
      </c>
      <c r="PL5" s="6">
        <v>46087</v>
      </c>
      <c r="PM5">
        <v>5</v>
      </c>
      <c r="PN5">
        <v>15020595200</v>
      </c>
      <c r="PO5">
        <v>313657</v>
      </c>
      <c r="PP5" t="s">
        <v>2005</v>
      </c>
      <c r="PS5" t="str">
        <f>_xll.BDS("MSFT US Equity","SUPPLY_CHAIN_CUSTOMERS_ALL_DATA","cols=12;rows=5")</f>
        <v>SNX US Equity</v>
      </c>
      <c r="PT5">
        <v>0.94513400000000003</v>
      </c>
      <c r="PU5" t="s">
        <v>1598</v>
      </c>
      <c r="PV5">
        <v>4.7461719999999996</v>
      </c>
      <c r="PW5" t="s">
        <v>1606</v>
      </c>
      <c r="PX5">
        <v>2025</v>
      </c>
      <c r="PY5" t="s">
        <v>1701</v>
      </c>
      <c r="PZ5" s="6">
        <v>46056</v>
      </c>
      <c r="QA5">
        <v>5</v>
      </c>
      <c r="QB5">
        <v>768139008</v>
      </c>
      <c r="QC5">
        <v>1499717</v>
      </c>
      <c r="QD5" t="s">
        <v>1702</v>
      </c>
      <c r="QI5" t="str">
        <f>_xll.BDS("MNKTQ US Equity","SUPPLY_CHAIN_SUPPLIERS_ALL_DATA","cols=12;rows=5")</f>
        <v>CAP FP Equity</v>
      </c>
      <c r="QJ5" t="s">
        <v>1685</v>
      </c>
      <c r="QK5">
        <v>1.3310000000000001E-2</v>
      </c>
      <c r="QL5">
        <v>0.55534899999999998</v>
      </c>
      <c r="QM5" t="s">
        <v>1664</v>
      </c>
      <c r="QN5">
        <v>2025</v>
      </c>
      <c r="QO5" t="s">
        <v>5790</v>
      </c>
      <c r="QP5" s="6">
        <v>45902</v>
      </c>
      <c r="QQ5">
        <v>5</v>
      </c>
      <c r="QR5">
        <v>837702.49</v>
      </c>
      <c r="QS5">
        <v>115265</v>
      </c>
      <c r="QT5" t="s">
        <v>5791</v>
      </c>
      <c r="QW5" t="str">
        <f>_xll.BDS("MNKTQ US Equity","SUPPLY_CHAIN_CUSTOMERS_ALL_DATA","cols=12;rows=5")</f>
        <v>102460 KS Equity</v>
      </c>
      <c r="QX5">
        <v>-2.4245362661989844E-14</v>
      </c>
      <c r="QZ5">
        <v>-2.4245362661989844E-14</v>
      </c>
      <c r="RA5" t="s">
        <v>1594</v>
      </c>
      <c r="RB5">
        <v>2021</v>
      </c>
      <c r="RC5" t="s">
        <v>5666</v>
      </c>
      <c r="RD5" s="6">
        <v>44642</v>
      </c>
      <c r="RE5">
        <v>5</v>
      </c>
      <c r="RF5">
        <v>-2.4245362661989844E-14</v>
      </c>
      <c r="RG5">
        <v>16330577</v>
      </c>
      <c r="RH5" t="s">
        <v>5667</v>
      </c>
      <c r="RM5" t="str">
        <f>_xll.BDS("C US Equity","SUPPLY_CHAIN_SUPPLIERS_ALL_DATA","cols=12;rows=5")</f>
        <v>ORCL US Equity</v>
      </c>
      <c r="RN5" t="s">
        <v>1598</v>
      </c>
      <c r="RO5">
        <v>0.204793</v>
      </c>
      <c r="RP5">
        <v>0.242594</v>
      </c>
      <c r="RQ5" t="s">
        <v>1606</v>
      </c>
      <c r="RR5">
        <v>2025</v>
      </c>
      <c r="RS5" t="s">
        <v>2251</v>
      </c>
      <c r="RT5" s="6">
        <v>45848</v>
      </c>
      <c r="RU5">
        <v>5</v>
      </c>
      <c r="RV5">
        <v>32568232</v>
      </c>
      <c r="RW5">
        <v>101752</v>
      </c>
      <c r="RX5" t="s">
        <v>2265</v>
      </c>
      <c r="SA5" t="str">
        <f>_xll.BDS("C US Equity","SUPPLY_CHAIN_CUSTOMERS_ALL_DATA","cols=12;rows=5")</f>
        <v>ANTO LN Equity</v>
      </c>
      <c r="SB5">
        <v>1.76E-4</v>
      </c>
      <c r="SC5" t="s">
        <v>1598</v>
      </c>
      <c r="SD5">
        <v>7.3010000000000002E-3</v>
      </c>
      <c r="SE5" t="s">
        <v>1594</v>
      </c>
      <c r="SF5">
        <v>2024</v>
      </c>
      <c r="SG5" t="s">
        <v>3662</v>
      </c>
      <c r="SH5" s="6">
        <v>45743</v>
      </c>
      <c r="SI5">
        <v>5</v>
      </c>
      <c r="SJ5">
        <v>74999.5</v>
      </c>
      <c r="SK5">
        <v>111100</v>
      </c>
      <c r="SL5" t="s">
        <v>3663</v>
      </c>
      <c r="SQ5" t="str">
        <f>_xll.BDS("PFE US Equity","SUPPLY_CHAIN_SUPPLIERS_ALL_DATA","cols=12;rows=5")</f>
        <v>BNTX US Equity</v>
      </c>
      <c r="SR5" t="s">
        <v>1598</v>
      </c>
      <c r="SS5">
        <v>73</v>
      </c>
      <c r="ST5">
        <v>12.187704999999999</v>
      </c>
      <c r="SU5" t="s">
        <v>1594</v>
      </c>
      <c r="SV5">
        <v>2024</v>
      </c>
      <c r="SW5" t="s">
        <v>3345</v>
      </c>
      <c r="SX5" s="6">
        <v>45726</v>
      </c>
      <c r="SY5">
        <v>5</v>
      </c>
      <c r="SZ5">
        <v>544064265</v>
      </c>
      <c r="TA5">
        <v>65839686</v>
      </c>
      <c r="TB5" t="s">
        <v>3346</v>
      </c>
      <c r="TE5" t="str">
        <f>_xll.BDS("PFE US Equity","SUPPLY_CHAIN_CUSTOMERS_ALL_DATA","cols=12;rows=5")</f>
        <v>MCK US Equity</v>
      </c>
      <c r="TF5">
        <v>25</v>
      </c>
      <c r="TG5" t="s">
        <v>1598</v>
      </c>
      <c r="TH5">
        <v>4.0761390000000004</v>
      </c>
      <c r="TI5" t="s">
        <v>1594</v>
      </c>
      <c r="TJ5">
        <v>2025</v>
      </c>
      <c r="TK5" t="s">
        <v>2824</v>
      </c>
      <c r="TL5" s="6">
        <v>46079</v>
      </c>
      <c r="TM5">
        <v>5</v>
      </c>
      <c r="TN5">
        <v>3911187456</v>
      </c>
      <c r="TO5">
        <v>154936</v>
      </c>
      <c r="TP5" t="s">
        <v>1766</v>
      </c>
      <c r="TU5" t="str">
        <f>_xll.BDS("AIG US Equity","SUPPLY_CHAIN_SUPPLIERS_ALL_DATA","cols=12;rows=5")</f>
        <v>PEGA US Equity</v>
      </c>
      <c r="TV5" t="s">
        <v>1685</v>
      </c>
      <c r="TW5">
        <v>1.12E-4</v>
      </c>
      <c r="TX5">
        <v>1.7756999999999998E-2</v>
      </c>
      <c r="TY5" t="s">
        <v>1603</v>
      </c>
      <c r="TZ5">
        <v>2025</v>
      </c>
      <c r="UA5" t="s">
        <v>3163</v>
      </c>
      <c r="UB5" s="6">
        <v>45855</v>
      </c>
      <c r="UC5">
        <v>5</v>
      </c>
      <c r="UD5">
        <v>533</v>
      </c>
      <c r="UE5">
        <v>171977</v>
      </c>
      <c r="UF5" t="s">
        <v>3164</v>
      </c>
      <c r="UI5" t="str">
        <f>_xll.BDS("AIG US Equity","SUPPLY_CHAIN_CUSTOMERS_ALL_DATA","cols=12;rows=5")</f>
        <v>002348 CH Equity</v>
      </c>
      <c r="UJ5">
        <v>-2.4245362661989844E-14</v>
      </c>
      <c r="UL5">
        <v>-2.4245362661989844E-14</v>
      </c>
      <c r="UM5" t="s">
        <v>1594</v>
      </c>
      <c r="UN5">
        <v>2024</v>
      </c>
      <c r="UO5" t="s">
        <v>2695</v>
      </c>
      <c r="UP5" s="6">
        <v>45775</v>
      </c>
      <c r="UQ5">
        <v>5</v>
      </c>
      <c r="UR5">
        <v>-2.4245362661989844E-14</v>
      </c>
      <c r="US5">
        <v>17498579</v>
      </c>
      <c r="UT5" t="s">
        <v>2696</v>
      </c>
      <c r="UY5" t="str">
        <f>_xll.BDS("BX US Equity","SUPPLY_CHAIN_SUPPLIERS_ALL_DATA","cols=12;rows=5")</f>
        <v>ORCL US Equity</v>
      </c>
      <c r="UZ5" t="s">
        <v>1598</v>
      </c>
      <c r="VA5">
        <v>3.7003000000000001E-2</v>
      </c>
      <c r="VB5">
        <v>0.33128000000000002</v>
      </c>
      <c r="VC5" t="s">
        <v>1606</v>
      </c>
      <c r="VD5">
        <v>2025</v>
      </c>
      <c r="VE5" t="s">
        <v>2251</v>
      </c>
      <c r="VF5" s="6">
        <v>45848</v>
      </c>
      <c r="VG5">
        <v>5</v>
      </c>
      <c r="VH5">
        <v>5884587</v>
      </c>
      <c r="VI5">
        <v>101752</v>
      </c>
      <c r="VJ5" t="s">
        <v>2265</v>
      </c>
      <c r="VM5" t="str">
        <f>_xll.BDS("BX US Equity","SUPPLY_CHAIN_CUSTOMERS_ALL_DATA","cols=12;rows=5")</f>
        <v>002284 CH Equity</v>
      </c>
      <c r="VN5">
        <v>-2.4245362661989844E-14</v>
      </c>
      <c r="VP5">
        <v>-2.4245362661989844E-14</v>
      </c>
      <c r="VQ5" t="s">
        <v>1594</v>
      </c>
      <c r="VR5">
        <v>2024</v>
      </c>
      <c r="VS5" t="s">
        <v>1789</v>
      </c>
      <c r="VT5" s="6">
        <v>45744</v>
      </c>
      <c r="VU5">
        <v>5</v>
      </c>
      <c r="VV5">
        <v>-2.4245362661989844E-14</v>
      </c>
      <c r="VW5">
        <v>15069854</v>
      </c>
      <c r="VX5" t="s">
        <v>1790</v>
      </c>
    </row>
    <row r="6" spans="1:600" x14ac:dyDescent="0.25">
      <c r="BI6" t="s">
        <v>2239</v>
      </c>
      <c r="BJ6" t="s">
        <v>1598</v>
      </c>
      <c r="BK6">
        <v>6.3866399999999999</v>
      </c>
      <c r="BL6">
        <v>0.28012599999999999</v>
      </c>
      <c r="BM6" t="s">
        <v>1594</v>
      </c>
      <c r="BN6">
        <v>2024</v>
      </c>
      <c r="BO6" t="s">
        <v>2240</v>
      </c>
      <c r="BP6" s="6">
        <v>45743</v>
      </c>
      <c r="BQ6">
        <v>5</v>
      </c>
      <c r="BR6">
        <v>15398467.58</v>
      </c>
      <c r="BS6">
        <v>64576000</v>
      </c>
      <c r="BT6" t="s">
        <v>2241</v>
      </c>
      <c r="BW6" t="s">
        <v>2775</v>
      </c>
      <c r="BX6">
        <v>-2.4245362661989844E-14</v>
      </c>
      <c r="BZ6">
        <v>-2.4245362661989844E-14</v>
      </c>
      <c r="CA6" t="s">
        <v>1594</v>
      </c>
      <c r="CB6">
        <v>2023</v>
      </c>
      <c r="CC6" t="s">
        <v>2773</v>
      </c>
      <c r="CD6" s="6">
        <v>45035</v>
      </c>
      <c r="CE6">
        <v>5</v>
      </c>
      <c r="CF6">
        <v>-2.4245362661989844E-14</v>
      </c>
      <c r="CG6">
        <v>16893145</v>
      </c>
      <c r="CH6" t="s">
        <v>2776</v>
      </c>
      <c r="DA6" t="s">
        <v>1901</v>
      </c>
      <c r="DB6">
        <v>-2.4245362661989844E-14</v>
      </c>
      <c r="DD6">
        <v>-2.4245362661989844E-14</v>
      </c>
      <c r="DE6" t="s">
        <v>1594</v>
      </c>
      <c r="DF6">
        <v>2025</v>
      </c>
      <c r="DG6" t="s">
        <v>1899</v>
      </c>
      <c r="DH6" s="6">
        <v>45828</v>
      </c>
      <c r="DI6">
        <v>2</v>
      </c>
      <c r="DJ6">
        <v>-2.4245362661989844E-14</v>
      </c>
      <c r="DK6">
        <v>31261592</v>
      </c>
      <c r="DL6" t="s">
        <v>1902</v>
      </c>
      <c r="EU6" t="s">
        <v>3005</v>
      </c>
      <c r="EW6">
        <v>-2.4245362661989844E-14</v>
      </c>
      <c r="EX6">
        <v>-2.4245362661989844E-14</v>
      </c>
      <c r="EY6" t="s">
        <v>1603</v>
      </c>
      <c r="EZ6">
        <v>2026</v>
      </c>
      <c r="FA6" t="s">
        <v>3006</v>
      </c>
      <c r="FB6" s="6">
        <v>45862</v>
      </c>
      <c r="FC6">
        <v>5</v>
      </c>
      <c r="FD6">
        <v>-2.4245362661989844E-14</v>
      </c>
      <c r="FE6">
        <v>68511165</v>
      </c>
      <c r="FF6" t="s">
        <v>3007</v>
      </c>
      <c r="FI6" t="s">
        <v>2481</v>
      </c>
      <c r="FJ6">
        <v>-2.4245362661989844E-14</v>
      </c>
      <c r="FL6">
        <v>-2.4245362661989844E-14</v>
      </c>
      <c r="FM6" t="s">
        <v>1594</v>
      </c>
      <c r="FN6">
        <v>2024</v>
      </c>
      <c r="FO6" t="s">
        <v>2482</v>
      </c>
      <c r="FP6" s="6">
        <v>45544</v>
      </c>
      <c r="FQ6">
        <v>5</v>
      </c>
      <c r="FR6">
        <v>-2.4245362661989844E-14</v>
      </c>
      <c r="FS6">
        <v>101650</v>
      </c>
      <c r="FT6" t="s">
        <v>2483</v>
      </c>
      <c r="HC6" t="s">
        <v>5308</v>
      </c>
      <c r="HE6">
        <v>-2.4245362661989844E-14</v>
      </c>
      <c r="HF6">
        <v>-2.4245362661989844E-14</v>
      </c>
      <c r="HG6" t="s">
        <v>1594</v>
      </c>
      <c r="HH6">
        <v>2023</v>
      </c>
      <c r="HI6" t="s">
        <v>5159</v>
      </c>
      <c r="HJ6" s="6">
        <v>45068</v>
      </c>
      <c r="HK6">
        <v>5</v>
      </c>
      <c r="HL6">
        <v>-2.4245362661989844E-14</v>
      </c>
      <c r="HM6">
        <v>37260707</v>
      </c>
      <c r="HN6" t="s">
        <v>5309</v>
      </c>
      <c r="HQ6" t="s">
        <v>5158</v>
      </c>
      <c r="HR6">
        <v>-2.4245362661989844E-14</v>
      </c>
      <c r="HT6">
        <v>-2.4245362661989844E-14</v>
      </c>
      <c r="HU6" t="s">
        <v>1594</v>
      </c>
      <c r="HV6">
        <v>2022</v>
      </c>
      <c r="HW6" t="s">
        <v>5159</v>
      </c>
      <c r="HX6" s="6">
        <v>44732</v>
      </c>
      <c r="HY6">
        <v>5</v>
      </c>
      <c r="HZ6">
        <v>-2.4245362661989844E-14</v>
      </c>
      <c r="IA6">
        <v>69656039</v>
      </c>
      <c r="IB6" t="s">
        <v>5160</v>
      </c>
      <c r="IG6" t="s">
        <v>3925</v>
      </c>
      <c r="IH6" t="s">
        <v>1634</v>
      </c>
      <c r="II6">
        <v>1.4699450000000001</v>
      </c>
      <c r="IJ6">
        <v>7.1693160000000002</v>
      </c>
      <c r="IK6" t="s">
        <v>1664</v>
      </c>
      <c r="IL6">
        <v>2025</v>
      </c>
      <c r="IM6" t="s">
        <v>3926</v>
      </c>
      <c r="IN6" s="6">
        <v>45937</v>
      </c>
      <c r="IO6">
        <v>5</v>
      </c>
      <c r="IP6">
        <v>67104796</v>
      </c>
      <c r="IQ6">
        <v>194694</v>
      </c>
      <c r="IR6" t="s">
        <v>3927</v>
      </c>
      <c r="IU6" t="s">
        <v>4995</v>
      </c>
      <c r="IV6">
        <v>-2.4245362661989844E-14</v>
      </c>
      <c r="IX6">
        <v>-2.4245362661989844E-14</v>
      </c>
      <c r="IY6" t="s">
        <v>1594</v>
      </c>
      <c r="IZ6">
        <v>2025</v>
      </c>
      <c r="JA6" t="s">
        <v>4996</v>
      </c>
      <c r="JB6" s="6">
        <v>45770</v>
      </c>
      <c r="JC6">
        <v>5</v>
      </c>
      <c r="JD6">
        <v>-2.4245362661989844E-14</v>
      </c>
      <c r="JE6">
        <v>45137010</v>
      </c>
      <c r="JF6" t="s">
        <v>4997</v>
      </c>
      <c r="JY6" t="s">
        <v>1776</v>
      </c>
      <c r="JZ6">
        <v>1.4744619999999999</v>
      </c>
      <c r="KA6" t="s">
        <v>1685</v>
      </c>
      <c r="KB6">
        <v>0.89694700000000005</v>
      </c>
      <c r="KC6" t="s">
        <v>1594</v>
      </c>
      <c r="KD6">
        <v>2024</v>
      </c>
      <c r="KE6" t="s">
        <v>4953</v>
      </c>
      <c r="KF6" s="6">
        <v>45695</v>
      </c>
      <c r="KG6">
        <v>5</v>
      </c>
      <c r="KH6">
        <v>7508750</v>
      </c>
      <c r="KI6">
        <v>106586</v>
      </c>
      <c r="KJ6" t="s">
        <v>1777</v>
      </c>
      <c r="KO6" t="s">
        <v>2556</v>
      </c>
      <c r="KP6" t="s">
        <v>1598</v>
      </c>
      <c r="KQ6">
        <v>1.719265</v>
      </c>
      <c r="KR6">
        <v>2.3625029999999998</v>
      </c>
      <c r="KS6" t="s">
        <v>1599</v>
      </c>
      <c r="KT6">
        <v>2025</v>
      </c>
      <c r="KU6" t="s">
        <v>2557</v>
      </c>
      <c r="KV6" s="6">
        <v>45763</v>
      </c>
      <c r="KW6">
        <v>5</v>
      </c>
      <c r="KX6">
        <v>112715016</v>
      </c>
      <c r="KY6">
        <v>136547</v>
      </c>
      <c r="KZ6" t="s">
        <v>2558</v>
      </c>
      <c r="LC6" t="s">
        <v>2381</v>
      </c>
      <c r="LD6">
        <v>12.78093</v>
      </c>
      <c r="LE6" t="s">
        <v>1634</v>
      </c>
      <c r="LF6">
        <v>9.6125100000000003</v>
      </c>
      <c r="LG6" t="s">
        <v>1606</v>
      </c>
      <c r="LH6">
        <v>2025</v>
      </c>
      <c r="LI6" t="s">
        <v>2691</v>
      </c>
      <c r="LJ6" s="6">
        <v>46010</v>
      </c>
      <c r="LK6">
        <v>5</v>
      </c>
      <c r="LL6">
        <v>2302484480</v>
      </c>
      <c r="LM6">
        <v>46946968</v>
      </c>
      <c r="LN6" t="s">
        <v>2382</v>
      </c>
      <c r="LS6" t="s">
        <v>2303</v>
      </c>
      <c r="LU6">
        <v>-2.4245362661989844E-14</v>
      </c>
      <c r="LV6">
        <v>-2.4245362661989844E-14</v>
      </c>
      <c r="LW6" t="s">
        <v>1594</v>
      </c>
      <c r="LX6">
        <v>2023</v>
      </c>
      <c r="LY6" t="s">
        <v>2304</v>
      </c>
      <c r="LZ6" s="6">
        <v>45042</v>
      </c>
      <c r="MA6">
        <v>5</v>
      </c>
      <c r="MB6">
        <v>-2.4245362661989844E-14</v>
      </c>
      <c r="MC6">
        <v>41727115</v>
      </c>
      <c r="MD6" t="s">
        <v>2305</v>
      </c>
      <c r="MG6" t="s">
        <v>365</v>
      </c>
      <c r="MH6">
        <v>2.5655939999999999</v>
      </c>
      <c r="MI6" t="s">
        <v>1685</v>
      </c>
      <c r="MJ6">
        <v>0.75958400000000004</v>
      </c>
      <c r="MK6" t="s">
        <v>1594</v>
      </c>
      <c r="ML6">
        <v>2024</v>
      </c>
      <c r="MM6" t="s">
        <v>1903</v>
      </c>
      <c r="MN6" s="6">
        <v>45702</v>
      </c>
      <c r="MO6">
        <v>5</v>
      </c>
      <c r="MP6">
        <v>52605000</v>
      </c>
      <c r="MQ6">
        <v>100743</v>
      </c>
      <c r="MR6" t="s">
        <v>1904</v>
      </c>
      <c r="MW6" t="s">
        <v>2239</v>
      </c>
      <c r="MX6" t="s">
        <v>1598</v>
      </c>
      <c r="MY6">
        <v>6.3866399999999999</v>
      </c>
      <c r="MZ6">
        <v>0.28012599999999999</v>
      </c>
      <c r="NA6" t="s">
        <v>1594</v>
      </c>
      <c r="NB6">
        <v>2024</v>
      </c>
      <c r="NC6" t="s">
        <v>2240</v>
      </c>
      <c r="ND6" s="6">
        <v>45743</v>
      </c>
      <c r="NE6">
        <v>5</v>
      </c>
      <c r="NF6">
        <v>15398467.58</v>
      </c>
      <c r="NG6">
        <v>64576000</v>
      </c>
      <c r="NH6" t="s">
        <v>2241</v>
      </c>
      <c r="NK6" t="s">
        <v>2775</v>
      </c>
      <c r="NL6">
        <v>-2.4245362661989844E-14</v>
      </c>
      <c r="NN6">
        <v>-2.4245362661989844E-14</v>
      </c>
      <c r="NO6" t="s">
        <v>1594</v>
      </c>
      <c r="NP6">
        <v>2023</v>
      </c>
      <c r="NQ6" t="s">
        <v>2773</v>
      </c>
      <c r="NR6" s="6">
        <v>45035</v>
      </c>
      <c r="NS6">
        <v>5</v>
      </c>
      <c r="NT6">
        <v>-2.4245362661989844E-14</v>
      </c>
      <c r="NU6">
        <v>16893145</v>
      </c>
      <c r="NV6" t="s">
        <v>2776</v>
      </c>
      <c r="OO6" t="s">
        <v>5823</v>
      </c>
      <c r="OP6">
        <v>2.0513349999999999</v>
      </c>
      <c r="OR6">
        <v>-2.4245362661989844E-14</v>
      </c>
      <c r="OS6" t="s">
        <v>1594</v>
      </c>
      <c r="OT6">
        <v>2024</v>
      </c>
      <c r="OU6" t="s">
        <v>5821</v>
      </c>
      <c r="OV6" s="6">
        <v>45700</v>
      </c>
      <c r="OW6">
        <v>5</v>
      </c>
      <c r="OX6">
        <v>8118250</v>
      </c>
      <c r="OY6">
        <v>8630279</v>
      </c>
      <c r="OZ6" t="s">
        <v>5824</v>
      </c>
      <c r="PE6" t="s">
        <v>3655</v>
      </c>
      <c r="PF6" t="s">
        <v>1634</v>
      </c>
      <c r="PG6">
        <v>5.2401160000000004</v>
      </c>
      <c r="PH6">
        <v>17.831610000000001</v>
      </c>
      <c r="PI6" t="s">
        <v>1664</v>
      </c>
      <c r="PJ6">
        <v>2025</v>
      </c>
      <c r="PK6" t="s">
        <v>3656</v>
      </c>
      <c r="PL6" s="6">
        <v>45889</v>
      </c>
      <c r="PM6">
        <v>5</v>
      </c>
      <c r="PN6">
        <v>3047941433.54</v>
      </c>
      <c r="PO6">
        <v>119133</v>
      </c>
      <c r="PP6" t="s">
        <v>3657</v>
      </c>
      <c r="PS6" t="s">
        <v>1894</v>
      </c>
      <c r="PT6">
        <v>0.67946300000000004</v>
      </c>
      <c r="PU6" t="s">
        <v>1598</v>
      </c>
      <c r="PV6">
        <v>32</v>
      </c>
      <c r="PW6" t="s">
        <v>1594</v>
      </c>
      <c r="PX6">
        <v>2025</v>
      </c>
      <c r="PY6" t="s">
        <v>4663</v>
      </c>
      <c r="PZ6" s="6">
        <v>46065</v>
      </c>
      <c r="QA6">
        <v>5</v>
      </c>
      <c r="QB6">
        <v>518860224</v>
      </c>
      <c r="QC6">
        <v>156637</v>
      </c>
      <c r="QD6" t="s">
        <v>1896</v>
      </c>
      <c r="QI6" t="s">
        <v>5792</v>
      </c>
      <c r="QK6">
        <v>-2.4245362661989844E-14</v>
      </c>
      <c r="QL6">
        <v>-2.4245362661989844E-14</v>
      </c>
      <c r="QM6" t="s">
        <v>1599</v>
      </c>
      <c r="QN6">
        <v>2023</v>
      </c>
      <c r="QO6" t="s">
        <v>5671</v>
      </c>
      <c r="QP6" s="6">
        <v>45166</v>
      </c>
      <c r="QQ6">
        <v>5</v>
      </c>
      <c r="QR6">
        <v>-2.4245362661989844E-14</v>
      </c>
      <c r="QS6">
        <v>26883157</v>
      </c>
      <c r="QT6" t="s">
        <v>5793</v>
      </c>
      <c r="QW6" t="s">
        <v>5668</v>
      </c>
      <c r="QX6">
        <v>-2.4245362661989844E-14</v>
      </c>
      <c r="QZ6">
        <v>-2.4245362661989844E-14</v>
      </c>
      <c r="RA6" t="s">
        <v>1603</v>
      </c>
      <c r="RB6">
        <v>2022</v>
      </c>
      <c r="RC6" t="s">
        <v>5669</v>
      </c>
      <c r="RD6" s="6">
        <v>44685</v>
      </c>
      <c r="RE6">
        <v>5</v>
      </c>
      <c r="RF6">
        <v>-2.4245362661989844E-14</v>
      </c>
      <c r="RG6">
        <v>20677318</v>
      </c>
      <c r="RH6" t="s">
        <v>5670</v>
      </c>
      <c r="RM6" t="s">
        <v>1084</v>
      </c>
      <c r="RN6" t="s">
        <v>1685</v>
      </c>
      <c r="RO6">
        <v>0.1295</v>
      </c>
      <c r="RP6">
        <v>5.6652000000000001E-2</v>
      </c>
      <c r="RQ6" t="s">
        <v>1664</v>
      </c>
      <c r="RR6">
        <v>2025</v>
      </c>
      <c r="RS6" t="s">
        <v>2052</v>
      </c>
      <c r="RT6" s="6">
        <v>45838</v>
      </c>
      <c r="RU6">
        <v>5</v>
      </c>
      <c r="RV6">
        <v>7605535</v>
      </c>
      <c r="RW6">
        <v>101689</v>
      </c>
      <c r="RX6" t="s">
        <v>2053</v>
      </c>
      <c r="SA6" t="s">
        <v>3664</v>
      </c>
      <c r="SB6">
        <v>-2.4245362661989844E-14</v>
      </c>
      <c r="SD6">
        <v>-2.4245362661989844E-14</v>
      </c>
      <c r="SE6" t="s">
        <v>1594</v>
      </c>
      <c r="SF6">
        <v>2023</v>
      </c>
      <c r="SG6" t="s">
        <v>3665</v>
      </c>
      <c r="SH6" s="6">
        <v>45198</v>
      </c>
      <c r="SI6">
        <v>5</v>
      </c>
      <c r="SJ6">
        <v>-2.4245362661989844E-14</v>
      </c>
      <c r="SK6">
        <v>61660379</v>
      </c>
      <c r="SL6" t="s">
        <v>3666</v>
      </c>
      <c r="SQ6" t="s">
        <v>143</v>
      </c>
      <c r="SR6" t="s">
        <v>1598</v>
      </c>
      <c r="SS6">
        <v>0.22900000000000001</v>
      </c>
      <c r="ST6">
        <v>1.2800659999999999</v>
      </c>
      <c r="SU6" t="s">
        <v>1606</v>
      </c>
      <c r="SV6">
        <v>2025</v>
      </c>
      <c r="SW6" t="s">
        <v>2251</v>
      </c>
      <c r="SX6" s="6">
        <v>45848</v>
      </c>
      <c r="SY6">
        <v>5</v>
      </c>
      <c r="SZ6">
        <v>36417872</v>
      </c>
      <c r="TA6">
        <v>101752</v>
      </c>
      <c r="TB6" t="s">
        <v>2265</v>
      </c>
      <c r="TE6" t="s">
        <v>959</v>
      </c>
      <c r="TF6">
        <v>16</v>
      </c>
      <c r="TG6" t="s">
        <v>1598</v>
      </c>
      <c r="TH6">
        <v>3.190922</v>
      </c>
      <c r="TI6" t="s">
        <v>1594</v>
      </c>
      <c r="TJ6">
        <v>2025</v>
      </c>
      <c r="TK6" t="s">
        <v>2824</v>
      </c>
      <c r="TL6" s="6">
        <v>46079</v>
      </c>
      <c r="TM6">
        <v>5</v>
      </c>
      <c r="TN6">
        <v>2503160064</v>
      </c>
      <c r="TO6">
        <v>156969</v>
      </c>
      <c r="TP6" t="s">
        <v>1767</v>
      </c>
      <c r="TU6" t="s">
        <v>3165</v>
      </c>
      <c r="TW6">
        <v>-2.4245362661989844E-14</v>
      </c>
      <c r="TX6">
        <v>-2.4245362661989844E-14</v>
      </c>
      <c r="TY6" t="s">
        <v>1651</v>
      </c>
      <c r="TZ6">
        <v>2024</v>
      </c>
      <c r="UA6" t="s">
        <v>3166</v>
      </c>
      <c r="UB6" s="6">
        <v>45607</v>
      </c>
      <c r="UC6">
        <v>5</v>
      </c>
      <c r="UD6">
        <v>-2.4245362661989844E-14</v>
      </c>
      <c r="UE6">
        <v>7192714</v>
      </c>
      <c r="UF6" t="s">
        <v>3167</v>
      </c>
      <c r="UI6" t="s">
        <v>2697</v>
      </c>
      <c r="UJ6">
        <v>-2.4245362661989844E-14</v>
      </c>
      <c r="UL6">
        <v>-2.4245362661989844E-14</v>
      </c>
      <c r="UM6" t="s">
        <v>1594</v>
      </c>
      <c r="UN6">
        <v>2022</v>
      </c>
      <c r="UO6" t="s">
        <v>2698</v>
      </c>
      <c r="UP6" s="6">
        <v>44986</v>
      </c>
      <c r="UQ6">
        <v>5</v>
      </c>
      <c r="UR6">
        <v>-2.4245362661989844E-14</v>
      </c>
      <c r="US6">
        <v>17149569</v>
      </c>
      <c r="UT6" t="s">
        <v>2699</v>
      </c>
      <c r="UY6" t="s">
        <v>2266</v>
      </c>
      <c r="UZ6" t="s">
        <v>1685</v>
      </c>
      <c r="VA6">
        <v>0.597939</v>
      </c>
      <c r="VB6">
        <v>5.9714000000000003E-2</v>
      </c>
      <c r="VC6" t="s">
        <v>1594</v>
      </c>
      <c r="VD6">
        <v>2024</v>
      </c>
      <c r="VE6" t="s">
        <v>2267</v>
      </c>
      <c r="VF6" s="6">
        <v>45694</v>
      </c>
      <c r="VG6">
        <v>5</v>
      </c>
      <c r="VH6">
        <v>957052.25</v>
      </c>
      <c r="VI6">
        <v>103579</v>
      </c>
      <c r="VJ6" t="s">
        <v>2268</v>
      </c>
      <c r="VM6" t="s">
        <v>1791</v>
      </c>
      <c r="VN6">
        <v>-2.4245362661989844E-14</v>
      </c>
      <c r="VP6">
        <v>-2.4245362661989844E-14</v>
      </c>
      <c r="VQ6" t="s">
        <v>1792</v>
      </c>
      <c r="VR6">
        <v>2025</v>
      </c>
      <c r="VS6" t="s">
        <v>1793</v>
      </c>
      <c r="VT6" s="6">
        <v>45894</v>
      </c>
      <c r="VU6">
        <v>5</v>
      </c>
      <c r="VV6">
        <v>-2.4245362661989844E-14</v>
      </c>
      <c r="VW6">
        <v>15149577</v>
      </c>
      <c r="VX6" t="s">
        <v>1794</v>
      </c>
    </row>
    <row r="7" spans="1:600" x14ac:dyDescent="0.25">
      <c r="BI7" t="s">
        <v>3972</v>
      </c>
      <c r="BJ7" t="s">
        <v>1598</v>
      </c>
      <c r="BK7">
        <v>0.91312700000000002</v>
      </c>
      <c r="BL7">
        <v>0.171181</v>
      </c>
      <c r="BM7" t="s">
        <v>1606</v>
      </c>
      <c r="BN7">
        <v>2025</v>
      </c>
      <c r="BO7" t="s">
        <v>3973</v>
      </c>
      <c r="BP7" s="6">
        <v>45994</v>
      </c>
      <c r="BQ7">
        <v>5</v>
      </c>
      <c r="BR7">
        <v>9088024</v>
      </c>
      <c r="BS7">
        <v>132674</v>
      </c>
      <c r="BT7" t="s">
        <v>3974</v>
      </c>
      <c r="BW7" t="s">
        <v>2777</v>
      </c>
      <c r="BX7">
        <v>-2.4245362661989844E-14</v>
      </c>
      <c r="BZ7">
        <v>-2.4245362661989844E-14</v>
      </c>
      <c r="CA7" t="s">
        <v>1664</v>
      </c>
      <c r="CB7">
        <v>2024</v>
      </c>
      <c r="CC7" t="s">
        <v>2778</v>
      </c>
      <c r="CD7" s="6">
        <v>45499</v>
      </c>
      <c r="CE7">
        <v>5</v>
      </c>
      <c r="CF7">
        <v>-2.4245362661989844E-14</v>
      </c>
      <c r="CG7">
        <v>18844205</v>
      </c>
      <c r="CH7" t="s">
        <v>2779</v>
      </c>
      <c r="EU7" t="s">
        <v>3008</v>
      </c>
      <c r="EW7">
        <v>-2.4245362661989844E-14</v>
      </c>
      <c r="EX7">
        <v>-2.4245362661989844E-14</v>
      </c>
      <c r="EY7" t="s">
        <v>1594</v>
      </c>
      <c r="EZ7">
        <v>2023</v>
      </c>
      <c r="FA7" t="s">
        <v>2482</v>
      </c>
      <c r="FB7" s="6">
        <v>45035</v>
      </c>
      <c r="FC7">
        <v>5</v>
      </c>
      <c r="FD7">
        <v>-2.4245362661989844E-14</v>
      </c>
      <c r="FE7">
        <v>67873882</v>
      </c>
      <c r="FF7" t="s">
        <v>3009</v>
      </c>
      <c r="FI7" t="s">
        <v>2484</v>
      </c>
      <c r="FJ7">
        <v>-2.4245362661989844E-14</v>
      </c>
      <c r="FL7">
        <v>-2.4245362661989844E-14</v>
      </c>
      <c r="FM7" t="s">
        <v>1594</v>
      </c>
      <c r="FN7">
        <v>2025</v>
      </c>
      <c r="FO7" t="s">
        <v>2482</v>
      </c>
      <c r="FP7" s="6">
        <v>45756</v>
      </c>
      <c r="FQ7">
        <v>5</v>
      </c>
      <c r="FR7">
        <v>-2.4245362661989844E-14</v>
      </c>
      <c r="FS7">
        <v>107412</v>
      </c>
      <c r="FT7" t="s">
        <v>2485</v>
      </c>
      <c r="HC7" t="s">
        <v>3548</v>
      </c>
      <c r="HE7">
        <v>-2.4245362661989844E-14</v>
      </c>
      <c r="HF7">
        <v>-2.4245362661989844E-14</v>
      </c>
      <c r="HG7" t="s">
        <v>1594</v>
      </c>
      <c r="HH7">
        <v>2021</v>
      </c>
      <c r="HI7" t="s">
        <v>5310</v>
      </c>
      <c r="HJ7" s="6">
        <v>44677</v>
      </c>
      <c r="HK7">
        <v>5</v>
      </c>
      <c r="HL7">
        <v>-2.4245362661989844E-14</v>
      </c>
      <c r="HM7">
        <v>10142668</v>
      </c>
      <c r="HN7" t="s">
        <v>3550</v>
      </c>
      <c r="HQ7" t="s">
        <v>5161</v>
      </c>
      <c r="HR7">
        <v>-2.4245362661989844E-14</v>
      </c>
      <c r="HT7">
        <v>-2.4245362661989844E-14</v>
      </c>
      <c r="HU7" t="s">
        <v>1594</v>
      </c>
      <c r="HV7">
        <v>2024</v>
      </c>
      <c r="HW7" t="s">
        <v>5159</v>
      </c>
      <c r="HX7" s="6">
        <v>45356</v>
      </c>
      <c r="HY7">
        <v>5</v>
      </c>
      <c r="HZ7">
        <v>-2.4245362661989844E-14</v>
      </c>
      <c r="IA7">
        <v>70384894</v>
      </c>
      <c r="IB7" t="s">
        <v>5162</v>
      </c>
      <c r="IG7" t="s">
        <v>3928</v>
      </c>
      <c r="IH7" t="s">
        <v>1634</v>
      </c>
      <c r="II7">
        <v>5.1439310000000003</v>
      </c>
      <c r="IJ7">
        <v>2.5918369999999999</v>
      </c>
      <c r="IK7" t="s">
        <v>1603</v>
      </c>
      <c r="IL7">
        <v>2025</v>
      </c>
      <c r="IM7" t="s">
        <v>3929</v>
      </c>
      <c r="IN7" s="6">
        <v>45805</v>
      </c>
      <c r="IO7">
        <v>5</v>
      </c>
      <c r="IP7">
        <v>23482044</v>
      </c>
      <c r="IQ7">
        <v>9291252</v>
      </c>
      <c r="IR7" t="s">
        <v>3930</v>
      </c>
      <c r="IU7" t="s">
        <v>4998</v>
      </c>
      <c r="IV7">
        <v>-2.4245362661989844E-14</v>
      </c>
      <c r="IX7">
        <v>-2.4245362661989844E-14</v>
      </c>
      <c r="IY7" t="s">
        <v>1594</v>
      </c>
      <c r="IZ7">
        <v>2025</v>
      </c>
      <c r="JA7" t="s">
        <v>4996</v>
      </c>
      <c r="JB7" s="6">
        <v>45743</v>
      </c>
      <c r="JC7">
        <v>5</v>
      </c>
      <c r="JD7">
        <v>-2.4245362661989844E-14</v>
      </c>
      <c r="JE7">
        <v>69216845</v>
      </c>
      <c r="JF7" t="s">
        <v>4999</v>
      </c>
      <c r="JY7" t="s">
        <v>365</v>
      </c>
      <c r="JZ7">
        <v>1.453058</v>
      </c>
      <c r="KA7" t="s">
        <v>1685</v>
      </c>
      <c r="KB7">
        <v>0.106848</v>
      </c>
      <c r="KC7" t="s">
        <v>1594</v>
      </c>
      <c r="KD7">
        <v>2024</v>
      </c>
      <c r="KE7" t="s">
        <v>4953</v>
      </c>
      <c r="KF7" s="6">
        <v>45695</v>
      </c>
      <c r="KG7">
        <v>5</v>
      </c>
      <c r="KH7">
        <v>7399750</v>
      </c>
      <c r="KI7">
        <v>100743</v>
      </c>
      <c r="KJ7" t="s">
        <v>1904</v>
      </c>
      <c r="KO7" t="s">
        <v>3145</v>
      </c>
      <c r="KP7" t="s">
        <v>1598</v>
      </c>
      <c r="KQ7">
        <v>2.2397900000000002</v>
      </c>
      <c r="KR7">
        <v>2.1066569999999998</v>
      </c>
      <c r="KS7" t="s">
        <v>1603</v>
      </c>
      <c r="KT7">
        <v>2025</v>
      </c>
      <c r="KU7" t="s">
        <v>3146</v>
      </c>
      <c r="KV7" s="6">
        <v>45819</v>
      </c>
      <c r="KW7">
        <v>5</v>
      </c>
      <c r="KX7">
        <v>100876352.45999999</v>
      </c>
      <c r="KY7">
        <v>58244711</v>
      </c>
      <c r="KZ7" t="s">
        <v>3147</v>
      </c>
      <c r="LC7" t="s">
        <v>1917</v>
      </c>
      <c r="LD7">
        <v>5.1662800000000004</v>
      </c>
      <c r="LE7" t="s">
        <v>1598</v>
      </c>
      <c r="LF7">
        <v>1.7195480000000001</v>
      </c>
      <c r="LG7" t="s">
        <v>1606</v>
      </c>
      <c r="LH7">
        <v>2025</v>
      </c>
      <c r="LI7" t="s">
        <v>2691</v>
      </c>
      <c r="LJ7" s="6">
        <v>46010</v>
      </c>
      <c r="LK7">
        <v>5</v>
      </c>
      <c r="LL7">
        <v>930705344</v>
      </c>
      <c r="LM7">
        <v>101695</v>
      </c>
      <c r="LN7" t="s">
        <v>1919</v>
      </c>
      <c r="LS7" t="s">
        <v>2306</v>
      </c>
      <c r="LU7">
        <v>-2.4245362661989844E-14</v>
      </c>
      <c r="LV7">
        <v>-2.4245362661989844E-14</v>
      </c>
      <c r="LW7" t="s">
        <v>1603</v>
      </c>
      <c r="LX7">
        <v>2026</v>
      </c>
      <c r="LY7" t="s">
        <v>2307</v>
      </c>
      <c r="LZ7" s="6">
        <v>46002</v>
      </c>
      <c r="MA7">
        <v>5</v>
      </c>
      <c r="MB7">
        <v>-2.4245362661989844E-14</v>
      </c>
      <c r="MC7">
        <v>65904199</v>
      </c>
      <c r="MD7" t="s">
        <v>2308</v>
      </c>
      <c r="MG7" t="s">
        <v>1905</v>
      </c>
      <c r="MH7">
        <v>1.557682</v>
      </c>
      <c r="MI7" t="s">
        <v>1685</v>
      </c>
      <c r="MJ7">
        <v>0.86001300000000003</v>
      </c>
      <c r="MK7" t="s">
        <v>1594</v>
      </c>
      <c r="ML7">
        <v>2024</v>
      </c>
      <c r="MM7" t="s">
        <v>1903</v>
      </c>
      <c r="MN7" s="6">
        <v>45702</v>
      </c>
      <c r="MO7">
        <v>5</v>
      </c>
      <c r="MP7">
        <v>31938750</v>
      </c>
      <c r="MQ7">
        <v>100554</v>
      </c>
      <c r="MR7" t="s">
        <v>1906</v>
      </c>
      <c r="MW7" t="s">
        <v>3972</v>
      </c>
      <c r="MX7" t="s">
        <v>1598</v>
      </c>
      <c r="MY7">
        <v>0.91312700000000002</v>
      </c>
      <c r="MZ7">
        <v>0.171181</v>
      </c>
      <c r="NA7" t="s">
        <v>1606</v>
      </c>
      <c r="NB7">
        <v>2025</v>
      </c>
      <c r="NC7" t="s">
        <v>3973</v>
      </c>
      <c r="ND7" s="6">
        <v>45994</v>
      </c>
      <c r="NE7">
        <v>5</v>
      </c>
      <c r="NF7">
        <v>9088024</v>
      </c>
      <c r="NG7">
        <v>132674</v>
      </c>
      <c r="NH7" t="s">
        <v>3974</v>
      </c>
      <c r="NK7" t="s">
        <v>2777</v>
      </c>
      <c r="NL7">
        <v>-2.4245362661989844E-14</v>
      </c>
      <c r="NN7">
        <v>-2.4245362661989844E-14</v>
      </c>
      <c r="NO7" t="s">
        <v>1664</v>
      </c>
      <c r="NP7">
        <v>2024</v>
      </c>
      <c r="NQ7" t="s">
        <v>2778</v>
      </c>
      <c r="NR7" s="6">
        <v>45499</v>
      </c>
      <c r="NS7">
        <v>5</v>
      </c>
      <c r="NT7">
        <v>-2.4245362661989844E-14</v>
      </c>
      <c r="NU7">
        <v>18844205</v>
      </c>
      <c r="NV7" t="s">
        <v>2779</v>
      </c>
      <c r="OO7" t="s">
        <v>5825</v>
      </c>
      <c r="OP7">
        <v>1.7084459999999999</v>
      </c>
      <c r="OQ7" t="s">
        <v>1685</v>
      </c>
      <c r="OR7">
        <v>0.46177499999999999</v>
      </c>
      <c r="OS7" t="s">
        <v>1594</v>
      </c>
      <c r="OT7">
        <v>2024</v>
      </c>
      <c r="OU7" t="s">
        <v>5821</v>
      </c>
      <c r="OV7" s="6">
        <v>45700</v>
      </c>
      <c r="OW7">
        <v>5</v>
      </c>
      <c r="OX7">
        <v>6761252</v>
      </c>
      <c r="OY7">
        <v>49334114</v>
      </c>
      <c r="OZ7" t="s">
        <v>5826</v>
      </c>
      <c r="PE7" t="s">
        <v>2587</v>
      </c>
      <c r="PF7" t="s">
        <v>1634</v>
      </c>
      <c r="PG7">
        <v>8.8760320000000004</v>
      </c>
      <c r="PH7">
        <v>5.0127040000000003</v>
      </c>
      <c r="PI7" t="s">
        <v>1599</v>
      </c>
      <c r="PJ7">
        <v>2025</v>
      </c>
      <c r="PK7" t="s">
        <v>3857</v>
      </c>
      <c r="PL7" s="6">
        <v>46080</v>
      </c>
      <c r="PM7">
        <v>5</v>
      </c>
      <c r="PN7">
        <v>1565479588.27</v>
      </c>
      <c r="PO7">
        <v>193974</v>
      </c>
      <c r="PP7" t="s">
        <v>2588</v>
      </c>
      <c r="PS7" t="s">
        <v>4664</v>
      </c>
      <c r="PT7">
        <v>0.257766</v>
      </c>
      <c r="PU7" t="s">
        <v>1598</v>
      </c>
      <c r="PV7">
        <v>3.7523520000000001</v>
      </c>
      <c r="PW7" t="s">
        <v>1664</v>
      </c>
      <c r="PX7">
        <v>2025</v>
      </c>
      <c r="PY7" t="s">
        <v>4665</v>
      </c>
      <c r="PZ7" s="6">
        <v>45910</v>
      </c>
      <c r="QA7">
        <v>5</v>
      </c>
      <c r="QB7">
        <v>197200308.5</v>
      </c>
      <c r="QC7">
        <v>193775</v>
      </c>
      <c r="QD7" t="s">
        <v>4666</v>
      </c>
      <c r="QI7" t="s">
        <v>5794</v>
      </c>
      <c r="QK7">
        <v>-2.4245362661989844E-14</v>
      </c>
      <c r="QL7">
        <v>-2.4245362661989844E-14</v>
      </c>
      <c r="QM7" t="s">
        <v>1599</v>
      </c>
      <c r="QN7">
        <v>2023</v>
      </c>
      <c r="QO7" t="s">
        <v>5671</v>
      </c>
      <c r="QP7" s="6">
        <v>45166</v>
      </c>
      <c r="QQ7">
        <v>5</v>
      </c>
      <c r="QR7">
        <v>-2.4245362661989844E-14</v>
      </c>
      <c r="QS7">
        <v>37429492</v>
      </c>
      <c r="QT7" t="s">
        <v>5795</v>
      </c>
      <c r="QW7" t="s">
        <v>1621</v>
      </c>
      <c r="QX7">
        <v>-2.4245362661989844E-14</v>
      </c>
      <c r="QZ7">
        <v>-2.4245362661989844E-14</v>
      </c>
      <c r="RA7" t="s">
        <v>1603</v>
      </c>
      <c r="RB7">
        <v>2022</v>
      </c>
      <c r="RC7" t="s">
        <v>5669</v>
      </c>
      <c r="RD7" s="6">
        <v>44685</v>
      </c>
      <c r="RE7">
        <v>5</v>
      </c>
      <c r="RF7">
        <v>-2.4245362661989844E-14</v>
      </c>
      <c r="RG7">
        <v>218252</v>
      </c>
      <c r="RH7" t="s">
        <v>1622</v>
      </c>
      <c r="RM7" t="s">
        <v>3333</v>
      </c>
      <c r="RN7" t="s">
        <v>1685</v>
      </c>
      <c r="RO7">
        <v>0.91660699999999995</v>
      </c>
      <c r="RP7">
        <v>2.2012E-2</v>
      </c>
      <c r="RQ7" t="s">
        <v>1606</v>
      </c>
      <c r="RR7">
        <v>2024</v>
      </c>
      <c r="RS7" t="s">
        <v>3334</v>
      </c>
      <c r="RT7" s="6">
        <v>45776</v>
      </c>
      <c r="RU7">
        <v>5</v>
      </c>
      <c r="RV7">
        <v>2902454</v>
      </c>
      <c r="RW7">
        <v>171490</v>
      </c>
      <c r="RX7" t="s">
        <v>3335</v>
      </c>
      <c r="SA7" t="s">
        <v>3667</v>
      </c>
      <c r="SB7">
        <v>-2.4245362661989844E-14</v>
      </c>
      <c r="SD7">
        <v>-2.4245362661989844E-14</v>
      </c>
      <c r="SE7" t="s">
        <v>1594</v>
      </c>
      <c r="SF7">
        <v>2023</v>
      </c>
      <c r="SG7" t="s">
        <v>3665</v>
      </c>
      <c r="SH7" s="6">
        <v>45188</v>
      </c>
      <c r="SI7">
        <v>5</v>
      </c>
      <c r="SJ7">
        <v>-2.4245362661989844E-14</v>
      </c>
      <c r="SK7">
        <v>71227770</v>
      </c>
      <c r="SL7" t="s">
        <v>3668</v>
      </c>
      <c r="SQ7" t="s">
        <v>3347</v>
      </c>
      <c r="SR7" t="s">
        <v>1598</v>
      </c>
      <c r="SS7">
        <v>3.7231350000000001</v>
      </c>
      <c r="ST7">
        <v>0.80518199999999995</v>
      </c>
      <c r="SU7" t="s">
        <v>1599</v>
      </c>
      <c r="SV7">
        <v>2025</v>
      </c>
      <c r="SW7" t="s">
        <v>3348</v>
      </c>
      <c r="SX7" s="6">
        <v>46069</v>
      </c>
      <c r="SY7">
        <v>5</v>
      </c>
      <c r="SZ7">
        <v>33600181.100000001</v>
      </c>
      <c r="TA7">
        <v>153809</v>
      </c>
      <c r="TB7" t="s">
        <v>3349</v>
      </c>
      <c r="TE7" t="s">
        <v>618</v>
      </c>
      <c r="TF7">
        <v>13</v>
      </c>
      <c r="TG7" t="s">
        <v>1598</v>
      </c>
      <c r="TH7">
        <v>3.4525320000000002</v>
      </c>
      <c r="TI7" t="s">
        <v>1594</v>
      </c>
      <c r="TJ7">
        <v>2025</v>
      </c>
      <c r="TK7" t="s">
        <v>2824</v>
      </c>
      <c r="TL7" s="6">
        <v>46079</v>
      </c>
      <c r="TM7">
        <v>5</v>
      </c>
      <c r="TN7">
        <v>2033817472</v>
      </c>
      <c r="TO7">
        <v>102782</v>
      </c>
      <c r="TP7" t="s">
        <v>1626</v>
      </c>
      <c r="TU7" t="s">
        <v>3168</v>
      </c>
      <c r="TW7">
        <v>-2.4245362661989844E-14</v>
      </c>
      <c r="TX7">
        <v>-2.4245362661989844E-14</v>
      </c>
      <c r="TY7" t="s">
        <v>1792</v>
      </c>
      <c r="TZ7">
        <v>2025</v>
      </c>
      <c r="UA7" t="s">
        <v>3169</v>
      </c>
      <c r="UB7" s="6">
        <v>45890</v>
      </c>
      <c r="UC7">
        <v>5</v>
      </c>
      <c r="UD7">
        <v>-2.4245362661989844E-14</v>
      </c>
      <c r="UE7">
        <v>38007258</v>
      </c>
      <c r="UF7" t="s">
        <v>3170</v>
      </c>
      <c r="UI7" t="s">
        <v>2700</v>
      </c>
      <c r="UJ7">
        <v>-2.4245362661989844E-14</v>
      </c>
      <c r="UL7">
        <v>-2.4245362661989844E-14</v>
      </c>
      <c r="UM7" t="s">
        <v>1651</v>
      </c>
      <c r="UN7">
        <v>2022</v>
      </c>
      <c r="UO7" t="s">
        <v>2701</v>
      </c>
      <c r="UP7" s="6">
        <v>44895</v>
      </c>
      <c r="UQ7">
        <v>5</v>
      </c>
      <c r="UR7">
        <v>-2.4245362661989844E-14</v>
      </c>
      <c r="US7">
        <v>67286948</v>
      </c>
      <c r="UT7" t="s">
        <v>2702</v>
      </c>
      <c r="UY7" t="s">
        <v>2269</v>
      </c>
      <c r="UZ7" t="s">
        <v>1598</v>
      </c>
      <c r="VA7">
        <v>7.4065000000000006E-2</v>
      </c>
      <c r="VB7">
        <v>2.879E-3</v>
      </c>
      <c r="VC7" t="s">
        <v>1594</v>
      </c>
      <c r="VD7">
        <v>2024</v>
      </c>
      <c r="VE7" t="s">
        <v>2270</v>
      </c>
      <c r="VF7" s="6">
        <v>45758</v>
      </c>
      <c r="VG7">
        <v>5</v>
      </c>
      <c r="VH7">
        <v>46697.46</v>
      </c>
      <c r="VI7">
        <v>130878</v>
      </c>
      <c r="VJ7" t="s">
        <v>2271</v>
      </c>
      <c r="VM7" t="s">
        <v>1795</v>
      </c>
      <c r="VN7">
        <v>-2.4245362661989844E-14</v>
      </c>
      <c r="VP7">
        <v>-2.4245362661989844E-14</v>
      </c>
      <c r="VQ7" t="s">
        <v>1664</v>
      </c>
      <c r="VR7">
        <v>2024</v>
      </c>
      <c r="VS7" t="s">
        <v>1796</v>
      </c>
      <c r="VT7" s="6">
        <v>45433</v>
      </c>
      <c r="VU7">
        <v>5</v>
      </c>
      <c r="VV7">
        <v>-2.4245362661989844E-14</v>
      </c>
      <c r="VW7">
        <v>27196144</v>
      </c>
      <c r="VX7" t="s">
        <v>1797</v>
      </c>
    </row>
    <row r="8" spans="1:600" x14ac:dyDescent="0.25">
      <c r="BI8" t="s">
        <v>3975</v>
      </c>
      <c r="BJ8" t="s">
        <v>1634</v>
      </c>
      <c r="BK8">
        <v>6.8835999999999994E-2</v>
      </c>
      <c r="BL8">
        <v>2.0836039999999998</v>
      </c>
      <c r="BM8" t="s">
        <v>1664</v>
      </c>
      <c r="BN8">
        <v>2025</v>
      </c>
      <c r="BO8" t="s">
        <v>3976</v>
      </c>
      <c r="BP8" s="6">
        <v>45937</v>
      </c>
      <c r="BQ8">
        <v>5</v>
      </c>
      <c r="BR8">
        <v>6271648</v>
      </c>
      <c r="BS8">
        <v>69818593</v>
      </c>
      <c r="BT8" t="s">
        <v>3977</v>
      </c>
      <c r="BW8" t="s">
        <v>1795</v>
      </c>
      <c r="BX8">
        <v>-2.4245362661989844E-14</v>
      </c>
      <c r="BZ8">
        <v>-2.4245362661989844E-14</v>
      </c>
      <c r="CA8" t="s">
        <v>1664</v>
      </c>
      <c r="CB8">
        <v>2024</v>
      </c>
      <c r="CC8" t="s">
        <v>1796</v>
      </c>
      <c r="CD8" s="6">
        <v>45433</v>
      </c>
      <c r="CE8">
        <v>5</v>
      </c>
      <c r="CF8">
        <v>-2.4245362661989844E-14</v>
      </c>
      <c r="CG8">
        <v>27196144</v>
      </c>
      <c r="CH8" t="s">
        <v>1797</v>
      </c>
      <c r="EU8" t="s">
        <v>460</v>
      </c>
      <c r="EW8">
        <v>-2.4245362661989844E-14</v>
      </c>
      <c r="EX8">
        <v>-2.4245362661989844E-14</v>
      </c>
      <c r="EY8" t="s">
        <v>1594</v>
      </c>
      <c r="EZ8">
        <v>2021</v>
      </c>
      <c r="FA8" t="s">
        <v>3010</v>
      </c>
      <c r="FB8" s="6">
        <v>44693</v>
      </c>
      <c r="FC8">
        <v>5</v>
      </c>
      <c r="FD8">
        <v>-2.4245362661989844E-14</v>
      </c>
      <c r="FE8">
        <v>54282724</v>
      </c>
      <c r="FF8" t="s">
        <v>3011</v>
      </c>
      <c r="FI8" t="s">
        <v>2486</v>
      </c>
      <c r="FJ8">
        <v>-2.4245362661989844E-14</v>
      </c>
      <c r="FL8">
        <v>-2.4245362661989844E-14</v>
      </c>
      <c r="FM8" t="s">
        <v>1594</v>
      </c>
      <c r="FN8">
        <v>2023</v>
      </c>
      <c r="FO8" t="s">
        <v>2487</v>
      </c>
      <c r="FP8" s="6">
        <v>45027</v>
      </c>
      <c r="FQ8">
        <v>5</v>
      </c>
      <c r="FR8">
        <v>-2.4245362661989844E-14</v>
      </c>
      <c r="FS8">
        <v>1096220</v>
      </c>
      <c r="FT8" t="s">
        <v>2488</v>
      </c>
      <c r="HC8" t="s">
        <v>5311</v>
      </c>
      <c r="HE8">
        <v>-2.4245362661989844E-14</v>
      </c>
      <c r="HF8">
        <v>-2.4245362661989844E-14</v>
      </c>
      <c r="HG8" t="s">
        <v>1603</v>
      </c>
      <c r="HH8">
        <v>2024</v>
      </c>
      <c r="HI8" t="s">
        <v>5312</v>
      </c>
      <c r="HJ8" s="6">
        <v>45175</v>
      </c>
      <c r="HK8">
        <v>5</v>
      </c>
      <c r="HL8">
        <v>-2.4245362661989844E-14</v>
      </c>
      <c r="HM8">
        <v>126987</v>
      </c>
      <c r="HN8" t="s">
        <v>5313</v>
      </c>
      <c r="HQ8" t="s">
        <v>5163</v>
      </c>
      <c r="HR8">
        <v>-2.4245362661989844E-14</v>
      </c>
      <c r="HT8">
        <v>-2.4245362661989844E-14</v>
      </c>
      <c r="HU8" t="s">
        <v>1594</v>
      </c>
      <c r="HV8">
        <v>2022</v>
      </c>
      <c r="HW8" t="s">
        <v>5164</v>
      </c>
      <c r="HX8" s="6">
        <v>45055</v>
      </c>
      <c r="HY8">
        <v>5</v>
      </c>
      <c r="HZ8">
        <v>-2.4245362661989844E-14</v>
      </c>
      <c r="IA8">
        <v>9152714</v>
      </c>
      <c r="IB8" t="s">
        <v>5165</v>
      </c>
      <c r="IG8" t="s">
        <v>143</v>
      </c>
      <c r="IH8" t="s">
        <v>1598</v>
      </c>
      <c r="II8">
        <v>6.0181999999999999E-2</v>
      </c>
      <c r="IJ8">
        <v>0.26178200000000001</v>
      </c>
      <c r="IK8" t="s">
        <v>1606</v>
      </c>
      <c r="IL8">
        <v>2025</v>
      </c>
      <c r="IM8" t="s">
        <v>2251</v>
      </c>
      <c r="IN8" s="6">
        <v>45848</v>
      </c>
      <c r="IO8">
        <v>5</v>
      </c>
      <c r="IP8">
        <v>9570743</v>
      </c>
      <c r="IQ8">
        <v>101752</v>
      </c>
      <c r="IR8" t="s">
        <v>2265</v>
      </c>
      <c r="IU8" t="s">
        <v>1085</v>
      </c>
      <c r="IV8">
        <v>-2.4245362661989844E-14</v>
      </c>
      <c r="IX8">
        <v>-2.4245362661989844E-14</v>
      </c>
      <c r="IY8" t="s">
        <v>1594</v>
      </c>
      <c r="IZ8">
        <v>2023</v>
      </c>
      <c r="JA8" t="s">
        <v>3440</v>
      </c>
      <c r="JB8" s="6">
        <v>45337</v>
      </c>
      <c r="JC8">
        <v>5</v>
      </c>
      <c r="JD8">
        <v>-2.4245362661989844E-14</v>
      </c>
      <c r="JE8">
        <v>225815</v>
      </c>
      <c r="JF8" t="s">
        <v>5000</v>
      </c>
      <c r="JY8" t="s">
        <v>303</v>
      </c>
      <c r="JZ8">
        <v>1.4319980000000001</v>
      </c>
      <c r="KA8" t="s">
        <v>1685</v>
      </c>
      <c r="KB8">
        <v>5.2781000000000002E-2</v>
      </c>
      <c r="KC8" t="s">
        <v>1594</v>
      </c>
      <c r="KD8">
        <v>2024</v>
      </c>
      <c r="KE8" t="s">
        <v>4953</v>
      </c>
      <c r="KF8" s="6">
        <v>45695</v>
      </c>
      <c r="KG8">
        <v>5</v>
      </c>
      <c r="KH8">
        <v>7292500</v>
      </c>
      <c r="KI8">
        <v>216952</v>
      </c>
      <c r="KJ8" t="s">
        <v>1631</v>
      </c>
      <c r="KO8" t="s">
        <v>3148</v>
      </c>
      <c r="KP8" t="s">
        <v>1598</v>
      </c>
      <c r="KQ8">
        <v>4.102576</v>
      </c>
      <c r="KR8">
        <v>1.707241</v>
      </c>
      <c r="KS8" t="s">
        <v>1599</v>
      </c>
      <c r="KT8">
        <v>2025</v>
      </c>
      <c r="KU8" t="s">
        <v>3149</v>
      </c>
      <c r="KV8" s="6">
        <v>46041</v>
      </c>
      <c r="KW8">
        <v>5</v>
      </c>
      <c r="KX8">
        <v>100021088.84999999</v>
      </c>
      <c r="KY8">
        <v>178387</v>
      </c>
      <c r="KZ8" t="s">
        <v>3150</v>
      </c>
      <c r="LC8" t="s">
        <v>2693</v>
      </c>
      <c r="LD8">
        <v>5.1102369999999997</v>
      </c>
      <c r="LE8" t="s">
        <v>1634</v>
      </c>
      <c r="LF8">
        <v>4.8893149999999999</v>
      </c>
      <c r="LG8" t="s">
        <v>1606</v>
      </c>
      <c r="LH8">
        <v>2025</v>
      </c>
      <c r="LI8" t="s">
        <v>2691</v>
      </c>
      <c r="LJ8" s="6">
        <v>46010</v>
      </c>
      <c r="LK8">
        <v>5</v>
      </c>
      <c r="LL8">
        <v>920609216</v>
      </c>
      <c r="LM8">
        <v>11092218</v>
      </c>
      <c r="LN8" t="s">
        <v>2694</v>
      </c>
      <c r="LS8" t="s">
        <v>2309</v>
      </c>
      <c r="LU8">
        <v>-2.4245362661989844E-14</v>
      </c>
      <c r="LV8">
        <v>-2.4245362661989844E-14</v>
      </c>
      <c r="LW8" t="s">
        <v>1594</v>
      </c>
      <c r="LX8">
        <v>2023</v>
      </c>
      <c r="LY8" t="s">
        <v>2310</v>
      </c>
      <c r="LZ8" s="6">
        <v>45369</v>
      </c>
      <c r="MA8">
        <v>5</v>
      </c>
      <c r="MB8">
        <v>-2.4245362661989844E-14</v>
      </c>
      <c r="MC8">
        <v>29973420</v>
      </c>
      <c r="MD8" t="s">
        <v>2311</v>
      </c>
      <c r="MG8" t="s">
        <v>1907</v>
      </c>
      <c r="MH8">
        <v>0.91628399999999999</v>
      </c>
      <c r="MI8" t="s">
        <v>1685</v>
      </c>
      <c r="MJ8">
        <v>0.75112400000000001</v>
      </c>
      <c r="MK8" t="s">
        <v>1594</v>
      </c>
      <c r="ML8">
        <v>2024</v>
      </c>
      <c r="MM8" t="s">
        <v>1903</v>
      </c>
      <c r="MN8" s="6">
        <v>45702</v>
      </c>
      <c r="MO8">
        <v>5</v>
      </c>
      <c r="MP8">
        <v>18787500</v>
      </c>
      <c r="MQ8">
        <v>143027</v>
      </c>
      <c r="MR8" t="s">
        <v>1908</v>
      </c>
      <c r="MW8" t="s">
        <v>3975</v>
      </c>
      <c r="MX8" t="s">
        <v>1634</v>
      </c>
      <c r="MY8">
        <v>6.8835999999999994E-2</v>
      </c>
      <c r="MZ8">
        <v>2.0836039999999998</v>
      </c>
      <c r="NA8" t="s">
        <v>1664</v>
      </c>
      <c r="NB8">
        <v>2025</v>
      </c>
      <c r="NC8" t="s">
        <v>3976</v>
      </c>
      <c r="ND8" s="6">
        <v>45937</v>
      </c>
      <c r="NE8">
        <v>5</v>
      </c>
      <c r="NF8">
        <v>6271648</v>
      </c>
      <c r="NG8">
        <v>69818593</v>
      </c>
      <c r="NH8" t="s">
        <v>3977</v>
      </c>
      <c r="NK8" t="s">
        <v>1795</v>
      </c>
      <c r="NL8">
        <v>-2.4245362661989844E-14</v>
      </c>
      <c r="NN8">
        <v>-2.4245362661989844E-14</v>
      </c>
      <c r="NO8" t="s">
        <v>1664</v>
      </c>
      <c r="NP8">
        <v>2024</v>
      </c>
      <c r="NQ8" t="s">
        <v>1796</v>
      </c>
      <c r="NR8" s="6">
        <v>45433</v>
      </c>
      <c r="NS8">
        <v>5</v>
      </c>
      <c r="NT8">
        <v>-2.4245362661989844E-14</v>
      </c>
      <c r="NU8">
        <v>27196144</v>
      </c>
      <c r="NV8" t="s">
        <v>1797</v>
      </c>
      <c r="OO8" t="s">
        <v>531</v>
      </c>
      <c r="OP8">
        <v>1.5778719999999999</v>
      </c>
      <c r="OQ8" t="s">
        <v>1685</v>
      </c>
      <c r="OR8">
        <v>0.13317300000000001</v>
      </c>
      <c r="OS8" t="s">
        <v>1594</v>
      </c>
      <c r="OT8">
        <v>2024</v>
      </c>
      <c r="OU8" t="s">
        <v>5821</v>
      </c>
      <c r="OV8" s="6">
        <v>45700</v>
      </c>
      <c r="OW8">
        <v>5</v>
      </c>
      <c r="OX8">
        <v>6244499.5</v>
      </c>
      <c r="OY8">
        <v>69491275</v>
      </c>
      <c r="OZ8" t="s">
        <v>1780</v>
      </c>
      <c r="PE8" t="s">
        <v>4961</v>
      </c>
      <c r="PF8" t="s">
        <v>1598</v>
      </c>
      <c r="PG8">
        <v>10.491263999999999</v>
      </c>
      <c r="PH8">
        <v>3.784764</v>
      </c>
      <c r="PI8" t="s">
        <v>1664</v>
      </c>
      <c r="PJ8">
        <v>2025</v>
      </c>
      <c r="PK8" t="s">
        <v>4962</v>
      </c>
      <c r="PL8" s="6">
        <v>45891</v>
      </c>
      <c r="PM8">
        <v>5</v>
      </c>
      <c r="PN8">
        <v>909613718.26999998</v>
      </c>
      <c r="PO8">
        <v>12279743</v>
      </c>
      <c r="PP8" t="s">
        <v>4963</v>
      </c>
      <c r="PS8" t="s">
        <v>1786</v>
      </c>
      <c r="PT8">
        <v>0.24043100000000001</v>
      </c>
      <c r="PU8" t="s">
        <v>1598</v>
      </c>
      <c r="PV8">
        <v>7.9492950000000002</v>
      </c>
      <c r="PW8" t="s">
        <v>1664</v>
      </c>
      <c r="PX8">
        <v>2025</v>
      </c>
      <c r="PY8" t="s">
        <v>1787</v>
      </c>
      <c r="PZ8" s="6">
        <v>46008</v>
      </c>
      <c r="QA8">
        <v>5</v>
      </c>
      <c r="QB8">
        <v>184870547.49000001</v>
      </c>
      <c r="QC8">
        <v>349049</v>
      </c>
      <c r="QD8" t="s">
        <v>1788</v>
      </c>
      <c r="QI8" t="s">
        <v>5796</v>
      </c>
      <c r="QK8">
        <v>-2.4245362661989844E-14</v>
      </c>
      <c r="QL8">
        <v>-2.4245362661989844E-14</v>
      </c>
      <c r="QM8" t="s">
        <v>1599</v>
      </c>
      <c r="QN8">
        <v>2023</v>
      </c>
      <c r="QO8" t="s">
        <v>5671</v>
      </c>
      <c r="QP8" s="6">
        <v>45166</v>
      </c>
      <c r="QQ8">
        <v>5</v>
      </c>
      <c r="QR8">
        <v>-2.4245362661989844E-14</v>
      </c>
      <c r="QS8">
        <v>38165208</v>
      </c>
      <c r="QT8" t="s">
        <v>5797</v>
      </c>
      <c r="QW8" t="s">
        <v>618</v>
      </c>
      <c r="QX8">
        <v>-2.4245362661989844E-14</v>
      </c>
      <c r="QZ8">
        <v>-2.4245362661989844E-14</v>
      </c>
      <c r="RA8" t="s">
        <v>1599</v>
      </c>
      <c r="RB8">
        <v>2023</v>
      </c>
      <c r="RC8" t="s">
        <v>5671</v>
      </c>
      <c r="RD8" s="6">
        <v>45166</v>
      </c>
      <c r="RE8">
        <v>5</v>
      </c>
      <c r="RF8">
        <v>-2.4245362661989844E-14</v>
      </c>
      <c r="RG8">
        <v>102782</v>
      </c>
      <c r="RH8" t="s">
        <v>1626</v>
      </c>
      <c r="RM8" t="s">
        <v>3836</v>
      </c>
      <c r="RN8" t="s">
        <v>1598</v>
      </c>
      <c r="RO8">
        <v>1.0791219999999999</v>
      </c>
      <c r="RP8">
        <v>2.0365000000000001E-2</v>
      </c>
      <c r="RQ8" t="s">
        <v>1606</v>
      </c>
      <c r="RR8">
        <v>2024</v>
      </c>
      <c r="RS8" t="s">
        <v>3837</v>
      </c>
      <c r="RT8" s="6">
        <v>45709</v>
      </c>
      <c r="RU8">
        <v>5</v>
      </c>
      <c r="RV8">
        <v>2698409</v>
      </c>
      <c r="RW8">
        <v>1713474</v>
      </c>
      <c r="RX8" t="s">
        <v>3838</v>
      </c>
      <c r="SA8" t="s">
        <v>1117</v>
      </c>
      <c r="SB8">
        <v>-2.4245362661989844E-14</v>
      </c>
      <c r="SD8">
        <v>-2.4245362661989844E-14</v>
      </c>
      <c r="SE8" t="s">
        <v>1594</v>
      </c>
      <c r="SF8">
        <v>2024</v>
      </c>
      <c r="SG8" t="s">
        <v>3669</v>
      </c>
      <c r="SH8" s="6">
        <v>45320</v>
      </c>
      <c r="SI8">
        <v>5</v>
      </c>
      <c r="SJ8">
        <v>-2.4245362661989844E-14</v>
      </c>
      <c r="SK8">
        <v>100460</v>
      </c>
      <c r="SL8" t="s">
        <v>3670</v>
      </c>
      <c r="SQ8" t="s">
        <v>23</v>
      </c>
      <c r="SR8" t="s">
        <v>1598</v>
      </c>
      <c r="SS8">
        <v>0.238619</v>
      </c>
      <c r="ST8">
        <v>0.71575299999999997</v>
      </c>
      <c r="SU8" t="s">
        <v>1594</v>
      </c>
      <c r="SV8">
        <v>2025</v>
      </c>
      <c r="SW8" t="s">
        <v>1765</v>
      </c>
      <c r="SX8" s="6">
        <v>46064</v>
      </c>
      <c r="SY8">
        <v>5</v>
      </c>
      <c r="SZ8">
        <v>28750000</v>
      </c>
      <c r="TA8">
        <v>100225</v>
      </c>
      <c r="TB8" t="s">
        <v>2222</v>
      </c>
      <c r="TE8" t="s">
        <v>23</v>
      </c>
      <c r="TF8">
        <v>11.153900999999999</v>
      </c>
      <c r="TG8" t="s">
        <v>1598</v>
      </c>
      <c r="TH8">
        <v>50.086109</v>
      </c>
      <c r="TI8" t="s">
        <v>1594</v>
      </c>
      <c r="TJ8">
        <v>2025</v>
      </c>
      <c r="TK8" t="s">
        <v>1765</v>
      </c>
      <c r="TL8" s="6">
        <v>46064</v>
      </c>
      <c r="TM8">
        <v>5</v>
      </c>
      <c r="TN8">
        <v>1745000000</v>
      </c>
      <c r="TO8">
        <v>100225</v>
      </c>
      <c r="TP8" t="s">
        <v>2222</v>
      </c>
      <c r="TU8" t="s">
        <v>3171</v>
      </c>
      <c r="TW8">
        <v>-2.4245362661989844E-14</v>
      </c>
      <c r="TX8">
        <v>-2.4245362661989844E-14</v>
      </c>
      <c r="TY8" t="s">
        <v>1792</v>
      </c>
      <c r="TZ8">
        <v>2026</v>
      </c>
      <c r="UA8" t="s">
        <v>3172</v>
      </c>
      <c r="UB8" s="6">
        <v>45996</v>
      </c>
      <c r="UC8">
        <v>5</v>
      </c>
      <c r="UD8">
        <v>-2.4245362661989844E-14</v>
      </c>
      <c r="UE8">
        <v>114153</v>
      </c>
      <c r="UF8" t="s">
        <v>3173</v>
      </c>
      <c r="UI8" t="s">
        <v>2703</v>
      </c>
      <c r="UJ8">
        <v>-2.4245362661989844E-14</v>
      </c>
      <c r="UL8">
        <v>-2.4245362661989844E-14</v>
      </c>
      <c r="UM8" t="s">
        <v>1594</v>
      </c>
      <c r="UN8">
        <v>2021</v>
      </c>
      <c r="UO8" t="s">
        <v>2704</v>
      </c>
      <c r="UP8" s="6">
        <v>44683</v>
      </c>
      <c r="UQ8">
        <v>5</v>
      </c>
      <c r="UR8">
        <v>-2.4245362661989844E-14</v>
      </c>
      <c r="US8">
        <v>10758505</v>
      </c>
      <c r="UT8" t="s">
        <v>2705</v>
      </c>
      <c r="UY8" t="s">
        <v>2272</v>
      </c>
      <c r="UZ8" t="s">
        <v>1634</v>
      </c>
      <c r="VA8">
        <v>2.0240000000000002E-3</v>
      </c>
      <c r="VB8">
        <v>2.6168E-2</v>
      </c>
      <c r="VC8" t="s">
        <v>1599</v>
      </c>
      <c r="VD8">
        <v>2025</v>
      </c>
      <c r="VE8" t="s">
        <v>2273</v>
      </c>
      <c r="VF8" s="6">
        <v>45964</v>
      </c>
      <c r="VG8">
        <v>5</v>
      </c>
      <c r="VH8">
        <v>10506</v>
      </c>
      <c r="VI8">
        <v>16546862</v>
      </c>
      <c r="VJ8" t="s">
        <v>2274</v>
      </c>
      <c r="VM8" t="s">
        <v>1798</v>
      </c>
      <c r="VN8">
        <v>-2.4245362661989844E-14</v>
      </c>
      <c r="VP8">
        <v>-2.4245362661989844E-14</v>
      </c>
      <c r="VQ8" t="s">
        <v>1594</v>
      </c>
      <c r="VR8">
        <v>2024</v>
      </c>
      <c r="VS8" t="s">
        <v>1799</v>
      </c>
      <c r="VT8" s="6">
        <v>45771</v>
      </c>
      <c r="VU8">
        <v>5</v>
      </c>
      <c r="VV8">
        <v>-2.4245362661989844E-14</v>
      </c>
      <c r="VW8">
        <v>135686</v>
      </c>
      <c r="VX8" t="s">
        <v>1800</v>
      </c>
    </row>
    <row r="9" spans="1:600" x14ac:dyDescent="0.25">
      <c r="BI9" t="s">
        <v>2069</v>
      </c>
      <c r="BJ9" t="s">
        <v>1634</v>
      </c>
      <c r="BK9">
        <v>0.28432000000000002</v>
      </c>
      <c r="BL9">
        <v>1.044214</v>
      </c>
      <c r="BM9" t="s">
        <v>1599</v>
      </c>
      <c r="BN9">
        <v>2025</v>
      </c>
      <c r="BO9" t="s">
        <v>2070</v>
      </c>
      <c r="BP9" s="6">
        <v>45979</v>
      </c>
      <c r="BQ9">
        <v>5</v>
      </c>
      <c r="BR9">
        <v>3081006.41</v>
      </c>
      <c r="BS9">
        <v>115557</v>
      </c>
      <c r="BT9" t="s">
        <v>2071</v>
      </c>
      <c r="BW9" t="s">
        <v>2780</v>
      </c>
      <c r="BX9">
        <v>-2.4245362661989844E-14</v>
      </c>
      <c r="BZ9">
        <v>-2.4245362661989844E-14</v>
      </c>
      <c r="CA9" t="s">
        <v>1594</v>
      </c>
      <c r="CB9">
        <v>2026</v>
      </c>
      <c r="CC9" t="s">
        <v>2773</v>
      </c>
      <c r="CD9" s="6">
        <v>46052</v>
      </c>
      <c r="CE9">
        <v>5</v>
      </c>
      <c r="CF9">
        <v>-2.4245362661989844E-14</v>
      </c>
      <c r="CG9">
        <v>23889473</v>
      </c>
      <c r="CH9" t="s">
        <v>2781</v>
      </c>
      <c r="EU9" t="s">
        <v>3012</v>
      </c>
      <c r="EW9">
        <v>-2.4245362661989844E-14</v>
      </c>
      <c r="EX9">
        <v>-2.4245362661989844E-14</v>
      </c>
      <c r="EY9" t="s">
        <v>1594</v>
      </c>
      <c r="EZ9">
        <v>2024</v>
      </c>
      <c r="FA9" t="s">
        <v>2482</v>
      </c>
      <c r="FB9" s="6">
        <v>45330</v>
      </c>
      <c r="FC9">
        <v>5</v>
      </c>
      <c r="FD9">
        <v>-2.4245362661989844E-14</v>
      </c>
      <c r="FE9">
        <v>49422174</v>
      </c>
      <c r="FF9" t="s">
        <v>3013</v>
      </c>
      <c r="FI9" t="s">
        <v>2489</v>
      </c>
      <c r="FJ9">
        <v>-2.4245362661989844E-14</v>
      </c>
      <c r="FL9">
        <v>-2.4245362661989844E-14</v>
      </c>
      <c r="FM9" t="s">
        <v>1594</v>
      </c>
      <c r="FN9">
        <v>2022</v>
      </c>
      <c r="FO9" t="s">
        <v>2490</v>
      </c>
      <c r="FP9" s="6">
        <v>44734</v>
      </c>
      <c r="FQ9">
        <v>5</v>
      </c>
      <c r="FR9">
        <v>-2.4245362661989844E-14</v>
      </c>
      <c r="FS9">
        <v>11011052</v>
      </c>
      <c r="FT9" t="s">
        <v>2491</v>
      </c>
      <c r="HC9" t="s">
        <v>5314</v>
      </c>
      <c r="HE9">
        <v>-2.4245362661989844E-14</v>
      </c>
      <c r="HF9">
        <v>-2.4245362661989844E-14</v>
      </c>
      <c r="HG9" t="s">
        <v>1594</v>
      </c>
      <c r="HH9">
        <v>2022</v>
      </c>
      <c r="HI9" t="s">
        <v>5315</v>
      </c>
      <c r="HJ9" s="6">
        <v>45033</v>
      </c>
      <c r="HK9">
        <v>5</v>
      </c>
      <c r="HL9">
        <v>-2.4245362661989844E-14</v>
      </c>
      <c r="HM9">
        <v>7360919</v>
      </c>
      <c r="HN9" t="s">
        <v>5316</v>
      </c>
      <c r="HQ9" t="s">
        <v>5166</v>
      </c>
      <c r="HR9">
        <v>-2.4245362661989844E-14</v>
      </c>
      <c r="HT9">
        <v>-2.4245362661989844E-14</v>
      </c>
      <c r="HU9" t="s">
        <v>1594</v>
      </c>
      <c r="HV9">
        <v>2022</v>
      </c>
      <c r="HW9" t="s">
        <v>5167</v>
      </c>
      <c r="HX9" s="6">
        <v>45075</v>
      </c>
      <c r="HY9">
        <v>5</v>
      </c>
      <c r="HZ9">
        <v>-2.4245362661989844E-14</v>
      </c>
      <c r="IA9">
        <v>17157811</v>
      </c>
      <c r="IB9" t="s">
        <v>5168</v>
      </c>
      <c r="IG9" t="s">
        <v>3931</v>
      </c>
      <c r="IH9" t="s">
        <v>1634</v>
      </c>
      <c r="II9">
        <v>1.59989</v>
      </c>
      <c r="IJ9">
        <v>0.86524000000000001</v>
      </c>
      <c r="IK9" t="s">
        <v>1664</v>
      </c>
      <c r="IL9">
        <v>2025</v>
      </c>
      <c r="IM9" t="s">
        <v>3932</v>
      </c>
      <c r="IN9" s="6">
        <v>45883</v>
      </c>
      <c r="IO9">
        <v>5</v>
      </c>
      <c r="IP9">
        <v>8098643</v>
      </c>
      <c r="IQ9">
        <v>101512</v>
      </c>
      <c r="IR9" t="s">
        <v>3933</v>
      </c>
      <c r="IU9" t="s">
        <v>5001</v>
      </c>
      <c r="IV9">
        <v>-2.4245362661989844E-14</v>
      </c>
      <c r="IX9">
        <v>-2.4245362661989844E-14</v>
      </c>
      <c r="IY9" t="s">
        <v>1594</v>
      </c>
      <c r="IZ9">
        <v>2022</v>
      </c>
      <c r="JA9" t="s">
        <v>5002</v>
      </c>
      <c r="JB9" s="6">
        <v>45012</v>
      </c>
      <c r="JC9">
        <v>5</v>
      </c>
      <c r="JD9">
        <v>-2.4245362661989844E-14</v>
      </c>
      <c r="JE9">
        <v>66040727</v>
      </c>
      <c r="JF9" t="s">
        <v>5003</v>
      </c>
      <c r="JY9" t="s">
        <v>2759</v>
      </c>
      <c r="JZ9">
        <v>1.4258120000000001</v>
      </c>
      <c r="KA9" t="s">
        <v>1685</v>
      </c>
      <c r="KB9">
        <v>0.82678600000000002</v>
      </c>
      <c r="KC9" t="s">
        <v>1594</v>
      </c>
      <c r="KD9">
        <v>2024</v>
      </c>
      <c r="KE9" t="s">
        <v>4953</v>
      </c>
      <c r="KF9" s="6">
        <v>45695</v>
      </c>
      <c r="KG9">
        <v>5</v>
      </c>
      <c r="KH9">
        <v>7261000</v>
      </c>
      <c r="KI9">
        <v>34501311</v>
      </c>
      <c r="KJ9" t="s">
        <v>2760</v>
      </c>
      <c r="KO9" t="s">
        <v>3151</v>
      </c>
      <c r="KP9" t="s">
        <v>1598</v>
      </c>
      <c r="KQ9">
        <v>6.2096989999999996</v>
      </c>
      <c r="KR9">
        <v>1.6721649999999999</v>
      </c>
      <c r="KS9" t="s">
        <v>1603</v>
      </c>
      <c r="KT9">
        <v>2025</v>
      </c>
      <c r="KU9" t="s">
        <v>3152</v>
      </c>
      <c r="KV9" s="6">
        <v>45804</v>
      </c>
      <c r="KW9">
        <v>5</v>
      </c>
      <c r="KX9">
        <v>79676803.140000001</v>
      </c>
      <c r="KY9">
        <v>8118223</v>
      </c>
      <c r="KZ9" t="s">
        <v>3153</v>
      </c>
      <c r="LC9" t="s">
        <v>1700</v>
      </c>
      <c r="LD9">
        <v>2.581083</v>
      </c>
      <c r="LE9" t="s">
        <v>1598</v>
      </c>
      <c r="LF9">
        <v>3.2021199999999999</v>
      </c>
      <c r="LG9" t="s">
        <v>1606</v>
      </c>
      <c r="LH9">
        <v>2025</v>
      </c>
      <c r="LI9" t="s">
        <v>2691</v>
      </c>
      <c r="LJ9" s="6">
        <v>46010</v>
      </c>
      <c r="LK9">
        <v>5</v>
      </c>
      <c r="LL9">
        <v>464982112</v>
      </c>
      <c r="LM9">
        <v>1499717</v>
      </c>
      <c r="LN9" t="s">
        <v>1702</v>
      </c>
      <c r="LS9" t="s">
        <v>2312</v>
      </c>
      <c r="LU9">
        <v>-2.4245362661989844E-14</v>
      </c>
      <c r="LV9">
        <v>-2.4245362661989844E-14</v>
      </c>
      <c r="LW9" t="s">
        <v>1594</v>
      </c>
      <c r="LX9">
        <v>2024</v>
      </c>
      <c r="LY9" t="s">
        <v>2313</v>
      </c>
      <c r="LZ9" s="6">
        <v>45476</v>
      </c>
      <c r="MA9">
        <v>5</v>
      </c>
      <c r="MB9">
        <v>-2.4245362661989844E-14</v>
      </c>
      <c r="MC9">
        <v>117406</v>
      </c>
      <c r="MD9" t="s">
        <v>2314</v>
      </c>
      <c r="MG9" t="s">
        <v>1909</v>
      </c>
      <c r="MH9">
        <v>0.82465500000000003</v>
      </c>
      <c r="MJ9">
        <v>-2.4245362661989844E-14</v>
      </c>
      <c r="MK9" t="s">
        <v>1594</v>
      </c>
      <c r="ML9">
        <v>2024</v>
      </c>
      <c r="MM9" t="s">
        <v>1903</v>
      </c>
      <c r="MN9" s="6">
        <v>45702</v>
      </c>
      <c r="MO9">
        <v>5</v>
      </c>
      <c r="MP9">
        <v>16908750</v>
      </c>
      <c r="MQ9">
        <v>117322</v>
      </c>
      <c r="MR9" t="s">
        <v>1910</v>
      </c>
      <c r="MW9" t="s">
        <v>2069</v>
      </c>
      <c r="MX9" t="s">
        <v>1634</v>
      </c>
      <c r="MY9">
        <v>0.28432000000000002</v>
      </c>
      <c r="MZ9">
        <v>1.044214</v>
      </c>
      <c r="NA9" t="s">
        <v>1599</v>
      </c>
      <c r="NB9">
        <v>2025</v>
      </c>
      <c r="NC9" t="s">
        <v>2070</v>
      </c>
      <c r="ND9" s="6">
        <v>45979</v>
      </c>
      <c r="NE9">
        <v>5</v>
      </c>
      <c r="NF9">
        <v>3081006.41</v>
      </c>
      <c r="NG9">
        <v>115557</v>
      </c>
      <c r="NH9" t="s">
        <v>2071</v>
      </c>
      <c r="NK9" t="s">
        <v>2780</v>
      </c>
      <c r="NL9">
        <v>-2.4245362661989844E-14</v>
      </c>
      <c r="NN9">
        <v>-2.4245362661989844E-14</v>
      </c>
      <c r="NO9" t="s">
        <v>1594</v>
      </c>
      <c r="NP9">
        <v>2026</v>
      </c>
      <c r="NQ9" t="s">
        <v>2773</v>
      </c>
      <c r="NR9" s="6">
        <v>46052</v>
      </c>
      <c r="NS9">
        <v>5</v>
      </c>
      <c r="NT9">
        <v>-2.4245362661989844E-14</v>
      </c>
      <c r="NU9">
        <v>23889473</v>
      </c>
      <c r="NV9" t="s">
        <v>2781</v>
      </c>
      <c r="OO9" t="s">
        <v>5827</v>
      </c>
      <c r="OP9">
        <v>1.5511509999999999</v>
      </c>
      <c r="OR9">
        <v>-2.4245362661989844E-14</v>
      </c>
      <c r="OS9" t="s">
        <v>1594</v>
      </c>
      <c r="OT9">
        <v>2024</v>
      </c>
      <c r="OU9" t="s">
        <v>5821</v>
      </c>
      <c r="OV9" s="6">
        <v>45700</v>
      </c>
      <c r="OW9">
        <v>5</v>
      </c>
      <c r="OX9">
        <v>6138750</v>
      </c>
      <c r="OY9">
        <v>9855033</v>
      </c>
      <c r="OZ9" t="s">
        <v>5828</v>
      </c>
      <c r="PE9" t="s">
        <v>4964</v>
      </c>
      <c r="PF9" t="s">
        <v>1598</v>
      </c>
      <c r="PG9">
        <v>67</v>
      </c>
      <c r="PH9">
        <v>3.5827270000000002</v>
      </c>
      <c r="PI9" t="s">
        <v>1594</v>
      </c>
      <c r="PJ9">
        <v>2025</v>
      </c>
      <c r="PK9" t="s">
        <v>4965</v>
      </c>
      <c r="PL9" s="6">
        <v>46083</v>
      </c>
      <c r="PM9">
        <v>5</v>
      </c>
      <c r="PN9">
        <v>859442496</v>
      </c>
      <c r="PO9">
        <v>69597326</v>
      </c>
      <c r="PP9" t="s">
        <v>4966</v>
      </c>
      <c r="PS9" t="s">
        <v>1663</v>
      </c>
      <c r="PT9">
        <v>0.23485800000000001</v>
      </c>
      <c r="PU9" t="s">
        <v>1598</v>
      </c>
      <c r="PV9">
        <v>0.132383</v>
      </c>
      <c r="PW9" t="s">
        <v>1599</v>
      </c>
      <c r="PX9">
        <v>2025</v>
      </c>
      <c r="PY9" t="s">
        <v>1735</v>
      </c>
      <c r="PZ9" s="6">
        <v>45843</v>
      </c>
      <c r="QA9">
        <v>5</v>
      </c>
      <c r="QB9">
        <v>164555600</v>
      </c>
      <c r="QC9">
        <v>101616</v>
      </c>
      <c r="QD9" t="s">
        <v>1666</v>
      </c>
      <c r="QI9" t="s">
        <v>5798</v>
      </c>
      <c r="QK9">
        <v>-2.4245362661989844E-14</v>
      </c>
      <c r="QL9">
        <v>-2.4245362661989844E-14</v>
      </c>
      <c r="QM9" t="s">
        <v>1599</v>
      </c>
      <c r="QN9">
        <v>2023</v>
      </c>
      <c r="QO9" t="s">
        <v>5671</v>
      </c>
      <c r="QP9" s="6">
        <v>45166</v>
      </c>
      <c r="QQ9">
        <v>5</v>
      </c>
      <c r="QR9">
        <v>-2.4245362661989844E-14</v>
      </c>
      <c r="QS9">
        <v>42618390</v>
      </c>
      <c r="QT9" t="s">
        <v>5799</v>
      </c>
      <c r="QW9" t="s">
        <v>31</v>
      </c>
      <c r="QX9">
        <v>-2.4245362661989844E-14</v>
      </c>
      <c r="QZ9">
        <v>-2.4245362661989844E-14</v>
      </c>
      <c r="RA9" t="s">
        <v>1599</v>
      </c>
      <c r="RB9">
        <v>2023</v>
      </c>
      <c r="RC9" t="s">
        <v>5671</v>
      </c>
      <c r="RD9" s="6">
        <v>45166</v>
      </c>
      <c r="RE9">
        <v>5</v>
      </c>
      <c r="RF9">
        <v>-2.4245362661989844E-14</v>
      </c>
      <c r="RG9">
        <v>60401289</v>
      </c>
      <c r="RH9" t="s">
        <v>1769</v>
      </c>
      <c r="RM9" t="s">
        <v>3839</v>
      </c>
      <c r="RN9" t="s">
        <v>1685</v>
      </c>
      <c r="RO9">
        <v>0.89682700000000004</v>
      </c>
      <c r="RP9">
        <v>1.9151000000000001E-2</v>
      </c>
      <c r="RQ9" t="s">
        <v>1594</v>
      </c>
      <c r="RR9">
        <v>2025</v>
      </c>
      <c r="RS9" t="s">
        <v>3840</v>
      </c>
      <c r="RT9" s="6">
        <v>46058</v>
      </c>
      <c r="RU9">
        <v>5</v>
      </c>
      <c r="RV9">
        <v>2640312.86</v>
      </c>
      <c r="RW9">
        <v>7890735</v>
      </c>
      <c r="RX9" t="s">
        <v>3841</v>
      </c>
      <c r="SA9" t="s">
        <v>3671</v>
      </c>
      <c r="SB9">
        <v>-2.4245362661989844E-14</v>
      </c>
      <c r="SD9">
        <v>-2.4245362661989844E-14</v>
      </c>
      <c r="SE9" t="s">
        <v>1594</v>
      </c>
      <c r="SF9">
        <v>2023</v>
      </c>
      <c r="SG9" t="s">
        <v>3665</v>
      </c>
      <c r="SH9" s="6">
        <v>45187</v>
      </c>
      <c r="SI9">
        <v>5</v>
      </c>
      <c r="SJ9">
        <v>-2.4245362661989844E-14</v>
      </c>
      <c r="SK9">
        <v>136124</v>
      </c>
      <c r="SL9" t="s">
        <v>3672</v>
      </c>
      <c r="SQ9" t="s">
        <v>3350</v>
      </c>
      <c r="SR9" t="s">
        <v>1598</v>
      </c>
      <c r="SS9">
        <v>0.82792200000000005</v>
      </c>
      <c r="ST9">
        <v>0.75151400000000002</v>
      </c>
      <c r="SU9" t="s">
        <v>1664</v>
      </c>
      <c r="SV9">
        <v>2025</v>
      </c>
      <c r="SW9" t="s">
        <v>3351</v>
      </c>
      <c r="SX9" s="6">
        <v>45959</v>
      </c>
      <c r="SY9">
        <v>5</v>
      </c>
      <c r="SZ9">
        <v>28398061.84</v>
      </c>
      <c r="TA9">
        <v>113332</v>
      </c>
      <c r="TB9" t="s">
        <v>3352</v>
      </c>
      <c r="TE9" t="s">
        <v>1621</v>
      </c>
      <c r="TF9">
        <v>6</v>
      </c>
      <c r="TH9">
        <v>-2.4245362661989844E-14</v>
      </c>
      <c r="TI9" t="s">
        <v>1594</v>
      </c>
      <c r="TJ9">
        <v>2024</v>
      </c>
      <c r="TK9" t="s">
        <v>2825</v>
      </c>
      <c r="TL9" s="6">
        <v>45715</v>
      </c>
      <c r="TM9">
        <v>5</v>
      </c>
      <c r="TN9">
        <v>954404992</v>
      </c>
      <c r="TO9">
        <v>218252</v>
      </c>
      <c r="TP9" t="s">
        <v>1622</v>
      </c>
      <c r="TU9" t="s">
        <v>3174</v>
      </c>
      <c r="TW9">
        <v>-2.4245362661989844E-14</v>
      </c>
      <c r="TX9">
        <v>-2.4245362661989844E-14</v>
      </c>
      <c r="TY9" t="s">
        <v>1599</v>
      </c>
      <c r="TZ9">
        <v>2022</v>
      </c>
      <c r="UA9" t="s">
        <v>3175</v>
      </c>
      <c r="UB9" s="6">
        <v>44896</v>
      </c>
      <c r="UC9">
        <v>5</v>
      </c>
      <c r="UD9">
        <v>-2.4245362661989844E-14</v>
      </c>
      <c r="UE9">
        <v>10418343</v>
      </c>
      <c r="UF9" t="s">
        <v>3176</v>
      </c>
      <c r="UI9" t="s">
        <v>2706</v>
      </c>
      <c r="UJ9">
        <v>-2.4245362661989844E-14</v>
      </c>
      <c r="UL9">
        <v>-2.4245362661989844E-14</v>
      </c>
      <c r="UM9" t="s">
        <v>1651</v>
      </c>
      <c r="UN9">
        <v>2025</v>
      </c>
      <c r="UO9" t="s">
        <v>2707</v>
      </c>
      <c r="UP9" s="6">
        <v>45961</v>
      </c>
      <c r="UQ9">
        <v>5</v>
      </c>
      <c r="UR9">
        <v>-2.4245362661989844E-14</v>
      </c>
      <c r="US9">
        <v>157171</v>
      </c>
      <c r="UT9" t="s">
        <v>2708</v>
      </c>
      <c r="UY9" t="s">
        <v>2275</v>
      </c>
      <c r="UZ9" t="s">
        <v>1598</v>
      </c>
      <c r="VA9">
        <v>1.2467000000000001E-2</v>
      </c>
      <c r="VB9">
        <v>4.5800000000000002E-4</v>
      </c>
      <c r="VC9" t="s">
        <v>1664</v>
      </c>
      <c r="VD9">
        <v>2025</v>
      </c>
      <c r="VE9" t="s">
        <v>2276</v>
      </c>
      <c r="VF9" s="6">
        <v>45744</v>
      </c>
      <c r="VG9">
        <v>5</v>
      </c>
      <c r="VH9">
        <v>6232.4</v>
      </c>
      <c r="VI9">
        <v>28653435</v>
      </c>
      <c r="VJ9" t="s">
        <v>2277</v>
      </c>
      <c r="VM9" t="s">
        <v>1801</v>
      </c>
      <c r="VN9">
        <v>-2.4245362661989844E-14</v>
      </c>
      <c r="VP9">
        <v>-2.4245362661989844E-14</v>
      </c>
      <c r="VQ9" t="s">
        <v>1594</v>
      </c>
      <c r="VR9">
        <v>2022</v>
      </c>
      <c r="VS9" t="s">
        <v>1802</v>
      </c>
      <c r="VT9" s="6">
        <v>45083</v>
      </c>
      <c r="VU9">
        <v>5</v>
      </c>
      <c r="VV9">
        <v>-2.4245362661989844E-14</v>
      </c>
      <c r="VW9">
        <v>34532225</v>
      </c>
      <c r="VX9" t="s">
        <v>1803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721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722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723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724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725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726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727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728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729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730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731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732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733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734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735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736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737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738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739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425</v>
      </c>
      <c r="AE2" s="3" t="s">
        <v>740</v>
      </c>
      <c r="BI2" s="3" t="s">
        <v>741</v>
      </c>
      <c r="CM2" s="3" t="s">
        <v>742</v>
      </c>
      <c r="DQ2" s="3" t="s">
        <v>743</v>
      </c>
      <c r="EU2" s="3" t="s">
        <v>744</v>
      </c>
      <c r="FY2" s="3" t="s">
        <v>655</v>
      </c>
      <c r="HC2" s="3" t="s">
        <v>745</v>
      </c>
      <c r="IG2" s="3" t="s">
        <v>744</v>
      </c>
      <c r="JK2" s="3" t="s">
        <v>617</v>
      </c>
      <c r="KO2" s="3" t="s">
        <v>746</v>
      </c>
      <c r="LS2" s="3" t="s">
        <v>210</v>
      </c>
      <c r="MW2" s="3" t="s">
        <v>747</v>
      </c>
      <c r="OA2" s="3" t="s">
        <v>748</v>
      </c>
      <c r="PE2" s="3" t="s">
        <v>280</v>
      </c>
      <c r="QI2" s="3" t="s">
        <v>78</v>
      </c>
      <c r="RM2" s="3" t="s">
        <v>749</v>
      </c>
      <c r="SQ2" s="3" t="s">
        <v>750</v>
      </c>
      <c r="TU2" s="3" t="s">
        <v>751</v>
      </c>
      <c r="UY2" s="3" t="s">
        <v>752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_xll.BDS("GD US Equity","SUPPLY_CHAIN_SUPPLIERS_ALL_DATA","cols=12;rows=5")</f>
        <v>RTX US Equity</v>
      </c>
      <c r="B5" t="s">
        <v>1598</v>
      </c>
      <c r="C5">
        <v>0.86519299999999999</v>
      </c>
      <c r="D5">
        <v>1.683351</v>
      </c>
      <c r="E5" t="s">
        <v>1664</v>
      </c>
      <c r="F5">
        <v>2025</v>
      </c>
      <c r="G5" t="s">
        <v>2129</v>
      </c>
      <c r="H5" s="6">
        <v>45895</v>
      </c>
      <c r="I5">
        <v>5</v>
      </c>
      <c r="J5">
        <v>186717296</v>
      </c>
      <c r="K5">
        <v>101555</v>
      </c>
      <c r="L5" t="s">
        <v>2130</v>
      </c>
      <c r="O5" t="str">
        <f>_xll.BDS("GD US Equity","SUPPLY_CHAIN_CUSTOMERS_ALL_DATA","cols=12;rows=5")</f>
        <v>3352Z US Equity</v>
      </c>
      <c r="P5">
        <v>68.043769999999995</v>
      </c>
      <c r="R5">
        <v>-2.4245362661989844E-14</v>
      </c>
      <c r="S5" t="s">
        <v>1594</v>
      </c>
      <c r="T5">
        <v>2025</v>
      </c>
      <c r="U5" t="s">
        <v>1675</v>
      </c>
      <c r="V5" s="6">
        <v>46052</v>
      </c>
      <c r="W5">
        <v>5</v>
      </c>
      <c r="X5">
        <v>8939250000</v>
      </c>
      <c r="Y5">
        <v>218252</v>
      </c>
      <c r="Z5" t="s">
        <v>1622</v>
      </c>
      <c r="AE5" t="str">
        <f>_xll.BDS("UGI US Equity","SUPPLY_CHAIN_SUPPLIERS_ALL_DATA","cols=12;rows=5")</f>
        <v>ESOA US Equity</v>
      </c>
      <c r="AF5" t="s">
        <v>1598</v>
      </c>
      <c r="AG5">
        <v>0.81576300000000002</v>
      </c>
      <c r="AH5">
        <v>0.10097299999999999</v>
      </c>
      <c r="AI5" t="s">
        <v>1599</v>
      </c>
      <c r="AJ5">
        <v>2025</v>
      </c>
      <c r="AK5" t="s">
        <v>5274</v>
      </c>
      <c r="AL5" s="6">
        <v>45953</v>
      </c>
      <c r="AM5">
        <v>5</v>
      </c>
      <c r="AN5">
        <v>845144</v>
      </c>
      <c r="AO5">
        <v>10645617</v>
      </c>
      <c r="AP5" t="s">
        <v>5275</v>
      </c>
      <c r="AS5" t="str">
        <f>_xll.BDS("UGI US Equity","SUPPLY_CHAIN_CUSTOMERS_ALL_DATA","cols=12;rows=5")</f>
        <v>1725219D US Equity</v>
      </c>
      <c r="AT5">
        <v>-2.4245362661989844E-14</v>
      </c>
      <c r="AV5">
        <v>-2.4245362661989844E-14</v>
      </c>
      <c r="AW5" t="s">
        <v>1603</v>
      </c>
      <c r="AX5">
        <v>2023</v>
      </c>
      <c r="AY5" t="s">
        <v>4736</v>
      </c>
      <c r="AZ5" s="6">
        <v>44950</v>
      </c>
      <c r="BA5">
        <v>5</v>
      </c>
      <c r="BB5">
        <v>-2.4245362661989844E-14</v>
      </c>
      <c r="BC5">
        <v>65060614</v>
      </c>
      <c r="BD5" t="s">
        <v>4737</v>
      </c>
      <c r="BI5" t="str">
        <f>_xll.BDS("1005945D US Equity","SUPPLY_CHAIN_SUPPLIERS_ALL_DATA")</f>
        <v>#N/A N/A</v>
      </c>
      <c r="BW5" t="str">
        <f>_xll.BDS("1005945D US Equity","SUPPLY_CHAIN_CUSTOMERS_ALL_DATA")</f>
        <v>#N/A N/A</v>
      </c>
      <c r="CM5" t="str">
        <f>_xll.BDS("CEQP US Equity","SUPPLY_CHAIN_SUPPLIERS_ALL_DATA")</f>
        <v>#N/A N/A</v>
      </c>
      <c r="DA5" t="str">
        <f>_xll.BDS("CEQP US Equity","SUPPLY_CHAIN_CUSTOMERS_ALL_DATA","cols=12;rows=1")</f>
        <v>SPH US Equity</v>
      </c>
      <c r="DB5">
        <v>-2.4245362661989844E-14</v>
      </c>
      <c r="DD5">
        <v>-2.4245362661989844E-14</v>
      </c>
      <c r="DE5" t="s">
        <v>1594</v>
      </c>
      <c r="DF5">
        <v>2022</v>
      </c>
      <c r="DG5" t="s">
        <v>3446</v>
      </c>
      <c r="DH5" s="6">
        <v>44888</v>
      </c>
      <c r="DI5">
        <v>1</v>
      </c>
      <c r="DJ5">
        <v>-2.4245362661989844E-14</v>
      </c>
      <c r="DK5">
        <v>179984</v>
      </c>
      <c r="DL5" t="s">
        <v>3447</v>
      </c>
      <c r="DQ5" t="str">
        <f>_xll.BDS("TSLA US Equity","SUPPLY_CHAIN_SUPPLIERS_ALL_DATA","cols=12;rows=5")</f>
        <v>300750 CH Equity</v>
      </c>
      <c r="DR5" t="s">
        <v>1598</v>
      </c>
      <c r="DS5">
        <v>14.969258999999999</v>
      </c>
      <c r="DT5">
        <v>10.473516</v>
      </c>
      <c r="DU5" t="s">
        <v>1664</v>
      </c>
      <c r="DV5">
        <v>2025</v>
      </c>
      <c r="DW5" t="s">
        <v>4051</v>
      </c>
      <c r="DX5" s="6">
        <v>45889</v>
      </c>
      <c r="DY5">
        <v>5</v>
      </c>
      <c r="DZ5">
        <v>1949940319.22</v>
      </c>
      <c r="EA5">
        <v>51309082</v>
      </c>
      <c r="EB5" t="s">
        <v>4052</v>
      </c>
      <c r="EE5" t="str">
        <f>_xll.BDS("TSLA US Equity","SUPPLY_CHAIN_CUSTOMERS_ALL_DATA","cols=12;rows=5")</f>
        <v>HTZ US Equity</v>
      </c>
      <c r="EF5">
        <v>0.124961</v>
      </c>
      <c r="EG5" t="s">
        <v>1634</v>
      </c>
      <c r="EH5">
        <v>0.91537800000000002</v>
      </c>
      <c r="EI5" t="s">
        <v>1664</v>
      </c>
      <c r="EJ5">
        <v>2025</v>
      </c>
      <c r="EK5" t="s">
        <v>6008</v>
      </c>
      <c r="EL5" s="6">
        <v>45890</v>
      </c>
      <c r="EM5">
        <v>5</v>
      </c>
      <c r="EN5">
        <v>28111258</v>
      </c>
      <c r="EO5">
        <v>48467156</v>
      </c>
      <c r="EP5" t="s">
        <v>6009</v>
      </c>
      <c r="EU5" t="str">
        <f>_xll.BDS("MTB US Equity","SUPPLY_CHAIN_SUPPLIERS_ALL_DATA","cols=12;rows=5")</f>
        <v>ORCL US Equity</v>
      </c>
      <c r="EV5" t="s">
        <v>1598</v>
      </c>
      <c r="EW5">
        <v>1.9734999999999999E-2</v>
      </c>
      <c r="EX5">
        <v>0.221799</v>
      </c>
      <c r="EY5" t="s">
        <v>1606</v>
      </c>
      <c r="EZ5">
        <v>2025</v>
      </c>
      <c r="FA5" t="s">
        <v>2251</v>
      </c>
      <c r="FB5" s="6">
        <v>45848</v>
      </c>
      <c r="FC5">
        <v>5</v>
      </c>
      <c r="FD5">
        <v>3138457</v>
      </c>
      <c r="FE5">
        <v>101752</v>
      </c>
      <c r="FF5" t="s">
        <v>2265</v>
      </c>
      <c r="FI5" t="str">
        <f>_xll.BDS("MTB US Equity","SUPPLY_CHAIN_CUSTOMERS_ALL_DATA","cols=12;rows=3")</f>
        <v>2610 TT Equity</v>
      </c>
      <c r="FJ5">
        <v>-2.4245362661989844E-14</v>
      </c>
      <c r="FL5">
        <v>-2.4245362661989844E-14</v>
      </c>
      <c r="FM5" t="s">
        <v>1594</v>
      </c>
      <c r="FN5">
        <v>2024</v>
      </c>
      <c r="FO5" t="s">
        <v>5705</v>
      </c>
      <c r="FP5" s="6">
        <v>45786</v>
      </c>
      <c r="FQ5">
        <v>3</v>
      </c>
      <c r="FR5">
        <v>-2.4245362661989844E-14</v>
      </c>
      <c r="FS5">
        <v>129514</v>
      </c>
      <c r="FT5" t="s">
        <v>5706</v>
      </c>
      <c r="FY5" t="str">
        <f>_xll.BDS("PNC US Equity","SUPPLY_CHAIN_SUPPLIERS_ALL_DATA","cols=12;rows=5")</f>
        <v>ORCL US Equity</v>
      </c>
      <c r="FZ5" t="s">
        <v>1598</v>
      </c>
      <c r="GA5">
        <v>7.3811000000000002E-2</v>
      </c>
      <c r="GB5">
        <v>0.34656500000000001</v>
      </c>
      <c r="GC5" t="s">
        <v>1606</v>
      </c>
      <c r="GD5">
        <v>2025</v>
      </c>
      <c r="GE5" t="s">
        <v>2251</v>
      </c>
      <c r="GF5" s="6">
        <v>45848</v>
      </c>
      <c r="GG5">
        <v>5</v>
      </c>
      <c r="GH5">
        <v>11738163</v>
      </c>
      <c r="GI5">
        <v>101752</v>
      </c>
      <c r="GJ5" t="s">
        <v>2265</v>
      </c>
      <c r="GM5" t="str">
        <f>_xll.BDS("PNC US Equity","SUPPLY_CHAIN_CUSTOMERS_ALL_DATA","cols=12;rows=1")</f>
        <v>4502 JP Equity</v>
      </c>
      <c r="GN5">
        <v>-2.4245362661989844E-14</v>
      </c>
      <c r="GP5">
        <v>-2.4245362661989844E-14</v>
      </c>
      <c r="GQ5" t="s">
        <v>1594</v>
      </c>
      <c r="GR5">
        <v>2025</v>
      </c>
      <c r="GS5" t="s">
        <v>2681</v>
      </c>
      <c r="GT5" s="6">
        <v>45834</v>
      </c>
      <c r="GU5">
        <v>1</v>
      </c>
      <c r="GV5">
        <v>-2.4245362661989844E-14</v>
      </c>
      <c r="GW5">
        <v>114881</v>
      </c>
      <c r="GX5" t="s">
        <v>2682</v>
      </c>
      <c r="HC5" t="str">
        <f>_xll.BDS("GE US Equity","SUPPLY_CHAIN_SUPPLIERS_ALL_DATA","cols=12;rows=5")</f>
        <v>SAF FP Equity</v>
      </c>
      <c r="HD5" t="s">
        <v>1598</v>
      </c>
      <c r="HE5">
        <v>7.9101749999999997</v>
      </c>
      <c r="HF5">
        <v>9.7364909999999991</v>
      </c>
      <c r="HG5" t="s">
        <v>1664</v>
      </c>
      <c r="HH5">
        <v>2025</v>
      </c>
      <c r="HI5" t="s">
        <v>2132</v>
      </c>
      <c r="HJ5" s="6">
        <v>45874</v>
      </c>
      <c r="HK5">
        <v>5</v>
      </c>
      <c r="HL5">
        <v>666294015.34000003</v>
      </c>
      <c r="HM5">
        <v>115519</v>
      </c>
      <c r="HN5" t="s">
        <v>2133</v>
      </c>
      <c r="HQ5" t="str">
        <f>_xll.BDS("GE US Equity","SUPPLY_CHAIN_CUSTOMERS_ALL_DATA","cols=12;rows=5")</f>
        <v>3352Z US Equity</v>
      </c>
      <c r="HR5">
        <v>10</v>
      </c>
      <c r="HT5">
        <v>-2.4245362661989844E-14</v>
      </c>
      <c r="HU5" t="s">
        <v>1594</v>
      </c>
      <c r="HV5">
        <v>2025</v>
      </c>
      <c r="HW5" t="s">
        <v>1957</v>
      </c>
      <c r="HX5" s="6">
        <v>46051</v>
      </c>
      <c r="HY5">
        <v>5</v>
      </c>
      <c r="HZ5">
        <v>1146375040</v>
      </c>
      <c r="IA5">
        <v>218252</v>
      </c>
      <c r="IB5" t="s">
        <v>1622</v>
      </c>
      <c r="IG5" t="str">
        <f>_xll.BDS("MTB US Equity","SUPPLY_CHAIN_SUPPLIERS_ALL_DATA","cols=12;rows=5")</f>
        <v>ORCL US Equity</v>
      </c>
      <c r="IH5" t="s">
        <v>1598</v>
      </c>
      <c r="II5">
        <v>1.9734999999999999E-2</v>
      </c>
      <c r="IJ5">
        <v>0.221799</v>
      </c>
      <c r="IK5" t="s">
        <v>1606</v>
      </c>
      <c r="IL5">
        <v>2025</v>
      </c>
      <c r="IM5" t="s">
        <v>2251</v>
      </c>
      <c r="IN5" s="6">
        <v>45848</v>
      </c>
      <c r="IO5">
        <v>5</v>
      </c>
      <c r="IP5">
        <v>3138457</v>
      </c>
      <c r="IQ5">
        <v>101752</v>
      </c>
      <c r="IR5" t="s">
        <v>2265</v>
      </c>
      <c r="IU5" t="str">
        <f>_xll.BDS("MTB US Equity","SUPPLY_CHAIN_CUSTOMERS_ALL_DATA","cols=12;rows=3")</f>
        <v>2610 TT Equity</v>
      </c>
      <c r="IV5">
        <v>-2.4245362661989844E-14</v>
      </c>
      <c r="IX5">
        <v>-2.4245362661989844E-14</v>
      </c>
      <c r="IY5" t="s">
        <v>1594</v>
      </c>
      <c r="IZ5">
        <v>2024</v>
      </c>
      <c r="JA5" t="s">
        <v>5705</v>
      </c>
      <c r="JB5" s="6">
        <v>45786</v>
      </c>
      <c r="JC5">
        <v>3</v>
      </c>
      <c r="JD5">
        <v>-2.4245362661989844E-14</v>
      </c>
      <c r="JE5">
        <v>129514</v>
      </c>
      <c r="JF5" t="s">
        <v>5706</v>
      </c>
      <c r="JK5" t="str">
        <f>_xll.BDS("CSCO US Equity","SUPPLY_CHAIN_SUPPLIERS_ALL_DATA","cols=12;rows=5")</f>
        <v>NVDA US Equity</v>
      </c>
      <c r="JL5" t="s">
        <v>1598</v>
      </c>
      <c r="JM5">
        <v>0.44414500000000001</v>
      </c>
      <c r="JN5">
        <v>5.627351</v>
      </c>
      <c r="JO5" t="s">
        <v>1606</v>
      </c>
      <c r="JP5">
        <v>2026</v>
      </c>
      <c r="JQ5" t="s">
        <v>2004</v>
      </c>
      <c r="JR5" s="6">
        <v>46087</v>
      </c>
      <c r="JS5">
        <v>5</v>
      </c>
      <c r="JT5">
        <v>302582656</v>
      </c>
      <c r="JU5">
        <v>313657</v>
      </c>
      <c r="JV5" t="s">
        <v>2005</v>
      </c>
      <c r="JY5" t="str">
        <f>_xll.BDS("CSCO US Equity","SUPPLY_CHAIN_CUSTOMERS_ALL_DATA","cols=12;rows=5")</f>
        <v>SNX US Equity</v>
      </c>
      <c r="JZ5">
        <v>3.3352200000000001</v>
      </c>
      <c r="KA5" t="s">
        <v>1598</v>
      </c>
      <c r="KB5">
        <v>3.067034</v>
      </c>
      <c r="KC5" t="s">
        <v>1606</v>
      </c>
      <c r="KD5">
        <v>2025</v>
      </c>
      <c r="KE5" t="s">
        <v>1701</v>
      </c>
      <c r="KF5" s="6">
        <v>46056</v>
      </c>
      <c r="KG5">
        <v>5</v>
      </c>
      <c r="KH5">
        <v>496380736</v>
      </c>
      <c r="KI5">
        <v>1499717</v>
      </c>
      <c r="KJ5" t="s">
        <v>1702</v>
      </c>
      <c r="KO5" t="str">
        <f>_xll.BDS("BKD US Equity","SUPPLY_CHAIN_SUPPLIERS_ALL_DATA","cols=12;rows=4")</f>
        <v>VTR US Equity</v>
      </c>
      <c r="KP5" t="s">
        <v>1685</v>
      </c>
      <c r="KQ5">
        <v>3.1</v>
      </c>
      <c r="KR5">
        <v>82.137343999999999</v>
      </c>
      <c r="KS5" t="s">
        <v>1594</v>
      </c>
      <c r="KT5">
        <v>2024</v>
      </c>
      <c r="KU5" t="s">
        <v>4434</v>
      </c>
      <c r="KV5" s="6">
        <v>45701</v>
      </c>
      <c r="KW5">
        <v>4</v>
      </c>
      <c r="KX5">
        <v>38163060</v>
      </c>
      <c r="KY5">
        <v>101595</v>
      </c>
      <c r="KZ5" t="s">
        <v>4435</v>
      </c>
      <c r="LC5" t="str">
        <f>_xll.BDS("BKD US Equity","SUPPLY_CHAIN_CUSTOMERS_ALL_DATA","cols=12;rows=1")</f>
        <v>9877893Z US Equity</v>
      </c>
      <c r="LD5">
        <v>-2.4245362661989844E-14</v>
      </c>
      <c r="LF5">
        <v>-2.4245362661989844E-14</v>
      </c>
      <c r="LG5" t="s">
        <v>1594</v>
      </c>
      <c r="LH5">
        <v>2023</v>
      </c>
      <c r="LI5" t="s">
        <v>4340</v>
      </c>
      <c r="LJ5" s="6">
        <v>45344</v>
      </c>
      <c r="LK5">
        <v>1</v>
      </c>
      <c r="LL5">
        <v>-2.4245362661989844E-14</v>
      </c>
      <c r="LM5">
        <v>17483390</v>
      </c>
      <c r="LN5" t="s">
        <v>2729</v>
      </c>
      <c r="LS5" t="str">
        <f>_xll.BDS("APC US Equity","SUPPLY_CHAIN_SUPPLIERS_ALL_DATA")</f>
        <v>#N/A N/A</v>
      </c>
      <c r="MG5" t="str">
        <f>_xll.BDS("APC US Equity","SUPPLY_CHAIN_CUSTOMERS_ALL_DATA")</f>
        <v>#N/A N/A</v>
      </c>
      <c r="MW5" t="str">
        <f>_xll.BDS("ROH US Equity","SUPPLY_CHAIN_SUPPLIERS_ALL_DATA","cols=12;rows=3")</f>
        <v>002741 CH Equity</v>
      </c>
      <c r="MY5">
        <v>-2.4245362661989844E-14</v>
      </c>
      <c r="MZ5">
        <v>-2.4245362661989844E-14</v>
      </c>
      <c r="NA5" t="s">
        <v>1792</v>
      </c>
      <c r="NB5">
        <v>2025</v>
      </c>
      <c r="NC5" t="s">
        <v>3983</v>
      </c>
      <c r="ND5" s="6">
        <v>45898</v>
      </c>
      <c r="NE5">
        <v>3</v>
      </c>
      <c r="NF5">
        <v>-2.4245362661989844E-14</v>
      </c>
      <c r="NG5">
        <v>40199994</v>
      </c>
      <c r="NH5" t="s">
        <v>3984</v>
      </c>
      <c r="NK5" t="str">
        <f>_xll.BDS("ROH US Equity","SUPPLY_CHAIN_CUSTOMERS_ALL_DATA","cols=12;rows=1")</f>
        <v>000990 KS Equity</v>
      </c>
      <c r="NL5">
        <v>-2.4245362661989844E-14</v>
      </c>
      <c r="NN5">
        <v>-2.4245362661989844E-14</v>
      </c>
      <c r="NO5" t="s">
        <v>1651</v>
      </c>
      <c r="NP5">
        <v>2024</v>
      </c>
      <c r="NQ5" t="s">
        <v>5287</v>
      </c>
      <c r="NR5" s="6">
        <v>45610</v>
      </c>
      <c r="NS5">
        <v>1</v>
      </c>
      <c r="NT5">
        <v>-2.4245362661989844E-14</v>
      </c>
      <c r="NU5">
        <v>117587</v>
      </c>
      <c r="NV5" t="s">
        <v>5288</v>
      </c>
      <c r="OA5" t="str">
        <f>_xll.BDS("NGLS US Equity","SUPPLY_CHAIN_SUPPLIERS_ALL_DATA")</f>
        <v>#N/A N/A</v>
      </c>
      <c r="OO5" t="str">
        <f>_xll.BDS("NGLS US Equity","SUPPLY_CHAIN_CUSTOMERS_ALL_DATA")</f>
        <v>#N/A N/A</v>
      </c>
      <c r="PE5" t="str">
        <f>_xll.BDS("NOC US Equity","SUPPLY_CHAIN_SUPPLIERS_ALL_DATA","cols=12;rows=5")</f>
        <v>RTX US Equity</v>
      </c>
      <c r="PF5" t="s">
        <v>1598</v>
      </c>
      <c r="PG5">
        <v>0.51138700000000004</v>
      </c>
      <c r="PH5">
        <v>1.351197</v>
      </c>
      <c r="PI5" t="s">
        <v>1664</v>
      </c>
      <c r="PJ5">
        <v>2025</v>
      </c>
      <c r="PK5" t="s">
        <v>2129</v>
      </c>
      <c r="PL5" s="6">
        <v>45895</v>
      </c>
      <c r="PM5">
        <v>5</v>
      </c>
      <c r="PN5">
        <v>110362432</v>
      </c>
      <c r="PO5">
        <v>101555</v>
      </c>
      <c r="PP5" t="s">
        <v>2130</v>
      </c>
      <c r="PS5" t="str">
        <f>_xll.BDS("NOC US Equity","SUPPLY_CHAIN_CUSTOMERS_ALL_DATA","cols=12;rows=5")</f>
        <v>3352Z US Equity</v>
      </c>
      <c r="PT5">
        <v>84</v>
      </c>
      <c r="PV5">
        <v>-2.4245362661989844E-14</v>
      </c>
      <c r="PW5" t="s">
        <v>1594</v>
      </c>
      <c r="PX5">
        <v>2025</v>
      </c>
      <c r="PY5" t="s">
        <v>1627</v>
      </c>
      <c r="PZ5" s="6">
        <v>46049</v>
      </c>
      <c r="QA5">
        <v>5</v>
      </c>
      <c r="QB5">
        <v>8795750000</v>
      </c>
      <c r="QC5">
        <v>218252</v>
      </c>
      <c r="QD5" t="s">
        <v>1622</v>
      </c>
      <c r="QI5" t="str">
        <f>_xll.BDS("nan Equity","SUPPLY_CHAIN_SUPPLIERS_ALL_DATA")</f>
        <v>#N/A N/A</v>
      </c>
      <c r="QW5" t="str">
        <f>_xll.BDS("nan Equity","SUPPLY_CHAIN_CUSTOMERS_ALL_DATA")</f>
        <v>#N/A N/A</v>
      </c>
      <c r="RM5" t="str">
        <f>_xll.BDS("LNWO US Equity","SUPPLY_CHAIN_SUPPLIERS_ALL_DATA","cols=12;rows=5")</f>
        <v>HAS US Equity</v>
      </c>
      <c r="RN5" t="s">
        <v>1598</v>
      </c>
      <c r="RO5">
        <v>0.180285</v>
      </c>
      <c r="RP5">
        <v>0.863487</v>
      </c>
      <c r="RQ5" t="s">
        <v>1606</v>
      </c>
      <c r="RR5">
        <v>2024</v>
      </c>
      <c r="RS5" t="s">
        <v>3218</v>
      </c>
      <c r="RT5" s="6">
        <v>45769</v>
      </c>
      <c r="RU5">
        <v>5</v>
      </c>
      <c r="RV5">
        <v>1986020</v>
      </c>
      <c r="RW5">
        <v>104314</v>
      </c>
      <c r="RX5" t="s">
        <v>3219</v>
      </c>
      <c r="SA5" t="str">
        <f>_xll.BDS("LNWO US Equity","SUPPLY_CHAIN_CUSTOMERS_ALL_DATA","cols=12;rows=5")</f>
        <v>ENT LN Equity</v>
      </c>
      <c r="SB5">
        <v>-2.4245362661989844E-14</v>
      </c>
      <c r="SD5">
        <v>-2.4245362661989844E-14</v>
      </c>
      <c r="SE5" t="s">
        <v>1594</v>
      </c>
      <c r="SF5">
        <v>2022</v>
      </c>
      <c r="SG5" t="s">
        <v>4745</v>
      </c>
      <c r="SH5" s="6">
        <v>44665</v>
      </c>
      <c r="SI5">
        <v>5</v>
      </c>
      <c r="SJ5">
        <v>-2.4245362661989844E-14</v>
      </c>
      <c r="SK5">
        <v>9335259</v>
      </c>
      <c r="SL5" t="s">
        <v>4746</v>
      </c>
      <c r="SQ5" t="str">
        <f>_xll.BDS("XRAY US Equity","SUPPLY_CHAIN_SUPPLIERS_ALL_DATA","cols=12;rows=5")</f>
        <v>8109 TT Equity</v>
      </c>
      <c r="SS5">
        <v>-2.4245362661989844E-14</v>
      </c>
      <c r="ST5">
        <v>-2.4245362661989844E-14</v>
      </c>
      <c r="SU5" t="s">
        <v>1664</v>
      </c>
      <c r="SV5">
        <v>2025</v>
      </c>
      <c r="SW5" t="s">
        <v>6291</v>
      </c>
      <c r="SX5" s="6">
        <v>45888</v>
      </c>
      <c r="SY5">
        <v>5</v>
      </c>
      <c r="SZ5">
        <v>-2.4245362661989844E-14</v>
      </c>
      <c r="TA5">
        <v>8001650</v>
      </c>
      <c r="TB5" t="s">
        <v>6292</v>
      </c>
      <c r="TE5" t="str">
        <f>_xll.BDS("XRAY US Equity","SUPPLY_CHAIN_CUSTOMERS_ALL_DATA","cols=12;rows=5")</f>
        <v>3705975Z US Equity</v>
      </c>
      <c r="TF5">
        <v>-2.4245362661989844E-14</v>
      </c>
      <c r="TH5">
        <v>-2.4245362661989844E-14</v>
      </c>
      <c r="TI5" t="s">
        <v>1594</v>
      </c>
      <c r="TJ5">
        <v>2026</v>
      </c>
      <c r="TK5" t="s">
        <v>6281</v>
      </c>
      <c r="TL5" s="6">
        <v>46077</v>
      </c>
      <c r="TM5">
        <v>5</v>
      </c>
      <c r="TN5">
        <v>-2.4245362661989844E-14</v>
      </c>
      <c r="TO5">
        <v>20344919</v>
      </c>
      <c r="TP5" t="s">
        <v>6282</v>
      </c>
      <c r="TU5" t="str">
        <f>_xll.BDS("BPY-U CN Equity","SUPPLY_CHAIN_SUPPLIERS_ALL_DATA")</f>
        <v>#N/A N/A</v>
      </c>
      <c r="UI5" t="str">
        <f>_xll.BDS("BPY-U CN Equity","SUPPLY_CHAIN_CUSTOMERS_ALL_DATA")</f>
        <v>#N/A N/A</v>
      </c>
      <c r="UY5" t="str">
        <f>_xll.BDS("PEB US Equity","SUPPLY_CHAIN_SUPPLIERS_ALL_DATA","cols=12;rows=5")</f>
        <v>SABR US Equity</v>
      </c>
      <c r="UZ5" t="s">
        <v>1598</v>
      </c>
      <c r="VA5">
        <v>4.4699000000000003E-2</v>
      </c>
      <c r="VB5">
        <v>0.256552</v>
      </c>
      <c r="VC5" t="s">
        <v>1606</v>
      </c>
      <c r="VD5">
        <v>2024</v>
      </c>
      <c r="VE5" t="s">
        <v>4815</v>
      </c>
      <c r="VF5" s="6">
        <v>45771</v>
      </c>
      <c r="VG5">
        <v>5</v>
      </c>
      <c r="VH5">
        <v>319474</v>
      </c>
      <c r="VI5">
        <v>38748702</v>
      </c>
      <c r="VJ5" t="s">
        <v>4401</v>
      </c>
      <c r="VM5" t="str">
        <f>_xll.BDS("PEB US Equity","SUPPLY_CHAIN_CUSTOMERS_ALL_DATA")</f>
        <v>#N/A N/A</v>
      </c>
    </row>
    <row r="6" spans="1:600" x14ac:dyDescent="0.25">
      <c r="A6" t="s">
        <v>2131</v>
      </c>
      <c r="B6" t="s">
        <v>1598</v>
      </c>
      <c r="C6">
        <v>1.8061149999999999</v>
      </c>
      <c r="D6">
        <v>1.370322</v>
      </c>
      <c r="E6" t="s">
        <v>1664</v>
      </c>
      <c r="F6">
        <v>2025</v>
      </c>
      <c r="G6" t="s">
        <v>2132</v>
      </c>
      <c r="H6" s="6">
        <v>45874</v>
      </c>
      <c r="I6">
        <v>5</v>
      </c>
      <c r="J6">
        <v>152133629.88</v>
      </c>
      <c r="K6">
        <v>115519</v>
      </c>
      <c r="L6" t="s">
        <v>2133</v>
      </c>
      <c r="O6" t="s">
        <v>1633</v>
      </c>
      <c r="P6">
        <v>0.77161500000000005</v>
      </c>
      <c r="Q6" t="s">
        <v>1634</v>
      </c>
      <c r="R6">
        <v>-2.4245362661989844E-14</v>
      </c>
      <c r="S6" t="s">
        <v>1594</v>
      </c>
      <c r="T6">
        <v>2025</v>
      </c>
      <c r="U6" t="s">
        <v>1635</v>
      </c>
      <c r="V6" s="6">
        <v>45925</v>
      </c>
      <c r="W6">
        <v>5</v>
      </c>
      <c r="X6">
        <v>95700000</v>
      </c>
      <c r="Y6">
        <v>340053</v>
      </c>
      <c r="Z6" t="s">
        <v>1636</v>
      </c>
      <c r="AE6" t="s">
        <v>5276</v>
      </c>
      <c r="AG6">
        <v>-2.4245362661989844E-14</v>
      </c>
      <c r="AH6">
        <v>-2.4245362661989844E-14</v>
      </c>
      <c r="AI6" t="s">
        <v>1594</v>
      </c>
      <c r="AJ6">
        <v>2025</v>
      </c>
      <c r="AK6" t="s">
        <v>5277</v>
      </c>
      <c r="AL6" s="6">
        <v>45982</v>
      </c>
      <c r="AM6">
        <v>5</v>
      </c>
      <c r="AN6">
        <v>-2.4245362661989844E-14</v>
      </c>
      <c r="AO6">
        <v>17827158</v>
      </c>
      <c r="AP6" t="s">
        <v>5278</v>
      </c>
      <c r="AS6" t="s">
        <v>5004</v>
      </c>
      <c r="AT6">
        <v>-2.4245362661989844E-14</v>
      </c>
      <c r="AV6">
        <v>-2.4245362661989844E-14</v>
      </c>
      <c r="AW6" t="s">
        <v>1594</v>
      </c>
      <c r="AX6">
        <v>2021</v>
      </c>
      <c r="AY6" t="s">
        <v>5005</v>
      </c>
      <c r="AZ6" s="6">
        <v>44693</v>
      </c>
      <c r="BA6">
        <v>5</v>
      </c>
      <c r="BB6">
        <v>-2.4245362661989844E-14</v>
      </c>
      <c r="BC6">
        <v>115948</v>
      </c>
      <c r="BD6" t="s">
        <v>5006</v>
      </c>
      <c r="DQ6" t="s">
        <v>4053</v>
      </c>
      <c r="DR6" t="s">
        <v>1598</v>
      </c>
      <c r="DS6">
        <v>18.528752999999998</v>
      </c>
      <c r="DT6">
        <v>3.6639379999999999</v>
      </c>
      <c r="DU6" t="s">
        <v>1599</v>
      </c>
      <c r="DV6">
        <v>2025</v>
      </c>
      <c r="DW6" t="s">
        <v>4054</v>
      </c>
      <c r="DX6" s="6">
        <v>46063</v>
      </c>
      <c r="DY6">
        <v>5</v>
      </c>
      <c r="DZ6">
        <v>761868619.62</v>
      </c>
      <c r="EA6">
        <v>69366139</v>
      </c>
      <c r="EB6" t="s">
        <v>4055</v>
      </c>
      <c r="EE6" t="s">
        <v>6010</v>
      </c>
      <c r="EF6">
        <v>7.45E-4</v>
      </c>
      <c r="EG6" t="s">
        <v>1598</v>
      </c>
      <c r="EH6">
        <v>5.4128379999999998</v>
      </c>
      <c r="EI6" t="s">
        <v>1594</v>
      </c>
      <c r="EJ6">
        <v>2024</v>
      </c>
      <c r="EK6" t="s">
        <v>6011</v>
      </c>
      <c r="EL6" s="6">
        <v>45806</v>
      </c>
      <c r="EM6">
        <v>5</v>
      </c>
      <c r="EN6">
        <v>180161.24</v>
      </c>
      <c r="EO6">
        <v>812014</v>
      </c>
      <c r="EP6" t="s">
        <v>6012</v>
      </c>
      <c r="EU6" t="s">
        <v>5853</v>
      </c>
      <c r="EW6">
        <v>-2.4245362661989844E-14</v>
      </c>
      <c r="EX6">
        <v>-2.4245362661989844E-14</v>
      </c>
      <c r="EY6" t="s">
        <v>1594</v>
      </c>
      <c r="EZ6">
        <v>2024</v>
      </c>
      <c r="FA6" t="s">
        <v>5854</v>
      </c>
      <c r="FB6" s="6">
        <v>45716</v>
      </c>
      <c r="FC6">
        <v>5</v>
      </c>
      <c r="FD6">
        <v>-2.4245362661989844E-14</v>
      </c>
      <c r="FE6">
        <v>119752</v>
      </c>
      <c r="FF6" t="s">
        <v>5855</v>
      </c>
      <c r="FI6" t="s">
        <v>5707</v>
      </c>
      <c r="FJ6">
        <v>-2.4245362661989844E-14</v>
      </c>
      <c r="FL6">
        <v>-2.4245362661989844E-14</v>
      </c>
      <c r="FM6" t="s">
        <v>1594</v>
      </c>
      <c r="FN6">
        <v>2024</v>
      </c>
      <c r="FO6" t="s">
        <v>5708</v>
      </c>
      <c r="FP6" s="6">
        <v>45779</v>
      </c>
      <c r="FQ6">
        <v>3</v>
      </c>
      <c r="FR6">
        <v>-2.4245362661989844E-14</v>
      </c>
      <c r="FS6">
        <v>918740</v>
      </c>
      <c r="FT6" t="s">
        <v>5709</v>
      </c>
      <c r="FY6" t="s">
        <v>3065</v>
      </c>
      <c r="FZ6" t="s">
        <v>1685</v>
      </c>
      <c r="GA6">
        <v>0.58391400000000004</v>
      </c>
      <c r="GB6">
        <v>3.4025E-2</v>
      </c>
      <c r="GC6" t="s">
        <v>1594</v>
      </c>
      <c r="GD6">
        <v>2025</v>
      </c>
      <c r="GE6" t="s">
        <v>3066</v>
      </c>
      <c r="GF6" s="6">
        <v>46063</v>
      </c>
      <c r="GG6">
        <v>5</v>
      </c>
      <c r="GH6">
        <v>1176750</v>
      </c>
      <c r="GI6">
        <v>143096</v>
      </c>
      <c r="GJ6" t="s">
        <v>3067</v>
      </c>
      <c r="HC6" t="s">
        <v>2628</v>
      </c>
      <c r="HD6" t="s">
        <v>1598</v>
      </c>
      <c r="HE6">
        <v>13.760432</v>
      </c>
      <c r="HF6">
        <v>4.7536569999999996</v>
      </c>
      <c r="HG6" t="s">
        <v>1664</v>
      </c>
      <c r="HH6">
        <v>2025</v>
      </c>
      <c r="HI6" t="s">
        <v>2629</v>
      </c>
      <c r="HJ6" s="6">
        <v>45937</v>
      </c>
      <c r="HK6">
        <v>5</v>
      </c>
      <c r="HL6">
        <v>325305405.77999997</v>
      </c>
      <c r="HM6">
        <v>8445936</v>
      </c>
      <c r="HN6" t="s">
        <v>2630</v>
      </c>
      <c r="HQ6" t="s">
        <v>872</v>
      </c>
      <c r="HR6">
        <v>9.2636719999999997</v>
      </c>
      <c r="HS6" t="s">
        <v>1598</v>
      </c>
      <c r="HT6">
        <v>5.0267530000000002</v>
      </c>
      <c r="HU6" t="s">
        <v>1664</v>
      </c>
      <c r="HV6">
        <v>2025</v>
      </c>
      <c r="HW6" t="s">
        <v>1958</v>
      </c>
      <c r="HX6" s="6">
        <v>45888</v>
      </c>
      <c r="HY6">
        <v>5</v>
      </c>
      <c r="HZ6">
        <v>1021134592</v>
      </c>
      <c r="IA6">
        <v>100211</v>
      </c>
      <c r="IB6" t="s">
        <v>1632</v>
      </c>
      <c r="IG6" t="s">
        <v>5853</v>
      </c>
      <c r="II6">
        <v>-2.4245362661989844E-14</v>
      </c>
      <c r="IJ6">
        <v>-2.4245362661989844E-14</v>
      </c>
      <c r="IK6" t="s">
        <v>1594</v>
      </c>
      <c r="IL6">
        <v>2024</v>
      </c>
      <c r="IM6" t="s">
        <v>5854</v>
      </c>
      <c r="IN6" s="6">
        <v>45716</v>
      </c>
      <c r="IO6">
        <v>5</v>
      </c>
      <c r="IP6">
        <v>-2.4245362661989844E-14</v>
      </c>
      <c r="IQ6">
        <v>119752</v>
      </c>
      <c r="IR6" t="s">
        <v>5855</v>
      </c>
      <c r="IU6" t="s">
        <v>5707</v>
      </c>
      <c r="IV6">
        <v>-2.4245362661989844E-14</v>
      </c>
      <c r="IX6">
        <v>-2.4245362661989844E-14</v>
      </c>
      <c r="IY6" t="s">
        <v>1594</v>
      </c>
      <c r="IZ6">
        <v>2024</v>
      </c>
      <c r="JA6" t="s">
        <v>5708</v>
      </c>
      <c r="JB6" s="6">
        <v>45779</v>
      </c>
      <c r="JC6">
        <v>3</v>
      </c>
      <c r="JD6">
        <v>-2.4245362661989844E-14</v>
      </c>
      <c r="JE6">
        <v>918740</v>
      </c>
      <c r="JF6" t="s">
        <v>5709</v>
      </c>
      <c r="JK6" t="s">
        <v>3655</v>
      </c>
      <c r="JL6" t="s">
        <v>1598</v>
      </c>
      <c r="JM6">
        <v>0.347161</v>
      </c>
      <c r="JN6">
        <v>4.1422239999999997</v>
      </c>
      <c r="JO6" t="s">
        <v>1664</v>
      </c>
      <c r="JP6">
        <v>2025</v>
      </c>
      <c r="JQ6" t="s">
        <v>3656</v>
      </c>
      <c r="JR6" s="6">
        <v>45889</v>
      </c>
      <c r="JS6">
        <v>5</v>
      </c>
      <c r="JT6">
        <v>201928052.13999999</v>
      </c>
      <c r="JU6">
        <v>119133</v>
      </c>
      <c r="JV6" t="s">
        <v>3657</v>
      </c>
      <c r="JY6" t="s">
        <v>178</v>
      </c>
      <c r="JZ6">
        <v>2.8732120000000001</v>
      </c>
      <c r="KA6" t="s">
        <v>1634</v>
      </c>
      <c r="KB6">
        <v>2.4006630000000002</v>
      </c>
      <c r="KC6" t="s">
        <v>1664</v>
      </c>
      <c r="KD6">
        <v>2025</v>
      </c>
      <c r="KE6" t="s">
        <v>3227</v>
      </c>
      <c r="KF6" s="6">
        <v>45783</v>
      </c>
      <c r="KG6">
        <v>5</v>
      </c>
      <c r="KH6">
        <v>401991104</v>
      </c>
      <c r="KI6">
        <v>101743</v>
      </c>
      <c r="KJ6" t="s">
        <v>1736</v>
      </c>
      <c r="KO6" t="s">
        <v>1394</v>
      </c>
      <c r="KP6" t="s">
        <v>1685</v>
      </c>
      <c r="KQ6">
        <v>4.7364920000000001</v>
      </c>
      <c r="KR6">
        <v>27.789932</v>
      </c>
      <c r="KS6" t="s">
        <v>1594</v>
      </c>
      <c r="KT6">
        <v>2024</v>
      </c>
      <c r="KU6" t="s">
        <v>3488</v>
      </c>
      <c r="KV6" s="6">
        <v>45693</v>
      </c>
      <c r="KW6">
        <v>4</v>
      </c>
      <c r="KX6">
        <v>12449750</v>
      </c>
      <c r="KY6">
        <v>115223</v>
      </c>
      <c r="KZ6" t="s">
        <v>5330</v>
      </c>
      <c r="MW6" t="s">
        <v>3985</v>
      </c>
      <c r="MY6">
        <v>-2.4245362661989844E-14</v>
      </c>
      <c r="MZ6">
        <v>-2.4245362661989844E-14</v>
      </c>
      <c r="NA6" t="s">
        <v>1594</v>
      </c>
      <c r="NB6">
        <v>2022</v>
      </c>
      <c r="NC6" t="s">
        <v>3986</v>
      </c>
      <c r="ND6" s="6">
        <v>45050</v>
      </c>
      <c r="NE6">
        <v>3</v>
      </c>
      <c r="NF6">
        <v>-2.4245362661989844E-14</v>
      </c>
      <c r="NG6">
        <v>16550453</v>
      </c>
      <c r="NH6" t="s">
        <v>3987</v>
      </c>
      <c r="PE6" t="s">
        <v>2182</v>
      </c>
      <c r="PF6" t="s">
        <v>1598</v>
      </c>
      <c r="PG6">
        <v>2.205819</v>
      </c>
      <c r="PH6">
        <v>0.66992200000000002</v>
      </c>
      <c r="PI6" t="s">
        <v>1664</v>
      </c>
      <c r="PJ6">
        <v>2026</v>
      </c>
      <c r="PK6" t="s">
        <v>2183</v>
      </c>
      <c r="PL6" s="6">
        <v>46017</v>
      </c>
      <c r="PM6">
        <v>5</v>
      </c>
      <c r="PN6">
        <v>56247939.43</v>
      </c>
      <c r="PO6">
        <v>113796</v>
      </c>
      <c r="PP6" t="s">
        <v>2184</v>
      </c>
      <c r="PS6" t="s">
        <v>1628</v>
      </c>
      <c r="PT6">
        <v>1.0381830000000001</v>
      </c>
      <c r="PU6" t="s">
        <v>1598</v>
      </c>
      <c r="PV6">
        <v>0.65061599999999997</v>
      </c>
      <c r="PW6" t="s">
        <v>1599</v>
      </c>
      <c r="PX6">
        <v>2025</v>
      </c>
      <c r="PY6" t="s">
        <v>1629</v>
      </c>
      <c r="PZ6" s="6">
        <v>45964</v>
      </c>
      <c r="QA6">
        <v>5</v>
      </c>
      <c r="QB6">
        <v>106499408</v>
      </c>
      <c r="QC6">
        <v>156923</v>
      </c>
      <c r="QD6" t="s">
        <v>1630</v>
      </c>
      <c r="RM6" t="s">
        <v>4854</v>
      </c>
      <c r="RN6" t="s">
        <v>1598</v>
      </c>
      <c r="RO6">
        <v>6</v>
      </c>
      <c r="RP6">
        <v>0.27959600000000001</v>
      </c>
      <c r="RQ6" t="s">
        <v>1594</v>
      </c>
      <c r="RR6">
        <v>2024</v>
      </c>
      <c r="RS6" t="s">
        <v>4855</v>
      </c>
      <c r="RT6" s="6">
        <v>45740</v>
      </c>
      <c r="RU6">
        <v>5</v>
      </c>
      <c r="RV6">
        <v>650760</v>
      </c>
      <c r="RW6">
        <v>194466</v>
      </c>
      <c r="RX6" t="s">
        <v>4856</v>
      </c>
      <c r="SA6" t="s">
        <v>4747</v>
      </c>
      <c r="SB6">
        <v>-2.4245362661989844E-14</v>
      </c>
      <c r="SD6">
        <v>-2.4245362661989844E-14</v>
      </c>
      <c r="SE6" t="s">
        <v>1594</v>
      </c>
      <c r="SF6">
        <v>2024</v>
      </c>
      <c r="SG6" t="s">
        <v>4748</v>
      </c>
      <c r="SH6" s="6">
        <v>45776</v>
      </c>
      <c r="SI6">
        <v>5</v>
      </c>
      <c r="SJ6">
        <v>-2.4245362661989844E-14</v>
      </c>
      <c r="SK6">
        <v>8540383</v>
      </c>
      <c r="SL6" t="s">
        <v>4749</v>
      </c>
      <c r="SQ6" t="s">
        <v>5206</v>
      </c>
      <c r="SS6">
        <v>-2.4245362661989844E-14</v>
      </c>
      <c r="ST6">
        <v>-2.4245362661989844E-14</v>
      </c>
      <c r="SU6" t="s">
        <v>1594</v>
      </c>
      <c r="SV6">
        <v>2022</v>
      </c>
      <c r="SW6" t="s">
        <v>5207</v>
      </c>
      <c r="SX6" s="6">
        <v>44693</v>
      </c>
      <c r="SY6">
        <v>5</v>
      </c>
      <c r="SZ6">
        <v>-2.4245362661989844E-14</v>
      </c>
      <c r="TA6">
        <v>114991</v>
      </c>
      <c r="TB6" t="s">
        <v>5208</v>
      </c>
      <c r="TE6" t="s">
        <v>6283</v>
      </c>
      <c r="TF6">
        <v>-2.4245362661989844E-14</v>
      </c>
      <c r="TH6">
        <v>-2.4245362661989844E-14</v>
      </c>
      <c r="TI6" t="s">
        <v>1594</v>
      </c>
      <c r="TJ6">
        <v>2021</v>
      </c>
      <c r="TK6" t="s">
        <v>6284</v>
      </c>
      <c r="TL6" s="6">
        <v>44678</v>
      </c>
      <c r="TM6">
        <v>5</v>
      </c>
      <c r="TN6">
        <v>-2.4245362661989844E-14</v>
      </c>
      <c r="TO6">
        <v>193703</v>
      </c>
      <c r="TP6" t="s">
        <v>6285</v>
      </c>
      <c r="UY6" t="s">
        <v>2356</v>
      </c>
      <c r="VA6">
        <v>-2.4245362661989844E-14</v>
      </c>
      <c r="VB6">
        <v>-2.4245362661989844E-14</v>
      </c>
      <c r="VC6" t="s">
        <v>1594</v>
      </c>
      <c r="VD6">
        <v>2023</v>
      </c>
      <c r="VE6" t="s">
        <v>5954</v>
      </c>
      <c r="VF6" s="6">
        <v>44945</v>
      </c>
      <c r="VG6">
        <v>5</v>
      </c>
      <c r="VH6">
        <v>-2.4245362661989844E-14</v>
      </c>
      <c r="VI6">
        <v>12202769</v>
      </c>
      <c r="VJ6" t="s">
        <v>2358</v>
      </c>
    </row>
    <row r="7" spans="1:600" x14ac:dyDescent="0.25">
      <c r="A7" t="s">
        <v>2134</v>
      </c>
      <c r="B7" t="s">
        <v>1598</v>
      </c>
      <c r="C7">
        <v>2.19069</v>
      </c>
      <c r="D7">
        <v>1.2499830000000001</v>
      </c>
      <c r="E7" t="s">
        <v>1664</v>
      </c>
      <c r="F7">
        <v>2025</v>
      </c>
      <c r="G7" t="s">
        <v>2135</v>
      </c>
      <c r="H7" s="6">
        <v>45873</v>
      </c>
      <c r="I7">
        <v>5</v>
      </c>
      <c r="J7">
        <v>138750110.75</v>
      </c>
      <c r="K7">
        <v>112185</v>
      </c>
      <c r="L7" t="s">
        <v>2136</v>
      </c>
      <c r="O7" t="s">
        <v>1676</v>
      </c>
      <c r="P7">
        <v>0.3236</v>
      </c>
      <c r="Q7" t="s">
        <v>1598</v>
      </c>
      <c r="R7">
        <v>1.6738</v>
      </c>
      <c r="S7" t="s">
        <v>1664</v>
      </c>
      <c r="T7">
        <v>2025</v>
      </c>
      <c r="U7" t="s">
        <v>1677</v>
      </c>
      <c r="V7" s="6">
        <v>45902</v>
      </c>
      <c r="W7">
        <v>5</v>
      </c>
      <c r="X7">
        <v>42200676</v>
      </c>
      <c r="Y7">
        <v>24061601</v>
      </c>
      <c r="Z7" t="s">
        <v>1678</v>
      </c>
      <c r="AE7" t="s">
        <v>5279</v>
      </c>
      <c r="AG7">
        <v>-2.4245362661989844E-14</v>
      </c>
      <c r="AH7">
        <v>-2.4245362661989844E-14</v>
      </c>
      <c r="AI7" t="s">
        <v>1594</v>
      </c>
      <c r="AJ7">
        <v>2025</v>
      </c>
      <c r="AK7" t="s">
        <v>5277</v>
      </c>
      <c r="AL7" s="6">
        <v>45982</v>
      </c>
      <c r="AM7">
        <v>5</v>
      </c>
      <c r="AN7">
        <v>-2.4245362661989844E-14</v>
      </c>
      <c r="AO7">
        <v>820834</v>
      </c>
      <c r="AP7" t="s">
        <v>5280</v>
      </c>
      <c r="AS7" t="s">
        <v>5007</v>
      </c>
      <c r="AT7">
        <v>-2.4245362661989844E-14</v>
      </c>
      <c r="AV7">
        <v>-2.4245362661989844E-14</v>
      </c>
      <c r="AW7" t="s">
        <v>1594</v>
      </c>
      <c r="AX7">
        <v>2021</v>
      </c>
      <c r="AY7" t="s">
        <v>5005</v>
      </c>
      <c r="AZ7" s="6">
        <v>44693</v>
      </c>
      <c r="BA7">
        <v>5</v>
      </c>
      <c r="BB7">
        <v>-2.4245362661989844E-14</v>
      </c>
      <c r="BC7">
        <v>180001</v>
      </c>
      <c r="BD7" t="s">
        <v>5008</v>
      </c>
      <c r="DQ7" t="s">
        <v>2376</v>
      </c>
      <c r="DR7" t="s">
        <v>1598</v>
      </c>
      <c r="DS7">
        <v>0.79603500000000005</v>
      </c>
      <c r="DT7">
        <v>2.278035</v>
      </c>
      <c r="DU7" t="s">
        <v>1664</v>
      </c>
      <c r="DV7">
        <v>2025</v>
      </c>
      <c r="DW7" t="s">
        <v>2377</v>
      </c>
      <c r="DX7" s="6">
        <v>45952</v>
      </c>
      <c r="DY7">
        <v>5</v>
      </c>
      <c r="DZ7">
        <v>424061724.06999999</v>
      </c>
      <c r="EA7">
        <v>117929</v>
      </c>
      <c r="EB7" t="s">
        <v>2378</v>
      </c>
      <c r="EE7" t="s">
        <v>6013</v>
      </c>
      <c r="EF7">
        <v>5.4799999999999998E-4</v>
      </c>
      <c r="EG7" t="s">
        <v>1634</v>
      </c>
      <c r="EH7">
        <v>0.20153799999999999</v>
      </c>
      <c r="EI7" t="s">
        <v>1664</v>
      </c>
      <c r="EJ7">
        <v>2025</v>
      </c>
      <c r="EK7" t="s">
        <v>6014</v>
      </c>
      <c r="EL7" s="6">
        <v>45929</v>
      </c>
      <c r="EM7">
        <v>5</v>
      </c>
      <c r="EN7">
        <v>123338.17</v>
      </c>
      <c r="EO7">
        <v>115361</v>
      </c>
      <c r="EP7" t="s">
        <v>6015</v>
      </c>
      <c r="EU7" t="s">
        <v>5789</v>
      </c>
      <c r="EW7">
        <v>-2.4245362661989844E-14</v>
      </c>
      <c r="EX7">
        <v>-2.4245362661989844E-14</v>
      </c>
      <c r="EY7" t="s">
        <v>1603</v>
      </c>
      <c r="EZ7">
        <v>2025</v>
      </c>
      <c r="FA7" t="s">
        <v>5856</v>
      </c>
      <c r="FB7" s="6">
        <v>45845</v>
      </c>
      <c r="FC7">
        <v>5</v>
      </c>
      <c r="FD7">
        <v>-2.4245362661989844E-14</v>
      </c>
      <c r="FE7">
        <v>115265</v>
      </c>
      <c r="FF7" t="s">
        <v>5791</v>
      </c>
      <c r="FI7" t="s">
        <v>1684</v>
      </c>
      <c r="FJ7">
        <v>-2.4245362661989844E-14</v>
      </c>
      <c r="FL7">
        <v>-2.4245362661989844E-14</v>
      </c>
      <c r="FM7" t="s">
        <v>1594</v>
      </c>
      <c r="FN7">
        <v>2025</v>
      </c>
      <c r="FO7" t="s">
        <v>1686</v>
      </c>
      <c r="FP7" s="6">
        <v>46056</v>
      </c>
      <c r="FQ7">
        <v>3</v>
      </c>
      <c r="FR7">
        <v>-2.4245362661989844E-14</v>
      </c>
      <c r="FS7">
        <v>163441</v>
      </c>
      <c r="FT7" t="s">
        <v>1687</v>
      </c>
      <c r="FY7" t="s">
        <v>2063</v>
      </c>
      <c r="GA7">
        <v>-2.4245362661989844E-14</v>
      </c>
      <c r="GB7">
        <v>-2.4245362661989844E-14</v>
      </c>
      <c r="GC7" t="s">
        <v>1651</v>
      </c>
      <c r="GD7">
        <v>2023</v>
      </c>
      <c r="GE7" t="s">
        <v>3231</v>
      </c>
      <c r="GF7" s="6">
        <v>45244</v>
      </c>
      <c r="GG7">
        <v>5</v>
      </c>
      <c r="GH7">
        <v>-2.4245362661989844E-14</v>
      </c>
      <c r="GI7">
        <v>118099</v>
      </c>
      <c r="GJ7" t="s">
        <v>2065</v>
      </c>
      <c r="HC7" t="s">
        <v>2631</v>
      </c>
      <c r="HD7" t="s">
        <v>1598</v>
      </c>
      <c r="HE7">
        <v>11</v>
      </c>
      <c r="HF7">
        <v>3.1337429999999999</v>
      </c>
      <c r="HG7" t="s">
        <v>1594</v>
      </c>
      <c r="HH7">
        <v>2025</v>
      </c>
      <c r="HI7" t="s">
        <v>2632</v>
      </c>
      <c r="HJ7" s="6">
        <v>46065</v>
      </c>
      <c r="HK7">
        <v>5</v>
      </c>
      <c r="HL7">
        <v>226930000</v>
      </c>
      <c r="HM7">
        <v>59099358</v>
      </c>
      <c r="HN7" t="s">
        <v>2633</v>
      </c>
      <c r="HQ7" t="s">
        <v>1732</v>
      </c>
      <c r="HR7">
        <v>4.5319979999999997</v>
      </c>
      <c r="HS7" t="s">
        <v>1598</v>
      </c>
      <c r="HT7">
        <v>3.2162160000000002</v>
      </c>
      <c r="HU7" t="s">
        <v>1664</v>
      </c>
      <c r="HV7">
        <v>2025</v>
      </c>
      <c r="HW7" t="s">
        <v>1958</v>
      </c>
      <c r="HX7" s="6">
        <v>45888</v>
      </c>
      <c r="HY7">
        <v>5</v>
      </c>
      <c r="HZ7">
        <v>499562144</v>
      </c>
      <c r="IA7">
        <v>876285</v>
      </c>
      <c r="IB7" t="s">
        <v>1734</v>
      </c>
      <c r="IG7" t="s">
        <v>5789</v>
      </c>
      <c r="II7">
        <v>-2.4245362661989844E-14</v>
      </c>
      <c r="IJ7">
        <v>-2.4245362661989844E-14</v>
      </c>
      <c r="IK7" t="s">
        <v>1603</v>
      </c>
      <c r="IL7">
        <v>2025</v>
      </c>
      <c r="IM7" t="s">
        <v>5856</v>
      </c>
      <c r="IN7" s="6">
        <v>45845</v>
      </c>
      <c r="IO7">
        <v>5</v>
      </c>
      <c r="IP7">
        <v>-2.4245362661989844E-14</v>
      </c>
      <c r="IQ7">
        <v>115265</v>
      </c>
      <c r="IR7" t="s">
        <v>5791</v>
      </c>
      <c r="IU7" t="s">
        <v>1684</v>
      </c>
      <c r="IV7">
        <v>-2.4245362661989844E-14</v>
      </c>
      <c r="IX7">
        <v>-2.4245362661989844E-14</v>
      </c>
      <c r="IY7" t="s">
        <v>1594</v>
      </c>
      <c r="IZ7">
        <v>2025</v>
      </c>
      <c r="JA7" t="s">
        <v>1686</v>
      </c>
      <c r="JB7" s="6">
        <v>46056</v>
      </c>
      <c r="JC7">
        <v>3</v>
      </c>
      <c r="JD7">
        <v>-2.4245362661989844E-14</v>
      </c>
      <c r="JE7">
        <v>163441</v>
      </c>
      <c r="JF7" t="s">
        <v>1687</v>
      </c>
      <c r="JK7" t="s">
        <v>2582</v>
      </c>
      <c r="JL7" t="s">
        <v>1598</v>
      </c>
      <c r="JM7">
        <v>0.664825</v>
      </c>
      <c r="JN7">
        <v>3.6327410000000002</v>
      </c>
      <c r="JO7" t="s">
        <v>1606</v>
      </c>
      <c r="JP7">
        <v>2024</v>
      </c>
      <c r="JQ7" t="s">
        <v>3144</v>
      </c>
      <c r="JR7" s="6">
        <v>45741</v>
      </c>
      <c r="JS7">
        <v>5</v>
      </c>
      <c r="JT7">
        <v>178478249.27000001</v>
      </c>
      <c r="JU7">
        <v>153737</v>
      </c>
      <c r="JV7" t="s">
        <v>2584</v>
      </c>
      <c r="JY7" t="s">
        <v>2376</v>
      </c>
      <c r="JZ7">
        <v>2.64514</v>
      </c>
      <c r="KA7" t="s">
        <v>1598</v>
      </c>
      <c r="KB7">
        <v>1.094911</v>
      </c>
      <c r="KC7" t="s">
        <v>1664</v>
      </c>
      <c r="KD7">
        <v>2025</v>
      </c>
      <c r="KE7" t="s">
        <v>3227</v>
      </c>
      <c r="KF7" s="6">
        <v>45783</v>
      </c>
      <c r="KG7">
        <v>5</v>
      </c>
      <c r="KH7">
        <v>370081536</v>
      </c>
      <c r="KI7">
        <v>117929</v>
      </c>
      <c r="KJ7" t="s">
        <v>2378</v>
      </c>
      <c r="KO7" t="s">
        <v>6258</v>
      </c>
      <c r="KP7" t="s">
        <v>1685</v>
      </c>
      <c r="KQ7">
        <v>4.6981849999999996</v>
      </c>
      <c r="KR7">
        <v>5.3048159999999998</v>
      </c>
      <c r="KS7" t="s">
        <v>1594</v>
      </c>
      <c r="KT7">
        <v>2024</v>
      </c>
      <c r="KU7" t="s">
        <v>6259</v>
      </c>
      <c r="KV7" s="6">
        <v>45712</v>
      </c>
      <c r="KW7">
        <v>4</v>
      </c>
      <c r="KX7">
        <v>2464750</v>
      </c>
      <c r="KY7">
        <v>115220</v>
      </c>
      <c r="KZ7" t="s">
        <v>6260</v>
      </c>
      <c r="MW7" t="s">
        <v>3988</v>
      </c>
      <c r="MY7">
        <v>-2.4245362661989844E-14</v>
      </c>
      <c r="MZ7">
        <v>-2.4245362661989844E-14</v>
      </c>
      <c r="NA7" t="s">
        <v>1594</v>
      </c>
      <c r="NB7">
        <v>2025</v>
      </c>
      <c r="NC7" t="s">
        <v>3989</v>
      </c>
      <c r="ND7" s="6">
        <v>45887</v>
      </c>
      <c r="NE7">
        <v>3</v>
      </c>
      <c r="NF7">
        <v>-2.4245362661989844E-14</v>
      </c>
      <c r="NG7">
        <v>174466</v>
      </c>
      <c r="NH7" t="s">
        <v>3990</v>
      </c>
      <c r="PE7" t="s">
        <v>2185</v>
      </c>
      <c r="PF7" t="s">
        <v>1598</v>
      </c>
      <c r="PG7">
        <v>6.9616020000000001</v>
      </c>
      <c r="PH7">
        <v>0.64157799999999998</v>
      </c>
      <c r="PI7" t="s">
        <v>1599</v>
      </c>
      <c r="PJ7">
        <v>2025</v>
      </c>
      <c r="PK7" t="s">
        <v>2186</v>
      </c>
      <c r="PL7" s="6">
        <v>46001</v>
      </c>
      <c r="PM7">
        <v>5</v>
      </c>
      <c r="PN7">
        <v>52402484</v>
      </c>
      <c r="PO7">
        <v>1182195</v>
      </c>
      <c r="PP7" t="s">
        <v>2187</v>
      </c>
      <c r="PS7" t="s">
        <v>303</v>
      </c>
      <c r="PT7">
        <v>0.57939300000000005</v>
      </c>
      <c r="PU7" t="s">
        <v>1598</v>
      </c>
      <c r="PV7">
        <v>6.7030000000000006E-2</v>
      </c>
      <c r="PW7" t="s">
        <v>1599</v>
      </c>
      <c r="PX7">
        <v>2025</v>
      </c>
      <c r="PY7" t="s">
        <v>1629</v>
      </c>
      <c r="PZ7" s="6">
        <v>45964</v>
      </c>
      <c r="QA7">
        <v>5</v>
      </c>
      <c r="QB7">
        <v>59435584</v>
      </c>
      <c r="QC7">
        <v>216952</v>
      </c>
      <c r="QD7" t="s">
        <v>1631</v>
      </c>
      <c r="RM7" t="s">
        <v>4857</v>
      </c>
      <c r="RO7">
        <v>-2.4245362661989844E-14</v>
      </c>
      <c r="RP7">
        <v>-2.4245362661989844E-14</v>
      </c>
      <c r="RQ7" t="s">
        <v>1594</v>
      </c>
      <c r="RR7">
        <v>2024</v>
      </c>
      <c r="RS7" t="s">
        <v>4858</v>
      </c>
      <c r="RT7" s="6">
        <v>45765</v>
      </c>
      <c r="RU7">
        <v>5</v>
      </c>
      <c r="RV7">
        <v>-2.4245362661989844E-14</v>
      </c>
      <c r="RW7">
        <v>29636955</v>
      </c>
      <c r="RX7" t="s">
        <v>4859</v>
      </c>
      <c r="SA7" t="s">
        <v>4750</v>
      </c>
      <c r="SB7">
        <v>-2.4245362661989844E-14</v>
      </c>
      <c r="SD7">
        <v>-2.4245362661989844E-14</v>
      </c>
      <c r="SE7" t="s">
        <v>1594</v>
      </c>
      <c r="SF7">
        <v>2024</v>
      </c>
      <c r="SG7" t="s">
        <v>4751</v>
      </c>
      <c r="SH7" s="6">
        <v>45760</v>
      </c>
      <c r="SI7">
        <v>5</v>
      </c>
      <c r="SJ7">
        <v>-2.4245362661989844E-14</v>
      </c>
      <c r="SK7">
        <v>7855260</v>
      </c>
      <c r="SL7" t="s">
        <v>4752</v>
      </c>
      <c r="SQ7" t="s">
        <v>6293</v>
      </c>
      <c r="SS7">
        <v>-2.4245362661989844E-14</v>
      </c>
      <c r="ST7">
        <v>-2.4245362661989844E-14</v>
      </c>
      <c r="SU7" t="s">
        <v>1594</v>
      </c>
      <c r="SV7">
        <v>2024</v>
      </c>
      <c r="SW7" t="s">
        <v>6294</v>
      </c>
      <c r="SX7" s="6">
        <v>45719</v>
      </c>
      <c r="SY7">
        <v>5</v>
      </c>
      <c r="SZ7">
        <v>-2.4245362661989844E-14</v>
      </c>
      <c r="TA7">
        <v>72120012</v>
      </c>
      <c r="TB7" t="s">
        <v>6295</v>
      </c>
      <c r="TE7" t="s">
        <v>6189</v>
      </c>
      <c r="TF7">
        <v>-2.4245362661989844E-14</v>
      </c>
      <c r="TH7">
        <v>-2.4245362661989844E-14</v>
      </c>
      <c r="TI7" t="s">
        <v>1792</v>
      </c>
      <c r="TJ7">
        <v>2025</v>
      </c>
      <c r="TK7" t="s">
        <v>6190</v>
      </c>
      <c r="TL7" s="6">
        <v>45895</v>
      </c>
      <c r="TM7">
        <v>5</v>
      </c>
      <c r="TN7">
        <v>-2.4245362661989844E-14</v>
      </c>
      <c r="TO7">
        <v>20515250</v>
      </c>
      <c r="TP7" t="s">
        <v>6191</v>
      </c>
      <c r="UY7" t="s">
        <v>5955</v>
      </c>
      <c r="VA7">
        <v>-2.4245362661989844E-14</v>
      </c>
      <c r="VB7">
        <v>-2.4245362661989844E-14</v>
      </c>
      <c r="VC7" t="s">
        <v>1594</v>
      </c>
      <c r="VD7">
        <v>2022</v>
      </c>
      <c r="VE7" t="s">
        <v>5956</v>
      </c>
      <c r="VF7" s="6">
        <v>44776</v>
      </c>
      <c r="VG7">
        <v>5</v>
      </c>
      <c r="VH7">
        <v>-2.4245362661989844E-14</v>
      </c>
      <c r="VI7">
        <v>25071018</v>
      </c>
      <c r="VJ7" t="s">
        <v>5957</v>
      </c>
    </row>
    <row r="8" spans="1:600" x14ac:dyDescent="0.25">
      <c r="A8" t="s">
        <v>862</v>
      </c>
      <c r="B8" t="s">
        <v>1598</v>
      </c>
      <c r="C8">
        <v>1.748761</v>
      </c>
      <c r="D8">
        <v>0.78238600000000003</v>
      </c>
      <c r="E8" t="s">
        <v>1606</v>
      </c>
      <c r="F8">
        <v>2025</v>
      </c>
      <c r="G8" t="s">
        <v>2137</v>
      </c>
      <c r="H8" s="6">
        <v>45894</v>
      </c>
      <c r="I8">
        <v>5</v>
      </c>
      <c r="J8">
        <v>86782264</v>
      </c>
      <c r="K8">
        <v>101149</v>
      </c>
      <c r="L8" t="s">
        <v>2138</v>
      </c>
      <c r="O8" t="s">
        <v>1679</v>
      </c>
      <c r="P8">
        <v>0.16686100000000001</v>
      </c>
      <c r="Q8" t="s">
        <v>1598</v>
      </c>
      <c r="R8">
        <v>0.50028099999999998</v>
      </c>
      <c r="S8" t="s">
        <v>1603</v>
      </c>
      <c r="T8">
        <v>2025</v>
      </c>
      <c r="U8" t="s">
        <v>1680</v>
      </c>
      <c r="V8" s="6">
        <v>45820</v>
      </c>
      <c r="W8">
        <v>5</v>
      </c>
      <c r="X8">
        <v>20395456</v>
      </c>
      <c r="Y8">
        <v>12129192</v>
      </c>
      <c r="Z8" t="s">
        <v>1681</v>
      </c>
      <c r="AE8" t="s">
        <v>5281</v>
      </c>
      <c r="AG8">
        <v>-2.4245362661989844E-14</v>
      </c>
      <c r="AH8">
        <v>-2.4245362661989844E-14</v>
      </c>
      <c r="AI8" t="s">
        <v>1594</v>
      </c>
      <c r="AJ8">
        <v>2025</v>
      </c>
      <c r="AK8" t="s">
        <v>5277</v>
      </c>
      <c r="AL8" s="6">
        <v>45982</v>
      </c>
      <c r="AM8">
        <v>5</v>
      </c>
      <c r="AN8">
        <v>-2.4245362661989844E-14</v>
      </c>
      <c r="AO8">
        <v>7797437</v>
      </c>
      <c r="AP8" t="s">
        <v>5282</v>
      </c>
      <c r="AS8" t="s">
        <v>5009</v>
      </c>
      <c r="AT8">
        <v>-2.4245362661989844E-14</v>
      </c>
      <c r="AV8">
        <v>-2.4245362661989844E-14</v>
      </c>
      <c r="AW8" t="s">
        <v>1603</v>
      </c>
      <c r="AX8">
        <v>2025</v>
      </c>
      <c r="AY8" t="s">
        <v>5010</v>
      </c>
      <c r="AZ8" s="6">
        <v>45642</v>
      </c>
      <c r="BA8">
        <v>5</v>
      </c>
      <c r="BB8">
        <v>-2.4245362661989844E-14</v>
      </c>
      <c r="BC8">
        <v>38750106</v>
      </c>
      <c r="BD8" t="s">
        <v>5011</v>
      </c>
      <c r="DQ8" t="s">
        <v>4056</v>
      </c>
      <c r="DR8" t="s">
        <v>1598</v>
      </c>
      <c r="DS8">
        <v>0.60393300000000005</v>
      </c>
      <c r="DT8">
        <v>1.904053</v>
      </c>
      <c r="DU8" t="s">
        <v>1664</v>
      </c>
      <c r="DV8">
        <v>2025</v>
      </c>
      <c r="DW8" t="s">
        <v>4057</v>
      </c>
      <c r="DX8" s="6">
        <v>45880</v>
      </c>
      <c r="DY8">
        <v>5</v>
      </c>
      <c r="DZ8">
        <v>354496576</v>
      </c>
      <c r="EA8">
        <v>199455</v>
      </c>
      <c r="EB8" t="s">
        <v>4058</v>
      </c>
      <c r="EE8" t="s">
        <v>6016</v>
      </c>
      <c r="EF8">
        <v>-2.4245362661989844E-14</v>
      </c>
      <c r="EH8">
        <v>-2.4245362661989844E-14</v>
      </c>
      <c r="EI8" t="s">
        <v>1594</v>
      </c>
      <c r="EJ8">
        <v>2024</v>
      </c>
      <c r="EK8" t="s">
        <v>6017</v>
      </c>
      <c r="EL8" s="6">
        <v>45713</v>
      </c>
      <c r="EM8">
        <v>5</v>
      </c>
      <c r="EN8">
        <v>-2.4245362661989844E-14</v>
      </c>
      <c r="EO8">
        <v>130361</v>
      </c>
      <c r="EP8" t="s">
        <v>6018</v>
      </c>
      <c r="EU8" t="s">
        <v>5857</v>
      </c>
      <c r="EW8">
        <v>-2.4245362661989844E-14</v>
      </c>
      <c r="EX8">
        <v>-2.4245362661989844E-14</v>
      </c>
      <c r="EY8" t="s">
        <v>1599</v>
      </c>
      <c r="EZ8">
        <v>2022</v>
      </c>
      <c r="FA8" t="s">
        <v>5858</v>
      </c>
      <c r="FB8" s="6">
        <v>44866</v>
      </c>
      <c r="FC8">
        <v>5</v>
      </c>
      <c r="FD8">
        <v>-2.4245362661989844E-14</v>
      </c>
      <c r="FE8">
        <v>67334057</v>
      </c>
      <c r="FF8" t="s">
        <v>5859</v>
      </c>
      <c r="FY8" t="s">
        <v>3232</v>
      </c>
      <c r="GA8">
        <v>-2.4245362661989844E-14</v>
      </c>
      <c r="GB8">
        <v>-2.4245362661989844E-14</v>
      </c>
      <c r="GC8" t="s">
        <v>1594</v>
      </c>
      <c r="GD8">
        <v>2023</v>
      </c>
      <c r="GE8" t="s">
        <v>3233</v>
      </c>
      <c r="GF8" s="6">
        <v>45188</v>
      </c>
      <c r="GG8">
        <v>5</v>
      </c>
      <c r="GH8">
        <v>-2.4245362661989844E-14</v>
      </c>
      <c r="GI8">
        <v>38550351</v>
      </c>
      <c r="GJ8" t="s">
        <v>3234</v>
      </c>
      <c r="HC8" t="s">
        <v>1878</v>
      </c>
      <c r="HD8" t="s">
        <v>1598</v>
      </c>
      <c r="HE8">
        <v>8.8672269999999997</v>
      </c>
      <c r="HF8">
        <v>1.980351</v>
      </c>
      <c r="HG8" t="s">
        <v>1664</v>
      </c>
      <c r="HH8">
        <v>2025</v>
      </c>
      <c r="HI8" t="s">
        <v>2634</v>
      </c>
      <c r="HJ8" s="6">
        <v>45922</v>
      </c>
      <c r="HK8">
        <v>5</v>
      </c>
      <c r="HL8">
        <v>135574848</v>
      </c>
      <c r="HM8">
        <v>11937231</v>
      </c>
      <c r="HN8" t="s">
        <v>1880</v>
      </c>
      <c r="HQ8" t="s">
        <v>1082</v>
      </c>
      <c r="HR8">
        <v>3.2472560000000001</v>
      </c>
      <c r="HS8" t="s">
        <v>1598</v>
      </c>
      <c r="HT8">
        <v>2.573108</v>
      </c>
      <c r="HU8" t="s">
        <v>1664</v>
      </c>
      <c r="HV8">
        <v>2025</v>
      </c>
      <c r="HW8" t="s">
        <v>1958</v>
      </c>
      <c r="HX8" s="6">
        <v>45888</v>
      </c>
      <c r="HY8">
        <v>5</v>
      </c>
      <c r="HZ8">
        <v>357945024</v>
      </c>
      <c r="IA8">
        <v>10451815</v>
      </c>
      <c r="IB8" t="s">
        <v>1959</v>
      </c>
      <c r="IG8" t="s">
        <v>5857</v>
      </c>
      <c r="II8">
        <v>-2.4245362661989844E-14</v>
      </c>
      <c r="IJ8">
        <v>-2.4245362661989844E-14</v>
      </c>
      <c r="IK8" t="s">
        <v>1599</v>
      </c>
      <c r="IL8">
        <v>2022</v>
      </c>
      <c r="IM8" t="s">
        <v>5858</v>
      </c>
      <c r="IN8" s="6">
        <v>44866</v>
      </c>
      <c r="IO8">
        <v>5</v>
      </c>
      <c r="IP8">
        <v>-2.4245362661989844E-14</v>
      </c>
      <c r="IQ8">
        <v>67334057</v>
      </c>
      <c r="IR8" t="s">
        <v>5859</v>
      </c>
      <c r="JK8" t="s">
        <v>2556</v>
      </c>
      <c r="JL8" t="s">
        <v>1598</v>
      </c>
      <c r="JM8">
        <v>2.6461350000000001</v>
      </c>
      <c r="JN8">
        <v>3.5549309999999998</v>
      </c>
      <c r="JO8" t="s">
        <v>1599</v>
      </c>
      <c r="JP8">
        <v>2025</v>
      </c>
      <c r="JQ8" t="s">
        <v>2557</v>
      </c>
      <c r="JR8" s="6">
        <v>45763</v>
      </c>
      <c r="JS8">
        <v>5</v>
      </c>
      <c r="JT8">
        <v>173480608</v>
      </c>
      <c r="JU8">
        <v>136547</v>
      </c>
      <c r="JV8" t="s">
        <v>2558</v>
      </c>
      <c r="JY8" t="s">
        <v>303</v>
      </c>
      <c r="JZ8">
        <v>2.5842719999999999</v>
      </c>
      <c r="KA8" t="s">
        <v>1634</v>
      </c>
      <c r="KB8">
        <v>1.4451639999999999</v>
      </c>
      <c r="KC8" t="s">
        <v>1664</v>
      </c>
      <c r="KD8">
        <v>2025</v>
      </c>
      <c r="KE8" t="s">
        <v>3227</v>
      </c>
      <c r="KF8" s="6">
        <v>45783</v>
      </c>
      <c r="KG8">
        <v>5</v>
      </c>
      <c r="KH8">
        <v>361565504</v>
      </c>
      <c r="KI8">
        <v>216952</v>
      </c>
      <c r="KJ8" t="s">
        <v>1631</v>
      </c>
      <c r="KO8" t="s">
        <v>6261</v>
      </c>
      <c r="KQ8">
        <v>-2.4245362661989844E-14</v>
      </c>
      <c r="KR8">
        <v>-2.4245362661989844E-14</v>
      </c>
      <c r="KS8" t="s">
        <v>1594</v>
      </c>
      <c r="KT8">
        <v>2021</v>
      </c>
      <c r="KU8" t="s">
        <v>6262</v>
      </c>
      <c r="KV8" s="6">
        <v>44693</v>
      </c>
      <c r="KW8">
        <v>4</v>
      </c>
      <c r="KX8">
        <v>-2.4245362661989844E-14</v>
      </c>
      <c r="KY8">
        <v>36484351</v>
      </c>
      <c r="KZ8" t="s">
        <v>6263</v>
      </c>
      <c r="PE8" t="s">
        <v>2188</v>
      </c>
      <c r="PF8" t="s">
        <v>1598</v>
      </c>
      <c r="PG8">
        <v>2.2395689999999999</v>
      </c>
      <c r="PH8">
        <v>0.51293900000000003</v>
      </c>
      <c r="PI8" t="s">
        <v>1664</v>
      </c>
      <c r="PJ8">
        <v>2025</v>
      </c>
      <c r="PK8" t="s">
        <v>2189</v>
      </c>
      <c r="PL8" s="6">
        <v>45859</v>
      </c>
      <c r="PM8">
        <v>5</v>
      </c>
      <c r="PN8">
        <v>45819367.549999997</v>
      </c>
      <c r="PO8">
        <v>328221</v>
      </c>
      <c r="PP8" t="s">
        <v>2190</v>
      </c>
      <c r="PS8" t="s">
        <v>872</v>
      </c>
      <c r="PT8">
        <v>0.42797499999999999</v>
      </c>
      <c r="PU8" t="s">
        <v>1598</v>
      </c>
      <c r="PV8">
        <v>0.17119400000000001</v>
      </c>
      <c r="PW8" t="s">
        <v>1599</v>
      </c>
      <c r="PX8">
        <v>2025</v>
      </c>
      <c r="PY8" t="s">
        <v>1629</v>
      </c>
      <c r="PZ8" s="6">
        <v>45964</v>
      </c>
      <c r="QA8">
        <v>5</v>
      </c>
      <c r="QB8">
        <v>43902744</v>
      </c>
      <c r="QC8">
        <v>100211</v>
      </c>
      <c r="QD8" t="s">
        <v>1632</v>
      </c>
      <c r="RM8" t="s">
        <v>21</v>
      </c>
      <c r="RO8">
        <v>-2.4245362661989844E-14</v>
      </c>
      <c r="RP8">
        <v>-2.4245362661989844E-14</v>
      </c>
      <c r="RQ8" t="s">
        <v>1594</v>
      </c>
      <c r="RR8">
        <v>2023</v>
      </c>
      <c r="RS8" t="s">
        <v>4860</v>
      </c>
      <c r="RT8" s="6">
        <v>45350</v>
      </c>
      <c r="RU8">
        <v>5</v>
      </c>
      <c r="RV8">
        <v>-2.4245362661989844E-14</v>
      </c>
      <c r="RW8">
        <v>101376</v>
      </c>
      <c r="RX8" t="s">
        <v>3621</v>
      </c>
      <c r="SA8" t="s">
        <v>2875</v>
      </c>
      <c r="SB8">
        <v>-2.4245362661989844E-14</v>
      </c>
      <c r="SD8">
        <v>-2.4245362661989844E-14</v>
      </c>
      <c r="SE8" t="s">
        <v>1594</v>
      </c>
      <c r="SF8">
        <v>2024</v>
      </c>
      <c r="SG8" t="s">
        <v>2876</v>
      </c>
      <c r="SH8" s="6">
        <v>45786</v>
      </c>
      <c r="SI8">
        <v>5</v>
      </c>
      <c r="SJ8">
        <v>-2.4245362661989844E-14</v>
      </c>
      <c r="SK8">
        <v>7321067</v>
      </c>
      <c r="SL8" t="s">
        <v>2877</v>
      </c>
      <c r="SQ8" t="s">
        <v>172</v>
      </c>
      <c r="SS8">
        <v>-2.4245362661989844E-14</v>
      </c>
      <c r="ST8">
        <v>-2.4245362661989844E-14</v>
      </c>
      <c r="SU8" t="s">
        <v>1594</v>
      </c>
      <c r="SV8">
        <v>2021</v>
      </c>
      <c r="SW8" t="s">
        <v>4240</v>
      </c>
      <c r="SX8" s="6">
        <v>44693</v>
      </c>
      <c r="SY8">
        <v>5</v>
      </c>
      <c r="SZ8">
        <v>-2.4245362661989844E-14</v>
      </c>
      <c r="TA8">
        <v>100481</v>
      </c>
      <c r="TB8" t="s">
        <v>4241</v>
      </c>
      <c r="TE8" t="s">
        <v>6286</v>
      </c>
      <c r="TF8">
        <v>-2.4245362661989844E-14</v>
      </c>
      <c r="TH8">
        <v>-2.4245362661989844E-14</v>
      </c>
      <c r="TI8" t="s">
        <v>1792</v>
      </c>
      <c r="TJ8">
        <v>2023</v>
      </c>
      <c r="TK8" t="s">
        <v>6287</v>
      </c>
      <c r="TL8" s="6">
        <v>45152</v>
      </c>
      <c r="TM8">
        <v>5</v>
      </c>
      <c r="TN8">
        <v>-2.4245362661989844E-14</v>
      </c>
      <c r="TO8">
        <v>21822234</v>
      </c>
      <c r="TP8" t="s">
        <v>6288</v>
      </c>
      <c r="UY8" t="s">
        <v>5958</v>
      </c>
      <c r="VA8">
        <v>-2.4245362661989844E-14</v>
      </c>
      <c r="VB8">
        <v>-2.4245362661989844E-14</v>
      </c>
      <c r="VC8" t="s">
        <v>1594</v>
      </c>
      <c r="VD8">
        <v>2022</v>
      </c>
      <c r="VE8" t="s">
        <v>5956</v>
      </c>
      <c r="VF8" s="6">
        <v>44776</v>
      </c>
      <c r="VG8">
        <v>5</v>
      </c>
      <c r="VH8">
        <v>-2.4245362661989844E-14</v>
      </c>
      <c r="VI8">
        <v>36959732</v>
      </c>
      <c r="VJ8" t="s">
        <v>5959</v>
      </c>
    </row>
    <row r="9" spans="1:600" x14ac:dyDescent="0.25">
      <c r="A9" t="s">
        <v>773</v>
      </c>
      <c r="B9" t="s">
        <v>1598</v>
      </c>
      <c r="C9">
        <v>4.2578709999999997</v>
      </c>
      <c r="D9">
        <v>0.81780799999999998</v>
      </c>
      <c r="E9" t="s">
        <v>1664</v>
      </c>
      <c r="F9">
        <v>2025</v>
      </c>
      <c r="G9" t="s">
        <v>2139</v>
      </c>
      <c r="H9" s="6">
        <v>45791</v>
      </c>
      <c r="I9">
        <v>5</v>
      </c>
      <c r="J9">
        <v>84479568</v>
      </c>
      <c r="K9">
        <v>116988</v>
      </c>
      <c r="L9" t="s">
        <v>2140</v>
      </c>
      <c r="O9" t="s">
        <v>1682</v>
      </c>
      <c r="P9">
        <v>7.0043999999999995E-2</v>
      </c>
      <c r="Q9" t="s">
        <v>1598</v>
      </c>
      <c r="R9">
        <v>0.716028</v>
      </c>
      <c r="S9" t="s">
        <v>1606</v>
      </c>
      <c r="T9">
        <v>2024</v>
      </c>
      <c r="U9" t="s">
        <v>1677</v>
      </c>
      <c r="V9" s="6">
        <v>45706</v>
      </c>
      <c r="W9">
        <v>5</v>
      </c>
      <c r="X9">
        <v>9342469</v>
      </c>
      <c r="Y9">
        <v>202402</v>
      </c>
      <c r="Z9" t="s">
        <v>1683</v>
      </c>
      <c r="AE9" t="s">
        <v>5283</v>
      </c>
      <c r="AG9">
        <v>-2.4245362661989844E-14</v>
      </c>
      <c r="AH9">
        <v>-2.4245362661989844E-14</v>
      </c>
      <c r="AI9" t="s">
        <v>1594</v>
      </c>
      <c r="AJ9">
        <v>2025</v>
      </c>
      <c r="AK9" t="s">
        <v>5284</v>
      </c>
      <c r="AL9" s="6">
        <v>45961</v>
      </c>
      <c r="AM9">
        <v>5</v>
      </c>
      <c r="AN9">
        <v>-2.4245362661989844E-14</v>
      </c>
      <c r="AO9">
        <v>9860126</v>
      </c>
      <c r="AP9" t="s">
        <v>5285</v>
      </c>
      <c r="AS9" t="s">
        <v>2022</v>
      </c>
      <c r="AT9">
        <v>-2.4245362661989844E-14</v>
      </c>
      <c r="AV9">
        <v>-2.4245362661989844E-14</v>
      </c>
      <c r="AW9" t="s">
        <v>1594</v>
      </c>
      <c r="AX9">
        <v>2021</v>
      </c>
      <c r="AY9" t="s">
        <v>5005</v>
      </c>
      <c r="AZ9" s="6">
        <v>44693</v>
      </c>
      <c r="BA9">
        <v>5</v>
      </c>
      <c r="BB9">
        <v>-2.4245362661989844E-14</v>
      </c>
      <c r="BC9">
        <v>100019</v>
      </c>
      <c r="BD9" t="s">
        <v>2024</v>
      </c>
      <c r="DQ9" t="s">
        <v>4059</v>
      </c>
      <c r="DR9" t="s">
        <v>1598</v>
      </c>
      <c r="DS9">
        <v>1.9954529999999999</v>
      </c>
      <c r="DT9">
        <v>1.129896</v>
      </c>
      <c r="DU9" t="s">
        <v>1603</v>
      </c>
      <c r="DV9">
        <v>2026</v>
      </c>
      <c r="DW9" t="s">
        <v>4060</v>
      </c>
      <c r="DX9" s="6">
        <v>45968</v>
      </c>
      <c r="DY9">
        <v>5</v>
      </c>
      <c r="DZ9">
        <v>265528996.81</v>
      </c>
      <c r="EA9">
        <v>100949</v>
      </c>
      <c r="EB9" t="s">
        <v>4061</v>
      </c>
      <c r="EE9" t="s">
        <v>6019</v>
      </c>
      <c r="EF9">
        <v>-2.4245362661989844E-14</v>
      </c>
      <c r="EH9">
        <v>-2.4245362661989844E-14</v>
      </c>
      <c r="EI9" t="s">
        <v>1599</v>
      </c>
      <c r="EJ9">
        <v>2023</v>
      </c>
      <c r="EK9" t="s">
        <v>6020</v>
      </c>
      <c r="EL9" s="6">
        <v>45224</v>
      </c>
      <c r="EM9">
        <v>5</v>
      </c>
      <c r="EN9">
        <v>-2.4245362661989844E-14</v>
      </c>
      <c r="EO9">
        <v>300809</v>
      </c>
      <c r="EP9" t="s">
        <v>6021</v>
      </c>
      <c r="EU9" t="s">
        <v>3024</v>
      </c>
      <c r="EW9">
        <v>-2.4245362661989844E-14</v>
      </c>
      <c r="EX9">
        <v>-2.4245362661989844E-14</v>
      </c>
      <c r="EY9" t="s">
        <v>1603</v>
      </c>
      <c r="EZ9">
        <v>2025</v>
      </c>
      <c r="FA9" t="s">
        <v>3025</v>
      </c>
      <c r="FB9" s="6">
        <v>45784</v>
      </c>
      <c r="FC9">
        <v>5</v>
      </c>
      <c r="FD9">
        <v>-2.4245362661989844E-14</v>
      </c>
      <c r="FE9">
        <v>69762655</v>
      </c>
      <c r="FF9" t="s">
        <v>3026</v>
      </c>
      <c r="FY9" t="s">
        <v>3235</v>
      </c>
      <c r="GA9">
        <v>-2.4245362661989844E-14</v>
      </c>
      <c r="GB9">
        <v>-2.4245362661989844E-14</v>
      </c>
      <c r="GC9" t="s">
        <v>1594</v>
      </c>
      <c r="GD9">
        <v>2023</v>
      </c>
      <c r="GE9" t="s">
        <v>3236</v>
      </c>
      <c r="GF9" s="6">
        <v>45462</v>
      </c>
      <c r="GG9">
        <v>5</v>
      </c>
      <c r="GH9">
        <v>-2.4245362661989844E-14</v>
      </c>
      <c r="GI9">
        <v>48621208</v>
      </c>
      <c r="GJ9" t="s">
        <v>3237</v>
      </c>
      <c r="HC9" t="s">
        <v>2635</v>
      </c>
      <c r="HD9" t="s">
        <v>1598</v>
      </c>
      <c r="HE9">
        <v>9.9027270000000005</v>
      </c>
      <c r="HF9">
        <v>1.5774429999999999</v>
      </c>
      <c r="HG9" t="s">
        <v>1664</v>
      </c>
      <c r="HH9">
        <v>2025</v>
      </c>
      <c r="HI9" t="s">
        <v>2636</v>
      </c>
      <c r="HJ9" s="6">
        <v>45904</v>
      </c>
      <c r="HK9">
        <v>5</v>
      </c>
      <c r="HL9">
        <v>107991712</v>
      </c>
      <c r="HM9">
        <v>187877</v>
      </c>
      <c r="HN9" t="s">
        <v>2637</v>
      </c>
      <c r="HQ9" t="s">
        <v>1116</v>
      </c>
      <c r="HR9">
        <v>3.0622020000000001</v>
      </c>
      <c r="HS9" t="s">
        <v>1598</v>
      </c>
      <c r="HT9">
        <v>2.546176</v>
      </c>
      <c r="HU9" t="s">
        <v>1664</v>
      </c>
      <c r="HV9">
        <v>2025</v>
      </c>
      <c r="HW9" t="s">
        <v>1958</v>
      </c>
      <c r="HX9" s="6">
        <v>45888</v>
      </c>
      <c r="HY9">
        <v>5</v>
      </c>
      <c r="HZ9">
        <v>337546528</v>
      </c>
      <c r="IA9">
        <v>100090</v>
      </c>
      <c r="IB9" t="s">
        <v>1960</v>
      </c>
      <c r="IG9" t="s">
        <v>3024</v>
      </c>
      <c r="II9">
        <v>-2.4245362661989844E-14</v>
      </c>
      <c r="IJ9">
        <v>-2.4245362661989844E-14</v>
      </c>
      <c r="IK9" t="s">
        <v>1603</v>
      </c>
      <c r="IL9">
        <v>2025</v>
      </c>
      <c r="IM9" t="s">
        <v>3025</v>
      </c>
      <c r="IN9" s="6">
        <v>45784</v>
      </c>
      <c r="IO9">
        <v>5</v>
      </c>
      <c r="IP9">
        <v>-2.4245362661989844E-14</v>
      </c>
      <c r="IQ9">
        <v>69762655</v>
      </c>
      <c r="IR9" t="s">
        <v>3026</v>
      </c>
      <c r="JK9" t="s">
        <v>4008</v>
      </c>
      <c r="JL9" t="s">
        <v>1598</v>
      </c>
      <c r="JM9">
        <v>18.200001</v>
      </c>
      <c r="JN9">
        <v>3.1899000000000002</v>
      </c>
      <c r="JO9" t="s">
        <v>1594</v>
      </c>
      <c r="JP9">
        <v>2025</v>
      </c>
      <c r="JQ9" t="s">
        <v>4009</v>
      </c>
      <c r="JR9" s="6">
        <v>45888</v>
      </c>
      <c r="JS9">
        <v>5</v>
      </c>
      <c r="JT9">
        <v>155579376</v>
      </c>
      <c r="JU9">
        <v>9858567</v>
      </c>
      <c r="JV9" t="s">
        <v>4010</v>
      </c>
      <c r="JY9" t="s">
        <v>21</v>
      </c>
      <c r="JZ9">
        <v>1.966375</v>
      </c>
      <c r="KA9" t="s">
        <v>1634</v>
      </c>
      <c r="KB9">
        <v>5.4308940000000003</v>
      </c>
      <c r="KC9" t="s">
        <v>1664</v>
      </c>
      <c r="KD9">
        <v>2025</v>
      </c>
      <c r="KE9" t="s">
        <v>3227</v>
      </c>
      <c r="KF9" s="6">
        <v>45783</v>
      </c>
      <c r="KG9">
        <v>5</v>
      </c>
      <c r="KH9">
        <v>275115520</v>
      </c>
      <c r="KI9">
        <v>101376</v>
      </c>
      <c r="KJ9" t="s">
        <v>3621</v>
      </c>
      <c r="PE9" t="s">
        <v>2191</v>
      </c>
      <c r="PF9" t="s">
        <v>1598</v>
      </c>
      <c r="PG9">
        <v>0.59006199999999998</v>
      </c>
      <c r="PH9">
        <v>0.53252200000000005</v>
      </c>
      <c r="PI9" t="s">
        <v>1664</v>
      </c>
      <c r="PJ9">
        <v>2025</v>
      </c>
      <c r="PK9" t="s">
        <v>2192</v>
      </c>
      <c r="PL9" s="6">
        <v>45875</v>
      </c>
      <c r="PM9">
        <v>5</v>
      </c>
      <c r="PN9">
        <v>45441434.649999999</v>
      </c>
      <c r="PO9">
        <v>111270</v>
      </c>
      <c r="PP9" t="s">
        <v>2193</v>
      </c>
      <c r="PS9" t="s">
        <v>1633</v>
      </c>
      <c r="PT9">
        <v>0.26823999999999998</v>
      </c>
      <c r="PU9" t="s">
        <v>1634</v>
      </c>
      <c r="PV9">
        <v>-2.4245362661989844E-14</v>
      </c>
      <c r="PW9" t="s">
        <v>1594</v>
      </c>
      <c r="PX9">
        <v>2025</v>
      </c>
      <c r="PY9" t="s">
        <v>1635</v>
      </c>
      <c r="PZ9" s="6">
        <v>45925</v>
      </c>
      <c r="QA9">
        <v>5</v>
      </c>
      <c r="QB9">
        <v>26796000</v>
      </c>
      <c r="QC9">
        <v>340053</v>
      </c>
      <c r="QD9" t="s">
        <v>1636</v>
      </c>
      <c r="RM9" t="s">
        <v>1917</v>
      </c>
      <c r="RO9">
        <v>-2.4245362661989844E-14</v>
      </c>
      <c r="RP9">
        <v>-2.4245362661989844E-14</v>
      </c>
      <c r="RQ9" t="s">
        <v>1594</v>
      </c>
      <c r="RR9">
        <v>2024</v>
      </c>
      <c r="RS9" t="s">
        <v>4861</v>
      </c>
      <c r="RT9" s="6">
        <v>45713</v>
      </c>
      <c r="RU9">
        <v>5</v>
      </c>
      <c r="RV9">
        <v>-2.4245362661989844E-14</v>
      </c>
      <c r="RW9">
        <v>101695</v>
      </c>
      <c r="RX9" t="s">
        <v>1919</v>
      </c>
      <c r="SA9" t="s">
        <v>4753</v>
      </c>
      <c r="SB9">
        <v>-2.4245362661989844E-14</v>
      </c>
      <c r="SD9">
        <v>-2.4245362661989844E-14</v>
      </c>
      <c r="SE9" t="s">
        <v>1594</v>
      </c>
      <c r="SF9">
        <v>2025</v>
      </c>
      <c r="SG9" t="s">
        <v>4754</v>
      </c>
      <c r="SH9" s="6">
        <v>46066</v>
      </c>
      <c r="SI9">
        <v>5</v>
      </c>
      <c r="SJ9">
        <v>-2.4245362661989844E-14</v>
      </c>
      <c r="SK9">
        <v>69790650</v>
      </c>
      <c r="SL9" t="s">
        <v>4755</v>
      </c>
      <c r="SQ9" t="s">
        <v>2511</v>
      </c>
      <c r="SS9">
        <v>-2.4245362661989844E-14</v>
      </c>
      <c r="ST9">
        <v>-2.4245362661989844E-14</v>
      </c>
      <c r="SU9" t="s">
        <v>1594</v>
      </c>
      <c r="SV9">
        <v>2021</v>
      </c>
      <c r="SW9" t="s">
        <v>6296</v>
      </c>
      <c r="SX9" s="6">
        <v>44693</v>
      </c>
      <c r="SY9">
        <v>5</v>
      </c>
      <c r="SZ9">
        <v>-2.4245362661989844E-14</v>
      </c>
      <c r="TA9">
        <v>100382</v>
      </c>
      <c r="TB9" t="s">
        <v>2512</v>
      </c>
      <c r="TE9" t="s">
        <v>6289</v>
      </c>
      <c r="TF9">
        <v>-2.4245362661989844E-14</v>
      </c>
      <c r="TH9">
        <v>-2.4245362661989844E-14</v>
      </c>
      <c r="TI9" t="s">
        <v>1594</v>
      </c>
      <c r="TJ9">
        <v>2025</v>
      </c>
      <c r="TK9" t="s">
        <v>6281</v>
      </c>
      <c r="TL9" s="6">
        <v>46035</v>
      </c>
      <c r="TM9">
        <v>5</v>
      </c>
      <c r="TN9">
        <v>-2.4245362661989844E-14</v>
      </c>
      <c r="TO9">
        <v>20012569</v>
      </c>
      <c r="TP9" t="s">
        <v>6290</v>
      </c>
      <c r="UY9" t="s">
        <v>5960</v>
      </c>
      <c r="VA9">
        <v>-2.4245362661989844E-14</v>
      </c>
      <c r="VB9">
        <v>-2.4245362661989844E-14</v>
      </c>
      <c r="VC9" t="s">
        <v>1594</v>
      </c>
      <c r="VD9">
        <v>2022</v>
      </c>
      <c r="VE9" t="s">
        <v>5956</v>
      </c>
      <c r="VF9" s="6">
        <v>44679</v>
      </c>
      <c r="VG9">
        <v>5</v>
      </c>
      <c r="VH9">
        <v>-2.4245362661989844E-14</v>
      </c>
      <c r="VI9">
        <v>70009088</v>
      </c>
      <c r="VJ9" t="s">
        <v>5961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754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755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756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757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758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759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760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761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762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763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764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765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766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767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768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769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770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771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772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773</v>
      </c>
      <c r="AE2" s="3" t="s">
        <v>774</v>
      </c>
      <c r="BI2" s="3" t="s">
        <v>113</v>
      </c>
      <c r="CM2" s="3" t="s">
        <v>775</v>
      </c>
      <c r="DQ2" s="3" t="s">
        <v>78</v>
      </c>
      <c r="EU2" s="3" t="s">
        <v>776</v>
      </c>
      <c r="FY2" s="3" t="s">
        <v>777</v>
      </c>
      <c r="HC2" s="3" t="s">
        <v>183</v>
      </c>
      <c r="IG2" s="3" t="s">
        <v>778</v>
      </c>
      <c r="JK2" s="3" t="s">
        <v>82</v>
      </c>
      <c r="KO2" s="3" t="s">
        <v>779</v>
      </c>
      <c r="LS2" s="3" t="s">
        <v>78</v>
      </c>
      <c r="MW2" s="3" t="s">
        <v>651</v>
      </c>
      <c r="OA2" s="3" t="s">
        <v>745</v>
      </c>
      <c r="PE2" s="3" t="s">
        <v>81</v>
      </c>
      <c r="QI2" s="3" t="s">
        <v>780</v>
      </c>
      <c r="RM2" s="3" t="s">
        <v>339</v>
      </c>
      <c r="SQ2" s="3" t="s">
        <v>78</v>
      </c>
      <c r="TU2" s="3" t="s">
        <v>781</v>
      </c>
      <c r="UY2" s="3" t="s">
        <v>782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_xll.BDS("SANM US Equity","SUPPLY_CHAIN_SUPPLIERS_ALL_DATA","cols=12;rows=5")</f>
        <v>MU US Equity</v>
      </c>
      <c r="B5" t="s">
        <v>1598</v>
      </c>
      <c r="C5">
        <v>0.57996300000000001</v>
      </c>
      <c r="D5">
        <v>2.6846100000000002</v>
      </c>
      <c r="E5" t="s">
        <v>1603</v>
      </c>
      <c r="F5">
        <v>2026</v>
      </c>
      <c r="G5" t="s">
        <v>3997</v>
      </c>
      <c r="H5" s="6">
        <v>46079</v>
      </c>
      <c r="I5">
        <v>5</v>
      </c>
      <c r="J5">
        <v>79124352</v>
      </c>
      <c r="K5">
        <v>100995</v>
      </c>
      <c r="L5" t="s">
        <v>2586</v>
      </c>
      <c r="O5" t="str">
        <f>_xll.BDS("SANM US Equity","SUPPLY_CHAIN_CUSTOMERS_ALL_DATA","cols=12;rows=5")</f>
        <v>MSI US Equity</v>
      </c>
      <c r="P5">
        <v>11.295623000000001</v>
      </c>
      <c r="Q5" t="s">
        <v>1598</v>
      </c>
      <c r="R5">
        <v>18.250340999999999</v>
      </c>
      <c r="S5" t="s">
        <v>1664</v>
      </c>
      <c r="T5">
        <v>2025</v>
      </c>
      <c r="U5" t="s">
        <v>2139</v>
      </c>
      <c r="V5" s="6">
        <v>45791</v>
      </c>
      <c r="W5">
        <v>5</v>
      </c>
      <c r="X5">
        <v>224114192</v>
      </c>
      <c r="Y5">
        <v>101021</v>
      </c>
      <c r="Z5" t="s">
        <v>5776</v>
      </c>
      <c r="AE5" t="str">
        <f>_xll.BDS("VAC US Equity","SUPPLY_CHAIN_SUPPLIERS_ALL_DATA","cols=12;rows=2")</f>
        <v>H US Equity</v>
      </c>
      <c r="AG5">
        <v>-2.4245362661989844E-14</v>
      </c>
      <c r="AH5">
        <v>-2.4245362661989844E-14</v>
      </c>
      <c r="AI5" t="s">
        <v>1594</v>
      </c>
      <c r="AJ5">
        <v>2024</v>
      </c>
      <c r="AK5" t="s">
        <v>5699</v>
      </c>
      <c r="AL5" s="6">
        <v>45716</v>
      </c>
      <c r="AM5">
        <v>2</v>
      </c>
      <c r="AN5">
        <v>-2.4245362661989844E-14</v>
      </c>
      <c r="AO5">
        <v>926029</v>
      </c>
      <c r="AP5" t="s">
        <v>5700</v>
      </c>
      <c r="AS5" t="str">
        <f>_xll.BDS("VAC US Equity","SUPPLY_CHAIN_CUSTOMERS_ALL_DATA","cols=12;rows=1")</f>
        <v>1665313D US Equity</v>
      </c>
      <c r="AT5">
        <v>-2.4245362661989844E-14</v>
      </c>
      <c r="AV5">
        <v>-2.4245362661989844E-14</v>
      </c>
      <c r="AW5" t="s">
        <v>1594</v>
      </c>
      <c r="AX5">
        <v>2022</v>
      </c>
      <c r="AY5" t="s">
        <v>5517</v>
      </c>
      <c r="AZ5" s="6">
        <v>44812</v>
      </c>
      <c r="BA5">
        <v>1</v>
      </c>
      <c r="BB5">
        <v>-2.4245362661989844E-14</v>
      </c>
      <c r="BC5">
        <v>60386497</v>
      </c>
      <c r="BD5" t="s">
        <v>5518</v>
      </c>
      <c r="BI5" t="str">
        <f>_xll.BDS("BX US Equity","SUPPLY_CHAIN_SUPPLIERS_ALL_DATA","cols=12;rows=5")</f>
        <v>ORCL US Equity</v>
      </c>
      <c r="BJ5" t="s">
        <v>1598</v>
      </c>
      <c r="BK5">
        <v>3.7003000000000001E-2</v>
      </c>
      <c r="BL5">
        <v>0.33128000000000002</v>
      </c>
      <c r="BM5" t="s">
        <v>1606</v>
      </c>
      <c r="BN5">
        <v>2025</v>
      </c>
      <c r="BO5" t="s">
        <v>2251</v>
      </c>
      <c r="BP5" s="6">
        <v>45848</v>
      </c>
      <c r="BQ5">
        <v>5</v>
      </c>
      <c r="BR5">
        <v>5884587</v>
      </c>
      <c r="BS5">
        <v>101752</v>
      </c>
      <c r="BT5" t="s">
        <v>2265</v>
      </c>
      <c r="BW5" t="str">
        <f>_xll.BDS("BX US Equity","SUPPLY_CHAIN_CUSTOMERS_ALL_DATA","cols=12;rows=5")</f>
        <v>002284 CH Equity</v>
      </c>
      <c r="BX5">
        <v>-2.4245362661989844E-14</v>
      </c>
      <c r="BZ5">
        <v>-2.4245362661989844E-14</v>
      </c>
      <c r="CA5" t="s">
        <v>1594</v>
      </c>
      <c r="CB5">
        <v>2024</v>
      </c>
      <c r="CC5" t="s">
        <v>1789</v>
      </c>
      <c r="CD5" s="6">
        <v>45744</v>
      </c>
      <c r="CE5">
        <v>5</v>
      </c>
      <c r="CF5">
        <v>-2.4245362661989844E-14</v>
      </c>
      <c r="CG5">
        <v>15069854</v>
      </c>
      <c r="CH5" t="s">
        <v>1790</v>
      </c>
      <c r="CM5" t="str">
        <f>_xll.BDS("119240Q US Equity","SUPPLY_CHAIN_SUPPLIERS_ALL_DATA")</f>
        <v>#N/A N/A</v>
      </c>
      <c r="DA5" t="str">
        <f>_xll.BDS("119240Q US Equity","SUPPLY_CHAIN_CUSTOMERS_ALL_DATA")</f>
        <v>#N/A N/A</v>
      </c>
      <c r="DQ5" t="str">
        <f>_xll.BDS("nan Equity","SUPPLY_CHAIN_SUPPLIERS_ALL_DATA")</f>
        <v>#N/A N/A</v>
      </c>
      <c r="EE5" t="str">
        <f>_xll.BDS("nan Equity","SUPPLY_CHAIN_CUSTOMERS_ALL_DATA")</f>
        <v>#N/A N/A</v>
      </c>
      <c r="EU5" t="str">
        <f>_xll.BDS("CMCSA US Equity","SUPPLY_CHAIN_SUPPLIERS_ALL_DATA","cols=12;rows=5")</f>
        <v>GTN US Equity</v>
      </c>
      <c r="EV5" t="s">
        <v>1685</v>
      </c>
      <c r="EW5">
        <v>27</v>
      </c>
      <c r="EX5">
        <v>2.0242360000000001</v>
      </c>
      <c r="EY5" t="s">
        <v>1594</v>
      </c>
      <c r="EZ5">
        <v>2024</v>
      </c>
      <c r="FA5" t="s">
        <v>2324</v>
      </c>
      <c r="FB5" s="6">
        <v>45715</v>
      </c>
      <c r="FC5">
        <v>5</v>
      </c>
      <c r="FD5">
        <v>245970000</v>
      </c>
      <c r="FE5">
        <v>104103</v>
      </c>
      <c r="FF5" t="s">
        <v>2325</v>
      </c>
      <c r="FI5" t="str">
        <f>_xll.BDS("CMCSA US Equity","SUPPLY_CHAIN_CUSTOMERS_ALL_DATA","cols=12;rows=5")</f>
        <v>ARW US Equity</v>
      </c>
      <c r="FJ5">
        <v>0.26543</v>
      </c>
      <c r="FK5" t="s">
        <v>1598</v>
      </c>
      <c r="FL5">
        <v>1.313388</v>
      </c>
      <c r="FM5" t="s">
        <v>1603</v>
      </c>
      <c r="FN5">
        <v>2025</v>
      </c>
      <c r="FO5" t="s">
        <v>1892</v>
      </c>
      <c r="FP5" s="6">
        <v>45784</v>
      </c>
      <c r="FQ5">
        <v>5</v>
      </c>
      <c r="FR5">
        <v>79328960</v>
      </c>
      <c r="FS5">
        <v>100115</v>
      </c>
      <c r="FT5" t="s">
        <v>1893</v>
      </c>
      <c r="FY5" t="str">
        <f>_xll.BDS("WRK US Equity","SUPPLY_CHAIN_SUPPLIERS_ALL_DATA","cols=12;rows=5")</f>
        <v>9501 JP Equity</v>
      </c>
      <c r="GA5">
        <v>-2.4245362661989844E-14</v>
      </c>
      <c r="GB5">
        <v>-2.4245362661989844E-14</v>
      </c>
      <c r="GC5" t="s">
        <v>1594</v>
      </c>
      <c r="GD5">
        <v>2022</v>
      </c>
      <c r="GE5" t="s">
        <v>5207</v>
      </c>
      <c r="GF5" s="6">
        <v>44693</v>
      </c>
      <c r="GG5">
        <v>5</v>
      </c>
      <c r="GH5">
        <v>-2.4245362661989844E-14</v>
      </c>
      <c r="GI5">
        <v>114991</v>
      </c>
      <c r="GJ5" t="s">
        <v>5208</v>
      </c>
      <c r="GM5" t="str">
        <f>_xll.BDS("WRK US Equity","SUPPLY_CHAIN_CUSTOMERS_ALL_DATA","cols=12;rows=5")</f>
        <v>033780 KS Equity</v>
      </c>
      <c r="GN5">
        <v>-2.4245362661989844E-14</v>
      </c>
      <c r="GP5">
        <v>-2.4245362661989844E-14</v>
      </c>
      <c r="GQ5" t="s">
        <v>2438</v>
      </c>
      <c r="GR5">
        <v>2023</v>
      </c>
      <c r="GS5" t="s">
        <v>4503</v>
      </c>
      <c r="GT5" s="6">
        <v>45061</v>
      </c>
      <c r="GU5">
        <v>5</v>
      </c>
      <c r="GV5">
        <v>-2.4245362661989844E-14</v>
      </c>
      <c r="GW5">
        <v>930843</v>
      </c>
      <c r="GX5" t="s">
        <v>4504</v>
      </c>
      <c r="HC5" t="str">
        <f>_xll.BDS("2968900Q US Equity","SUPPLY_CHAIN_SUPPLIERS_ALL_DATA")</f>
        <v>#N/A N/A</v>
      </c>
      <c r="HQ5" t="str">
        <f>_xll.BDS("2968900Q US Equity","SUPPLY_CHAIN_CUSTOMERS_ALL_DATA")</f>
        <v>#N/A N/A</v>
      </c>
      <c r="IG5" t="str">
        <f>_xll.BDS("SYK US Equity","SUPPLY_CHAIN_SUPPLIERS_ALL_DATA","cols=12;rows=5")</f>
        <v>FLEX US Equity</v>
      </c>
      <c r="IH5" t="s">
        <v>1598</v>
      </c>
      <c r="II5">
        <v>0.99592000000000003</v>
      </c>
      <c r="IJ5">
        <v>2.886495</v>
      </c>
      <c r="IK5" t="s">
        <v>1599</v>
      </c>
      <c r="IL5">
        <v>2025</v>
      </c>
      <c r="IM5" t="s">
        <v>2557</v>
      </c>
      <c r="IN5" s="6">
        <v>45763</v>
      </c>
      <c r="IO5">
        <v>5</v>
      </c>
      <c r="IP5">
        <v>65292516</v>
      </c>
      <c r="IQ5">
        <v>136547</v>
      </c>
      <c r="IR5" t="s">
        <v>2558</v>
      </c>
      <c r="IU5" t="str">
        <f>_xll.BDS("SYK US Equity","SUPPLY_CHAIN_CUSTOMERS_ALL_DATA","cols=12;rows=5")</f>
        <v>CNXN US Equity</v>
      </c>
      <c r="IV5">
        <v>4.0249999999999999E-3</v>
      </c>
      <c r="IW5" t="s">
        <v>1598</v>
      </c>
      <c r="IX5">
        <v>4.2737999999999998E-2</v>
      </c>
      <c r="IY5" t="s">
        <v>1599</v>
      </c>
      <c r="IZ5">
        <v>2025</v>
      </c>
      <c r="JA5" t="s">
        <v>2859</v>
      </c>
      <c r="JB5" s="6">
        <v>46034</v>
      </c>
      <c r="JC5">
        <v>5</v>
      </c>
      <c r="JD5">
        <v>243787</v>
      </c>
      <c r="JE5">
        <v>313021</v>
      </c>
      <c r="JF5" t="s">
        <v>2860</v>
      </c>
      <c r="JK5" t="str">
        <f>_xll.BDS("CVX US Equity","SUPPLY_CHAIN_SUPPLIERS_ALL_DATA","cols=12;rows=5")</f>
        <v>RIG US Equity</v>
      </c>
      <c r="JL5" t="s">
        <v>1634</v>
      </c>
      <c r="JM5">
        <v>14.893827999999999</v>
      </c>
      <c r="JN5">
        <v>3.5820059999999998</v>
      </c>
      <c r="JO5" t="s">
        <v>1606</v>
      </c>
      <c r="JP5">
        <v>2025</v>
      </c>
      <c r="JQ5" t="s">
        <v>4441</v>
      </c>
      <c r="JR5" s="6">
        <v>46090</v>
      </c>
      <c r="JS5">
        <v>5</v>
      </c>
      <c r="JT5">
        <v>155342624</v>
      </c>
      <c r="JU5">
        <v>119077</v>
      </c>
      <c r="JV5" t="s">
        <v>4442</v>
      </c>
      <c r="JY5" t="str">
        <f>_xll.BDS("CVX US Equity","SUPPLY_CHAIN_CUSTOMERS_ALL_DATA","cols=12;rows=5")</f>
        <v>UGPA3 BZ Equity</v>
      </c>
      <c r="JZ5">
        <v>8.6980000000000002E-2</v>
      </c>
      <c r="KA5" t="s">
        <v>1598</v>
      </c>
      <c r="KB5">
        <v>0.76061900000000005</v>
      </c>
      <c r="KC5" t="s">
        <v>1594</v>
      </c>
      <c r="KD5">
        <v>2024</v>
      </c>
      <c r="KE5" t="s">
        <v>3563</v>
      </c>
      <c r="KF5" s="6">
        <v>45770</v>
      </c>
      <c r="KG5">
        <v>5</v>
      </c>
      <c r="KH5">
        <v>43856224.539999999</v>
      </c>
      <c r="KI5">
        <v>825248</v>
      </c>
      <c r="KJ5" t="s">
        <v>3564</v>
      </c>
      <c r="KO5" t="str">
        <f>_xll.BDS("MAA US Equity","SUPPLY_CHAIN_SUPPLIERS_ALL_DATA","cols=12;rows=1")</f>
        <v>SMRT US Equity</v>
      </c>
      <c r="KQ5">
        <v>-2.4245362661989844E-14</v>
      </c>
      <c r="KR5">
        <v>-2.4245362661989844E-14</v>
      </c>
      <c r="KS5" t="s">
        <v>1603</v>
      </c>
      <c r="KT5">
        <v>2024</v>
      </c>
      <c r="KU5" t="s">
        <v>2169</v>
      </c>
      <c r="KV5" s="6">
        <v>45420</v>
      </c>
      <c r="KW5">
        <v>1</v>
      </c>
      <c r="KX5">
        <v>-2.4245362661989844E-14</v>
      </c>
      <c r="KY5">
        <v>69417624</v>
      </c>
      <c r="KZ5" t="s">
        <v>2170</v>
      </c>
      <c r="LC5" t="str">
        <f>_xll.BDS("MAA US Equity","SUPPLY_CHAIN_CUSTOMERS_ALL_DATA")</f>
        <v>#N/A N/A</v>
      </c>
      <c r="LS5" t="str">
        <f>_xll.BDS("nan Equity","SUPPLY_CHAIN_SUPPLIERS_ALL_DATA")</f>
        <v>#N/A N/A</v>
      </c>
      <c r="MG5" t="str">
        <f>_xll.BDS("nan Equity","SUPPLY_CHAIN_CUSTOMERS_ALL_DATA")</f>
        <v>#N/A N/A</v>
      </c>
      <c r="MW5" t="str">
        <f>_xll.BDS("DVN US Equity","SUPPLY_CHAIN_SUPPLIERS_ALL_DATA","cols=12;rows=5")</f>
        <v>AROC US Equity</v>
      </c>
      <c r="MX5" t="s">
        <v>1634</v>
      </c>
      <c r="MY5">
        <v>4.2080089999999997</v>
      </c>
      <c r="MZ5">
        <v>1.658752</v>
      </c>
      <c r="NA5" t="s">
        <v>1664</v>
      </c>
      <c r="NB5">
        <v>2025</v>
      </c>
      <c r="NC5" t="s">
        <v>2067</v>
      </c>
      <c r="ND5" s="6">
        <v>45929</v>
      </c>
      <c r="NE5">
        <v>5</v>
      </c>
      <c r="NF5">
        <v>16123071</v>
      </c>
      <c r="NG5">
        <v>13070762</v>
      </c>
      <c r="NH5" t="s">
        <v>2068</v>
      </c>
      <c r="NK5" t="str">
        <f>_xll.BDS("DVN US Equity","SUPPLY_CHAIN_CUSTOMERS_ALL_DATA","cols=12;rows=1")</f>
        <v>CNA LN Equity</v>
      </c>
      <c r="NL5">
        <v>-2.4245362661989844E-14</v>
      </c>
      <c r="NN5">
        <v>-2.4245362661989844E-14</v>
      </c>
      <c r="NO5" t="s">
        <v>1594</v>
      </c>
      <c r="NP5">
        <v>2025</v>
      </c>
      <c r="NQ5" t="s">
        <v>1754</v>
      </c>
      <c r="NR5" s="6">
        <v>45884</v>
      </c>
      <c r="NS5">
        <v>1</v>
      </c>
      <c r="NT5">
        <v>-2.4245362661989844E-14</v>
      </c>
      <c r="NU5">
        <v>216204</v>
      </c>
      <c r="NV5" t="s">
        <v>1755</v>
      </c>
      <c r="OA5" t="str">
        <f>_xll.BDS("GE US Equity","SUPPLY_CHAIN_SUPPLIERS_ALL_DATA","cols=12;rows=5")</f>
        <v>SAF FP Equity</v>
      </c>
      <c r="OB5" t="s">
        <v>1598</v>
      </c>
      <c r="OC5">
        <v>7.9101749999999997</v>
      </c>
      <c r="OD5">
        <v>9.7364909999999991</v>
      </c>
      <c r="OE5" t="s">
        <v>1664</v>
      </c>
      <c r="OF5">
        <v>2025</v>
      </c>
      <c r="OG5" t="s">
        <v>2132</v>
      </c>
      <c r="OH5" s="6">
        <v>45874</v>
      </c>
      <c r="OI5">
        <v>5</v>
      </c>
      <c r="OJ5">
        <v>666294015.34000003</v>
      </c>
      <c r="OK5">
        <v>115519</v>
      </c>
      <c r="OL5" t="s">
        <v>2133</v>
      </c>
      <c r="OO5" t="str">
        <f>_xll.BDS("GE US Equity","SUPPLY_CHAIN_CUSTOMERS_ALL_DATA","cols=12;rows=5")</f>
        <v>3352Z US Equity</v>
      </c>
      <c r="OP5">
        <v>10</v>
      </c>
      <c r="OR5">
        <v>-2.4245362661989844E-14</v>
      </c>
      <c r="OS5" t="s">
        <v>1594</v>
      </c>
      <c r="OT5">
        <v>2025</v>
      </c>
      <c r="OU5" t="s">
        <v>1957</v>
      </c>
      <c r="OV5" s="6">
        <v>46051</v>
      </c>
      <c r="OW5">
        <v>5</v>
      </c>
      <c r="OX5">
        <v>1146375040</v>
      </c>
      <c r="OY5">
        <v>218252</v>
      </c>
      <c r="OZ5" t="s">
        <v>1622</v>
      </c>
      <c r="PE5" t="str">
        <f>_xll.BDS("0772031D US Equity","SUPPLY_CHAIN_SUPPLIERS_ALL_DATA")</f>
        <v>#N/A N/A</v>
      </c>
      <c r="PS5" t="str">
        <f>_xll.BDS("0772031D US Equity","SUPPLY_CHAIN_CUSTOMERS_ALL_DATA")</f>
        <v>#N/A N/A</v>
      </c>
      <c r="QI5" t="str">
        <f>_xll.BDS("1235274D US Equity","SUPPLY_CHAIN_SUPPLIERS_ALL_DATA")</f>
        <v>#N/A N/A</v>
      </c>
      <c r="QW5" t="str">
        <f>_xll.BDS("1235274D US Equity","SUPPLY_CHAIN_CUSTOMERS_ALL_DATA")</f>
        <v>#N/A N/A</v>
      </c>
      <c r="RM5" t="str">
        <f>_xll.BDS("TRGP US Equity","SUPPLY_CHAIN_SUPPLIERS_ALL_DATA","cols=12;rows=5")</f>
        <v>SD US Equity</v>
      </c>
      <c r="RN5" t="s">
        <v>1598</v>
      </c>
      <c r="RO5">
        <v>36.900002000000001</v>
      </c>
      <c r="RP5">
        <v>0.38126300000000002</v>
      </c>
      <c r="RQ5" t="s">
        <v>1594</v>
      </c>
      <c r="RR5">
        <v>2024</v>
      </c>
      <c r="RS5" t="s">
        <v>3978</v>
      </c>
      <c r="RT5" s="6">
        <v>45727</v>
      </c>
      <c r="RU5">
        <v>5</v>
      </c>
      <c r="RV5">
        <v>11558002</v>
      </c>
      <c r="RW5">
        <v>10397199</v>
      </c>
      <c r="RX5" t="s">
        <v>3979</v>
      </c>
      <c r="SA5" t="str">
        <f>_xll.BDS("TRGP US Equity","SUPPLY_CHAIN_CUSTOMERS_ALL_DATA","cols=12;rows=5")</f>
        <v>EPD US Equity</v>
      </c>
      <c r="SB5">
        <v>0.45783699999999999</v>
      </c>
      <c r="SC5" t="s">
        <v>1598</v>
      </c>
      <c r="SD5">
        <v>0.152921</v>
      </c>
      <c r="SE5" t="s">
        <v>1594</v>
      </c>
      <c r="SF5">
        <v>2024</v>
      </c>
      <c r="SG5" t="s">
        <v>1928</v>
      </c>
      <c r="SH5" s="6">
        <v>45716</v>
      </c>
      <c r="SI5">
        <v>5</v>
      </c>
      <c r="SJ5">
        <v>18750026</v>
      </c>
      <c r="SK5">
        <v>348091</v>
      </c>
      <c r="SL5" t="s">
        <v>2928</v>
      </c>
      <c r="SQ5" t="str">
        <f>_xll.BDS("nan Equity","SUPPLY_CHAIN_SUPPLIERS_ALL_DATA")</f>
        <v>#N/A N/A</v>
      </c>
      <c r="TE5" t="str">
        <f>_xll.BDS("nan Equity","SUPPLY_CHAIN_CUSTOMERS_ALL_DATA")</f>
        <v>#N/A N/A</v>
      </c>
      <c r="TU5" t="str">
        <f>_xll.BDS("SPB US Equity","SUPPLY_CHAIN_SUPPLIERS_ALL_DATA","cols=12;rows=5")</f>
        <v>SLGN US Equity</v>
      </c>
      <c r="TV5" t="s">
        <v>1598</v>
      </c>
      <c r="TW5">
        <v>0.13009599999999999</v>
      </c>
      <c r="TX5">
        <v>0.43881300000000001</v>
      </c>
      <c r="TY5" t="s">
        <v>1606</v>
      </c>
      <c r="TZ5">
        <v>2025</v>
      </c>
      <c r="UA5" t="s">
        <v>3094</v>
      </c>
      <c r="UB5" s="6">
        <v>46077</v>
      </c>
      <c r="UC5">
        <v>5</v>
      </c>
      <c r="UD5">
        <v>1910590</v>
      </c>
      <c r="UE5">
        <v>159323</v>
      </c>
      <c r="UF5" t="s">
        <v>3095</v>
      </c>
      <c r="UI5" t="str">
        <f>_xll.BDS("SPB US Equity","SUPPLY_CHAIN_CUSTOMERS_ALL_DATA","cols=12;rows=5")</f>
        <v>WMT US Equity</v>
      </c>
      <c r="UJ5">
        <v>25.780778999999999</v>
      </c>
      <c r="UK5" t="s">
        <v>1598</v>
      </c>
      <c r="UL5">
        <v>0.13584499999999999</v>
      </c>
      <c r="UM5" t="s">
        <v>1599</v>
      </c>
      <c r="UN5">
        <v>2025</v>
      </c>
      <c r="UO5" t="s">
        <v>2686</v>
      </c>
      <c r="UP5" s="6">
        <v>45897</v>
      </c>
      <c r="UQ5">
        <v>5</v>
      </c>
      <c r="UR5">
        <v>180362320</v>
      </c>
      <c r="US5">
        <v>101616</v>
      </c>
      <c r="UT5" t="s">
        <v>1666</v>
      </c>
      <c r="UY5" t="str">
        <f>_xll.BDS("CMX US Equity","SUPPLY_CHAIN_SUPPLIERS_ALL_DATA")</f>
        <v>#N/A N/A</v>
      </c>
      <c r="VM5" t="str">
        <f>_xll.BDS("CMX US Equity","SUPPLY_CHAIN_CUSTOMERS_ALL_DATA")</f>
        <v>#N/A N/A</v>
      </c>
    </row>
    <row r="6" spans="1:600" x14ac:dyDescent="0.25">
      <c r="A6" t="s">
        <v>3998</v>
      </c>
      <c r="B6" t="s">
        <v>1598</v>
      </c>
      <c r="C6">
        <v>0.20922399999999999</v>
      </c>
      <c r="D6">
        <v>0.10945100000000001</v>
      </c>
      <c r="E6" t="s">
        <v>1603</v>
      </c>
      <c r="F6">
        <v>2025</v>
      </c>
      <c r="G6" t="s">
        <v>3999</v>
      </c>
      <c r="H6" s="6">
        <v>45792</v>
      </c>
      <c r="I6">
        <v>5</v>
      </c>
      <c r="J6">
        <v>1978310.01</v>
      </c>
      <c r="K6">
        <v>130409</v>
      </c>
      <c r="L6" t="s">
        <v>4000</v>
      </c>
      <c r="O6" t="s">
        <v>3622</v>
      </c>
      <c r="P6">
        <v>9.3316560000000006</v>
      </c>
      <c r="Q6" t="s">
        <v>1598</v>
      </c>
      <c r="R6">
        <v>6.8551380000000002</v>
      </c>
      <c r="S6" t="s">
        <v>1664</v>
      </c>
      <c r="T6">
        <v>2025</v>
      </c>
      <c r="U6" t="s">
        <v>2139</v>
      </c>
      <c r="V6" s="6">
        <v>45791</v>
      </c>
      <c r="W6">
        <v>5</v>
      </c>
      <c r="X6">
        <v>185147520</v>
      </c>
      <c r="Y6">
        <v>115790</v>
      </c>
      <c r="Z6" t="s">
        <v>3623</v>
      </c>
      <c r="AE6" t="s">
        <v>246</v>
      </c>
      <c r="AG6">
        <v>-2.4245362661989844E-14</v>
      </c>
      <c r="AH6">
        <v>-2.4245362661989844E-14</v>
      </c>
      <c r="AI6" t="s">
        <v>1594</v>
      </c>
      <c r="AJ6">
        <v>2025</v>
      </c>
      <c r="AK6" t="s">
        <v>5701</v>
      </c>
      <c r="AL6" s="6">
        <v>46063</v>
      </c>
      <c r="AM6">
        <v>2</v>
      </c>
      <c r="AN6">
        <v>-2.4245362661989844E-14</v>
      </c>
      <c r="AO6">
        <v>313673</v>
      </c>
      <c r="AP6" t="s">
        <v>5702</v>
      </c>
      <c r="BI6" t="s">
        <v>2266</v>
      </c>
      <c r="BJ6" t="s">
        <v>1685</v>
      </c>
      <c r="BK6">
        <v>0.597939</v>
      </c>
      <c r="BL6">
        <v>5.9714000000000003E-2</v>
      </c>
      <c r="BM6" t="s">
        <v>1594</v>
      </c>
      <c r="BN6">
        <v>2024</v>
      </c>
      <c r="BO6" t="s">
        <v>2267</v>
      </c>
      <c r="BP6" s="6">
        <v>45694</v>
      </c>
      <c r="BQ6">
        <v>5</v>
      </c>
      <c r="BR6">
        <v>957052.25</v>
      </c>
      <c r="BS6">
        <v>103579</v>
      </c>
      <c r="BT6" t="s">
        <v>2268</v>
      </c>
      <c r="BW6" t="s">
        <v>1791</v>
      </c>
      <c r="BX6">
        <v>-2.4245362661989844E-14</v>
      </c>
      <c r="BZ6">
        <v>-2.4245362661989844E-14</v>
      </c>
      <c r="CA6" t="s">
        <v>1792</v>
      </c>
      <c r="CB6">
        <v>2025</v>
      </c>
      <c r="CC6" t="s">
        <v>1793</v>
      </c>
      <c r="CD6" s="6">
        <v>45894</v>
      </c>
      <c r="CE6">
        <v>5</v>
      </c>
      <c r="CF6">
        <v>-2.4245362661989844E-14</v>
      </c>
      <c r="CG6">
        <v>15149577</v>
      </c>
      <c r="CH6" t="s">
        <v>1794</v>
      </c>
      <c r="EU6" t="s">
        <v>530</v>
      </c>
      <c r="EV6" t="s">
        <v>1598</v>
      </c>
      <c r="EW6">
        <v>35</v>
      </c>
      <c r="EX6">
        <v>1.9343079999999999</v>
      </c>
      <c r="EY6" t="s">
        <v>1594</v>
      </c>
      <c r="EZ6">
        <v>2025</v>
      </c>
      <c r="FA6" t="s">
        <v>3225</v>
      </c>
      <c r="FB6" s="6">
        <v>46079</v>
      </c>
      <c r="FC6">
        <v>5</v>
      </c>
      <c r="FD6">
        <v>169015008</v>
      </c>
      <c r="FE6">
        <v>35508256</v>
      </c>
      <c r="FF6" t="s">
        <v>3226</v>
      </c>
      <c r="FI6" t="s">
        <v>1700</v>
      </c>
      <c r="FJ6">
        <v>2.6209E-2</v>
      </c>
      <c r="FK6" t="s">
        <v>1598</v>
      </c>
      <c r="FL6">
        <v>5.2323000000000001E-2</v>
      </c>
      <c r="FM6" t="s">
        <v>1606</v>
      </c>
      <c r="FN6">
        <v>2025</v>
      </c>
      <c r="FO6" t="s">
        <v>1701</v>
      </c>
      <c r="FP6" s="6">
        <v>46056</v>
      </c>
      <c r="FQ6">
        <v>5</v>
      </c>
      <c r="FR6">
        <v>8468158</v>
      </c>
      <c r="FS6">
        <v>1499717</v>
      </c>
      <c r="FT6" t="s">
        <v>1702</v>
      </c>
      <c r="FY6" t="s">
        <v>5209</v>
      </c>
      <c r="GA6">
        <v>-2.4245362661989844E-14</v>
      </c>
      <c r="GB6">
        <v>-2.4245362661989844E-14</v>
      </c>
      <c r="GC6" t="s">
        <v>1594</v>
      </c>
      <c r="GD6">
        <v>2022</v>
      </c>
      <c r="GE6" t="s">
        <v>5210</v>
      </c>
      <c r="GF6" s="6">
        <v>44693</v>
      </c>
      <c r="GG6">
        <v>5</v>
      </c>
      <c r="GH6">
        <v>-2.4245362661989844E-14</v>
      </c>
      <c r="GI6">
        <v>113413</v>
      </c>
      <c r="GJ6" t="s">
        <v>5211</v>
      </c>
      <c r="GM6" t="s">
        <v>4505</v>
      </c>
      <c r="GN6">
        <v>-2.4245362661989844E-14</v>
      </c>
      <c r="GP6">
        <v>-2.4245362661989844E-14</v>
      </c>
      <c r="GQ6" t="s">
        <v>1594</v>
      </c>
      <c r="GR6">
        <v>2022</v>
      </c>
      <c r="GS6" t="s">
        <v>4506</v>
      </c>
      <c r="GT6" s="6">
        <v>44782</v>
      </c>
      <c r="GU6">
        <v>5</v>
      </c>
      <c r="GV6">
        <v>-2.4245362661989844E-14</v>
      </c>
      <c r="GW6">
        <v>62098821</v>
      </c>
      <c r="GX6" t="s">
        <v>4507</v>
      </c>
      <c r="IG6" t="s">
        <v>3991</v>
      </c>
      <c r="IH6" t="s">
        <v>1598</v>
      </c>
      <c r="II6">
        <v>21.5</v>
      </c>
      <c r="IJ6">
        <v>1.4319010000000001</v>
      </c>
      <c r="IK6" t="s">
        <v>1594</v>
      </c>
      <c r="IL6">
        <v>2025</v>
      </c>
      <c r="IM6" t="s">
        <v>3992</v>
      </c>
      <c r="IN6" s="6">
        <v>46080</v>
      </c>
      <c r="IO6">
        <v>5</v>
      </c>
      <c r="IP6">
        <v>32400338</v>
      </c>
      <c r="IQ6">
        <v>126764</v>
      </c>
      <c r="IR6" t="s">
        <v>3993</v>
      </c>
      <c r="IU6" t="s">
        <v>4915</v>
      </c>
      <c r="IV6">
        <v>-2.4245362661989844E-14</v>
      </c>
      <c r="IX6">
        <v>-2.4245362661989844E-14</v>
      </c>
      <c r="IY6" t="s">
        <v>1651</v>
      </c>
      <c r="IZ6">
        <v>2025</v>
      </c>
      <c r="JA6" t="s">
        <v>4916</v>
      </c>
      <c r="JB6" s="6">
        <v>45975</v>
      </c>
      <c r="JC6">
        <v>5</v>
      </c>
      <c r="JD6">
        <v>-2.4245362661989844E-14</v>
      </c>
      <c r="JE6">
        <v>129466</v>
      </c>
      <c r="JF6" t="s">
        <v>4917</v>
      </c>
      <c r="JK6" t="s">
        <v>3360</v>
      </c>
      <c r="JL6" t="s">
        <v>1634</v>
      </c>
      <c r="JM6">
        <v>3.5035419999999999</v>
      </c>
      <c r="JN6">
        <v>2.537461</v>
      </c>
      <c r="JO6" t="s">
        <v>1599</v>
      </c>
      <c r="JP6">
        <v>2025</v>
      </c>
      <c r="JQ6" t="s">
        <v>3361</v>
      </c>
      <c r="JR6" s="6">
        <v>45971</v>
      </c>
      <c r="JS6">
        <v>5</v>
      </c>
      <c r="JT6">
        <v>104340384</v>
      </c>
      <c r="JU6">
        <v>7912227</v>
      </c>
      <c r="JV6" t="s">
        <v>3362</v>
      </c>
      <c r="JY6" t="s">
        <v>3565</v>
      </c>
      <c r="JZ6">
        <v>1.7881000000000001E-2</v>
      </c>
      <c r="KA6" t="s">
        <v>1598</v>
      </c>
      <c r="KB6">
        <v>0.27887899999999999</v>
      </c>
      <c r="KC6" t="s">
        <v>1664</v>
      </c>
      <c r="KD6">
        <v>2025</v>
      </c>
      <c r="KE6" t="s">
        <v>3566</v>
      </c>
      <c r="KF6" s="6">
        <v>45882</v>
      </c>
      <c r="KG6">
        <v>5</v>
      </c>
      <c r="KH6">
        <v>8645070.5399999991</v>
      </c>
      <c r="KI6">
        <v>115777</v>
      </c>
      <c r="KJ6" t="s">
        <v>3567</v>
      </c>
      <c r="MW6" t="s">
        <v>2069</v>
      </c>
      <c r="MX6" t="s">
        <v>1634</v>
      </c>
      <c r="MY6">
        <v>0.66700099999999996</v>
      </c>
      <c r="MZ6">
        <v>0.67727700000000002</v>
      </c>
      <c r="NA6" t="s">
        <v>1599</v>
      </c>
      <c r="NB6">
        <v>2025</v>
      </c>
      <c r="NC6" t="s">
        <v>2070</v>
      </c>
      <c r="ND6" s="6">
        <v>45979</v>
      </c>
      <c r="NE6">
        <v>5</v>
      </c>
      <c r="NF6">
        <v>7227891.7699999996</v>
      </c>
      <c r="NG6">
        <v>115557</v>
      </c>
      <c r="NH6" t="s">
        <v>2071</v>
      </c>
      <c r="OA6" t="s">
        <v>2628</v>
      </c>
      <c r="OB6" t="s">
        <v>1598</v>
      </c>
      <c r="OC6">
        <v>13.760432</v>
      </c>
      <c r="OD6">
        <v>4.7536569999999996</v>
      </c>
      <c r="OE6" t="s">
        <v>1664</v>
      </c>
      <c r="OF6">
        <v>2025</v>
      </c>
      <c r="OG6" t="s">
        <v>2629</v>
      </c>
      <c r="OH6" s="6">
        <v>45937</v>
      </c>
      <c r="OI6">
        <v>5</v>
      </c>
      <c r="OJ6">
        <v>325305405.77999997</v>
      </c>
      <c r="OK6">
        <v>8445936</v>
      </c>
      <c r="OL6" t="s">
        <v>2630</v>
      </c>
      <c r="OO6" t="s">
        <v>872</v>
      </c>
      <c r="OP6">
        <v>9.2636719999999997</v>
      </c>
      <c r="OQ6" t="s">
        <v>1598</v>
      </c>
      <c r="OR6">
        <v>5.0267530000000002</v>
      </c>
      <c r="OS6" t="s">
        <v>1664</v>
      </c>
      <c r="OT6">
        <v>2025</v>
      </c>
      <c r="OU6" t="s">
        <v>1958</v>
      </c>
      <c r="OV6" s="6">
        <v>45888</v>
      </c>
      <c r="OW6">
        <v>5</v>
      </c>
      <c r="OX6">
        <v>1021134592</v>
      </c>
      <c r="OY6">
        <v>100211</v>
      </c>
      <c r="OZ6" t="s">
        <v>1632</v>
      </c>
      <c r="RM6" t="s">
        <v>2088</v>
      </c>
      <c r="RN6" t="s">
        <v>1598</v>
      </c>
      <c r="RO6">
        <v>0.314996</v>
      </c>
      <c r="RP6">
        <v>0.26662000000000002</v>
      </c>
      <c r="RQ6" t="s">
        <v>1603</v>
      </c>
      <c r="RR6">
        <v>2025</v>
      </c>
      <c r="RS6" t="s">
        <v>2089</v>
      </c>
      <c r="RT6" s="6">
        <v>45849</v>
      </c>
      <c r="RU6">
        <v>5</v>
      </c>
      <c r="RV6">
        <v>9665940.1500000004</v>
      </c>
      <c r="RW6">
        <v>179551</v>
      </c>
      <c r="RX6" t="s">
        <v>2090</v>
      </c>
      <c r="SA6" t="s">
        <v>2746</v>
      </c>
      <c r="SB6">
        <v>-2.4245362661989844E-14</v>
      </c>
      <c r="SD6">
        <v>-2.4245362661989844E-14</v>
      </c>
      <c r="SE6" t="s">
        <v>1594</v>
      </c>
      <c r="SF6">
        <v>2025</v>
      </c>
      <c r="SG6" t="s">
        <v>2747</v>
      </c>
      <c r="SH6" s="6">
        <v>45975</v>
      </c>
      <c r="SI6">
        <v>5</v>
      </c>
      <c r="SJ6">
        <v>-2.4245362661989844E-14</v>
      </c>
      <c r="SK6">
        <v>100131</v>
      </c>
      <c r="SL6" t="s">
        <v>2748</v>
      </c>
      <c r="TU6" t="s">
        <v>839</v>
      </c>
      <c r="TV6" t="s">
        <v>1598</v>
      </c>
      <c r="TW6">
        <v>3.022E-2</v>
      </c>
      <c r="TX6">
        <v>0.26656200000000002</v>
      </c>
      <c r="TY6" t="s">
        <v>1664</v>
      </c>
      <c r="TZ6">
        <v>2025</v>
      </c>
      <c r="UA6" t="s">
        <v>3096</v>
      </c>
      <c r="UB6" s="6">
        <v>45918</v>
      </c>
      <c r="UC6">
        <v>5</v>
      </c>
      <c r="UD6">
        <v>1160879</v>
      </c>
      <c r="UE6">
        <v>101397</v>
      </c>
      <c r="UF6" t="s">
        <v>3097</v>
      </c>
      <c r="UI6" t="s">
        <v>303</v>
      </c>
      <c r="UJ6">
        <v>18.437004000000002</v>
      </c>
      <c r="UK6" t="s">
        <v>1598</v>
      </c>
      <c r="UL6">
        <v>0.15961700000000001</v>
      </c>
      <c r="UM6" t="s">
        <v>1599</v>
      </c>
      <c r="UN6">
        <v>2025</v>
      </c>
      <c r="UO6" t="s">
        <v>2686</v>
      </c>
      <c r="UP6" s="6">
        <v>45897</v>
      </c>
      <c r="UQ6">
        <v>5</v>
      </c>
      <c r="UR6">
        <v>128985280</v>
      </c>
      <c r="US6">
        <v>216952</v>
      </c>
      <c r="UT6" t="s">
        <v>1631</v>
      </c>
    </row>
    <row r="7" spans="1:600" x14ac:dyDescent="0.25">
      <c r="A7" t="s">
        <v>4001</v>
      </c>
      <c r="B7" t="s">
        <v>1598</v>
      </c>
      <c r="C7">
        <v>0.14935000000000001</v>
      </c>
      <c r="D7">
        <v>5.7569000000000002E-2</v>
      </c>
      <c r="E7" t="s">
        <v>1599</v>
      </c>
      <c r="F7">
        <v>2025</v>
      </c>
      <c r="G7" t="s">
        <v>4002</v>
      </c>
      <c r="H7" s="6">
        <v>46009</v>
      </c>
      <c r="I7">
        <v>5</v>
      </c>
      <c r="J7">
        <v>1096822</v>
      </c>
      <c r="K7">
        <v>101601</v>
      </c>
      <c r="L7" t="s">
        <v>4003</v>
      </c>
      <c r="O7" t="s">
        <v>1628</v>
      </c>
      <c r="P7">
        <v>7.3442259999999999</v>
      </c>
      <c r="Q7" t="s">
        <v>1598</v>
      </c>
      <c r="R7">
        <v>0.93168399999999996</v>
      </c>
      <c r="S7" t="s">
        <v>1664</v>
      </c>
      <c r="T7">
        <v>2025</v>
      </c>
      <c r="U7" t="s">
        <v>2139</v>
      </c>
      <c r="V7" s="6">
        <v>45791</v>
      </c>
      <c r="W7">
        <v>5</v>
      </c>
      <c r="X7">
        <v>145715312</v>
      </c>
      <c r="Y7">
        <v>156923</v>
      </c>
      <c r="Z7" t="s">
        <v>1630</v>
      </c>
      <c r="BI7" t="s">
        <v>2269</v>
      </c>
      <c r="BJ7" t="s">
        <v>1598</v>
      </c>
      <c r="BK7">
        <v>7.4065000000000006E-2</v>
      </c>
      <c r="BL7">
        <v>2.879E-3</v>
      </c>
      <c r="BM7" t="s">
        <v>1594</v>
      </c>
      <c r="BN7">
        <v>2024</v>
      </c>
      <c r="BO7" t="s">
        <v>2270</v>
      </c>
      <c r="BP7" s="6">
        <v>45758</v>
      </c>
      <c r="BQ7">
        <v>5</v>
      </c>
      <c r="BR7">
        <v>46697.46</v>
      </c>
      <c r="BS7">
        <v>130878</v>
      </c>
      <c r="BT7" t="s">
        <v>2271</v>
      </c>
      <c r="BW7" t="s">
        <v>1795</v>
      </c>
      <c r="BX7">
        <v>-2.4245362661989844E-14</v>
      </c>
      <c r="BZ7">
        <v>-2.4245362661989844E-14</v>
      </c>
      <c r="CA7" t="s">
        <v>1664</v>
      </c>
      <c r="CB7">
        <v>2024</v>
      </c>
      <c r="CC7" t="s">
        <v>1796</v>
      </c>
      <c r="CD7" s="6">
        <v>45433</v>
      </c>
      <c r="CE7">
        <v>5</v>
      </c>
      <c r="CF7">
        <v>-2.4245362661989844E-14</v>
      </c>
      <c r="CG7">
        <v>27196144</v>
      </c>
      <c r="CH7" t="s">
        <v>1797</v>
      </c>
      <c r="EU7" t="s">
        <v>617</v>
      </c>
      <c r="EV7" t="s">
        <v>1634</v>
      </c>
      <c r="EW7">
        <v>0.77183500000000005</v>
      </c>
      <c r="EX7">
        <v>4.7951790000000001</v>
      </c>
      <c r="EY7" t="s">
        <v>1664</v>
      </c>
      <c r="EZ7">
        <v>2025</v>
      </c>
      <c r="FA7" t="s">
        <v>3227</v>
      </c>
      <c r="FB7" s="6">
        <v>45783</v>
      </c>
      <c r="FC7">
        <v>5</v>
      </c>
      <c r="FD7">
        <v>107987432</v>
      </c>
      <c r="FE7">
        <v>69423747</v>
      </c>
      <c r="FF7" t="s">
        <v>3228</v>
      </c>
      <c r="FI7" t="s">
        <v>2592</v>
      </c>
      <c r="FJ7">
        <v>1.123E-2</v>
      </c>
      <c r="FK7" t="s">
        <v>1598</v>
      </c>
      <c r="FL7">
        <v>0.62343700000000002</v>
      </c>
      <c r="FM7" t="s">
        <v>1606</v>
      </c>
      <c r="FN7">
        <v>2024</v>
      </c>
      <c r="FO7" t="s">
        <v>2593</v>
      </c>
      <c r="FP7" s="6">
        <v>45742</v>
      </c>
      <c r="FQ7">
        <v>5</v>
      </c>
      <c r="FR7">
        <v>3584175.85</v>
      </c>
      <c r="FS7">
        <v>153672</v>
      </c>
      <c r="FT7" t="s">
        <v>2594</v>
      </c>
      <c r="FY7" t="s">
        <v>5212</v>
      </c>
      <c r="GA7">
        <v>-2.4245362661989844E-14</v>
      </c>
      <c r="GB7">
        <v>-2.4245362661989844E-14</v>
      </c>
      <c r="GC7" t="s">
        <v>1594</v>
      </c>
      <c r="GD7">
        <v>2022</v>
      </c>
      <c r="GE7" t="s">
        <v>5213</v>
      </c>
      <c r="GF7" s="6">
        <v>44693</v>
      </c>
      <c r="GG7">
        <v>5</v>
      </c>
      <c r="GH7">
        <v>-2.4245362661989844E-14</v>
      </c>
      <c r="GI7">
        <v>114958</v>
      </c>
      <c r="GJ7" t="s">
        <v>5214</v>
      </c>
      <c r="GM7" t="s">
        <v>4508</v>
      </c>
      <c r="GN7">
        <v>-2.4245362661989844E-14</v>
      </c>
      <c r="GP7">
        <v>-2.4245362661989844E-14</v>
      </c>
      <c r="GQ7" t="s">
        <v>1594</v>
      </c>
      <c r="GR7">
        <v>2022</v>
      </c>
      <c r="GS7" t="s">
        <v>4509</v>
      </c>
      <c r="GT7" s="6">
        <v>45016</v>
      </c>
      <c r="GU7">
        <v>5</v>
      </c>
      <c r="GV7">
        <v>-2.4245362661989844E-14</v>
      </c>
      <c r="GW7">
        <v>55523461</v>
      </c>
      <c r="GX7" t="s">
        <v>4510</v>
      </c>
      <c r="IG7" t="s">
        <v>3994</v>
      </c>
      <c r="IH7" t="s">
        <v>1598</v>
      </c>
      <c r="II7">
        <v>3.73936</v>
      </c>
      <c r="IJ7">
        <v>0.75532200000000005</v>
      </c>
      <c r="IK7" t="s">
        <v>1599</v>
      </c>
      <c r="IL7">
        <v>2025</v>
      </c>
      <c r="IM7" t="s">
        <v>3995</v>
      </c>
      <c r="IN7" s="6">
        <v>45797</v>
      </c>
      <c r="IO7">
        <v>5</v>
      </c>
      <c r="IP7">
        <v>16027925</v>
      </c>
      <c r="IQ7">
        <v>21175033</v>
      </c>
      <c r="IR7" t="s">
        <v>3996</v>
      </c>
      <c r="IU7" t="s">
        <v>4918</v>
      </c>
      <c r="IV7">
        <v>-2.4245362661989844E-14</v>
      </c>
      <c r="IX7">
        <v>-2.4245362661989844E-14</v>
      </c>
      <c r="IY7" t="s">
        <v>1651</v>
      </c>
      <c r="IZ7">
        <v>2025</v>
      </c>
      <c r="JA7" t="s">
        <v>4919</v>
      </c>
      <c r="JB7" s="6">
        <v>45975</v>
      </c>
      <c r="JC7">
        <v>5</v>
      </c>
      <c r="JD7">
        <v>-2.4245362661989844E-14</v>
      </c>
      <c r="JE7">
        <v>31351558</v>
      </c>
      <c r="JF7" t="s">
        <v>4920</v>
      </c>
      <c r="JK7" t="s">
        <v>4636</v>
      </c>
      <c r="JL7" t="s">
        <v>1598</v>
      </c>
      <c r="JM7">
        <v>13</v>
      </c>
      <c r="JN7">
        <v>0.25396000000000002</v>
      </c>
      <c r="JO7" t="s">
        <v>1594</v>
      </c>
      <c r="JP7">
        <v>2024</v>
      </c>
      <c r="JQ7" t="s">
        <v>4637</v>
      </c>
      <c r="JR7" s="6">
        <v>45715</v>
      </c>
      <c r="JS7">
        <v>5</v>
      </c>
      <c r="JT7">
        <v>98048960</v>
      </c>
      <c r="JU7">
        <v>101024</v>
      </c>
      <c r="JV7" t="s">
        <v>4638</v>
      </c>
      <c r="JY7" t="s">
        <v>3568</v>
      </c>
      <c r="JZ7">
        <v>1.465E-2</v>
      </c>
      <c r="KA7" t="s">
        <v>1598</v>
      </c>
      <c r="KB7">
        <v>56.435763999999999</v>
      </c>
      <c r="KC7" t="s">
        <v>1594</v>
      </c>
      <c r="KD7">
        <v>2024</v>
      </c>
      <c r="KE7" t="s">
        <v>3569</v>
      </c>
      <c r="KF7" s="6">
        <v>45782</v>
      </c>
      <c r="KG7">
        <v>5</v>
      </c>
      <c r="KH7">
        <v>6975801.29</v>
      </c>
      <c r="KI7">
        <v>193841</v>
      </c>
      <c r="KJ7" t="s">
        <v>3570</v>
      </c>
      <c r="MW7" t="s">
        <v>2072</v>
      </c>
      <c r="MX7" t="s">
        <v>1598</v>
      </c>
      <c r="MY7">
        <v>0.93894500000000003</v>
      </c>
      <c r="MZ7">
        <v>0.184472</v>
      </c>
      <c r="NA7" t="s">
        <v>1599</v>
      </c>
      <c r="NB7">
        <v>2025</v>
      </c>
      <c r="NC7" t="s">
        <v>2073</v>
      </c>
      <c r="ND7" s="6">
        <v>46027</v>
      </c>
      <c r="NE7">
        <v>5</v>
      </c>
      <c r="NF7">
        <v>5952911</v>
      </c>
      <c r="NG7">
        <v>36965288</v>
      </c>
      <c r="NH7" t="s">
        <v>2074</v>
      </c>
      <c r="OA7" t="s">
        <v>2631</v>
      </c>
      <c r="OB7" t="s">
        <v>1598</v>
      </c>
      <c r="OC7">
        <v>11</v>
      </c>
      <c r="OD7">
        <v>3.1337429999999999</v>
      </c>
      <c r="OE7" t="s">
        <v>1594</v>
      </c>
      <c r="OF7">
        <v>2025</v>
      </c>
      <c r="OG7" t="s">
        <v>2632</v>
      </c>
      <c r="OH7" s="6">
        <v>46065</v>
      </c>
      <c r="OI7">
        <v>5</v>
      </c>
      <c r="OJ7">
        <v>226930000</v>
      </c>
      <c r="OK7">
        <v>59099358</v>
      </c>
      <c r="OL7" t="s">
        <v>2633</v>
      </c>
      <c r="OO7" t="s">
        <v>1732</v>
      </c>
      <c r="OP7">
        <v>4.5319979999999997</v>
      </c>
      <c r="OQ7" t="s">
        <v>1598</v>
      </c>
      <c r="OR7">
        <v>3.2162160000000002</v>
      </c>
      <c r="OS7" t="s">
        <v>1664</v>
      </c>
      <c r="OT7">
        <v>2025</v>
      </c>
      <c r="OU7" t="s">
        <v>1958</v>
      </c>
      <c r="OV7" s="6">
        <v>45888</v>
      </c>
      <c r="OW7">
        <v>5</v>
      </c>
      <c r="OX7">
        <v>499562144</v>
      </c>
      <c r="OY7">
        <v>876285</v>
      </c>
      <c r="OZ7" t="s">
        <v>1734</v>
      </c>
      <c r="RM7" t="s">
        <v>3980</v>
      </c>
      <c r="RN7" t="s">
        <v>1634</v>
      </c>
      <c r="RO7">
        <v>1.3575440000000001</v>
      </c>
      <c r="RP7">
        <v>0.13309099999999999</v>
      </c>
      <c r="RQ7" t="s">
        <v>1664</v>
      </c>
      <c r="RR7">
        <v>2026</v>
      </c>
      <c r="RS7" t="s">
        <v>3981</v>
      </c>
      <c r="RT7" s="6">
        <v>46051</v>
      </c>
      <c r="RU7">
        <v>5</v>
      </c>
      <c r="RV7">
        <v>894106</v>
      </c>
      <c r="RW7">
        <v>102076</v>
      </c>
      <c r="RX7" t="s">
        <v>3982</v>
      </c>
      <c r="SA7" t="s">
        <v>4756</v>
      </c>
      <c r="SB7">
        <v>-2.4245362661989844E-14</v>
      </c>
      <c r="SD7">
        <v>-2.4245362661989844E-14</v>
      </c>
      <c r="SE7" t="s">
        <v>1594</v>
      </c>
      <c r="SF7">
        <v>2022</v>
      </c>
      <c r="SG7" t="s">
        <v>4757</v>
      </c>
      <c r="SH7" s="6">
        <v>44981</v>
      </c>
      <c r="SI7">
        <v>5</v>
      </c>
      <c r="SJ7">
        <v>-2.4245362661989844E-14</v>
      </c>
      <c r="SK7">
        <v>72809805</v>
      </c>
      <c r="SL7" t="s">
        <v>4758</v>
      </c>
      <c r="TU7" t="s">
        <v>3098</v>
      </c>
      <c r="TV7" t="s">
        <v>1598</v>
      </c>
      <c r="TW7">
        <v>0.120009</v>
      </c>
      <c r="TX7">
        <v>5.5760999999999998E-2</v>
      </c>
      <c r="TY7" t="s">
        <v>1599</v>
      </c>
      <c r="TZ7">
        <v>2025</v>
      </c>
      <c r="UA7" t="s">
        <v>3099</v>
      </c>
      <c r="UB7" s="6">
        <v>45777</v>
      </c>
      <c r="UC7">
        <v>5</v>
      </c>
      <c r="UD7">
        <v>262867.53000000003</v>
      </c>
      <c r="UE7">
        <v>39035384</v>
      </c>
      <c r="UF7" t="s">
        <v>3100</v>
      </c>
      <c r="UI7" t="s">
        <v>2687</v>
      </c>
      <c r="UJ7">
        <v>5.6304629999999998</v>
      </c>
      <c r="UK7" t="s">
        <v>1598</v>
      </c>
      <c r="UL7">
        <v>4.361192</v>
      </c>
      <c r="UM7" t="s">
        <v>1664</v>
      </c>
      <c r="UN7">
        <v>2026</v>
      </c>
      <c r="UO7" t="s">
        <v>2688</v>
      </c>
      <c r="UP7" s="6">
        <v>45919</v>
      </c>
      <c r="UQ7">
        <v>5</v>
      </c>
      <c r="UR7">
        <v>39390720</v>
      </c>
      <c r="US7">
        <v>69349999</v>
      </c>
      <c r="UT7" t="s">
        <v>2689</v>
      </c>
    </row>
    <row r="8" spans="1:600" x14ac:dyDescent="0.25">
      <c r="A8" t="s">
        <v>107</v>
      </c>
      <c r="B8" t="s">
        <v>1598</v>
      </c>
      <c r="C8">
        <v>0.10244399999999999</v>
      </c>
      <c r="D8">
        <v>1.5996E-2</v>
      </c>
      <c r="E8" t="s">
        <v>1606</v>
      </c>
      <c r="F8">
        <v>2025</v>
      </c>
      <c r="G8" t="s">
        <v>3619</v>
      </c>
      <c r="H8" s="6">
        <v>45894</v>
      </c>
      <c r="I8">
        <v>5</v>
      </c>
      <c r="J8">
        <v>297600</v>
      </c>
      <c r="K8">
        <v>126302</v>
      </c>
      <c r="L8" t="s">
        <v>4004</v>
      </c>
      <c r="O8" t="s">
        <v>3109</v>
      </c>
      <c r="P8">
        <v>5.7157530000000003</v>
      </c>
      <c r="Q8" t="s">
        <v>1598</v>
      </c>
      <c r="R8">
        <v>2.0400269999999998</v>
      </c>
      <c r="S8" t="s">
        <v>1664</v>
      </c>
      <c r="T8">
        <v>2025</v>
      </c>
      <c r="U8" t="s">
        <v>2139</v>
      </c>
      <c r="V8" s="6">
        <v>45791</v>
      </c>
      <c r="W8">
        <v>5</v>
      </c>
      <c r="X8">
        <v>113405112</v>
      </c>
      <c r="Y8">
        <v>42602315</v>
      </c>
      <c r="Z8" t="s">
        <v>3111</v>
      </c>
      <c r="BI8" t="s">
        <v>2272</v>
      </c>
      <c r="BJ8" t="s">
        <v>1634</v>
      </c>
      <c r="BK8">
        <v>2.0240000000000002E-3</v>
      </c>
      <c r="BL8">
        <v>2.6168E-2</v>
      </c>
      <c r="BM8" t="s">
        <v>1599</v>
      </c>
      <c r="BN8">
        <v>2025</v>
      </c>
      <c r="BO8" t="s">
        <v>2273</v>
      </c>
      <c r="BP8" s="6">
        <v>45964</v>
      </c>
      <c r="BQ8">
        <v>5</v>
      </c>
      <c r="BR8">
        <v>10506</v>
      </c>
      <c r="BS8">
        <v>16546862</v>
      </c>
      <c r="BT8" t="s">
        <v>2274</v>
      </c>
      <c r="BW8" t="s">
        <v>1798</v>
      </c>
      <c r="BX8">
        <v>-2.4245362661989844E-14</v>
      </c>
      <c r="BZ8">
        <v>-2.4245362661989844E-14</v>
      </c>
      <c r="CA8" t="s">
        <v>1594</v>
      </c>
      <c r="CB8">
        <v>2024</v>
      </c>
      <c r="CC8" t="s">
        <v>1799</v>
      </c>
      <c r="CD8" s="6">
        <v>45771</v>
      </c>
      <c r="CE8">
        <v>5</v>
      </c>
      <c r="CF8">
        <v>-2.4245362661989844E-14</v>
      </c>
      <c r="CG8">
        <v>135686</v>
      </c>
      <c r="CH8" t="s">
        <v>1800</v>
      </c>
      <c r="EU8" t="s">
        <v>2236</v>
      </c>
      <c r="EV8" t="s">
        <v>1598</v>
      </c>
      <c r="EW8">
        <v>1.1509940000000001</v>
      </c>
      <c r="EX8">
        <v>1.1986939999999999</v>
      </c>
      <c r="EY8" t="s">
        <v>1664</v>
      </c>
      <c r="EZ8">
        <v>2025</v>
      </c>
      <c r="FA8" t="s">
        <v>3229</v>
      </c>
      <c r="FB8" s="6">
        <v>45953</v>
      </c>
      <c r="FC8">
        <v>5</v>
      </c>
      <c r="FD8">
        <v>90773058.569999993</v>
      </c>
      <c r="FE8">
        <v>113389</v>
      </c>
      <c r="FF8" t="s">
        <v>2238</v>
      </c>
      <c r="FI8" t="s">
        <v>1645</v>
      </c>
      <c r="FJ8">
        <v>8.352E-3</v>
      </c>
      <c r="FK8" t="s">
        <v>1598</v>
      </c>
      <c r="FL8">
        <v>0.41281200000000001</v>
      </c>
      <c r="FM8" t="s">
        <v>1599</v>
      </c>
      <c r="FN8">
        <v>2025</v>
      </c>
      <c r="FO8" t="s">
        <v>1897</v>
      </c>
      <c r="FP8" s="6">
        <v>45840</v>
      </c>
      <c r="FQ8">
        <v>5</v>
      </c>
      <c r="FR8">
        <v>2496047</v>
      </c>
      <c r="FS8">
        <v>136424</v>
      </c>
      <c r="FT8" t="s">
        <v>1647</v>
      </c>
      <c r="FY8" t="s">
        <v>1354</v>
      </c>
      <c r="GA8">
        <v>-2.4245362661989844E-14</v>
      </c>
      <c r="GB8">
        <v>-2.4245362661989844E-14</v>
      </c>
      <c r="GC8" t="s">
        <v>1594</v>
      </c>
      <c r="GD8">
        <v>2021</v>
      </c>
      <c r="GE8" t="s">
        <v>2150</v>
      </c>
      <c r="GF8" s="6">
        <v>44693</v>
      </c>
      <c r="GG8">
        <v>5</v>
      </c>
      <c r="GH8">
        <v>-2.4245362661989844E-14</v>
      </c>
      <c r="GI8">
        <v>313098</v>
      </c>
      <c r="GJ8" t="s">
        <v>2151</v>
      </c>
      <c r="GM8" t="s">
        <v>4511</v>
      </c>
      <c r="GN8">
        <v>-2.4245362661989844E-14</v>
      </c>
      <c r="GP8">
        <v>-2.4245362661989844E-14</v>
      </c>
      <c r="GQ8" t="s">
        <v>1594</v>
      </c>
      <c r="GR8">
        <v>2023</v>
      </c>
      <c r="GS8" t="s">
        <v>4512</v>
      </c>
      <c r="GT8" s="6">
        <v>45344</v>
      </c>
      <c r="GU8">
        <v>5</v>
      </c>
      <c r="GV8">
        <v>-2.4245362661989844E-14</v>
      </c>
      <c r="GW8">
        <v>33596981</v>
      </c>
      <c r="GX8" t="s">
        <v>4513</v>
      </c>
      <c r="IG8" t="s">
        <v>3376</v>
      </c>
      <c r="IH8" t="s">
        <v>1598</v>
      </c>
      <c r="II8">
        <v>0.39843600000000001</v>
      </c>
      <c r="IJ8">
        <v>0.58359499999999997</v>
      </c>
      <c r="IK8" t="s">
        <v>1606</v>
      </c>
      <c r="IL8">
        <v>2025</v>
      </c>
      <c r="IM8" t="s">
        <v>3377</v>
      </c>
      <c r="IN8" s="6">
        <v>46072</v>
      </c>
      <c r="IO8">
        <v>5</v>
      </c>
      <c r="IP8">
        <v>14843609.470000001</v>
      </c>
      <c r="IQ8">
        <v>70579391</v>
      </c>
      <c r="IR8" t="s">
        <v>3378</v>
      </c>
      <c r="IU8" t="s">
        <v>4921</v>
      </c>
      <c r="IV8">
        <v>-2.4245362661989844E-14</v>
      </c>
      <c r="IX8">
        <v>-2.4245362661989844E-14</v>
      </c>
      <c r="IY8" t="s">
        <v>1594</v>
      </c>
      <c r="IZ8">
        <v>2024</v>
      </c>
      <c r="JA8" t="s">
        <v>4922</v>
      </c>
      <c r="JB8" s="6">
        <v>45785</v>
      </c>
      <c r="JC8">
        <v>5</v>
      </c>
      <c r="JD8">
        <v>-2.4245362661989844E-14</v>
      </c>
      <c r="JE8">
        <v>71626870</v>
      </c>
      <c r="JF8" t="s">
        <v>4923</v>
      </c>
      <c r="JK8" t="s">
        <v>247</v>
      </c>
      <c r="JL8" t="s">
        <v>1634</v>
      </c>
      <c r="JM8">
        <v>0.69574199999999997</v>
      </c>
      <c r="JN8">
        <v>1.510599</v>
      </c>
      <c r="JO8" t="s">
        <v>1599</v>
      </c>
      <c r="JP8">
        <v>2025</v>
      </c>
      <c r="JQ8" t="s">
        <v>1809</v>
      </c>
      <c r="JR8" s="6">
        <v>45985</v>
      </c>
      <c r="JS8">
        <v>5</v>
      </c>
      <c r="JT8">
        <v>62115848</v>
      </c>
      <c r="JU8">
        <v>101318</v>
      </c>
      <c r="JV8" t="s">
        <v>3724</v>
      </c>
      <c r="JY8" t="s">
        <v>3571</v>
      </c>
      <c r="JZ8">
        <v>1.655E-3</v>
      </c>
      <c r="KA8" t="s">
        <v>1598</v>
      </c>
      <c r="KB8">
        <v>0.59815600000000002</v>
      </c>
      <c r="KC8" t="s">
        <v>1651</v>
      </c>
      <c r="KD8">
        <v>2025</v>
      </c>
      <c r="KE8" t="s">
        <v>3572</v>
      </c>
      <c r="KF8" s="6">
        <v>45958</v>
      </c>
      <c r="KG8">
        <v>5</v>
      </c>
      <c r="KH8">
        <v>766849.86</v>
      </c>
      <c r="KI8">
        <v>153668</v>
      </c>
      <c r="KJ8" t="s">
        <v>3573</v>
      </c>
      <c r="MW8" t="s">
        <v>2075</v>
      </c>
      <c r="MX8" t="s">
        <v>1598</v>
      </c>
      <c r="MY8">
        <v>0.81212200000000001</v>
      </c>
      <c r="MZ8">
        <v>3.9961000000000003E-2</v>
      </c>
      <c r="NA8" t="s">
        <v>1594</v>
      </c>
      <c r="NB8">
        <v>2024</v>
      </c>
      <c r="NC8" t="s">
        <v>2076</v>
      </c>
      <c r="ND8" s="6">
        <v>45722</v>
      </c>
      <c r="NE8">
        <v>5</v>
      </c>
      <c r="NF8">
        <v>1125000</v>
      </c>
      <c r="NG8">
        <v>34755071</v>
      </c>
      <c r="NH8" t="s">
        <v>2077</v>
      </c>
      <c r="OA8" t="s">
        <v>1878</v>
      </c>
      <c r="OB8" t="s">
        <v>1598</v>
      </c>
      <c r="OC8">
        <v>8.8672269999999997</v>
      </c>
      <c r="OD8">
        <v>1.980351</v>
      </c>
      <c r="OE8" t="s">
        <v>1664</v>
      </c>
      <c r="OF8">
        <v>2025</v>
      </c>
      <c r="OG8" t="s">
        <v>2634</v>
      </c>
      <c r="OH8" s="6">
        <v>45922</v>
      </c>
      <c r="OI8">
        <v>5</v>
      </c>
      <c r="OJ8">
        <v>135574848</v>
      </c>
      <c r="OK8">
        <v>11937231</v>
      </c>
      <c r="OL8" t="s">
        <v>1880</v>
      </c>
      <c r="OO8" t="s">
        <v>1082</v>
      </c>
      <c r="OP8">
        <v>3.2472560000000001</v>
      </c>
      <c r="OQ8" t="s">
        <v>1598</v>
      </c>
      <c r="OR8">
        <v>2.573108</v>
      </c>
      <c r="OS8" t="s">
        <v>1664</v>
      </c>
      <c r="OT8">
        <v>2025</v>
      </c>
      <c r="OU8" t="s">
        <v>1958</v>
      </c>
      <c r="OV8" s="6">
        <v>45888</v>
      </c>
      <c r="OW8">
        <v>5</v>
      </c>
      <c r="OX8">
        <v>357945024</v>
      </c>
      <c r="OY8">
        <v>10451815</v>
      </c>
      <c r="OZ8" t="s">
        <v>1959</v>
      </c>
      <c r="RM8" t="s">
        <v>2072</v>
      </c>
      <c r="RN8" t="s">
        <v>1598</v>
      </c>
      <c r="RO8">
        <v>8.7431999999999996E-2</v>
      </c>
      <c r="RP8">
        <v>1.9181E-2</v>
      </c>
      <c r="RQ8" t="s">
        <v>1599</v>
      </c>
      <c r="RR8">
        <v>2025</v>
      </c>
      <c r="RS8" t="s">
        <v>2073</v>
      </c>
      <c r="RT8" s="6">
        <v>46027</v>
      </c>
      <c r="RU8">
        <v>5</v>
      </c>
      <c r="RV8">
        <v>554319</v>
      </c>
      <c r="RW8">
        <v>36965288</v>
      </c>
      <c r="RX8" t="s">
        <v>2074</v>
      </c>
      <c r="SA8" t="s">
        <v>3445</v>
      </c>
      <c r="SB8">
        <v>-2.4245362661989844E-14</v>
      </c>
      <c r="SD8">
        <v>-2.4245362661989844E-14</v>
      </c>
      <c r="SE8" t="s">
        <v>1594</v>
      </c>
      <c r="SF8">
        <v>2025</v>
      </c>
      <c r="SG8" t="s">
        <v>4759</v>
      </c>
      <c r="SH8" s="6">
        <v>45987</v>
      </c>
      <c r="SI8">
        <v>5</v>
      </c>
      <c r="SJ8">
        <v>-2.4245362661989844E-14</v>
      </c>
      <c r="SK8">
        <v>179984</v>
      </c>
      <c r="SL8" t="s">
        <v>3447</v>
      </c>
      <c r="TU8" t="s">
        <v>3101</v>
      </c>
      <c r="TW8">
        <v>-2.4245362661989844E-14</v>
      </c>
      <c r="TX8">
        <v>-2.4245362661989844E-14</v>
      </c>
      <c r="TY8" t="s">
        <v>1594</v>
      </c>
      <c r="TZ8">
        <v>2024</v>
      </c>
      <c r="UA8" t="s">
        <v>3102</v>
      </c>
      <c r="UB8" s="6">
        <v>45770</v>
      </c>
      <c r="UC8">
        <v>5</v>
      </c>
      <c r="UD8">
        <v>-2.4245362661989844E-14</v>
      </c>
      <c r="UE8">
        <v>49647215</v>
      </c>
      <c r="UF8" t="s">
        <v>3103</v>
      </c>
      <c r="UI8" t="s">
        <v>1980</v>
      </c>
      <c r="UJ8">
        <v>4.4833210000000001</v>
      </c>
      <c r="UK8" t="s">
        <v>1598</v>
      </c>
      <c r="UL8">
        <v>1.430769</v>
      </c>
      <c r="UM8" t="s">
        <v>1599</v>
      </c>
      <c r="UN8">
        <v>2025</v>
      </c>
      <c r="UO8" t="s">
        <v>2686</v>
      </c>
      <c r="UP8" s="6">
        <v>45897</v>
      </c>
      <c r="UQ8">
        <v>5</v>
      </c>
      <c r="UR8">
        <v>31365314</v>
      </c>
      <c r="US8">
        <v>53523229</v>
      </c>
      <c r="UT8" t="s">
        <v>1981</v>
      </c>
    </row>
    <row r="9" spans="1:600" x14ac:dyDescent="0.25">
      <c r="A9" t="s">
        <v>4005</v>
      </c>
      <c r="B9" t="s">
        <v>1598</v>
      </c>
      <c r="C9">
        <v>4.5275999999999997E-2</v>
      </c>
      <c r="D9">
        <v>8.3560000000000006E-3</v>
      </c>
      <c r="E9" t="s">
        <v>1606</v>
      </c>
      <c r="F9">
        <v>2024</v>
      </c>
      <c r="G9" t="s">
        <v>4006</v>
      </c>
      <c r="H9" s="6">
        <v>45727</v>
      </c>
      <c r="I9">
        <v>5</v>
      </c>
      <c r="J9">
        <v>153621</v>
      </c>
      <c r="K9">
        <v>103370</v>
      </c>
      <c r="L9" t="s">
        <v>4007</v>
      </c>
      <c r="O9" t="s">
        <v>425</v>
      </c>
      <c r="P9">
        <v>4.2578709999999997</v>
      </c>
      <c r="Q9" t="s">
        <v>1598</v>
      </c>
      <c r="R9">
        <v>0.81780799999999998</v>
      </c>
      <c r="S9" t="s">
        <v>1664</v>
      </c>
      <c r="T9">
        <v>2025</v>
      </c>
      <c r="U9" t="s">
        <v>2139</v>
      </c>
      <c r="V9" s="6">
        <v>45791</v>
      </c>
      <c r="W9">
        <v>5</v>
      </c>
      <c r="X9">
        <v>84479568</v>
      </c>
      <c r="Y9">
        <v>100631</v>
      </c>
      <c r="Z9" t="s">
        <v>5178</v>
      </c>
      <c r="BI9" t="s">
        <v>2275</v>
      </c>
      <c r="BJ9" t="s">
        <v>1598</v>
      </c>
      <c r="BK9">
        <v>1.2467000000000001E-2</v>
      </c>
      <c r="BL9">
        <v>4.5800000000000002E-4</v>
      </c>
      <c r="BM9" t="s">
        <v>1664</v>
      </c>
      <c r="BN9">
        <v>2025</v>
      </c>
      <c r="BO9" t="s">
        <v>2276</v>
      </c>
      <c r="BP9" s="6">
        <v>45744</v>
      </c>
      <c r="BQ9">
        <v>5</v>
      </c>
      <c r="BR9">
        <v>6232.4</v>
      </c>
      <c r="BS9">
        <v>28653435</v>
      </c>
      <c r="BT9" t="s">
        <v>2277</v>
      </c>
      <c r="BW9" t="s">
        <v>1801</v>
      </c>
      <c r="BX9">
        <v>-2.4245362661989844E-14</v>
      </c>
      <c r="BZ9">
        <v>-2.4245362661989844E-14</v>
      </c>
      <c r="CA9" t="s">
        <v>1594</v>
      </c>
      <c r="CB9">
        <v>2022</v>
      </c>
      <c r="CC9" t="s">
        <v>1802</v>
      </c>
      <c r="CD9" s="6">
        <v>45083</v>
      </c>
      <c r="CE9">
        <v>5</v>
      </c>
      <c r="CF9">
        <v>-2.4245362661989844E-14</v>
      </c>
      <c r="CG9">
        <v>34532225</v>
      </c>
      <c r="CH9" t="s">
        <v>1803</v>
      </c>
      <c r="EU9" t="s">
        <v>3184</v>
      </c>
      <c r="EV9" t="s">
        <v>1634</v>
      </c>
      <c r="EW9">
        <v>8.1</v>
      </c>
      <c r="EX9">
        <v>2.2444199999999999</v>
      </c>
      <c r="EY9" t="s">
        <v>1606</v>
      </c>
      <c r="EZ9">
        <v>2025</v>
      </c>
      <c r="FA9" t="s">
        <v>3230</v>
      </c>
      <c r="FB9" s="6">
        <v>45717</v>
      </c>
      <c r="FC9">
        <v>5</v>
      </c>
      <c r="FD9">
        <v>87846608</v>
      </c>
      <c r="FE9">
        <v>100487</v>
      </c>
      <c r="FF9" t="s">
        <v>3186</v>
      </c>
      <c r="FI9" t="s">
        <v>2683</v>
      </c>
      <c r="FJ9">
        <v>-2.4245362661989844E-14</v>
      </c>
      <c r="FL9">
        <v>-2.4245362661989844E-14</v>
      </c>
      <c r="FM9" t="s">
        <v>1594</v>
      </c>
      <c r="FN9">
        <v>2022</v>
      </c>
      <c r="FO9" t="s">
        <v>2684</v>
      </c>
      <c r="FP9" s="6">
        <v>45013</v>
      </c>
      <c r="FQ9">
        <v>5</v>
      </c>
      <c r="FR9">
        <v>-2.4245362661989844E-14</v>
      </c>
      <c r="FS9">
        <v>173027</v>
      </c>
      <c r="FT9" t="s">
        <v>2685</v>
      </c>
      <c r="FY9" t="s">
        <v>2152</v>
      </c>
      <c r="GA9">
        <v>-2.4245362661989844E-14</v>
      </c>
      <c r="GB9">
        <v>-2.4245362661989844E-14</v>
      </c>
      <c r="GC9" t="s">
        <v>1594</v>
      </c>
      <c r="GD9">
        <v>2021</v>
      </c>
      <c r="GE9" t="s">
        <v>2153</v>
      </c>
      <c r="GF9" s="6">
        <v>44693</v>
      </c>
      <c r="GG9">
        <v>5</v>
      </c>
      <c r="GH9">
        <v>-2.4245362661989844E-14</v>
      </c>
      <c r="GI9">
        <v>100060</v>
      </c>
      <c r="GJ9" t="s">
        <v>2154</v>
      </c>
      <c r="GM9" t="s">
        <v>4514</v>
      </c>
      <c r="GN9">
        <v>-2.4245362661989844E-14</v>
      </c>
      <c r="GP9">
        <v>-2.4245362661989844E-14</v>
      </c>
      <c r="GQ9" t="s">
        <v>1594</v>
      </c>
      <c r="GR9">
        <v>2023</v>
      </c>
      <c r="GS9" t="s">
        <v>4515</v>
      </c>
      <c r="GT9" s="6">
        <v>45398</v>
      </c>
      <c r="GU9">
        <v>5</v>
      </c>
      <c r="GV9">
        <v>-2.4245362661989844E-14</v>
      </c>
      <c r="GW9">
        <v>25124826</v>
      </c>
      <c r="GX9" t="s">
        <v>4516</v>
      </c>
      <c r="IG9" t="s">
        <v>3738</v>
      </c>
      <c r="IH9" t="s">
        <v>1598</v>
      </c>
      <c r="II9">
        <v>1.796597</v>
      </c>
      <c r="IJ9">
        <v>0.53488500000000005</v>
      </c>
      <c r="IK9" t="s">
        <v>1603</v>
      </c>
      <c r="IL9">
        <v>2025</v>
      </c>
      <c r="IM9" t="s">
        <v>3739</v>
      </c>
      <c r="IN9" s="6">
        <v>45793</v>
      </c>
      <c r="IO9">
        <v>5</v>
      </c>
      <c r="IP9">
        <v>11350253</v>
      </c>
      <c r="IQ9">
        <v>102417</v>
      </c>
      <c r="IR9" t="s">
        <v>3740</v>
      </c>
      <c r="IU9" t="s">
        <v>4924</v>
      </c>
      <c r="IV9">
        <v>-2.4245362661989844E-14</v>
      </c>
      <c r="IX9">
        <v>-2.4245362661989844E-14</v>
      </c>
      <c r="IY9" t="s">
        <v>1594</v>
      </c>
      <c r="IZ9">
        <v>2022</v>
      </c>
      <c r="JA9" t="s">
        <v>4925</v>
      </c>
      <c r="JB9" s="6">
        <v>45070</v>
      </c>
      <c r="JC9">
        <v>5</v>
      </c>
      <c r="JD9">
        <v>-2.4245362661989844E-14</v>
      </c>
      <c r="JE9">
        <v>27516715</v>
      </c>
      <c r="JF9" t="s">
        <v>4926</v>
      </c>
      <c r="JK9" t="s">
        <v>5126</v>
      </c>
      <c r="JL9" t="s">
        <v>1598</v>
      </c>
      <c r="JM9">
        <v>28</v>
      </c>
      <c r="JN9">
        <v>0.140787</v>
      </c>
      <c r="JO9" t="s">
        <v>1594</v>
      </c>
      <c r="JP9">
        <v>2024</v>
      </c>
      <c r="JQ9" t="s">
        <v>5127</v>
      </c>
      <c r="JR9" s="6">
        <v>45729</v>
      </c>
      <c r="JS9">
        <v>5</v>
      </c>
      <c r="JT9">
        <v>54355072</v>
      </c>
      <c r="JU9">
        <v>54325602</v>
      </c>
      <c r="JV9" t="s">
        <v>5128</v>
      </c>
      <c r="JY9" t="s">
        <v>3574</v>
      </c>
      <c r="JZ9">
        <v>-2.4245362661989844E-14</v>
      </c>
      <c r="KB9">
        <v>-2.4245362661989844E-14</v>
      </c>
      <c r="KC9" t="s">
        <v>1651</v>
      </c>
      <c r="KD9">
        <v>2023</v>
      </c>
      <c r="KE9" t="s">
        <v>3575</v>
      </c>
      <c r="KF9" s="6">
        <v>45244</v>
      </c>
      <c r="KG9">
        <v>5</v>
      </c>
      <c r="KH9">
        <v>-2.4245362661989844E-14</v>
      </c>
      <c r="KI9">
        <v>129148</v>
      </c>
      <c r="KJ9" t="s">
        <v>3576</v>
      </c>
      <c r="MW9" t="s">
        <v>2078</v>
      </c>
      <c r="MX9" t="s">
        <v>1598</v>
      </c>
      <c r="MY9">
        <v>7.6275999999999997E-2</v>
      </c>
      <c r="MZ9">
        <v>2.5603000000000001E-2</v>
      </c>
      <c r="NA9" t="s">
        <v>1606</v>
      </c>
      <c r="NB9">
        <v>2025</v>
      </c>
      <c r="NC9" t="s">
        <v>2079</v>
      </c>
      <c r="ND9" s="6">
        <v>46079</v>
      </c>
      <c r="NE9">
        <v>5</v>
      </c>
      <c r="NF9">
        <v>803949</v>
      </c>
      <c r="NG9">
        <v>49689146</v>
      </c>
      <c r="NH9" t="s">
        <v>2080</v>
      </c>
      <c r="OA9" t="s">
        <v>2635</v>
      </c>
      <c r="OB9" t="s">
        <v>1598</v>
      </c>
      <c r="OC9">
        <v>9.9027270000000005</v>
      </c>
      <c r="OD9">
        <v>1.5774429999999999</v>
      </c>
      <c r="OE9" t="s">
        <v>1664</v>
      </c>
      <c r="OF9">
        <v>2025</v>
      </c>
      <c r="OG9" t="s">
        <v>2636</v>
      </c>
      <c r="OH9" s="6">
        <v>45904</v>
      </c>
      <c r="OI9">
        <v>5</v>
      </c>
      <c r="OJ9">
        <v>107991712</v>
      </c>
      <c r="OK9">
        <v>187877</v>
      </c>
      <c r="OL9" t="s">
        <v>2637</v>
      </c>
      <c r="OO9" t="s">
        <v>1116</v>
      </c>
      <c r="OP9">
        <v>3.0622020000000001</v>
      </c>
      <c r="OQ9" t="s">
        <v>1598</v>
      </c>
      <c r="OR9">
        <v>2.546176</v>
      </c>
      <c r="OS9" t="s">
        <v>1664</v>
      </c>
      <c r="OT9">
        <v>2025</v>
      </c>
      <c r="OU9" t="s">
        <v>1958</v>
      </c>
      <c r="OV9" s="6">
        <v>45888</v>
      </c>
      <c r="OW9">
        <v>5</v>
      </c>
      <c r="OX9">
        <v>337546528</v>
      </c>
      <c r="OY9">
        <v>100090</v>
      </c>
      <c r="OZ9" t="s">
        <v>1960</v>
      </c>
      <c r="RM9" t="s">
        <v>2298</v>
      </c>
      <c r="RN9" t="s">
        <v>1598</v>
      </c>
      <c r="RO9">
        <v>1.44E-2</v>
      </c>
      <c r="RP9">
        <v>1.7874000000000001E-2</v>
      </c>
      <c r="RQ9" t="s">
        <v>1599</v>
      </c>
      <c r="RR9">
        <v>2025</v>
      </c>
      <c r="RS9" t="s">
        <v>2299</v>
      </c>
      <c r="RT9" s="6">
        <v>45993</v>
      </c>
      <c r="RU9">
        <v>5</v>
      </c>
      <c r="RV9">
        <v>516528</v>
      </c>
      <c r="RW9">
        <v>100415</v>
      </c>
      <c r="RX9" t="s">
        <v>2300</v>
      </c>
      <c r="SA9" t="s">
        <v>740</v>
      </c>
      <c r="SB9">
        <v>-2.4245362661989844E-14</v>
      </c>
      <c r="SD9">
        <v>-2.4245362661989844E-14</v>
      </c>
      <c r="SE9" t="s">
        <v>1594</v>
      </c>
      <c r="SF9">
        <v>2024</v>
      </c>
      <c r="SG9" t="s">
        <v>4760</v>
      </c>
      <c r="SH9" s="6">
        <v>45622</v>
      </c>
      <c r="SI9">
        <v>5</v>
      </c>
      <c r="SJ9">
        <v>-2.4245362661989844E-14</v>
      </c>
      <c r="SK9">
        <v>101525</v>
      </c>
      <c r="SL9" t="s">
        <v>4761</v>
      </c>
      <c r="TU9" t="s">
        <v>3104</v>
      </c>
      <c r="TW9">
        <v>-2.4245362661989844E-14</v>
      </c>
      <c r="TX9">
        <v>-2.4245362661989844E-14</v>
      </c>
      <c r="TY9" t="s">
        <v>1599</v>
      </c>
      <c r="TZ9">
        <v>2024</v>
      </c>
      <c r="UA9" t="s">
        <v>3105</v>
      </c>
      <c r="UB9" s="6">
        <v>45608</v>
      </c>
      <c r="UC9">
        <v>5</v>
      </c>
      <c r="UD9">
        <v>-2.4245362661989844E-14</v>
      </c>
      <c r="UE9">
        <v>11340004</v>
      </c>
      <c r="UF9" t="s">
        <v>3106</v>
      </c>
      <c r="UI9" t="s">
        <v>2643</v>
      </c>
      <c r="UJ9">
        <v>1.9966140000000001</v>
      </c>
      <c r="UK9" t="s">
        <v>1598</v>
      </c>
      <c r="UL9">
        <v>7.8021999999999994E-2</v>
      </c>
      <c r="UM9" t="s">
        <v>1599</v>
      </c>
      <c r="UN9">
        <v>2025</v>
      </c>
      <c r="UO9" t="s">
        <v>2686</v>
      </c>
      <c r="UP9" s="6">
        <v>45897</v>
      </c>
      <c r="UQ9">
        <v>5</v>
      </c>
      <c r="UR9">
        <v>13968312</v>
      </c>
      <c r="US9">
        <v>100436</v>
      </c>
      <c r="UT9" t="s">
        <v>2644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784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785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786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787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788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789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790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791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792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793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794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795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796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797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798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799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800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801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802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803</v>
      </c>
      <c r="AE2" s="3" t="s">
        <v>804</v>
      </c>
      <c r="BI2" s="3" t="s">
        <v>805</v>
      </c>
      <c r="CM2" s="3" t="s">
        <v>206</v>
      </c>
      <c r="DQ2" s="3" t="s">
        <v>806</v>
      </c>
      <c r="EU2" s="3" t="s">
        <v>807</v>
      </c>
      <c r="FY2" s="3" t="s">
        <v>808</v>
      </c>
      <c r="HC2" s="3" t="s">
        <v>78</v>
      </c>
      <c r="IG2" s="3" t="s">
        <v>78</v>
      </c>
      <c r="JK2" s="3" t="s">
        <v>809</v>
      </c>
      <c r="KO2" s="3" t="s">
        <v>745</v>
      </c>
      <c r="LS2" s="3" t="s">
        <v>810</v>
      </c>
      <c r="MW2" s="3" t="s">
        <v>811</v>
      </c>
      <c r="OA2" s="3" t="s">
        <v>24</v>
      </c>
      <c r="PE2" s="3" t="s">
        <v>273</v>
      </c>
      <c r="QI2" s="3" t="s">
        <v>437</v>
      </c>
      <c r="RM2" s="3" t="s">
        <v>208</v>
      </c>
      <c r="SQ2" s="3" t="s">
        <v>812</v>
      </c>
      <c r="TU2" s="3" t="s">
        <v>813</v>
      </c>
      <c r="UY2" s="3" t="s">
        <v>271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_xll.BDS("166783Q US Equity","SUPPLY_CHAIN_SUPPLIERS_ALL_DATA")</f>
        <v>#N/A N/A</v>
      </c>
      <c r="O5" t="str">
        <f>_xll.BDS("166783Q US Equity","SUPPLY_CHAIN_CUSTOMERS_ALL_DATA")</f>
        <v>#N/A N/A</v>
      </c>
      <c r="AE5" t="str">
        <f>_xll.BDS("ADELQ US Equity","SUPPLY_CHAIN_SUPPLIERS_ALL_DATA")</f>
        <v>#N/A N/A</v>
      </c>
      <c r="AS5" t="str">
        <f>_xll.BDS("ADELQ US Equity","SUPPLY_CHAIN_CUSTOMERS_ALL_DATA")</f>
        <v>#N/A N/A</v>
      </c>
      <c r="BI5" t="str">
        <f>_xll.BDS("MRCHQ US Equity","SUPPLY_CHAIN_SUPPLIERS_ALL_DATA")</f>
        <v>#N/A N/A</v>
      </c>
      <c r="BW5" t="str">
        <f>_xll.BDS("MRCHQ US Equity","SUPPLY_CHAIN_CUSTOMERS_ALL_DATA")</f>
        <v>#N/A N/A</v>
      </c>
      <c r="CM5" t="str">
        <f>_xll.BDS("LHX US Equity","SUPPLY_CHAIN_SUPPLIERS_ALL_DATA","cols=12;rows=5")</f>
        <v>HON US Equity</v>
      </c>
      <c r="CN5" t="s">
        <v>1598</v>
      </c>
      <c r="CO5">
        <v>0.21166299999999999</v>
      </c>
      <c r="CP5">
        <v>0.55468300000000004</v>
      </c>
      <c r="CQ5" t="s">
        <v>1664</v>
      </c>
      <c r="CR5">
        <v>2025</v>
      </c>
      <c r="CS5" t="s">
        <v>2180</v>
      </c>
      <c r="CT5" s="6">
        <v>45898</v>
      </c>
      <c r="CU5">
        <v>5</v>
      </c>
      <c r="CV5">
        <v>21911354</v>
      </c>
      <c r="CW5">
        <v>100043</v>
      </c>
      <c r="CX5" t="s">
        <v>2181</v>
      </c>
      <c r="DA5" t="str">
        <f>_xll.BDS("LHX US Equity","SUPPLY_CHAIN_CUSTOMERS_ALL_DATA","cols=12;rows=5")</f>
        <v>3352Z US Equity</v>
      </c>
      <c r="DB5">
        <v>75</v>
      </c>
      <c r="DD5">
        <v>-2.4245362661989844E-14</v>
      </c>
      <c r="DE5" t="s">
        <v>1594</v>
      </c>
      <c r="DF5">
        <v>2025</v>
      </c>
      <c r="DG5" t="s">
        <v>5578</v>
      </c>
      <c r="DH5" s="6">
        <v>46065</v>
      </c>
      <c r="DI5">
        <v>5</v>
      </c>
      <c r="DJ5">
        <v>4099687424</v>
      </c>
      <c r="DK5">
        <v>218252</v>
      </c>
      <c r="DL5" t="s">
        <v>1622</v>
      </c>
      <c r="DQ5" t="str">
        <f>_xll.BDS("ATHMQ US Equity","SUPPLY_CHAIN_SUPPLIERS_ALL_DATA","cols=12;rows=1")</f>
        <v>004410 KS Equity</v>
      </c>
      <c r="DS5">
        <v>-2.4245362661989844E-14</v>
      </c>
      <c r="DT5">
        <v>-2.4245362661989844E-14</v>
      </c>
      <c r="DU5" t="s">
        <v>2469</v>
      </c>
      <c r="DV5">
        <v>2022</v>
      </c>
      <c r="DW5" t="s">
        <v>3955</v>
      </c>
      <c r="DX5" s="6">
        <v>44785</v>
      </c>
      <c r="DY5">
        <v>1</v>
      </c>
      <c r="DZ5">
        <v>-2.4245362661989844E-14</v>
      </c>
      <c r="EA5">
        <v>129381</v>
      </c>
      <c r="EB5" t="s">
        <v>3956</v>
      </c>
      <c r="EE5" t="str">
        <f>_xll.BDS("ATHMQ US Equity","SUPPLY_CHAIN_CUSTOMERS_ALL_DATA")</f>
        <v>#N/A N/A</v>
      </c>
      <c r="EU5" t="str">
        <f>_xll.BDS("8394653Q US Equity","SUPPLY_CHAIN_SUPPLIERS_ALL_DATA")</f>
        <v>#N/A N/A</v>
      </c>
      <c r="FI5" t="str">
        <f>_xll.BDS("8394653Q US Equity","SUPPLY_CHAIN_CUSTOMERS_ALL_DATA")</f>
        <v>#N/A N/A</v>
      </c>
      <c r="FY5" t="str">
        <f>_xll.BDS("XEL US Equity","SUPPLY_CHAIN_SUPPLIERS_ALL_DATA","cols=12;rows=5")</f>
        <v>PWR US Equity</v>
      </c>
      <c r="FZ5" t="s">
        <v>1634</v>
      </c>
      <c r="GA5">
        <v>2.5798559999999999</v>
      </c>
      <c r="GB5">
        <v>6.4402790000000003</v>
      </c>
      <c r="GC5" t="s">
        <v>1599</v>
      </c>
      <c r="GD5">
        <v>2025</v>
      </c>
      <c r="GE5" t="s">
        <v>2321</v>
      </c>
      <c r="GF5" s="6">
        <v>45975</v>
      </c>
      <c r="GG5">
        <v>5</v>
      </c>
      <c r="GH5">
        <v>196879344</v>
      </c>
      <c r="GI5">
        <v>305366</v>
      </c>
      <c r="GJ5" t="s">
        <v>2322</v>
      </c>
      <c r="GM5" t="str">
        <f>_xll.BDS("XEL US Equity","SUPPLY_CHAIN_CUSTOMERS_ALL_DATA","cols=12;rows=5")</f>
        <v>000150 KS Equity</v>
      </c>
      <c r="GN5">
        <v>-2.4245362661989844E-14</v>
      </c>
      <c r="GP5">
        <v>-2.4245362661989844E-14</v>
      </c>
      <c r="GQ5" t="s">
        <v>1594</v>
      </c>
      <c r="GR5">
        <v>2021</v>
      </c>
      <c r="GS5" t="s">
        <v>2731</v>
      </c>
      <c r="GT5" s="6">
        <v>44693</v>
      </c>
      <c r="GU5">
        <v>5</v>
      </c>
      <c r="GV5">
        <v>-2.4245362661989844E-14</v>
      </c>
      <c r="GW5">
        <v>117832</v>
      </c>
      <c r="GX5" t="s">
        <v>2732</v>
      </c>
      <c r="HC5" t="str">
        <f>_xll.BDS("nan Equity","SUPPLY_CHAIN_SUPPLIERS_ALL_DATA")</f>
        <v>#N/A N/A</v>
      </c>
      <c r="HQ5" t="str">
        <f>_xll.BDS("nan Equity","SUPPLY_CHAIN_CUSTOMERS_ALL_DATA")</f>
        <v>#N/A N/A</v>
      </c>
      <c r="IG5" t="str">
        <f>_xll.BDS("nan Equity","SUPPLY_CHAIN_SUPPLIERS_ALL_DATA")</f>
        <v>#N/A N/A</v>
      </c>
      <c r="IU5" t="str">
        <f>_xll.BDS("nan Equity","SUPPLY_CHAIN_CUSTOMERS_ALL_DATA")</f>
        <v>#N/A N/A</v>
      </c>
      <c r="JK5" t="str">
        <f>_xll.BDS("ATBA AV Equity","SUPPLY_CHAIN_SUPPLIERS_ALL_DATA","cols=12;rows=5")</f>
        <v>000676 CH Equity</v>
      </c>
      <c r="JM5">
        <v>-2.4245362661989844E-14</v>
      </c>
      <c r="JN5">
        <v>-2.4245362661989844E-14</v>
      </c>
      <c r="JO5" t="s">
        <v>1792</v>
      </c>
      <c r="JP5">
        <v>2025</v>
      </c>
      <c r="JQ5" t="s">
        <v>4620</v>
      </c>
      <c r="JR5" s="6">
        <v>45896</v>
      </c>
      <c r="JS5">
        <v>5</v>
      </c>
      <c r="JT5">
        <v>-2.4245362661989844E-14</v>
      </c>
      <c r="JU5">
        <v>193970</v>
      </c>
      <c r="JV5" t="s">
        <v>4621</v>
      </c>
      <c r="JY5" t="str">
        <f>_xll.BDS("ATBA AV Equity","SUPPLY_CHAIN_CUSTOMERS_ALL_DATA","cols=12;rows=5")</f>
        <v>066570 KS Equity</v>
      </c>
      <c r="JZ5">
        <v>-2.4245362661989844E-14</v>
      </c>
      <c r="KB5">
        <v>-2.4245362661989844E-14</v>
      </c>
      <c r="KC5" t="s">
        <v>1594</v>
      </c>
      <c r="KD5">
        <v>2025</v>
      </c>
      <c r="KE5" t="s">
        <v>4216</v>
      </c>
      <c r="KF5" s="6">
        <v>45757</v>
      </c>
      <c r="KG5">
        <v>5</v>
      </c>
      <c r="KH5">
        <v>-2.4245362661989844E-14</v>
      </c>
      <c r="KI5">
        <v>7583418</v>
      </c>
      <c r="KJ5" t="s">
        <v>1601</v>
      </c>
      <c r="KO5" t="str">
        <f>_xll.BDS("GE US Equity","SUPPLY_CHAIN_SUPPLIERS_ALL_DATA","cols=12;rows=5")</f>
        <v>SAF FP Equity</v>
      </c>
      <c r="KP5" t="s">
        <v>1598</v>
      </c>
      <c r="KQ5">
        <v>7.9101749999999997</v>
      </c>
      <c r="KR5">
        <v>9.7364909999999991</v>
      </c>
      <c r="KS5" t="s">
        <v>1664</v>
      </c>
      <c r="KT5">
        <v>2025</v>
      </c>
      <c r="KU5" t="s">
        <v>2132</v>
      </c>
      <c r="KV5" s="6">
        <v>45874</v>
      </c>
      <c r="KW5">
        <v>5</v>
      </c>
      <c r="KX5">
        <v>666294015.34000003</v>
      </c>
      <c r="KY5">
        <v>115519</v>
      </c>
      <c r="KZ5" t="s">
        <v>2133</v>
      </c>
      <c r="LC5" t="str">
        <f>_xll.BDS("GE US Equity","SUPPLY_CHAIN_CUSTOMERS_ALL_DATA","cols=12;rows=5")</f>
        <v>3352Z US Equity</v>
      </c>
      <c r="LD5">
        <v>10</v>
      </c>
      <c r="LF5">
        <v>-2.4245362661989844E-14</v>
      </c>
      <c r="LG5" t="s">
        <v>1594</v>
      </c>
      <c r="LH5">
        <v>2025</v>
      </c>
      <c r="LI5" t="s">
        <v>1957</v>
      </c>
      <c r="LJ5" s="6">
        <v>46051</v>
      </c>
      <c r="LK5">
        <v>5</v>
      </c>
      <c r="LL5">
        <v>1146375040</v>
      </c>
      <c r="LM5">
        <v>218252</v>
      </c>
      <c r="LN5" t="s">
        <v>1622</v>
      </c>
      <c r="LS5" t="str">
        <f>_xll.BDS("AES US Equity","SUPPLY_CHAIN_SUPPLIERS_ALL_DATA","cols=12;rows=5")</f>
        <v>FLNC US Equity</v>
      </c>
      <c r="LT5" t="s">
        <v>1634</v>
      </c>
      <c r="LU5">
        <v>38.317962999999999</v>
      </c>
      <c r="LV5">
        <v>10.071903000000001</v>
      </c>
      <c r="LW5" t="s">
        <v>1603</v>
      </c>
      <c r="LX5">
        <v>2026</v>
      </c>
      <c r="LY5" t="s">
        <v>4229</v>
      </c>
      <c r="LZ5" s="6">
        <v>46057</v>
      </c>
      <c r="MA5">
        <v>5</v>
      </c>
      <c r="MB5">
        <v>182100000</v>
      </c>
      <c r="MC5">
        <v>69755265</v>
      </c>
      <c r="MD5" t="s">
        <v>3123</v>
      </c>
      <c r="MG5" t="str">
        <f>_xll.BDS("AES US Equity","SUPPLY_CHAIN_CUSTOMERS_ALL_DATA","cols=12;rows=5")</f>
        <v>PE&amp;OLES* MM Equity</v>
      </c>
      <c r="MH5">
        <v>1.093019</v>
      </c>
      <c r="MI5" t="s">
        <v>1598</v>
      </c>
      <c r="MJ5">
        <v>2.7068530000000002</v>
      </c>
      <c r="MK5" t="s">
        <v>1594</v>
      </c>
      <c r="ML5">
        <v>2024</v>
      </c>
      <c r="MM5" t="s">
        <v>5187</v>
      </c>
      <c r="MN5" s="6">
        <v>45775</v>
      </c>
      <c r="MO5">
        <v>5</v>
      </c>
      <c r="MP5">
        <v>33115740</v>
      </c>
      <c r="MQ5">
        <v>158161</v>
      </c>
      <c r="MR5" t="s">
        <v>5188</v>
      </c>
      <c r="MW5" t="str">
        <f>_xll.BDS("PSA US Equity","SUPPLY_CHAIN_SUPPLIERS_ALL_DATA","cols=12;rows=4")</f>
        <v>1347L US Equity</v>
      </c>
      <c r="MY5">
        <v>-2.4245362661989844E-14</v>
      </c>
      <c r="MZ5">
        <v>-2.4245362661989844E-14</v>
      </c>
      <c r="NA5" t="s">
        <v>1594</v>
      </c>
      <c r="NB5">
        <v>2023</v>
      </c>
      <c r="NC5" t="s">
        <v>4022</v>
      </c>
      <c r="ND5" s="6">
        <v>45182</v>
      </c>
      <c r="NE5">
        <v>4</v>
      </c>
      <c r="NF5">
        <v>-2.4245362661989844E-14</v>
      </c>
      <c r="NG5">
        <v>958988</v>
      </c>
      <c r="NH5" t="s">
        <v>4023</v>
      </c>
      <c r="NK5" t="str">
        <f>_xll.BDS("PSA US Equity","SUPPLY_CHAIN_CUSTOMERS_ALL_DATA")</f>
        <v>#N/A N/A</v>
      </c>
      <c r="OA5" t="str">
        <f>_xll.BDS("PFE US Equity","SUPPLY_CHAIN_SUPPLIERS_ALL_DATA","cols=12;rows=5")</f>
        <v>BNTX US Equity</v>
      </c>
      <c r="OB5" t="s">
        <v>1598</v>
      </c>
      <c r="OC5">
        <v>73</v>
      </c>
      <c r="OD5">
        <v>12.187704999999999</v>
      </c>
      <c r="OE5" t="s">
        <v>1594</v>
      </c>
      <c r="OF5">
        <v>2024</v>
      </c>
      <c r="OG5" t="s">
        <v>3345</v>
      </c>
      <c r="OH5" s="6">
        <v>45726</v>
      </c>
      <c r="OI5">
        <v>5</v>
      </c>
      <c r="OJ5">
        <v>544064265</v>
      </c>
      <c r="OK5">
        <v>65839686</v>
      </c>
      <c r="OL5" t="s">
        <v>3346</v>
      </c>
      <c r="OO5" t="str">
        <f>_xll.BDS("PFE US Equity","SUPPLY_CHAIN_CUSTOMERS_ALL_DATA","cols=12;rows=5")</f>
        <v>MCK US Equity</v>
      </c>
      <c r="OP5">
        <v>25</v>
      </c>
      <c r="OQ5" t="s">
        <v>1598</v>
      </c>
      <c r="OR5">
        <v>4.0761390000000004</v>
      </c>
      <c r="OS5" t="s">
        <v>1594</v>
      </c>
      <c r="OT5">
        <v>2025</v>
      </c>
      <c r="OU5" t="s">
        <v>2824</v>
      </c>
      <c r="OV5" s="6">
        <v>46079</v>
      </c>
      <c r="OW5">
        <v>5</v>
      </c>
      <c r="OX5">
        <v>3911187456</v>
      </c>
      <c r="OY5">
        <v>154936</v>
      </c>
      <c r="OZ5" t="s">
        <v>1766</v>
      </c>
      <c r="PE5" t="str">
        <f>_xll.BDS("MS US Equity","SUPPLY_CHAIN_SUPPLIERS_ALL_DATA","cols=12;rows=5")</f>
        <v>DLR US Equity</v>
      </c>
      <c r="PF5" t="s">
        <v>1685</v>
      </c>
      <c r="PG5">
        <v>0.65346000000000004</v>
      </c>
      <c r="PH5">
        <v>9.1481999999999994E-2</v>
      </c>
      <c r="PI5" t="s">
        <v>1594</v>
      </c>
      <c r="PJ5">
        <v>2025</v>
      </c>
      <c r="PK5" t="s">
        <v>2044</v>
      </c>
      <c r="PL5" s="6">
        <v>46066</v>
      </c>
      <c r="PM5">
        <v>5</v>
      </c>
      <c r="PN5">
        <v>9986000</v>
      </c>
      <c r="PO5">
        <v>9084002</v>
      </c>
      <c r="PP5" t="s">
        <v>2045</v>
      </c>
      <c r="PS5" t="str">
        <f>_xll.BDS("MS US Equity","SUPPLY_CHAIN_CUSTOMERS_ALL_DATA","cols=12;rows=5")</f>
        <v>012690 KS Equity</v>
      </c>
      <c r="PT5">
        <v>-2.4245362661989844E-14</v>
      </c>
      <c r="PV5">
        <v>-2.4245362661989844E-14</v>
      </c>
      <c r="PW5" t="s">
        <v>2438</v>
      </c>
      <c r="PX5">
        <v>2023</v>
      </c>
      <c r="PY5" t="s">
        <v>2715</v>
      </c>
      <c r="PZ5" s="6">
        <v>45061</v>
      </c>
      <c r="QA5">
        <v>5</v>
      </c>
      <c r="QB5">
        <v>-2.4245362661989844E-14</v>
      </c>
      <c r="QC5">
        <v>129275</v>
      </c>
      <c r="QD5" t="s">
        <v>2716</v>
      </c>
      <c r="QI5" t="str">
        <f>_xll.BDS("EPD US Equity","SUPPLY_CHAIN_SUPPLIERS_ALL_DATA","cols=12;rows=5")</f>
        <v>MTDR US Equity</v>
      </c>
      <c r="QJ5" t="s">
        <v>1598</v>
      </c>
      <c r="QK5">
        <v>11</v>
      </c>
      <c r="QL5">
        <v>0.78312800000000005</v>
      </c>
      <c r="QM5" t="s">
        <v>1594</v>
      </c>
      <c r="QN5">
        <v>2024</v>
      </c>
      <c r="QO5" t="s">
        <v>2315</v>
      </c>
      <c r="QP5" s="6">
        <v>45713</v>
      </c>
      <c r="QQ5">
        <v>5</v>
      </c>
      <c r="QR5">
        <v>96021256</v>
      </c>
      <c r="QS5">
        <v>15224879</v>
      </c>
      <c r="QT5" t="s">
        <v>2316</v>
      </c>
      <c r="QW5" t="str">
        <f>_xll.BDS("EPD US Equity","SUPPLY_CHAIN_CUSTOMERS_ALL_DATA","cols=12;rows=5")</f>
        <v>62647Z LN Equity</v>
      </c>
      <c r="QX5">
        <v>11.5</v>
      </c>
      <c r="QZ5">
        <v>-2.4245362661989844E-14</v>
      </c>
      <c r="RA5" t="s">
        <v>1594</v>
      </c>
      <c r="RB5">
        <v>2024</v>
      </c>
      <c r="RC5" t="s">
        <v>1928</v>
      </c>
      <c r="RD5" s="6">
        <v>45716</v>
      </c>
      <c r="RE5">
        <v>5</v>
      </c>
      <c r="RF5">
        <v>1612500000</v>
      </c>
      <c r="RG5">
        <v>958757</v>
      </c>
      <c r="RH5" t="s">
        <v>1929</v>
      </c>
      <c r="RM5" t="str">
        <f>_xll.BDS("WM US Equity","SUPPLY_CHAIN_SUPPLIERS_ALL_DATA","cols=12;rows=5")</f>
        <v>CNR CN Equity</v>
      </c>
      <c r="RN5" t="s">
        <v>1598</v>
      </c>
      <c r="RO5">
        <v>0.30433300000000002</v>
      </c>
      <c r="RP5">
        <v>0.25606899999999999</v>
      </c>
      <c r="RQ5" t="s">
        <v>1603</v>
      </c>
      <c r="RR5">
        <v>2025</v>
      </c>
      <c r="RS5" t="s">
        <v>2089</v>
      </c>
      <c r="RT5" s="6">
        <v>45849</v>
      </c>
      <c r="RU5">
        <v>5</v>
      </c>
      <c r="RV5">
        <v>9338736.1799999997</v>
      </c>
      <c r="RW5">
        <v>179551</v>
      </c>
      <c r="RX5" t="s">
        <v>2090</v>
      </c>
      <c r="SA5" t="str">
        <f>_xll.BDS("WM US Equity","SUPPLY_CHAIN_CUSTOMERS_ALL_DATA","cols=12;rows=1")</f>
        <v>FLCM US Equity</v>
      </c>
      <c r="SB5">
        <v>-2.4245362661989844E-14</v>
      </c>
      <c r="SD5">
        <v>-2.4245362661989844E-14</v>
      </c>
      <c r="SE5" t="s">
        <v>1664</v>
      </c>
      <c r="SF5">
        <v>2024</v>
      </c>
      <c r="SG5" t="s">
        <v>3644</v>
      </c>
      <c r="SH5" s="6">
        <v>45546</v>
      </c>
      <c r="SI5">
        <v>1</v>
      </c>
      <c r="SJ5">
        <v>-2.4245362661989844E-14</v>
      </c>
      <c r="SK5">
        <v>27386014</v>
      </c>
      <c r="SL5" t="s">
        <v>3645</v>
      </c>
      <c r="SQ5" t="str">
        <f>_xll.BDS("AMAT US Equity","SUPPLY_CHAIN_SUPPLIERS_ALL_DATA","cols=12;rows=5")</f>
        <v>UCTT US Equity</v>
      </c>
      <c r="SR5" t="s">
        <v>1598</v>
      </c>
      <c r="SS5">
        <v>21.700001</v>
      </c>
      <c r="ST5">
        <v>3.0809289999999998</v>
      </c>
      <c r="SU5" t="s">
        <v>1594</v>
      </c>
      <c r="SV5">
        <v>2025</v>
      </c>
      <c r="SW5" t="s">
        <v>3322</v>
      </c>
      <c r="SX5" s="6">
        <v>46076</v>
      </c>
      <c r="SY5">
        <v>5</v>
      </c>
      <c r="SZ5">
        <v>111429504</v>
      </c>
      <c r="TA5">
        <v>8597928</v>
      </c>
      <c r="TB5" t="s">
        <v>3323</v>
      </c>
      <c r="TE5" t="str">
        <f>_xll.BDS("AMAT US Equity","SUPPLY_CHAIN_CUSTOMERS_ALL_DATA","cols=12;rows=5")</f>
        <v>2330 TT Equity</v>
      </c>
      <c r="TF5">
        <v>18</v>
      </c>
      <c r="TG5" t="s">
        <v>1634</v>
      </c>
      <c r="TH5">
        <v>15.083428</v>
      </c>
      <c r="TI5" t="s">
        <v>2469</v>
      </c>
      <c r="TJ5">
        <v>2025</v>
      </c>
      <c r="TK5" t="s">
        <v>5983</v>
      </c>
      <c r="TL5" s="6">
        <v>45799</v>
      </c>
      <c r="TM5">
        <v>5</v>
      </c>
      <c r="TN5">
        <v>1283939968</v>
      </c>
      <c r="TO5">
        <v>153737</v>
      </c>
      <c r="TP5" t="s">
        <v>2584</v>
      </c>
      <c r="TU5" t="str">
        <f>_xll.BDS("1051665D US Equity","SUPPLY_CHAIN_SUPPLIERS_ALL_DATA")</f>
        <v>#N/A N/A</v>
      </c>
      <c r="UI5" t="str">
        <f>_xll.BDS("1051665D US Equity","SUPPLY_CHAIN_CUSTOMERS_ALL_DATA")</f>
        <v>#N/A N/A</v>
      </c>
      <c r="UY5" t="str">
        <f>_xll.BDS("ELV US Equity","SUPPLY_CHAIN_SUPPLIERS_ALL_DATA","cols=12;rows=5")</f>
        <v>HNGE US Equity</v>
      </c>
      <c r="UZ5" t="s">
        <v>1598</v>
      </c>
      <c r="VA5">
        <v>13.8</v>
      </c>
      <c r="VB5">
        <v>4.8899999999999999E-2</v>
      </c>
      <c r="VC5" t="s">
        <v>1599</v>
      </c>
      <c r="VD5">
        <v>2025</v>
      </c>
      <c r="VE5" t="s">
        <v>3340</v>
      </c>
      <c r="VF5" s="6">
        <v>45968</v>
      </c>
      <c r="VG5">
        <v>5</v>
      </c>
      <c r="VH5">
        <v>21281118</v>
      </c>
      <c r="VI5">
        <v>54419104</v>
      </c>
      <c r="VJ5" t="s">
        <v>3341</v>
      </c>
      <c r="VM5" t="str">
        <f>_xll.BDS("ELV US Equity","SUPPLY_CHAIN_CUSTOMERS_ALL_DATA","cols=12;rows=5")</f>
        <v>3352Z US Equity</v>
      </c>
      <c r="VN5">
        <v>31</v>
      </c>
      <c r="VP5">
        <v>-2.4245362661989844E-14</v>
      </c>
      <c r="VQ5" t="s">
        <v>1594</v>
      </c>
      <c r="VR5">
        <v>2024</v>
      </c>
      <c r="VS5" t="s">
        <v>2811</v>
      </c>
      <c r="VT5" s="6">
        <v>45708</v>
      </c>
      <c r="VU5">
        <v>5</v>
      </c>
      <c r="VV5">
        <v>13718352896</v>
      </c>
      <c r="VW5">
        <v>218252</v>
      </c>
      <c r="VX5" t="s">
        <v>1622</v>
      </c>
    </row>
    <row r="6" spans="1:600" x14ac:dyDescent="0.25">
      <c r="CM6" t="s">
        <v>2185</v>
      </c>
      <c r="CN6" t="s">
        <v>1598</v>
      </c>
      <c r="CO6">
        <v>2.5126179999999998</v>
      </c>
      <c r="CP6">
        <v>0.47878900000000002</v>
      </c>
      <c r="CQ6" t="s">
        <v>1599</v>
      </c>
      <c r="CR6">
        <v>2025</v>
      </c>
      <c r="CS6" t="s">
        <v>2186</v>
      </c>
      <c r="CT6" s="6">
        <v>46001</v>
      </c>
      <c r="CU6">
        <v>5</v>
      </c>
      <c r="CV6">
        <v>18913380</v>
      </c>
      <c r="CW6">
        <v>1182195</v>
      </c>
      <c r="CX6" t="s">
        <v>2187</v>
      </c>
      <c r="DA6" t="s">
        <v>1628</v>
      </c>
      <c r="DB6">
        <v>4.0109130000000004</v>
      </c>
      <c r="DC6" t="s">
        <v>1598</v>
      </c>
      <c r="DD6">
        <v>1.232105</v>
      </c>
      <c r="DE6" t="s">
        <v>1664</v>
      </c>
      <c r="DF6">
        <v>2025</v>
      </c>
      <c r="DG6" t="s">
        <v>5579</v>
      </c>
      <c r="DH6" s="6">
        <v>45897</v>
      </c>
      <c r="DI6">
        <v>5</v>
      </c>
      <c r="DJ6">
        <v>213831792</v>
      </c>
      <c r="DK6">
        <v>156923</v>
      </c>
      <c r="DL6" t="s">
        <v>1630</v>
      </c>
      <c r="FY6" t="s">
        <v>3115</v>
      </c>
      <c r="FZ6" t="s">
        <v>1598</v>
      </c>
      <c r="GA6">
        <v>0.43843300000000002</v>
      </c>
      <c r="GB6">
        <v>4.3871310000000001</v>
      </c>
      <c r="GC6" t="s">
        <v>1651</v>
      </c>
      <c r="GD6">
        <v>2025</v>
      </c>
      <c r="GE6" t="s">
        <v>3116</v>
      </c>
      <c r="GF6" s="6">
        <v>45975</v>
      </c>
      <c r="GG6">
        <v>5</v>
      </c>
      <c r="GH6">
        <v>54360762.329999998</v>
      </c>
      <c r="GI6">
        <v>51678326</v>
      </c>
      <c r="GJ6" t="s">
        <v>3117</v>
      </c>
      <c r="GM6" t="s">
        <v>2733</v>
      </c>
      <c r="GN6">
        <v>-2.4245362661989844E-14</v>
      </c>
      <c r="GP6">
        <v>-2.4245362661989844E-14</v>
      </c>
      <c r="GQ6" t="s">
        <v>1594</v>
      </c>
      <c r="GR6">
        <v>2021</v>
      </c>
      <c r="GS6" t="s">
        <v>2731</v>
      </c>
      <c r="GT6" s="6">
        <v>44693</v>
      </c>
      <c r="GU6">
        <v>5</v>
      </c>
      <c r="GV6">
        <v>-2.4245362661989844E-14</v>
      </c>
      <c r="GW6">
        <v>178779</v>
      </c>
      <c r="GX6" t="s">
        <v>2734</v>
      </c>
      <c r="JK6" t="s">
        <v>4622</v>
      </c>
      <c r="JM6">
        <v>-2.4245362661989844E-14</v>
      </c>
      <c r="JN6">
        <v>-2.4245362661989844E-14</v>
      </c>
      <c r="JO6" t="s">
        <v>2469</v>
      </c>
      <c r="JP6">
        <v>2023</v>
      </c>
      <c r="JQ6" t="s">
        <v>4623</v>
      </c>
      <c r="JR6" s="6">
        <v>45152</v>
      </c>
      <c r="JS6">
        <v>5</v>
      </c>
      <c r="JT6">
        <v>-2.4245362661989844E-14</v>
      </c>
      <c r="JU6">
        <v>9996300</v>
      </c>
      <c r="JV6" t="s">
        <v>4624</v>
      </c>
      <c r="JY6" t="s">
        <v>4217</v>
      </c>
      <c r="JZ6">
        <v>-2.4245362661989844E-14</v>
      </c>
      <c r="KB6">
        <v>-2.4245362661989844E-14</v>
      </c>
      <c r="KC6" t="s">
        <v>1651</v>
      </c>
      <c r="KD6">
        <v>2022</v>
      </c>
      <c r="KE6" t="s">
        <v>4218</v>
      </c>
      <c r="KF6" s="6">
        <v>44916</v>
      </c>
      <c r="KG6">
        <v>5</v>
      </c>
      <c r="KH6">
        <v>-2.4245362661989844E-14</v>
      </c>
      <c r="KI6">
        <v>7312672</v>
      </c>
      <c r="KJ6" t="s">
        <v>4219</v>
      </c>
      <c r="KO6" t="s">
        <v>2628</v>
      </c>
      <c r="KP6" t="s">
        <v>1598</v>
      </c>
      <c r="KQ6">
        <v>13.760432</v>
      </c>
      <c r="KR6">
        <v>4.7536569999999996</v>
      </c>
      <c r="KS6" t="s">
        <v>1664</v>
      </c>
      <c r="KT6">
        <v>2025</v>
      </c>
      <c r="KU6" t="s">
        <v>2629</v>
      </c>
      <c r="KV6" s="6">
        <v>45937</v>
      </c>
      <c r="KW6">
        <v>5</v>
      </c>
      <c r="KX6">
        <v>325305405.77999997</v>
      </c>
      <c r="KY6">
        <v>8445936</v>
      </c>
      <c r="KZ6" t="s">
        <v>2630</v>
      </c>
      <c r="LC6" t="s">
        <v>872</v>
      </c>
      <c r="LD6">
        <v>9.2636719999999997</v>
      </c>
      <c r="LE6" t="s">
        <v>1598</v>
      </c>
      <c r="LF6">
        <v>5.0267530000000002</v>
      </c>
      <c r="LG6" t="s">
        <v>1664</v>
      </c>
      <c r="LH6">
        <v>2025</v>
      </c>
      <c r="LI6" t="s">
        <v>1958</v>
      </c>
      <c r="LJ6" s="6">
        <v>45888</v>
      </c>
      <c r="LK6">
        <v>5</v>
      </c>
      <c r="LL6">
        <v>1021134592</v>
      </c>
      <c r="LM6">
        <v>100211</v>
      </c>
      <c r="LN6" t="s">
        <v>1632</v>
      </c>
      <c r="LS6" t="s">
        <v>2320</v>
      </c>
      <c r="LT6" t="s">
        <v>1634</v>
      </c>
      <c r="LU6">
        <v>1.423424</v>
      </c>
      <c r="LV6">
        <v>6.0081470000000001</v>
      </c>
      <c r="LW6" t="s">
        <v>1599</v>
      </c>
      <c r="LX6">
        <v>2025</v>
      </c>
      <c r="LY6" t="s">
        <v>2321</v>
      </c>
      <c r="LZ6" s="6">
        <v>45975</v>
      </c>
      <c r="MA6">
        <v>5</v>
      </c>
      <c r="MB6">
        <v>108627296</v>
      </c>
      <c r="MC6">
        <v>305366</v>
      </c>
      <c r="MD6" t="s">
        <v>2322</v>
      </c>
      <c r="MG6" t="s">
        <v>1875</v>
      </c>
      <c r="MH6">
        <v>0.45574900000000002</v>
      </c>
      <c r="MI6" t="s">
        <v>1598</v>
      </c>
      <c r="MJ6">
        <v>6.0069999999999998E-2</v>
      </c>
      <c r="MK6" t="s">
        <v>1603</v>
      </c>
      <c r="ML6">
        <v>2026</v>
      </c>
      <c r="MM6" t="s">
        <v>1876</v>
      </c>
      <c r="MN6" s="6">
        <v>45898</v>
      </c>
      <c r="MO6">
        <v>5</v>
      </c>
      <c r="MP6">
        <v>12745893.34</v>
      </c>
      <c r="MQ6">
        <v>112370</v>
      </c>
      <c r="MR6" t="s">
        <v>1877</v>
      </c>
      <c r="MW6" t="s">
        <v>4024</v>
      </c>
      <c r="MY6">
        <v>-2.4245362661989844E-14</v>
      </c>
      <c r="MZ6">
        <v>-2.4245362661989844E-14</v>
      </c>
      <c r="NA6" t="s">
        <v>1594</v>
      </c>
      <c r="NB6">
        <v>2023</v>
      </c>
      <c r="NC6" t="s">
        <v>4022</v>
      </c>
      <c r="ND6" s="6">
        <v>45182</v>
      </c>
      <c r="NE6">
        <v>4</v>
      </c>
      <c r="NF6">
        <v>-2.4245362661989844E-14</v>
      </c>
      <c r="NG6">
        <v>925231</v>
      </c>
      <c r="NH6" t="s">
        <v>4025</v>
      </c>
      <c r="OA6" t="s">
        <v>143</v>
      </c>
      <c r="OB6" t="s">
        <v>1598</v>
      </c>
      <c r="OC6">
        <v>0.22900000000000001</v>
      </c>
      <c r="OD6">
        <v>1.2800659999999999</v>
      </c>
      <c r="OE6" t="s">
        <v>1606</v>
      </c>
      <c r="OF6">
        <v>2025</v>
      </c>
      <c r="OG6" t="s">
        <v>2251</v>
      </c>
      <c r="OH6" s="6">
        <v>45848</v>
      </c>
      <c r="OI6">
        <v>5</v>
      </c>
      <c r="OJ6">
        <v>36417872</v>
      </c>
      <c r="OK6">
        <v>101752</v>
      </c>
      <c r="OL6" t="s">
        <v>2265</v>
      </c>
      <c r="OO6" t="s">
        <v>959</v>
      </c>
      <c r="OP6">
        <v>16</v>
      </c>
      <c r="OQ6" t="s">
        <v>1598</v>
      </c>
      <c r="OR6">
        <v>3.190922</v>
      </c>
      <c r="OS6" t="s">
        <v>1594</v>
      </c>
      <c r="OT6">
        <v>2025</v>
      </c>
      <c r="OU6" t="s">
        <v>2824</v>
      </c>
      <c r="OV6" s="6">
        <v>46079</v>
      </c>
      <c r="OW6">
        <v>5</v>
      </c>
      <c r="OX6">
        <v>2503160064</v>
      </c>
      <c r="OY6">
        <v>156969</v>
      </c>
      <c r="OZ6" t="s">
        <v>1767</v>
      </c>
      <c r="PE6" t="s">
        <v>3082</v>
      </c>
      <c r="PF6" t="s">
        <v>1685</v>
      </c>
      <c r="PG6">
        <v>2.7101419999999998</v>
      </c>
      <c r="PH6">
        <v>5.1628E-2</v>
      </c>
      <c r="PI6" t="s">
        <v>1594</v>
      </c>
      <c r="PJ6">
        <v>2024</v>
      </c>
      <c r="PK6" t="s">
        <v>3083</v>
      </c>
      <c r="PL6" s="6">
        <v>45715</v>
      </c>
      <c r="PM6">
        <v>5</v>
      </c>
      <c r="PN6">
        <v>5132000</v>
      </c>
      <c r="PO6">
        <v>979463</v>
      </c>
      <c r="PP6" t="s">
        <v>3084</v>
      </c>
      <c r="PS6" t="s">
        <v>2717</v>
      </c>
      <c r="PT6">
        <v>-2.4245362661989844E-14</v>
      </c>
      <c r="PV6">
        <v>-2.4245362661989844E-14</v>
      </c>
      <c r="PW6" t="s">
        <v>1651</v>
      </c>
      <c r="PX6">
        <v>2023</v>
      </c>
      <c r="PY6" t="s">
        <v>2718</v>
      </c>
      <c r="PZ6" s="6">
        <v>45244</v>
      </c>
      <c r="QA6">
        <v>5</v>
      </c>
      <c r="QB6">
        <v>-2.4245362661989844E-14</v>
      </c>
      <c r="QC6">
        <v>866472</v>
      </c>
      <c r="QD6" t="s">
        <v>2719</v>
      </c>
      <c r="QI6" t="s">
        <v>2317</v>
      </c>
      <c r="QJ6" t="s">
        <v>1598</v>
      </c>
      <c r="QK6">
        <v>4.7074870000000004</v>
      </c>
      <c r="QL6">
        <v>0.56672500000000003</v>
      </c>
      <c r="QM6" t="s">
        <v>1603</v>
      </c>
      <c r="QN6">
        <v>2025</v>
      </c>
      <c r="QO6" t="s">
        <v>2318</v>
      </c>
      <c r="QP6" s="6">
        <v>45863</v>
      </c>
      <c r="QQ6">
        <v>5</v>
      </c>
      <c r="QR6">
        <v>77584656</v>
      </c>
      <c r="QS6">
        <v>10832677</v>
      </c>
      <c r="QT6" t="s">
        <v>2319</v>
      </c>
      <c r="QW6" t="s">
        <v>1451</v>
      </c>
      <c r="QX6">
        <v>0.57596999999999998</v>
      </c>
      <c r="QY6" t="s">
        <v>1598</v>
      </c>
      <c r="QZ6">
        <v>1.024999</v>
      </c>
      <c r="RA6" t="s">
        <v>1606</v>
      </c>
      <c r="RB6">
        <v>2025</v>
      </c>
      <c r="RC6" t="s">
        <v>1930</v>
      </c>
      <c r="RD6" s="6">
        <v>46076</v>
      </c>
      <c r="RE6">
        <v>5</v>
      </c>
      <c r="RF6">
        <v>69248928</v>
      </c>
      <c r="RG6">
        <v>9932803</v>
      </c>
      <c r="RH6" t="s">
        <v>1931</v>
      </c>
      <c r="RM6" t="s">
        <v>143</v>
      </c>
      <c r="RN6" t="s">
        <v>1598</v>
      </c>
      <c r="RO6">
        <v>5.7038999999999999E-2</v>
      </c>
      <c r="RP6">
        <v>0.248723</v>
      </c>
      <c r="RQ6" t="s">
        <v>1606</v>
      </c>
      <c r="RR6">
        <v>2025</v>
      </c>
      <c r="RS6" t="s">
        <v>2251</v>
      </c>
      <c r="RT6" s="6">
        <v>45848</v>
      </c>
      <c r="RU6">
        <v>5</v>
      </c>
      <c r="RV6">
        <v>9070912</v>
      </c>
      <c r="RW6">
        <v>101752</v>
      </c>
      <c r="RX6" t="s">
        <v>2265</v>
      </c>
      <c r="SQ6" t="s">
        <v>2975</v>
      </c>
      <c r="SR6" t="s">
        <v>1598</v>
      </c>
      <c r="SS6">
        <v>3.0541680000000002</v>
      </c>
      <c r="ST6">
        <v>2.7595510000000001</v>
      </c>
      <c r="SU6" t="s">
        <v>1599</v>
      </c>
      <c r="SV6">
        <v>2025</v>
      </c>
      <c r="SW6" t="s">
        <v>2976</v>
      </c>
      <c r="SX6" s="6">
        <v>46013</v>
      </c>
      <c r="SY6">
        <v>5</v>
      </c>
      <c r="SZ6">
        <v>97550128</v>
      </c>
      <c r="TA6">
        <v>349266</v>
      </c>
      <c r="TB6" t="s">
        <v>2977</v>
      </c>
      <c r="TE6" t="s">
        <v>2376</v>
      </c>
      <c r="TF6">
        <v>17</v>
      </c>
      <c r="TG6" t="s">
        <v>1634</v>
      </c>
      <c r="TH6">
        <v>13.483905</v>
      </c>
      <c r="TI6" t="s">
        <v>2469</v>
      </c>
      <c r="TJ6">
        <v>2025</v>
      </c>
      <c r="TK6" t="s">
        <v>5983</v>
      </c>
      <c r="TL6" s="6">
        <v>45799</v>
      </c>
      <c r="TM6">
        <v>5</v>
      </c>
      <c r="TN6">
        <v>1212610048</v>
      </c>
      <c r="TO6">
        <v>117929</v>
      </c>
      <c r="TP6" t="s">
        <v>2378</v>
      </c>
      <c r="UY6" t="s">
        <v>3342</v>
      </c>
      <c r="UZ6" t="s">
        <v>1685</v>
      </c>
      <c r="VA6">
        <v>31</v>
      </c>
      <c r="VB6">
        <v>0.36833199999999999</v>
      </c>
      <c r="VC6" t="s">
        <v>1594</v>
      </c>
      <c r="VD6">
        <v>2025</v>
      </c>
      <c r="VE6" t="s">
        <v>3343</v>
      </c>
      <c r="VF6" s="6">
        <v>46065</v>
      </c>
      <c r="VG6">
        <v>5</v>
      </c>
      <c r="VH6">
        <v>19322688</v>
      </c>
      <c r="VI6">
        <v>29633010</v>
      </c>
      <c r="VJ6" t="s">
        <v>3344</v>
      </c>
      <c r="VM6" t="s">
        <v>2812</v>
      </c>
      <c r="VN6">
        <v>-2.4245362661989844E-14</v>
      </c>
      <c r="VP6">
        <v>-2.4245362661989844E-14</v>
      </c>
      <c r="VQ6" t="s">
        <v>1594</v>
      </c>
      <c r="VR6">
        <v>2023</v>
      </c>
      <c r="VS6" t="s">
        <v>2813</v>
      </c>
      <c r="VT6" s="6">
        <v>45303</v>
      </c>
      <c r="VU6">
        <v>5</v>
      </c>
      <c r="VV6">
        <v>-2.4245362661989844E-14</v>
      </c>
      <c r="VW6">
        <v>38176982</v>
      </c>
      <c r="VX6" t="s">
        <v>2814</v>
      </c>
    </row>
    <row r="7" spans="1:600" x14ac:dyDescent="0.25">
      <c r="CM7" t="s">
        <v>4147</v>
      </c>
      <c r="CN7" t="s">
        <v>1598</v>
      </c>
      <c r="CO7">
        <v>0.91415500000000005</v>
      </c>
      <c r="CP7">
        <v>0.41992099999999999</v>
      </c>
      <c r="CQ7" t="s">
        <v>1664</v>
      </c>
      <c r="CR7">
        <v>2025</v>
      </c>
      <c r="CS7" t="s">
        <v>4148</v>
      </c>
      <c r="CT7" s="6">
        <v>45903</v>
      </c>
      <c r="CU7">
        <v>5</v>
      </c>
      <c r="CV7">
        <v>16587928</v>
      </c>
      <c r="CW7">
        <v>1184444</v>
      </c>
      <c r="CX7" t="s">
        <v>4149</v>
      </c>
      <c r="DA7" t="s">
        <v>22</v>
      </c>
      <c r="DB7">
        <v>2.3270849999999998</v>
      </c>
      <c r="DC7" t="s">
        <v>1598</v>
      </c>
      <c r="DD7">
        <v>0.72108499999999998</v>
      </c>
      <c r="DE7" t="s">
        <v>1664</v>
      </c>
      <c r="DF7">
        <v>2025</v>
      </c>
      <c r="DG7" t="s">
        <v>5579</v>
      </c>
      <c r="DH7" s="6">
        <v>45897</v>
      </c>
      <c r="DI7">
        <v>5</v>
      </c>
      <c r="DJ7">
        <v>124062720</v>
      </c>
      <c r="DK7">
        <v>101555</v>
      </c>
      <c r="DL7" t="s">
        <v>2130</v>
      </c>
      <c r="FY7" t="s">
        <v>3118</v>
      </c>
      <c r="FZ7" t="s">
        <v>1634</v>
      </c>
      <c r="GA7">
        <v>7.8960840000000001</v>
      </c>
      <c r="GB7">
        <v>2.246038</v>
      </c>
      <c r="GC7" t="s">
        <v>1651</v>
      </c>
      <c r="GD7">
        <v>2025</v>
      </c>
      <c r="GE7" t="s">
        <v>3119</v>
      </c>
      <c r="GF7" s="6">
        <v>45975</v>
      </c>
      <c r="GG7">
        <v>5</v>
      </c>
      <c r="GH7">
        <v>54360762.329999998</v>
      </c>
      <c r="GI7">
        <v>51678308</v>
      </c>
      <c r="GJ7" t="s">
        <v>3120</v>
      </c>
      <c r="GM7" t="s">
        <v>2735</v>
      </c>
      <c r="GN7">
        <v>-2.4245362661989844E-14</v>
      </c>
      <c r="GP7">
        <v>-2.4245362661989844E-14</v>
      </c>
      <c r="GQ7" t="s">
        <v>1594</v>
      </c>
      <c r="GR7">
        <v>2021</v>
      </c>
      <c r="GS7" t="s">
        <v>2731</v>
      </c>
      <c r="GT7" s="6">
        <v>44693</v>
      </c>
      <c r="GU7">
        <v>5</v>
      </c>
      <c r="GV7">
        <v>-2.4245362661989844E-14</v>
      </c>
      <c r="GW7">
        <v>28785114</v>
      </c>
      <c r="GX7" t="s">
        <v>2736</v>
      </c>
      <c r="JK7" t="s">
        <v>4625</v>
      </c>
      <c r="JM7">
        <v>-2.4245362661989844E-14</v>
      </c>
      <c r="JN7">
        <v>-2.4245362661989844E-14</v>
      </c>
      <c r="JO7" t="s">
        <v>1594</v>
      </c>
      <c r="JP7">
        <v>2021</v>
      </c>
      <c r="JQ7" t="s">
        <v>4626</v>
      </c>
      <c r="JR7" s="6">
        <v>44642</v>
      </c>
      <c r="JS7">
        <v>5</v>
      </c>
      <c r="JT7">
        <v>-2.4245362661989844E-14</v>
      </c>
      <c r="JU7">
        <v>27882222</v>
      </c>
      <c r="JV7" t="s">
        <v>4627</v>
      </c>
      <c r="JY7" t="s">
        <v>4220</v>
      </c>
      <c r="JZ7">
        <v>-2.4245362661989844E-14</v>
      </c>
      <c r="KB7">
        <v>-2.4245362661989844E-14</v>
      </c>
      <c r="KC7" t="s">
        <v>1664</v>
      </c>
      <c r="KD7">
        <v>2026</v>
      </c>
      <c r="KE7" t="s">
        <v>4221</v>
      </c>
      <c r="KF7" s="6">
        <v>45974</v>
      </c>
      <c r="KG7">
        <v>5</v>
      </c>
      <c r="KH7">
        <v>-2.4245362661989844E-14</v>
      </c>
      <c r="KI7">
        <v>19060015</v>
      </c>
      <c r="KJ7" t="s">
        <v>4222</v>
      </c>
      <c r="KO7" t="s">
        <v>2631</v>
      </c>
      <c r="KP7" t="s">
        <v>1598</v>
      </c>
      <c r="KQ7">
        <v>11</v>
      </c>
      <c r="KR7">
        <v>3.1337429999999999</v>
      </c>
      <c r="KS7" t="s">
        <v>1594</v>
      </c>
      <c r="KT7">
        <v>2025</v>
      </c>
      <c r="KU7" t="s">
        <v>2632</v>
      </c>
      <c r="KV7" s="6">
        <v>46065</v>
      </c>
      <c r="KW7">
        <v>5</v>
      </c>
      <c r="KX7">
        <v>226930000</v>
      </c>
      <c r="KY7">
        <v>59099358</v>
      </c>
      <c r="KZ7" t="s">
        <v>2633</v>
      </c>
      <c r="LC7" t="s">
        <v>1732</v>
      </c>
      <c r="LD7">
        <v>4.5319979999999997</v>
      </c>
      <c r="LE7" t="s">
        <v>1598</v>
      </c>
      <c r="LF7">
        <v>3.2162160000000002</v>
      </c>
      <c r="LG7" t="s">
        <v>1664</v>
      </c>
      <c r="LH7">
        <v>2025</v>
      </c>
      <c r="LI7" t="s">
        <v>1958</v>
      </c>
      <c r="LJ7" s="6">
        <v>45888</v>
      </c>
      <c r="LK7">
        <v>5</v>
      </c>
      <c r="LL7">
        <v>499562144</v>
      </c>
      <c r="LM7">
        <v>876285</v>
      </c>
      <c r="LN7" t="s">
        <v>1734</v>
      </c>
      <c r="LS7" t="s">
        <v>4230</v>
      </c>
      <c r="LT7" t="s">
        <v>1634</v>
      </c>
      <c r="LU7">
        <v>0.90049999999999997</v>
      </c>
      <c r="LV7">
        <v>1.570532</v>
      </c>
      <c r="LW7" t="s">
        <v>1603</v>
      </c>
      <c r="LX7">
        <v>2025</v>
      </c>
      <c r="LY7" t="s">
        <v>4231</v>
      </c>
      <c r="LZ7" s="6">
        <v>45800</v>
      </c>
      <c r="MA7">
        <v>5</v>
      </c>
      <c r="MB7">
        <v>19690965.510000002</v>
      </c>
      <c r="MC7">
        <v>117928</v>
      </c>
      <c r="MD7" t="s">
        <v>4232</v>
      </c>
      <c r="MG7" t="s">
        <v>5189</v>
      </c>
      <c r="MH7">
        <v>0.25919300000000001</v>
      </c>
      <c r="MI7" t="s">
        <v>1598</v>
      </c>
      <c r="MJ7">
        <v>0.198653</v>
      </c>
      <c r="MK7" t="s">
        <v>1594</v>
      </c>
      <c r="ML7">
        <v>2024</v>
      </c>
      <c r="MM7" t="s">
        <v>5190</v>
      </c>
      <c r="MN7" s="6">
        <v>45854</v>
      </c>
      <c r="MO7">
        <v>5</v>
      </c>
      <c r="MP7">
        <v>8179342.8499999996</v>
      </c>
      <c r="MQ7">
        <v>154566</v>
      </c>
      <c r="MR7" t="s">
        <v>5191</v>
      </c>
      <c r="MW7" t="s">
        <v>4026</v>
      </c>
      <c r="MY7">
        <v>-2.4245362661989844E-14</v>
      </c>
      <c r="MZ7">
        <v>-2.4245362661989844E-14</v>
      </c>
      <c r="NA7" t="s">
        <v>1594</v>
      </c>
      <c r="NB7">
        <v>2023</v>
      </c>
      <c r="NC7" t="s">
        <v>4022</v>
      </c>
      <c r="ND7" s="6">
        <v>45182</v>
      </c>
      <c r="NE7">
        <v>4</v>
      </c>
      <c r="NF7">
        <v>-2.4245362661989844E-14</v>
      </c>
      <c r="NG7">
        <v>898926</v>
      </c>
      <c r="NH7" t="s">
        <v>4027</v>
      </c>
      <c r="OA7" t="s">
        <v>3347</v>
      </c>
      <c r="OB7" t="s">
        <v>1598</v>
      </c>
      <c r="OC7">
        <v>3.7231350000000001</v>
      </c>
      <c r="OD7">
        <v>0.80518199999999995</v>
      </c>
      <c r="OE7" t="s">
        <v>1599</v>
      </c>
      <c r="OF7">
        <v>2025</v>
      </c>
      <c r="OG7" t="s">
        <v>3348</v>
      </c>
      <c r="OH7" s="6">
        <v>46069</v>
      </c>
      <c r="OI7">
        <v>5</v>
      </c>
      <c r="OJ7">
        <v>33600181.100000001</v>
      </c>
      <c r="OK7">
        <v>153809</v>
      </c>
      <c r="OL7" t="s">
        <v>3349</v>
      </c>
      <c r="OO7" t="s">
        <v>618</v>
      </c>
      <c r="OP7">
        <v>13</v>
      </c>
      <c r="OQ7" t="s">
        <v>1598</v>
      </c>
      <c r="OR7">
        <v>3.4525320000000002</v>
      </c>
      <c r="OS7" t="s">
        <v>1594</v>
      </c>
      <c r="OT7">
        <v>2025</v>
      </c>
      <c r="OU7" t="s">
        <v>2824</v>
      </c>
      <c r="OV7" s="6">
        <v>46079</v>
      </c>
      <c r="OW7">
        <v>5</v>
      </c>
      <c r="OX7">
        <v>2033817472</v>
      </c>
      <c r="OY7">
        <v>102782</v>
      </c>
      <c r="OZ7" t="s">
        <v>1626</v>
      </c>
      <c r="PE7" t="s">
        <v>3085</v>
      </c>
      <c r="PF7" t="s">
        <v>1685</v>
      </c>
      <c r="PG7">
        <v>1.1211519999999999</v>
      </c>
      <c r="PH7">
        <v>2.7816E-2</v>
      </c>
      <c r="PI7" t="s">
        <v>1594</v>
      </c>
      <c r="PJ7">
        <v>2024</v>
      </c>
      <c r="PK7" t="s">
        <v>3086</v>
      </c>
      <c r="PL7" s="6">
        <v>45702</v>
      </c>
      <c r="PM7">
        <v>5</v>
      </c>
      <c r="PN7">
        <v>2764979.25</v>
      </c>
      <c r="PO7">
        <v>10858737</v>
      </c>
      <c r="PP7" t="s">
        <v>3087</v>
      </c>
      <c r="PS7" t="s">
        <v>2720</v>
      </c>
      <c r="PT7">
        <v>-2.4245362661989844E-14</v>
      </c>
      <c r="PV7">
        <v>-2.4245362661989844E-14</v>
      </c>
      <c r="PW7" t="s">
        <v>1594</v>
      </c>
      <c r="PX7">
        <v>2025</v>
      </c>
      <c r="PY7" t="s">
        <v>2721</v>
      </c>
      <c r="PZ7" s="6">
        <v>45828</v>
      </c>
      <c r="QA7">
        <v>5</v>
      </c>
      <c r="QB7">
        <v>-2.4245362661989844E-14</v>
      </c>
      <c r="QC7">
        <v>154065</v>
      </c>
      <c r="QD7" t="s">
        <v>2722</v>
      </c>
      <c r="QI7" t="s">
        <v>2320</v>
      </c>
      <c r="QJ7" t="s">
        <v>1634</v>
      </c>
      <c r="QK7">
        <v>0.57097699999999996</v>
      </c>
      <c r="QL7">
        <v>2.229968</v>
      </c>
      <c r="QM7" t="s">
        <v>1599</v>
      </c>
      <c r="QN7">
        <v>2025</v>
      </c>
      <c r="QO7" t="s">
        <v>2321</v>
      </c>
      <c r="QP7" s="6">
        <v>45975</v>
      </c>
      <c r="QQ7">
        <v>5</v>
      </c>
      <c r="QR7">
        <v>43573584</v>
      </c>
      <c r="QS7">
        <v>305366</v>
      </c>
      <c r="QT7" t="s">
        <v>2322</v>
      </c>
      <c r="QW7" t="s">
        <v>1932</v>
      </c>
      <c r="QX7">
        <v>4.0911000000000003E-2</v>
      </c>
      <c r="QY7" t="s">
        <v>1598</v>
      </c>
      <c r="QZ7">
        <v>0.108488</v>
      </c>
      <c r="RA7" t="s">
        <v>1594</v>
      </c>
      <c r="RB7">
        <v>2024</v>
      </c>
      <c r="RC7" t="s">
        <v>1928</v>
      </c>
      <c r="RD7" s="6">
        <v>45716</v>
      </c>
      <c r="RE7">
        <v>5</v>
      </c>
      <c r="RF7">
        <v>5749939</v>
      </c>
      <c r="RG7">
        <v>109548</v>
      </c>
      <c r="RH7" t="s">
        <v>1933</v>
      </c>
      <c r="RM7" t="s">
        <v>3732</v>
      </c>
      <c r="RN7" t="s">
        <v>1634</v>
      </c>
      <c r="RO7">
        <v>0.52299499999999999</v>
      </c>
      <c r="RP7">
        <v>1.0624229999999999</v>
      </c>
      <c r="RQ7" t="s">
        <v>1664</v>
      </c>
      <c r="RR7">
        <v>2025</v>
      </c>
      <c r="RS7" t="s">
        <v>3733</v>
      </c>
      <c r="RT7" s="6">
        <v>45912</v>
      </c>
      <c r="RU7">
        <v>5</v>
      </c>
      <c r="RV7">
        <v>7776936</v>
      </c>
      <c r="RW7">
        <v>101455</v>
      </c>
      <c r="RX7" t="s">
        <v>3734</v>
      </c>
      <c r="SQ7" t="s">
        <v>6004</v>
      </c>
      <c r="SR7" t="s">
        <v>1598</v>
      </c>
      <c r="SS7">
        <v>26</v>
      </c>
      <c r="ST7">
        <v>2.6673879999999999</v>
      </c>
      <c r="SU7" t="s">
        <v>1594</v>
      </c>
      <c r="SV7">
        <v>2024</v>
      </c>
      <c r="SW7" t="s">
        <v>6005</v>
      </c>
      <c r="SX7" s="6">
        <v>45706</v>
      </c>
      <c r="SY7">
        <v>5</v>
      </c>
      <c r="SZ7">
        <v>96332728</v>
      </c>
      <c r="TA7">
        <v>171252</v>
      </c>
      <c r="TB7" t="s">
        <v>6006</v>
      </c>
      <c r="TE7" t="s">
        <v>2585</v>
      </c>
      <c r="TF7">
        <v>3.1587649999999998</v>
      </c>
      <c r="TG7" t="s">
        <v>1634</v>
      </c>
      <c r="TH7">
        <v>4.0765820000000001</v>
      </c>
      <c r="TI7" t="s">
        <v>1599</v>
      </c>
      <c r="TJ7">
        <v>2025</v>
      </c>
      <c r="TK7" t="s">
        <v>3858</v>
      </c>
      <c r="TL7" s="6">
        <v>45931</v>
      </c>
      <c r="TM7">
        <v>5</v>
      </c>
      <c r="TN7">
        <v>230653024</v>
      </c>
      <c r="TO7">
        <v>100995</v>
      </c>
      <c r="TP7" t="s">
        <v>2586</v>
      </c>
      <c r="UY7" t="s">
        <v>620</v>
      </c>
      <c r="UZ7" t="s">
        <v>1598</v>
      </c>
      <c r="VA7">
        <v>0.69203999999999999</v>
      </c>
      <c r="VB7">
        <v>4.3590999999999998E-2</v>
      </c>
      <c r="VC7" t="s">
        <v>1664</v>
      </c>
      <c r="VD7">
        <v>2025</v>
      </c>
      <c r="VE7" t="s">
        <v>2970</v>
      </c>
      <c r="VF7" s="6">
        <v>45891</v>
      </c>
      <c r="VG7">
        <v>5</v>
      </c>
      <c r="VH7">
        <v>18307918</v>
      </c>
      <c r="VI7">
        <v>104597</v>
      </c>
      <c r="VJ7" t="s">
        <v>2971</v>
      </c>
      <c r="VM7" t="s">
        <v>2815</v>
      </c>
      <c r="VN7">
        <v>-2.4245362661989844E-14</v>
      </c>
      <c r="VP7">
        <v>-2.4245362661989844E-14</v>
      </c>
      <c r="VQ7" t="s">
        <v>1594</v>
      </c>
      <c r="VR7">
        <v>2022</v>
      </c>
      <c r="VS7" t="s">
        <v>2816</v>
      </c>
      <c r="VT7" s="6">
        <v>45008</v>
      </c>
      <c r="VU7">
        <v>5</v>
      </c>
      <c r="VV7">
        <v>-2.4245362661989844E-14</v>
      </c>
      <c r="VW7">
        <v>11533366</v>
      </c>
      <c r="VX7" t="s">
        <v>2817</v>
      </c>
    </row>
    <row r="8" spans="1:600" x14ac:dyDescent="0.25">
      <c r="CM8" t="s">
        <v>5909</v>
      </c>
      <c r="CN8" t="s">
        <v>1598</v>
      </c>
      <c r="CO8">
        <v>6.1110550000000003</v>
      </c>
      <c r="CP8">
        <v>0.36025400000000002</v>
      </c>
      <c r="CQ8" t="s">
        <v>1664</v>
      </c>
      <c r="CR8">
        <v>2026</v>
      </c>
      <c r="CS8" t="s">
        <v>5910</v>
      </c>
      <c r="CT8" s="6">
        <v>46059</v>
      </c>
      <c r="CU8">
        <v>5</v>
      </c>
      <c r="CV8">
        <v>14230936</v>
      </c>
      <c r="CW8">
        <v>313008</v>
      </c>
      <c r="CX8" t="s">
        <v>5911</v>
      </c>
      <c r="DA8" t="s">
        <v>1633</v>
      </c>
      <c r="DB8">
        <v>0.49604900000000002</v>
      </c>
      <c r="DC8" t="s">
        <v>1634</v>
      </c>
      <c r="DD8">
        <v>-2.4245362661989844E-14</v>
      </c>
      <c r="DE8" t="s">
        <v>1594</v>
      </c>
      <c r="DF8">
        <v>2025</v>
      </c>
      <c r="DG8" t="s">
        <v>1635</v>
      </c>
      <c r="DH8" s="6">
        <v>45925</v>
      </c>
      <c r="DI8">
        <v>5</v>
      </c>
      <c r="DJ8">
        <v>26158000</v>
      </c>
      <c r="DK8">
        <v>340053</v>
      </c>
      <c r="DL8" t="s">
        <v>1636</v>
      </c>
      <c r="FY8" t="s">
        <v>2317</v>
      </c>
      <c r="FZ8" t="s">
        <v>1598</v>
      </c>
      <c r="GA8">
        <v>3.0822280000000002</v>
      </c>
      <c r="GB8">
        <v>3.3093530000000002</v>
      </c>
      <c r="GC8" t="s">
        <v>1603</v>
      </c>
      <c r="GD8">
        <v>2025</v>
      </c>
      <c r="GE8" t="s">
        <v>2318</v>
      </c>
      <c r="GF8" s="6">
        <v>45863</v>
      </c>
      <c r="GG8">
        <v>5</v>
      </c>
      <c r="GH8">
        <v>50798568</v>
      </c>
      <c r="GI8">
        <v>10832677</v>
      </c>
      <c r="GJ8" t="s">
        <v>2319</v>
      </c>
      <c r="GM8" t="s">
        <v>2737</v>
      </c>
      <c r="GN8">
        <v>-2.4245362661989844E-14</v>
      </c>
      <c r="GP8">
        <v>-2.4245362661989844E-14</v>
      </c>
      <c r="GQ8" t="s">
        <v>1594</v>
      </c>
      <c r="GR8">
        <v>2021</v>
      </c>
      <c r="GS8" t="s">
        <v>2731</v>
      </c>
      <c r="GT8" s="6">
        <v>44693</v>
      </c>
      <c r="GU8">
        <v>5</v>
      </c>
      <c r="GV8">
        <v>-2.4245362661989844E-14</v>
      </c>
      <c r="GW8">
        <v>26773453</v>
      </c>
      <c r="GX8" t="s">
        <v>2738</v>
      </c>
      <c r="JK8" t="s">
        <v>4628</v>
      </c>
      <c r="JM8">
        <v>-2.4245362661989844E-14</v>
      </c>
      <c r="JN8">
        <v>-2.4245362661989844E-14</v>
      </c>
      <c r="JO8" t="s">
        <v>1594</v>
      </c>
      <c r="JP8">
        <v>2024</v>
      </c>
      <c r="JQ8" t="s">
        <v>4629</v>
      </c>
      <c r="JR8" s="6">
        <v>45803</v>
      </c>
      <c r="JS8">
        <v>5</v>
      </c>
      <c r="JT8">
        <v>-2.4245362661989844E-14</v>
      </c>
      <c r="JU8">
        <v>870231</v>
      </c>
      <c r="JV8" t="s">
        <v>4630</v>
      </c>
      <c r="JY8" t="s">
        <v>4223</v>
      </c>
      <c r="JZ8">
        <v>-2.4245362661989844E-14</v>
      </c>
      <c r="KB8">
        <v>-2.4245362661989844E-14</v>
      </c>
      <c r="KC8" t="s">
        <v>1594</v>
      </c>
      <c r="KD8">
        <v>2024</v>
      </c>
      <c r="KE8" t="s">
        <v>4224</v>
      </c>
      <c r="KF8" s="6">
        <v>45767</v>
      </c>
      <c r="KG8">
        <v>5</v>
      </c>
      <c r="KH8">
        <v>-2.4245362661989844E-14</v>
      </c>
      <c r="KI8">
        <v>26949139</v>
      </c>
      <c r="KJ8" t="s">
        <v>4225</v>
      </c>
      <c r="KO8" t="s">
        <v>1878</v>
      </c>
      <c r="KP8" t="s">
        <v>1598</v>
      </c>
      <c r="KQ8">
        <v>8.8672269999999997</v>
      </c>
      <c r="KR8">
        <v>1.980351</v>
      </c>
      <c r="KS8" t="s">
        <v>1664</v>
      </c>
      <c r="KT8">
        <v>2025</v>
      </c>
      <c r="KU8" t="s">
        <v>2634</v>
      </c>
      <c r="KV8" s="6">
        <v>45922</v>
      </c>
      <c r="KW8">
        <v>5</v>
      </c>
      <c r="KX8">
        <v>135574848</v>
      </c>
      <c r="KY8">
        <v>11937231</v>
      </c>
      <c r="KZ8" t="s">
        <v>1880</v>
      </c>
      <c r="LC8" t="s">
        <v>1082</v>
      </c>
      <c r="LD8">
        <v>3.2472560000000001</v>
      </c>
      <c r="LE8" t="s">
        <v>1598</v>
      </c>
      <c r="LF8">
        <v>2.573108</v>
      </c>
      <c r="LG8" t="s">
        <v>1664</v>
      </c>
      <c r="LH8">
        <v>2025</v>
      </c>
      <c r="LI8" t="s">
        <v>1958</v>
      </c>
      <c r="LJ8" s="6">
        <v>45888</v>
      </c>
      <c r="LK8">
        <v>5</v>
      </c>
      <c r="LL8">
        <v>357945024</v>
      </c>
      <c r="LM8">
        <v>10451815</v>
      </c>
      <c r="LN8" t="s">
        <v>1959</v>
      </c>
      <c r="LS8" t="s">
        <v>4233</v>
      </c>
      <c r="LT8" t="s">
        <v>1598</v>
      </c>
      <c r="LU8">
        <v>3.202E-3</v>
      </c>
      <c r="LV8">
        <v>7.4029999999999999E-3</v>
      </c>
      <c r="LW8" t="s">
        <v>1651</v>
      </c>
      <c r="LX8">
        <v>2025</v>
      </c>
      <c r="LY8" t="s">
        <v>4234</v>
      </c>
      <c r="LZ8" s="6">
        <v>45975</v>
      </c>
      <c r="MA8">
        <v>5</v>
      </c>
      <c r="MB8">
        <v>185541.95</v>
      </c>
      <c r="MC8">
        <v>1456300</v>
      </c>
      <c r="MD8" t="s">
        <v>4235</v>
      </c>
      <c r="MG8" t="s">
        <v>5192</v>
      </c>
      <c r="MH8">
        <v>0.20505100000000001</v>
      </c>
      <c r="MI8" t="s">
        <v>1598</v>
      </c>
      <c r="MJ8">
        <v>0.29925099999999999</v>
      </c>
      <c r="MK8" t="s">
        <v>1664</v>
      </c>
      <c r="ML8">
        <v>2025</v>
      </c>
      <c r="MM8" t="s">
        <v>5193</v>
      </c>
      <c r="MN8" s="6">
        <v>45744</v>
      </c>
      <c r="MO8">
        <v>5</v>
      </c>
      <c r="MP8">
        <v>6257816.1600000001</v>
      </c>
      <c r="MQ8">
        <v>116954</v>
      </c>
      <c r="MR8" t="s">
        <v>5194</v>
      </c>
      <c r="MW8" t="s">
        <v>4028</v>
      </c>
      <c r="MY8">
        <v>-2.4245362661989844E-14</v>
      </c>
      <c r="MZ8">
        <v>-2.4245362661989844E-14</v>
      </c>
      <c r="NA8" t="s">
        <v>2438</v>
      </c>
      <c r="NB8">
        <v>2022</v>
      </c>
      <c r="NC8" t="s">
        <v>4029</v>
      </c>
      <c r="ND8" s="6">
        <v>44931</v>
      </c>
      <c r="NE8">
        <v>4</v>
      </c>
      <c r="NF8">
        <v>-2.4245362661989844E-14</v>
      </c>
      <c r="NG8">
        <v>69539060</v>
      </c>
      <c r="NH8" t="s">
        <v>4030</v>
      </c>
      <c r="OA8" t="s">
        <v>23</v>
      </c>
      <c r="OB8" t="s">
        <v>1598</v>
      </c>
      <c r="OC8">
        <v>0.238619</v>
      </c>
      <c r="OD8">
        <v>0.71575299999999997</v>
      </c>
      <c r="OE8" t="s">
        <v>1594</v>
      </c>
      <c r="OF8">
        <v>2025</v>
      </c>
      <c r="OG8" t="s">
        <v>1765</v>
      </c>
      <c r="OH8" s="6">
        <v>46064</v>
      </c>
      <c r="OI8">
        <v>5</v>
      </c>
      <c r="OJ8">
        <v>28750000</v>
      </c>
      <c r="OK8">
        <v>100225</v>
      </c>
      <c r="OL8" t="s">
        <v>2222</v>
      </c>
      <c r="OO8" t="s">
        <v>23</v>
      </c>
      <c r="OP8">
        <v>11.153900999999999</v>
      </c>
      <c r="OQ8" t="s">
        <v>1598</v>
      </c>
      <c r="OR8">
        <v>50.086109</v>
      </c>
      <c r="OS8" t="s">
        <v>1594</v>
      </c>
      <c r="OT8">
        <v>2025</v>
      </c>
      <c r="OU8" t="s">
        <v>1765</v>
      </c>
      <c r="OV8" s="6">
        <v>46064</v>
      </c>
      <c r="OW8">
        <v>5</v>
      </c>
      <c r="OX8">
        <v>1745000000</v>
      </c>
      <c r="OY8">
        <v>100225</v>
      </c>
      <c r="OZ8" t="s">
        <v>2222</v>
      </c>
      <c r="PE8" t="s">
        <v>2014</v>
      </c>
      <c r="PF8" t="s">
        <v>1598</v>
      </c>
      <c r="PG8">
        <v>0.22164600000000001</v>
      </c>
      <c r="PH8">
        <v>2.4277E-2</v>
      </c>
      <c r="PI8" t="s">
        <v>1664</v>
      </c>
      <c r="PJ8">
        <v>2025</v>
      </c>
      <c r="PK8" t="s">
        <v>2015</v>
      </c>
      <c r="PL8" s="6">
        <v>45957</v>
      </c>
      <c r="PM8">
        <v>5</v>
      </c>
      <c r="PN8">
        <v>2617518.41</v>
      </c>
      <c r="PO8">
        <v>815087</v>
      </c>
      <c r="PP8" t="s">
        <v>2016</v>
      </c>
      <c r="PS8" t="s">
        <v>2723</v>
      </c>
      <c r="PT8">
        <v>-2.4245362661989844E-14</v>
      </c>
      <c r="PV8">
        <v>-2.4245362661989844E-14</v>
      </c>
      <c r="PW8" t="s">
        <v>1594</v>
      </c>
      <c r="PX8">
        <v>2025</v>
      </c>
      <c r="PY8" t="s">
        <v>2724</v>
      </c>
      <c r="PZ8" s="6">
        <v>45875</v>
      </c>
      <c r="QA8">
        <v>5</v>
      </c>
      <c r="QB8">
        <v>-2.4245362661989844E-14</v>
      </c>
      <c r="QC8">
        <v>154339</v>
      </c>
      <c r="QD8" t="s">
        <v>2725</v>
      </c>
      <c r="QI8" t="s">
        <v>2066</v>
      </c>
      <c r="QJ8" t="s">
        <v>1634</v>
      </c>
      <c r="QK8">
        <v>6.157108</v>
      </c>
      <c r="QL8">
        <v>1.810521</v>
      </c>
      <c r="QM8" t="s">
        <v>1664</v>
      </c>
      <c r="QN8">
        <v>2025</v>
      </c>
      <c r="QO8" t="s">
        <v>2067</v>
      </c>
      <c r="QP8" s="6">
        <v>45929</v>
      </c>
      <c r="QQ8">
        <v>5</v>
      </c>
      <c r="QR8">
        <v>23591082</v>
      </c>
      <c r="QS8">
        <v>13070762</v>
      </c>
      <c r="QT8" t="s">
        <v>2068</v>
      </c>
      <c r="QW8" t="s">
        <v>1934</v>
      </c>
      <c r="QX8">
        <v>3.5721000000000003E-2</v>
      </c>
      <c r="QY8" t="s">
        <v>1598</v>
      </c>
      <c r="QZ8">
        <v>0.41368700000000003</v>
      </c>
      <c r="RA8" t="s">
        <v>1606</v>
      </c>
      <c r="RB8">
        <v>2025</v>
      </c>
      <c r="RC8" t="s">
        <v>1935</v>
      </c>
      <c r="RD8" s="6">
        <v>46086</v>
      </c>
      <c r="RE8">
        <v>5</v>
      </c>
      <c r="RF8">
        <v>4927012</v>
      </c>
      <c r="RG8">
        <v>9188256</v>
      </c>
      <c r="RH8" t="s">
        <v>1936</v>
      </c>
      <c r="RM8" t="s">
        <v>4062</v>
      </c>
      <c r="RN8" t="s">
        <v>1598</v>
      </c>
      <c r="RO8">
        <v>2.5385999999999999E-2</v>
      </c>
      <c r="RP8">
        <v>1.3454000000000001E-2</v>
      </c>
      <c r="RQ8" t="s">
        <v>1606</v>
      </c>
      <c r="RR8">
        <v>2024</v>
      </c>
      <c r="RS8" t="s">
        <v>4063</v>
      </c>
      <c r="RT8" s="6">
        <v>45730</v>
      </c>
      <c r="RU8">
        <v>5</v>
      </c>
      <c r="RV8">
        <v>478529.29</v>
      </c>
      <c r="RW8">
        <v>239787</v>
      </c>
      <c r="RX8" t="s">
        <v>4064</v>
      </c>
      <c r="SQ8" t="s">
        <v>3738</v>
      </c>
      <c r="SR8" t="s">
        <v>1598</v>
      </c>
      <c r="SS8">
        <v>14</v>
      </c>
      <c r="ST8">
        <v>2.5732710000000001</v>
      </c>
      <c r="SU8" t="s">
        <v>1594</v>
      </c>
      <c r="SV8">
        <v>2025</v>
      </c>
      <c r="SW8" t="s">
        <v>6007</v>
      </c>
      <c r="SX8" s="6">
        <v>46077</v>
      </c>
      <c r="SY8">
        <v>5</v>
      </c>
      <c r="SZ8">
        <v>93068784</v>
      </c>
      <c r="TA8">
        <v>102417</v>
      </c>
      <c r="TB8" t="s">
        <v>3740</v>
      </c>
      <c r="TE8" t="s">
        <v>275</v>
      </c>
      <c r="TF8">
        <v>2.5439250000000002</v>
      </c>
      <c r="TG8" t="s">
        <v>1634</v>
      </c>
      <c r="TH8">
        <v>5.2326030000000001</v>
      </c>
      <c r="TI8" t="s">
        <v>1599</v>
      </c>
      <c r="TJ8">
        <v>2025</v>
      </c>
      <c r="TK8" t="s">
        <v>3858</v>
      </c>
      <c r="TL8" s="6">
        <v>45931</v>
      </c>
      <c r="TM8">
        <v>5</v>
      </c>
      <c r="TN8">
        <v>185757408</v>
      </c>
      <c r="TO8">
        <v>101729</v>
      </c>
      <c r="TP8" t="s">
        <v>2229</v>
      </c>
      <c r="UY8" t="s">
        <v>1084</v>
      </c>
      <c r="UZ8" t="s">
        <v>1685</v>
      </c>
      <c r="VA8">
        <v>0.17041600000000001</v>
      </c>
      <c r="VB8">
        <v>0.18884000000000001</v>
      </c>
      <c r="VC8" t="s">
        <v>1664</v>
      </c>
      <c r="VD8">
        <v>2025</v>
      </c>
      <c r="VE8" t="s">
        <v>2052</v>
      </c>
      <c r="VF8" s="6">
        <v>45838</v>
      </c>
      <c r="VG8">
        <v>5</v>
      </c>
      <c r="VH8">
        <v>10008532</v>
      </c>
      <c r="VI8">
        <v>101689</v>
      </c>
      <c r="VJ8" t="s">
        <v>2053</v>
      </c>
      <c r="VM8" t="s">
        <v>2818</v>
      </c>
      <c r="VN8">
        <v>-2.4245362661989844E-14</v>
      </c>
      <c r="VP8">
        <v>-2.4245362661989844E-14</v>
      </c>
      <c r="VQ8" t="s">
        <v>1594</v>
      </c>
      <c r="VR8">
        <v>2024</v>
      </c>
      <c r="VS8" t="s">
        <v>2819</v>
      </c>
      <c r="VT8" s="6">
        <v>45404</v>
      </c>
      <c r="VU8">
        <v>5</v>
      </c>
      <c r="VV8">
        <v>-2.4245362661989844E-14</v>
      </c>
      <c r="VW8">
        <v>59738013</v>
      </c>
      <c r="VX8" t="s">
        <v>2820</v>
      </c>
    </row>
    <row r="9" spans="1:600" x14ac:dyDescent="0.25">
      <c r="CM9" t="s">
        <v>874</v>
      </c>
      <c r="CN9" t="s">
        <v>1598</v>
      </c>
      <c r="CO9">
        <v>0.75061999999999995</v>
      </c>
      <c r="CP9">
        <v>0.28763100000000003</v>
      </c>
      <c r="CQ9" t="s">
        <v>1664</v>
      </c>
      <c r="CR9">
        <v>2025</v>
      </c>
      <c r="CS9" t="s">
        <v>4844</v>
      </c>
      <c r="CT9" s="6">
        <v>45874</v>
      </c>
      <c r="CU9">
        <v>5</v>
      </c>
      <c r="CV9">
        <v>11362135</v>
      </c>
      <c r="CW9">
        <v>1094198</v>
      </c>
      <c r="CX9" t="s">
        <v>5912</v>
      </c>
      <c r="DA9" t="s">
        <v>280</v>
      </c>
      <c r="DB9">
        <v>0.43229800000000002</v>
      </c>
      <c r="DC9" t="s">
        <v>1598</v>
      </c>
      <c r="DD9">
        <v>0.282169</v>
      </c>
      <c r="DE9" t="s">
        <v>1664</v>
      </c>
      <c r="DF9">
        <v>2025</v>
      </c>
      <c r="DG9" t="s">
        <v>5579</v>
      </c>
      <c r="DH9" s="6">
        <v>45897</v>
      </c>
      <c r="DI9">
        <v>5</v>
      </c>
      <c r="DJ9">
        <v>23046888</v>
      </c>
      <c r="DK9">
        <v>101090</v>
      </c>
      <c r="DL9" t="s">
        <v>2388</v>
      </c>
      <c r="FY9" t="s">
        <v>3121</v>
      </c>
      <c r="FZ9" t="s">
        <v>1634</v>
      </c>
      <c r="GA9">
        <v>1.658663</v>
      </c>
      <c r="GB9">
        <v>0.56530800000000003</v>
      </c>
      <c r="GC9" t="s">
        <v>1606</v>
      </c>
      <c r="GD9">
        <v>2025</v>
      </c>
      <c r="GE9" t="s">
        <v>3122</v>
      </c>
      <c r="GF9" s="6">
        <v>46053</v>
      </c>
      <c r="GG9">
        <v>5</v>
      </c>
      <c r="GH9">
        <v>17281460</v>
      </c>
      <c r="GI9">
        <v>69755265</v>
      </c>
      <c r="GJ9" t="s">
        <v>3123</v>
      </c>
      <c r="GM9" t="s">
        <v>2739</v>
      </c>
      <c r="GN9">
        <v>-2.4245362661989844E-14</v>
      </c>
      <c r="GP9">
        <v>-2.4245362661989844E-14</v>
      </c>
      <c r="GQ9" t="s">
        <v>1594</v>
      </c>
      <c r="GR9">
        <v>2021</v>
      </c>
      <c r="GS9" t="s">
        <v>2731</v>
      </c>
      <c r="GT9" s="6">
        <v>44693</v>
      </c>
      <c r="GU9">
        <v>5</v>
      </c>
      <c r="GV9">
        <v>-2.4245362661989844E-14</v>
      </c>
      <c r="GW9">
        <v>15564314</v>
      </c>
      <c r="GX9" t="s">
        <v>2740</v>
      </c>
      <c r="JK9" t="s">
        <v>4631</v>
      </c>
      <c r="JM9">
        <v>-2.4245362661989844E-14</v>
      </c>
      <c r="JN9">
        <v>-2.4245362661989844E-14</v>
      </c>
      <c r="JO9" t="s">
        <v>1594</v>
      </c>
      <c r="JP9">
        <v>2022</v>
      </c>
      <c r="JQ9" t="s">
        <v>4632</v>
      </c>
      <c r="JR9" s="6">
        <v>45000</v>
      </c>
      <c r="JS9">
        <v>5</v>
      </c>
      <c r="JT9">
        <v>-2.4245362661989844E-14</v>
      </c>
      <c r="JU9">
        <v>69704831</v>
      </c>
      <c r="JV9" t="s">
        <v>4633</v>
      </c>
      <c r="JY9" t="s">
        <v>4226</v>
      </c>
      <c r="JZ9">
        <v>-2.4245362661989844E-14</v>
      </c>
      <c r="KB9">
        <v>-2.4245362661989844E-14</v>
      </c>
      <c r="KC9" t="s">
        <v>1594</v>
      </c>
      <c r="KD9">
        <v>2024</v>
      </c>
      <c r="KE9" t="s">
        <v>4227</v>
      </c>
      <c r="KF9" s="6">
        <v>45777</v>
      </c>
      <c r="KG9">
        <v>5</v>
      </c>
      <c r="KH9">
        <v>-2.4245362661989844E-14</v>
      </c>
      <c r="KI9">
        <v>384701</v>
      </c>
      <c r="KJ9" t="s">
        <v>4228</v>
      </c>
      <c r="KO9" t="s">
        <v>2635</v>
      </c>
      <c r="KP9" t="s">
        <v>1598</v>
      </c>
      <c r="KQ9">
        <v>9.9027270000000005</v>
      </c>
      <c r="KR9">
        <v>1.5774429999999999</v>
      </c>
      <c r="KS9" t="s">
        <v>1664</v>
      </c>
      <c r="KT9">
        <v>2025</v>
      </c>
      <c r="KU9" t="s">
        <v>2636</v>
      </c>
      <c r="KV9" s="6">
        <v>45904</v>
      </c>
      <c r="KW9">
        <v>5</v>
      </c>
      <c r="KX9">
        <v>107991712</v>
      </c>
      <c r="KY9">
        <v>187877</v>
      </c>
      <c r="KZ9" t="s">
        <v>2637</v>
      </c>
      <c r="LC9" t="s">
        <v>1116</v>
      </c>
      <c r="LD9">
        <v>3.0622020000000001</v>
      </c>
      <c r="LE9" t="s">
        <v>1598</v>
      </c>
      <c r="LF9">
        <v>2.546176</v>
      </c>
      <c r="LG9" t="s">
        <v>1664</v>
      </c>
      <c r="LH9">
        <v>2025</v>
      </c>
      <c r="LI9" t="s">
        <v>1958</v>
      </c>
      <c r="LJ9" s="6">
        <v>45888</v>
      </c>
      <c r="LK9">
        <v>5</v>
      </c>
      <c r="LL9">
        <v>337546528</v>
      </c>
      <c r="LM9">
        <v>100090</v>
      </c>
      <c r="LN9" t="s">
        <v>1960</v>
      </c>
      <c r="LS9" t="s">
        <v>4236</v>
      </c>
      <c r="LT9" t="s">
        <v>1598</v>
      </c>
      <c r="LU9">
        <v>0.122296</v>
      </c>
      <c r="LV9">
        <v>6.0229999999999997E-3</v>
      </c>
      <c r="LW9" t="s">
        <v>1651</v>
      </c>
      <c r="LX9">
        <v>2025</v>
      </c>
      <c r="LY9" t="s">
        <v>4237</v>
      </c>
      <c r="LZ9" s="6">
        <v>45972</v>
      </c>
      <c r="MA9">
        <v>5</v>
      </c>
      <c r="MB9">
        <v>146938.79</v>
      </c>
      <c r="MC9">
        <v>171204</v>
      </c>
      <c r="MD9" t="s">
        <v>4238</v>
      </c>
      <c r="MG9" t="s">
        <v>5195</v>
      </c>
      <c r="MH9">
        <v>6.0194999999999999E-2</v>
      </c>
      <c r="MI9" t="s">
        <v>1598</v>
      </c>
      <c r="MJ9">
        <v>0.32420599999999999</v>
      </c>
      <c r="MK9" t="s">
        <v>1594</v>
      </c>
      <c r="ML9">
        <v>2024</v>
      </c>
      <c r="MM9" t="s">
        <v>5196</v>
      </c>
      <c r="MN9" s="6">
        <v>45762</v>
      </c>
      <c r="MO9">
        <v>5</v>
      </c>
      <c r="MP9">
        <v>1823749.5</v>
      </c>
      <c r="MQ9">
        <v>14453817</v>
      </c>
      <c r="MR9" t="s">
        <v>5197</v>
      </c>
      <c r="OA9" t="s">
        <v>3350</v>
      </c>
      <c r="OB9" t="s">
        <v>1598</v>
      </c>
      <c r="OC9">
        <v>0.82792200000000005</v>
      </c>
      <c r="OD9">
        <v>0.75151400000000002</v>
      </c>
      <c r="OE9" t="s">
        <v>1664</v>
      </c>
      <c r="OF9">
        <v>2025</v>
      </c>
      <c r="OG9" t="s">
        <v>3351</v>
      </c>
      <c r="OH9" s="6">
        <v>45959</v>
      </c>
      <c r="OI9">
        <v>5</v>
      </c>
      <c r="OJ9">
        <v>28398061.84</v>
      </c>
      <c r="OK9">
        <v>113332</v>
      </c>
      <c r="OL9" t="s">
        <v>3352</v>
      </c>
      <c r="OO9" t="s">
        <v>1621</v>
      </c>
      <c r="OP9">
        <v>6</v>
      </c>
      <c r="OR9">
        <v>-2.4245362661989844E-14</v>
      </c>
      <c r="OS9" t="s">
        <v>1594</v>
      </c>
      <c r="OT9">
        <v>2024</v>
      </c>
      <c r="OU9" t="s">
        <v>2825</v>
      </c>
      <c r="OV9" s="6">
        <v>45715</v>
      </c>
      <c r="OW9">
        <v>5</v>
      </c>
      <c r="OX9">
        <v>954404992</v>
      </c>
      <c r="OY9">
        <v>218252</v>
      </c>
      <c r="OZ9" t="s">
        <v>1622</v>
      </c>
      <c r="PE9" t="s">
        <v>2567</v>
      </c>
      <c r="PG9">
        <v>2.4574069999999999</v>
      </c>
      <c r="PH9">
        <v>-2.4245362661989844E-14</v>
      </c>
      <c r="PI9" t="s">
        <v>1599</v>
      </c>
      <c r="PJ9">
        <v>2025</v>
      </c>
      <c r="PK9" t="s">
        <v>2568</v>
      </c>
      <c r="PL9" s="6">
        <v>45966</v>
      </c>
      <c r="PM9">
        <v>5</v>
      </c>
      <c r="PN9">
        <v>2258750</v>
      </c>
      <c r="PO9">
        <v>34865158</v>
      </c>
      <c r="PP9" t="s">
        <v>2569</v>
      </c>
      <c r="PS9" t="s">
        <v>1891</v>
      </c>
      <c r="PT9">
        <v>-2.4245362661989844E-14</v>
      </c>
      <c r="PV9">
        <v>-2.4245362661989844E-14</v>
      </c>
      <c r="PW9" t="s">
        <v>1594</v>
      </c>
      <c r="PX9">
        <v>2021</v>
      </c>
      <c r="PY9" t="s">
        <v>2726</v>
      </c>
      <c r="PZ9" s="6">
        <v>44630</v>
      </c>
      <c r="QA9">
        <v>5</v>
      </c>
      <c r="QB9">
        <v>-2.4245362661989844E-14</v>
      </c>
      <c r="QC9">
        <v>100115</v>
      </c>
      <c r="QD9" t="s">
        <v>1893</v>
      </c>
      <c r="QI9" t="s">
        <v>339</v>
      </c>
      <c r="QJ9" t="s">
        <v>1598</v>
      </c>
      <c r="QK9">
        <v>0.45783699999999999</v>
      </c>
      <c r="QL9">
        <v>0.152921</v>
      </c>
      <c r="QM9" t="s">
        <v>1594</v>
      </c>
      <c r="QN9">
        <v>2024</v>
      </c>
      <c r="QO9" t="s">
        <v>1928</v>
      </c>
      <c r="QP9" s="6">
        <v>45716</v>
      </c>
      <c r="QQ9">
        <v>5</v>
      </c>
      <c r="QR9">
        <v>18750026</v>
      </c>
      <c r="QS9">
        <v>13041324</v>
      </c>
      <c r="QT9" t="s">
        <v>2323</v>
      </c>
      <c r="QW9" t="s">
        <v>1937</v>
      </c>
      <c r="QX9">
        <v>1.6008999999999999E-2</v>
      </c>
      <c r="QZ9">
        <v>-2.4245362661989844E-14</v>
      </c>
      <c r="RA9" t="s">
        <v>1594</v>
      </c>
      <c r="RB9">
        <v>2024</v>
      </c>
      <c r="RC9" t="s">
        <v>1928</v>
      </c>
      <c r="RD9" s="6">
        <v>45716</v>
      </c>
      <c r="RE9">
        <v>5</v>
      </c>
      <c r="RF9">
        <v>2250000</v>
      </c>
      <c r="RG9">
        <v>14465625</v>
      </c>
      <c r="RH9" t="s">
        <v>1938</v>
      </c>
      <c r="RM9" t="s">
        <v>4517</v>
      </c>
      <c r="RN9" t="s">
        <v>1598</v>
      </c>
      <c r="RO9">
        <v>6.87E-4</v>
      </c>
      <c r="RP9">
        <v>2.6999999999999999E-5</v>
      </c>
      <c r="RQ9" t="s">
        <v>1599</v>
      </c>
      <c r="RR9">
        <v>2025</v>
      </c>
      <c r="RS9" t="s">
        <v>4518</v>
      </c>
      <c r="RT9" s="6">
        <v>45819</v>
      </c>
      <c r="RU9">
        <v>5</v>
      </c>
      <c r="RV9">
        <v>1000</v>
      </c>
      <c r="RW9">
        <v>101531</v>
      </c>
      <c r="RX9" t="s">
        <v>4519</v>
      </c>
      <c r="SQ9" t="s">
        <v>3324</v>
      </c>
      <c r="SR9" t="s">
        <v>1598</v>
      </c>
      <c r="SS9">
        <v>39.222942000000003</v>
      </c>
      <c r="ST9">
        <v>2.5692750000000002</v>
      </c>
      <c r="SU9" t="s">
        <v>1594</v>
      </c>
      <c r="SV9">
        <v>2025</v>
      </c>
      <c r="SW9" t="s">
        <v>3325</v>
      </c>
      <c r="SX9" s="6">
        <v>46073</v>
      </c>
      <c r="SY9">
        <v>5</v>
      </c>
      <c r="SZ9">
        <v>92924250</v>
      </c>
      <c r="TA9">
        <v>51018342</v>
      </c>
      <c r="TB9" t="s">
        <v>3326</v>
      </c>
      <c r="TE9" t="s">
        <v>2587</v>
      </c>
      <c r="TF9">
        <v>1.4184159999999999</v>
      </c>
      <c r="TG9" t="s">
        <v>1634</v>
      </c>
      <c r="TH9">
        <v>3.3443610000000001</v>
      </c>
      <c r="TI9" t="s">
        <v>1599</v>
      </c>
      <c r="TJ9">
        <v>2025</v>
      </c>
      <c r="TK9" t="s">
        <v>3858</v>
      </c>
      <c r="TL9" s="6">
        <v>45931</v>
      </c>
      <c r="TM9">
        <v>5</v>
      </c>
      <c r="TN9">
        <v>103572736</v>
      </c>
      <c r="TO9">
        <v>193974</v>
      </c>
      <c r="TP9" t="s">
        <v>2588</v>
      </c>
      <c r="UY9" t="s">
        <v>3162</v>
      </c>
      <c r="UZ9" t="s">
        <v>1685</v>
      </c>
      <c r="VA9">
        <v>0.29472100000000001</v>
      </c>
      <c r="VB9">
        <v>2.6449E-2</v>
      </c>
      <c r="VC9" t="s">
        <v>1603</v>
      </c>
      <c r="VD9">
        <v>2025</v>
      </c>
      <c r="VE9" t="s">
        <v>3163</v>
      </c>
      <c r="VF9" s="6">
        <v>45855</v>
      </c>
      <c r="VG9">
        <v>5</v>
      </c>
      <c r="VH9">
        <v>1401790</v>
      </c>
      <c r="VI9">
        <v>171977</v>
      </c>
      <c r="VJ9" t="s">
        <v>3164</v>
      </c>
      <c r="VM9" t="s">
        <v>2821</v>
      </c>
      <c r="VN9">
        <v>-2.4245362661989844E-14</v>
      </c>
      <c r="VP9">
        <v>-2.4245362661989844E-14</v>
      </c>
      <c r="VQ9" t="s">
        <v>1594</v>
      </c>
      <c r="VR9">
        <v>2023</v>
      </c>
      <c r="VS9" t="s">
        <v>2822</v>
      </c>
      <c r="VT9" s="6">
        <v>45302</v>
      </c>
      <c r="VU9">
        <v>5</v>
      </c>
      <c r="VV9">
        <v>-2.4245362661989844E-14</v>
      </c>
      <c r="VW9">
        <v>8168286</v>
      </c>
      <c r="VX9" t="s">
        <v>2823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815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816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817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818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819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820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821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822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823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824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825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826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827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828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829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830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831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832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833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834</v>
      </c>
      <c r="AE2" s="3" t="s">
        <v>21</v>
      </c>
      <c r="BI2" s="3" t="s">
        <v>113</v>
      </c>
      <c r="CM2" s="3" t="s">
        <v>835</v>
      </c>
      <c r="DQ2" s="3" t="s">
        <v>836</v>
      </c>
      <c r="EU2" s="3" t="s">
        <v>837</v>
      </c>
      <c r="FY2" s="3" t="s">
        <v>183</v>
      </c>
      <c r="HC2" s="3" t="s">
        <v>112</v>
      </c>
      <c r="IG2" s="3" t="s">
        <v>143</v>
      </c>
      <c r="JK2" s="3" t="s">
        <v>24</v>
      </c>
      <c r="KO2" s="3" t="s">
        <v>838</v>
      </c>
      <c r="LS2" s="3" t="s">
        <v>173</v>
      </c>
      <c r="MW2" s="3" t="s">
        <v>240</v>
      </c>
      <c r="OA2" s="3" t="s">
        <v>273</v>
      </c>
      <c r="PE2" s="3" t="s">
        <v>839</v>
      </c>
      <c r="QI2" s="3" t="s">
        <v>840</v>
      </c>
      <c r="RM2" s="3" t="s">
        <v>71</v>
      </c>
      <c r="SQ2" s="3" t="s">
        <v>617</v>
      </c>
      <c r="TU2" s="3" t="s">
        <v>841</v>
      </c>
      <c r="UY2" s="3" t="s">
        <v>465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_xll.BDS("UNM US Equity","SUPPLY_CHAIN_SUPPLIERS_ALL_DATA","cols=12;rows=3")</f>
        <v>1667771D US Equity</v>
      </c>
      <c r="C5">
        <v>-2.4245362661989844E-14</v>
      </c>
      <c r="D5">
        <v>-2.4245362661989844E-14</v>
      </c>
      <c r="E5" t="s">
        <v>1594</v>
      </c>
      <c r="F5">
        <v>2024</v>
      </c>
      <c r="G5" t="s">
        <v>3944</v>
      </c>
      <c r="H5" s="6">
        <v>45314</v>
      </c>
      <c r="I5">
        <v>3</v>
      </c>
      <c r="J5">
        <v>-2.4245362661989844E-14</v>
      </c>
      <c r="K5">
        <v>62225637</v>
      </c>
      <c r="L5" t="s">
        <v>3945</v>
      </c>
      <c r="O5" t="str">
        <f>_xll.BDS("UNM US Equity","SUPPLY_CHAIN_CUSTOMERS_ALL_DATA")</f>
        <v>#N/A N/A</v>
      </c>
      <c r="AE5" t="str">
        <f>_xll.BDS("T US Equity","SUPPLY_CHAIN_SUPPLIERS_ALL_DATA","cols=12;rows=5")</f>
        <v>AAPL US Equity</v>
      </c>
      <c r="AF5" t="s">
        <v>1598</v>
      </c>
      <c r="AG5">
        <v>1.2812509999999999</v>
      </c>
      <c r="AH5">
        <v>9.9289989999999992</v>
      </c>
      <c r="AI5" t="s">
        <v>1664</v>
      </c>
      <c r="AJ5">
        <v>2025</v>
      </c>
      <c r="AK5" t="s">
        <v>3183</v>
      </c>
      <c r="AL5" s="6">
        <v>45863</v>
      </c>
      <c r="AM5">
        <v>5</v>
      </c>
      <c r="AN5">
        <v>1221788160</v>
      </c>
      <c r="AO5">
        <v>101695</v>
      </c>
      <c r="AP5" t="s">
        <v>1919</v>
      </c>
      <c r="AS5" t="str">
        <f>_xll.BDS("T US Equity","SUPPLY_CHAIN_CUSTOMERS_ALL_DATA","cols=12;rows=5")</f>
        <v>IBM US Equity</v>
      </c>
      <c r="AT5">
        <v>0.86485599999999996</v>
      </c>
      <c r="AU5" t="s">
        <v>1598</v>
      </c>
      <c r="AV5">
        <v>4.0630959999999998</v>
      </c>
      <c r="AW5" t="s">
        <v>1603</v>
      </c>
      <c r="AX5">
        <v>2025</v>
      </c>
      <c r="AY5" t="s">
        <v>1744</v>
      </c>
      <c r="AZ5" s="6">
        <v>45797</v>
      </c>
      <c r="BA5">
        <v>5</v>
      </c>
      <c r="BB5">
        <v>264507552</v>
      </c>
      <c r="BC5">
        <v>100801</v>
      </c>
      <c r="BD5" t="s">
        <v>1745</v>
      </c>
      <c r="BI5" t="str">
        <f>_xll.BDS("BX US Equity","SUPPLY_CHAIN_SUPPLIERS_ALL_DATA","cols=12;rows=5")</f>
        <v>ORCL US Equity</v>
      </c>
      <c r="BJ5" t="s">
        <v>1598</v>
      </c>
      <c r="BK5">
        <v>3.7003000000000001E-2</v>
      </c>
      <c r="BL5">
        <v>0.33128000000000002</v>
      </c>
      <c r="BM5" t="s">
        <v>1606</v>
      </c>
      <c r="BN5">
        <v>2025</v>
      </c>
      <c r="BO5" t="s">
        <v>2251</v>
      </c>
      <c r="BP5" s="6">
        <v>45848</v>
      </c>
      <c r="BQ5">
        <v>5</v>
      </c>
      <c r="BR5">
        <v>5884587</v>
      </c>
      <c r="BS5">
        <v>101752</v>
      </c>
      <c r="BT5" t="s">
        <v>2265</v>
      </c>
      <c r="BW5" t="str">
        <f>_xll.BDS("BX US Equity","SUPPLY_CHAIN_CUSTOMERS_ALL_DATA","cols=12;rows=5")</f>
        <v>002284 CH Equity</v>
      </c>
      <c r="BX5">
        <v>-2.4245362661989844E-14</v>
      </c>
      <c r="BZ5">
        <v>-2.4245362661989844E-14</v>
      </c>
      <c r="CA5" t="s">
        <v>1594</v>
      </c>
      <c r="CB5">
        <v>2024</v>
      </c>
      <c r="CC5" t="s">
        <v>1789</v>
      </c>
      <c r="CD5" s="6">
        <v>45744</v>
      </c>
      <c r="CE5">
        <v>5</v>
      </c>
      <c r="CF5">
        <v>-2.4245362661989844E-14</v>
      </c>
      <c r="CG5">
        <v>15069854</v>
      </c>
      <c r="CH5" t="s">
        <v>1790</v>
      </c>
      <c r="CM5" t="str">
        <f>_xll.BDS("EMN US Equity","SUPPLY_CHAIN_SUPPLIERS_ALL_DATA","cols=12;rows=5")</f>
        <v>AI FP Equity</v>
      </c>
      <c r="CN5" t="s">
        <v>1598</v>
      </c>
      <c r="CO5">
        <v>0.110859</v>
      </c>
      <c r="CP5">
        <v>0.48419400000000001</v>
      </c>
      <c r="CQ5" t="s">
        <v>1664</v>
      </c>
      <c r="CR5">
        <v>2025</v>
      </c>
      <c r="CS5" t="s">
        <v>2290</v>
      </c>
      <c r="CT5" s="6">
        <v>45910</v>
      </c>
      <c r="CU5">
        <v>5</v>
      </c>
      <c r="CV5">
        <v>8620046.4000000004</v>
      </c>
      <c r="CW5">
        <v>115230</v>
      </c>
      <c r="CX5" t="s">
        <v>2291</v>
      </c>
      <c r="DA5" t="str">
        <f>_xll.BDS("EMN US Equity","SUPPLY_CHAIN_CUSTOMERS_ALL_DATA","cols=12;rows=5")</f>
        <v>JNJ US Equity</v>
      </c>
      <c r="DB5">
        <v>2.321053</v>
      </c>
      <c r="DC5" t="s">
        <v>1598</v>
      </c>
      <c r="DD5">
        <v>0.69984400000000002</v>
      </c>
      <c r="DE5" t="s">
        <v>1599</v>
      </c>
      <c r="DF5">
        <v>2025</v>
      </c>
      <c r="DG5" t="s">
        <v>1864</v>
      </c>
      <c r="DH5" s="6">
        <v>46018</v>
      </c>
      <c r="DI5">
        <v>5</v>
      </c>
      <c r="DJ5">
        <v>51109588</v>
      </c>
      <c r="DK5">
        <v>100828</v>
      </c>
      <c r="DL5" t="s">
        <v>1865</v>
      </c>
      <c r="DQ5" t="str">
        <f>_xll.BDS("VMC US Equity","SUPPLY_CHAIN_SUPPLIERS_ALL_DATA","cols=12;rows=5")</f>
        <v>ATCOA SS Equity</v>
      </c>
      <c r="DR5" t="s">
        <v>1634</v>
      </c>
      <c r="DS5">
        <v>0.115511</v>
      </c>
      <c r="DT5">
        <v>2.7509480000000002</v>
      </c>
      <c r="DU5" t="s">
        <v>1603</v>
      </c>
      <c r="DV5">
        <v>2025</v>
      </c>
      <c r="DW5" t="s">
        <v>3605</v>
      </c>
      <c r="DX5" s="6">
        <v>45825</v>
      </c>
      <c r="DY5">
        <v>5</v>
      </c>
      <c r="DZ5">
        <v>4626205.7</v>
      </c>
      <c r="EA5">
        <v>115632</v>
      </c>
      <c r="EB5" t="s">
        <v>3606</v>
      </c>
      <c r="EE5" t="str">
        <f>_xll.BDS("VMC US Equity","SUPPLY_CHAIN_CUSTOMERS_ALL_DATA","cols=12;rows=2")</f>
        <v>267222Z US Equity</v>
      </c>
      <c r="EF5">
        <v>-2.4245362661989844E-14</v>
      </c>
      <c r="EH5">
        <v>-2.4245362661989844E-14</v>
      </c>
      <c r="EI5" t="s">
        <v>1594</v>
      </c>
      <c r="EJ5">
        <v>2022</v>
      </c>
      <c r="EK5" t="s">
        <v>3469</v>
      </c>
      <c r="EL5" s="6">
        <v>44981</v>
      </c>
      <c r="EM5">
        <v>2</v>
      </c>
      <c r="EN5">
        <v>-2.4245362661989844E-14</v>
      </c>
      <c r="EO5">
        <v>7038232</v>
      </c>
      <c r="EP5" t="s">
        <v>3470</v>
      </c>
      <c r="EU5" t="str">
        <f>_xll.BDS("FITB US Equity","SUPPLY_CHAIN_SUPPLIERS_ALL_DATA","cols=12;rows=5")</f>
        <v>004800 KS Equity</v>
      </c>
      <c r="EW5">
        <v>-2.4245362661989844E-14</v>
      </c>
      <c r="EX5">
        <v>-2.4245362661989844E-14</v>
      </c>
      <c r="EY5" t="s">
        <v>2469</v>
      </c>
      <c r="EZ5">
        <v>2025</v>
      </c>
      <c r="FA5" t="s">
        <v>4544</v>
      </c>
      <c r="FB5" s="6">
        <v>45883</v>
      </c>
      <c r="FC5">
        <v>5</v>
      </c>
      <c r="FD5">
        <v>-2.4245362661989844E-14</v>
      </c>
      <c r="FE5">
        <v>118099</v>
      </c>
      <c r="FF5" t="s">
        <v>2065</v>
      </c>
      <c r="FI5" t="str">
        <f>_xll.BDS("FITB US Equity","SUPPLY_CHAIN_CUSTOMERS_ALL_DATA","cols=12;rows=1")</f>
        <v>USIO US Equity</v>
      </c>
      <c r="FJ5">
        <v>-2.4245362661989844E-14</v>
      </c>
      <c r="FL5">
        <v>-2.4245362661989844E-14</v>
      </c>
      <c r="FM5" t="s">
        <v>1594</v>
      </c>
      <c r="FN5">
        <v>2024</v>
      </c>
      <c r="FO5" t="s">
        <v>3551</v>
      </c>
      <c r="FP5" s="6">
        <v>45742</v>
      </c>
      <c r="FQ5">
        <v>1</v>
      </c>
      <c r="FR5">
        <v>-2.4245362661989844E-14</v>
      </c>
      <c r="FS5">
        <v>381245</v>
      </c>
      <c r="FT5" t="s">
        <v>3552</v>
      </c>
      <c r="FY5" t="str">
        <f>_xll.BDS("2968900Q US Equity","SUPPLY_CHAIN_SUPPLIERS_ALL_DATA")</f>
        <v>#N/A N/A</v>
      </c>
      <c r="GM5" t="str">
        <f>_xll.BDS("2968900Q US Equity","SUPPLY_CHAIN_CUSTOMERS_ALL_DATA")</f>
        <v>#N/A N/A</v>
      </c>
      <c r="HC5" t="str">
        <f>_xll.BDS("PARA US Equity","SUPPLY_CHAIN_SUPPLIERS_ALL_DATA","cols=12;rows=5")</f>
        <v>GTN US Equity</v>
      </c>
      <c r="HD5" t="s">
        <v>1685</v>
      </c>
      <c r="HE5">
        <v>38</v>
      </c>
      <c r="HF5">
        <v>20.797836</v>
      </c>
      <c r="HG5" t="s">
        <v>1594</v>
      </c>
      <c r="HH5">
        <v>2024</v>
      </c>
      <c r="HI5" t="s">
        <v>2324</v>
      </c>
      <c r="HJ5" s="6">
        <v>45715</v>
      </c>
      <c r="HK5">
        <v>5</v>
      </c>
      <c r="HL5">
        <v>346180000</v>
      </c>
      <c r="HM5">
        <v>104103</v>
      </c>
      <c r="HN5" t="s">
        <v>2325</v>
      </c>
      <c r="HQ5" t="str">
        <f>_xll.BDS("PARA US Equity","SUPPLY_CHAIN_CUSTOMERS_ALL_DATA","cols=12;rows=5")</f>
        <v>002293 CH Equity</v>
      </c>
      <c r="HR5">
        <v>-2.4245362661989844E-14</v>
      </c>
      <c r="HT5">
        <v>-2.4245362661989844E-14</v>
      </c>
      <c r="HU5" t="s">
        <v>1594</v>
      </c>
      <c r="HV5">
        <v>2021</v>
      </c>
      <c r="HW5" t="s">
        <v>3297</v>
      </c>
      <c r="HX5" s="6">
        <v>44670</v>
      </c>
      <c r="HY5">
        <v>5</v>
      </c>
      <c r="HZ5">
        <v>-2.4245362661989844E-14</v>
      </c>
      <c r="IA5">
        <v>15166198</v>
      </c>
      <c r="IB5" t="s">
        <v>3298</v>
      </c>
      <c r="IG5" t="str">
        <f>_xll.BDS("ORCL US Equity","SUPPLY_CHAIN_SUPPLIERS_ALL_DATA","cols=12;rows=5")</f>
        <v>NVDA US Equity</v>
      </c>
      <c r="IH5" t="s">
        <v>1634</v>
      </c>
      <c r="II5">
        <v>1.9751799999999999</v>
      </c>
      <c r="IJ5">
        <v>11.182838</v>
      </c>
      <c r="IK5" t="s">
        <v>1606</v>
      </c>
      <c r="IL5">
        <v>2026</v>
      </c>
      <c r="IM5" t="s">
        <v>2004</v>
      </c>
      <c r="IN5" s="6">
        <v>46087</v>
      </c>
      <c r="IO5">
        <v>5</v>
      </c>
      <c r="IP5">
        <v>1345630848</v>
      </c>
      <c r="IQ5">
        <v>313657</v>
      </c>
      <c r="IR5" t="s">
        <v>2005</v>
      </c>
      <c r="IU5" t="str">
        <f>_xll.BDS("ORCL US Equity","SUPPLY_CHAIN_CUSTOMERS_ALL_DATA","cols=12;rows=5")</f>
        <v>ACN US Equity</v>
      </c>
      <c r="IV5">
        <v>1.9061380000000001</v>
      </c>
      <c r="IW5" t="s">
        <v>1598</v>
      </c>
      <c r="IX5">
        <v>2.7725070000000001</v>
      </c>
      <c r="IY5" t="s">
        <v>1606</v>
      </c>
      <c r="IZ5">
        <v>2025</v>
      </c>
      <c r="JA5" t="s">
        <v>2251</v>
      </c>
      <c r="JB5" s="6">
        <v>45848</v>
      </c>
      <c r="JC5">
        <v>5</v>
      </c>
      <c r="JD5">
        <v>303133120</v>
      </c>
      <c r="JE5">
        <v>300787</v>
      </c>
      <c r="JF5" t="s">
        <v>2252</v>
      </c>
      <c r="JK5" t="str">
        <f>_xll.BDS("PFE US Equity","SUPPLY_CHAIN_SUPPLIERS_ALL_DATA","cols=12;rows=5")</f>
        <v>BNTX US Equity</v>
      </c>
      <c r="JL5" t="s">
        <v>1598</v>
      </c>
      <c r="JM5">
        <v>73</v>
      </c>
      <c r="JN5">
        <v>12.187704999999999</v>
      </c>
      <c r="JO5" t="s">
        <v>1594</v>
      </c>
      <c r="JP5">
        <v>2024</v>
      </c>
      <c r="JQ5" t="s">
        <v>3345</v>
      </c>
      <c r="JR5" s="6">
        <v>45726</v>
      </c>
      <c r="JS5">
        <v>5</v>
      </c>
      <c r="JT5">
        <v>544064265</v>
      </c>
      <c r="JU5">
        <v>65839686</v>
      </c>
      <c r="JV5" t="s">
        <v>3346</v>
      </c>
      <c r="JY5" t="str">
        <f>_xll.BDS("PFE US Equity","SUPPLY_CHAIN_CUSTOMERS_ALL_DATA","cols=12;rows=5")</f>
        <v>MCK US Equity</v>
      </c>
      <c r="JZ5">
        <v>25</v>
      </c>
      <c r="KA5" t="s">
        <v>1598</v>
      </c>
      <c r="KB5">
        <v>4.0761390000000004</v>
      </c>
      <c r="KC5" t="s">
        <v>1594</v>
      </c>
      <c r="KD5">
        <v>2025</v>
      </c>
      <c r="KE5" t="s">
        <v>2824</v>
      </c>
      <c r="KF5" s="6">
        <v>46079</v>
      </c>
      <c r="KG5">
        <v>5</v>
      </c>
      <c r="KH5">
        <v>3911187456</v>
      </c>
      <c r="KI5">
        <v>154936</v>
      </c>
      <c r="KJ5" t="s">
        <v>1766</v>
      </c>
      <c r="KO5" t="str">
        <f>_xll.BDS("STT US Equity","SUPPLY_CHAIN_SUPPLIERS_ALL_DATA","cols=12;rows=5")</f>
        <v>IBM US Equity</v>
      </c>
      <c r="KP5" t="s">
        <v>1598</v>
      </c>
      <c r="KQ5">
        <v>8.8525999999999994E-2</v>
      </c>
      <c r="KR5">
        <v>0.52541099999999996</v>
      </c>
      <c r="KS5" t="s">
        <v>1603</v>
      </c>
      <c r="KT5">
        <v>2025</v>
      </c>
      <c r="KU5" t="s">
        <v>1744</v>
      </c>
      <c r="KV5" s="6">
        <v>45797</v>
      </c>
      <c r="KW5">
        <v>5</v>
      </c>
      <c r="KX5">
        <v>12872566</v>
      </c>
      <c r="KY5">
        <v>100801</v>
      </c>
      <c r="KZ5" t="s">
        <v>1745</v>
      </c>
      <c r="LC5" t="str">
        <f>_xll.BDS("STT US Equity","SUPPLY_CHAIN_CUSTOMERS_ALL_DATA","cols=12;rows=2")</f>
        <v>IBM US Equity</v>
      </c>
      <c r="LD5">
        <v>-2.4245362661989844E-14</v>
      </c>
      <c r="LF5">
        <v>-2.4245362661989844E-14</v>
      </c>
      <c r="LG5" t="s">
        <v>1594</v>
      </c>
      <c r="LH5">
        <v>2022</v>
      </c>
      <c r="LI5" t="s">
        <v>2741</v>
      </c>
      <c r="LJ5" s="6">
        <v>45027</v>
      </c>
      <c r="LK5">
        <v>2</v>
      </c>
      <c r="LL5">
        <v>-2.4245362661989844E-14</v>
      </c>
      <c r="LM5">
        <v>100801</v>
      </c>
      <c r="LN5" t="s">
        <v>1745</v>
      </c>
      <c r="LS5" t="str">
        <f>_xll.BDS("HPQ US Equity","SUPPLY_CHAIN_SUPPLIERS_ALL_DATA","cols=12;rows=5")</f>
        <v>2356 TT Equity</v>
      </c>
      <c r="LT5" t="s">
        <v>1598</v>
      </c>
      <c r="LU5">
        <v>36.343342</v>
      </c>
      <c r="LV5">
        <v>18.051394999999999</v>
      </c>
      <c r="LW5" t="s">
        <v>1599</v>
      </c>
      <c r="LX5">
        <v>2025</v>
      </c>
      <c r="LY5" t="s">
        <v>2226</v>
      </c>
      <c r="LZ5" s="6">
        <v>46035</v>
      </c>
      <c r="MA5">
        <v>5</v>
      </c>
      <c r="MB5">
        <v>2141270971.6500001</v>
      </c>
      <c r="MC5">
        <v>193712</v>
      </c>
      <c r="MD5" t="s">
        <v>2227</v>
      </c>
      <c r="MG5" t="str">
        <f>_xll.BDS("HPQ US Equity","SUPPLY_CHAIN_CUSTOMERS_ALL_DATA","cols=12;rows=5")</f>
        <v>SNX US Equity</v>
      </c>
      <c r="MH5">
        <v>12</v>
      </c>
      <c r="MI5" t="s">
        <v>1598</v>
      </c>
      <c r="MJ5">
        <v>11.690618000000001</v>
      </c>
      <c r="MK5" t="s">
        <v>1594</v>
      </c>
      <c r="ML5">
        <v>2025</v>
      </c>
      <c r="MM5" t="s">
        <v>1781</v>
      </c>
      <c r="MN5" s="6">
        <v>46001</v>
      </c>
      <c r="MO5">
        <v>5</v>
      </c>
      <c r="MP5">
        <v>1658850048</v>
      </c>
      <c r="MQ5">
        <v>1499717</v>
      </c>
      <c r="MR5" t="s">
        <v>1702</v>
      </c>
      <c r="MW5" t="str">
        <f>_xll.BDS("JNJ US Equity","SUPPLY_CHAIN_SUPPLIERS_ALL_DATA","cols=12;rows=5")</f>
        <v>GMAB DC Equity</v>
      </c>
      <c r="MX5" t="s">
        <v>2128</v>
      </c>
      <c r="MY5">
        <v>66.998047</v>
      </c>
      <c r="MZ5">
        <v>11.040321</v>
      </c>
      <c r="NA5" t="s">
        <v>1594</v>
      </c>
      <c r="NB5">
        <v>2024</v>
      </c>
      <c r="NC5" t="s">
        <v>3382</v>
      </c>
      <c r="ND5" s="6">
        <v>45701</v>
      </c>
      <c r="NE5">
        <v>5</v>
      </c>
      <c r="NF5">
        <v>522920364.22000003</v>
      </c>
      <c r="NG5">
        <v>1405715</v>
      </c>
      <c r="NH5" t="s">
        <v>3383</v>
      </c>
      <c r="NK5" t="str">
        <f>_xll.BDS("JNJ US Equity","SUPPLY_CHAIN_CUSTOMERS_ALL_DATA","cols=12;rows=5")</f>
        <v>MCK US Equity</v>
      </c>
      <c r="NL5">
        <v>20.476745999999999</v>
      </c>
      <c r="NM5" t="s">
        <v>1598</v>
      </c>
      <c r="NN5">
        <v>6.636412</v>
      </c>
      <c r="NO5" t="s">
        <v>1599</v>
      </c>
      <c r="NP5">
        <v>2025</v>
      </c>
      <c r="NQ5" t="s">
        <v>2219</v>
      </c>
      <c r="NR5" s="6">
        <v>46018</v>
      </c>
      <c r="NS5">
        <v>5</v>
      </c>
      <c r="NT5">
        <v>4912985600</v>
      </c>
      <c r="NU5">
        <v>154936</v>
      </c>
      <c r="NV5" t="s">
        <v>1766</v>
      </c>
      <c r="OA5" t="str">
        <f>_xll.BDS("MS US Equity","SUPPLY_CHAIN_SUPPLIERS_ALL_DATA","cols=12;rows=5")</f>
        <v>DLR US Equity</v>
      </c>
      <c r="OB5" t="s">
        <v>1685</v>
      </c>
      <c r="OC5">
        <v>0.65346000000000004</v>
      </c>
      <c r="OD5">
        <v>9.1481999999999994E-2</v>
      </c>
      <c r="OE5" t="s">
        <v>1594</v>
      </c>
      <c r="OF5">
        <v>2025</v>
      </c>
      <c r="OG5" t="s">
        <v>2044</v>
      </c>
      <c r="OH5" s="6">
        <v>46066</v>
      </c>
      <c r="OI5">
        <v>5</v>
      </c>
      <c r="OJ5">
        <v>9986000</v>
      </c>
      <c r="OK5">
        <v>9084002</v>
      </c>
      <c r="OL5" t="s">
        <v>2045</v>
      </c>
      <c r="OO5" t="str">
        <f>_xll.BDS("MS US Equity","SUPPLY_CHAIN_CUSTOMERS_ALL_DATA","cols=12;rows=5")</f>
        <v>012690 KS Equity</v>
      </c>
      <c r="OP5">
        <v>-2.4245362661989844E-14</v>
      </c>
      <c r="OR5">
        <v>-2.4245362661989844E-14</v>
      </c>
      <c r="OS5" t="s">
        <v>2438</v>
      </c>
      <c r="OT5">
        <v>2023</v>
      </c>
      <c r="OU5" t="s">
        <v>2715</v>
      </c>
      <c r="OV5" s="6">
        <v>45061</v>
      </c>
      <c r="OW5">
        <v>5</v>
      </c>
      <c r="OX5">
        <v>-2.4245362661989844E-14</v>
      </c>
      <c r="OY5">
        <v>129275</v>
      </c>
      <c r="OZ5" t="s">
        <v>2716</v>
      </c>
      <c r="PE5" t="str">
        <f>_xll.BDS("SWK US Equity","SUPPLY_CHAIN_SUPPLIERS_ALL_DATA","cols=12;rows=5")</f>
        <v>HCLT IN Equity</v>
      </c>
      <c r="PF5" t="s">
        <v>1685</v>
      </c>
      <c r="PG5">
        <v>1.02416</v>
      </c>
      <c r="PH5">
        <v>5.2262740000000001</v>
      </c>
      <c r="PI5" t="s">
        <v>1664</v>
      </c>
      <c r="PJ5">
        <v>2026</v>
      </c>
      <c r="PK5" t="s">
        <v>3209</v>
      </c>
      <c r="PL5" s="6">
        <v>45986</v>
      </c>
      <c r="PM5">
        <v>5</v>
      </c>
      <c r="PN5">
        <v>37335516.939999998</v>
      </c>
      <c r="PO5">
        <v>995671</v>
      </c>
      <c r="PP5" t="s">
        <v>3210</v>
      </c>
      <c r="PS5" t="str">
        <f>_xll.BDS("SWK US Equity","SUPPLY_CHAIN_CUSTOMERS_ALL_DATA","cols=12;rows=5")</f>
        <v>HD US Equity</v>
      </c>
      <c r="PT5">
        <v>15</v>
      </c>
      <c r="PU5" t="s">
        <v>1598</v>
      </c>
      <c r="PV5">
        <v>2.066656</v>
      </c>
      <c r="PW5" t="s">
        <v>1594</v>
      </c>
      <c r="PX5">
        <v>2025</v>
      </c>
      <c r="PY5" t="s">
        <v>3940</v>
      </c>
      <c r="PZ5" s="6">
        <v>46077</v>
      </c>
      <c r="QA5">
        <v>5</v>
      </c>
      <c r="QB5">
        <v>567390016</v>
      </c>
      <c r="QC5">
        <v>100743</v>
      </c>
      <c r="QD5" t="s">
        <v>1904</v>
      </c>
      <c r="QI5" t="str">
        <f>_xll.BDS("PTVE US Equity","SUPPLY_CHAIN_SUPPLIERS_ALL_DATA","cols=12;rows=5")</f>
        <v>REYN US Equity</v>
      </c>
      <c r="QJ5" t="s">
        <v>1598</v>
      </c>
      <c r="QK5">
        <v>0.45686599999999999</v>
      </c>
      <c r="QL5">
        <v>0.40631</v>
      </c>
      <c r="QM5" t="s">
        <v>1594</v>
      </c>
      <c r="QN5">
        <v>2025</v>
      </c>
      <c r="QO5" t="s">
        <v>5672</v>
      </c>
      <c r="QP5" s="6">
        <v>46057</v>
      </c>
      <c r="QQ5">
        <v>5</v>
      </c>
      <c r="QR5">
        <v>4250000</v>
      </c>
      <c r="QS5">
        <v>41223436</v>
      </c>
      <c r="QT5" t="s">
        <v>5673</v>
      </c>
      <c r="QW5" t="str">
        <f>_xll.BDS("PTVE US Equity","SUPPLY_CHAIN_CUSTOMERS_ALL_DATA","cols=12;rows=2")</f>
        <v>REYN US Equity</v>
      </c>
      <c r="QX5">
        <v>1.068376</v>
      </c>
      <c r="QY5" t="s">
        <v>1598</v>
      </c>
      <c r="QZ5">
        <v>1.959387</v>
      </c>
      <c r="RA5" t="s">
        <v>1594</v>
      </c>
      <c r="RB5">
        <v>2025</v>
      </c>
      <c r="RC5" t="s">
        <v>5672</v>
      </c>
      <c r="RD5" s="6">
        <v>46057</v>
      </c>
      <c r="RE5">
        <v>2</v>
      </c>
      <c r="RF5">
        <v>13750000</v>
      </c>
      <c r="RG5">
        <v>41223436</v>
      </c>
      <c r="RH5" t="s">
        <v>5673</v>
      </c>
      <c r="RM5" t="str">
        <f>_xll.BDS("BAC US Equity","SUPPLY_CHAIN_SUPPLIERS_ALL_DATA","cols=12;rows=5")</f>
        <v>ORCL US Equity</v>
      </c>
      <c r="RN5" t="s">
        <v>1598</v>
      </c>
      <c r="RO5">
        <v>0.27107500000000001</v>
      </c>
      <c r="RP5">
        <v>0.24259500000000001</v>
      </c>
      <c r="RQ5" t="s">
        <v>1606</v>
      </c>
      <c r="RR5">
        <v>2025</v>
      </c>
      <c r="RS5" t="s">
        <v>2251</v>
      </c>
      <c r="RT5" s="6">
        <v>45848</v>
      </c>
      <c r="RU5">
        <v>5</v>
      </c>
      <c r="RV5">
        <v>43109056</v>
      </c>
      <c r="RW5">
        <v>101752</v>
      </c>
      <c r="RX5" t="s">
        <v>2265</v>
      </c>
      <c r="SA5" t="str">
        <f>_xll.BDS("BAC US Equity","SUPPLY_CHAIN_CUSTOMERS_ALL_DATA","cols=12;rows=4")</f>
        <v>3147564Z US Equity</v>
      </c>
      <c r="SB5">
        <v>-2.4245362661989844E-14</v>
      </c>
      <c r="SD5">
        <v>-2.4245362661989844E-14</v>
      </c>
      <c r="SE5" t="s">
        <v>1594</v>
      </c>
      <c r="SF5">
        <v>2022</v>
      </c>
      <c r="SG5" t="s">
        <v>6104</v>
      </c>
      <c r="SH5" s="6">
        <v>44875</v>
      </c>
      <c r="SI5">
        <v>4</v>
      </c>
      <c r="SJ5">
        <v>-2.4245362661989844E-14</v>
      </c>
      <c r="SK5">
        <v>15504092</v>
      </c>
      <c r="SL5" t="s">
        <v>6105</v>
      </c>
      <c r="SQ5" t="str">
        <f>_xll.BDS("CSCO US Equity","SUPPLY_CHAIN_SUPPLIERS_ALL_DATA","cols=12;rows=5")</f>
        <v>NVDA US Equity</v>
      </c>
      <c r="SR5" t="s">
        <v>1598</v>
      </c>
      <c r="SS5">
        <v>0.44414500000000001</v>
      </c>
      <c r="ST5">
        <v>5.627351</v>
      </c>
      <c r="SU5" t="s">
        <v>1606</v>
      </c>
      <c r="SV5">
        <v>2026</v>
      </c>
      <c r="SW5" t="s">
        <v>2004</v>
      </c>
      <c r="SX5" s="6">
        <v>46087</v>
      </c>
      <c r="SY5">
        <v>5</v>
      </c>
      <c r="SZ5">
        <v>302582656</v>
      </c>
      <c r="TA5">
        <v>313657</v>
      </c>
      <c r="TB5" t="s">
        <v>2005</v>
      </c>
      <c r="TE5" t="str">
        <f>_xll.BDS("CSCO US Equity","SUPPLY_CHAIN_CUSTOMERS_ALL_DATA","cols=12;rows=5")</f>
        <v>SNX US Equity</v>
      </c>
      <c r="TF5">
        <v>3.3352200000000001</v>
      </c>
      <c r="TG5" t="s">
        <v>1598</v>
      </c>
      <c r="TH5">
        <v>3.067034</v>
      </c>
      <c r="TI5" t="s">
        <v>1606</v>
      </c>
      <c r="TJ5">
        <v>2025</v>
      </c>
      <c r="TK5" t="s">
        <v>1701</v>
      </c>
      <c r="TL5" s="6">
        <v>46056</v>
      </c>
      <c r="TM5">
        <v>5</v>
      </c>
      <c r="TN5">
        <v>496380736</v>
      </c>
      <c r="TO5">
        <v>1499717</v>
      </c>
      <c r="TP5" t="s">
        <v>1702</v>
      </c>
      <c r="TU5" t="str">
        <f>_xll.BDS("LNCOQ US Equity","SUPPLY_CHAIN_SUPPLIERS_ALL_DATA")</f>
        <v>#N/A N/A</v>
      </c>
      <c r="UI5" t="str">
        <f>_xll.BDS("LNCOQ US Equity","SUPPLY_CHAIN_CUSTOMERS_ALL_DATA")</f>
        <v>#N/A N/A</v>
      </c>
      <c r="UY5" t="str">
        <f>_xll.BDS("TSN US Equity","SUPPLY_CHAIN_SUPPLIERS_ALL_DATA","cols=12;rows=5")</f>
        <v>AMCR US Equity</v>
      </c>
      <c r="UZ5" t="s">
        <v>1598</v>
      </c>
      <c r="VA5">
        <v>4.8301939999999997</v>
      </c>
      <c r="VB5">
        <v>2.0692020000000002</v>
      </c>
      <c r="VC5" t="s">
        <v>1664</v>
      </c>
      <c r="VD5">
        <v>2026</v>
      </c>
      <c r="VE5" t="s">
        <v>2336</v>
      </c>
      <c r="VF5" s="6">
        <v>46071</v>
      </c>
      <c r="VG5">
        <v>5</v>
      </c>
      <c r="VH5">
        <v>263197264</v>
      </c>
      <c r="VI5">
        <v>61417091</v>
      </c>
      <c r="VJ5" t="s">
        <v>2337</v>
      </c>
      <c r="VM5" t="str">
        <f>_xll.BDS("TSN US Equity","SUPPLY_CHAIN_CUSTOMERS_ALL_DATA","cols=12;rows=5")</f>
        <v>WMT US Equity</v>
      </c>
      <c r="VN5">
        <v>18.700001</v>
      </c>
      <c r="VO5" t="s">
        <v>1598</v>
      </c>
      <c r="VP5">
        <v>1.928294</v>
      </c>
      <c r="VQ5" t="s">
        <v>1594</v>
      </c>
      <c r="VR5">
        <v>2025</v>
      </c>
      <c r="VS5" t="s">
        <v>1939</v>
      </c>
      <c r="VT5" s="6">
        <v>45971</v>
      </c>
      <c r="VU5">
        <v>5</v>
      </c>
      <c r="VV5">
        <v>2545116672</v>
      </c>
      <c r="VW5">
        <v>101616</v>
      </c>
      <c r="VX5" t="s">
        <v>1666</v>
      </c>
    </row>
    <row r="6" spans="1:600" x14ac:dyDescent="0.25">
      <c r="A6" t="s">
        <v>3946</v>
      </c>
      <c r="C6">
        <v>-2.4245362661989844E-14</v>
      </c>
      <c r="D6">
        <v>-2.4245362661989844E-14</v>
      </c>
      <c r="E6" t="s">
        <v>1594</v>
      </c>
      <c r="F6">
        <v>2022</v>
      </c>
      <c r="G6" t="s">
        <v>3947</v>
      </c>
      <c r="H6" s="6">
        <v>44966</v>
      </c>
      <c r="I6">
        <v>3</v>
      </c>
      <c r="J6">
        <v>-2.4245362661989844E-14</v>
      </c>
      <c r="K6">
        <v>1197212</v>
      </c>
      <c r="L6" t="s">
        <v>3948</v>
      </c>
      <c r="AE6" t="s">
        <v>2376</v>
      </c>
      <c r="AF6" t="s">
        <v>1598</v>
      </c>
      <c r="AG6">
        <v>2.0413640000000002</v>
      </c>
      <c r="AH6">
        <v>9.0393749999999997</v>
      </c>
      <c r="AI6" t="s">
        <v>1664</v>
      </c>
      <c r="AJ6">
        <v>2025</v>
      </c>
      <c r="AK6" t="s">
        <v>3183</v>
      </c>
      <c r="AL6" s="6">
        <v>45863</v>
      </c>
      <c r="AM6">
        <v>5</v>
      </c>
      <c r="AN6">
        <v>1112317696</v>
      </c>
      <c r="AO6">
        <v>117929</v>
      </c>
      <c r="AP6" t="s">
        <v>2378</v>
      </c>
      <c r="AS6" t="s">
        <v>1700</v>
      </c>
      <c r="AT6">
        <v>0.112041</v>
      </c>
      <c r="AU6" t="s">
        <v>1598</v>
      </c>
      <c r="AV6">
        <v>0.211726</v>
      </c>
      <c r="AW6" t="s">
        <v>1606</v>
      </c>
      <c r="AX6">
        <v>2025</v>
      </c>
      <c r="AY6" t="s">
        <v>1701</v>
      </c>
      <c r="AZ6" s="6">
        <v>46056</v>
      </c>
      <c r="BA6">
        <v>5</v>
      </c>
      <c r="BB6">
        <v>34266560</v>
      </c>
      <c r="BC6">
        <v>1499717</v>
      </c>
      <c r="BD6" t="s">
        <v>1702</v>
      </c>
      <c r="BI6" t="s">
        <v>2266</v>
      </c>
      <c r="BJ6" t="s">
        <v>1685</v>
      </c>
      <c r="BK6">
        <v>0.597939</v>
      </c>
      <c r="BL6">
        <v>5.9714000000000003E-2</v>
      </c>
      <c r="BM6" t="s">
        <v>1594</v>
      </c>
      <c r="BN6">
        <v>2024</v>
      </c>
      <c r="BO6" t="s">
        <v>2267</v>
      </c>
      <c r="BP6" s="6">
        <v>45694</v>
      </c>
      <c r="BQ6">
        <v>5</v>
      </c>
      <c r="BR6">
        <v>957052.25</v>
      </c>
      <c r="BS6">
        <v>103579</v>
      </c>
      <c r="BT6" t="s">
        <v>2268</v>
      </c>
      <c r="BW6" t="s">
        <v>1791</v>
      </c>
      <c r="BX6">
        <v>-2.4245362661989844E-14</v>
      </c>
      <c r="BZ6">
        <v>-2.4245362661989844E-14</v>
      </c>
      <c r="CA6" t="s">
        <v>1792</v>
      </c>
      <c r="CB6">
        <v>2025</v>
      </c>
      <c r="CC6" t="s">
        <v>1793</v>
      </c>
      <c r="CD6" s="6">
        <v>45894</v>
      </c>
      <c r="CE6">
        <v>5</v>
      </c>
      <c r="CF6">
        <v>-2.4245362661989844E-14</v>
      </c>
      <c r="CG6">
        <v>15149577</v>
      </c>
      <c r="CH6" t="s">
        <v>1794</v>
      </c>
      <c r="CM6" t="s">
        <v>2022</v>
      </c>
      <c r="CN6" t="s">
        <v>1598</v>
      </c>
      <c r="CO6">
        <v>0.23335</v>
      </c>
      <c r="CP6">
        <v>0.39701999999999998</v>
      </c>
      <c r="CQ6" t="s">
        <v>1664</v>
      </c>
      <c r="CR6">
        <v>2025</v>
      </c>
      <c r="CS6" t="s">
        <v>2023</v>
      </c>
      <c r="CT6" s="6">
        <v>45778</v>
      </c>
      <c r="CU6">
        <v>5</v>
      </c>
      <c r="CV6">
        <v>6840655</v>
      </c>
      <c r="CW6">
        <v>100019</v>
      </c>
      <c r="CX6" t="s">
        <v>2024</v>
      </c>
      <c r="DA6" t="s">
        <v>1866</v>
      </c>
      <c r="DB6">
        <v>2.0834760000000001</v>
      </c>
      <c r="DC6" t="s">
        <v>1598</v>
      </c>
      <c r="DD6">
        <v>0.33438400000000001</v>
      </c>
      <c r="DE6" t="s">
        <v>1599</v>
      </c>
      <c r="DF6">
        <v>2025</v>
      </c>
      <c r="DG6" t="s">
        <v>1864</v>
      </c>
      <c r="DH6" s="6">
        <v>46018</v>
      </c>
      <c r="DI6">
        <v>5</v>
      </c>
      <c r="DJ6">
        <v>45878144</v>
      </c>
      <c r="DK6">
        <v>112571</v>
      </c>
      <c r="DL6" t="s">
        <v>1867</v>
      </c>
      <c r="DQ6" t="s">
        <v>3062</v>
      </c>
      <c r="DR6" t="s">
        <v>1634</v>
      </c>
      <c r="DS6">
        <v>3.7828379999999999</v>
      </c>
      <c r="DT6">
        <v>2.1681520000000001</v>
      </c>
      <c r="DU6" t="s">
        <v>1603</v>
      </c>
      <c r="DV6">
        <v>2025</v>
      </c>
      <c r="DW6" t="s">
        <v>3063</v>
      </c>
      <c r="DX6" s="6">
        <v>45840</v>
      </c>
      <c r="DY6">
        <v>5</v>
      </c>
      <c r="DZ6">
        <v>3642495</v>
      </c>
      <c r="EA6">
        <v>9371099</v>
      </c>
      <c r="EB6" t="s">
        <v>3064</v>
      </c>
      <c r="EE6" t="s">
        <v>1621</v>
      </c>
      <c r="EF6">
        <v>-2.4245362661989844E-14</v>
      </c>
      <c r="EH6">
        <v>-2.4245362661989844E-14</v>
      </c>
      <c r="EI6" t="s">
        <v>1594</v>
      </c>
      <c r="EJ6">
        <v>2022</v>
      </c>
      <c r="EK6" t="s">
        <v>3469</v>
      </c>
      <c r="EL6" s="6">
        <v>44981</v>
      </c>
      <c r="EM6">
        <v>2</v>
      </c>
      <c r="EN6">
        <v>-2.4245362661989844E-14</v>
      </c>
      <c r="EO6">
        <v>218252</v>
      </c>
      <c r="EP6" t="s">
        <v>1622</v>
      </c>
      <c r="EU6" t="s">
        <v>4545</v>
      </c>
      <c r="EW6">
        <v>-2.4245362661989844E-14</v>
      </c>
      <c r="EX6">
        <v>-2.4245362661989844E-14</v>
      </c>
      <c r="EY6" t="s">
        <v>1599</v>
      </c>
      <c r="EZ6">
        <v>2024</v>
      </c>
      <c r="FA6" t="s">
        <v>4546</v>
      </c>
      <c r="FB6" s="6">
        <v>45608</v>
      </c>
      <c r="FC6">
        <v>5</v>
      </c>
      <c r="FD6">
        <v>-2.4245362661989844E-14</v>
      </c>
      <c r="FE6">
        <v>159743</v>
      </c>
      <c r="FF6" t="s">
        <v>4547</v>
      </c>
      <c r="HC6" t="s">
        <v>2329</v>
      </c>
      <c r="HD6" t="s">
        <v>1598</v>
      </c>
      <c r="HE6">
        <v>0.89060499999999998</v>
      </c>
      <c r="HF6">
        <v>0.18792300000000001</v>
      </c>
      <c r="HG6" t="s">
        <v>1606</v>
      </c>
      <c r="HH6">
        <v>2024</v>
      </c>
      <c r="HI6" t="s">
        <v>2330</v>
      </c>
      <c r="HJ6" s="6">
        <v>45747</v>
      </c>
      <c r="HK6">
        <v>5</v>
      </c>
      <c r="HL6">
        <v>10696585</v>
      </c>
      <c r="HM6">
        <v>17257533</v>
      </c>
      <c r="HN6" t="s">
        <v>2331</v>
      </c>
      <c r="HQ6" t="s">
        <v>3299</v>
      </c>
      <c r="HR6">
        <v>-2.4245362661989844E-14</v>
      </c>
      <c r="HT6">
        <v>-2.4245362661989844E-14</v>
      </c>
      <c r="HU6" t="s">
        <v>2469</v>
      </c>
      <c r="HV6">
        <v>2024</v>
      </c>
      <c r="HW6" t="s">
        <v>3300</v>
      </c>
      <c r="HX6" s="6">
        <v>45518</v>
      </c>
      <c r="HY6">
        <v>5</v>
      </c>
      <c r="HZ6">
        <v>-2.4245362661989844E-14</v>
      </c>
      <c r="IA6">
        <v>129195</v>
      </c>
      <c r="IB6" t="s">
        <v>3301</v>
      </c>
      <c r="IG6" t="s">
        <v>114</v>
      </c>
      <c r="IH6" t="s">
        <v>1634</v>
      </c>
      <c r="II6">
        <v>3.5808580000000001</v>
      </c>
      <c r="IJ6">
        <v>3.236755</v>
      </c>
      <c r="IK6" t="s">
        <v>1664</v>
      </c>
      <c r="IL6">
        <v>2025</v>
      </c>
      <c r="IM6" t="s">
        <v>3353</v>
      </c>
      <c r="IN6" s="6">
        <v>45947</v>
      </c>
      <c r="IO6">
        <v>5</v>
      </c>
      <c r="IP6">
        <v>275188928</v>
      </c>
      <c r="IQ6">
        <v>100010</v>
      </c>
      <c r="IR6" t="s">
        <v>1996</v>
      </c>
      <c r="IU6" t="s">
        <v>303</v>
      </c>
      <c r="IV6">
        <v>1.3419890000000001</v>
      </c>
      <c r="IW6" t="s">
        <v>1598</v>
      </c>
      <c r="IX6">
        <v>0.27725100000000003</v>
      </c>
      <c r="IY6" t="s">
        <v>1606</v>
      </c>
      <c r="IZ6">
        <v>2025</v>
      </c>
      <c r="JA6" t="s">
        <v>2251</v>
      </c>
      <c r="JB6" s="6">
        <v>45848</v>
      </c>
      <c r="JC6">
        <v>5</v>
      </c>
      <c r="JD6">
        <v>213416512</v>
      </c>
      <c r="JE6">
        <v>216952</v>
      </c>
      <c r="JF6" t="s">
        <v>1631</v>
      </c>
      <c r="JK6" t="s">
        <v>143</v>
      </c>
      <c r="JL6" t="s">
        <v>1598</v>
      </c>
      <c r="JM6">
        <v>0.22900000000000001</v>
      </c>
      <c r="JN6">
        <v>1.2800659999999999</v>
      </c>
      <c r="JO6" t="s">
        <v>1606</v>
      </c>
      <c r="JP6">
        <v>2025</v>
      </c>
      <c r="JQ6" t="s">
        <v>2251</v>
      </c>
      <c r="JR6" s="6">
        <v>45848</v>
      </c>
      <c r="JS6">
        <v>5</v>
      </c>
      <c r="JT6">
        <v>36417872</v>
      </c>
      <c r="JU6">
        <v>101752</v>
      </c>
      <c r="JV6" t="s">
        <v>2265</v>
      </c>
      <c r="JY6" t="s">
        <v>959</v>
      </c>
      <c r="JZ6">
        <v>16</v>
      </c>
      <c r="KA6" t="s">
        <v>1598</v>
      </c>
      <c r="KB6">
        <v>3.190922</v>
      </c>
      <c r="KC6" t="s">
        <v>1594</v>
      </c>
      <c r="KD6">
        <v>2025</v>
      </c>
      <c r="KE6" t="s">
        <v>2824</v>
      </c>
      <c r="KF6" s="6">
        <v>46079</v>
      </c>
      <c r="KG6">
        <v>5</v>
      </c>
      <c r="KH6">
        <v>2503160064</v>
      </c>
      <c r="KI6">
        <v>156969</v>
      </c>
      <c r="KJ6" t="s">
        <v>1767</v>
      </c>
      <c r="KO6" t="s">
        <v>143</v>
      </c>
      <c r="KP6" t="s">
        <v>1598</v>
      </c>
      <c r="KQ6">
        <v>3.4169999999999999E-2</v>
      </c>
      <c r="KR6">
        <v>0.221798</v>
      </c>
      <c r="KS6" t="s">
        <v>1606</v>
      </c>
      <c r="KT6">
        <v>2025</v>
      </c>
      <c r="KU6" t="s">
        <v>2251</v>
      </c>
      <c r="KV6" s="6">
        <v>45848</v>
      </c>
      <c r="KW6">
        <v>5</v>
      </c>
      <c r="KX6">
        <v>5434055</v>
      </c>
      <c r="KY6">
        <v>101752</v>
      </c>
      <c r="KZ6" t="s">
        <v>2265</v>
      </c>
      <c r="LC6" t="s">
        <v>2742</v>
      </c>
      <c r="LD6">
        <v>-2.4245362661989844E-14</v>
      </c>
      <c r="LF6">
        <v>-2.4245362661989844E-14</v>
      </c>
      <c r="LG6" t="s">
        <v>1594</v>
      </c>
      <c r="LH6">
        <v>2025</v>
      </c>
      <c r="LI6" t="s">
        <v>2743</v>
      </c>
      <c r="LJ6" s="6">
        <v>45867</v>
      </c>
      <c r="LK6">
        <v>2</v>
      </c>
      <c r="LL6">
        <v>-2.4245362661989844E-14</v>
      </c>
      <c r="LM6">
        <v>107627</v>
      </c>
      <c r="LN6" t="s">
        <v>2744</v>
      </c>
      <c r="LS6" t="s">
        <v>275</v>
      </c>
      <c r="LT6" t="s">
        <v>1598</v>
      </c>
      <c r="LU6">
        <v>12.003353000000001</v>
      </c>
      <c r="LV6">
        <v>14.056165999999999</v>
      </c>
      <c r="LW6" t="s">
        <v>1606</v>
      </c>
      <c r="LX6">
        <v>2025</v>
      </c>
      <c r="LY6" t="s">
        <v>2228</v>
      </c>
      <c r="LZ6" s="6">
        <v>46048</v>
      </c>
      <c r="MA6">
        <v>5</v>
      </c>
      <c r="MB6">
        <v>1641338496</v>
      </c>
      <c r="MC6">
        <v>101729</v>
      </c>
      <c r="MD6" t="s">
        <v>2229</v>
      </c>
      <c r="MG6" t="s">
        <v>1774</v>
      </c>
      <c r="MH6">
        <v>1.5894710000000001</v>
      </c>
      <c r="MI6" t="s">
        <v>1598</v>
      </c>
      <c r="MJ6">
        <v>2.6168589999999998</v>
      </c>
      <c r="MK6" t="s">
        <v>1664</v>
      </c>
      <c r="ML6">
        <v>2026</v>
      </c>
      <c r="MM6" t="s">
        <v>1782</v>
      </c>
      <c r="MN6" s="6">
        <v>45932</v>
      </c>
      <c r="MO6">
        <v>5</v>
      </c>
      <c r="MP6">
        <v>221445152</v>
      </c>
      <c r="MQ6">
        <v>100197</v>
      </c>
      <c r="MR6" t="s">
        <v>1775</v>
      </c>
      <c r="MW6" t="s">
        <v>2559</v>
      </c>
      <c r="MX6" t="s">
        <v>1598</v>
      </c>
      <c r="MY6">
        <v>6.6266720000000001</v>
      </c>
      <c r="MZ6">
        <v>6.8004179999999996</v>
      </c>
      <c r="NA6" t="s">
        <v>1599</v>
      </c>
      <c r="NB6">
        <v>2025</v>
      </c>
      <c r="NC6" t="s">
        <v>2560</v>
      </c>
      <c r="ND6" s="6">
        <v>45867</v>
      </c>
      <c r="NE6">
        <v>5</v>
      </c>
      <c r="NF6">
        <v>518735872</v>
      </c>
      <c r="NG6">
        <v>117092</v>
      </c>
      <c r="NH6" t="s">
        <v>2561</v>
      </c>
      <c r="NK6" t="s">
        <v>959</v>
      </c>
      <c r="NL6">
        <v>15.549336</v>
      </c>
      <c r="NM6" t="s">
        <v>1598</v>
      </c>
      <c r="NN6">
        <v>4.6186980000000002</v>
      </c>
      <c r="NO6" t="s">
        <v>1599</v>
      </c>
      <c r="NP6">
        <v>2025</v>
      </c>
      <c r="NQ6" t="s">
        <v>2219</v>
      </c>
      <c r="NR6" s="6">
        <v>46018</v>
      </c>
      <c r="NS6">
        <v>5</v>
      </c>
      <c r="NT6">
        <v>3730752256</v>
      </c>
      <c r="NU6">
        <v>156969</v>
      </c>
      <c r="NV6" t="s">
        <v>1767</v>
      </c>
      <c r="OA6" t="s">
        <v>3082</v>
      </c>
      <c r="OB6" t="s">
        <v>1685</v>
      </c>
      <c r="OC6">
        <v>2.7101419999999998</v>
      </c>
      <c r="OD6">
        <v>5.1628E-2</v>
      </c>
      <c r="OE6" t="s">
        <v>1594</v>
      </c>
      <c r="OF6">
        <v>2024</v>
      </c>
      <c r="OG6" t="s">
        <v>3083</v>
      </c>
      <c r="OH6" s="6">
        <v>45715</v>
      </c>
      <c r="OI6">
        <v>5</v>
      </c>
      <c r="OJ6">
        <v>5132000</v>
      </c>
      <c r="OK6">
        <v>979463</v>
      </c>
      <c r="OL6" t="s">
        <v>3084</v>
      </c>
      <c r="OO6" t="s">
        <v>2717</v>
      </c>
      <c r="OP6">
        <v>-2.4245362661989844E-14</v>
      </c>
      <c r="OR6">
        <v>-2.4245362661989844E-14</v>
      </c>
      <c r="OS6" t="s">
        <v>1651</v>
      </c>
      <c r="OT6">
        <v>2023</v>
      </c>
      <c r="OU6" t="s">
        <v>2718</v>
      </c>
      <c r="OV6" s="6">
        <v>45244</v>
      </c>
      <c r="OW6">
        <v>5</v>
      </c>
      <c r="OX6">
        <v>-2.4245362661989844E-14</v>
      </c>
      <c r="OY6">
        <v>866472</v>
      </c>
      <c r="OZ6" t="s">
        <v>2719</v>
      </c>
      <c r="PE6" t="s">
        <v>4573</v>
      </c>
      <c r="PF6" t="s">
        <v>1598</v>
      </c>
      <c r="PG6">
        <v>38.389999000000003</v>
      </c>
      <c r="PH6">
        <v>0.61032399999999998</v>
      </c>
      <c r="PI6" t="s">
        <v>1594</v>
      </c>
      <c r="PJ6">
        <v>2024</v>
      </c>
      <c r="PK6" t="s">
        <v>4574</v>
      </c>
      <c r="PL6" s="6">
        <v>45807</v>
      </c>
      <c r="PM6">
        <v>5</v>
      </c>
      <c r="PN6">
        <v>16395390.09</v>
      </c>
      <c r="PO6">
        <v>26158262</v>
      </c>
      <c r="PP6" t="s">
        <v>4575</v>
      </c>
      <c r="PS6" t="s">
        <v>1739</v>
      </c>
      <c r="PT6">
        <v>12</v>
      </c>
      <c r="PU6" t="s">
        <v>1598</v>
      </c>
      <c r="PV6">
        <v>3.2448359999999998</v>
      </c>
      <c r="PW6" t="s">
        <v>1594</v>
      </c>
      <c r="PX6">
        <v>2025</v>
      </c>
      <c r="PY6" t="s">
        <v>3940</v>
      </c>
      <c r="PZ6" s="6">
        <v>46077</v>
      </c>
      <c r="QA6">
        <v>5</v>
      </c>
      <c r="QB6">
        <v>453912000</v>
      </c>
      <c r="QC6">
        <v>100916</v>
      </c>
      <c r="QD6" t="s">
        <v>1741</v>
      </c>
      <c r="QI6" t="s">
        <v>5674</v>
      </c>
      <c r="QK6">
        <v>-2.4245362661989844E-14</v>
      </c>
      <c r="QL6">
        <v>-2.4245362661989844E-14</v>
      </c>
      <c r="QM6" t="s">
        <v>1594</v>
      </c>
      <c r="QN6">
        <v>2024</v>
      </c>
      <c r="QO6" t="s">
        <v>5675</v>
      </c>
      <c r="QP6" s="6">
        <v>45713</v>
      </c>
      <c r="QQ6">
        <v>5</v>
      </c>
      <c r="QR6">
        <v>-2.4245362661989844E-14</v>
      </c>
      <c r="QS6">
        <v>11031003</v>
      </c>
      <c r="QT6" t="s">
        <v>5676</v>
      </c>
      <c r="QW6" t="s">
        <v>5609</v>
      </c>
      <c r="QX6">
        <v>-2.4245362661989844E-14</v>
      </c>
      <c r="QZ6">
        <v>-2.4245362661989844E-14</v>
      </c>
      <c r="RA6" t="s">
        <v>1664</v>
      </c>
      <c r="RB6">
        <v>2025</v>
      </c>
      <c r="RC6" t="s">
        <v>5610</v>
      </c>
      <c r="RD6" s="6">
        <v>45804</v>
      </c>
      <c r="RE6">
        <v>2</v>
      </c>
      <c r="RF6">
        <v>-2.4245362661989844E-14</v>
      </c>
      <c r="RG6">
        <v>171397</v>
      </c>
      <c r="RH6" t="s">
        <v>5611</v>
      </c>
      <c r="RM6" t="s">
        <v>1084</v>
      </c>
      <c r="RN6" t="s">
        <v>1685</v>
      </c>
      <c r="RO6">
        <v>0.46972799999999998</v>
      </c>
      <c r="RP6">
        <v>0.155246</v>
      </c>
      <c r="RQ6" t="s">
        <v>1664</v>
      </c>
      <c r="RR6">
        <v>2025</v>
      </c>
      <c r="RS6" t="s">
        <v>2052</v>
      </c>
      <c r="RT6" s="6">
        <v>45838</v>
      </c>
      <c r="RU6">
        <v>5</v>
      </c>
      <c r="RV6">
        <v>27587124</v>
      </c>
      <c r="RW6">
        <v>101689</v>
      </c>
      <c r="RX6" t="s">
        <v>2053</v>
      </c>
      <c r="SA6" t="s">
        <v>1420</v>
      </c>
      <c r="SB6">
        <v>-2.4245362661989844E-14</v>
      </c>
      <c r="SD6">
        <v>-2.4245362661989844E-14</v>
      </c>
      <c r="SE6" t="s">
        <v>1594</v>
      </c>
      <c r="SF6">
        <v>2025</v>
      </c>
      <c r="SG6" t="s">
        <v>4802</v>
      </c>
      <c r="SH6" s="6">
        <v>46065</v>
      </c>
      <c r="SI6">
        <v>4</v>
      </c>
      <c r="SJ6">
        <v>-2.4245362661989844E-14</v>
      </c>
      <c r="SK6">
        <v>100024</v>
      </c>
      <c r="SL6" t="s">
        <v>5440</v>
      </c>
      <c r="SQ6" t="s">
        <v>3655</v>
      </c>
      <c r="SR6" t="s">
        <v>1598</v>
      </c>
      <c r="SS6">
        <v>0.347161</v>
      </c>
      <c r="ST6">
        <v>4.1422239999999997</v>
      </c>
      <c r="SU6" t="s">
        <v>1664</v>
      </c>
      <c r="SV6">
        <v>2025</v>
      </c>
      <c r="SW6" t="s">
        <v>3656</v>
      </c>
      <c r="SX6" s="6">
        <v>45889</v>
      </c>
      <c r="SY6">
        <v>5</v>
      </c>
      <c r="SZ6">
        <v>201928052.13999999</v>
      </c>
      <c r="TA6">
        <v>119133</v>
      </c>
      <c r="TB6" t="s">
        <v>3657</v>
      </c>
      <c r="TE6" t="s">
        <v>178</v>
      </c>
      <c r="TF6">
        <v>2.8732120000000001</v>
      </c>
      <c r="TG6" t="s">
        <v>1634</v>
      </c>
      <c r="TH6">
        <v>2.4006630000000002</v>
      </c>
      <c r="TI6" t="s">
        <v>1664</v>
      </c>
      <c r="TJ6">
        <v>2025</v>
      </c>
      <c r="TK6" t="s">
        <v>3227</v>
      </c>
      <c r="TL6" s="6">
        <v>45783</v>
      </c>
      <c r="TM6">
        <v>5</v>
      </c>
      <c r="TN6">
        <v>401991104</v>
      </c>
      <c r="TO6">
        <v>101743</v>
      </c>
      <c r="TP6" t="s">
        <v>1736</v>
      </c>
      <c r="UY6" t="s">
        <v>143</v>
      </c>
      <c r="UZ6" t="s">
        <v>1598</v>
      </c>
      <c r="VA6">
        <v>0.21653700000000001</v>
      </c>
      <c r="VB6">
        <v>0.27725</v>
      </c>
      <c r="VC6" t="s">
        <v>1606</v>
      </c>
      <c r="VD6">
        <v>2025</v>
      </c>
      <c r="VE6" t="s">
        <v>2251</v>
      </c>
      <c r="VF6" s="6">
        <v>45848</v>
      </c>
      <c r="VG6">
        <v>5</v>
      </c>
      <c r="VH6">
        <v>34435880</v>
      </c>
      <c r="VI6">
        <v>101752</v>
      </c>
      <c r="VJ6" t="s">
        <v>2265</v>
      </c>
      <c r="VM6" t="s">
        <v>1940</v>
      </c>
      <c r="VN6">
        <v>7.6089529999999996</v>
      </c>
      <c r="VO6" t="s">
        <v>1598</v>
      </c>
      <c r="VP6">
        <v>5.9122209999999997</v>
      </c>
      <c r="VQ6" t="s">
        <v>1599</v>
      </c>
      <c r="VR6">
        <v>2025</v>
      </c>
      <c r="VS6" t="s">
        <v>1941</v>
      </c>
      <c r="VT6" s="6">
        <v>45946</v>
      </c>
      <c r="VU6">
        <v>5</v>
      </c>
      <c r="VV6">
        <v>1014064192</v>
      </c>
      <c r="VW6">
        <v>101433</v>
      </c>
      <c r="VX6" t="s">
        <v>1942</v>
      </c>
    </row>
    <row r="7" spans="1:600" x14ac:dyDescent="0.25">
      <c r="A7" t="s">
        <v>3949</v>
      </c>
      <c r="C7">
        <v>-2.4245362661989844E-14</v>
      </c>
      <c r="D7">
        <v>-2.4245362661989844E-14</v>
      </c>
      <c r="E7" t="s">
        <v>1603</v>
      </c>
      <c r="F7">
        <v>2025</v>
      </c>
      <c r="G7" t="s">
        <v>3950</v>
      </c>
      <c r="H7" s="6">
        <v>45435</v>
      </c>
      <c r="I7">
        <v>3</v>
      </c>
      <c r="J7">
        <v>-2.4245362661989844E-14</v>
      </c>
      <c r="K7">
        <v>14184925</v>
      </c>
      <c r="L7" t="s">
        <v>3951</v>
      </c>
      <c r="AE7" t="s">
        <v>2383</v>
      </c>
      <c r="AF7" t="s">
        <v>1634</v>
      </c>
      <c r="AG7">
        <v>13.01698</v>
      </c>
      <c r="AH7">
        <v>13.663121</v>
      </c>
      <c r="AI7" t="s">
        <v>1599</v>
      </c>
      <c r="AJ7">
        <v>2025</v>
      </c>
      <c r="AK7" t="s">
        <v>2384</v>
      </c>
      <c r="AL7" s="6">
        <v>46029</v>
      </c>
      <c r="AM7">
        <v>5</v>
      </c>
      <c r="AN7">
        <v>769456564.02999997</v>
      </c>
      <c r="AO7">
        <v>115705</v>
      </c>
      <c r="AP7" t="s">
        <v>2385</v>
      </c>
      <c r="AS7" t="s">
        <v>1645</v>
      </c>
      <c r="AT7">
        <v>3.6669E-2</v>
      </c>
      <c r="AU7" t="s">
        <v>1598</v>
      </c>
      <c r="AV7">
        <v>1.85477</v>
      </c>
      <c r="AW7" t="s">
        <v>1599</v>
      </c>
      <c r="AX7">
        <v>2025</v>
      </c>
      <c r="AY7" t="s">
        <v>1897</v>
      </c>
      <c r="AZ7" s="6">
        <v>45840</v>
      </c>
      <c r="BA7">
        <v>5</v>
      </c>
      <c r="BB7">
        <v>11214774</v>
      </c>
      <c r="BC7">
        <v>136424</v>
      </c>
      <c r="BD7" t="s">
        <v>1647</v>
      </c>
      <c r="BI7" t="s">
        <v>2269</v>
      </c>
      <c r="BJ7" t="s">
        <v>1598</v>
      </c>
      <c r="BK7">
        <v>7.4065000000000006E-2</v>
      </c>
      <c r="BL7">
        <v>2.879E-3</v>
      </c>
      <c r="BM7" t="s">
        <v>1594</v>
      </c>
      <c r="BN7">
        <v>2024</v>
      </c>
      <c r="BO7" t="s">
        <v>2270</v>
      </c>
      <c r="BP7" s="6">
        <v>45758</v>
      </c>
      <c r="BQ7">
        <v>5</v>
      </c>
      <c r="BR7">
        <v>46697.46</v>
      </c>
      <c r="BS7">
        <v>130878</v>
      </c>
      <c r="BT7" t="s">
        <v>2271</v>
      </c>
      <c r="BW7" t="s">
        <v>1795</v>
      </c>
      <c r="BX7">
        <v>-2.4245362661989844E-14</v>
      </c>
      <c r="BZ7">
        <v>-2.4245362661989844E-14</v>
      </c>
      <c r="CA7" t="s">
        <v>1664</v>
      </c>
      <c r="CB7">
        <v>2024</v>
      </c>
      <c r="CC7" t="s">
        <v>1796</v>
      </c>
      <c r="CD7" s="6">
        <v>45433</v>
      </c>
      <c r="CE7">
        <v>5</v>
      </c>
      <c r="CF7">
        <v>-2.4245362661989844E-14</v>
      </c>
      <c r="CG7">
        <v>27196144</v>
      </c>
      <c r="CH7" t="s">
        <v>1797</v>
      </c>
      <c r="CM7" t="s">
        <v>2292</v>
      </c>
      <c r="CN7" t="s">
        <v>1598</v>
      </c>
      <c r="CO7">
        <v>2.1453500000000001</v>
      </c>
      <c r="CP7">
        <v>0.15345800000000001</v>
      </c>
      <c r="CQ7" t="s">
        <v>1792</v>
      </c>
      <c r="CR7">
        <v>2025</v>
      </c>
      <c r="CS7" t="s">
        <v>2293</v>
      </c>
      <c r="CT7" s="6">
        <v>46002</v>
      </c>
      <c r="CU7">
        <v>5</v>
      </c>
      <c r="CV7">
        <v>2657961.7200000002</v>
      </c>
      <c r="CW7">
        <v>23632129</v>
      </c>
      <c r="CX7" t="s">
        <v>2294</v>
      </c>
      <c r="DA7" t="s">
        <v>1732</v>
      </c>
      <c r="DB7">
        <v>1.9821549999999999</v>
      </c>
      <c r="DC7" t="s">
        <v>1598</v>
      </c>
      <c r="DD7">
        <v>0.25070100000000001</v>
      </c>
      <c r="DE7" t="s">
        <v>1599</v>
      </c>
      <c r="DF7">
        <v>2025</v>
      </c>
      <c r="DG7" t="s">
        <v>1864</v>
      </c>
      <c r="DH7" s="6">
        <v>46018</v>
      </c>
      <c r="DI7">
        <v>5</v>
      </c>
      <c r="DJ7">
        <v>43647052</v>
      </c>
      <c r="DK7">
        <v>876285</v>
      </c>
      <c r="DL7" t="s">
        <v>1734</v>
      </c>
      <c r="DQ7" t="s">
        <v>3607</v>
      </c>
      <c r="DR7" t="s">
        <v>1685</v>
      </c>
      <c r="DS7">
        <v>23</v>
      </c>
      <c r="DT7">
        <v>1.80942</v>
      </c>
      <c r="DU7" t="s">
        <v>1594</v>
      </c>
      <c r="DV7">
        <v>2024</v>
      </c>
      <c r="DW7" t="s">
        <v>3608</v>
      </c>
      <c r="DX7" s="6">
        <v>45734</v>
      </c>
      <c r="DY7">
        <v>5</v>
      </c>
      <c r="DZ7">
        <v>2402005</v>
      </c>
      <c r="EA7">
        <v>103995</v>
      </c>
      <c r="EB7" t="s">
        <v>3609</v>
      </c>
      <c r="EU7" t="s">
        <v>3235</v>
      </c>
      <c r="EW7">
        <v>-2.4245362661989844E-14</v>
      </c>
      <c r="EX7">
        <v>-2.4245362661989844E-14</v>
      </c>
      <c r="EY7" t="s">
        <v>1594</v>
      </c>
      <c r="EZ7">
        <v>2023</v>
      </c>
      <c r="FA7" t="s">
        <v>3236</v>
      </c>
      <c r="FB7" s="6">
        <v>45462</v>
      </c>
      <c r="FC7">
        <v>5</v>
      </c>
      <c r="FD7">
        <v>-2.4245362661989844E-14</v>
      </c>
      <c r="FE7">
        <v>48621208</v>
      </c>
      <c r="FF7" t="s">
        <v>3237</v>
      </c>
      <c r="HC7" t="s">
        <v>3429</v>
      </c>
      <c r="HD7" t="s">
        <v>1598</v>
      </c>
      <c r="HE7">
        <v>1.8761030000000001</v>
      </c>
      <c r="HF7">
        <v>0.11766799999999999</v>
      </c>
      <c r="HG7" t="s">
        <v>1603</v>
      </c>
      <c r="HH7">
        <v>2025</v>
      </c>
      <c r="HI7" t="s">
        <v>3430</v>
      </c>
      <c r="HJ7" s="6">
        <v>45764</v>
      </c>
      <c r="HK7">
        <v>5</v>
      </c>
      <c r="HL7">
        <v>6697669</v>
      </c>
      <c r="HM7">
        <v>916504</v>
      </c>
      <c r="HN7" t="s">
        <v>3431</v>
      </c>
      <c r="HQ7" t="s">
        <v>3302</v>
      </c>
      <c r="HR7">
        <v>-2.4245362661989844E-14</v>
      </c>
      <c r="HT7">
        <v>-2.4245362661989844E-14</v>
      </c>
      <c r="HU7" t="s">
        <v>1594</v>
      </c>
      <c r="HV7">
        <v>2025</v>
      </c>
      <c r="HW7" t="s">
        <v>3303</v>
      </c>
      <c r="HX7" s="6">
        <v>45691</v>
      </c>
      <c r="HY7">
        <v>5</v>
      </c>
      <c r="HZ7">
        <v>-2.4245362661989844E-14</v>
      </c>
      <c r="IA7">
        <v>26993503</v>
      </c>
      <c r="IB7" t="s">
        <v>3304</v>
      </c>
      <c r="IG7" t="s">
        <v>211</v>
      </c>
      <c r="IH7" t="s">
        <v>1634</v>
      </c>
      <c r="II7">
        <v>0.91127400000000003</v>
      </c>
      <c r="IJ7">
        <v>1.364298</v>
      </c>
      <c r="IK7" t="s">
        <v>1606</v>
      </c>
      <c r="IL7">
        <v>2025</v>
      </c>
      <c r="IM7" t="s">
        <v>2691</v>
      </c>
      <c r="IN7" s="6">
        <v>46010</v>
      </c>
      <c r="IO7">
        <v>5</v>
      </c>
      <c r="IP7">
        <v>164166016</v>
      </c>
      <c r="IQ7">
        <v>59907412</v>
      </c>
      <c r="IR7" t="s">
        <v>3354</v>
      </c>
      <c r="IU7" t="s">
        <v>1700</v>
      </c>
      <c r="IV7">
        <v>1.0301469999999999</v>
      </c>
      <c r="IW7" t="s">
        <v>1598</v>
      </c>
      <c r="IX7">
        <v>1.0221020000000001</v>
      </c>
      <c r="IY7" t="s">
        <v>1606</v>
      </c>
      <c r="IZ7">
        <v>2025</v>
      </c>
      <c r="JA7" t="s">
        <v>1701</v>
      </c>
      <c r="JB7" s="6">
        <v>46056</v>
      </c>
      <c r="JC7">
        <v>5</v>
      </c>
      <c r="JD7">
        <v>165420976</v>
      </c>
      <c r="JE7">
        <v>1499717</v>
      </c>
      <c r="JF7" t="s">
        <v>1702</v>
      </c>
      <c r="JK7" t="s">
        <v>3347</v>
      </c>
      <c r="JL7" t="s">
        <v>1598</v>
      </c>
      <c r="JM7">
        <v>3.7231350000000001</v>
      </c>
      <c r="JN7">
        <v>0.80518199999999995</v>
      </c>
      <c r="JO7" t="s">
        <v>1599</v>
      </c>
      <c r="JP7">
        <v>2025</v>
      </c>
      <c r="JQ7" t="s">
        <v>3348</v>
      </c>
      <c r="JR7" s="6">
        <v>46069</v>
      </c>
      <c r="JS7">
        <v>5</v>
      </c>
      <c r="JT7">
        <v>33600181.100000001</v>
      </c>
      <c r="JU7">
        <v>153809</v>
      </c>
      <c r="JV7" t="s">
        <v>3349</v>
      </c>
      <c r="JY7" t="s">
        <v>618</v>
      </c>
      <c r="JZ7">
        <v>13</v>
      </c>
      <c r="KA7" t="s">
        <v>1598</v>
      </c>
      <c r="KB7">
        <v>3.4525320000000002</v>
      </c>
      <c r="KC7" t="s">
        <v>1594</v>
      </c>
      <c r="KD7">
        <v>2025</v>
      </c>
      <c r="KE7" t="s">
        <v>2824</v>
      </c>
      <c r="KF7" s="6">
        <v>46079</v>
      </c>
      <c r="KG7">
        <v>5</v>
      </c>
      <c r="KH7">
        <v>2033817472</v>
      </c>
      <c r="KI7">
        <v>102782</v>
      </c>
      <c r="KJ7" t="s">
        <v>1626</v>
      </c>
      <c r="KO7" t="s">
        <v>178</v>
      </c>
      <c r="KP7" t="s">
        <v>1598</v>
      </c>
      <c r="KQ7">
        <v>7.4669999999999997E-3</v>
      </c>
      <c r="KR7">
        <v>0.21354400000000001</v>
      </c>
      <c r="KS7" t="s">
        <v>1599</v>
      </c>
      <c r="KT7">
        <v>2025</v>
      </c>
      <c r="KU7" t="s">
        <v>1735</v>
      </c>
      <c r="KV7" s="6">
        <v>45843</v>
      </c>
      <c r="KW7">
        <v>5</v>
      </c>
      <c r="KX7">
        <v>5231828</v>
      </c>
      <c r="KY7">
        <v>101743</v>
      </c>
      <c r="KZ7" t="s">
        <v>1736</v>
      </c>
      <c r="LS7" t="s">
        <v>2230</v>
      </c>
      <c r="LT7" t="s">
        <v>1598</v>
      </c>
      <c r="LU7">
        <v>6.8536460000000003</v>
      </c>
      <c r="LV7">
        <v>9.6768190000000001</v>
      </c>
      <c r="LW7" t="s">
        <v>1603</v>
      </c>
      <c r="LX7">
        <v>2025</v>
      </c>
      <c r="LY7" t="s">
        <v>2231</v>
      </c>
      <c r="LZ7" s="6">
        <v>45812</v>
      </c>
      <c r="MA7">
        <v>5</v>
      </c>
      <c r="MB7">
        <v>1011895282.72</v>
      </c>
      <c r="MC7">
        <v>330541</v>
      </c>
      <c r="MD7" t="s">
        <v>2232</v>
      </c>
      <c r="MG7" t="s">
        <v>1783</v>
      </c>
      <c r="MH7">
        <v>1.3641749999999999</v>
      </c>
      <c r="MI7" t="s">
        <v>1598</v>
      </c>
      <c r="MJ7">
        <v>0.69426200000000005</v>
      </c>
      <c r="MK7" t="s">
        <v>1603</v>
      </c>
      <c r="ML7">
        <v>2025</v>
      </c>
      <c r="MM7" t="s">
        <v>1784</v>
      </c>
      <c r="MN7" s="6">
        <v>45797</v>
      </c>
      <c r="MO7">
        <v>5</v>
      </c>
      <c r="MP7">
        <v>183924678.06999999</v>
      </c>
      <c r="MQ7">
        <v>223340</v>
      </c>
      <c r="MR7" t="s">
        <v>1785</v>
      </c>
      <c r="MW7" t="s">
        <v>25</v>
      </c>
      <c r="MX7" t="s">
        <v>1598</v>
      </c>
      <c r="MY7">
        <v>1.3419449999999999</v>
      </c>
      <c r="MZ7">
        <v>2.7987500000000001</v>
      </c>
      <c r="NA7" t="s">
        <v>1606</v>
      </c>
      <c r="NB7">
        <v>2025</v>
      </c>
      <c r="NC7" t="s">
        <v>2220</v>
      </c>
      <c r="ND7" s="6">
        <v>46077</v>
      </c>
      <c r="NE7">
        <v>5</v>
      </c>
      <c r="NF7">
        <v>223004416</v>
      </c>
      <c r="NG7">
        <v>28046509</v>
      </c>
      <c r="NH7" t="s">
        <v>2221</v>
      </c>
      <c r="NK7" t="s">
        <v>618</v>
      </c>
      <c r="NL7">
        <v>12.373919000000001</v>
      </c>
      <c r="NM7" t="s">
        <v>1598</v>
      </c>
      <c r="NN7">
        <v>4.81257</v>
      </c>
      <c r="NO7" t="s">
        <v>1599</v>
      </c>
      <c r="NP7">
        <v>2025</v>
      </c>
      <c r="NQ7" t="s">
        <v>2219</v>
      </c>
      <c r="NR7" s="6">
        <v>46018</v>
      </c>
      <c r="NS7">
        <v>5</v>
      </c>
      <c r="NT7">
        <v>2968874496</v>
      </c>
      <c r="NU7">
        <v>102782</v>
      </c>
      <c r="NV7" t="s">
        <v>1626</v>
      </c>
      <c r="OA7" t="s">
        <v>3085</v>
      </c>
      <c r="OB7" t="s">
        <v>1685</v>
      </c>
      <c r="OC7">
        <v>1.1211519999999999</v>
      </c>
      <c r="OD7">
        <v>2.7816E-2</v>
      </c>
      <c r="OE7" t="s">
        <v>1594</v>
      </c>
      <c r="OF7">
        <v>2024</v>
      </c>
      <c r="OG7" t="s">
        <v>3086</v>
      </c>
      <c r="OH7" s="6">
        <v>45702</v>
      </c>
      <c r="OI7">
        <v>5</v>
      </c>
      <c r="OJ7">
        <v>2764979.25</v>
      </c>
      <c r="OK7">
        <v>10858737</v>
      </c>
      <c r="OL7" t="s">
        <v>3087</v>
      </c>
      <c r="OO7" t="s">
        <v>2720</v>
      </c>
      <c r="OP7">
        <v>-2.4245362661989844E-14</v>
      </c>
      <c r="OR7">
        <v>-2.4245362661989844E-14</v>
      </c>
      <c r="OS7" t="s">
        <v>1594</v>
      </c>
      <c r="OT7">
        <v>2025</v>
      </c>
      <c r="OU7" t="s">
        <v>2721</v>
      </c>
      <c r="OV7" s="6">
        <v>45828</v>
      </c>
      <c r="OW7">
        <v>5</v>
      </c>
      <c r="OX7">
        <v>-2.4245362661989844E-14</v>
      </c>
      <c r="OY7">
        <v>154065</v>
      </c>
      <c r="OZ7" t="s">
        <v>2722</v>
      </c>
      <c r="PE7" t="s">
        <v>835</v>
      </c>
      <c r="PF7" t="s">
        <v>1598</v>
      </c>
      <c r="PG7">
        <v>0.42813800000000002</v>
      </c>
      <c r="PH7">
        <v>0.34752</v>
      </c>
      <c r="PI7" t="s">
        <v>1599</v>
      </c>
      <c r="PJ7">
        <v>2025</v>
      </c>
      <c r="PK7" t="s">
        <v>1864</v>
      </c>
      <c r="PL7" s="6">
        <v>46018</v>
      </c>
      <c r="PM7">
        <v>5</v>
      </c>
      <c r="PN7">
        <v>9427599</v>
      </c>
      <c r="PO7">
        <v>126747</v>
      </c>
      <c r="PP7" t="s">
        <v>4576</v>
      </c>
      <c r="PS7" t="s">
        <v>1663</v>
      </c>
      <c r="PT7">
        <v>4.2328729999999997</v>
      </c>
      <c r="PU7" t="s">
        <v>1598</v>
      </c>
      <c r="PV7">
        <v>0.12246799999999999</v>
      </c>
      <c r="PW7" t="s">
        <v>1664</v>
      </c>
      <c r="PX7">
        <v>2025</v>
      </c>
      <c r="PY7" t="s">
        <v>3096</v>
      </c>
      <c r="PZ7" s="6">
        <v>45918</v>
      </c>
      <c r="QA7">
        <v>5</v>
      </c>
      <c r="QB7">
        <v>162602640</v>
      </c>
      <c r="QC7">
        <v>101616</v>
      </c>
      <c r="QD7" t="s">
        <v>1666</v>
      </c>
      <c r="QI7" t="s">
        <v>2152</v>
      </c>
      <c r="QK7">
        <v>-2.4245362661989844E-14</v>
      </c>
      <c r="QL7">
        <v>-2.4245362661989844E-14</v>
      </c>
      <c r="QM7" t="s">
        <v>1594</v>
      </c>
      <c r="QN7">
        <v>2021</v>
      </c>
      <c r="QO7" t="s">
        <v>2153</v>
      </c>
      <c r="QP7" s="6">
        <v>44693</v>
      </c>
      <c r="QQ7">
        <v>5</v>
      </c>
      <c r="QR7">
        <v>-2.4245362661989844E-14</v>
      </c>
      <c r="QS7">
        <v>100060</v>
      </c>
      <c r="QT7" t="s">
        <v>2154</v>
      </c>
      <c r="RM7" t="s">
        <v>2057</v>
      </c>
      <c r="RN7" t="s">
        <v>1685</v>
      </c>
      <c r="RO7">
        <v>8.5077940000000005</v>
      </c>
      <c r="RP7">
        <v>8.9352000000000001E-2</v>
      </c>
      <c r="RQ7" t="s">
        <v>1603</v>
      </c>
      <c r="RR7">
        <v>2026</v>
      </c>
      <c r="RS7" t="s">
        <v>2058</v>
      </c>
      <c r="RT7" s="6">
        <v>45898</v>
      </c>
      <c r="RU7">
        <v>5</v>
      </c>
      <c r="RV7">
        <v>15354149.300000001</v>
      </c>
      <c r="RW7">
        <v>178651</v>
      </c>
      <c r="RX7" t="s">
        <v>2059</v>
      </c>
      <c r="SA7" t="s">
        <v>5525</v>
      </c>
      <c r="SB7">
        <v>-2.4245362661989844E-14</v>
      </c>
      <c r="SD7">
        <v>-2.4245362661989844E-14</v>
      </c>
      <c r="SE7" t="s">
        <v>1594</v>
      </c>
      <c r="SF7">
        <v>2023</v>
      </c>
      <c r="SG7" t="s">
        <v>5526</v>
      </c>
      <c r="SH7" s="6">
        <v>45175</v>
      </c>
      <c r="SI7">
        <v>4</v>
      </c>
      <c r="SJ7">
        <v>-2.4245362661989844E-14</v>
      </c>
      <c r="SK7">
        <v>100555</v>
      </c>
      <c r="SL7" t="s">
        <v>5527</v>
      </c>
      <c r="SQ7" t="s">
        <v>2582</v>
      </c>
      <c r="SR7" t="s">
        <v>1598</v>
      </c>
      <c r="SS7">
        <v>0.664825</v>
      </c>
      <c r="ST7">
        <v>3.6327410000000002</v>
      </c>
      <c r="SU7" t="s">
        <v>1606</v>
      </c>
      <c r="SV7">
        <v>2024</v>
      </c>
      <c r="SW7" t="s">
        <v>3144</v>
      </c>
      <c r="SX7" s="6">
        <v>45741</v>
      </c>
      <c r="SY7">
        <v>5</v>
      </c>
      <c r="SZ7">
        <v>178478249.27000001</v>
      </c>
      <c r="TA7">
        <v>153737</v>
      </c>
      <c r="TB7" t="s">
        <v>2584</v>
      </c>
      <c r="TE7" t="s">
        <v>2376</v>
      </c>
      <c r="TF7">
        <v>2.64514</v>
      </c>
      <c r="TG7" t="s">
        <v>1598</v>
      </c>
      <c r="TH7">
        <v>1.094911</v>
      </c>
      <c r="TI7" t="s">
        <v>1664</v>
      </c>
      <c r="TJ7">
        <v>2025</v>
      </c>
      <c r="TK7" t="s">
        <v>3227</v>
      </c>
      <c r="TL7" s="6">
        <v>45783</v>
      </c>
      <c r="TM7">
        <v>5</v>
      </c>
      <c r="TN7">
        <v>370081536</v>
      </c>
      <c r="TO7">
        <v>117929</v>
      </c>
      <c r="TP7" t="s">
        <v>2378</v>
      </c>
      <c r="UY7" t="s">
        <v>493</v>
      </c>
      <c r="UZ7" t="s">
        <v>1598</v>
      </c>
      <c r="VA7">
        <v>0.51194600000000001</v>
      </c>
      <c r="VB7">
        <v>0.15839</v>
      </c>
      <c r="VC7" t="s">
        <v>1606</v>
      </c>
      <c r="VD7">
        <v>2025</v>
      </c>
      <c r="VE7" t="s">
        <v>2093</v>
      </c>
      <c r="VF7" s="6">
        <v>46071</v>
      </c>
      <c r="VG7">
        <v>5</v>
      </c>
      <c r="VH7">
        <v>20146868</v>
      </c>
      <c r="VI7">
        <v>100499</v>
      </c>
      <c r="VJ7" t="s">
        <v>2094</v>
      </c>
      <c r="VM7" t="s">
        <v>1943</v>
      </c>
      <c r="VN7">
        <v>5.3821219999999999</v>
      </c>
      <c r="VO7" t="s">
        <v>1598</v>
      </c>
      <c r="VP7">
        <v>0.95591400000000004</v>
      </c>
      <c r="VQ7" t="s">
        <v>1599</v>
      </c>
      <c r="VR7">
        <v>2025</v>
      </c>
      <c r="VS7" t="s">
        <v>1941</v>
      </c>
      <c r="VT7" s="6">
        <v>45946</v>
      </c>
      <c r="VU7">
        <v>5</v>
      </c>
      <c r="VV7">
        <v>717288832</v>
      </c>
      <c r="VW7">
        <v>101758</v>
      </c>
      <c r="VX7" t="s">
        <v>1944</v>
      </c>
    </row>
    <row r="8" spans="1:600" x14ac:dyDescent="0.25">
      <c r="AE8" t="s">
        <v>428</v>
      </c>
      <c r="AF8" t="s">
        <v>1598</v>
      </c>
      <c r="AG8">
        <v>17</v>
      </c>
      <c r="AH8">
        <v>3.5607669999999998</v>
      </c>
      <c r="AI8" t="s">
        <v>1594</v>
      </c>
      <c r="AJ8">
        <v>2025</v>
      </c>
      <c r="AK8" t="s">
        <v>2379</v>
      </c>
      <c r="AL8" s="6">
        <v>46077</v>
      </c>
      <c r="AM8">
        <v>5</v>
      </c>
      <c r="AN8">
        <v>452395488</v>
      </c>
      <c r="AO8">
        <v>210870</v>
      </c>
      <c r="AP8" t="s">
        <v>2380</v>
      </c>
      <c r="AS8" t="s">
        <v>2589</v>
      </c>
      <c r="AT8">
        <v>1.3672E-2</v>
      </c>
      <c r="AU8" t="s">
        <v>1598</v>
      </c>
      <c r="AV8">
        <v>7.3932999999999999E-2</v>
      </c>
      <c r="AW8" t="s">
        <v>1664</v>
      </c>
      <c r="AX8">
        <v>2026</v>
      </c>
      <c r="AY8" t="s">
        <v>2590</v>
      </c>
      <c r="AZ8" s="6">
        <v>46063</v>
      </c>
      <c r="BA8">
        <v>5</v>
      </c>
      <c r="BB8">
        <v>4181589</v>
      </c>
      <c r="BC8">
        <v>100142</v>
      </c>
      <c r="BD8" t="s">
        <v>2591</v>
      </c>
      <c r="BI8" t="s">
        <v>2272</v>
      </c>
      <c r="BJ8" t="s">
        <v>1634</v>
      </c>
      <c r="BK8">
        <v>2.0240000000000002E-3</v>
      </c>
      <c r="BL8">
        <v>2.6168E-2</v>
      </c>
      <c r="BM8" t="s">
        <v>1599</v>
      </c>
      <c r="BN8">
        <v>2025</v>
      </c>
      <c r="BO8" t="s">
        <v>2273</v>
      </c>
      <c r="BP8" s="6">
        <v>45964</v>
      </c>
      <c r="BQ8">
        <v>5</v>
      </c>
      <c r="BR8">
        <v>10506</v>
      </c>
      <c r="BS8">
        <v>16546862</v>
      </c>
      <c r="BT8" t="s">
        <v>2274</v>
      </c>
      <c r="BW8" t="s">
        <v>1798</v>
      </c>
      <c r="BX8">
        <v>-2.4245362661989844E-14</v>
      </c>
      <c r="BZ8">
        <v>-2.4245362661989844E-14</v>
      </c>
      <c r="CA8" t="s">
        <v>1594</v>
      </c>
      <c r="CB8">
        <v>2024</v>
      </c>
      <c r="CC8" t="s">
        <v>1799</v>
      </c>
      <c r="CD8" s="6">
        <v>45771</v>
      </c>
      <c r="CE8">
        <v>5</v>
      </c>
      <c r="CF8">
        <v>-2.4245362661989844E-14</v>
      </c>
      <c r="CG8">
        <v>135686</v>
      </c>
      <c r="CH8" t="s">
        <v>1800</v>
      </c>
      <c r="CM8" t="s">
        <v>2295</v>
      </c>
      <c r="CN8" t="s">
        <v>1598</v>
      </c>
      <c r="CO8">
        <v>0.46399000000000001</v>
      </c>
      <c r="CP8">
        <v>6.2393999999999998E-2</v>
      </c>
      <c r="CQ8" t="s">
        <v>1594</v>
      </c>
      <c r="CR8">
        <v>2024</v>
      </c>
      <c r="CS8" t="s">
        <v>2296</v>
      </c>
      <c r="CT8" s="6">
        <v>45709</v>
      </c>
      <c r="CU8">
        <v>5</v>
      </c>
      <c r="CV8">
        <v>1106249.5</v>
      </c>
      <c r="CW8">
        <v>102469</v>
      </c>
      <c r="CX8" t="s">
        <v>2297</v>
      </c>
      <c r="DA8" t="s">
        <v>72</v>
      </c>
      <c r="DB8">
        <v>1.490785</v>
      </c>
      <c r="DC8" t="s">
        <v>1598</v>
      </c>
      <c r="DD8">
        <v>0.31898799999999999</v>
      </c>
      <c r="DE8" t="s">
        <v>1599</v>
      </c>
      <c r="DF8">
        <v>2025</v>
      </c>
      <c r="DG8" t="s">
        <v>1864</v>
      </c>
      <c r="DH8" s="6">
        <v>46018</v>
      </c>
      <c r="DI8">
        <v>5</v>
      </c>
      <c r="DJ8">
        <v>32827086</v>
      </c>
      <c r="DK8">
        <v>101215</v>
      </c>
      <c r="DL8" t="s">
        <v>1868</v>
      </c>
      <c r="DQ8" t="s">
        <v>1354</v>
      </c>
      <c r="DS8">
        <v>-2.4245362661989844E-14</v>
      </c>
      <c r="DT8">
        <v>-2.4245362661989844E-14</v>
      </c>
      <c r="DU8" t="s">
        <v>1594</v>
      </c>
      <c r="DV8">
        <v>2021</v>
      </c>
      <c r="DW8" t="s">
        <v>2150</v>
      </c>
      <c r="DX8" s="6">
        <v>44693</v>
      </c>
      <c r="DY8">
        <v>5</v>
      </c>
      <c r="DZ8">
        <v>-2.4245362661989844E-14</v>
      </c>
      <c r="EA8">
        <v>313098</v>
      </c>
      <c r="EB8" t="s">
        <v>2151</v>
      </c>
      <c r="EU8" t="s">
        <v>4548</v>
      </c>
      <c r="EW8">
        <v>-2.4245362661989844E-14</v>
      </c>
      <c r="EX8">
        <v>-2.4245362661989844E-14</v>
      </c>
      <c r="EY8" t="s">
        <v>1594</v>
      </c>
      <c r="EZ8">
        <v>2024</v>
      </c>
      <c r="FA8" t="s">
        <v>4549</v>
      </c>
      <c r="FB8" s="6">
        <v>45714</v>
      </c>
      <c r="FC8">
        <v>5</v>
      </c>
      <c r="FD8">
        <v>-2.4245362661989844E-14</v>
      </c>
      <c r="FE8">
        <v>100457</v>
      </c>
      <c r="FF8" t="s">
        <v>4550</v>
      </c>
      <c r="HC8" t="s">
        <v>3432</v>
      </c>
      <c r="HD8" t="s">
        <v>1685</v>
      </c>
      <c r="HE8">
        <v>13</v>
      </c>
      <c r="HF8">
        <v>0.32028699999999999</v>
      </c>
      <c r="HG8" t="s">
        <v>1594</v>
      </c>
      <c r="HH8">
        <v>2024</v>
      </c>
      <c r="HI8" t="s">
        <v>3433</v>
      </c>
      <c r="HJ8" s="6">
        <v>45761</v>
      </c>
      <c r="HK8">
        <v>5</v>
      </c>
      <c r="HL8">
        <v>5277818.2300000004</v>
      </c>
      <c r="HM8">
        <v>115383</v>
      </c>
      <c r="HN8" t="s">
        <v>3434</v>
      </c>
      <c r="HQ8" t="s">
        <v>3305</v>
      </c>
      <c r="HR8">
        <v>-2.4245362661989844E-14</v>
      </c>
      <c r="HT8">
        <v>-2.4245362661989844E-14</v>
      </c>
      <c r="HU8" t="s">
        <v>1594</v>
      </c>
      <c r="HV8">
        <v>2024</v>
      </c>
      <c r="HW8" t="s">
        <v>3306</v>
      </c>
      <c r="HX8" s="6">
        <v>45734</v>
      </c>
      <c r="HY8">
        <v>5</v>
      </c>
      <c r="HZ8">
        <v>-2.4245362661989844E-14</v>
      </c>
      <c r="IA8">
        <v>7980587</v>
      </c>
      <c r="IB8" t="s">
        <v>3307</v>
      </c>
      <c r="IG8" t="s">
        <v>1997</v>
      </c>
      <c r="IH8" t="s">
        <v>1634</v>
      </c>
      <c r="II8">
        <v>6.234559</v>
      </c>
      <c r="IJ8">
        <v>1.5138720000000001</v>
      </c>
      <c r="IK8" t="s">
        <v>1664</v>
      </c>
      <c r="IL8">
        <v>2025</v>
      </c>
      <c r="IM8" t="s">
        <v>3355</v>
      </c>
      <c r="IN8" s="6">
        <v>45897</v>
      </c>
      <c r="IO8">
        <v>5</v>
      </c>
      <c r="IP8">
        <v>137459552</v>
      </c>
      <c r="IQ8">
        <v>16532368</v>
      </c>
      <c r="IR8" t="s">
        <v>1999</v>
      </c>
      <c r="IU8" t="s">
        <v>32</v>
      </c>
      <c r="IV8">
        <v>0.69902799999999998</v>
      </c>
      <c r="IW8" t="s">
        <v>1598</v>
      </c>
      <c r="IX8">
        <v>0.138625</v>
      </c>
      <c r="IY8" t="s">
        <v>1606</v>
      </c>
      <c r="IZ8">
        <v>2025</v>
      </c>
      <c r="JA8" t="s">
        <v>2251</v>
      </c>
      <c r="JB8" s="6">
        <v>45848</v>
      </c>
      <c r="JC8">
        <v>5</v>
      </c>
      <c r="JD8">
        <v>111166424</v>
      </c>
      <c r="JE8">
        <v>100976</v>
      </c>
      <c r="JF8" t="s">
        <v>1820</v>
      </c>
      <c r="JK8" t="s">
        <v>23</v>
      </c>
      <c r="JL8" t="s">
        <v>1598</v>
      </c>
      <c r="JM8">
        <v>0.238619</v>
      </c>
      <c r="JN8">
        <v>0.71575299999999997</v>
      </c>
      <c r="JO8" t="s">
        <v>1594</v>
      </c>
      <c r="JP8">
        <v>2025</v>
      </c>
      <c r="JQ8" t="s">
        <v>1765</v>
      </c>
      <c r="JR8" s="6">
        <v>46064</v>
      </c>
      <c r="JS8">
        <v>5</v>
      </c>
      <c r="JT8">
        <v>28750000</v>
      </c>
      <c r="JU8">
        <v>100225</v>
      </c>
      <c r="JV8" t="s">
        <v>2222</v>
      </c>
      <c r="JY8" t="s">
        <v>23</v>
      </c>
      <c r="JZ8">
        <v>11.153900999999999</v>
      </c>
      <c r="KA8" t="s">
        <v>1598</v>
      </c>
      <c r="KB8">
        <v>50.086109</v>
      </c>
      <c r="KC8" t="s">
        <v>1594</v>
      </c>
      <c r="KD8">
        <v>2025</v>
      </c>
      <c r="KE8" t="s">
        <v>1765</v>
      </c>
      <c r="KF8" s="6">
        <v>46064</v>
      </c>
      <c r="KG8">
        <v>5</v>
      </c>
      <c r="KH8">
        <v>1745000000</v>
      </c>
      <c r="KI8">
        <v>100225</v>
      </c>
      <c r="KJ8" t="s">
        <v>2222</v>
      </c>
      <c r="KO8" t="s">
        <v>3002</v>
      </c>
      <c r="KQ8">
        <v>3</v>
      </c>
      <c r="KR8">
        <v>-2.4245362661989844E-14</v>
      </c>
      <c r="KS8" t="s">
        <v>1599</v>
      </c>
      <c r="KT8">
        <v>2025</v>
      </c>
      <c r="KU8" t="s">
        <v>3003</v>
      </c>
      <c r="KV8" s="6">
        <v>45967</v>
      </c>
      <c r="KW8">
        <v>5</v>
      </c>
      <c r="KX8">
        <v>1000965.4</v>
      </c>
      <c r="KY8">
        <v>179603</v>
      </c>
      <c r="KZ8" t="s">
        <v>3004</v>
      </c>
      <c r="LS8" t="s">
        <v>2233</v>
      </c>
      <c r="LT8" t="s">
        <v>1598</v>
      </c>
      <c r="LU8">
        <v>4.2738360000000002</v>
      </c>
      <c r="LV8">
        <v>6.6693020000000001</v>
      </c>
      <c r="LW8" t="s">
        <v>1599</v>
      </c>
      <c r="LX8">
        <v>2025</v>
      </c>
      <c r="LY8" t="s">
        <v>2234</v>
      </c>
      <c r="LZ8" s="6">
        <v>46087</v>
      </c>
      <c r="MA8">
        <v>5</v>
      </c>
      <c r="MB8">
        <v>811049598.16999996</v>
      </c>
      <c r="MC8">
        <v>7975354</v>
      </c>
      <c r="MD8" t="s">
        <v>2235</v>
      </c>
      <c r="MG8" t="s">
        <v>1679</v>
      </c>
      <c r="MH8">
        <v>0.59423499999999996</v>
      </c>
      <c r="MI8" t="s">
        <v>1598</v>
      </c>
      <c r="MJ8">
        <v>1.9269499999999999</v>
      </c>
      <c r="MK8" t="s">
        <v>1603</v>
      </c>
      <c r="ML8">
        <v>2025</v>
      </c>
      <c r="MM8" t="s">
        <v>1680</v>
      </c>
      <c r="MN8" s="6">
        <v>45820</v>
      </c>
      <c r="MO8">
        <v>5</v>
      </c>
      <c r="MP8">
        <v>78557896</v>
      </c>
      <c r="MQ8">
        <v>12129192</v>
      </c>
      <c r="MR8" t="s">
        <v>1681</v>
      </c>
      <c r="MW8" t="s">
        <v>3384</v>
      </c>
      <c r="MX8" t="s">
        <v>1598</v>
      </c>
      <c r="MY8">
        <v>49.056618</v>
      </c>
      <c r="MZ8">
        <v>2.3797060000000001</v>
      </c>
      <c r="NA8" t="s">
        <v>1599</v>
      </c>
      <c r="NB8">
        <v>2025</v>
      </c>
      <c r="NC8" t="s">
        <v>3385</v>
      </c>
      <c r="ND8" s="6">
        <v>46050</v>
      </c>
      <c r="NE8">
        <v>5</v>
      </c>
      <c r="NF8">
        <v>173789936</v>
      </c>
      <c r="NG8">
        <v>1753841</v>
      </c>
      <c r="NH8" t="s">
        <v>3386</v>
      </c>
      <c r="NK8" t="s">
        <v>31</v>
      </c>
      <c r="NL8">
        <v>2.966253</v>
      </c>
      <c r="NM8" t="s">
        <v>1598</v>
      </c>
      <c r="NN8">
        <v>1.12304</v>
      </c>
      <c r="NO8" t="s">
        <v>1599</v>
      </c>
      <c r="NP8">
        <v>2025</v>
      </c>
      <c r="NQ8" t="s">
        <v>2219</v>
      </c>
      <c r="NR8" s="6">
        <v>46018</v>
      </c>
      <c r="NS8">
        <v>5</v>
      </c>
      <c r="NT8">
        <v>711693056</v>
      </c>
      <c r="NU8">
        <v>60401289</v>
      </c>
      <c r="NV8" t="s">
        <v>1769</v>
      </c>
      <c r="OA8" t="s">
        <v>2014</v>
      </c>
      <c r="OB8" t="s">
        <v>1598</v>
      </c>
      <c r="OC8">
        <v>0.22164600000000001</v>
      </c>
      <c r="OD8">
        <v>2.4277E-2</v>
      </c>
      <c r="OE8" t="s">
        <v>1664</v>
      </c>
      <c r="OF8">
        <v>2025</v>
      </c>
      <c r="OG8" t="s">
        <v>2015</v>
      </c>
      <c r="OH8" s="6">
        <v>45957</v>
      </c>
      <c r="OI8">
        <v>5</v>
      </c>
      <c r="OJ8">
        <v>2617518.41</v>
      </c>
      <c r="OK8">
        <v>815087</v>
      </c>
      <c r="OL8" t="s">
        <v>2016</v>
      </c>
      <c r="OO8" t="s">
        <v>2723</v>
      </c>
      <c r="OP8">
        <v>-2.4245362661989844E-14</v>
      </c>
      <c r="OR8">
        <v>-2.4245362661989844E-14</v>
      </c>
      <c r="OS8" t="s">
        <v>1594</v>
      </c>
      <c r="OT8">
        <v>2025</v>
      </c>
      <c r="OU8" t="s">
        <v>2724</v>
      </c>
      <c r="OV8" s="6">
        <v>45875</v>
      </c>
      <c r="OW8">
        <v>5</v>
      </c>
      <c r="OX8">
        <v>-2.4245362661989844E-14</v>
      </c>
      <c r="OY8">
        <v>154339</v>
      </c>
      <c r="OZ8" t="s">
        <v>2725</v>
      </c>
      <c r="PE8" t="s">
        <v>3934</v>
      </c>
      <c r="PF8" t="s">
        <v>1598</v>
      </c>
      <c r="PG8">
        <v>0.113063</v>
      </c>
      <c r="PH8">
        <v>0.16323099999999999</v>
      </c>
      <c r="PI8" t="s">
        <v>1664</v>
      </c>
      <c r="PJ8">
        <v>2025</v>
      </c>
      <c r="PK8" t="s">
        <v>3935</v>
      </c>
      <c r="PL8" s="6">
        <v>45957</v>
      </c>
      <c r="PM8">
        <v>5</v>
      </c>
      <c r="PN8">
        <v>4428159</v>
      </c>
      <c r="PO8">
        <v>116563</v>
      </c>
      <c r="PP8" t="s">
        <v>3936</v>
      </c>
      <c r="PS8" t="s">
        <v>303</v>
      </c>
      <c r="PT8">
        <v>4.2264080000000002</v>
      </c>
      <c r="PU8" t="s">
        <v>1598</v>
      </c>
      <c r="PV8">
        <v>0.20091100000000001</v>
      </c>
      <c r="PW8" t="s">
        <v>1664</v>
      </c>
      <c r="PX8">
        <v>2025</v>
      </c>
      <c r="PY8" t="s">
        <v>3096</v>
      </c>
      <c r="PZ8" s="6">
        <v>45918</v>
      </c>
      <c r="QA8">
        <v>5</v>
      </c>
      <c r="QB8">
        <v>162354288</v>
      </c>
      <c r="QC8">
        <v>216952</v>
      </c>
      <c r="QD8" t="s">
        <v>1631</v>
      </c>
      <c r="QI8" t="s">
        <v>110</v>
      </c>
      <c r="QK8">
        <v>-2.4245362661989844E-14</v>
      </c>
      <c r="QL8">
        <v>-2.4245362661989844E-14</v>
      </c>
      <c r="QM8" t="s">
        <v>1594</v>
      </c>
      <c r="QN8">
        <v>2021</v>
      </c>
      <c r="QO8" t="s">
        <v>4239</v>
      </c>
      <c r="QP8" s="6">
        <v>44693</v>
      </c>
      <c r="QQ8">
        <v>5</v>
      </c>
      <c r="QR8">
        <v>-2.4245362661989844E-14</v>
      </c>
      <c r="QS8">
        <v>100193</v>
      </c>
      <c r="QT8" t="s">
        <v>3708</v>
      </c>
      <c r="RM8" t="s">
        <v>3065</v>
      </c>
      <c r="RN8" t="s">
        <v>1685</v>
      </c>
      <c r="RO8">
        <v>4.256977</v>
      </c>
      <c r="RP8">
        <v>4.9215000000000002E-2</v>
      </c>
      <c r="RQ8" t="s">
        <v>1594</v>
      </c>
      <c r="RR8">
        <v>2025</v>
      </c>
      <c r="RS8" t="s">
        <v>3066</v>
      </c>
      <c r="RT8" s="6">
        <v>46063</v>
      </c>
      <c r="RU8">
        <v>5</v>
      </c>
      <c r="RV8">
        <v>8579000</v>
      </c>
      <c r="RW8">
        <v>143096</v>
      </c>
      <c r="RX8" t="s">
        <v>3067</v>
      </c>
      <c r="SA8" t="s">
        <v>6106</v>
      </c>
      <c r="SB8">
        <v>-2.4245362661989844E-14</v>
      </c>
      <c r="SD8">
        <v>-2.4245362661989844E-14</v>
      </c>
      <c r="SE8" t="s">
        <v>1594</v>
      </c>
      <c r="SF8">
        <v>2023</v>
      </c>
      <c r="SG8" t="s">
        <v>6107</v>
      </c>
      <c r="SH8" s="6">
        <v>45008</v>
      </c>
      <c r="SI8">
        <v>4</v>
      </c>
      <c r="SJ8">
        <v>-2.4245362661989844E-14</v>
      </c>
      <c r="SK8">
        <v>11889410</v>
      </c>
      <c r="SL8" t="s">
        <v>6108</v>
      </c>
      <c r="SQ8" t="s">
        <v>2556</v>
      </c>
      <c r="SR8" t="s">
        <v>1598</v>
      </c>
      <c r="SS8">
        <v>2.6461350000000001</v>
      </c>
      <c r="ST8">
        <v>3.5549309999999998</v>
      </c>
      <c r="SU8" t="s">
        <v>1599</v>
      </c>
      <c r="SV8">
        <v>2025</v>
      </c>
      <c r="SW8" t="s">
        <v>2557</v>
      </c>
      <c r="SX8" s="6">
        <v>45763</v>
      </c>
      <c r="SY8">
        <v>5</v>
      </c>
      <c r="SZ8">
        <v>173480608</v>
      </c>
      <c r="TA8">
        <v>136547</v>
      </c>
      <c r="TB8" t="s">
        <v>2558</v>
      </c>
      <c r="TE8" t="s">
        <v>303</v>
      </c>
      <c r="TF8">
        <v>2.5842719999999999</v>
      </c>
      <c r="TG8" t="s">
        <v>1634</v>
      </c>
      <c r="TH8">
        <v>1.4451639999999999</v>
      </c>
      <c r="TI8" t="s">
        <v>1664</v>
      </c>
      <c r="TJ8">
        <v>2025</v>
      </c>
      <c r="TK8" t="s">
        <v>3227</v>
      </c>
      <c r="TL8" s="6">
        <v>45783</v>
      </c>
      <c r="TM8">
        <v>5</v>
      </c>
      <c r="TN8">
        <v>361565504</v>
      </c>
      <c r="TO8">
        <v>216952</v>
      </c>
      <c r="TP8" t="s">
        <v>1631</v>
      </c>
      <c r="UY8" t="s">
        <v>2338</v>
      </c>
      <c r="UZ8" t="s">
        <v>1598</v>
      </c>
      <c r="VA8">
        <v>3.6861709999999999</v>
      </c>
      <c r="VB8">
        <v>2.8514999999999999E-2</v>
      </c>
      <c r="VC8" t="s">
        <v>1594</v>
      </c>
      <c r="VD8">
        <v>2025</v>
      </c>
      <c r="VE8" t="s">
        <v>2339</v>
      </c>
      <c r="VF8" s="6">
        <v>45899</v>
      </c>
      <c r="VG8">
        <v>5</v>
      </c>
      <c r="VH8">
        <v>3605416.84</v>
      </c>
      <c r="VI8">
        <v>178615</v>
      </c>
      <c r="VJ8" t="s">
        <v>2340</v>
      </c>
      <c r="VM8" t="s">
        <v>1210</v>
      </c>
      <c r="VN8">
        <v>5.1722729999999997</v>
      </c>
      <c r="VO8" t="s">
        <v>1598</v>
      </c>
      <c r="VP8">
        <v>4.6149529999999999</v>
      </c>
      <c r="VQ8" t="s">
        <v>1599</v>
      </c>
      <c r="VR8">
        <v>2025</v>
      </c>
      <c r="VS8" t="s">
        <v>1941</v>
      </c>
      <c r="VT8" s="6">
        <v>45946</v>
      </c>
      <c r="VU8">
        <v>5</v>
      </c>
      <c r="VV8">
        <v>689321728</v>
      </c>
      <c r="VW8">
        <v>47114179</v>
      </c>
      <c r="VX8" t="s">
        <v>1945</v>
      </c>
    </row>
    <row r="9" spans="1:600" x14ac:dyDescent="0.25">
      <c r="AE9" t="s">
        <v>3184</v>
      </c>
      <c r="AF9" t="s">
        <v>1634</v>
      </c>
      <c r="AG9">
        <v>24.9</v>
      </c>
      <c r="AH9">
        <v>7.4053610000000001</v>
      </c>
      <c r="AI9" t="s">
        <v>1599</v>
      </c>
      <c r="AJ9">
        <v>2026</v>
      </c>
      <c r="AK9" t="s">
        <v>3185</v>
      </c>
      <c r="AL9" s="6">
        <v>45981</v>
      </c>
      <c r="AM9">
        <v>5</v>
      </c>
      <c r="AN9">
        <v>361900000</v>
      </c>
      <c r="AO9">
        <v>100487</v>
      </c>
      <c r="AP9" t="s">
        <v>3186</v>
      </c>
      <c r="AS9" t="s">
        <v>2592</v>
      </c>
      <c r="AT9">
        <v>7.0479999999999996E-3</v>
      </c>
      <c r="AU9" t="s">
        <v>1598</v>
      </c>
      <c r="AV9">
        <v>0.37631900000000001</v>
      </c>
      <c r="AW9" t="s">
        <v>1606</v>
      </c>
      <c r="AX9">
        <v>2024</v>
      </c>
      <c r="AY9" t="s">
        <v>2593</v>
      </c>
      <c r="AZ9" s="6">
        <v>45742</v>
      </c>
      <c r="BA9">
        <v>5</v>
      </c>
      <c r="BB9">
        <v>2163480.08</v>
      </c>
      <c r="BC9">
        <v>153672</v>
      </c>
      <c r="BD9" t="s">
        <v>2594</v>
      </c>
      <c r="BI9" t="s">
        <v>2275</v>
      </c>
      <c r="BJ9" t="s">
        <v>1598</v>
      </c>
      <c r="BK9">
        <v>1.2467000000000001E-2</v>
      </c>
      <c r="BL9">
        <v>4.5800000000000002E-4</v>
      </c>
      <c r="BM9" t="s">
        <v>1664</v>
      </c>
      <c r="BN9">
        <v>2025</v>
      </c>
      <c r="BO9" t="s">
        <v>2276</v>
      </c>
      <c r="BP9" s="6">
        <v>45744</v>
      </c>
      <c r="BQ9">
        <v>5</v>
      </c>
      <c r="BR9">
        <v>6232.4</v>
      </c>
      <c r="BS9">
        <v>28653435</v>
      </c>
      <c r="BT9" t="s">
        <v>2277</v>
      </c>
      <c r="BW9" t="s">
        <v>1801</v>
      </c>
      <c r="BX9">
        <v>-2.4245362661989844E-14</v>
      </c>
      <c r="BZ9">
        <v>-2.4245362661989844E-14</v>
      </c>
      <c r="CA9" t="s">
        <v>1594</v>
      </c>
      <c r="CB9">
        <v>2022</v>
      </c>
      <c r="CC9" t="s">
        <v>1802</v>
      </c>
      <c r="CD9" s="6">
        <v>45083</v>
      </c>
      <c r="CE9">
        <v>5</v>
      </c>
      <c r="CF9">
        <v>-2.4245362661989844E-14</v>
      </c>
      <c r="CG9">
        <v>34532225</v>
      </c>
      <c r="CH9" t="s">
        <v>1803</v>
      </c>
      <c r="CM9" t="s">
        <v>2298</v>
      </c>
      <c r="CN9" t="s">
        <v>1598</v>
      </c>
      <c r="CO9">
        <v>2.4084999999999999E-2</v>
      </c>
      <c r="CP9">
        <v>4.8836999999999998E-2</v>
      </c>
      <c r="CQ9" t="s">
        <v>1599</v>
      </c>
      <c r="CR9">
        <v>2025</v>
      </c>
      <c r="CS9" t="s">
        <v>2299</v>
      </c>
      <c r="CT9" s="6">
        <v>45993</v>
      </c>
      <c r="CU9">
        <v>5</v>
      </c>
      <c r="CV9">
        <v>863929</v>
      </c>
      <c r="CW9">
        <v>100415</v>
      </c>
      <c r="CX9" t="s">
        <v>2300</v>
      </c>
      <c r="DA9" t="s">
        <v>173</v>
      </c>
      <c r="DB9">
        <v>1.3051170000000001</v>
      </c>
      <c r="DC9" t="s">
        <v>1598</v>
      </c>
      <c r="DD9">
        <v>0.246114</v>
      </c>
      <c r="DE9" t="s">
        <v>1599</v>
      </c>
      <c r="DF9">
        <v>2025</v>
      </c>
      <c r="DG9" t="s">
        <v>1864</v>
      </c>
      <c r="DH9" s="6">
        <v>46018</v>
      </c>
      <c r="DI9">
        <v>5</v>
      </c>
      <c r="DJ9">
        <v>28738676</v>
      </c>
      <c r="DK9">
        <v>100732</v>
      </c>
      <c r="DL9" t="s">
        <v>1869</v>
      </c>
      <c r="DQ9" t="s">
        <v>2152</v>
      </c>
      <c r="DS9">
        <v>-2.4245362661989844E-14</v>
      </c>
      <c r="DT9">
        <v>-2.4245362661989844E-14</v>
      </c>
      <c r="DU9" t="s">
        <v>1594</v>
      </c>
      <c r="DV9">
        <v>2021</v>
      </c>
      <c r="DW9" t="s">
        <v>2153</v>
      </c>
      <c r="DX9" s="6">
        <v>44693</v>
      </c>
      <c r="DY9">
        <v>5</v>
      </c>
      <c r="DZ9">
        <v>-2.4245362661989844E-14</v>
      </c>
      <c r="EA9">
        <v>100060</v>
      </c>
      <c r="EB9" t="s">
        <v>2154</v>
      </c>
      <c r="EU9" t="s">
        <v>4551</v>
      </c>
      <c r="EW9">
        <v>-2.4245362661989844E-14</v>
      </c>
      <c r="EX9">
        <v>-2.4245362661989844E-14</v>
      </c>
      <c r="EY9" t="s">
        <v>1664</v>
      </c>
      <c r="EZ9">
        <v>2024</v>
      </c>
      <c r="FA9" t="s">
        <v>4552</v>
      </c>
      <c r="FB9" s="6">
        <v>45433</v>
      </c>
      <c r="FC9">
        <v>5</v>
      </c>
      <c r="FD9">
        <v>-2.4245362661989844E-14</v>
      </c>
      <c r="FE9">
        <v>103350</v>
      </c>
      <c r="FF9" t="s">
        <v>4553</v>
      </c>
      <c r="HC9" t="s">
        <v>3082</v>
      </c>
      <c r="HD9" t="s">
        <v>1685</v>
      </c>
      <c r="HE9">
        <v>2.3601529999999999</v>
      </c>
      <c r="HF9">
        <v>0.26850400000000002</v>
      </c>
      <c r="HG9" t="s">
        <v>1594</v>
      </c>
      <c r="HH9">
        <v>2024</v>
      </c>
      <c r="HI9" t="s">
        <v>3083</v>
      </c>
      <c r="HJ9" s="6">
        <v>45715</v>
      </c>
      <c r="HK9">
        <v>5</v>
      </c>
      <c r="HL9">
        <v>4469251</v>
      </c>
      <c r="HM9">
        <v>979463</v>
      </c>
      <c r="HN9" t="s">
        <v>3084</v>
      </c>
      <c r="HQ9" t="s">
        <v>3308</v>
      </c>
      <c r="HR9">
        <v>-2.4245362661989844E-14</v>
      </c>
      <c r="HT9">
        <v>-2.4245362661989844E-14</v>
      </c>
      <c r="HU9" t="s">
        <v>1594</v>
      </c>
      <c r="HV9">
        <v>2024</v>
      </c>
      <c r="HW9" t="s">
        <v>3309</v>
      </c>
      <c r="HX9" s="6">
        <v>45333</v>
      </c>
      <c r="HY9">
        <v>5</v>
      </c>
      <c r="HZ9">
        <v>-2.4245362661989844E-14</v>
      </c>
      <c r="IA9">
        <v>136993</v>
      </c>
      <c r="IB9" t="s">
        <v>3310</v>
      </c>
      <c r="IG9" t="s">
        <v>276</v>
      </c>
      <c r="IH9" t="s">
        <v>1634</v>
      </c>
      <c r="II9">
        <v>3.6037650000000001</v>
      </c>
      <c r="IJ9">
        <v>0.90356199999999998</v>
      </c>
      <c r="IK9" t="s">
        <v>1664</v>
      </c>
      <c r="IL9">
        <v>2026</v>
      </c>
      <c r="IM9" t="s">
        <v>3356</v>
      </c>
      <c r="IN9" s="6">
        <v>46059</v>
      </c>
      <c r="IO9">
        <v>5</v>
      </c>
      <c r="IP9">
        <v>108725592</v>
      </c>
      <c r="IQ9">
        <v>101643</v>
      </c>
      <c r="IR9" t="s">
        <v>3357</v>
      </c>
      <c r="IU9" t="s">
        <v>306</v>
      </c>
      <c r="IV9">
        <v>0.66108800000000001</v>
      </c>
      <c r="IW9" t="s">
        <v>1598</v>
      </c>
      <c r="IX9">
        <v>0.122531</v>
      </c>
      <c r="IY9" t="s">
        <v>1606</v>
      </c>
      <c r="IZ9">
        <v>2025</v>
      </c>
      <c r="JA9" t="s">
        <v>2251</v>
      </c>
      <c r="JB9" s="6">
        <v>45848</v>
      </c>
      <c r="JC9">
        <v>5</v>
      </c>
      <c r="JD9">
        <v>105132824</v>
      </c>
      <c r="JE9">
        <v>101548</v>
      </c>
      <c r="JF9" t="s">
        <v>1770</v>
      </c>
      <c r="JK9" t="s">
        <v>3350</v>
      </c>
      <c r="JL9" t="s">
        <v>1598</v>
      </c>
      <c r="JM9">
        <v>0.82792200000000005</v>
      </c>
      <c r="JN9">
        <v>0.75151400000000002</v>
      </c>
      <c r="JO9" t="s">
        <v>1664</v>
      </c>
      <c r="JP9">
        <v>2025</v>
      </c>
      <c r="JQ9" t="s">
        <v>3351</v>
      </c>
      <c r="JR9" s="6">
        <v>45959</v>
      </c>
      <c r="JS9">
        <v>5</v>
      </c>
      <c r="JT9">
        <v>28398061.84</v>
      </c>
      <c r="JU9">
        <v>113332</v>
      </c>
      <c r="JV9" t="s">
        <v>3352</v>
      </c>
      <c r="JY9" t="s">
        <v>1621</v>
      </c>
      <c r="JZ9">
        <v>6</v>
      </c>
      <c r="KB9">
        <v>-2.4245362661989844E-14</v>
      </c>
      <c r="KC9" t="s">
        <v>1594</v>
      </c>
      <c r="KD9">
        <v>2024</v>
      </c>
      <c r="KE9" t="s">
        <v>2825</v>
      </c>
      <c r="KF9" s="6">
        <v>45715</v>
      </c>
      <c r="KG9">
        <v>5</v>
      </c>
      <c r="KH9">
        <v>954404992</v>
      </c>
      <c r="KI9">
        <v>218252</v>
      </c>
      <c r="KJ9" t="s">
        <v>1622</v>
      </c>
      <c r="KO9" t="s">
        <v>3079</v>
      </c>
      <c r="KP9" t="s">
        <v>1685</v>
      </c>
      <c r="KQ9">
        <v>0.73021599999999998</v>
      </c>
      <c r="KR9">
        <v>2.7116000000000001E-2</v>
      </c>
      <c r="KS9" t="s">
        <v>1594</v>
      </c>
      <c r="KT9">
        <v>2024</v>
      </c>
      <c r="KU9" t="s">
        <v>3080</v>
      </c>
      <c r="KV9" s="6">
        <v>45742</v>
      </c>
      <c r="KW9">
        <v>5</v>
      </c>
      <c r="KX9">
        <v>646234.6</v>
      </c>
      <c r="KY9">
        <v>118735</v>
      </c>
      <c r="KZ9" t="s">
        <v>3081</v>
      </c>
      <c r="LS9" t="s">
        <v>2236</v>
      </c>
      <c r="LT9" t="s">
        <v>1598</v>
      </c>
      <c r="LU9">
        <v>10.5</v>
      </c>
      <c r="LV9">
        <v>7.349405</v>
      </c>
      <c r="LW9" t="s">
        <v>1594</v>
      </c>
      <c r="LX9">
        <v>2024</v>
      </c>
      <c r="LY9" t="s">
        <v>2237</v>
      </c>
      <c r="LZ9" s="6">
        <v>45744</v>
      </c>
      <c r="MA9">
        <v>5</v>
      </c>
      <c r="MB9">
        <v>778954139.5</v>
      </c>
      <c r="MC9">
        <v>113389</v>
      </c>
      <c r="MD9" t="s">
        <v>2238</v>
      </c>
      <c r="MG9" t="s">
        <v>1786</v>
      </c>
      <c r="MH9">
        <v>0.56558799999999998</v>
      </c>
      <c r="MI9" t="s">
        <v>1598</v>
      </c>
      <c r="MJ9">
        <v>3.5370110000000001</v>
      </c>
      <c r="MK9" t="s">
        <v>1664</v>
      </c>
      <c r="ML9">
        <v>2025</v>
      </c>
      <c r="MM9" t="s">
        <v>1787</v>
      </c>
      <c r="MN9" s="6">
        <v>46008</v>
      </c>
      <c r="MO9">
        <v>5</v>
      </c>
      <c r="MP9">
        <v>82257509.170000002</v>
      </c>
      <c r="MQ9">
        <v>349049</v>
      </c>
      <c r="MR9" t="s">
        <v>1788</v>
      </c>
      <c r="MW9" t="s">
        <v>3387</v>
      </c>
      <c r="MX9" t="s">
        <v>1598</v>
      </c>
      <c r="MY9">
        <v>1.017503</v>
      </c>
      <c r="MZ9">
        <v>1.621964</v>
      </c>
      <c r="NA9" t="s">
        <v>1664</v>
      </c>
      <c r="NB9">
        <v>2025</v>
      </c>
      <c r="NC9" t="s">
        <v>3388</v>
      </c>
      <c r="ND9" s="6">
        <v>45929</v>
      </c>
      <c r="NE9">
        <v>5</v>
      </c>
      <c r="NF9">
        <v>123835292.08</v>
      </c>
      <c r="NG9">
        <v>115679</v>
      </c>
      <c r="NH9" t="s">
        <v>3389</v>
      </c>
      <c r="NK9" t="s">
        <v>1669</v>
      </c>
      <c r="NL9">
        <v>2.108371</v>
      </c>
      <c r="NM9" t="s">
        <v>1598</v>
      </c>
      <c r="NN9">
        <v>2.5571009999999998</v>
      </c>
      <c r="NO9" t="s">
        <v>1664</v>
      </c>
      <c r="NP9">
        <v>2025</v>
      </c>
      <c r="NQ9" t="s">
        <v>1921</v>
      </c>
      <c r="NR9" s="6">
        <v>45919</v>
      </c>
      <c r="NS9">
        <v>5</v>
      </c>
      <c r="NT9">
        <v>501043244.87</v>
      </c>
      <c r="NU9">
        <v>115268</v>
      </c>
      <c r="NV9" t="s">
        <v>1670</v>
      </c>
      <c r="OA9" t="s">
        <v>2567</v>
      </c>
      <c r="OC9">
        <v>2.4574069999999999</v>
      </c>
      <c r="OD9">
        <v>-2.4245362661989844E-14</v>
      </c>
      <c r="OE9" t="s">
        <v>1599</v>
      </c>
      <c r="OF9">
        <v>2025</v>
      </c>
      <c r="OG9" t="s">
        <v>2568</v>
      </c>
      <c r="OH9" s="6">
        <v>45966</v>
      </c>
      <c r="OI9">
        <v>5</v>
      </c>
      <c r="OJ9">
        <v>2258750</v>
      </c>
      <c r="OK9">
        <v>34865158</v>
      </c>
      <c r="OL9" t="s">
        <v>2569</v>
      </c>
      <c r="OO9" t="s">
        <v>1891</v>
      </c>
      <c r="OP9">
        <v>-2.4245362661989844E-14</v>
      </c>
      <c r="OR9">
        <v>-2.4245362661989844E-14</v>
      </c>
      <c r="OS9" t="s">
        <v>1594</v>
      </c>
      <c r="OT9">
        <v>2021</v>
      </c>
      <c r="OU9" t="s">
        <v>2726</v>
      </c>
      <c r="OV9" s="6">
        <v>44630</v>
      </c>
      <c r="OW9">
        <v>5</v>
      </c>
      <c r="OX9">
        <v>-2.4245362661989844E-14</v>
      </c>
      <c r="OY9">
        <v>100115</v>
      </c>
      <c r="OZ9" t="s">
        <v>1893</v>
      </c>
      <c r="PE9" t="s">
        <v>4230</v>
      </c>
      <c r="PF9" t="s">
        <v>1598</v>
      </c>
      <c r="PG9">
        <v>0.175042</v>
      </c>
      <c r="PH9">
        <v>0.14444399999999999</v>
      </c>
      <c r="PI9" t="s">
        <v>1599</v>
      </c>
      <c r="PJ9">
        <v>2025</v>
      </c>
      <c r="PK9" t="s">
        <v>4231</v>
      </c>
      <c r="PL9" s="6">
        <v>46077</v>
      </c>
      <c r="PM9">
        <v>5</v>
      </c>
      <c r="PN9">
        <v>3853629.74</v>
      </c>
      <c r="PO9">
        <v>117928</v>
      </c>
      <c r="PP9" t="s">
        <v>4232</v>
      </c>
      <c r="PS9" t="s">
        <v>2802</v>
      </c>
      <c r="PT9">
        <v>1.6135250000000001</v>
      </c>
      <c r="PU9" t="s">
        <v>1598</v>
      </c>
      <c r="PV9">
        <v>1.4514400000000001</v>
      </c>
      <c r="PW9" t="s">
        <v>1599</v>
      </c>
      <c r="PX9">
        <v>2025</v>
      </c>
      <c r="PY9" t="s">
        <v>2803</v>
      </c>
      <c r="PZ9" s="6">
        <v>45926</v>
      </c>
      <c r="QA9">
        <v>5</v>
      </c>
      <c r="QB9">
        <v>64924871.189999998</v>
      </c>
      <c r="QC9">
        <v>191315</v>
      </c>
      <c r="QD9" t="s">
        <v>2804</v>
      </c>
      <c r="QI9" t="s">
        <v>5677</v>
      </c>
      <c r="QK9">
        <v>-2.4245362661989844E-14</v>
      </c>
      <c r="QL9">
        <v>-2.4245362661989844E-14</v>
      </c>
      <c r="QM9" t="s">
        <v>1594</v>
      </c>
      <c r="QN9">
        <v>2021</v>
      </c>
      <c r="QO9" t="s">
        <v>5678</v>
      </c>
      <c r="QP9" s="6">
        <v>44634</v>
      </c>
      <c r="QQ9">
        <v>5</v>
      </c>
      <c r="QR9">
        <v>-2.4245362661989844E-14</v>
      </c>
      <c r="QS9">
        <v>1749903</v>
      </c>
      <c r="QT9" t="s">
        <v>5679</v>
      </c>
      <c r="RM9" t="s">
        <v>3370</v>
      </c>
      <c r="RO9">
        <v>0.824349</v>
      </c>
      <c r="RP9">
        <v>-2.4245362661989844E-14</v>
      </c>
      <c r="RQ9" t="s">
        <v>1599</v>
      </c>
      <c r="RR9">
        <v>2025</v>
      </c>
      <c r="RS9" t="s">
        <v>3371</v>
      </c>
      <c r="RT9" s="6">
        <v>45996</v>
      </c>
      <c r="RU9">
        <v>5</v>
      </c>
      <c r="RV9">
        <v>7184285</v>
      </c>
      <c r="RW9">
        <v>225275</v>
      </c>
      <c r="RX9" t="s">
        <v>3372</v>
      </c>
      <c r="SQ9" t="s">
        <v>4008</v>
      </c>
      <c r="SR9" t="s">
        <v>1598</v>
      </c>
      <c r="SS9">
        <v>18.200001</v>
      </c>
      <c r="ST9">
        <v>3.1899000000000002</v>
      </c>
      <c r="SU9" t="s">
        <v>1594</v>
      </c>
      <c r="SV9">
        <v>2025</v>
      </c>
      <c r="SW9" t="s">
        <v>4009</v>
      </c>
      <c r="SX9" s="6">
        <v>45888</v>
      </c>
      <c r="SY9">
        <v>5</v>
      </c>
      <c r="SZ9">
        <v>155579376</v>
      </c>
      <c r="TA9">
        <v>9858567</v>
      </c>
      <c r="TB9" t="s">
        <v>4010</v>
      </c>
      <c r="TE9" t="s">
        <v>21</v>
      </c>
      <c r="TF9">
        <v>1.966375</v>
      </c>
      <c r="TG9" t="s">
        <v>1634</v>
      </c>
      <c r="TH9">
        <v>5.4308940000000003</v>
      </c>
      <c r="TI9" t="s">
        <v>1664</v>
      </c>
      <c r="TJ9">
        <v>2025</v>
      </c>
      <c r="TK9" t="s">
        <v>3227</v>
      </c>
      <c r="TL9" s="6">
        <v>45783</v>
      </c>
      <c r="TM9">
        <v>5</v>
      </c>
      <c r="TN9">
        <v>275115520</v>
      </c>
      <c r="TO9">
        <v>101376</v>
      </c>
      <c r="TP9" t="s">
        <v>3621</v>
      </c>
      <c r="UY9" t="s">
        <v>2341</v>
      </c>
      <c r="UZ9" t="s">
        <v>1598</v>
      </c>
      <c r="VA9">
        <v>0.15045500000000001</v>
      </c>
      <c r="VB9">
        <v>1.397E-2</v>
      </c>
      <c r="VC9" t="s">
        <v>1599</v>
      </c>
      <c r="VD9">
        <v>2025</v>
      </c>
      <c r="VE9" t="s">
        <v>2342</v>
      </c>
      <c r="VF9" s="6">
        <v>46042</v>
      </c>
      <c r="VG9">
        <v>5</v>
      </c>
      <c r="VH9">
        <v>1777012</v>
      </c>
      <c r="VI9">
        <v>16555266</v>
      </c>
      <c r="VJ9" t="s">
        <v>2343</v>
      </c>
      <c r="VM9" t="s">
        <v>311</v>
      </c>
      <c r="VN9">
        <v>2.775217</v>
      </c>
      <c r="VO9" t="s">
        <v>1598</v>
      </c>
      <c r="VP9">
        <v>1.415462</v>
      </c>
      <c r="VQ9" t="s">
        <v>1599</v>
      </c>
      <c r="VR9">
        <v>2025</v>
      </c>
      <c r="VS9" t="s">
        <v>1941</v>
      </c>
      <c r="VT9" s="6">
        <v>45946</v>
      </c>
      <c r="VU9">
        <v>5</v>
      </c>
      <c r="VV9">
        <v>369860096</v>
      </c>
      <c r="VW9">
        <v>100864</v>
      </c>
      <c r="VX9" t="s">
        <v>1668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843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844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845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846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847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848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849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850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851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852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853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854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855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856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857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858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859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860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861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862</v>
      </c>
      <c r="AE2" s="3" t="s">
        <v>863</v>
      </c>
      <c r="BI2" s="3" t="s">
        <v>864</v>
      </c>
      <c r="CM2" s="3" t="s">
        <v>85</v>
      </c>
      <c r="DQ2" s="3" t="s">
        <v>803</v>
      </c>
      <c r="EU2" s="3" t="s">
        <v>399</v>
      </c>
      <c r="FY2" s="3" t="s">
        <v>865</v>
      </c>
      <c r="HC2" s="3" t="s">
        <v>866</v>
      </c>
      <c r="IG2" s="3" t="s">
        <v>867</v>
      </c>
      <c r="JK2" s="3" t="s">
        <v>207</v>
      </c>
      <c r="KO2" s="3" t="s">
        <v>868</v>
      </c>
      <c r="LS2" s="3" t="s">
        <v>869</v>
      </c>
      <c r="MW2" s="3" t="s">
        <v>870</v>
      </c>
      <c r="OA2" s="3" t="s">
        <v>871</v>
      </c>
      <c r="PE2" s="3" t="s">
        <v>872</v>
      </c>
      <c r="QI2" s="3" t="s">
        <v>873</v>
      </c>
      <c r="RM2" s="3" t="s">
        <v>874</v>
      </c>
      <c r="SQ2" s="3" t="s">
        <v>875</v>
      </c>
      <c r="TU2" s="3" t="s">
        <v>176</v>
      </c>
      <c r="UY2" s="3" t="s">
        <v>876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_xll.BDS("PH US Equity","SUPPLY_CHAIN_SUPPLIERS_ALL_DATA","cols=12;rows=5")</f>
        <v>RBC US Equity</v>
      </c>
      <c r="B5" t="s">
        <v>1598</v>
      </c>
      <c r="C5">
        <v>0.98676200000000003</v>
      </c>
      <c r="D5">
        <v>0.13495099999999999</v>
      </c>
      <c r="E5" t="s">
        <v>1606</v>
      </c>
      <c r="F5">
        <v>2025</v>
      </c>
      <c r="G5" t="s">
        <v>3314</v>
      </c>
      <c r="H5" s="6">
        <v>45797</v>
      </c>
      <c r="I5">
        <v>5</v>
      </c>
      <c r="J5">
        <v>4319057</v>
      </c>
      <c r="K5">
        <v>9777162</v>
      </c>
      <c r="L5" t="s">
        <v>3315</v>
      </c>
      <c r="O5" t="str">
        <f>_xll.BDS("PH US Equity","SUPPLY_CHAIN_CUSTOMERS_ALL_DATA","cols=12;rows=5")</f>
        <v>BA US Equity</v>
      </c>
      <c r="P5">
        <v>3.9296899999999999</v>
      </c>
      <c r="Q5" t="s">
        <v>1598</v>
      </c>
      <c r="R5">
        <v>0.95998300000000003</v>
      </c>
      <c r="S5" t="s">
        <v>1606</v>
      </c>
      <c r="T5">
        <v>2025</v>
      </c>
      <c r="U5" t="s">
        <v>2137</v>
      </c>
      <c r="V5" s="6">
        <v>45894</v>
      </c>
      <c r="W5">
        <v>5</v>
      </c>
      <c r="X5">
        <v>195010864</v>
      </c>
      <c r="Y5">
        <v>100211</v>
      </c>
      <c r="Z5" t="s">
        <v>1632</v>
      </c>
      <c r="AE5" t="str">
        <f>_xll.BDS("RRC US Equity","SUPPLY_CHAIN_SUPPLIERS_ALL_DATA","cols=12;rows=3")</f>
        <v>PFIE US Equity</v>
      </c>
      <c r="AG5">
        <v>-2.4245362661989844E-14</v>
      </c>
      <c r="AH5">
        <v>-2.4245362661989844E-14</v>
      </c>
      <c r="AI5" t="s">
        <v>1603</v>
      </c>
      <c r="AJ5">
        <v>2024</v>
      </c>
      <c r="AK5" t="s">
        <v>4968</v>
      </c>
      <c r="AL5" s="6">
        <v>45421</v>
      </c>
      <c r="AM5">
        <v>3</v>
      </c>
      <c r="AN5">
        <v>-2.4245362661989844E-14</v>
      </c>
      <c r="AO5">
        <v>9808869</v>
      </c>
      <c r="AP5" t="s">
        <v>4969</v>
      </c>
      <c r="AS5" t="str">
        <f>_xll.BDS("RRC US Equity","SUPPLY_CHAIN_CUSTOMERS_ALL_DATA")</f>
        <v>#N/A N/A</v>
      </c>
      <c r="BI5" t="str">
        <f>_xll.BDS("CF US Equity","SUPPLY_CHAIN_SUPPLIERS_ALL_DATA","cols=12;rows=5")</f>
        <v>JMAT LN Equity</v>
      </c>
      <c r="BJ5" t="s">
        <v>1598</v>
      </c>
      <c r="BK5">
        <v>5.9544E-2</v>
      </c>
      <c r="BL5">
        <v>0.21159</v>
      </c>
      <c r="BM5" t="s">
        <v>1606</v>
      </c>
      <c r="BN5">
        <v>2025</v>
      </c>
      <c r="BO5" t="s">
        <v>3257</v>
      </c>
      <c r="BP5" s="6">
        <v>45943</v>
      </c>
      <c r="BQ5">
        <v>5</v>
      </c>
      <c r="BR5">
        <v>2266158.48</v>
      </c>
      <c r="BS5">
        <v>111810</v>
      </c>
      <c r="BT5" t="s">
        <v>3258</v>
      </c>
      <c r="BW5" t="str">
        <f>_xll.BDS("CF US Equity","SUPPLY_CHAIN_CUSTOMERS_ALL_DATA","cols=12;rows=5")</f>
        <v>7165Z US Equity</v>
      </c>
      <c r="BX5">
        <v>12</v>
      </c>
      <c r="BY5" t="s">
        <v>1598</v>
      </c>
      <c r="BZ5">
        <v>1.997665</v>
      </c>
      <c r="CA5" t="s">
        <v>1594</v>
      </c>
      <c r="CB5">
        <v>2024</v>
      </c>
      <c r="CC5" t="s">
        <v>4316</v>
      </c>
      <c r="CD5" s="6">
        <v>45708</v>
      </c>
      <c r="CE5">
        <v>5</v>
      </c>
      <c r="CF5">
        <v>178080000</v>
      </c>
      <c r="CG5">
        <v>201737</v>
      </c>
      <c r="CH5" t="s">
        <v>2663</v>
      </c>
      <c r="CM5" t="str">
        <f>_xll.BDS("FIS US Equity","SUPPLY_CHAIN_SUPPLIERS_ALL_DATA","cols=12;rows=5")</f>
        <v>HPE US Equity</v>
      </c>
      <c r="CN5" t="s">
        <v>1598</v>
      </c>
      <c r="CO5">
        <v>0.337399</v>
      </c>
      <c r="CP5">
        <v>1.5567709999999999</v>
      </c>
      <c r="CQ5" t="s">
        <v>1664</v>
      </c>
      <c r="CR5">
        <v>2025</v>
      </c>
      <c r="CS5" t="s">
        <v>3110</v>
      </c>
      <c r="CT5" s="6">
        <v>45846</v>
      </c>
      <c r="CU5">
        <v>5</v>
      </c>
      <c r="CV5">
        <v>25733422</v>
      </c>
      <c r="CW5">
        <v>42602315</v>
      </c>
      <c r="CX5" t="s">
        <v>3111</v>
      </c>
      <c r="DA5" t="str">
        <f>_xll.BDS("FIS US Equity","SUPPLY_CHAIN_CUSTOMERS_ALL_DATA","cols=12;rows=5")</f>
        <v>IBM US Equity</v>
      </c>
      <c r="DB5">
        <v>0.52327299999999999</v>
      </c>
      <c r="DC5" t="s">
        <v>1598</v>
      </c>
      <c r="DD5">
        <v>0.20352200000000001</v>
      </c>
      <c r="DE5" t="s">
        <v>1603</v>
      </c>
      <c r="DF5">
        <v>2025</v>
      </c>
      <c r="DG5" t="s">
        <v>1744</v>
      </c>
      <c r="DH5" s="6">
        <v>45797</v>
      </c>
      <c r="DI5">
        <v>5</v>
      </c>
      <c r="DJ5">
        <v>13249282</v>
      </c>
      <c r="DK5">
        <v>100801</v>
      </c>
      <c r="DL5" t="s">
        <v>1745</v>
      </c>
      <c r="DQ5" t="str">
        <f>_xll.BDS("166783Q US Equity","SUPPLY_CHAIN_SUPPLIERS_ALL_DATA")</f>
        <v>#N/A N/A</v>
      </c>
      <c r="EE5" t="str">
        <f>_xll.BDS("166783Q US Equity","SUPPLY_CHAIN_CUSTOMERS_ALL_DATA")</f>
        <v>#N/A N/A</v>
      </c>
      <c r="EU5" t="str">
        <f>_xll.BDS("IP US Equity","SUPPLY_CHAIN_SUPPLIERS_ALL_DATA","cols=12;rows=5")</f>
        <v>MTX US Equity</v>
      </c>
      <c r="EV5" t="s">
        <v>1598</v>
      </c>
      <c r="EW5">
        <v>2.7562509999999998</v>
      </c>
      <c r="EX5">
        <v>0.34728900000000001</v>
      </c>
      <c r="EY5" t="s">
        <v>1606</v>
      </c>
      <c r="EZ5">
        <v>2025</v>
      </c>
      <c r="FA5" t="s">
        <v>3756</v>
      </c>
      <c r="FB5" s="6">
        <v>46070</v>
      </c>
      <c r="FC5">
        <v>5</v>
      </c>
      <c r="FD5">
        <v>14318724</v>
      </c>
      <c r="FE5">
        <v>115851</v>
      </c>
      <c r="FF5" t="s">
        <v>3757</v>
      </c>
      <c r="FI5" t="str">
        <f>_xll.BDS("IP US Equity","SUPPLY_CHAIN_CUSTOMERS_ALL_DATA","cols=12;rows=5")</f>
        <v>TSCO LN Equity</v>
      </c>
      <c r="FJ5">
        <v>0.128079</v>
      </c>
      <c r="FK5" t="s">
        <v>1598</v>
      </c>
      <c r="FL5">
        <v>4.0013E-2</v>
      </c>
      <c r="FM5" t="s">
        <v>1603</v>
      </c>
      <c r="FN5">
        <v>2026</v>
      </c>
      <c r="FO5" t="s">
        <v>1876</v>
      </c>
      <c r="FP5" s="6">
        <v>45898</v>
      </c>
      <c r="FQ5">
        <v>5</v>
      </c>
      <c r="FR5">
        <v>8490118.5899999999</v>
      </c>
      <c r="FS5">
        <v>112370</v>
      </c>
      <c r="FT5" t="s">
        <v>1877</v>
      </c>
      <c r="FY5" t="str">
        <f>_xll.BDS("TCF US Equity","SUPPLY_CHAIN_SUPPLIERS_ALL_DATA")</f>
        <v>#N/A N/A</v>
      </c>
      <c r="GM5" t="str">
        <f>_xll.BDS("TCF US Equity","SUPPLY_CHAIN_CUSTOMERS_ALL_DATA")</f>
        <v>#N/A N/A</v>
      </c>
      <c r="HC5" t="str">
        <f>_xll.BDS("0616747D US Equity","SUPPLY_CHAIN_SUPPLIERS_ALL_DATA")</f>
        <v>#N/A N/A</v>
      </c>
      <c r="HQ5" t="str">
        <f>_xll.BDS("0616747D US Equity","SUPPLY_CHAIN_CUSTOMERS_ALL_DATA")</f>
        <v>#N/A N/A</v>
      </c>
      <c r="IG5" t="str">
        <f>_xll.BDS("DCNAQ US Equity","SUPPLY_CHAIN_SUPPLIERS_ALL_DATA")</f>
        <v>#N/A N/A</v>
      </c>
      <c r="IU5" t="str">
        <f>_xll.BDS("DCNAQ US Equity","SUPPLY_CHAIN_CUSTOMERS_ALL_DATA","cols=12;rows=1")</f>
        <v>000320 KS Equity</v>
      </c>
      <c r="IV5">
        <v>-2.4245362661989844E-14</v>
      </c>
      <c r="IX5">
        <v>-2.4245362661989844E-14</v>
      </c>
      <c r="IY5" t="s">
        <v>2469</v>
      </c>
      <c r="IZ5">
        <v>2025</v>
      </c>
      <c r="JA5" t="s">
        <v>5807</v>
      </c>
      <c r="JB5" s="6">
        <v>45883</v>
      </c>
      <c r="JC5">
        <v>1</v>
      </c>
      <c r="JD5">
        <v>-2.4245362661989844E-14</v>
      </c>
      <c r="JE5">
        <v>129006</v>
      </c>
      <c r="JF5" t="s">
        <v>5808</v>
      </c>
      <c r="JK5" t="str">
        <f>_xll.BDS("GILD US Equity","SUPPLY_CHAIN_SUPPLIERS_ALL_DATA","cols=12;rows=5")</f>
        <v>JNJ US Equity</v>
      </c>
      <c r="JL5" t="s">
        <v>1598</v>
      </c>
      <c r="JM5">
        <v>0.39174900000000001</v>
      </c>
      <c r="JN5">
        <v>5.9191529999999997</v>
      </c>
      <c r="JO5" t="s">
        <v>1594</v>
      </c>
      <c r="JP5">
        <v>2025</v>
      </c>
      <c r="JQ5" t="s">
        <v>2373</v>
      </c>
      <c r="JR5" s="6">
        <v>46077</v>
      </c>
      <c r="JS5">
        <v>5</v>
      </c>
      <c r="JT5">
        <v>92250000</v>
      </c>
      <c r="JU5">
        <v>100828</v>
      </c>
      <c r="JV5" t="s">
        <v>1865</v>
      </c>
      <c r="JY5" t="str">
        <f>_xll.BDS("GILD US Equity","SUPPLY_CHAIN_CUSTOMERS_ALL_DATA","cols=12;rows=5")</f>
        <v>CAH US Equity</v>
      </c>
      <c r="JZ5">
        <v>29</v>
      </c>
      <c r="KA5" t="s">
        <v>1598</v>
      </c>
      <c r="KB5">
        <v>3.6236459999999999</v>
      </c>
      <c r="KC5" t="s">
        <v>1594</v>
      </c>
      <c r="KD5">
        <v>2025</v>
      </c>
      <c r="KE5" t="s">
        <v>2373</v>
      </c>
      <c r="KF5" s="6">
        <v>46077</v>
      </c>
      <c r="KG5">
        <v>5</v>
      </c>
      <c r="KH5">
        <v>2134617472</v>
      </c>
      <c r="KI5">
        <v>102782</v>
      </c>
      <c r="KJ5" t="s">
        <v>1626</v>
      </c>
      <c r="KO5" t="str">
        <f>_xll.BDS("NRG US Equity","SUPPLY_CHAIN_SUPPLIERS_ALL_DATA","cols=12;rows=5")</f>
        <v>CNP US Equity</v>
      </c>
      <c r="KP5" t="s">
        <v>1598</v>
      </c>
      <c r="KQ5">
        <v>13.525396000000001</v>
      </c>
      <c r="KR5">
        <v>4.9439630000000001</v>
      </c>
      <c r="KS5" t="s">
        <v>1594</v>
      </c>
      <c r="KT5">
        <v>2024</v>
      </c>
      <c r="KU5" t="s">
        <v>2029</v>
      </c>
      <c r="KV5" s="6">
        <v>45708</v>
      </c>
      <c r="KW5">
        <v>5</v>
      </c>
      <c r="KX5">
        <v>292250000</v>
      </c>
      <c r="KY5">
        <v>100760</v>
      </c>
      <c r="KZ5" t="s">
        <v>2155</v>
      </c>
      <c r="LC5" t="str">
        <f>_xll.BDS("NRG US Equity","SUPPLY_CHAIN_CUSTOMERS_ALL_DATA","cols=12;rows=5")</f>
        <v>GAIN US Equity</v>
      </c>
      <c r="LD5">
        <v>1.422E-2</v>
      </c>
      <c r="LE5" t="s">
        <v>1598</v>
      </c>
      <c r="LF5">
        <v>15.843467</v>
      </c>
      <c r="LG5" t="s">
        <v>1594</v>
      </c>
      <c r="LH5">
        <v>2024</v>
      </c>
      <c r="LI5" t="s">
        <v>4304</v>
      </c>
      <c r="LJ5" s="6">
        <v>45714</v>
      </c>
      <c r="LK5">
        <v>5</v>
      </c>
      <c r="LL5">
        <v>1000000</v>
      </c>
      <c r="LM5">
        <v>9814324</v>
      </c>
      <c r="LN5" t="s">
        <v>4305</v>
      </c>
      <c r="LS5" t="str">
        <f>_xll.BDS("EXPE US Equity","SUPPLY_CHAIN_SUPPLIERS_ALL_DATA","cols=12;rows=5")</f>
        <v>TRIP US Equity</v>
      </c>
      <c r="LT5" t="s">
        <v>1685</v>
      </c>
      <c r="LU5">
        <v>13.251785999999999</v>
      </c>
      <c r="LV5">
        <v>3.008667</v>
      </c>
      <c r="LW5" t="s">
        <v>1664</v>
      </c>
      <c r="LX5">
        <v>2025</v>
      </c>
      <c r="LY5" t="s">
        <v>4813</v>
      </c>
      <c r="LZ5" s="6">
        <v>45896</v>
      </c>
      <c r="MA5">
        <v>5</v>
      </c>
      <c r="MB5">
        <v>70101952</v>
      </c>
      <c r="MC5">
        <v>12130356</v>
      </c>
      <c r="MD5" t="s">
        <v>4814</v>
      </c>
      <c r="MG5" t="str">
        <f>_xll.BDS("EXPE US Equity","SUPPLY_CHAIN_CUSTOMERS_ALL_DATA","cols=12;rows=5")</f>
        <v>2731 TT Equity</v>
      </c>
      <c r="MH5">
        <v>-2.4245362661989844E-14</v>
      </c>
      <c r="MJ5">
        <v>-2.4245362661989844E-14</v>
      </c>
      <c r="MK5" t="s">
        <v>1594</v>
      </c>
      <c r="ML5">
        <v>2024</v>
      </c>
      <c r="MM5" t="s">
        <v>4670</v>
      </c>
      <c r="MN5" s="6">
        <v>45787</v>
      </c>
      <c r="MO5">
        <v>5</v>
      </c>
      <c r="MP5">
        <v>-2.4245362661989844E-14</v>
      </c>
      <c r="MQ5">
        <v>22394869</v>
      </c>
      <c r="MR5" t="s">
        <v>4671</v>
      </c>
      <c r="MW5" t="str">
        <f>_xll.BDS("K US Equity","SUPPLY_CHAIN_SUPPLIERS_ALL_DATA","cols=12;rows=5")</f>
        <v>AMCR US Equity</v>
      </c>
      <c r="MX5" t="s">
        <v>1598</v>
      </c>
      <c r="MY5">
        <v>0.72945599999999999</v>
      </c>
      <c r="MZ5">
        <v>1.9379839999999999</v>
      </c>
      <c r="NA5" t="s">
        <v>1664</v>
      </c>
      <c r="NB5">
        <v>2026</v>
      </c>
      <c r="NC5" t="s">
        <v>2336</v>
      </c>
      <c r="ND5" s="6">
        <v>46071</v>
      </c>
      <c r="NE5">
        <v>5</v>
      </c>
      <c r="NF5">
        <v>39748056</v>
      </c>
      <c r="NG5">
        <v>61417091</v>
      </c>
      <c r="NH5" t="s">
        <v>2337</v>
      </c>
      <c r="NK5" t="str">
        <f>_xll.BDS("K US Equity","SUPPLY_CHAIN_CUSTOMERS_ALL_DATA","cols=12;rows=5")</f>
        <v>WMT US Equity</v>
      </c>
      <c r="NL5">
        <v>16</v>
      </c>
      <c r="NM5" t="s">
        <v>1598</v>
      </c>
      <c r="NN5">
        <v>0.39859899999999998</v>
      </c>
      <c r="NO5" t="s">
        <v>1594</v>
      </c>
      <c r="NP5">
        <v>2024</v>
      </c>
      <c r="NQ5" t="s">
        <v>5103</v>
      </c>
      <c r="NR5" s="6">
        <v>45709</v>
      </c>
      <c r="NS5">
        <v>5</v>
      </c>
      <c r="NT5">
        <v>509960000</v>
      </c>
      <c r="NU5">
        <v>101616</v>
      </c>
      <c r="NV5" t="s">
        <v>1666</v>
      </c>
      <c r="OA5" t="str">
        <f>_xll.BDS("OLN US Equity","SUPPLY_CHAIN_SUPPLIERS_ALL_DATA","cols=12;rows=5")</f>
        <v>CNR CN Equity</v>
      </c>
      <c r="OB5" t="s">
        <v>1598</v>
      </c>
      <c r="OC5">
        <v>0.10552499999999999</v>
      </c>
      <c r="OD5">
        <v>0.216527</v>
      </c>
      <c r="OE5" t="s">
        <v>1603</v>
      </c>
      <c r="OF5">
        <v>2025</v>
      </c>
      <c r="OG5" t="s">
        <v>2089</v>
      </c>
      <c r="OH5" s="6">
        <v>45849</v>
      </c>
      <c r="OI5">
        <v>5</v>
      </c>
      <c r="OJ5">
        <v>3238131.22</v>
      </c>
      <c r="OK5">
        <v>179551</v>
      </c>
      <c r="OL5" t="s">
        <v>2090</v>
      </c>
      <c r="OO5" t="str">
        <f>_xll.BDS("OLN US Equity","SUPPLY_CHAIN_CUSTOMERS_ALL_DATA","cols=12;rows=5")</f>
        <v>3352Z US Equity</v>
      </c>
      <c r="OP5">
        <v>11</v>
      </c>
      <c r="OR5">
        <v>-2.4245362661989844E-14</v>
      </c>
      <c r="OS5" t="s">
        <v>1594</v>
      </c>
      <c r="OT5">
        <v>2024</v>
      </c>
      <c r="OU5" t="s">
        <v>5179</v>
      </c>
      <c r="OV5" s="6">
        <v>45708</v>
      </c>
      <c r="OW5">
        <v>5</v>
      </c>
      <c r="OX5">
        <v>179852752</v>
      </c>
      <c r="OY5">
        <v>218252</v>
      </c>
      <c r="OZ5" t="s">
        <v>1622</v>
      </c>
      <c r="PE5" t="str">
        <f>_xll.BDS("BA US Equity","SUPPLY_CHAIN_SUPPLIERS_ALL_DATA","cols=12;rows=5")</f>
        <v>RTX US Equity</v>
      </c>
      <c r="PF5" t="s">
        <v>1598</v>
      </c>
      <c r="PG5">
        <v>5.3565009999999997</v>
      </c>
      <c r="PH5">
        <v>5.6905900000000003</v>
      </c>
      <c r="PI5" t="s">
        <v>1664</v>
      </c>
      <c r="PJ5">
        <v>2025</v>
      </c>
      <c r="PK5" t="s">
        <v>2129</v>
      </c>
      <c r="PL5" s="6">
        <v>45895</v>
      </c>
      <c r="PM5">
        <v>5</v>
      </c>
      <c r="PN5">
        <v>1155986432</v>
      </c>
      <c r="PO5">
        <v>101555</v>
      </c>
      <c r="PP5" t="s">
        <v>2130</v>
      </c>
      <c r="PS5" t="str">
        <f>_xll.BDS("BA US Equity","SUPPLY_CHAIN_CUSTOMERS_ALL_DATA","cols=12;rows=5")</f>
        <v>3352Z US Equity</v>
      </c>
      <c r="PT5">
        <v>35</v>
      </c>
      <c r="PV5">
        <v>-2.4245362661989844E-14</v>
      </c>
      <c r="PW5" t="s">
        <v>1594</v>
      </c>
      <c r="PX5">
        <v>2025</v>
      </c>
      <c r="PY5" t="s">
        <v>2595</v>
      </c>
      <c r="PZ5" s="6">
        <v>46052</v>
      </c>
      <c r="QA5">
        <v>5</v>
      </c>
      <c r="QB5">
        <v>7828012544</v>
      </c>
      <c r="QC5">
        <v>218252</v>
      </c>
      <c r="QD5" t="s">
        <v>1622</v>
      </c>
      <c r="QI5" t="str">
        <f>_xll.BDS("STE US Equity","SUPPLY_CHAIN_SUPPLIERS_ALL_DATA","cols=12;rows=5")</f>
        <v>MOG/A US Equity</v>
      </c>
      <c r="QJ5" t="s">
        <v>1598</v>
      </c>
      <c r="QK5">
        <v>0.103182</v>
      </c>
      <c r="QL5">
        <v>0.114925</v>
      </c>
      <c r="QM5" t="s">
        <v>1664</v>
      </c>
      <c r="QN5">
        <v>2025</v>
      </c>
      <c r="QO5" t="s">
        <v>2344</v>
      </c>
      <c r="QP5" s="6">
        <v>45835</v>
      </c>
      <c r="QQ5">
        <v>5</v>
      </c>
      <c r="QR5">
        <v>964587</v>
      </c>
      <c r="QS5">
        <v>105427</v>
      </c>
      <c r="QT5" t="s">
        <v>2345</v>
      </c>
      <c r="QW5" t="str">
        <f>_xll.BDS("STE US Equity","SUPPLY_CHAIN_CUSTOMERS_ALL_DATA","cols=12;rows=2")</f>
        <v>4116 TT Equity</v>
      </c>
      <c r="QX5">
        <v>-2.4245362661989844E-14</v>
      </c>
      <c r="QZ5">
        <v>-2.4245362661989844E-14</v>
      </c>
      <c r="RA5" t="s">
        <v>1594</v>
      </c>
      <c r="RB5">
        <v>2023</v>
      </c>
      <c r="RC5" t="s">
        <v>1804</v>
      </c>
      <c r="RD5" s="6">
        <v>45429</v>
      </c>
      <c r="RE5">
        <v>2</v>
      </c>
      <c r="RF5">
        <v>-2.4245362661989844E-14</v>
      </c>
      <c r="RG5">
        <v>7610799</v>
      </c>
      <c r="RH5" t="s">
        <v>1805</v>
      </c>
      <c r="RM5" t="str">
        <f>_xll.BDS("TDY US Equity","SUPPLY_CHAIN_SUPPLIERS_ALL_DATA","cols=12;rows=5")</f>
        <v>VOYG US Equity</v>
      </c>
      <c r="RN5" t="s">
        <v>1598</v>
      </c>
      <c r="RO5">
        <v>5</v>
      </c>
      <c r="RP5">
        <v>0.21875900000000001</v>
      </c>
      <c r="RQ5" t="s">
        <v>1594</v>
      </c>
      <c r="RR5">
        <v>2024</v>
      </c>
      <c r="RS5" t="s">
        <v>4976</v>
      </c>
      <c r="RT5" s="6">
        <v>45793</v>
      </c>
      <c r="RU5">
        <v>5</v>
      </c>
      <c r="RV5">
        <v>1802250</v>
      </c>
      <c r="RW5">
        <v>66280962</v>
      </c>
      <c r="RX5" t="s">
        <v>4977</v>
      </c>
      <c r="SA5" t="str">
        <f>_xll.BDS("TDY US Equity","SUPPLY_CHAIN_CUSTOMERS_ALL_DATA","cols=12;rows=5")</f>
        <v>3352Z US Equity</v>
      </c>
      <c r="SB5">
        <v>25.5</v>
      </c>
      <c r="SD5">
        <v>-2.4245362661989844E-14</v>
      </c>
      <c r="SE5" t="s">
        <v>1594</v>
      </c>
      <c r="SF5">
        <v>2025</v>
      </c>
      <c r="SG5" t="s">
        <v>4843</v>
      </c>
      <c r="SH5" s="6">
        <v>46073</v>
      </c>
      <c r="SI5">
        <v>5</v>
      </c>
      <c r="SJ5">
        <v>389850000</v>
      </c>
      <c r="SK5">
        <v>218252</v>
      </c>
      <c r="SL5" t="s">
        <v>1622</v>
      </c>
      <c r="SQ5" t="str">
        <f>_xll.BDS("WCC US Equity","SUPPLY_CHAIN_SUPPLIERS_ALL_DATA","cols=12;rows=5")</f>
        <v>ETN US Equity</v>
      </c>
      <c r="SR5" t="s">
        <v>1598</v>
      </c>
      <c r="SS5">
        <v>4.0427220000000004</v>
      </c>
      <c r="ST5">
        <v>5.7870290000000004</v>
      </c>
      <c r="SU5" t="s">
        <v>1599</v>
      </c>
      <c r="SV5">
        <v>2025</v>
      </c>
      <c r="SW5" t="s">
        <v>4776</v>
      </c>
      <c r="SX5" s="6">
        <v>46003</v>
      </c>
      <c r="SY5">
        <v>5</v>
      </c>
      <c r="SZ5">
        <v>282505408</v>
      </c>
      <c r="TA5">
        <v>100496</v>
      </c>
      <c r="TB5" t="s">
        <v>4777</v>
      </c>
      <c r="TE5" t="str">
        <f>_xll.BDS("WCC US Equity","SUPPLY_CHAIN_CUSTOMERS_ALL_DATA","cols=12;rows=5")</f>
        <v>IBM US Equity</v>
      </c>
      <c r="TF5">
        <v>0.38806400000000002</v>
      </c>
      <c r="TG5" t="s">
        <v>1598</v>
      </c>
      <c r="TH5">
        <v>0.31853999999999999</v>
      </c>
      <c r="TI5" t="s">
        <v>1603</v>
      </c>
      <c r="TJ5">
        <v>2025</v>
      </c>
      <c r="TK5" t="s">
        <v>1744</v>
      </c>
      <c r="TL5" s="6">
        <v>45797</v>
      </c>
      <c r="TM5">
        <v>5</v>
      </c>
      <c r="TN5">
        <v>20736954</v>
      </c>
      <c r="TO5">
        <v>100801</v>
      </c>
      <c r="TP5" t="s">
        <v>1745</v>
      </c>
      <c r="TU5" t="str">
        <f>_xll.BDS("GPN US Equity","SUPPLY_CHAIN_SUPPLIERS_ALL_DATA","cols=12;rows=5")</f>
        <v>HIW US Equity</v>
      </c>
      <c r="TV5" t="s">
        <v>1685</v>
      </c>
      <c r="TW5">
        <v>0.650034</v>
      </c>
      <c r="TX5">
        <v>0.12584699999999999</v>
      </c>
      <c r="TY5" t="s">
        <v>1594</v>
      </c>
      <c r="TZ5">
        <v>2025</v>
      </c>
      <c r="UA5" t="s">
        <v>3066</v>
      </c>
      <c r="UB5" s="6">
        <v>46063</v>
      </c>
      <c r="UC5">
        <v>5</v>
      </c>
      <c r="UD5">
        <v>1310000</v>
      </c>
      <c r="UE5">
        <v>143096</v>
      </c>
      <c r="UF5" t="s">
        <v>3067</v>
      </c>
      <c r="UI5" t="str">
        <f>_xll.BDS("GPN US Equity","SUPPLY_CHAIN_CUSTOMERS_ALL_DATA","cols=12;rows=5")</f>
        <v>SCSC US Equity</v>
      </c>
      <c r="UJ5">
        <v>8.9513999999999996E-2</v>
      </c>
      <c r="UK5" t="s">
        <v>1598</v>
      </c>
      <c r="UL5">
        <v>0.357095</v>
      </c>
      <c r="UM5" t="s">
        <v>1599</v>
      </c>
      <c r="UN5">
        <v>2025</v>
      </c>
      <c r="UO5" t="s">
        <v>1897</v>
      </c>
      <c r="UP5" s="6">
        <v>45840</v>
      </c>
      <c r="UQ5">
        <v>5</v>
      </c>
      <c r="UR5">
        <v>2159157</v>
      </c>
      <c r="US5">
        <v>136424</v>
      </c>
      <c r="UT5" t="s">
        <v>1647</v>
      </c>
      <c r="UY5" t="str">
        <f>_xll.BDS("CCT CN Equity","SUPPLY_CHAIN_SUPPLIERS_ALL_DATA")</f>
        <v>#N/A N/A</v>
      </c>
      <c r="VM5" t="str">
        <f>_xll.BDS("CCT CN Equity","SUPPLY_CHAIN_CUSTOMERS_ALL_DATA")</f>
        <v>#N/A N/A</v>
      </c>
    </row>
    <row r="6" spans="1:600" x14ac:dyDescent="0.25">
      <c r="A6" t="s">
        <v>3972</v>
      </c>
      <c r="B6" t="s">
        <v>1598</v>
      </c>
      <c r="C6">
        <v>0.31048599999999998</v>
      </c>
      <c r="D6">
        <v>9.8609000000000002E-2</v>
      </c>
      <c r="E6" t="s">
        <v>1606</v>
      </c>
      <c r="F6">
        <v>2025</v>
      </c>
      <c r="G6" t="s">
        <v>3973</v>
      </c>
      <c r="H6" s="6">
        <v>45994</v>
      </c>
      <c r="I6">
        <v>5</v>
      </c>
      <c r="J6">
        <v>3090155</v>
      </c>
      <c r="K6">
        <v>132674</v>
      </c>
      <c r="L6" t="s">
        <v>3974</v>
      </c>
      <c r="O6" t="s">
        <v>22</v>
      </c>
      <c r="P6">
        <v>3.715757</v>
      </c>
      <c r="Q6" t="s">
        <v>1598</v>
      </c>
      <c r="R6">
        <v>1.143508</v>
      </c>
      <c r="S6" t="s">
        <v>1599</v>
      </c>
      <c r="T6">
        <v>2025</v>
      </c>
      <c r="U6" t="s">
        <v>2137</v>
      </c>
      <c r="V6" s="6">
        <v>45782</v>
      </c>
      <c r="W6">
        <v>5</v>
      </c>
      <c r="X6">
        <v>185133936</v>
      </c>
      <c r="Y6">
        <v>101555</v>
      </c>
      <c r="Z6" t="s">
        <v>2130</v>
      </c>
      <c r="AE6" t="s">
        <v>4970</v>
      </c>
      <c r="AG6">
        <v>-2.4245362661989844E-14</v>
      </c>
      <c r="AH6">
        <v>-2.4245362661989844E-14</v>
      </c>
      <c r="AI6" t="s">
        <v>1594</v>
      </c>
      <c r="AJ6">
        <v>2022</v>
      </c>
      <c r="AK6" t="s">
        <v>4971</v>
      </c>
      <c r="AL6" s="6">
        <v>45003</v>
      </c>
      <c r="AM6">
        <v>3</v>
      </c>
      <c r="AN6">
        <v>-2.4245362661989844E-14</v>
      </c>
      <c r="AO6">
        <v>101544</v>
      </c>
      <c r="AP6" t="s">
        <v>4972</v>
      </c>
      <c r="BI6" t="s">
        <v>3244</v>
      </c>
      <c r="BJ6" t="s">
        <v>1598</v>
      </c>
      <c r="BK6">
        <v>1.6277E-2</v>
      </c>
      <c r="BL6">
        <v>0.13252800000000001</v>
      </c>
      <c r="BM6" t="s">
        <v>1599</v>
      </c>
      <c r="BN6">
        <v>2025</v>
      </c>
      <c r="BO6" t="s">
        <v>3245</v>
      </c>
      <c r="BP6" s="6">
        <v>45883</v>
      </c>
      <c r="BQ6">
        <v>5</v>
      </c>
      <c r="BR6">
        <v>1503592.18</v>
      </c>
      <c r="BS6">
        <v>815253</v>
      </c>
      <c r="BT6" t="s">
        <v>3246</v>
      </c>
      <c r="BW6" t="s">
        <v>4317</v>
      </c>
      <c r="BX6">
        <v>-2.4245362661989844E-14</v>
      </c>
      <c r="BZ6">
        <v>-2.4245362661989844E-14</v>
      </c>
      <c r="CA6" t="s">
        <v>1594</v>
      </c>
      <c r="CB6">
        <v>2023</v>
      </c>
      <c r="CC6" t="s">
        <v>4318</v>
      </c>
      <c r="CD6" s="6">
        <v>45183</v>
      </c>
      <c r="CE6">
        <v>5</v>
      </c>
      <c r="CF6">
        <v>-2.4245362661989844E-14</v>
      </c>
      <c r="CG6">
        <v>129309</v>
      </c>
      <c r="CH6" t="s">
        <v>4319</v>
      </c>
      <c r="CM6" t="s">
        <v>2095</v>
      </c>
      <c r="CN6" t="s">
        <v>1685</v>
      </c>
      <c r="CO6">
        <v>1.2</v>
      </c>
      <c r="CP6">
        <v>0.120341</v>
      </c>
      <c r="CQ6" t="s">
        <v>1594</v>
      </c>
      <c r="CR6">
        <v>2024</v>
      </c>
      <c r="CS6" t="s">
        <v>2096</v>
      </c>
      <c r="CT6" s="6">
        <v>45722</v>
      </c>
      <c r="CU6">
        <v>5</v>
      </c>
      <c r="CV6">
        <v>657841.06999999995</v>
      </c>
      <c r="CW6">
        <v>8674508</v>
      </c>
      <c r="CX6" t="s">
        <v>2097</v>
      </c>
      <c r="DA6" t="s">
        <v>4396</v>
      </c>
      <c r="DB6">
        <v>-2.4245362661989844E-14</v>
      </c>
      <c r="DD6">
        <v>-2.4245362661989844E-14</v>
      </c>
      <c r="DE6" t="s">
        <v>1594</v>
      </c>
      <c r="DF6">
        <v>2025</v>
      </c>
      <c r="DG6" t="s">
        <v>4397</v>
      </c>
      <c r="DH6" s="6">
        <v>45750</v>
      </c>
      <c r="DI6">
        <v>5</v>
      </c>
      <c r="DJ6">
        <v>-2.4245362661989844E-14</v>
      </c>
      <c r="DK6">
        <v>69744938</v>
      </c>
      <c r="DL6" t="s">
        <v>4398</v>
      </c>
      <c r="EU6" t="s">
        <v>143</v>
      </c>
      <c r="EV6" t="s">
        <v>1598</v>
      </c>
      <c r="EW6">
        <v>6.6083000000000003E-2</v>
      </c>
      <c r="EX6">
        <v>0.246752</v>
      </c>
      <c r="EY6" t="s">
        <v>1606</v>
      </c>
      <c r="EZ6">
        <v>2025</v>
      </c>
      <c r="FA6" t="s">
        <v>2251</v>
      </c>
      <c r="FB6" s="6">
        <v>45848</v>
      </c>
      <c r="FC6">
        <v>5</v>
      </c>
      <c r="FD6">
        <v>10509179</v>
      </c>
      <c r="FE6">
        <v>101752</v>
      </c>
      <c r="FF6" t="s">
        <v>2265</v>
      </c>
      <c r="FI6" t="s">
        <v>2032</v>
      </c>
      <c r="FJ6">
        <v>-2.4245362661989844E-14</v>
      </c>
      <c r="FL6">
        <v>-2.4245362661989844E-14</v>
      </c>
      <c r="FM6" t="s">
        <v>1651</v>
      </c>
      <c r="FN6">
        <v>2025</v>
      </c>
      <c r="FO6" t="s">
        <v>4358</v>
      </c>
      <c r="FP6" s="6">
        <v>45975</v>
      </c>
      <c r="FQ6">
        <v>5</v>
      </c>
      <c r="FR6">
        <v>-2.4245362661989844E-14</v>
      </c>
      <c r="FS6">
        <v>128990</v>
      </c>
      <c r="FT6" t="s">
        <v>2034</v>
      </c>
      <c r="JK6" t="s">
        <v>4296</v>
      </c>
      <c r="JL6" t="s">
        <v>1598</v>
      </c>
      <c r="JM6">
        <v>87.357474999999994</v>
      </c>
      <c r="JN6">
        <v>4.166086</v>
      </c>
      <c r="JO6" t="s">
        <v>1594</v>
      </c>
      <c r="JP6">
        <v>2024</v>
      </c>
      <c r="JQ6" t="s">
        <v>4297</v>
      </c>
      <c r="JR6" s="6">
        <v>45744</v>
      </c>
      <c r="JS6">
        <v>5</v>
      </c>
      <c r="JT6">
        <v>65124360</v>
      </c>
      <c r="JU6">
        <v>1421851</v>
      </c>
      <c r="JV6" t="s">
        <v>4298</v>
      </c>
      <c r="JY6" t="s">
        <v>277</v>
      </c>
      <c r="JZ6">
        <v>24</v>
      </c>
      <c r="KA6" t="s">
        <v>1598</v>
      </c>
      <c r="KB6">
        <v>1.8410839999999999</v>
      </c>
      <c r="KC6" t="s">
        <v>1594</v>
      </c>
      <c r="KD6">
        <v>2025</v>
      </c>
      <c r="KE6" t="s">
        <v>2373</v>
      </c>
      <c r="KF6" s="6">
        <v>46077</v>
      </c>
      <c r="KG6">
        <v>5</v>
      </c>
      <c r="KH6">
        <v>1766579968</v>
      </c>
      <c r="KI6">
        <v>154936</v>
      </c>
      <c r="KJ6" t="s">
        <v>1766</v>
      </c>
      <c r="KO6" t="s">
        <v>4567</v>
      </c>
      <c r="KP6" t="s">
        <v>1598</v>
      </c>
      <c r="KQ6">
        <v>12.387491000000001</v>
      </c>
      <c r="KR6">
        <v>0.56221200000000005</v>
      </c>
      <c r="KS6" t="s">
        <v>1594</v>
      </c>
      <c r="KT6">
        <v>2024</v>
      </c>
      <c r="KU6" t="s">
        <v>4568</v>
      </c>
      <c r="KV6" s="6">
        <v>45699</v>
      </c>
      <c r="KW6">
        <v>5</v>
      </c>
      <c r="KX6">
        <v>33233750</v>
      </c>
      <c r="KY6">
        <v>319989</v>
      </c>
      <c r="KZ6" t="s">
        <v>4569</v>
      </c>
      <c r="LC6" t="s">
        <v>4306</v>
      </c>
      <c r="LD6">
        <v>-2.4245362661989844E-14</v>
      </c>
      <c r="LF6">
        <v>-2.4245362661989844E-14</v>
      </c>
      <c r="LG6" t="s">
        <v>1594</v>
      </c>
      <c r="LH6">
        <v>2023</v>
      </c>
      <c r="LI6" t="s">
        <v>4307</v>
      </c>
      <c r="LJ6" s="6">
        <v>45350</v>
      </c>
      <c r="LK6">
        <v>5</v>
      </c>
      <c r="LL6">
        <v>-2.4245362661989844E-14</v>
      </c>
      <c r="LM6">
        <v>20646956</v>
      </c>
      <c r="LN6" t="s">
        <v>4308</v>
      </c>
      <c r="LS6" t="s">
        <v>2003</v>
      </c>
      <c r="LT6" t="s">
        <v>1634</v>
      </c>
      <c r="LU6">
        <v>8.4566000000000002E-2</v>
      </c>
      <c r="LV6">
        <v>17.413955999999999</v>
      </c>
      <c r="LW6" t="s">
        <v>1606</v>
      </c>
      <c r="LX6">
        <v>2025</v>
      </c>
      <c r="LY6" t="s">
        <v>2004</v>
      </c>
      <c r="LZ6" s="6">
        <v>45720</v>
      </c>
      <c r="MA6">
        <v>5</v>
      </c>
      <c r="MB6">
        <v>33260652</v>
      </c>
      <c r="MC6">
        <v>313657</v>
      </c>
      <c r="MD6" t="s">
        <v>2005</v>
      </c>
      <c r="MG6" t="s">
        <v>1420</v>
      </c>
      <c r="MH6">
        <v>-2.4245362661989844E-14</v>
      </c>
      <c r="MJ6">
        <v>-2.4245362661989844E-14</v>
      </c>
      <c r="MK6" t="s">
        <v>1594</v>
      </c>
      <c r="ML6">
        <v>2025</v>
      </c>
      <c r="MM6" t="s">
        <v>5439</v>
      </c>
      <c r="MN6" s="6">
        <v>45917</v>
      </c>
      <c r="MO6">
        <v>5</v>
      </c>
      <c r="MP6">
        <v>-2.4245362661989844E-14</v>
      </c>
      <c r="MQ6">
        <v>100024</v>
      </c>
      <c r="MR6" t="s">
        <v>5440</v>
      </c>
      <c r="MW6" t="s">
        <v>3602</v>
      </c>
      <c r="MX6" t="s">
        <v>1598</v>
      </c>
      <c r="MY6">
        <v>1.8572379999999999</v>
      </c>
      <c r="MZ6">
        <v>1.904325</v>
      </c>
      <c r="NA6" t="s">
        <v>1606</v>
      </c>
      <c r="NB6">
        <v>2025</v>
      </c>
      <c r="NC6" t="s">
        <v>3603</v>
      </c>
      <c r="ND6" s="6">
        <v>46076</v>
      </c>
      <c r="NE6">
        <v>5</v>
      </c>
      <c r="NF6">
        <v>39057716</v>
      </c>
      <c r="NG6">
        <v>187274</v>
      </c>
      <c r="NH6" t="s">
        <v>3604</v>
      </c>
      <c r="NK6" t="s">
        <v>1943</v>
      </c>
      <c r="NL6">
        <v>6.2872349999999999</v>
      </c>
      <c r="NM6" t="s">
        <v>1598</v>
      </c>
      <c r="NN6">
        <v>0.26705499999999999</v>
      </c>
      <c r="NO6" t="s">
        <v>1599</v>
      </c>
      <c r="NP6">
        <v>2025</v>
      </c>
      <c r="NQ6" t="s">
        <v>5104</v>
      </c>
      <c r="NR6" s="6">
        <v>45961</v>
      </c>
      <c r="NS6">
        <v>5</v>
      </c>
      <c r="NT6">
        <v>200389904</v>
      </c>
      <c r="NU6">
        <v>101758</v>
      </c>
      <c r="NV6" t="s">
        <v>1944</v>
      </c>
      <c r="OA6" t="s">
        <v>2918</v>
      </c>
      <c r="OB6" t="s">
        <v>1598</v>
      </c>
      <c r="OC6">
        <v>2.7647999999999999E-2</v>
      </c>
      <c r="OD6">
        <v>0.19284299999999999</v>
      </c>
      <c r="OE6" t="s">
        <v>1603</v>
      </c>
      <c r="OF6">
        <v>2025</v>
      </c>
      <c r="OG6" t="s">
        <v>2919</v>
      </c>
      <c r="OH6" s="6">
        <v>45786</v>
      </c>
      <c r="OI6">
        <v>5</v>
      </c>
      <c r="OJ6">
        <v>2883963</v>
      </c>
      <c r="OK6">
        <v>48365107</v>
      </c>
      <c r="OL6" t="s">
        <v>2920</v>
      </c>
      <c r="OO6" t="s">
        <v>2419</v>
      </c>
      <c r="OP6">
        <v>8.0821000000000004E-2</v>
      </c>
      <c r="OQ6" t="s">
        <v>1598</v>
      </c>
      <c r="OR6">
        <v>0.110046</v>
      </c>
      <c r="OS6" t="s">
        <v>1664</v>
      </c>
      <c r="OT6">
        <v>2025</v>
      </c>
      <c r="OU6" t="s">
        <v>4945</v>
      </c>
      <c r="OV6" s="6">
        <v>45909</v>
      </c>
      <c r="OW6">
        <v>5</v>
      </c>
      <c r="OX6">
        <v>1420505.42</v>
      </c>
      <c r="OY6">
        <v>9074473</v>
      </c>
      <c r="OZ6" t="s">
        <v>2420</v>
      </c>
      <c r="PE6" t="s">
        <v>745</v>
      </c>
      <c r="PF6" t="s">
        <v>1598</v>
      </c>
      <c r="PG6">
        <v>9.2636719999999997</v>
      </c>
      <c r="PH6">
        <v>5.0267530000000002</v>
      </c>
      <c r="PI6" t="s">
        <v>1664</v>
      </c>
      <c r="PJ6">
        <v>2025</v>
      </c>
      <c r="PK6" t="s">
        <v>1958</v>
      </c>
      <c r="PL6" s="6">
        <v>45888</v>
      </c>
      <c r="PM6">
        <v>5</v>
      </c>
      <c r="PN6">
        <v>1021134592</v>
      </c>
      <c r="PO6">
        <v>100632</v>
      </c>
      <c r="PP6" t="s">
        <v>2162</v>
      </c>
      <c r="PS6" t="s">
        <v>1082</v>
      </c>
      <c r="PT6">
        <v>4.6894470000000004</v>
      </c>
      <c r="PU6" t="s">
        <v>1634</v>
      </c>
      <c r="PV6">
        <v>82.890625</v>
      </c>
      <c r="PW6" t="s">
        <v>1664</v>
      </c>
      <c r="PX6">
        <v>2025</v>
      </c>
      <c r="PY6" t="s">
        <v>2179</v>
      </c>
      <c r="PZ6" s="6">
        <v>45873</v>
      </c>
      <c r="QA6">
        <v>5</v>
      </c>
      <c r="QB6">
        <v>1066802304</v>
      </c>
      <c r="QC6">
        <v>10451815</v>
      </c>
      <c r="QD6" t="s">
        <v>1959</v>
      </c>
      <c r="QI6" t="s">
        <v>1354</v>
      </c>
      <c r="QK6">
        <v>-2.4245362661989844E-14</v>
      </c>
      <c r="QL6">
        <v>-2.4245362661989844E-14</v>
      </c>
      <c r="QM6" t="s">
        <v>1594</v>
      </c>
      <c r="QN6">
        <v>2021</v>
      </c>
      <c r="QO6" t="s">
        <v>2150</v>
      </c>
      <c r="QP6" s="6">
        <v>44693</v>
      </c>
      <c r="QQ6">
        <v>5</v>
      </c>
      <c r="QR6">
        <v>-2.4245362661989844E-14</v>
      </c>
      <c r="QS6">
        <v>313098</v>
      </c>
      <c r="QT6" t="s">
        <v>2151</v>
      </c>
      <c r="QW6" t="s">
        <v>1806</v>
      </c>
      <c r="QX6">
        <v>-2.4245362661989844E-14</v>
      </c>
      <c r="QZ6">
        <v>-2.4245362661989844E-14</v>
      </c>
      <c r="RA6" t="s">
        <v>1594</v>
      </c>
      <c r="RB6">
        <v>2024</v>
      </c>
      <c r="RC6" t="s">
        <v>1807</v>
      </c>
      <c r="RD6" s="6">
        <v>45804</v>
      </c>
      <c r="RE6">
        <v>2</v>
      </c>
      <c r="RF6">
        <v>-2.4245362661989844E-14</v>
      </c>
      <c r="RG6">
        <v>72391747</v>
      </c>
      <c r="RH6" t="s">
        <v>1808</v>
      </c>
      <c r="RM6" t="s">
        <v>4978</v>
      </c>
      <c r="RN6" t="s">
        <v>1598</v>
      </c>
      <c r="RO6">
        <v>0.172237</v>
      </c>
      <c r="RP6">
        <v>0.17371900000000001</v>
      </c>
      <c r="RQ6" t="s">
        <v>1664</v>
      </c>
      <c r="RR6">
        <v>2025</v>
      </c>
      <c r="RS6" t="s">
        <v>4979</v>
      </c>
      <c r="RT6" s="6">
        <v>45912</v>
      </c>
      <c r="RU6">
        <v>5</v>
      </c>
      <c r="RV6">
        <v>1509788</v>
      </c>
      <c r="RW6">
        <v>100421</v>
      </c>
      <c r="RX6" t="s">
        <v>4980</v>
      </c>
      <c r="SA6" t="s">
        <v>872</v>
      </c>
      <c r="SB6">
        <v>1.7060219999999999</v>
      </c>
      <c r="SC6" t="s">
        <v>1598</v>
      </c>
      <c r="SD6">
        <v>0.12712399999999999</v>
      </c>
      <c r="SE6" t="s">
        <v>1664</v>
      </c>
      <c r="SF6">
        <v>2025</v>
      </c>
      <c r="SG6" t="s">
        <v>4844</v>
      </c>
      <c r="SH6" s="6">
        <v>45874</v>
      </c>
      <c r="SI6">
        <v>5</v>
      </c>
      <c r="SJ6">
        <v>25824056</v>
      </c>
      <c r="SK6">
        <v>100211</v>
      </c>
      <c r="SL6" t="s">
        <v>1632</v>
      </c>
      <c r="SQ6" t="s">
        <v>72</v>
      </c>
      <c r="SR6" t="s">
        <v>1598</v>
      </c>
      <c r="SS6">
        <v>1.3108820000000001</v>
      </c>
      <c r="ST6">
        <v>6.4398489999999997</v>
      </c>
      <c r="SU6" t="s">
        <v>1603</v>
      </c>
      <c r="SV6">
        <v>2025</v>
      </c>
      <c r="SW6" t="s">
        <v>2670</v>
      </c>
      <c r="SX6" s="6">
        <v>45679</v>
      </c>
      <c r="SY6">
        <v>5</v>
      </c>
      <c r="SZ6">
        <v>275413024</v>
      </c>
      <c r="TA6">
        <v>101215</v>
      </c>
      <c r="TB6" t="s">
        <v>1868</v>
      </c>
      <c r="TE6" t="s">
        <v>6334</v>
      </c>
      <c r="TF6">
        <v>-2.4245362661989844E-14</v>
      </c>
      <c r="TH6">
        <v>-2.4245362661989844E-14</v>
      </c>
      <c r="TI6" t="s">
        <v>1594</v>
      </c>
      <c r="TJ6">
        <v>2024</v>
      </c>
      <c r="TK6" t="s">
        <v>6335</v>
      </c>
      <c r="TL6" s="6">
        <v>45768</v>
      </c>
      <c r="TM6">
        <v>5</v>
      </c>
      <c r="TN6">
        <v>-2.4245362661989844E-14</v>
      </c>
      <c r="TO6">
        <v>8137031</v>
      </c>
      <c r="TP6" t="s">
        <v>6336</v>
      </c>
      <c r="TU6" t="s">
        <v>3869</v>
      </c>
      <c r="TW6">
        <v>-2.4245362661989844E-14</v>
      </c>
      <c r="TX6">
        <v>-2.4245362661989844E-14</v>
      </c>
      <c r="TY6" t="s">
        <v>1594</v>
      </c>
      <c r="TZ6">
        <v>2023</v>
      </c>
      <c r="UA6" t="s">
        <v>3870</v>
      </c>
      <c r="UB6" s="6">
        <v>45408</v>
      </c>
      <c r="UC6">
        <v>5</v>
      </c>
      <c r="UD6">
        <v>-2.4245362661989844E-14</v>
      </c>
      <c r="UE6">
        <v>17283663</v>
      </c>
      <c r="UF6" t="s">
        <v>3871</v>
      </c>
      <c r="UI6" t="s">
        <v>2858</v>
      </c>
      <c r="UJ6">
        <v>4.48E-2</v>
      </c>
      <c r="UK6" t="s">
        <v>1598</v>
      </c>
      <c r="UL6">
        <v>0.15767700000000001</v>
      </c>
      <c r="UM6" t="s">
        <v>1599</v>
      </c>
      <c r="UN6">
        <v>2025</v>
      </c>
      <c r="UO6" t="s">
        <v>2859</v>
      </c>
      <c r="UP6" s="6">
        <v>46034</v>
      </c>
      <c r="UQ6">
        <v>5</v>
      </c>
      <c r="UR6">
        <v>899426</v>
      </c>
      <c r="US6">
        <v>313021</v>
      </c>
      <c r="UT6" t="s">
        <v>2860</v>
      </c>
    </row>
    <row r="7" spans="1:600" x14ac:dyDescent="0.25">
      <c r="A7" t="s">
        <v>5317</v>
      </c>
      <c r="B7" t="s">
        <v>1598</v>
      </c>
      <c r="C7">
        <v>1.8849210000000001</v>
      </c>
      <c r="D7">
        <v>7.4071999999999999E-2</v>
      </c>
      <c r="E7" t="s">
        <v>1603</v>
      </c>
      <c r="F7">
        <v>2025</v>
      </c>
      <c r="G7" t="s">
        <v>5318</v>
      </c>
      <c r="H7" s="6">
        <v>45787</v>
      </c>
      <c r="I7">
        <v>5</v>
      </c>
      <c r="J7">
        <v>2370646</v>
      </c>
      <c r="K7">
        <v>100416</v>
      </c>
      <c r="L7" t="s">
        <v>5319</v>
      </c>
      <c r="O7" t="s">
        <v>1732</v>
      </c>
      <c r="P7">
        <v>3.3382679999999998</v>
      </c>
      <c r="Q7" t="s">
        <v>1598</v>
      </c>
      <c r="R7">
        <v>1.066541</v>
      </c>
      <c r="S7" t="s">
        <v>1606</v>
      </c>
      <c r="T7">
        <v>2025</v>
      </c>
      <c r="U7" t="s">
        <v>2137</v>
      </c>
      <c r="V7" s="6">
        <v>45894</v>
      </c>
      <c r="W7">
        <v>5</v>
      </c>
      <c r="X7">
        <v>165661552</v>
      </c>
      <c r="Y7">
        <v>876285</v>
      </c>
      <c r="Z7" t="s">
        <v>1734</v>
      </c>
      <c r="AE7" t="s">
        <v>4973</v>
      </c>
      <c r="AG7">
        <v>-2.4245362661989844E-14</v>
      </c>
      <c r="AH7">
        <v>-2.4245362661989844E-14</v>
      </c>
      <c r="AI7" t="s">
        <v>1594</v>
      </c>
      <c r="AJ7">
        <v>2022</v>
      </c>
      <c r="AK7" t="s">
        <v>4974</v>
      </c>
      <c r="AL7" s="6">
        <v>44634</v>
      </c>
      <c r="AM7">
        <v>3</v>
      </c>
      <c r="AN7">
        <v>-2.4245362661989844E-14</v>
      </c>
      <c r="AO7">
        <v>52604511</v>
      </c>
      <c r="AP7" t="s">
        <v>4975</v>
      </c>
      <c r="BI7" t="s">
        <v>2298</v>
      </c>
      <c r="BJ7" t="s">
        <v>1598</v>
      </c>
      <c r="BK7">
        <v>1.9196999999999999E-2</v>
      </c>
      <c r="BL7">
        <v>6.7048999999999997E-2</v>
      </c>
      <c r="BM7" t="s">
        <v>1599</v>
      </c>
      <c r="BN7">
        <v>2025</v>
      </c>
      <c r="BO7" t="s">
        <v>2299</v>
      </c>
      <c r="BP7" s="6">
        <v>45993</v>
      </c>
      <c r="BQ7">
        <v>5</v>
      </c>
      <c r="BR7">
        <v>688596</v>
      </c>
      <c r="BS7">
        <v>100415</v>
      </c>
      <c r="BT7" t="s">
        <v>2300</v>
      </c>
      <c r="BW7" t="s">
        <v>4320</v>
      </c>
      <c r="BX7">
        <v>-2.4245362661989844E-14</v>
      </c>
      <c r="BZ7">
        <v>-2.4245362661989844E-14</v>
      </c>
      <c r="CA7" t="s">
        <v>1594</v>
      </c>
      <c r="CB7">
        <v>2024</v>
      </c>
      <c r="CC7" t="s">
        <v>4321</v>
      </c>
      <c r="CD7" s="6">
        <v>45719</v>
      </c>
      <c r="CE7">
        <v>5</v>
      </c>
      <c r="CF7">
        <v>-2.4245362661989844E-14</v>
      </c>
      <c r="CG7">
        <v>9248766</v>
      </c>
      <c r="CH7" t="s">
        <v>4322</v>
      </c>
      <c r="CM7" t="s">
        <v>2098</v>
      </c>
      <c r="CN7" t="s">
        <v>1685</v>
      </c>
      <c r="CO7">
        <v>5.0314999999999999E-2</v>
      </c>
      <c r="CP7">
        <v>3.3623E-2</v>
      </c>
      <c r="CQ7" t="s">
        <v>1603</v>
      </c>
      <c r="CR7">
        <v>2026</v>
      </c>
      <c r="CS7" t="s">
        <v>2099</v>
      </c>
      <c r="CT7" s="6">
        <v>45944</v>
      </c>
      <c r="CU7">
        <v>5</v>
      </c>
      <c r="CV7">
        <v>192328.72</v>
      </c>
      <c r="CW7">
        <v>14882485</v>
      </c>
      <c r="CX7" t="s">
        <v>2100</v>
      </c>
      <c r="DA7" t="s">
        <v>4399</v>
      </c>
      <c r="DB7">
        <v>-2.4245362661989844E-14</v>
      </c>
      <c r="DD7">
        <v>-2.4245362661989844E-14</v>
      </c>
      <c r="DE7" t="s">
        <v>1599</v>
      </c>
      <c r="DF7">
        <v>2025</v>
      </c>
      <c r="DG7" t="s">
        <v>4400</v>
      </c>
      <c r="DH7" s="6">
        <v>45966</v>
      </c>
      <c r="DI7">
        <v>5</v>
      </c>
      <c r="DJ7">
        <v>-2.4245362661989844E-14</v>
      </c>
      <c r="DK7">
        <v>38748702</v>
      </c>
      <c r="DL7" t="s">
        <v>4401</v>
      </c>
      <c r="EU7" t="s">
        <v>2242</v>
      </c>
      <c r="EV7" t="s">
        <v>1598</v>
      </c>
      <c r="EW7">
        <v>1.29813</v>
      </c>
      <c r="EX7">
        <v>0.24332400000000001</v>
      </c>
      <c r="EY7" t="s">
        <v>1599</v>
      </c>
      <c r="EZ7">
        <v>2025</v>
      </c>
      <c r="FA7" t="s">
        <v>2243</v>
      </c>
      <c r="FB7" s="6">
        <v>45985</v>
      </c>
      <c r="FC7">
        <v>5</v>
      </c>
      <c r="FD7">
        <v>10433265.390000001</v>
      </c>
      <c r="FE7">
        <v>125320</v>
      </c>
      <c r="FF7" t="s">
        <v>2244</v>
      </c>
      <c r="FI7" t="s">
        <v>4359</v>
      </c>
      <c r="FJ7">
        <v>-2.4245362661989844E-14</v>
      </c>
      <c r="FL7">
        <v>-2.4245362661989844E-14</v>
      </c>
      <c r="FM7" t="s">
        <v>1792</v>
      </c>
      <c r="FN7">
        <v>2023</v>
      </c>
      <c r="FO7" t="s">
        <v>4360</v>
      </c>
      <c r="FP7" s="6">
        <v>45154</v>
      </c>
      <c r="FQ7">
        <v>5</v>
      </c>
      <c r="FR7">
        <v>-2.4245362661989844E-14</v>
      </c>
      <c r="FS7">
        <v>330418</v>
      </c>
      <c r="FT7" t="s">
        <v>4361</v>
      </c>
      <c r="JK7" t="s">
        <v>4299</v>
      </c>
      <c r="JL7" t="s">
        <v>1598</v>
      </c>
      <c r="JM7">
        <v>0.48287799999999997</v>
      </c>
      <c r="JN7">
        <v>1.7965990000000001</v>
      </c>
      <c r="JO7" t="s">
        <v>1594</v>
      </c>
      <c r="JP7">
        <v>2025</v>
      </c>
      <c r="JQ7" t="s">
        <v>2373</v>
      </c>
      <c r="JR7" s="6">
        <v>46077</v>
      </c>
      <c r="JS7">
        <v>5</v>
      </c>
      <c r="JT7">
        <v>28000000</v>
      </c>
      <c r="JU7">
        <v>153205</v>
      </c>
      <c r="JV7" t="s">
        <v>4300</v>
      </c>
      <c r="JY7" t="s">
        <v>959</v>
      </c>
      <c r="JZ7">
        <v>21</v>
      </c>
      <c r="KA7" t="s">
        <v>1598</v>
      </c>
      <c r="KB7">
        <v>1.9704660000000001</v>
      </c>
      <c r="KC7" t="s">
        <v>1594</v>
      </c>
      <c r="KD7">
        <v>2025</v>
      </c>
      <c r="KE7" t="s">
        <v>2373</v>
      </c>
      <c r="KF7" s="6">
        <v>46077</v>
      </c>
      <c r="KG7">
        <v>5</v>
      </c>
      <c r="KH7">
        <v>1545757440</v>
      </c>
      <c r="KI7">
        <v>156969</v>
      </c>
      <c r="KJ7" t="s">
        <v>1767</v>
      </c>
      <c r="KO7" t="s">
        <v>3975</v>
      </c>
      <c r="KP7" t="s">
        <v>1634</v>
      </c>
      <c r="KQ7">
        <v>7.5772000000000006E-2</v>
      </c>
      <c r="KR7">
        <v>1.9283760000000001</v>
      </c>
      <c r="KS7" t="s">
        <v>1664</v>
      </c>
      <c r="KT7">
        <v>2025</v>
      </c>
      <c r="KU7" t="s">
        <v>3976</v>
      </c>
      <c r="KV7" s="6">
        <v>45937</v>
      </c>
      <c r="KW7">
        <v>5</v>
      </c>
      <c r="KX7">
        <v>6903587</v>
      </c>
      <c r="KY7">
        <v>69818593</v>
      </c>
      <c r="KZ7" t="s">
        <v>3977</v>
      </c>
      <c r="LC7" t="s">
        <v>4309</v>
      </c>
      <c r="LD7">
        <v>-2.4245362661989844E-14</v>
      </c>
      <c r="LF7">
        <v>-2.4245362661989844E-14</v>
      </c>
      <c r="LG7" t="s">
        <v>1603</v>
      </c>
      <c r="LH7">
        <v>2023</v>
      </c>
      <c r="LI7" t="s">
        <v>4310</v>
      </c>
      <c r="LJ7" s="6">
        <v>45099</v>
      </c>
      <c r="LK7">
        <v>5</v>
      </c>
      <c r="LL7">
        <v>-2.4245362661989844E-14</v>
      </c>
      <c r="LM7">
        <v>36353191</v>
      </c>
      <c r="LN7" t="s">
        <v>4311</v>
      </c>
      <c r="LS7" t="s">
        <v>2286</v>
      </c>
      <c r="LT7" t="s">
        <v>1685</v>
      </c>
      <c r="LU7">
        <v>5.7837880000000004</v>
      </c>
      <c r="LV7">
        <v>0.227356</v>
      </c>
      <c r="LW7" t="s">
        <v>1792</v>
      </c>
      <c r="LX7">
        <v>2025</v>
      </c>
      <c r="LY7" t="s">
        <v>6137</v>
      </c>
      <c r="LZ7" s="6">
        <v>45881</v>
      </c>
      <c r="MA7">
        <v>5</v>
      </c>
      <c r="MB7">
        <v>4953328.4800000004</v>
      </c>
      <c r="MC7">
        <v>111471</v>
      </c>
      <c r="MD7" t="s">
        <v>2288</v>
      </c>
      <c r="MG7" t="s">
        <v>5441</v>
      </c>
      <c r="MH7">
        <v>-2.4245362661989844E-14</v>
      </c>
      <c r="MJ7">
        <v>-2.4245362661989844E-14</v>
      </c>
      <c r="MK7" t="s">
        <v>1594</v>
      </c>
      <c r="ML7">
        <v>2023</v>
      </c>
      <c r="MM7" t="s">
        <v>5442</v>
      </c>
      <c r="MN7" s="6">
        <v>45331</v>
      </c>
      <c r="MO7">
        <v>5</v>
      </c>
      <c r="MP7">
        <v>-2.4245362661989844E-14</v>
      </c>
      <c r="MQ7">
        <v>100061</v>
      </c>
      <c r="MR7" t="s">
        <v>5443</v>
      </c>
      <c r="MW7" t="s">
        <v>3952</v>
      </c>
      <c r="MX7" t="s">
        <v>1598</v>
      </c>
      <c r="MY7">
        <v>0.46674300000000002</v>
      </c>
      <c r="MZ7">
        <v>0.95550299999999999</v>
      </c>
      <c r="NA7" t="s">
        <v>1606</v>
      </c>
      <c r="NB7">
        <v>2025</v>
      </c>
      <c r="NC7" t="s">
        <v>3953</v>
      </c>
      <c r="ND7" s="6">
        <v>45986</v>
      </c>
      <c r="NE7">
        <v>5</v>
      </c>
      <c r="NF7">
        <v>21417262.640000001</v>
      </c>
      <c r="NG7">
        <v>300730</v>
      </c>
      <c r="NH7" t="s">
        <v>3954</v>
      </c>
      <c r="NK7" t="s">
        <v>311</v>
      </c>
      <c r="NL7">
        <v>3.0370249999999999</v>
      </c>
      <c r="NM7" t="s">
        <v>1598</v>
      </c>
      <c r="NN7">
        <v>0.370446</v>
      </c>
      <c r="NO7" t="s">
        <v>1599</v>
      </c>
      <c r="NP7">
        <v>2025</v>
      </c>
      <c r="NQ7" t="s">
        <v>5104</v>
      </c>
      <c r="NR7" s="6">
        <v>45961</v>
      </c>
      <c r="NS7">
        <v>5</v>
      </c>
      <c r="NT7">
        <v>96797576</v>
      </c>
      <c r="NU7">
        <v>100864</v>
      </c>
      <c r="NV7" t="s">
        <v>1668</v>
      </c>
      <c r="OA7" t="s">
        <v>1934</v>
      </c>
      <c r="OB7" t="s">
        <v>1598</v>
      </c>
      <c r="OC7">
        <v>0.19472700000000001</v>
      </c>
      <c r="OD7">
        <v>0.161498</v>
      </c>
      <c r="OE7" t="s">
        <v>1606</v>
      </c>
      <c r="OF7">
        <v>2025</v>
      </c>
      <c r="OG7" t="s">
        <v>1935</v>
      </c>
      <c r="OH7" s="6">
        <v>46086</v>
      </c>
      <c r="OI7">
        <v>5</v>
      </c>
      <c r="OJ7">
        <v>2638551</v>
      </c>
      <c r="OK7">
        <v>9188256</v>
      </c>
      <c r="OL7" t="s">
        <v>1936</v>
      </c>
      <c r="OO7" t="s">
        <v>1947</v>
      </c>
      <c r="OP7">
        <v>-2.4245362661989844E-14</v>
      </c>
      <c r="OR7">
        <v>-2.4245362661989844E-14</v>
      </c>
      <c r="OS7" t="s">
        <v>1599</v>
      </c>
      <c r="OT7">
        <v>2025</v>
      </c>
      <c r="OU7" t="s">
        <v>5180</v>
      </c>
      <c r="OV7" s="6">
        <v>45958</v>
      </c>
      <c r="OW7">
        <v>5</v>
      </c>
      <c r="OX7">
        <v>-2.4245362661989844E-14</v>
      </c>
      <c r="OY7">
        <v>962190</v>
      </c>
      <c r="OZ7" t="s">
        <v>1949</v>
      </c>
      <c r="PE7" t="s">
        <v>3135</v>
      </c>
      <c r="PF7" t="s">
        <v>1598</v>
      </c>
      <c r="PG7">
        <v>60.029015000000001</v>
      </c>
      <c r="PH7">
        <v>3.711055</v>
      </c>
      <c r="PI7" t="s">
        <v>1599</v>
      </c>
      <c r="PJ7">
        <v>2025</v>
      </c>
      <c r="PK7" t="s">
        <v>3136</v>
      </c>
      <c r="PL7" s="6">
        <v>45961</v>
      </c>
      <c r="PM7">
        <v>5</v>
      </c>
      <c r="PN7">
        <v>951700000</v>
      </c>
      <c r="PO7">
        <v>10889459</v>
      </c>
      <c r="PP7" t="s">
        <v>3137</v>
      </c>
      <c r="PS7" t="s">
        <v>2596</v>
      </c>
      <c r="PT7">
        <v>2.7308349999999999</v>
      </c>
      <c r="PU7" t="s">
        <v>1634</v>
      </c>
      <c r="PV7">
        <v>97.832702999999995</v>
      </c>
      <c r="PW7" t="s">
        <v>1664</v>
      </c>
      <c r="PX7">
        <v>2025</v>
      </c>
      <c r="PY7" t="s">
        <v>2179</v>
      </c>
      <c r="PZ7" s="6">
        <v>45873</v>
      </c>
      <c r="QA7">
        <v>5</v>
      </c>
      <c r="QB7">
        <v>621237632</v>
      </c>
      <c r="QC7">
        <v>101374</v>
      </c>
      <c r="QD7" t="s">
        <v>2597</v>
      </c>
      <c r="QI7" t="s">
        <v>2152</v>
      </c>
      <c r="QK7">
        <v>-2.4245362661989844E-14</v>
      </c>
      <c r="QL7">
        <v>-2.4245362661989844E-14</v>
      </c>
      <c r="QM7" t="s">
        <v>1594</v>
      </c>
      <c r="QN7">
        <v>2021</v>
      </c>
      <c r="QO7" t="s">
        <v>2153</v>
      </c>
      <c r="QP7" s="6">
        <v>44693</v>
      </c>
      <c r="QQ7">
        <v>5</v>
      </c>
      <c r="QR7">
        <v>-2.4245362661989844E-14</v>
      </c>
      <c r="QS7">
        <v>100060</v>
      </c>
      <c r="QT7" t="s">
        <v>2154</v>
      </c>
      <c r="RM7" t="s">
        <v>2212</v>
      </c>
      <c r="RN7" t="s">
        <v>1598</v>
      </c>
      <c r="RO7">
        <v>4.3629000000000001E-2</v>
      </c>
      <c r="RP7">
        <v>5.7609E-2</v>
      </c>
      <c r="RQ7" t="s">
        <v>1599</v>
      </c>
      <c r="RR7">
        <v>2025</v>
      </c>
      <c r="RS7" t="s">
        <v>3190</v>
      </c>
      <c r="RT7" s="6">
        <v>45905</v>
      </c>
      <c r="RU7">
        <v>5</v>
      </c>
      <c r="RV7">
        <v>500682</v>
      </c>
      <c r="RW7">
        <v>104365</v>
      </c>
      <c r="RX7" t="s">
        <v>2214</v>
      </c>
      <c r="SA7" t="s">
        <v>1732</v>
      </c>
      <c r="SB7">
        <v>1.304338</v>
      </c>
      <c r="SC7" t="s">
        <v>1598</v>
      </c>
      <c r="SD7">
        <v>0.127112</v>
      </c>
      <c r="SE7" t="s">
        <v>1664</v>
      </c>
      <c r="SF7">
        <v>2025</v>
      </c>
      <c r="SG7" t="s">
        <v>4844</v>
      </c>
      <c r="SH7" s="6">
        <v>45874</v>
      </c>
      <c r="SI7">
        <v>5</v>
      </c>
      <c r="SJ7">
        <v>19743764</v>
      </c>
      <c r="SK7">
        <v>876285</v>
      </c>
      <c r="SL7" t="s">
        <v>1734</v>
      </c>
      <c r="SQ7" t="s">
        <v>4059</v>
      </c>
      <c r="SR7" t="s">
        <v>1598</v>
      </c>
      <c r="SS7">
        <v>1.2010719999999999</v>
      </c>
      <c r="ST7">
        <v>3.209921</v>
      </c>
      <c r="SU7" t="s">
        <v>1603</v>
      </c>
      <c r="SV7">
        <v>2026</v>
      </c>
      <c r="SW7" t="s">
        <v>4060</v>
      </c>
      <c r="SX7" s="6">
        <v>45968</v>
      </c>
      <c r="SY7">
        <v>5</v>
      </c>
      <c r="SZ7">
        <v>159823092.05000001</v>
      </c>
      <c r="TA7">
        <v>100949</v>
      </c>
      <c r="TB7" t="s">
        <v>4061</v>
      </c>
      <c r="TE7" t="s">
        <v>6337</v>
      </c>
      <c r="TF7">
        <v>-2.4245362661989844E-14</v>
      </c>
      <c r="TH7">
        <v>-2.4245362661989844E-14</v>
      </c>
      <c r="TI7" t="s">
        <v>1664</v>
      </c>
      <c r="TJ7">
        <v>2023</v>
      </c>
      <c r="TK7" t="s">
        <v>6338</v>
      </c>
      <c r="TL7" s="6">
        <v>45081</v>
      </c>
      <c r="TM7">
        <v>5</v>
      </c>
      <c r="TN7">
        <v>-2.4245362661989844E-14</v>
      </c>
      <c r="TO7">
        <v>68691650</v>
      </c>
      <c r="TP7" t="s">
        <v>6339</v>
      </c>
      <c r="TU7" t="s">
        <v>3872</v>
      </c>
      <c r="TW7">
        <v>-2.4245362661989844E-14</v>
      </c>
      <c r="TX7">
        <v>-2.4245362661989844E-14</v>
      </c>
      <c r="TY7" t="s">
        <v>1594</v>
      </c>
      <c r="TZ7">
        <v>2023</v>
      </c>
      <c r="UA7" t="s">
        <v>3873</v>
      </c>
      <c r="UB7" s="6">
        <v>45365</v>
      </c>
      <c r="UC7">
        <v>5</v>
      </c>
      <c r="UD7">
        <v>-2.4245362661989844E-14</v>
      </c>
      <c r="UE7">
        <v>22158447</v>
      </c>
      <c r="UF7" t="s">
        <v>3874</v>
      </c>
      <c r="UI7" t="s">
        <v>2861</v>
      </c>
      <c r="UJ7">
        <v>-2.4245362661989844E-14</v>
      </c>
      <c r="UL7">
        <v>-2.4245362661989844E-14</v>
      </c>
      <c r="UM7" t="s">
        <v>1599</v>
      </c>
      <c r="UN7">
        <v>2023</v>
      </c>
      <c r="UO7" t="s">
        <v>2862</v>
      </c>
      <c r="UP7" s="6">
        <v>45224</v>
      </c>
      <c r="UQ7">
        <v>5</v>
      </c>
      <c r="UR7">
        <v>-2.4245362661989844E-14</v>
      </c>
      <c r="US7">
        <v>50234217</v>
      </c>
      <c r="UT7" t="s">
        <v>2863</v>
      </c>
    </row>
    <row r="8" spans="1:600" x14ac:dyDescent="0.25">
      <c r="A8" t="s">
        <v>3921</v>
      </c>
      <c r="B8" t="s">
        <v>1598</v>
      </c>
      <c r="C8">
        <v>2.0605950000000002</v>
      </c>
      <c r="D8">
        <v>6.8046999999999996E-2</v>
      </c>
      <c r="E8" t="s">
        <v>1603</v>
      </c>
      <c r="F8">
        <v>2025</v>
      </c>
      <c r="G8" t="s">
        <v>3922</v>
      </c>
      <c r="H8" s="6">
        <v>45814</v>
      </c>
      <c r="I8">
        <v>5</v>
      </c>
      <c r="J8">
        <v>2177802</v>
      </c>
      <c r="K8">
        <v>136312</v>
      </c>
      <c r="L8" t="s">
        <v>3923</v>
      </c>
      <c r="O8" t="s">
        <v>1628</v>
      </c>
      <c r="P8">
        <v>3.0249090000000001</v>
      </c>
      <c r="Q8" t="s">
        <v>1598</v>
      </c>
      <c r="R8">
        <v>0.86494400000000005</v>
      </c>
      <c r="S8" t="s">
        <v>1606</v>
      </c>
      <c r="T8">
        <v>2025</v>
      </c>
      <c r="U8" t="s">
        <v>2137</v>
      </c>
      <c r="V8" s="6">
        <v>45894</v>
      </c>
      <c r="W8">
        <v>5</v>
      </c>
      <c r="X8">
        <v>150111104</v>
      </c>
      <c r="Y8">
        <v>156923</v>
      </c>
      <c r="Z8" t="s">
        <v>1630</v>
      </c>
      <c r="BI8" t="s">
        <v>4562</v>
      </c>
      <c r="BK8">
        <v>-2.4245362661989844E-14</v>
      </c>
      <c r="BL8">
        <v>-2.4245362661989844E-14</v>
      </c>
      <c r="BM8" t="s">
        <v>1594</v>
      </c>
      <c r="BN8">
        <v>2023</v>
      </c>
      <c r="BO8" t="s">
        <v>4318</v>
      </c>
      <c r="BP8" s="6">
        <v>45183</v>
      </c>
      <c r="BQ8">
        <v>5</v>
      </c>
      <c r="BR8">
        <v>-2.4245362661989844E-14</v>
      </c>
      <c r="BS8">
        <v>114170</v>
      </c>
      <c r="BT8" t="s">
        <v>4563</v>
      </c>
      <c r="BW8" t="s">
        <v>4323</v>
      </c>
      <c r="BX8">
        <v>-2.4245362661989844E-14</v>
      </c>
      <c r="BZ8">
        <v>-2.4245362661989844E-14</v>
      </c>
      <c r="CA8" t="s">
        <v>1594</v>
      </c>
      <c r="CB8">
        <v>2025</v>
      </c>
      <c r="CC8" t="s">
        <v>4324</v>
      </c>
      <c r="CD8" s="6">
        <v>45974</v>
      </c>
      <c r="CE8">
        <v>5</v>
      </c>
      <c r="CF8">
        <v>-2.4245362661989844E-14</v>
      </c>
      <c r="CG8">
        <v>112845</v>
      </c>
      <c r="CH8" t="s">
        <v>4325</v>
      </c>
      <c r="CM8" t="s">
        <v>3410</v>
      </c>
      <c r="CO8">
        <v>-2.4245362661989844E-14</v>
      </c>
      <c r="CP8">
        <v>-2.4245362661989844E-14</v>
      </c>
      <c r="CQ8" t="s">
        <v>1594</v>
      </c>
      <c r="CR8">
        <v>2024</v>
      </c>
      <c r="CS8" t="s">
        <v>3411</v>
      </c>
      <c r="CT8" s="6">
        <v>45716</v>
      </c>
      <c r="CU8">
        <v>5</v>
      </c>
      <c r="CV8">
        <v>-2.4245362661989844E-14</v>
      </c>
      <c r="CW8">
        <v>101145</v>
      </c>
      <c r="CX8" t="s">
        <v>3412</v>
      </c>
      <c r="DA8" t="s">
        <v>1700</v>
      </c>
      <c r="DB8">
        <v>-2.4245362661989844E-14</v>
      </c>
      <c r="DD8">
        <v>-2.4245362661989844E-14</v>
      </c>
      <c r="DE8" t="s">
        <v>1594</v>
      </c>
      <c r="DF8">
        <v>2021</v>
      </c>
      <c r="DG8" t="s">
        <v>4265</v>
      </c>
      <c r="DH8" s="6">
        <v>44656</v>
      </c>
      <c r="DI8">
        <v>5</v>
      </c>
      <c r="DJ8">
        <v>-2.4245362661989844E-14</v>
      </c>
      <c r="DK8">
        <v>1499717</v>
      </c>
      <c r="DL8" t="s">
        <v>1702</v>
      </c>
      <c r="EU8" t="s">
        <v>493</v>
      </c>
      <c r="EV8" t="s">
        <v>1598</v>
      </c>
      <c r="EW8">
        <v>0.205987</v>
      </c>
      <c r="EX8">
        <v>0.19661200000000001</v>
      </c>
      <c r="EY8" t="s">
        <v>1606</v>
      </c>
      <c r="EZ8">
        <v>2025</v>
      </c>
      <c r="FA8" t="s">
        <v>2093</v>
      </c>
      <c r="FB8" s="6">
        <v>46071</v>
      </c>
      <c r="FC8">
        <v>5</v>
      </c>
      <c r="FD8">
        <v>8106309</v>
      </c>
      <c r="FE8">
        <v>100499</v>
      </c>
      <c r="FF8" t="s">
        <v>2094</v>
      </c>
      <c r="FI8" t="s">
        <v>4362</v>
      </c>
      <c r="FJ8">
        <v>-2.4245362661989844E-14</v>
      </c>
      <c r="FL8">
        <v>-2.4245362661989844E-14</v>
      </c>
      <c r="FM8" t="s">
        <v>1594</v>
      </c>
      <c r="FN8">
        <v>2022</v>
      </c>
      <c r="FO8" t="s">
        <v>4363</v>
      </c>
      <c r="FP8" s="6">
        <v>45042</v>
      </c>
      <c r="FQ8">
        <v>5</v>
      </c>
      <c r="FR8">
        <v>-2.4245362661989844E-14</v>
      </c>
      <c r="FS8">
        <v>812686</v>
      </c>
      <c r="FT8" t="s">
        <v>4364</v>
      </c>
      <c r="JK8" t="s">
        <v>4301</v>
      </c>
      <c r="JL8" t="s">
        <v>2128</v>
      </c>
      <c r="JM8">
        <v>100</v>
      </c>
      <c r="JN8">
        <v>1.9316489999999999</v>
      </c>
      <c r="JO8" t="s">
        <v>1599</v>
      </c>
      <c r="JP8">
        <v>2025</v>
      </c>
      <c r="JQ8" t="s">
        <v>4302</v>
      </c>
      <c r="JR8" s="6">
        <v>45959</v>
      </c>
      <c r="JS8">
        <v>5</v>
      </c>
      <c r="JT8">
        <v>26000000</v>
      </c>
      <c r="JU8">
        <v>50914233</v>
      </c>
      <c r="JV8" t="s">
        <v>4303</v>
      </c>
      <c r="JY8" t="s">
        <v>4031</v>
      </c>
      <c r="JZ8">
        <v>-2.4245362661989844E-14</v>
      </c>
      <c r="KB8">
        <v>-2.4245362661989844E-14</v>
      </c>
      <c r="KC8" t="s">
        <v>1594</v>
      </c>
      <c r="KD8">
        <v>2022</v>
      </c>
      <c r="KE8" t="s">
        <v>4032</v>
      </c>
      <c r="KF8" s="6">
        <v>44979</v>
      </c>
      <c r="KG8">
        <v>5</v>
      </c>
      <c r="KH8">
        <v>-2.4245362661989844E-14</v>
      </c>
      <c r="KI8">
        <v>29217228</v>
      </c>
      <c r="KJ8" t="s">
        <v>4033</v>
      </c>
      <c r="KO8" t="s">
        <v>2194</v>
      </c>
      <c r="KP8" t="s">
        <v>1598</v>
      </c>
      <c r="KQ8">
        <v>6.8300000000000001E-4</v>
      </c>
      <c r="KR8">
        <v>1.22E-4</v>
      </c>
      <c r="KS8" t="s">
        <v>1599</v>
      </c>
      <c r="KT8">
        <v>2025</v>
      </c>
      <c r="KU8" t="s">
        <v>2195</v>
      </c>
      <c r="KV8" s="6">
        <v>46022</v>
      </c>
      <c r="KW8">
        <v>5</v>
      </c>
      <c r="KX8">
        <v>7611</v>
      </c>
      <c r="KY8">
        <v>17300196</v>
      </c>
      <c r="KZ8" t="s">
        <v>2196</v>
      </c>
      <c r="LC8" t="s">
        <v>4312</v>
      </c>
      <c r="LD8">
        <v>-2.4245362661989844E-14</v>
      </c>
      <c r="LF8">
        <v>-2.4245362661989844E-14</v>
      </c>
      <c r="LG8" t="s">
        <v>1594</v>
      </c>
      <c r="LH8">
        <v>2023</v>
      </c>
      <c r="LI8" t="s">
        <v>4307</v>
      </c>
      <c r="LJ8" s="6">
        <v>45350</v>
      </c>
      <c r="LK8">
        <v>5</v>
      </c>
      <c r="LL8">
        <v>-2.4245362661989844E-14</v>
      </c>
      <c r="LM8">
        <v>1416917</v>
      </c>
      <c r="LN8" t="s">
        <v>4313</v>
      </c>
      <c r="LS8" t="s">
        <v>992</v>
      </c>
      <c r="LT8" t="s">
        <v>1685</v>
      </c>
      <c r="LU8">
        <v>1.7655179999999999</v>
      </c>
      <c r="LV8">
        <v>0.19648399999999999</v>
      </c>
      <c r="LW8" t="s">
        <v>1594</v>
      </c>
      <c r="LX8">
        <v>2025</v>
      </c>
      <c r="LY8" t="s">
        <v>4168</v>
      </c>
      <c r="LZ8" s="6">
        <v>46058</v>
      </c>
      <c r="MA8">
        <v>5</v>
      </c>
      <c r="MB8">
        <v>4386500</v>
      </c>
      <c r="MC8">
        <v>106045</v>
      </c>
      <c r="MD8" t="s">
        <v>2847</v>
      </c>
      <c r="MG8" t="s">
        <v>2596</v>
      </c>
      <c r="MH8">
        <v>-2.4245362661989844E-14</v>
      </c>
      <c r="MJ8">
        <v>-2.4245362661989844E-14</v>
      </c>
      <c r="MK8" t="s">
        <v>1594</v>
      </c>
      <c r="ML8">
        <v>2025</v>
      </c>
      <c r="MM8" t="s">
        <v>5444</v>
      </c>
      <c r="MN8" s="6">
        <v>45714</v>
      </c>
      <c r="MO8">
        <v>5</v>
      </c>
      <c r="MP8">
        <v>-2.4245362661989844E-14</v>
      </c>
      <c r="MQ8">
        <v>101374</v>
      </c>
      <c r="MR8" t="s">
        <v>2597</v>
      </c>
      <c r="MW8" t="s">
        <v>149</v>
      </c>
      <c r="MX8" t="s">
        <v>1685</v>
      </c>
      <c r="MY8">
        <v>0.36651299999999998</v>
      </c>
      <c r="MZ8">
        <v>1.125421</v>
      </c>
      <c r="NA8" t="s">
        <v>1594</v>
      </c>
      <c r="NB8">
        <v>2024</v>
      </c>
      <c r="NC8" t="s">
        <v>1903</v>
      </c>
      <c r="ND8" s="6">
        <v>45702</v>
      </c>
      <c r="NE8">
        <v>5</v>
      </c>
      <c r="NF8">
        <v>7515000</v>
      </c>
      <c r="NG8">
        <v>302488</v>
      </c>
      <c r="NH8" t="s">
        <v>2674</v>
      </c>
      <c r="NK8" t="s">
        <v>1669</v>
      </c>
      <c r="NL8">
        <v>2.8922330000000001</v>
      </c>
      <c r="NM8" t="s">
        <v>1598</v>
      </c>
      <c r="NN8">
        <v>0.48751899999999998</v>
      </c>
      <c r="NO8" t="s">
        <v>1599</v>
      </c>
      <c r="NP8">
        <v>2025</v>
      </c>
      <c r="NQ8" t="s">
        <v>5104</v>
      </c>
      <c r="NR8" s="6">
        <v>45961</v>
      </c>
      <c r="NS8">
        <v>5</v>
      </c>
      <c r="NT8">
        <v>92182696</v>
      </c>
      <c r="NU8">
        <v>115268</v>
      </c>
      <c r="NV8" t="s">
        <v>1670</v>
      </c>
      <c r="OA8" t="s">
        <v>3244</v>
      </c>
      <c r="OB8" t="s">
        <v>1598</v>
      </c>
      <c r="OC8">
        <v>2.3401999999999999E-2</v>
      </c>
      <c r="OD8">
        <v>0.13347899999999999</v>
      </c>
      <c r="OE8" t="s">
        <v>1599</v>
      </c>
      <c r="OF8">
        <v>2025</v>
      </c>
      <c r="OG8" t="s">
        <v>3245</v>
      </c>
      <c r="OH8" s="6">
        <v>45883</v>
      </c>
      <c r="OI8">
        <v>5</v>
      </c>
      <c r="OJ8">
        <v>2161766.35</v>
      </c>
      <c r="OK8">
        <v>815253</v>
      </c>
      <c r="OL8" t="s">
        <v>3246</v>
      </c>
      <c r="OO8" t="s">
        <v>5181</v>
      </c>
      <c r="OP8">
        <v>-2.4245362661989844E-14</v>
      </c>
      <c r="OR8">
        <v>-2.4245362661989844E-14</v>
      </c>
      <c r="OS8" t="s">
        <v>2438</v>
      </c>
      <c r="OT8">
        <v>2025</v>
      </c>
      <c r="OU8" t="s">
        <v>5182</v>
      </c>
      <c r="OV8" s="6">
        <v>45792</v>
      </c>
      <c r="OW8">
        <v>5</v>
      </c>
      <c r="OX8">
        <v>-2.4245362661989844E-14</v>
      </c>
      <c r="OY8">
        <v>129648</v>
      </c>
      <c r="OZ8" t="s">
        <v>5183</v>
      </c>
      <c r="PE8" t="s">
        <v>2131</v>
      </c>
      <c r="PF8" t="s">
        <v>1598</v>
      </c>
      <c r="PG8">
        <v>8.8706060000000004</v>
      </c>
      <c r="PH8">
        <v>3.6796890000000002</v>
      </c>
      <c r="PI8" t="s">
        <v>1664</v>
      </c>
      <c r="PJ8">
        <v>2025</v>
      </c>
      <c r="PK8" t="s">
        <v>2132</v>
      </c>
      <c r="PL8" s="6">
        <v>45874</v>
      </c>
      <c r="PM8">
        <v>5</v>
      </c>
      <c r="PN8">
        <v>747193502.53999996</v>
      </c>
      <c r="PO8">
        <v>115519</v>
      </c>
      <c r="PP8" t="s">
        <v>2133</v>
      </c>
      <c r="PS8" t="s">
        <v>2598</v>
      </c>
      <c r="PT8">
        <v>2.61008</v>
      </c>
      <c r="PU8" t="s">
        <v>1634</v>
      </c>
      <c r="PV8">
        <v>70.823989999999995</v>
      </c>
      <c r="PW8" t="s">
        <v>1664</v>
      </c>
      <c r="PX8">
        <v>2025</v>
      </c>
      <c r="PY8" t="s">
        <v>2179</v>
      </c>
      <c r="PZ8" s="6">
        <v>45873</v>
      </c>
      <c r="QA8">
        <v>5</v>
      </c>
      <c r="QB8">
        <v>593767104</v>
      </c>
      <c r="QC8">
        <v>19450730</v>
      </c>
      <c r="QD8" t="s">
        <v>2599</v>
      </c>
      <c r="QI8" t="s">
        <v>810</v>
      </c>
      <c r="QK8">
        <v>-2.4245362661989844E-14</v>
      </c>
      <c r="QL8">
        <v>-2.4245362661989844E-14</v>
      </c>
      <c r="QM8" t="s">
        <v>1594</v>
      </c>
      <c r="QN8">
        <v>2021</v>
      </c>
      <c r="QO8" t="s">
        <v>2346</v>
      </c>
      <c r="QP8" s="6">
        <v>44693</v>
      </c>
      <c r="QQ8">
        <v>5</v>
      </c>
      <c r="QR8">
        <v>-2.4245362661989844E-14</v>
      </c>
      <c r="QS8">
        <v>101690</v>
      </c>
      <c r="QT8" t="s">
        <v>2347</v>
      </c>
      <c r="RM8" t="s">
        <v>4981</v>
      </c>
      <c r="RN8" t="s">
        <v>1598</v>
      </c>
      <c r="RO8">
        <v>2.3474879999999998</v>
      </c>
      <c r="RP8">
        <v>4.0696999999999997E-2</v>
      </c>
      <c r="RQ8" t="s">
        <v>1664</v>
      </c>
      <c r="RR8">
        <v>2025</v>
      </c>
      <c r="RS8" t="s">
        <v>4982</v>
      </c>
      <c r="RT8" s="6">
        <v>45939</v>
      </c>
      <c r="RU8">
        <v>5</v>
      </c>
      <c r="RV8">
        <v>353696</v>
      </c>
      <c r="RW8">
        <v>69947818</v>
      </c>
      <c r="RX8" t="s">
        <v>4983</v>
      </c>
      <c r="SA8" t="s">
        <v>206</v>
      </c>
      <c r="SB8">
        <v>0.75061999999999995</v>
      </c>
      <c r="SC8" t="s">
        <v>1598</v>
      </c>
      <c r="SD8">
        <v>0.28763100000000003</v>
      </c>
      <c r="SE8" t="s">
        <v>1664</v>
      </c>
      <c r="SF8">
        <v>2025</v>
      </c>
      <c r="SG8" t="s">
        <v>4844</v>
      </c>
      <c r="SH8" s="6">
        <v>45874</v>
      </c>
      <c r="SI8">
        <v>5</v>
      </c>
      <c r="SJ8">
        <v>11362135</v>
      </c>
      <c r="SK8">
        <v>100710</v>
      </c>
      <c r="SL8" t="s">
        <v>2216</v>
      </c>
      <c r="SQ8" t="s">
        <v>3823</v>
      </c>
      <c r="SR8" t="s">
        <v>1598</v>
      </c>
      <c r="SS8">
        <v>2.8779889999999999</v>
      </c>
      <c r="ST8">
        <v>2.9321929999999998</v>
      </c>
      <c r="SU8" t="s">
        <v>1599</v>
      </c>
      <c r="SV8">
        <v>2025</v>
      </c>
      <c r="SW8" t="s">
        <v>3824</v>
      </c>
      <c r="SX8" s="6">
        <v>46013</v>
      </c>
      <c r="SY8">
        <v>5</v>
      </c>
      <c r="SZ8">
        <v>143167619.91999999</v>
      </c>
      <c r="TA8">
        <v>11796370</v>
      </c>
      <c r="TB8" t="s">
        <v>3825</v>
      </c>
      <c r="TE8" t="s">
        <v>6340</v>
      </c>
      <c r="TF8">
        <v>-2.4245362661989844E-14</v>
      </c>
      <c r="TH8">
        <v>-2.4245362661989844E-14</v>
      </c>
      <c r="TI8" t="s">
        <v>1664</v>
      </c>
      <c r="TJ8">
        <v>2023</v>
      </c>
      <c r="TK8" t="s">
        <v>6341</v>
      </c>
      <c r="TL8" s="6">
        <v>45061</v>
      </c>
      <c r="TM8">
        <v>5</v>
      </c>
      <c r="TN8">
        <v>-2.4245362661989844E-14</v>
      </c>
      <c r="TO8">
        <v>65790895</v>
      </c>
      <c r="TP8" t="s">
        <v>6342</v>
      </c>
      <c r="TU8" t="s">
        <v>3875</v>
      </c>
      <c r="TW8">
        <v>-2.4245362661989844E-14</v>
      </c>
      <c r="TX8">
        <v>-2.4245362661989844E-14</v>
      </c>
      <c r="TY8" t="s">
        <v>1594</v>
      </c>
      <c r="TZ8">
        <v>2022</v>
      </c>
      <c r="UA8" t="s">
        <v>3876</v>
      </c>
      <c r="UB8" s="6">
        <v>44697</v>
      </c>
      <c r="UC8">
        <v>5</v>
      </c>
      <c r="UD8">
        <v>-2.4245362661989844E-14</v>
      </c>
      <c r="UE8">
        <v>1725059</v>
      </c>
      <c r="UF8" t="s">
        <v>3877</v>
      </c>
      <c r="UI8" t="s">
        <v>2864</v>
      </c>
      <c r="UJ8">
        <v>-2.4245362661989844E-14</v>
      </c>
      <c r="UL8">
        <v>-2.4245362661989844E-14</v>
      </c>
      <c r="UM8" t="s">
        <v>1594</v>
      </c>
      <c r="UN8">
        <v>2025</v>
      </c>
      <c r="UO8" t="s">
        <v>2865</v>
      </c>
      <c r="UP8" s="6">
        <v>46073</v>
      </c>
      <c r="UQ8">
        <v>5</v>
      </c>
      <c r="UR8">
        <v>-2.4245362661989844E-14</v>
      </c>
      <c r="US8">
        <v>61158366</v>
      </c>
      <c r="UT8" t="s">
        <v>2866</v>
      </c>
    </row>
    <row r="9" spans="1:600" x14ac:dyDescent="0.25">
      <c r="A9" t="s">
        <v>3187</v>
      </c>
      <c r="B9" t="s">
        <v>1598</v>
      </c>
      <c r="C9">
        <v>1.053598</v>
      </c>
      <c r="D9">
        <v>6.8002000000000007E-2</v>
      </c>
      <c r="E9" t="s">
        <v>1664</v>
      </c>
      <c r="F9">
        <v>2025</v>
      </c>
      <c r="G9" t="s">
        <v>3188</v>
      </c>
      <c r="H9" s="6">
        <v>45911</v>
      </c>
      <c r="I9">
        <v>5</v>
      </c>
      <c r="J9">
        <v>2131007</v>
      </c>
      <c r="K9">
        <v>103317</v>
      </c>
      <c r="L9" t="s">
        <v>3189</v>
      </c>
      <c r="O9" t="s">
        <v>425</v>
      </c>
      <c r="P9">
        <v>1.748761</v>
      </c>
      <c r="Q9" t="s">
        <v>1598</v>
      </c>
      <c r="R9">
        <v>0.78238600000000003</v>
      </c>
      <c r="S9" t="s">
        <v>1606</v>
      </c>
      <c r="T9">
        <v>2025</v>
      </c>
      <c r="U9" t="s">
        <v>2137</v>
      </c>
      <c r="V9" s="6">
        <v>45894</v>
      </c>
      <c r="W9">
        <v>5</v>
      </c>
      <c r="X9">
        <v>86782264</v>
      </c>
      <c r="Y9">
        <v>100631</v>
      </c>
      <c r="Z9" t="s">
        <v>5178</v>
      </c>
      <c r="BI9" t="s">
        <v>4564</v>
      </c>
      <c r="BK9">
        <v>-2.4245362661989844E-14</v>
      </c>
      <c r="BL9">
        <v>-2.4245362661989844E-14</v>
      </c>
      <c r="BM9" t="s">
        <v>1594</v>
      </c>
      <c r="BN9">
        <v>2021</v>
      </c>
      <c r="BO9" t="s">
        <v>4565</v>
      </c>
      <c r="BP9" s="6">
        <v>44693</v>
      </c>
      <c r="BQ9">
        <v>5</v>
      </c>
      <c r="BR9">
        <v>-2.4245362661989844E-14</v>
      </c>
      <c r="BS9">
        <v>108393</v>
      </c>
      <c r="BT9" t="s">
        <v>4566</v>
      </c>
      <c r="BW9" t="s">
        <v>27</v>
      </c>
      <c r="BX9">
        <v>-2.4245362661989844E-14</v>
      </c>
      <c r="BZ9">
        <v>-2.4245362661989844E-14</v>
      </c>
      <c r="CA9" t="s">
        <v>1594</v>
      </c>
      <c r="CB9">
        <v>2024</v>
      </c>
      <c r="CC9" t="s">
        <v>4318</v>
      </c>
      <c r="CD9" s="6">
        <v>45498</v>
      </c>
      <c r="CE9">
        <v>5</v>
      </c>
      <c r="CF9">
        <v>-2.4245362661989844E-14</v>
      </c>
      <c r="CG9">
        <v>100546</v>
      </c>
      <c r="CH9" t="s">
        <v>4326</v>
      </c>
      <c r="CM9" t="s">
        <v>3413</v>
      </c>
      <c r="CO9">
        <v>-2.4245362661989844E-14</v>
      </c>
      <c r="CP9">
        <v>-2.4245362661989844E-14</v>
      </c>
      <c r="CQ9" t="s">
        <v>1599</v>
      </c>
      <c r="CR9">
        <v>2024</v>
      </c>
      <c r="CS9" t="s">
        <v>3414</v>
      </c>
      <c r="CT9" s="6">
        <v>45617</v>
      </c>
      <c r="CU9">
        <v>5</v>
      </c>
      <c r="CV9">
        <v>-2.4245362661989844E-14</v>
      </c>
      <c r="CW9">
        <v>10166446</v>
      </c>
      <c r="CX9" t="s">
        <v>3415</v>
      </c>
      <c r="DA9" t="s">
        <v>4402</v>
      </c>
      <c r="DB9">
        <v>-2.4245362661989844E-14</v>
      </c>
      <c r="DD9">
        <v>-2.4245362661989844E-14</v>
      </c>
      <c r="DE9" t="s">
        <v>1594</v>
      </c>
      <c r="DF9">
        <v>2022</v>
      </c>
      <c r="DG9" t="s">
        <v>4403</v>
      </c>
      <c r="DH9" s="6">
        <v>44840</v>
      </c>
      <c r="DI9">
        <v>5</v>
      </c>
      <c r="DJ9">
        <v>-2.4245362661989844E-14</v>
      </c>
      <c r="DK9">
        <v>14699050</v>
      </c>
      <c r="DL9" t="s">
        <v>4404</v>
      </c>
      <c r="EU9" t="s">
        <v>5320</v>
      </c>
      <c r="EV9" t="s">
        <v>1685</v>
      </c>
      <c r="EW9">
        <v>0.79573300000000002</v>
      </c>
      <c r="EX9">
        <v>0.29065099999999999</v>
      </c>
      <c r="EY9" t="s">
        <v>1599</v>
      </c>
      <c r="EZ9">
        <v>2025</v>
      </c>
      <c r="FA9" t="s">
        <v>5321</v>
      </c>
      <c r="FB9" s="6">
        <v>45959</v>
      </c>
      <c r="FC9">
        <v>5</v>
      </c>
      <c r="FD9">
        <v>1679960</v>
      </c>
      <c r="FE9">
        <v>20264138</v>
      </c>
      <c r="FF9" t="s">
        <v>5322</v>
      </c>
      <c r="FI9" t="s">
        <v>4365</v>
      </c>
      <c r="FJ9">
        <v>-2.4245362661989844E-14</v>
      </c>
      <c r="FL9">
        <v>-2.4245362661989844E-14</v>
      </c>
      <c r="FM9" t="s">
        <v>1792</v>
      </c>
      <c r="FN9">
        <v>2024</v>
      </c>
      <c r="FO9" t="s">
        <v>4366</v>
      </c>
      <c r="FP9" s="6">
        <v>45534</v>
      </c>
      <c r="FQ9">
        <v>5</v>
      </c>
      <c r="FR9">
        <v>-2.4245362661989844E-14</v>
      </c>
      <c r="FS9">
        <v>21796045</v>
      </c>
      <c r="FT9" t="s">
        <v>4367</v>
      </c>
      <c r="JK9" t="s">
        <v>3803</v>
      </c>
      <c r="JL9" t="s">
        <v>1598</v>
      </c>
      <c r="JM9">
        <v>1.03163</v>
      </c>
      <c r="JN9">
        <v>1.307437</v>
      </c>
      <c r="JO9" t="s">
        <v>1599</v>
      </c>
      <c r="JP9">
        <v>2025</v>
      </c>
      <c r="JQ9" t="s">
        <v>3804</v>
      </c>
      <c r="JR9" s="6">
        <v>46073</v>
      </c>
      <c r="JS9">
        <v>5</v>
      </c>
      <c r="JT9">
        <v>21191403.109999999</v>
      </c>
      <c r="JU9">
        <v>156276</v>
      </c>
      <c r="JV9" t="s">
        <v>3805</v>
      </c>
      <c r="JY9" t="s">
        <v>4034</v>
      </c>
      <c r="JZ9">
        <v>-2.4245362661989844E-14</v>
      </c>
      <c r="KB9">
        <v>-2.4245362661989844E-14</v>
      </c>
      <c r="KC9" t="s">
        <v>1594</v>
      </c>
      <c r="KD9">
        <v>2022</v>
      </c>
      <c r="KE9" t="s">
        <v>4035</v>
      </c>
      <c r="KF9" s="6">
        <v>44788</v>
      </c>
      <c r="KG9">
        <v>5</v>
      </c>
      <c r="KH9">
        <v>-2.4245362661989844E-14</v>
      </c>
      <c r="KI9">
        <v>67962950</v>
      </c>
      <c r="KJ9" t="s">
        <v>4036</v>
      </c>
      <c r="KO9" t="s">
        <v>4570</v>
      </c>
      <c r="KQ9">
        <v>-2.4245362661989844E-14</v>
      </c>
      <c r="KR9">
        <v>-2.4245362661989844E-14</v>
      </c>
      <c r="KS9" t="s">
        <v>1594</v>
      </c>
      <c r="KT9">
        <v>2023</v>
      </c>
      <c r="KU9" t="s">
        <v>4571</v>
      </c>
      <c r="KV9" s="6">
        <v>45195</v>
      </c>
      <c r="KW9">
        <v>5</v>
      </c>
      <c r="KX9">
        <v>-2.4245362661989844E-14</v>
      </c>
      <c r="KY9">
        <v>37832600</v>
      </c>
      <c r="KZ9" t="s">
        <v>4572</v>
      </c>
      <c r="LC9" t="s">
        <v>4314</v>
      </c>
      <c r="LD9">
        <v>-2.4245362661989844E-14</v>
      </c>
      <c r="LF9">
        <v>-2.4245362661989844E-14</v>
      </c>
      <c r="LG9" t="s">
        <v>1594</v>
      </c>
      <c r="LH9">
        <v>2023</v>
      </c>
      <c r="LI9" t="s">
        <v>4307</v>
      </c>
      <c r="LJ9" s="6">
        <v>45350</v>
      </c>
      <c r="LK9">
        <v>5</v>
      </c>
      <c r="LL9">
        <v>-2.4245362661989844E-14</v>
      </c>
      <c r="LM9">
        <v>844512</v>
      </c>
      <c r="LN9" t="s">
        <v>4315</v>
      </c>
      <c r="LS9" t="s">
        <v>1084</v>
      </c>
      <c r="LT9" t="s">
        <v>1685</v>
      </c>
      <c r="LU9">
        <v>6.8681000000000006E-2</v>
      </c>
      <c r="LV9">
        <v>0.18884100000000001</v>
      </c>
      <c r="LW9" t="s">
        <v>1664</v>
      </c>
      <c r="LX9">
        <v>2025</v>
      </c>
      <c r="LY9" t="s">
        <v>2052</v>
      </c>
      <c r="LZ9" s="6">
        <v>45838</v>
      </c>
      <c r="MA9">
        <v>5</v>
      </c>
      <c r="MB9">
        <v>4033635</v>
      </c>
      <c r="MC9">
        <v>101689</v>
      </c>
      <c r="MD9" t="s">
        <v>2053</v>
      </c>
      <c r="MG9" t="s">
        <v>5445</v>
      </c>
      <c r="MH9">
        <v>-2.4245362661989844E-14</v>
      </c>
      <c r="MJ9">
        <v>-2.4245362661989844E-14</v>
      </c>
      <c r="MK9" t="s">
        <v>1594</v>
      </c>
      <c r="ML9">
        <v>2023</v>
      </c>
      <c r="MM9" t="s">
        <v>5439</v>
      </c>
      <c r="MN9" s="6">
        <v>45265</v>
      </c>
      <c r="MO9">
        <v>5</v>
      </c>
      <c r="MP9">
        <v>-2.4245362661989844E-14</v>
      </c>
      <c r="MQ9">
        <v>11379994</v>
      </c>
      <c r="MR9" t="s">
        <v>5446</v>
      </c>
      <c r="MW9" t="s">
        <v>3376</v>
      </c>
      <c r="MX9" t="s">
        <v>1598</v>
      </c>
      <c r="MY9">
        <v>0.17995</v>
      </c>
      <c r="MZ9">
        <v>0.30374099999999998</v>
      </c>
      <c r="NA9" t="s">
        <v>1606</v>
      </c>
      <c r="NB9">
        <v>2025</v>
      </c>
      <c r="NC9" t="s">
        <v>3377</v>
      </c>
      <c r="ND9" s="6">
        <v>46072</v>
      </c>
      <c r="NE9">
        <v>5</v>
      </c>
      <c r="NF9">
        <v>6703981.1799999997</v>
      </c>
      <c r="NG9">
        <v>70579391</v>
      </c>
      <c r="NH9" t="s">
        <v>3378</v>
      </c>
      <c r="NK9" t="s">
        <v>2711</v>
      </c>
      <c r="NL9">
        <v>2.4511029999999998</v>
      </c>
      <c r="NM9" t="s">
        <v>1598</v>
      </c>
      <c r="NN9">
        <v>0.67312399999999994</v>
      </c>
      <c r="NO9" t="s">
        <v>1599</v>
      </c>
      <c r="NP9">
        <v>2025</v>
      </c>
      <c r="NQ9" t="s">
        <v>5104</v>
      </c>
      <c r="NR9" s="6">
        <v>45961</v>
      </c>
      <c r="NS9">
        <v>5</v>
      </c>
      <c r="NT9">
        <v>78122784</v>
      </c>
      <c r="NU9">
        <v>143036</v>
      </c>
      <c r="NV9" t="s">
        <v>2712</v>
      </c>
      <c r="OA9" t="s">
        <v>5289</v>
      </c>
      <c r="OB9" t="s">
        <v>1685</v>
      </c>
      <c r="OC9">
        <v>1.5393250000000001</v>
      </c>
      <c r="OD9">
        <v>0.45261099999999999</v>
      </c>
      <c r="OE9" t="s">
        <v>1594</v>
      </c>
      <c r="OF9">
        <v>2024</v>
      </c>
      <c r="OG9" t="s">
        <v>5290</v>
      </c>
      <c r="OH9" s="6">
        <v>45699</v>
      </c>
      <c r="OI9">
        <v>5</v>
      </c>
      <c r="OJ9">
        <v>462228.5</v>
      </c>
      <c r="OK9">
        <v>1749265</v>
      </c>
      <c r="OL9" t="s">
        <v>5291</v>
      </c>
      <c r="OO9" t="s">
        <v>5184</v>
      </c>
      <c r="OP9">
        <v>-2.4245362661989844E-14</v>
      </c>
      <c r="OR9">
        <v>-2.4245362661989844E-14</v>
      </c>
      <c r="OS9" t="s">
        <v>1651</v>
      </c>
      <c r="OT9">
        <v>2025</v>
      </c>
      <c r="OU9" t="s">
        <v>5185</v>
      </c>
      <c r="OV9" s="6">
        <v>45973</v>
      </c>
      <c r="OW9">
        <v>5</v>
      </c>
      <c r="OX9">
        <v>-2.4245362661989844E-14</v>
      </c>
      <c r="OY9">
        <v>117359</v>
      </c>
      <c r="OZ9" t="s">
        <v>5186</v>
      </c>
      <c r="PE9" t="s">
        <v>2134</v>
      </c>
      <c r="PF9" t="s">
        <v>1598</v>
      </c>
      <c r="PG9">
        <v>7.8998670000000004</v>
      </c>
      <c r="PH9">
        <v>2.4635630000000002</v>
      </c>
      <c r="PI9" t="s">
        <v>1664</v>
      </c>
      <c r="PJ9">
        <v>2025</v>
      </c>
      <c r="PK9" t="s">
        <v>2135</v>
      </c>
      <c r="PL9" s="6">
        <v>45873</v>
      </c>
      <c r="PM9">
        <v>5</v>
      </c>
      <c r="PN9">
        <v>500348050.10000002</v>
      </c>
      <c r="PO9">
        <v>112185</v>
      </c>
      <c r="PP9" t="s">
        <v>2136</v>
      </c>
      <c r="PS9" t="s">
        <v>1116</v>
      </c>
      <c r="PT9">
        <v>1.979095</v>
      </c>
      <c r="PU9" t="s">
        <v>1634</v>
      </c>
      <c r="PV9">
        <v>90.225311000000005</v>
      </c>
      <c r="PW9" t="s">
        <v>1664</v>
      </c>
      <c r="PX9">
        <v>2025</v>
      </c>
      <c r="PY9" t="s">
        <v>2179</v>
      </c>
      <c r="PZ9" s="6">
        <v>45873</v>
      </c>
      <c r="QA9">
        <v>5</v>
      </c>
      <c r="QB9">
        <v>450224320</v>
      </c>
      <c r="QC9">
        <v>100090</v>
      </c>
      <c r="QD9" t="s">
        <v>1960</v>
      </c>
      <c r="QI9" t="s">
        <v>2348</v>
      </c>
      <c r="QK9">
        <v>-2.4245362661989844E-14</v>
      </c>
      <c r="QL9">
        <v>-2.4245362661989844E-14</v>
      </c>
      <c r="QM9" t="s">
        <v>1792</v>
      </c>
      <c r="QN9">
        <v>2022</v>
      </c>
      <c r="QO9" t="s">
        <v>2349</v>
      </c>
      <c r="QP9" s="6">
        <v>44764</v>
      </c>
      <c r="QQ9">
        <v>5</v>
      </c>
      <c r="QR9">
        <v>-2.4245362661989844E-14</v>
      </c>
      <c r="QS9">
        <v>117288</v>
      </c>
      <c r="QT9" t="s">
        <v>2350</v>
      </c>
      <c r="RM9" t="s">
        <v>107</v>
      </c>
      <c r="RN9" t="s">
        <v>1598</v>
      </c>
      <c r="RO9">
        <v>6.3287999999999997E-2</v>
      </c>
      <c r="RP9">
        <v>2.1153999999999999E-2</v>
      </c>
      <c r="RQ9" t="s">
        <v>1606</v>
      </c>
      <c r="RR9">
        <v>2025</v>
      </c>
      <c r="RS9" t="s">
        <v>3619</v>
      </c>
      <c r="RT9" s="6">
        <v>45894</v>
      </c>
      <c r="RU9">
        <v>5</v>
      </c>
      <c r="RV9">
        <v>183852</v>
      </c>
      <c r="RW9">
        <v>126302</v>
      </c>
      <c r="RX9" t="s">
        <v>4004</v>
      </c>
      <c r="SA9" t="s">
        <v>1891</v>
      </c>
      <c r="SB9">
        <v>0.57747899999999996</v>
      </c>
      <c r="SC9" t="s">
        <v>1598</v>
      </c>
      <c r="SD9">
        <v>0.138623</v>
      </c>
      <c r="SE9" t="s">
        <v>1603</v>
      </c>
      <c r="SF9">
        <v>2025</v>
      </c>
      <c r="SG9" t="s">
        <v>1892</v>
      </c>
      <c r="SH9" s="6">
        <v>45784</v>
      </c>
      <c r="SI9">
        <v>5</v>
      </c>
      <c r="SJ9">
        <v>8372864</v>
      </c>
      <c r="SK9">
        <v>100115</v>
      </c>
      <c r="SL9" t="s">
        <v>1893</v>
      </c>
      <c r="SQ9" t="s">
        <v>530</v>
      </c>
      <c r="SR9" t="s">
        <v>1598</v>
      </c>
      <c r="SS9">
        <v>10.167664</v>
      </c>
      <c r="ST9">
        <v>2.6809409999999998</v>
      </c>
      <c r="SU9" t="s">
        <v>1603</v>
      </c>
      <c r="SV9">
        <v>2025</v>
      </c>
      <c r="SW9" t="s">
        <v>4778</v>
      </c>
      <c r="SX9" s="6">
        <v>45800</v>
      </c>
      <c r="SY9">
        <v>5</v>
      </c>
      <c r="SZ9">
        <v>113084760</v>
      </c>
      <c r="TA9">
        <v>35508256</v>
      </c>
      <c r="TB9" t="s">
        <v>3226</v>
      </c>
      <c r="TE9" t="s">
        <v>6343</v>
      </c>
      <c r="TF9">
        <v>-2.4245362661989844E-14</v>
      </c>
      <c r="TH9">
        <v>-2.4245362661989844E-14</v>
      </c>
      <c r="TI9" t="s">
        <v>1594</v>
      </c>
      <c r="TJ9">
        <v>2025</v>
      </c>
      <c r="TK9" t="s">
        <v>6344</v>
      </c>
      <c r="TL9" s="6">
        <v>45896</v>
      </c>
      <c r="TM9">
        <v>5</v>
      </c>
      <c r="TN9">
        <v>-2.4245362661989844E-14</v>
      </c>
      <c r="TO9">
        <v>61455209</v>
      </c>
      <c r="TP9" t="s">
        <v>6345</v>
      </c>
      <c r="TU9" t="s">
        <v>3235</v>
      </c>
      <c r="TW9">
        <v>-2.4245362661989844E-14</v>
      </c>
      <c r="TX9">
        <v>-2.4245362661989844E-14</v>
      </c>
      <c r="TY9" t="s">
        <v>1594</v>
      </c>
      <c r="TZ9">
        <v>2023</v>
      </c>
      <c r="UA9" t="s">
        <v>3236</v>
      </c>
      <c r="UB9" s="6">
        <v>45462</v>
      </c>
      <c r="UC9">
        <v>5</v>
      </c>
      <c r="UD9">
        <v>-2.4245362661989844E-14</v>
      </c>
      <c r="UE9">
        <v>48621208</v>
      </c>
      <c r="UF9" t="s">
        <v>3237</v>
      </c>
      <c r="UI9" t="s">
        <v>2867</v>
      </c>
      <c r="UJ9">
        <v>-2.4245362661989844E-14</v>
      </c>
      <c r="UL9">
        <v>-2.4245362661989844E-14</v>
      </c>
      <c r="UM9" t="s">
        <v>1594</v>
      </c>
      <c r="UN9">
        <v>2022</v>
      </c>
      <c r="UO9" t="s">
        <v>2868</v>
      </c>
      <c r="UP9" s="6">
        <v>44974</v>
      </c>
      <c r="UQ9">
        <v>5</v>
      </c>
      <c r="UR9">
        <v>-2.4245362661989844E-14</v>
      </c>
      <c r="US9">
        <v>36379759</v>
      </c>
      <c r="UT9" t="s">
        <v>2869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878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879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880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881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882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883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884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885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886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887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888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889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890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891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892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893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894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895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896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74</v>
      </c>
      <c r="AE2" s="3" t="s">
        <v>897</v>
      </c>
      <c r="BI2" s="3" t="s">
        <v>898</v>
      </c>
      <c r="CM2" s="3" t="s">
        <v>899</v>
      </c>
      <c r="DQ2" s="3" t="s">
        <v>437</v>
      </c>
      <c r="EU2" s="3" t="s">
        <v>465</v>
      </c>
      <c r="FY2" s="3" t="s">
        <v>78</v>
      </c>
      <c r="HC2" s="3" t="s">
        <v>184</v>
      </c>
      <c r="IG2" s="3" t="s">
        <v>900</v>
      </c>
      <c r="JK2" s="3" t="s">
        <v>21</v>
      </c>
      <c r="KO2" s="3" t="s">
        <v>901</v>
      </c>
      <c r="LS2" s="3" t="s">
        <v>779</v>
      </c>
      <c r="MW2" s="3" t="s">
        <v>902</v>
      </c>
      <c r="OA2" s="3" t="s">
        <v>84</v>
      </c>
      <c r="PE2" s="3" t="s">
        <v>29</v>
      </c>
      <c r="QI2" s="3" t="s">
        <v>903</v>
      </c>
      <c r="RM2" s="3" t="s">
        <v>106</v>
      </c>
      <c r="SQ2" s="3" t="s">
        <v>904</v>
      </c>
      <c r="TU2" s="3" t="s">
        <v>905</v>
      </c>
      <c r="UY2" s="3" t="s">
        <v>654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_xll.BDS("OXY US Equity","SUPPLY_CHAIN_SUPPLIERS_ALL_DATA","cols=12;rows=5")</f>
        <v>TEN IM Equity</v>
      </c>
      <c r="B5" t="s">
        <v>1634</v>
      </c>
      <c r="C5">
        <v>4.1556490000000004</v>
      </c>
      <c r="D5">
        <v>6.1942469999999998</v>
      </c>
      <c r="E5" t="s">
        <v>1599</v>
      </c>
      <c r="F5">
        <v>2025</v>
      </c>
      <c r="G5" t="s">
        <v>3361</v>
      </c>
      <c r="H5" s="6">
        <v>45971</v>
      </c>
      <c r="I5">
        <v>5</v>
      </c>
      <c r="J5">
        <v>123761048</v>
      </c>
      <c r="K5">
        <v>7912227</v>
      </c>
      <c r="L5" t="s">
        <v>3362</v>
      </c>
      <c r="O5" t="str">
        <f>_xll.BDS("OXY US Equity","SUPPLY_CHAIN_CUSTOMERS_ALL_DATA","cols=12;rows=5")</f>
        <v>0611520D US Equity</v>
      </c>
      <c r="P5">
        <v>-2.4245362661989844E-14</v>
      </c>
      <c r="R5">
        <v>-2.4245362661989844E-14</v>
      </c>
      <c r="S5" t="s">
        <v>1594</v>
      </c>
      <c r="T5">
        <v>2022</v>
      </c>
      <c r="U5" t="s">
        <v>5566</v>
      </c>
      <c r="V5" s="6">
        <v>44865</v>
      </c>
      <c r="W5">
        <v>5</v>
      </c>
      <c r="X5">
        <v>-2.4245362661989844E-14</v>
      </c>
      <c r="Y5">
        <v>1419908</v>
      </c>
      <c r="Z5" t="s">
        <v>5567</v>
      </c>
      <c r="AE5" t="str">
        <f>_xll.BDS("STRZ US Equity","SUPPLY_CHAIN_SUPPLIERS_ALL_DATA","cols=12;rows=5")</f>
        <v>LION US Equity</v>
      </c>
      <c r="AF5" t="s">
        <v>1598</v>
      </c>
      <c r="AG5">
        <v>19.392897000000001</v>
      </c>
      <c r="AH5">
        <v>28.307144000000001</v>
      </c>
      <c r="AI5" t="s">
        <v>1594</v>
      </c>
      <c r="AJ5">
        <v>2025</v>
      </c>
      <c r="AK5" t="s">
        <v>5876</v>
      </c>
      <c r="AL5" s="6">
        <v>45867</v>
      </c>
      <c r="AM5">
        <v>5</v>
      </c>
      <c r="AN5">
        <v>154924992</v>
      </c>
      <c r="AO5">
        <v>71992941</v>
      </c>
      <c r="AP5" t="s">
        <v>5877</v>
      </c>
      <c r="AS5" t="str">
        <f>_xll.BDS("STRZ US Equity","SUPPLY_CHAIN_CUSTOMERS_ALL_DATA","cols=12;rows=5")</f>
        <v>AMZN US Equity</v>
      </c>
      <c r="AT5">
        <v>29.700001</v>
      </c>
      <c r="AU5" t="s">
        <v>1598</v>
      </c>
      <c r="AV5">
        <v>0.123029</v>
      </c>
      <c r="AW5" t="s">
        <v>1594</v>
      </c>
      <c r="AX5">
        <v>2025</v>
      </c>
      <c r="AY5" t="s">
        <v>5782</v>
      </c>
      <c r="AZ5" s="6">
        <v>45834</v>
      </c>
      <c r="BA5">
        <v>5</v>
      </c>
      <c r="BB5">
        <v>101692800</v>
      </c>
      <c r="BC5">
        <v>216952</v>
      </c>
      <c r="BD5" t="s">
        <v>1631</v>
      </c>
      <c r="BI5" t="str">
        <f>_xll.BDS("KMP US Equity","SUPPLY_CHAIN_SUPPLIERS_ALL_DATA")</f>
        <v>#N/A N/A</v>
      </c>
      <c r="BW5" t="str">
        <f>_xll.BDS("KMP US Equity","SUPPLY_CHAIN_CUSTOMERS_ALL_DATA")</f>
        <v>#N/A N/A</v>
      </c>
      <c r="CM5" t="str">
        <f>_xll.BDS("196850Q US Equity","SUPPLY_CHAIN_SUPPLIERS_ALL_DATA")</f>
        <v>#N/A N/A</v>
      </c>
      <c r="DA5" t="str">
        <f>_xll.BDS("196850Q US Equity","SUPPLY_CHAIN_CUSTOMERS_ALL_DATA")</f>
        <v>#N/A N/A</v>
      </c>
      <c r="DQ5" t="str">
        <f>_xll.BDS("EPD US Equity","SUPPLY_CHAIN_SUPPLIERS_ALL_DATA","cols=12;rows=5")</f>
        <v>MTDR US Equity</v>
      </c>
      <c r="DR5" t="s">
        <v>1598</v>
      </c>
      <c r="DS5">
        <v>11</v>
      </c>
      <c r="DT5">
        <v>0.78312800000000005</v>
      </c>
      <c r="DU5" t="s">
        <v>1594</v>
      </c>
      <c r="DV5">
        <v>2024</v>
      </c>
      <c r="DW5" t="s">
        <v>2315</v>
      </c>
      <c r="DX5" s="6">
        <v>45713</v>
      </c>
      <c r="DY5">
        <v>5</v>
      </c>
      <c r="DZ5">
        <v>96021256</v>
      </c>
      <c r="EA5">
        <v>15224879</v>
      </c>
      <c r="EB5" t="s">
        <v>2316</v>
      </c>
      <c r="EE5" t="str">
        <f>_xll.BDS("EPD US Equity","SUPPLY_CHAIN_CUSTOMERS_ALL_DATA","cols=12;rows=5")</f>
        <v>62647Z LN Equity</v>
      </c>
      <c r="EF5">
        <v>11.5</v>
      </c>
      <c r="EH5">
        <v>-2.4245362661989844E-14</v>
      </c>
      <c r="EI5" t="s">
        <v>1594</v>
      </c>
      <c r="EJ5">
        <v>2024</v>
      </c>
      <c r="EK5" t="s">
        <v>1928</v>
      </c>
      <c r="EL5" s="6">
        <v>45716</v>
      </c>
      <c r="EM5">
        <v>5</v>
      </c>
      <c r="EN5">
        <v>1612500000</v>
      </c>
      <c r="EO5">
        <v>958757</v>
      </c>
      <c r="EP5" t="s">
        <v>1929</v>
      </c>
      <c r="EU5" t="str">
        <f>_xll.BDS("TSN US Equity","SUPPLY_CHAIN_SUPPLIERS_ALL_DATA","cols=12;rows=5")</f>
        <v>AMCR US Equity</v>
      </c>
      <c r="EV5" t="s">
        <v>1598</v>
      </c>
      <c r="EW5">
        <v>4.8301939999999997</v>
      </c>
      <c r="EX5">
        <v>2.0692020000000002</v>
      </c>
      <c r="EY5" t="s">
        <v>1664</v>
      </c>
      <c r="EZ5">
        <v>2026</v>
      </c>
      <c r="FA5" t="s">
        <v>2336</v>
      </c>
      <c r="FB5" s="6">
        <v>46071</v>
      </c>
      <c r="FC5">
        <v>5</v>
      </c>
      <c r="FD5">
        <v>263197264</v>
      </c>
      <c r="FE5">
        <v>61417091</v>
      </c>
      <c r="FF5" t="s">
        <v>2337</v>
      </c>
      <c r="FI5" t="str">
        <f>_xll.BDS("TSN US Equity","SUPPLY_CHAIN_CUSTOMERS_ALL_DATA","cols=12;rows=5")</f>
        <v>WMT US Equity</v>
      </c>
      <c r="FJ5">
        <v>18.700001</v>
      </c>
      <c r="FK5" t="s">
        <v>1598</v>
      </c>
      <c r="FL5">
        <v>1.928294</v>
      </c>
      <c r="FM5" t="s">
        <v>1594</v>
      </c>
      <c r="FN5">
        <v>2025</v>
      </c>
      <c r="FO5" t="s">
        <v>1939</v>
      </c>
      <c r="FP5" s="6">
        <v>45971</v>
      </c>
      <c r="FQ5">
        <v>5</v>
      </c>
      <c r="FR5">
        <v>2545116672</v>
      </c>
      <c r="FS5">
        <v>101616</v>
      </c>
      <c r="FT5" t="s">
        <v>1666</v>
      </c>
      <c r="FY5" t="str">
        <f>_xll.BDS("nan Equity","SUPPLY_CHAIN_SUPPLIERS_ALL_DATA")</f>
        <v>#N/A N/A</v>
      </c>
      <c r="GM5" t="str">
        <f>_xll.BDS("nan Equity","SUPPLY_CHAIN_CUSTOMERS_ALL_DATA")</f>
        <v>#N/A N/A</v>
      </c>
      <c r="HC5" t="str">
        <f>_xll.BDS("TMO US Equity","SUPPLY_CHAIN_SUPPLIERS_ALL_DATA","cols=12;rows=5")</f>
        <v>EMR US Equity</v>
      </c>
      <c r="HD5" t="s">
        <v>1598</v>
      </c>
      <c r="HE5">
        <v>4.2224550000000001</v>
      </c>
      <c r="HF5">
        <v>2.8645350000000001</v>
      </c>
      <c r="HG5" t="s">
        <v>1599</v>
      </c>
      <c r="HH5">
        <v>2025</v>
      </c>
      <c r="HI5" t="s">
        <v>2931</v>
      </c>
      <c r="HJ5" s="6">
        <v>45881</v>
      </c>
      <c r="HK5">
        <v>5</v>
      </c>
      <c r="HL5">
        <v>184647952</v>
      </c>
      <c r="HM5">
        <v>100515</v>
      </c>
      <c r="HN5" t="s">
        <v>2932</v>
      </c>
      <c r="HQ5" t="str">
        <f>_xll.BDS("TMO US Equity","SUPPLY_CHAIN_CUSTOMERS_ALL_DATA","cols=12;rows=5")</f>
        <v>4195 TT Equity</v>
      </c>
      <c r="HR5">
        <v>9.7099999999999999E-3</v>
      </c>
      <c r="HS5" t="s">
        <v>1598</v>
      </c>
      <c r="HT5">
        <v>37.527434999999997</v>
      </c>
      <c r="HU5" t="s">
        <v>1594</v>
      </c>
      <c r="HV5">
        <v>2024</v>
      </c>
      <c r="HW5" t="s">
        <v>2828</v>
      </c>
      <c r="HX5" s="6">
        <v>45803</v>
      </c>
      <c r="HY5">
        <v>5</v>
      </c>
      <c r="HZ5">
        <v>1052629.3999999999</v>
      </c>
      <c r="IA5">
        <v>38166930</v>
      </c>
      <c r="IB5" t="s">
        <v>2829</v>
      </c>
      <c r="IG5" t="str">
        <f>_xll.BDS("DEN US Equity","SUPPLY_CHAIN_SUPPLIERS_ALL_DATA","cols=12;rows=1")</f>
        <v>WY US Equity</v>
      </c>
      <c r="II5">
        <v>-2.4245362661989844E-14</v>
      </c>
      <c r="IJ5">
        <v>-2.4245362661989844E-14</v>
      </c>
      <c r="IK5" t="s">
        <v>1594</v>
      </c>
      <c r="IL5">
        <v>2022</v>
      </c>
      <c r="IM5" t="s">
        <v>2794</v>
      </c>
      <c r="IN5" s="6">
        <v>44907</v>
      </c>
      <c r="IO5">
        <v>1</v>
      </c>
      <c r="IP5">
        <v>-2.4245362661989844E-14</v>
      </c>
      <c r="IQ5">
        <v>101652</v>
      </c>
      <c r="IR5" t="s">
        <v>3924</v>
      </c>
      <c r="IU5" t="str">
        <f>_xll.BDS("DEN US Equity","SUPPLY_CHAIN_CUSTOMERS_ALL_DATA","cols=12;rows=4")</f>
        <v>0356193D US Equity</v>
      </c>
      <c r="IV5">
        <v>-2.4245362661989844E-14</v>
      </c>
      <c r="IX5">
        <v>-2.4245362661989844E-14</v>
      </c>
      <c r="IY5" t="s">
        <v>1594</v>
      </c>
      <c r="IZ5">
        <v>2022</v>
      </c>
      <c r="JA5" t="s">
        <v>5323</v>
      </c>
      <c r="JB5" s="6">
        <v>44980</v>
      </c>
      <c r="JC5">
        <v>4</v>
      </c>
      <c r="JD5">
        <v>-2.4245362661989844E-14</v>
      </c>
      <c r="JE5">
        <v>19991273</v>
      </c>
      <c r="JF5" t="s">
        <v>5324</v>
      </c>
      <c r="JK5" t="str">
        <f>_xll.BDS("T US Equity","SUPPLY_CHAIN_SUPPLIERS_ALL_DATA","cols=12;rows=5")</f>
        <v>AAPL US Equity</v>
      </c>
      <c r="JL5" t="s">
        <v>1598</v>
      </c>
      <c r="JM5">
        <v>1.2812509999999999</v>
      </c>
      <c r="JN5">
        <v>9.9289989999999992</v>
      </c>
      <c r="JO5" t="s">
        <v>1664</v>
      </c>
      <c r="JP5">
        <v>2025</v>
      </c>
      <c r="JQ5" t="s">
        <v>3183</v>
      </c>
      <c r="JR5" s="6">
        <v>45863</v>
      </c>
      <c r="JS5">
        <v>5</v>
      </c>
      <c r="JT5">
        <v>1221788160</v>
      </c>
      <c r="JU5">
        <v>101695</v>
      </c>
      <c r="JV5" t="s">
        <v>1919</v>
      </c>
      <c r="JY5" t="str">
        <f>_xll.BDS("T US Equity","SUPPLY_CHAIN_CUSTOMERS_ALL_DATA","cols=12;rows=5")</f>
        <v>IBM US Equity</v>
      </c>
      <c r="JZ5">
        <v>0.86485599999999996</v>
      </c>
      <c r="KA5" t="s">
        <v>1598</v>
      </c>
      <c r="KB5">
        <v>4.0630959999999998</v>
      </c>
      <c r="KC5" t="s">
        <v>1603</v>
      </c>
      <c r="KD5">
        <v>2025</v>
      </c>
      <c r="KE5" t="s">
        <v>1744</v>
      </c>
      <c r="KF5" s="6">
        <v>45797</v>
      </c>
      <c r="KG5">
        <v>5</v>
      </c>
      <c r="KH5">
        <v>264507552</v>
      </c>
      <c r="KI5">
        <v>100801</v>
      </c>
      <c r="KJ5" t="s">
        <v>1745</v>
      </c>
      <c r="KO5" t="str">
        <f>_xll.BDS("1023761D US Equity","SUPPLY_CHAIN_SUPPLIERS_ALL_DATA")</f>
        <v>#N/A N/A</v>
      </c>
      <c r="LC5" t="str">
        <f>_xll.BDS("1023761D US Equity","SUPPLY_CHAIN_CUSTOMERS_ALL_DATA")</f>
        <v>#N/A N/A</v>
      </c>
      <c r="LS5" t="str">
        <f>_xll.BDS("MAA US Equity","SUPPLY_CHAIN_SUPPLIERS_ALL_DATA","cols=12;rows=1")</f>
        <v>SMRT US Equity</v>
      </c>
      <c r="LU5">
        <v>-2.4245362661989844E-14</v>
      </c>
      <c r="LV5">
        <v>-2.4245362661989844E-14</v>
      </c>
      <c r="LW5" t="s">
        <v>1603</v>
      </c>
      <c r="LX5">
        <v>2024</v>
      </c>
      <c r="LY5" t="s">
        <v>2169</v>
      </c>
      <c r="LZ5" s="6">
        <v>45420</v>
      </c>
      <c r="MA5">
        <v>1</v>
      </c>
      <c r="MB5">
        <v>-2.4245362661989844E-14</v>
      </c>
      <c r="MC5">
        <v>69417624</v>
      </c>
      <c r="MD5" t="s">
        <v>2170</v>
      </c>
      <c r="MG5" t="str">
        <f>_xll.BDS("MAA US Equity","SUPPLY_CHAIN_CUSTOMERS_ALL_DATA")</f>
        <v>#N/A N/A</v>
      </c>
      <c r="MW5" t="str">
        <f>_xll.BDS("SBRA US Equity","SUPPLY_CHAIN_SUPPLIERS_ALL_DATA")</f>
        <v>#N/A N/A</v>
      </c>
      <c r="NK5" t="str">
        <f>_xll.BDS("SBRA US Equity","SUPPLY_CHAIN_CUSTOMERS_ALL_DATA","cols=12;rows=5")</f>
        <v>0210338D US Equity</v>
      </c>
      <c r="NL5">
        <v>5.3452549999999999</v>
      </c>
      <c r="NN5">
        <v>-2.4245362661989844E-14</v>
      </c>
      <c r="NO5" t="s">
        <v>1594</v>
      </c>
      <c r="NP5">
        <v>2024</v>
      </c>
      <c r="NQ5" t="s">
        <v>6022</v>
      </c>
      <c r="NR5" s="6">
        <v>45708</v>
      </c>
      <c r="NS5">
        <v>5</v>
      </c>
      <c r="NT5">
        <v>9397426</v>
      </c>
      <c r="NU5">
        <v>29639884</v>
      </c>
      <c r="NV5" t="s">
        <v>6023</v>
      </c>
      <c r="OA5" t="str">
        <f>_xll.BDS("0848680D US Equity","SUPPLY_CHAIN_SUPPLIERS_ALL_DATA")</f>
        <v>#N/A N/A</v>
      </c>
      <c r="OO5" t="str">
        <f>_xll.BDS("0848680D US Equity","SUPPLY_CHAIN_CUSTOMERS_ALL_DATA")</f>
        <v>#N/A N/A</v>
      </c>
      <c r="PE5" t="str">
        <f>_xll.BDS("VZ US Equity","SUPPLY_CHAIN_SUPPLIERS_ALL_DATA","cols=12;rows=5")</f>
        <v>AAPL US Equity</v>
      </c>
      <c r="PF5" t="s">
        <v>1598</v>
      </c>
      <c r="PG5">
        <v>2.0425080000000002</v>
      </c>
      <c r="PH5">
        <v>14.027474</v>
      </c>
      <c r="PI5" t="s">
        <v>1664</v>
      </c>
      <c r="PJ5">
        <v>2025</v>
      </c>
      <c r="PK5" t="s">
        <v>2375</v>
      </c>
      <c r="PL5" s="6">
        <v>45862</v>
      </c>
      <c r="PM5">
        <v>5</v>
      </c>
      <c r="PN5">
        <v>1947714816</v>
      </c>
      <c r="PO5">
        <v>101695</v>
      </c>
      <c r="PP5" t="s">
        <v>1919</v>
      </c>
      <c r="PS5" t="str">
        <f>_xll.BDS("VZ US Equity","SUPPLY_CHAIN_CUSTOMERS_ALL_DATA","cols=12;rows=5")</f>
        <v>SNX US Equity</v>
      </c>
      <c r="PT5">
        <v>0.47808400000000001</v>
      </c>
      <c r="PU5" t="s">
        <v>1598</v>
      </c>
      <c r="PV5">
        <v>1.074689</v>
      </c>
      <c r="PW5" t="s">
        <v>1606</v>
      </c>
      <c r="PX5">
        <v>2025</v>
      </c>
      <c r="PY5" t="s">
        <v>1701</v>
      </c>
      <c r="PZ5" s="6">
        <v>46056</v>
      </c>
      <c r="QA5">
        <v>5</v>
      </c>
      <c r="QB5">
        <v>173931856</v>
      </c>
      <c r="QC5">
        <v>1499717</v>
      </c>
      <c r="QD5" t="s">
        <v>1702</v>
      </c>
      <c r="QI5" t="str">
        <f>_xll.BDS("TGE US Equity","SUPPLY_CHAIN_SUPPLIERS_ALL_DATA")</f>
        <v>#N/A N/A</v>
      </c>
      <c r="QW5" t="str">
        <f>_xll.BDS("TGE US Equity","SUPPLY_CHAIN_CUSTOMERS_ALL_DATA")</f>
        <v>#N/A N/A</v>
      </c>
      <c r="RM5" t="str">
        <f>_xll.BDS("FISV US Equity","SUPPLY_CHAIN_SUPPLIERS_ALL_DATA","cols=12;rows=5")</f>
        <v>ADBE US Equity</v>
      </c>
      <c r="RN5" t="s">
        <v>1685</v>
      </c>
      <c r="RO5">
        <v>4.4098999999999999E-2</v>
      </c>
      <c r="RP5">
        <v>0.153979</v>
      </c>
      <c r="RQ5" t="s">
        <v>1664</v>
      </c>
      <c r="RR5">
        <v>2025</v>
      </c>
      <c r="RS5" t="s">
        <v>2052</v>
      </c>
      <c r="RT5" s="6">
        <v>45838</v>
      </c>
      <c r="RU5">
        <v>5</v>
      </c>
      <c r="RV5">
        <v>2589934</v>
      </c>
      <c r="RW5">
        <v>101689</v>
      </c>
      <c r="RX5" t="s">
        <v>2053</v>
      </c>
      <c r="SA5" t="str">
        <f>_xll.BDS("FISV US Equity","SUPPLY_CHAIN_CUSTOMERS_ALL_DATA","cols=12;rows=5")</f>
        <v>ALE PW Equity</v>
      </c>
      <c r="SB5">
        <v>9.0300000000000005E-4</v>
      </c>
      <c r="SC5" t="s">
        <v>1598</v>
      </c>
      <c r="SD5">
        <v>4.8596E-2</v>
      </c>
      <c r="SE5" t="s">
        <v>1594</v>
      </c>
      <c r="SF5">
        <v>2024</v>
      </c>
      <c r="SG5" t="s">
        <v>5764</v>
      </c>
      <c r="SH5" s="6">
        <v>45729</v>
      </c>
      <c r="SI5">
        <v>5</v>
      </c>
      <c r="SJ5">
        <v>46174.74</v>
      </c>
      <c r="SK5">
        <v>68856100</v>
      </c>
      <c r="SL5" t="s">
        <v>5765</v>
      </c>
      <c r="SQ5" t="str">
        <f>_xll.BDS("KEY US Equity","SUPPLY_CHAIN_SUPPLIERS_ALL_DATA","cols=12;rows=5")</f>
        <v>BILL US Equity</v>
      </c>
      <c r="SS5">
        <v>-2.4245362661989844E-14</v>
      </c>
      <c r="ST5">
        <v>-2.4245362661989844E-14</v>
      </c>
      <c r="SU5" t="s">
        <v>1599</v>
      </c>
      <c r="SV5">
        <v>2024</v>
      </c>
      <c r="SW5" t="s">
        <v>5558</v>
      </c>
      <c r="SX5" s="6">
        <v>45414</v>
      </c>
      <c r="SY5">
        <v>5</v>
      </c>
      <c r="SZ5">
        <v>-2.4245362661989844E-14</v>
      </c>
      <c r="TA5">
        <v>66503767</v>
      </c>
      <c r="TB5" t="s">
        <v>5559</v>
      </c>
      <c r="TE5" t="str">
        <f>_xll.BDS("KEY US Equity","SUPPLY_CHAIN_CUSTOMERS_ALL_DATA")</f>
        <v>#N/A N/A</v>
      </c>
      <c r="TU5" t="str">
        <f>_xll.BDS("TDG US Equity","SUPPLY_CHAIN_SUPPLIERS_ALL_DATA","cols=12;rows=5")</f>
        <v>DCO US Equity</v>
      </c>
      <c r="TV5" t="s">
        <v>1598</v>
      </c>
      <c r="TW5">
        <v>0.84416199999999997</v>
      </c>
      <c r="TX5">
        <v>0.208984</v>
      </c>
      <c r="TY5" t="s">
        <v>1664</v>
      </c>
      <c r="TZ5">
        <v>2025</v>
      </c>
      <c r="UA5" t="s">
        <v>3188</v>
      </c>
      <c r="UB5" s="6">
        <v>45911</v>
      </c>
      <c r="UC5">
        <v>5</v>
      </c>
      <c r="UD5">
        <v>1707402</v>
      </c>
      <c r="UE5">
        <v>103317</v>
      </c>
      <c r="UF5" t="s">
        <v>3189</v>
      </c>
      <c r="UI5" t="str">
        <f>_xll.BDS("TDG US Equity","SUPPLY_CHAIN_CUSTOMERS_ALL_DATA","cols=12;rows=5")</f>
        <v>BA US Equity</v>
      </c>
      <c r="UJ5">
        <v>7.9839589999999996</v>
      </c>
      <c r="UK5" t="s">
        <v>1598</v>
      </c>
      <c r="UL5">
        <v>0.68733</v>
      </c>
      <c r="UM5" t="s">
        <v>1606</v>
      </c>
      <c r="UN5">
        <v>2025</v>
      </c>
      <c r="UO5" t="s">
        <v>2163</v>
      </c>
      <c r="UP5" s="6">
        <v>45986</v>
      </c>
      <c r="UQ5">
        <v>5</v>
      </c>
      <c r="UR5">
        <v>176265856</v>
      </c>
      <c r="US5">
        <v>100211</v>
      </c>
      <c r="UT5" t="s">
        <v>1632</v>
      </c>
      <c r="UY5" t="str">
        <f>_xll.BDS("CG US Equity","SUPPLY_CHAIN_SUPPLIERS_ALL_DATA","cols=12;rows=5")</f>
        <v>SLG US Equity</v>
      </c>
      <c r="UZ5" t="s">
        <v>1685</v>
      </c>
      <c r="VA5">
        <v>2.3414929999999998</v>
      </c>
      <c r="VB5">
        <v>0.61569499999999999</v>
      </c>
      <c r="VC5" t="s">
        <v>1594</v>
      </c>
      <c r="VD5">
        <v>2024</v>
      </c>
      <c r="VE5" t="s">
        <v>2278</v>
      </c>
      <c r="VF5" s="6">
        <v>45706</v>
      </c>
      <c r="VG5">
        <v>5</v>
      </c>
      <c r="VH5">
        <v>5187999</v>
      </c>
      <c r="VI5">
        <v>231753</v>
      </c>
      <c r="VJ5" t="s">
        <v>2279</v>
      </c>
      <c r="VM5" t="str">
        <f>_xll.BDS("CG US Equity","SUPPLY_CHAIN_CUSTOMERS_ALL_DATA","cols=12;rows=5")</f>
        <v>POOL US Equity</v>
      </c>
      <c r="VN5">
        <v>8.2254889999999996</v>
      </c>
      <c r="VO5" t="s">
        <v>1598</v>
      </c>
      <c r="VP5">
        <v>12</v>
      </c>
      <c r="VQ5" t="s">
        <v>1594</v>
      </c>
      <c r="VR5">
        <v>2024</v>
      </c>
      <c r="VS5" t="s">
        <v>1870</v>
      </c>
      <c r="VT5" s="6">
        <v>45715</v>
      </c>
      <c r="VU5">
        <v>5</v>
      </c>
      <c r="VV5">
        <v>112068176</v>
      </c>
      <c r="VW5">
        <v>171077</v>
      </c>
      <c r="VX5" t="s">
        <v>1871</v>
      </c>
    </row>
    <row r="6" spans="1:600" x14ac:dyDescent="0.25">
      <c r="A6" t="s">
        <v>3957</v>
      </c>
      <c r="B6" t="s">
        <v>1634</v>
      </c>
      <c r="C6">
        <v>5.7508549999999996</v>
      </c>
      <c r="D6">
        <v>2.5957469999999998</v>
      </c>
      <c r="E6" t="s">
        <v>1599</v>
      </c>
      <c r="F6">
        <v>2025</v>
      </c>
      <c r="G6" t="s">
        <v>3958</v>
      </c>
      <c r="H6" s="6">
        <v>46006</v>
      </c>
      <c r="I6">
        <v>5</v>
      </c>
      <c r="J6">
        <v>45892800</v>
      </c>
      <c r="K6">
        <v>69554276</v>
      </c>
      <c r="L6" t="s">
        <v>3959</v>
      </c>
      <c r="O6" t="s">
        <v>5568</v>
      </c>
      <c r="P6">
        <v>-2.4245362661989844E-14</v>
      </c>
      <c r="R6">
        <v>-2.4245362661989844E-14</v>
      </c>
      <c r="S6" t="s">
        <v>1594</v>
      </c>
      <c r="T6">
        <v>2022</v>
      </c>
      <c r="U6" t="s">
        <v>5569</v>
      </c>
      <c r="V6" s="6">
        <v>44642</v>
      </c>
      <c r="W6">
        <v>5</v>
      </c>
      <c r="X6">
        <v>-2.4245362661989844E-14</v>
      </c>
      <c r="Y6">
        <v>11787621</v>
      </c>
      <c r="Z6" t="s">
        <v>5570</v>
      </c>
      <c r="AE6" t="s">
        <v>4959</v>
      </c>
      <c r="AF6" t="s">
        <v>1598</v>
      </c>
      <c r="AG6">
        <v>0.14044400000000001</v>
      </c>
      <c r="AH6">
        <v>4.5899770000000002</v>
      </c>
      <c r="AI6" t="s">
        <v>1664</v>
      </c>
      <c r="AJ6">
        <v>2026</v>
      </c>
      <c r="AK6" t="s">
        <v>5878</v>
      </c>
      <c r="AL6" s="6">
        <v>46049</v>
      </c>
      <c r="AM6">
        <v>5</v>
      </c>
      <c r="AN6">
        <v>29612962.300000001</v>
      </c>
      <c r="AO6">
        <v>101365</v>
      </c>
      <c r="AP6" t="s">
        <v>4960</v>
      </c>
      <c r="AS6" t="s">
        <v>2376</v>
      </c>
      <c r="AT6">
        <v>-2.4245362661989844E-14</v>
      </c>
      <c r="AV6">
        <v>-2.4245362661989844E-14</v>
      </c>
      <c r="AW6" t="s">
        <v>1594</v>
      </c>
      <c r="AX6">
        <v>2024</v>
      </c>
      <c r="AY6" t="s">
        <v>5783</v>
      </c>
      <c r="AZ6" s="6">
        <v>45442</v>
      </c>
      <c r="BA6">
        <v>5</v>
      </c>
      <c r="BB6">
        <v>-2.4245362661989844E-14</v>
      </c>
      <c r="BC6">
        <v>117929</v>
      </c>
      <c r="BD6" t="s">
        <v>2378</v>
      </c>
      <c r="DQ6" t="s">
        <v>2317</v>
      </c>
      <c r="DR6" t="s">
        <v>1598</v>
      </c>
      <c r="DS6">
        <v>4.7074870000000004</v>
      </c>
      <c r="DT6">
        <v>0.56672500000000003</v>
      </c>
      <c r="DU6" t="s">
        <v>1603</v>
      </c>
      <c r="DV6">
        <v>2025</v>
      </c>
      <c r="DW6" t="s">
        <v>2318</v>
      </c>
      <c r="DX6" s="6">
        <v>45863</v>
      </c>
      <c r="DY6">
        <v>5</v>
      </c>
      <c r="DZ6">
        <v>77584656</v>
      </c>
      <c r="EA6">
        <v>10832677</v>
      </c>
      <c r="EB6" t="s">
        <v>2319</v>
      </c>
      <c r="EE6" t="s">
        <v>1451</v>
      </c>
      <c r="EF6">
        <v>0.57596999999999998</v>
      </c>
      <c r="EG6" t="s">
        <v>1598</v>
      </c>
      <c r="EH6">
        <v>1.024999</v>
      </c>
      <c r="EI6" t="s">
        <v>1606</v>
      </c>
      <c r="EJ6">
        <v>2025</v>
      </c>
      <c r="EK6" t="s">
        <v>1930</v>
      </c>
      <c r="EL6" s="6">
        <v>46076</v>
      </c>
      <c r="EM6">
        <v>5</v>
      </c>
      <c r="EN6">
        <v>69248928</v>
      </c>
      <c r="EO6">
        <v>9932803</v>
      </c>
      <c r="EP6" t="s">
        <v>1931</v>
      </c>
      <c r="EU6" t="s">
        <v>143</v>
      </c>
      <c r="EV6" t="s">
        <v>1598</v>
      </c>
      <c r="EW6">
        <v>0.21653700000000001</v>
      </c>
      <c r="EX6">
        <v>0.27725</v>
      </c>
      <c r="EY6" t="s">
        <v>1606</v>
      </c>
      <c r="EZ6">
        <v>2025</v>
      </c>
      <c r="FA6" t="s">
        <v>2251</v>
      </c>
      <c r="FB6" s="6">
        <v>45848</v>
      </c>
      <c r="FC6">
        <v>5</v>
      </c>
      <c r="FD6">
        <v>34435880</v>
      </c>
      <c r="FE6">
        <v>101752</v>
      </c>
      <c r="FF6" t="s">
        <v>2265</v>
      </c>
      <c r="FI6" t="s">
        <v>1940</v>
      </c>
      <c r="FJ6">
        <v>7.6089529999999996</v>
      </c>
      <c r="FK6" t="s">
        <v>1598</v>
      </c>
      <c r="FL6">
        <v>5.9122209999999997</v>
      </c>
      <c r="FM6" t="s">
        <v>1599</v>
      </c>
      <c r="FN6">
        <v>2025</v>
      </c>
      <c r="FO6" t="s">
        <v>1941</v>
      </c>
      <c r="FP6" s="6">
        <v>45946</v>
      </c>
      <c r="FQ6">
        <v>5</v>
      </c>
      <c r="FR6">
        <v>1014064192</v>
      </c>
      <c r="FS6">
        <v>101433</v>
      </c>
      <c r="FT6" t="s">
        <v>1942</v>
      </c>
      <c r="HC6" t="s">
        <v>24</v>
      </c>
      <c r="HD6" t="s">
        <v>1598</v>
      </c>
      <c r="HE6">
        <v>0.39111600000000002</v>
      </c>
      <c r="HF6">
        <v>0.88908200000000004</v>
      </c>
      <c r="HG6" t="s">
        <v>1664</v>
      </c>
      <c r="HH6">
        <v>2025</v>
      </c>
      <c r="HI6" t="s">
        <v>3358</v>
      </c>
      <c r="HJ6" s="6">
        <v>45914</v>
      </c>
      <c r="HK6">
        <v>5</v>
      </c>
      <c r="HL6">
        <v>57310228</v>
      </c>
      <c r="HM6">
        <v>101166</v>
      </c>
      <c r="HN6" t="s">
        <v>2119</v>
      </c>
      <c r="HQ6" t="s">
        <v>1706</v>
      </c>
      <c r="HR6">
        <v>2.545E-3</v>
      </c>
      <c r="HS6" t="s">
        <v>1598</v>
      </c>
      <c r="HT6">
        <v>3.8306200000000001</v>
      </c>
      <c r="HU6" t="s">
        <v>1594</v>
      </c>
      <c r="HV6">
        <v>2024</v>
      </c>
      <c r="HW6" t="s">
        <v>1707</v>
      </c>
      <c r="HX6" s="6">
        <v>45819</v>
      </c>
      <c r="HY6">
        <v>5</v>
      </c>
      <c r="HZ6">
        <v>275861.17</v>
      </c>
      <c r="IA6">
        <v>15291339</v>
      </c>
      <c r="IB6" t="s">
        <v>1708</v>
      </c>
      <c r="IU6" t="s">
        <v>5325</v>
      </c>
      <c r="IV6">
        <v>-2.4245362661989844E-14</v>
      </c>
      <c r="IX6">
        <v>-2.4245362661989844E-14</v>
      </c>
      <c r="IY6" t="s">
        <v>1594</v>
      </c>
      <c r="IZ6">
        <v>2022</v>
      </c>
      <c r="JA6" t="s">
        <v>5323</v>
      </c>
      <c r="JB6" s="6">
        <v>44980</v>
      </c>
      <c r="JC6">
        <v>4</v>
      </c>
      <c r="JD6">
        <v>-2.4245362661989844E-14</v>
      </c>
      <c r="JE6">
        <v>114151</v>
      </c>
      <c r="JF6" t="s">
        <v>5326</v>
      </c>
      <c r="JK6" t="s">
        <v>2376</v>
      </c>
      <c r="JL6" t="s">
        <v>1598</v>
      </c>
      <c r="JM6">
        <v>2.0413640000000002</v>
      </c>
      <c r="JN6">
        <v>9.0393749999999997</v>
      </c>
      <c r="JO6" t="s">
        <v>1664</v>
      </c>
      <c r="JP6">
        <v>2025</v>
      </c>
      <c r="JQ6" t="s">
        <v>3183</v>
      </c>
      <c r="JR6" s="6">
        <v>45863</v>
      </c>
      <c r="JS6">
        <v>5</v>
      </c>
      <c r="JT6">
        <v>1112317696</v>
      </c>
      <c r="JU6">
        <v>117929</v>
      </c>
      <c r="JV6" t="s">
        <v>2378</v>
      </c>
      <c r="JY6" t="s">
        <v>1700</v>
      </c>
      <c r="JZ6">
        <v>0.112041</v>
      </c>
      <c r="KA6" t="s">
        <v>1598</v>
      </c>
      <c r="KB6">
        <v>0.211726</v>
      </c>
      <c r="KC6" t="s">
        <v>1606</v>
      </c>
      <c r="KD6">
        <v>2025</v>
      </c>
      <c r="KE6" t="s">
        <v>1701</v>
      </c>
      <c r="KF6" s="6">
        <v>46056</v>
      </c>
      <c r="KG6">
        <v>5</v>
      </c>
      <c r="KH6">
        <v>34266560</v>
      </c>
      <c r="KI6">
        <v>1499717</v>
      </c>
      <c r="KJ6" t="s">
        <v>1702</v>
      </c>
      <c r="NK6" t="s">
        <v>6024</v>
      </c>
      <c r="NL6">
        <v>5.3452549999999999</v>
      </c>
      <c r="NM6" t="s">
        <v>1685</v>
      </c>
      <c r="NN6">
        <v>16.695924999999999</v>
      </c>
      <c r="NO6" t="s">
        <v>1594</v>
      </c>
      <c r="NP6">
        <v>2024</v>
      </c>
      <c r="NQ6" t="s">
        <v>6022</v>
      </c>
      <c r="NR6" s="6">
        <v>45708</v>
      </c>
      <c r="NS6">
        <v>5</v>
      </c>
      <c r="NT6">
        <v>9397426</v>
      </c>
      <c r="NU6">
        <v>11947803</v>
      </c>
      <c r="NV6" t="s">
        <v>6025</v>
      </c>
      <c r="PE6" t="s">
        <v>2376</v>
      </c>
      <c r="PF6" t="s">
        <v>1598</v>
      </c>
      <c r="PG6">
        <v>2.370431</v>
      </c>
      <c r="PH6">
        <v>9.0958559999999995</v>
      </c>
      <c r="PI6" t="s">
        <v>1664</v>
      </c>
      <c r="PJ6">
        <v>2025</v>
      </c>
      <c r="PK6" t="s">
        <v>2377</v>
      </c>
      <c r="PL6" s="6">
        <v>45952</v>
      </c>
      <c r="PM6">
        <v>5</v>
      </c>
      <c r="PN6">
        <v>1262769985.1900001</v>
      </c>
      <c r="PO6">
        <v>117929</v>
      </c>
      <c r="PP6" t="s">
        <v>2378</v>
      </c>
      <c r="PS6" t="s">
        <v>1891</v>
      </c>
      <c r="PT6">
        <v>0.203543</v>
      </c>
      <c r="PU6" t="s">
        <v>1598</v>
      </c>
      <c r="PV6">
        <v>1.128412</v>
      </c>
      <c r="PW6" t="s">
        <v>1603</v>
      </c>
      <c r="PX6">
        <v>2025</v>
      </c>
      <c r="PY6" t="s">
        <v>1892</v>
      </c>
      <c r="PZ6" s="6">
        <v>45784</v>
      </c>
      <c r="QA6">
        <v>5</v>
      </c>
      <c r="QB6">
        <v>68156368</v>
      </c>
      <c r="QC6">
        <v>100115</v>
      </c>
      <c r="QD6" t="s">
        <v>1893</v>
      </c>
      <c r="RM6" t="s">
        <v>3906</v>
      </c>
      <c r="RN6" t="s">
        <v>1685</v>
      </c>
      <c r="RO6">
        <v>1.337661</v>
      </c>
      <c r="RP6">
        <v>0.11622499999999999</v>
      </c>
      <c r="RQ6" t="s">
        <v>1594</v>
      </c>
      <c r="RR6">
        <v>2024</v>
      </c>
      <c r="RS6" t="s">
        <v>3907</v>
      </c>
      <c r="RT6" s="6">
        <v>45702</v>
      </c>
      <c r="RU6">
        <v>5</v>
      </c>
      <c r="RV6">
        <v>1907250</v>
      </c>
      <c r="RW6">
        <v>225922</v>
      </c>
      <c r="RX6" t="s">
        <v>3908</v>
      </c>
      <c r="SA6" t="s">
        <v>5766</v>
      </c>
      <c r="SB6">
        <v>-2.4245362661989844E-14</v>
      </c>
      <c r="SD6">
        <v>-2.4245362661989844E-14</v>
      </c>
      <c r="SE6" t="s">
        <v>1594</v>
      </c>
      <c r="SF6">
        <v>2023</v>
      </c>
      <c r="SG6" t="s">
        <v>5767</v>
      </c>
      <c r="SH6" s="6">
        <v>45196</v>
      </c>
      <c r="SI6">
        <v>5</v>
      </c>
      <c r="SJ6">
        <v>-2.4245362661989844E-14</v>
      </c>
      <c r="SK6">
        <v>29517823</v>
      </c>
      <c r="SL6" t="s">
        <v>5768</v>
      </c>
      <c r="SQ6" t="s">
        <v>4990</v>
      </c>
      <c r="SS6">
        <v>-2.4245362661989844E-14</v>
      </c>
      <c r="ST6">
        <v>-2.4245362661989844E-14</v>
      </c>
      <c r="SU6" t="s">
        <v>1599</v>
      </c>
      <c r="SV6">
        <v>2025</v>
      </c>
      <c r="SW6" t="s">
        <v>4991</v>
      </c>
      <c r="SX6" s="6">
        <v>45957</v>
      </c>
      <c r="SY6">
        <v>5</v>
      </c>
      <c r="SZ6">
        <v>-2.4245362661989844E-14</v>
      </c>
      <c r="TA6">
        <v>43152573</v>
      </c>
      <c r="TB6" t="s">
        <v>4992</v>
      </c>
      <c r="TU6" t="s">
        <v>2212</v>
      </c>
      <c r="TV6" t="s">
        <v>1598</v>
      </c>
      <c r="TW6">
        <v>0.12837799999999999</v>
      </c>
      <c r="TX6">
        <v>0.18032500000000001</v>
      </c>
      <c r="TY6" t="s">
        <v>1599</v>
      </c>
      <c r="TZ6">
        <v>2025</v>
      </c>
      <c r="UA6" t="s">
        <v>3190</v>
      </c>
      <c r="UB6" s="6">
        <v>45905</v>
      </c>
      <c r="UC6">
        <v>5</v>
      </c>
      <c r="UD6">
        <v>1473254</v>
      </c>
      <c r="UE6">
        <v>104365</v>
      </c>
      <c r="UF6" t="s">
        <v>2214</v>
      </c>
      <c r="UI6" t="s">
        <v>1732</v>
      </c>
      <c r="UJ6">
        <v>5.419651</v>
      </c>
      <c r="UK6" t="s">
        <v>1598</v>
      </c>
      <c r="UL6">
        <v>0.68726100000000001</v>
      </c>
      <c r="UM6" t="s">
        <v>1606</v>
      </c>
      <c r="UN6">
        <v>2025</v>
      </c>
      <c r="UO6" t="s">
        <v>2163</v>
      </c>
      <c r="UP6" s="6">
        <v>45986</v>
      </c>
      <c r="UQ6">
        <v>5</v>
      </c>
      <c r="UR6">
        <v>119652344</v>
      </c>
      <c r="US6">
        <v>876285</v>
      </c>
      <c r="UT6" t="s">
        <v>1734</v>
      </c>
      <c r="UY6" t="s">
        <v>2280</v>
      </c>
      <c r="UZ6" t="s">
        <v>1685</v>
      </c>
      <c r="VA6">
        <v>0.89158300000000001</v>
      </c>
      <c r="VB6">
        <v>0.19925799999999999</v>
      </c>
      <c r="VC6" t="s">
        <v>1594</v>
      </c>
      <c r="VD6">
        <v>2024</v>
      </c>
      <c r="VE6" t="s">
        <v>2281</v>
      </c>
      <c r="VF6" s="6">
        <v>45694</v>
      </c>
      <c r="VG6">
        <v>5</v>
      </c>
      <c r="VH6">
        <v>1679000.25</v>
      </c>
      <c r="VI6">
        <v>106543</v>
      </c>
      <c r="VJ6" t="s">
        <v>2282</v>
      </c>
      <c r="VM6" t="s">
        <v>1872</v>
      </c>
      <c r="VN6">
        <v>0.112706</v>
      </c>
      <c r="VO6" t="s">
        <v>1598</v>
      </c>
      <c r="VP6">
        <v>3.4763000000000002E-2</v>
      </c>
      <c r="VQ6" t="s">
        <v>1603</v>
      </c>
      <c r="VR6">
        <v>2025</v>
      </c>
      <c r="VS6" t="s">
        <v>1873</v>
      </c>
      <c r="VT6" s="6">
        <v>45852</v>
      </c>
      <c r="VU6">
        <v>5</v>
      </c>
      <c r="VV6">
        <v>1103394.56</v>
      </c>
      <c r="VW6">
        <v>14866501</v>
      </c>
      <c r="VX6" t="s">
        <v>1874</v>
      </c>
    </row>
    <row r="7" spans="1:600" x14ac:dyDescent="0.25">
      <c r="A7" t="s">
        <v>3960</v>
      </c>
      <c r="B7" t="s">
        <v>1634</v>
      </c>
      <c r="C7">
        <v>5.8407960000000001</v>
      </c>
      <c r="D7">
        <v>1.798427</v>
      </c>
      <c r="E7" t="s">
        <v>1664</v>
      </c>
      <c r="F7">
        <v>2025</v>
      </c>
      <c r="G7" t="s">
        <v>3961</v>
      </c>
      <c r="H7" s="6">
        <v>45943</v>
      </c>
      <c r="I7">
        <v>5</v>
      </c>
      <c r="J7">
        <v>35932576</v>
      </c>
      <c r="K7">
        <v>69563033</v>
      </c>
      <c r="L7" t="s">
        <v>3962</v>
      </c>
      <c r="O7" t="s">
        <v>5571</v>
      </c>
      <c r="P7">
        <v>-2.4245362661989844E-14</v>
      </c>
      <c r="R7">
        <v>-2.4245362661989844E-14</v>
      </c>
      <c r="S7" t="s">
        <v>1594</v>
      </c>
      <c r="T7">
        <v>2023</v>
      </c>
      <c r="U7" t="s">
        <v>5566</v>
      </c>
      <c r="V7" s="6">
        <v>45302</v>
      </c>
      <c r="W7">
        <v>5</v>
      </c>
      <c r="X7">
        <v>-2.4245362661989844E-14</v>
      </c>
      <c r="Y7">
        <v>907617</v>
      </c>
      <c r="Z7" t="s">
        <v>5572</v>
      </c>
      <c r="AE7" t="s">
        <v>3612</v>
      </c>
      <c r="AF7" t="s">
        <v>1598</v>
      </c>
      <c r="AG7">
        <v>1.620511</v>
      </c>
      <c r="AH7">
        <v>0.270011</v>
      </c>
      <c r="AI7" t="s">
        <v>1599</v>
      </c>
      <c r="AJ7">
        <v>2025</v>
      </c>
      <c r="AK7" t="s">
        <v>3613</v>
      </c>
      <c r="AL7" s="6">
        <v>46074</v>
      </c>
      <c r="AM7">
        <v>5</v>
      </c>
      <c r="AN7">
        <v>1728340</v>
      </c>
      <c r="AO7">
        <v>148257</v>
      </c>
      <c r="AP7" t="s">
        <v>3614</v>
      </c>
      <c r="AS7" t="s">
        <v>5784</v>
      </c>
      <c r="AT7">
        <v>-2.4245362661989844E-14</v>
      </c>
      <c r="AV7">
        <v>-2.4245362661989844E-14</v>
      </c>
      <c r="AW7" t="s">
        <v>1594</v>
      </c>
      <c r="AX7">
        <v>2024</v>
      </c>
      <c r="AY7" t="s">
        <v>5783</v>
      </c>
      <c r="AZ7" s="6">
        <v>45442</v>
      </c>
      <c r="BA7">
        <v>5</v>
      </c>
      <c r="BB7">
        <v>-2.4245362661989844E-14</v>
      </c>
      <c r="BC7">
        <v>20117985</v>
      </c>
      <c r="BD7" t="s">
        <v>5785</v>
      </c>
      <c r="DQ7" t="s">
        <v>2320</v>
      </c>
      <c r="DR7" t="s">
        <v>1634</v>
      </c>
      <c r="DS7">
        <v>0.57097699999999996</v>
      </c>
      <c r="DT7">
        <v>2.229968</v>
      </c>
      <c r="DU7" t="s">
        <v>1599</v>
      </c>
      <c r="DV7">
        <v>2025</v>
      </c>
      <c r="DW7" t="s">
        <v>2321</v>
      </c>
      <c r="DX7" s="6">
        <v>45975</v>
      </c>
      <c r="DY7">
        <v>5</v>
      </c>
      <c r="DZ7">
        <v>43573584</v>
      </c>
      <c r="EA7">
        <v>305366</v>
      </c>
      <c r="EB7" t="s">
        <v>2322</v>
      </c>
      <c r="EE7" t="s">
        <v>1932</v>
      </c>
      <c r="EF7">
        <v>4.0911000000000003E-2</v>
      </c>
      <c r="EG7" t="s">
        <v>1598</v>
      </c>
      <c r="EH7">
        <v>0.108488</v>
      </c>
      <c r="EI7" t="s">
        <v>1594</v>
      </c>
      <c r="EJ7">
        <v>2024</v>
      </c>
      <c r="EK7" t="s">
        <v>1928</v>
      </c>
      <c r="EL7" s="6">
        <v>45716</v>
      </c>
      <c r="EM7">
        <v>5</v>
      </c>
      <c r="EN7">
        <v>5749939</v>
      </c>
      <c r="EO7">
        <v>109548</v>
      </c>
      <c r="EP7" t="s">
        <v>1933</v>
      </c>
      <c r="EU7" t="s">
        <v>493</v>
      </c>
      <c r="EV7" t="s">
        <v>1598</v>
      </c>
      <c r="EW7">
        <v>0.51194600000000001</v>
      </c>
      <c r="EX7">
        <v>0.15839</v>
      </c>
      <c r="EY7" t="s">
        <v>1606</v>
      </c>
      <c r="EZ7">
        <v>2025</v>
      </c>
      <c r="FA7" t="s">
        <v>2093</v>
      </c>
      <c r="FB7" s="6">
        <v>46071</v>
      </c>
      <c r="FC7">
        <v>5</v>
      </c>
      <c r="FD7">
        <v>20146868</v>
      </c>
      <c r="FE7">
        <v>100499</v>
      </c>
      <c r="FF7" t="s">
        <v>2094</v>
      </c>
      <c r="FI7" t="s">
        <v>1943</v>
      </c>
      <c r="FJ7">
        <v>5.3821219999999999</v>
      </c>
      <c r="FK7" t="s">
        <v>1598</v>
      </c>
      <c r="FL7">
        <v>0.95591400000000004</v>
      </c>
      <c r="FM7" t="s">
        <v>1599</v>
      </c>
      <c r="FN7">
        <v>2025</v>
      </c>
      <c r="FO7" t="s">
        <v>1941</v>
      </c>
      <c r="FP7" s="6">
        <v>45946</v>
      </c>
      <c r="FQ7">
        <v>5</v>
      </c>
      <c r="FR7">
        <v>717288832</v>
      </c>
      <c r="FS7">
        <v>101758</v>
      </c>
      <c r="FT7" t="s">
        <v>1944</v>
      </c>
      <c r="HC7" t="s">
        <v>2556</v>
      </c>
      <c r="HD7" t="s">
        <v>1598</v>
      </c>
      <c r="HE7">
        <v>0.56451700000000005</v>
      </c>
      <c r="HF7">
        <v>0.57008199999999998</v>
      </c>
      <c r="HG7" t="s">
        <v>1599</v>
      </c>
      <c r="HH7">
        <v>2025</v>
      </c>
      <c r="HI7" t="s">
        <v>2557</v>
      </c>
      <c r="HJ7" s="6">
        <v>45763</v>
      </c>
      <c r="HK7">
        <v>5</v>
      </c>
      <c r="HL7">
        <v>37009736</v>
      </c>
      <c r="HM7">
        <v>136547</v>
      </c>
      <c r="HN7" t="s">
        <v>2558</v>
      </c>
      <c r="HQ7" t="s">
        <v>2830</v>
      </c>
      <c r="HR7">
        <v>8.6300000000000005E-4</v>
      </c>
      <c r="HS7" t="s">
        <v>1598</v>
      </c>
      <c r="HT7">
        <v>0.46444600000000003</v>
      </c>
      <c r="HU7" t="s">
        <v>1594</v>
      </c>
      <c r="HV7">
        <v>2024</v>
      </c>
      <c r="HW7" t="s">
        <v>2831</v>
      </c>
      <c r="HX7" s="6">
        <v>45730</v>
      </c>
      <c r="HY7">
        <v>5</v>
      </c>
      <c r="HZ7">
        <v>92615.79</v>
      </c>
      <c r="IA7">
        <v>7369845</v>
      </c>
      <c r="IB7" t="s">
        <v>2832</v>
      </c>
      <c r="IU7" t="s">
        <v>5327</v>
      </c>
      <c r="IV7">
        <v>-2.4245362661989844E-14</v>
      </c>
      <c r="IX7">
        <v>-2.4245362661989844E-14</v>
      </c>
      <c r="IY7" t="s">
        <v>1594</v>
      </c>
      <c r="IZ7">
        <v>2022</v>
      </c>
      <c r="JA7" t="s">
        <v>5323</v>
      </c>
      <c r="JB7" s="6">
        <v>44980</v>
      </c>
      <c r="JC7">
        <v>4</v>
      </c>
      <c r="JD7">
        <v>-2.4245362661989844E-14</v>
      </c>
      <c r="JE7">
        <v>58121995</v>
      </c>
      <c r="JF7" t="s">
        <v>5328</v>
      </c>
      <c r="JK7" t="s">
        <v>2383</v>
      </c>
      <c r="JL7" t="s">
        <v>1634</v>
      </c>
      <c r="JM7">
        <v>13.01698</v>
      </c>
      <c r="JN7">
        <v>13.663121</v>
      </c>
      <c r="JO7" t="s">
        <v>1599</v>
      </c>
      <c r="JP7">
        <v>2025</v>
      </c>
      <c r="JQ7" t="s">
        <v>2384</v>
      </c>
      <c r="JR7" s="6">
        <v>46029</v>
      </c>
      <c r="JS7">
        <v>5</v>
      </c>
      <c r="JT7">
        <v>769456564.02999997</v>
      </c>
      <c r="JU7">
        <v>115705</v>
      </c>
      <c r="JV7" t="s">
        <v>2385</v>
      </c>
      <c r="JY7" t="s">
        <v>1645</v>
      </c>
      <c r="JZ7">
        <v>3.6669E-2</v>
      </c>
      <c r="KA7" t="s">
        <v>1598</v>
      </c>
      <c r="KB7">
        <v>1.85477</v>
      </c>
      <c r="KC7" t="s">
        <v>1599</v>
      </c>
      <c r="KD7">
        <v>2025</v>
      </c>
      <c r="KE7" t="s">
        <v>1897</v>
      </c>
      <c r="KF7" s="6">
        <v>45840</v>
      </c>
      <c r="KG7">
        <v>5</v>
      </c>
      <c r="KH7">
        <v>11214774</v>
      </c>
      <c r="KI7">
        <v>136424</v>
      </c>
      <c r="KJ7" t="s">
        <v>1647</v>
      </c>
      <c r="NK7" t="s">
        <v>6026</v>
      </c>
      <c r="NL7">
        <v>5.2808539999999997</v>
      </c>
      <c r="NN7">
        <v>-2.4245362661989844E-14</v>
      </c>
      <c r="NO7" t="s">
        <v>1594</v>
      </c>
      <c r="NP7">
        <v>2024</v>
      </c>
      <c r="NQ7" t="s">
        <v>6022</v>
      </c>
      <c r="NR7" s="6">
        <v>45708</v>
      </c>
      <c r="NS7">
        <v>5</v>
      </c>
      <c r="NT7">
        <v>9284204</v>
      </c>
      <c r="NU7">
        <v>64301730</v>
      </c>
      <c r="NV7" t="s">
        <v>6027</v>
      </c>
      <c r="PE7" t="s">
        <v>428</v>
      </c>
      <c r="PF7" t="s">
        <v>1598</v>
      </c>
      <c r="PG7">
        <v>14</v>
      </c>
      <c r="PH7">
        <v>2.6252870000000001</v>
      </c>
      <c r="PI7" t="s">
        <v>1594</v>
      </c>
      <c r="PJ7">
        <v>2025</v>
      </c>
      <c r="PK7" t="s">
        <v>2379</v>
      </c>
      <c r="PL7" s="6">
        <v>46077</v>
      </c>
      <c r="PM7">
        <v>5</v>
      </c>
      <c r="PN7">
        <v>372560992</v>
      </c>
      <c r="PO7">
        <v>210870</v>
      </c>
      <c r="PP7" t="s">
        <v>2380</v>
      </c>
      <c r="PS7" t="s">
        <v>1679</v>
      </c>
      <c r="PT7">
        <v>0.11801499999999999</v>
      </c>
      <c r="PU7" t="s">
        <v>1598</v>
      </c>
      <c r="PV7">
        <v>0.96932300000000005</v>
      </c>
      <c r="PW7" t="s">
        <v>1603</v>
      </c>
      <c r="PX7">
        <v>2025</v>
      </c>
      <c r="PY7" t="s">
        <v>1680</v>
      </c>
      <c r="PZ7" s="6">
        <v>45820</v>
      </c>
      <c r="QA7">
        <v>5</v>
      </c>
      <c r="QB7">
        <v>39517360</v>
      </c>
      <c r="QC7">
        <v>12129192</v>
      </c>
      <c r="QD7" t="s">
        <v>1681</v>
      </c>
      <c r="RM7" t="s">
        <v>2341</v>
      </c>
      <c r="RN7" t="s">
        <v>1598</v>
      </c>
      <c r="RO7">
        <v>2.7681999999999998E-2</v>
      </c>
      <c r="RP7">
        <v>1.5102000000000001E-2</v>
      </c>
      <c r="RQ7" t="s">
        <v>1599</v>
      </c>
      <c r="RR7">
        <v>2025</v>
      </c>
      <c r="RS7" t="s">
        <v>2342</v>
      </c>
      <c r="RT7" s="6">
        <v>46042</v>
      </c>
      <c r="RU7">
        <v>5</v>
      </c>
      <c r="RV7">
        <v>326950</v>
      </c>
      <c r="RW7">
        <v>16555266</v>
      </c>
      <c r="RX7" t="s">
        <v>2343</v>
      </c>
      <c r="SA7" t="s">
        <v>5769</v>
      </c>
      <c r="SB7">
        <v>-2.4245362661989844E-14</v>
      </c>
      <c r="SD7">
        <v>-2.4245362661989844E-14</v>
      </c>
      <c r="SE7" t="s">
        <v>1599</v>
      </c>
      <c r="SF7">
        <v>2023</v>
      </c>
      <c r="SG7" t="s">
        <v>5770</v>
      </c>
      <c r="SH7" s="6">
        <v>45223</v>
      </c>
      <c r="SI7">
        <v>5</v>
      </c>
      <c r="SJ7">
        <v>-2.4245362661989844E-14</v>
      </c>
      <c r="SK7">
        <v>29720733</v>
      </c>
      <c r="SL7" t="s">
        <v>5771</v>
      </c>
      <c r="SQ7" t="s">
        <v>5560</v>
      </c>
      <c r="SS7">
        <v>-2.4245362661989844E-14</v>
      </c>
      <c r="ST7">
        <v>-2.4245362661989844E-14</v>
      </c>
      <c r="SU7" t="s">
        <v>1594</v>
      </c>
      <c r="SV7">
        <v>2022</v>
      </c>
      <c r="SW7" t="s">
        <v>5561</v>
      </c>
      <c r="SX7" s="6">
        <v>44707</v>
      </c>
      <c r="SY7">
        <v>5</v>
      </c>
      <c r="SZ7">
        <v>-2.4245362661989844E-14</v>
      </c>
      <c r="TA7">
        <v>65265899</v>
      </c>
      <c r="TB7" t="s">
        <v>5562</v>
      </c>
      <c r="TU7" t="s">
        <v>3191</v>
      </c>
      <c r="TV7" t="s">
        <v>1598</v>
      </c>
      <c r="TW7">
        <v>0.342005</v>
      </c>
      <c r="TX7">
        <v>0.106498</v>
      </c>
      <c r="TY7" t="s">
        <v>1599</v>
      </c>
      <c r="TZ7">
        <v>2025</v>
      </c>
      <c r="UA7" t="s">
        <v>3192</v>
      </c>
      <c r="UB7" s="6">
        <v>45978</v>
      </c>
      <c r="UC7">
        <v>5</v>
      </c>
      <c r="UD7">
        <v>992678.59</v>
      </c>
      <c r="UE7">
        <v>68455782</v>
      </c>
      <c r="UF7" t="s">
        <v>3193</v>
      </c>
      <c r="UI7" t="s">
        <v>1628</v>
      </c>
      <c r="UJ7">
        <v>4.7768259999999998</v>
      </c>
      <c r="UK7" t="s">
        <v>1598</v>
      </c>
      <c r="UL7">
        <v>0.64426899999999998</v>
      </c>
      <c r="UM7" t="s">
        <v>1606</v>
      </c>
      <c r="UN7">
        <v>2025</v>
      </c>
      <c r="UO7" t="s">
        <v>2163</v>
      </c>
      <c r="UP7" s="6">
        <v>45986</v>
      </c>
      <c r="UQ7">
        <v>5</v>
      </c>
      <c r="UR7">
        <v>105460376</v>
      </c>
      <c r="US7">
        <v>156923</v>
      </c>
      <c r="UT7" t="s">
        <v>1630</v>
      </c>
      <c r="UY7" t="s">
        <v>2283</v>
      </c>
      <c r="UZ7" t="s">
        <v>1598</v>
      </c>
      <c r="VA7">
        <v>10.91</v>
      </c>
      <c r="VB7">
        <v>0.11763700000000001</v>
      </c>
      <c r="VC7" t="s">
        <v>1594</v>
      </c>
      <c r="VD7">
        <v>2025</v>
      </c>
      <c r="VE7" t="s">
        <v>2284</v>
      </c>
      <c r="VF7" s="6">
        <v>45895</v>
      </c>
      <c r="VG7">
        <v>5</v>
      </c>
      <c r="VH7">
        <v>1168969.1100000001</v>
      </c>
      <c r="VI7">
        <v>59709175</v>
      </c>
      <c r="VJ7" t="s">
        <v>2285</v>
      </c>
      <c r="VM7" t="s">
        <v>1875</v>
      </c>
      <c r="VN7">
        <v>5.6222000000000001E-2</v>
      </c>
      <c r="VO7" t="s">
        <v>1598</v>
      </c>
      <c r="VP7">
        <v>4.2040000000000003E-3</v>
      </c>
      <c r="VQ7" t="s">
        <v>1603</v>
      </c>
      <c r="VR7">
        <v>2026</v>
      </c>
      <c r="VS7" t="s">
        <v>1876</v>
      </c>
      <c r="VT7" s="6">
        <v>45898</v>
      </c>
      <c r="VU7">
        <v>5</v>
      </c>
      <c r="VV7">
        <v>892021.61</v>
      </c>
      <c r="VW7">
        <v>112370</v>
      </c>
      <c r="VX7" t="s">
        <v>1877</v>
      </c>
    </row>
    <row r="8" spans="1:600" x14ac:dyDescent="0.25">
      <c r="A8" t="s">
        <v>3963</v>
      </c>
      <c r="B8" t="s">
        <v>1598</v>
      </c>
      <c r="C8">
        <v>19</v>
      </c>
      <c r="D8">
        <v>0.73628199999999999</v>
      </c>
      <c r="E8" t="s">
        <v>1594</v>
      </c>
      <c r="F8">
        <v>2024</v>
      </c>
      <c r="G8" t="s">
        <v>3964</v>
      </c>
      <c r="H8" s="6">
        <v>45707</v>
      </c>
      <c r="I8">
        <v>5</v>
      </c>
      <c r="J8">
        <v>33526592</v>
      </c>
      <c r="K8">
        <v>69395531</v>
      </c>
      <c r="L8" t="s">
        <v>3965</v>
      </c>
      <c r="O8" t="s">
        <v>5573</v>
      </c>
      <c r="P8">
        <v>-2.4245362661989844E-14</v>
      </c>
      <c r="R8">
        <v>-2.4245362661989844E-14</v>
      </c>
      <c r="S8" t="s">
        <v>1594</v>
      </c>
      <c r="T8">
        <v>2025</v>
      </c>
      <c r="U8" t="s">
        <v>5566</v>
      </c>
      <c r="V8" s="6">
        <v>46035</v>
      </c>
      <c r="W8">
        <v>5</v>
      </c>
      <c r="X8">
        <v>-2.4245362661989844E-14</v>
      </c>
      <c r="Y8">
        <v>904924</v>
      </c>
      <c r="Z8" t="s">
        <v>5574</v>
      </c>
      <c r="AE8" t="s">
        <v>3429</v>
      </c>
      <c r="AF8" t="s">
        <v>1598</v>
      </c>
      <c r="AG8">
        <v>0.26975700000000002</v>
      </c>
      <c r="AH8">
        <v>0.129389</v>
      </c>
      <c r="AI8" t="s">
        <v>1606</v>
      </c>
      <c r="AJ8">
        <v>2025</v>
      </c>
      <c r="AK8" t="s">
        <v>3430</v>
      </c>
      <c r="AL8" s="6">
        <v>46018</v>
      </c>
      <c r="AM8">
        <v>5</v>
      </c>
      <c r="AN8">
        <v>828219</v>
      </c>
      <c r="AO8">
        <v>916504</v>
      </c>
      <c r="AP8" t="s">
        <v>3431</v>
      </c>
      <c r="AS8" t="s">
        <v>5786</v>
      </c>
      <c r="AT8">
        <v>-2.4245362661989844E-14</v>
      </c>
      <c r="AV8">
        <v>-2.4245362661989844E-14</v>
      </c>
      <c r="AW8" t="s">
        <v>1594</v>
      </c>
      <c r="AX8">
        <v>2022</v>
      </c>
      <c r="AY8" t="s">
        <v>5787</v>
      </c>
      <c r="AZ8" s="6">
        <v>44708</v>
      </c>
      <c r="BA8">
        <v>5</v>
      </c>
      <c r="BB8">
        <v>-2.4245362661989844E-14</v>
      </c>
      <c r="BC8">
        <v>30147802</v>
      </c>
      <c r="BD8" t="s">
        <v>5788</v>
      </c>
      <c r="DQ8" t="s">
        <v>2066</v>
      </c>
      <c r="DR8" t="s">
        <v>1634</v>
      </c>
      <c r="DS8">
        <v>6.157108</v>
      </c>
      <c r="DT8">
        <v>1.810521</v>
      </c>
      <c r="DU8" t="s">
        <v>1664</v>
      </c>
      <c r="DV8">
        <v>2025</v>
      </c>
      <c r="DW8" t="s">
        <v>2067</v>
      </c>
      <c r="DX8" s="6">
        <v>45929</v>
      </c>
      <c r="DY8">
        <v>5</v>
      </c>
      <c r="DZ8">
        <v>23591082</v>
      </c>
      <c r="EA8">
        <v>13070762</v>
      </c>
      <c r="EB8" t="s">
        <v>2068</v>
      </c>
      <c r="EE8" t="s">
        <v>1934</v>
      </c>
      <c r="EF8">
        <v>3.5721000000000003E-2</v>
      </c>
      <c r="EG8" t="s">
        <v>1598</v>
      </c>
      <c r="EH8">
        <v>0.41368700000000003</v>
      </c>
      <c r="EI8" t="s">
        <v>1606</v>
      </c>
      <c r="EJ8">
        <v>2025</v>
      </c>
      <c r="EK8" t="s">
        <v>1935</v>
      </c>
      <c r="EL8" s="6">
        <v>46086</v>
      </c>
      <c r="EM8">
        <v>5</v>
      </c>
      <c r="EN8">
        <v>4927012</v>
      </c>
      <c r="EO8">
        <v>9188256</v>
      </c>
      <c r="EP8" t="s">
        <v>1936</v>
      </c>
      <c r="EU8" t="s">
        <v>2338</v>
      </c>
      <c r="EV8" t="s">
        <v>1598</v>
      </c>
      <c r="EW8">
        <v>3.6861709999999999</v>
      </c>
      <c r="EX8">
        <v>2.8514999999999999E-2</v>
      </c>
      <c r="EY8" t="s">
        <v>1594</v>
      </c>
      <c r="EZ8">
        <v>2025</v>
      </c>
      <c r="FA8" t="s">
        <v>2339</v>
      </c>
      <c r="FB8" s="6">
        <v>45899</v>
      </c>
      <c r="FC8">
        <v>5</v>
      </c>
      <c r="FD8">
        <v>3605416.84</v>
      </c>
      <c r="FE8">
        <v>178615</v>
      </c>
      <c r="FF8" t="s">
        <v>2340</v>
      </c>
      <c r="FI8" t="s">
        <v>1210</v>
      </c>
      <c r="FJ8">
        <v>5.1722729999999997</v>
      </c>
      <c r="FK8" t="s">
        <v>1598</v>
      </c>
      <c r="FL8">
        <v>4.6149529999999999</v>
      </c>
      <c r="FM8" t="s">
        <v>1599</v>
      </c>
      <c r="FN8">
        <v>2025</v>
      </c>
      <c r="FO8" t="s">
        <v>1941</v>
      </c>
      <c r="FP8" s="6">
        <v>45946</v>
      </c>
      <c r="FQ8">
        <v>5</v>
      </c>
      <c r="FR8">
        <v>689321728</v>
      </c>
      <c r="FS8">
        <v>47114179</v>
      </c>
      <c r="FT8" t="s">
        <v>1945</v>
      </c>
      <c r="HC8" t="s">
        <v>2559</v>
      </c>
      <c r="HD8" t="s">
        <v>1598</v>
      </c>
      <c r="HE8">
        <v>0.30367300000000003</v>
      </c>
      <c r="HF8">
        <v>0.37271100000000001</v>
      </c>
      <c r="HG8" t="s">
        <v>1599</v>
      </c>
      <c r="HH8">
        <v>2025</v>
      </c>
      <c r="HI8" t="s">
        <v>2560</v>
      </c>
      <c r="HJ8" s="6">
        <v>45867</v>
      </c>
      <c r="HK8">
        <v>5</v>
      </c>
      <c r="HL8">
        <v>23771522</v>
      </c>
      <c r="HM8">
        <v>117092</v>
      </c>
      <c r="HN8" t="s">
        <v>2561</v>
      </c>
      <c r="HQ8" t="s">
        <v>2833</v>
      </c>
      <c r="HR8">
        <v>-2.4245362661989844E-14</v>
      </c>
      <c r="HT8">
        <v>-2.4245362661989844E-14</v>
      </c>
      <c r="HU8" t="s">
        <v>1651</v>
      </c>
      <c r="HV8">
        <v>2025</v>
      </c>
      <c r="HW8" t="s">
        <v>2834</v>
      </c>
      <c r="HX8" s="6">
        <v>45975</v>
      </c>
      <c r="HY8">
        <v>5</v>
      </c>
      <c r="HZ8">
        <v>-2.4245362661989844E-14</v>
      </c>
      <c r="IA8">
        <v>1459457</v>
      </c>
      <c r="IB8" t="s">
        <v>2835</v>
      </c>
      <c r="IU8" t="s">
        <v>2408</v>
      </c>
      <c r="IV8">
        <v>-2.4245362661989844E-14</v>
      </c>
      <c r="IX8">
        <v>-2.4245362661989844E-14</v>
      </c>
      <c r="IY8" t="s">
        <v>1594</v>
      </c>
      <c r="IZ8">
        <v>2022</v>
      </c>
      <c r="JA8" t="s">
        <v>5323</v>
      </c>
      <c r="JB8" s="6">
        <v>44980</v>
      </c>
      <c r="JC8">
        <v>4</v>
      </c>
      <c r="JD8">
        <v>-2.4245362661989844E-14</v>
      </c>
      <c r="JE8">
        <v>13161367</v>
      </c>
      <c r="JF8" t="s">
        <v>2409</v>
      </c>
      <c r="JK8" t="s">
        <v>428</v>
      </c>
      <c r="JL8" t="s">
        <v>1598</v>
      </c>
      <c r="JM8">
        <v>17</v>
      </c>
      <c r="JN8">
        <v>3.5607669999999998</v>
      </c>
      <c r="JO8" t="s">
        <v>1594</v>
      </c>
      <c r="JP8">
        <v>2025</v>
      </c>
      <c r="JQ8" t="s">
        <v>2379</v>
      </c>
      <c r="JR8" s="6">
        <v>46077</v>
      </c>
      <c r="JS8">
        <v>5</v>
      </c>
      <c r="JT8">
        <v>452395488</v>
      </c>
      <c r="JU8">
        <v>210870</v>
      </c>
      <c r="JV8" t="s">
        <v>2380</v>
      </c>
      <c r="JY8" t="s">
        <v>2589</v>
      </c>
      <c r="JZ8">
        <v>1.3672E-2</v>
      </c>
      <c r="KA8" t="s">
        <v>1598</v>
      </c>
      <c r="KB8">
        <v>7.3932999999999999E-2</v>
      </c>
      <c r="KC8" t="s">
        <v>1664</v>
      </c>
      <c r="KD8">
        <v>2026</v>
      </c>
      <c r="KE8" t="s">
        <v>2590</v>
      </c>
      <c r="KF8" s="6">
        <v>46063</v>
      </c>
      <c r="KG8">
        <v>5</v>
      </c>
      <c r="KH8">
        <v>4181589</v>
      </c>
      <c r="KI8">
        <v>100142</v>
      </c>
      <c r="KJ8" t="s">
        <v>2591</v>
      </c>
      <c r="NK8" t="s">
        <v>6028</v>
      </c>
      <c r="NL8">
        <v>4.3148439999999999</v>
      </c>
      <c r="NM8" t="s">
        <v>1685</v>
      </c>
      <c r="NN8">
        <v>1.1256189999999999</v>
      </c>
      <c r="NO8" t="s">
        <v>1594</v>
      </c>
      <c r="NP8">
        <v>2024</v>
      </c>
      <c r="NQ8" t="s">
        <v>6022</v>
      </c>
      <c r="NR8" s="6">
        <v>45708</v>
      </c>
      <c r="NS8">
        <v>5</v>
      </c>
      <c r="NT8">
        <v>7585873</v>
      </c>
      <c r="NU8">
        <v>10816877</v>
      </c>
      <c r="NV8" t="s">
        <v>6029</v>
      </c>
      <c r="PE8" t="s">
        <v>2381</v>
      </c>
      <c r="PF8" t="s">
        <v>1598</v>
      </c>
      <c r="PG8">
        <v>0.38197399999999998</v>
      </c>
      <c r="PH8">
        <v>2.6527189999999998</v>
      </c>
      <c r="PI8" t="s">
        <v>1664</v>
      </c>
      <c r="PJ8">
        <v>2025</v>
      </c>
      <c r="PK8" t="s">
        <v>2375</v>
      </c>
      <c r="PL8" s="6">
        <v>45862</v>
      </c>
      <c r="PM8">
        <v>5</v>
      </c>
      <c r="PN8">
        <v>368330048</v>
      </c>
      <c r="PO8">
        <v>46946968</v>
      </c>
      <c r="PP8" t="s">
        <v>2382</v>
      </c>
      <c r="PS8" t="s">
        <v>1894</v>
      </c>
      <c r="PT8">
        <v>4.8992000000000001E-2</v>
      </c>
      <c r="PU8" t="s">
        <v>1598</v>
      </c>
      <c r="PV8">
        <v>1.135372</v>
      </c>
      <c r="PW8" t="s">
        <v>1606</v>
      </c>
      <c r="PX8">
        <v>2025</v>
      </c>
      <c r="PY8" t="s">
        <v>1895</v>
      </c>
      <c r="PZ8" s="6">
        <v>46091</v>
      </c>
      <c r="QA8">
        <v>5</v>
      </c>
      <c r="QB8">
        <v>17823852</v>
      </c>
      <c r="QC8">
        <v>156637</v>
      </c>
      <c r="QD8" t="s">
        <v>1896</v>
      </c>
      <c r="RM8" t="s">
        <v>2063</v>
      </c>
      <c r="RO8">
        <v>-2.4245362661989844E-14</v>
      </c>
      <c r="RP8">
        <v>-2.4245362661989844E-14</v>
      </c>
      <c r="RQ8" t="s">
        <v>2438</v>
      </c>
      <c r="RR8">
        <v>2022</v>
      </c>
      <c r="RS8" t="s">
        <v>3909</v>
      </c>
      <c r="RT8" s="6">
        <v>44697</v>
      </c>
      <c r="RU8">
        <v>5</v>
      </c>
      <c r="RV8">
        <v>-2.4245362661989844E-14</v>
      </c>
      <c r="RW8">
        <v>118099</v>
      </c>
      <c r="RX8" t="s">
        <v>2065</v>
      </c>
      <c r="SA8" t="s">
        <v>5772</v>
      </c>
      <c r="SB8">
        <v>-2.4245362661989844E-14</v>
      </c>
      <c r="SD8">
        <v>-2.4245362661989844E-14</v>
      </c>
      <c r="SE8" t="s">
        <v>1651</v>
      </c>
      <c r="SF8">
        <v>2023</v>
      </c>
      <c r="SG8" t="s">
        <v>2174</v>
      </c>
      <c r="SH8" s="6">
        <v>45245</v>
      </c>
      <c r="SI8">
        <v>5</v>
      </c>
      <c r="SJ8">
        <v>-2.4245362661989844E-14</v>
      </c>
      <c r="SK8">
        <v>8562684</v>
      </c>
      <c r="SL8" t="s">
        <v>5773</v>
      </c>
      <c r="SQ8" t="s">
        <v>5563</v>
      </c>
      <c r="SS8">
        <v>-2.4245362661989844E-14</v>
      </c>
      <c r="ST8">
        <v>-2.4245362661989844E-14</v>
      </c>
      <c r="SU8" t="s">
        <v>1603</v>
      </c>
      <c r="SV8">
        <v>2023</v>
      </c>
      <c r="SW8" t="s">
        <v>5564</v>
      </c>
      <c r="SX8" s="6">
        <v>44706</v>
      </c>
      <c r="SY8">
        <v>5</v>
      </c>
      <c r="SZ8">
        <v>-2.4245362661989844E-14</v>
      </c>
      <c r="TA8">
        <v>43575125</v>
      </c>
      <c r="TB8" t="s">
        <v>5565</v>
      </c>
      <c r="TU8" t="s">
        <v>3194</v>
      </c>
      <c r="TV8" t="s">
        <v>1598</v>
      </c>
      <c r="TW8">
        <v>7.9628000000000004E-2</v>
      </c>
      <c r="TX8">
        <v>7.2083999999999995E-2</v>
      </c>
      <c r="TY8" t="s">
        <v>1603</v>
      </c>
      <c r="TZ8">
        <v>2026</v>
      </c>
      <c r="UA8" t="s">
        <v>3195</v>
      </c>
      <c r="UB8" s="6">
        <v>45925</v>
      </c>
      <c r="UC8">
        <v>5</v>
      </c>
      <c r="UD8">
        <v>588929</v>
      </c>
      <c r="UE8">
        <v>100001</v>
      </c>
      <c r="UF8" t="s">
        <v>3196</v>
      </c>
      <c r="UI8" t="s">
        <v>1082</v>
      </c>
      <c r="UJ8">
        <v>4.0292180000000002</v>
      </c>
      <c r="UK8" t="s">
        <v>1598</v>
      </c>
      <c r="UL8">
        <v>0.643204</v>
      </c>
      <c r="UM8" t="s">
        <v>1606</v>
      </c>
      <c r="UN8">
        <v>2025</v>
      </c>
      <c r="UO8" t="s">
        <v>2163</v>
      </c>
      <c r="UP8" s="6">
        <v>45986</v>
      </c>
      <c r="UQ8">
        <v>5</v>
      </c>
      <c r="UR8">
        <v>88955056</v>
      </c>
      <c r="US8">
        <v>10451815</v>
      </c>
      <c r="UT8" t="s">
        <v>1959</v>
      </c>
      <c r="UY8" t="s">
        <v>2286</v>
      </c>
      <c r="UZ8" t="s">
        <v>1685</v>
      </c>
      <c r="VA8">
        <v>1.061577</v>
      </c>
      <c r="VB8">
        <v>0.111747</v>
      </c>
      <c r="VC8" t="s">
        <v>1594</v>
      </c>
      <c r="VD8">
        <v>2024</v>
      </c>
      <c r="VE8" t="s">
        <v>2287</v>
      </c>
      <c r="VF8" s="6">
        <v>45715</v>
      </c>
      <c r="VG8">
        <v>5</v>
      </c>
      <c r="VH8">
        <v>941885.68</v>
      </c>
      <c r="VI8">
        <v>111471</v>
      </c>
      <c r="VJ8" t="s">
        <v>2288</v>
      </c>
      <c r="VM8" t="s">
        <v>1878</v>
      </c>
      <c r="VN8">
        <v>4.8826000000000001E-2</v>
      </c>
      <c r="VO8" t="s">
        <v>1685</v>
      </c>
      <c r="VP8">
        <v>0.96890200000000004</v>
      </c>
      <c r="VQ8" t="s">
        <v>1594</v>
      </c>
      <c r="VR8">
        <v>2025</v>
      </c>
      <c r="VS8" t="s">
        <v>1879</v>
      </c>
      <c r="VT8" s="6">
        <v>46079</v>
      </c>
      <c r="VU8">
        <v>5</v>
      </c>
      <c r="VV8">
        <v>599999.75</v>
      </c>
      <c r="VW8">
        <v>11937231</v>
      </c>
      <c r="VX8" t="s">
        <v>1880</v>
      </c>
    </row>
    <row r="9" spans="1:600" x14ac:dyDescent="0.25">
      <c r="A9" t="s">
        <v>3966</v>
      </c>
      <c r="B9" t="s">
        <v>1634</v>
      </c>
      <c r="C9">
        <v>54</v>
      </c>
      <c r="D9">
        <v>1.206051</v>
      </c>
      <c r="E9" t="s">
        <v>1594</v>
      </c>
      <c r="F9">
        <v>2024</v>
      </c>
      <c r="G9" t="s">
        <v>3967</v>
      </c>
      <c r="H9" s="6">
        <v>45733</v>
      </c>
      <c r="I9">
        <v>5</v>
      </c>
      <c r="J9">
        <v>21160170</v>
      </c>
      <c r="K9">
        <v>7287344</v>
      </c>
      <c r="L9" t="s">
        <v>3968</v>
      </c>
      <c r="O9" t="s">
        <v>5575</v>
      </c>
      <c r="P9">
        <v>-2.4245362661989844E-14</v>
      </c>
      <c r="R9">
        <v>-2.4245362661989844E-14</v>
      </c>
      <c r="S9" t="s">
        <v>1792</v>
      </c>
      <c r="T9">
        <v>2024</v>
      </c>
      <c r="U9" t="s">
        <v>5576</v>
      </c>
      <c r="V9" s="6">
        <v>45505</v>
      </c>
      <c r="W9">
        <v>5</v>
      </c>
      <c r="X9">
        <v>-2.4245362661989844E-14</v>
      </c>
      <c r="Y9">
        <v>8148143</v>
      </c>
      <c r="Z9" t="s">
        <v>5577</v>
      </c>
      <c r="AE9" t="s">
        <v>5879</v>
      </c>
      <c r="AF9" t="s">
        <v>1598</v>
      </c>
      <c r="AG9">
        <v>0.16176599999999999</v>
      </c>
      <c r="AH9">
        <v>5.4389E-2</v>
      </c>
      <c r="AI9" t="s">
        <v>1603</v>
      </c>
      <c r="AJ9">
        <v>2025</v>
      </c>
      <c r="AK9" t="s">
        <v>5880</v>
      </c>
      <c r="AL9" s="6">
        <v>45854</v>
      </c>
      <c r="AM9">
        <v>5</v>
      </c>
      <c r="AN9">
        <v>308551</v>
      </c>
      <c r="AO9">
        <v>55360663</v>
      </c>
      <c r="AP9" t="s">
        <v>5881</v>
      </c>
      <c r="AS9" t="s">
        <v>1597</v>
      </c>
      <c r="AT9">
        <v>-2.4245362661989844E-14</v>
      </c>
      <c r="AV9">
        <v>-2.4245362661989844E-14</v>
      </c>
      <c r="AW9" t="s">
        <v>1594</v>
      </c>
      <c r="AX9">
        <v>2022</v>
      </c>
      <c r="AY9" t="s">
        <v>5787</v>
      </c>
      <c r="AZ9" s="6">
        <v>44708</v>
      </c>
      <c r="BA9">
        <v>5</v>
      </c>
      <c r="BB9">
        <v>-2.4245362661989844E-14</v>
      </c>
      <c r="BC9">
        <v>7583418</v>
      </c>
      <c r="BD9" t="s">
        <v>1601</v>
      </c>
      <c r="DQ9" t="s">
        <v>339</v>
      </c>
      <c r="DR9" t="s">
        <v>1598</v>
      </c>
      <c r="DS9">
        <v>0.45783699999999999</v>
      </c>
      <c r="DT9">
        <v>0.152921</v>
      </c>
      <c r="DU9" t="s">
        <v>1594</v>
      </c>
      <c r="DV9">
        <v>2024</v>
      </c>
      <c r="DW9" t="s">
        <v>1928</v>
      </c>
      <c r="DX9" s="6">
        <v>45716</v>
      </c>
      <c r="DY9">
        <v>5</v>
      </c>
      <c r="DZ9">
        <v>18750026</v>
      </c>
      <c r="EA9">
        <v>13041324</v>
      </c>
      <c r="EB9" t="s">
        <v>2323</v>
      </c>
      <c r="EE9" t="s">
        <v>1937</v>
      </c>
      <c r="EF9">
        <v>1.6008999999999999E-2</v>
      </c>
      <c r="EH9">
        <v>-2.4245362661989844E-14</v>
      </c>
      <c r="EI9" t="s">
        <v>1594</v>
      </c>
      <c r="EJ9">
        <v>2024</v>
      </c>
      <c r="EK9" t="s">
        <v>1928</v>
      </c>
      <c r="EL9" s="6">
        <v>45716</v>
      </c>
      <c r="EM9">
        <v>5</v>
      </c>
      <c r="EN9">
        <v>2250000</v>
      </c>
      <c r="EO9">
        <v>14465625</v>
      </c>
      <c r="EP9" t="s">
        <v>1938</v>
      </c>
      <c r="EU9" t="s">
        <v>2341</v>
      </c>
      <c r="EV9" t="s">
        <v>1598</v>
      </c>
      <c r="EW9">
        <v>0.15045500000000001</v>
      </c>
      <c r="EX9">
        <v>1.397E-2</v>
      </c>
      <c r="EY9" t="s">
        <v>1599</v>
      </c>
      <c r="EZ9">
        <v>2025</v>
      </c>
      <c r="FA9" t="s">
        <v>2342</v>
      </c>
      <c r="FB9" s="6">
        <v>46042</v>
      </c>
      <c r="FC9">
        <v>5</v>
      </c>
      <c r="FD9">
        <v>1777012</v>
      </c>
      <c r="FE9">
        <v>16555266</v>
      </c>
      <c r="FF9" t="s">
        <v>2343</v>
      </c>
      <c r="FI9" t="s">
        <v>311</v>
      </c>
      <c r="FJ9">
        <v>2.775217</v>
      </c>
      <c r="FK9" t="s">
        <v>1598</v>
      </c>
      <c r="FL9">
        <v>1.415462</v>
      </c>
      <c r="FM9" t="s">
        <v>1599</v>
      </c>
      <c r="FN9">
        <v>2025</v>
      </c>
      <c r="FO9" t="s">
        <v>1941</v>
      </c>
      <c r="FP9" s="6">
        <v>45946</v>
      </c>
      <c r="FQ9">
        <v>5</v>
      </c>
      <c r="FR9">
        <v>369860096</v>
      </c>
      <c r="FS9">
        <v>100864</v>
      </c>
      <c r="FT9" t="s">
        <v>1668</v>
      </c>
      <c r="HC9" t="s">
        <v>1905</v>
      </c>
      <c r="HD9" t="s">
        <v>1598</v>
      </c>
      <c r="HE9">
        <v>8.0865999999999993E-2</v>
      </c>
      <c r="HF9">
        <v>0.27508500000000002</v>
      </c>
      <c r="HG9" t="s">
        <v>1603</v>
      </c>
      <c r="HH9">
        <v>2026</v>
      </c>
      <c r="HI9" t="s">
        <v>3359</v>
      </c>
      <c r="HJ9" s="6">
        <v>45980</v>
      </c>
      <c r="HK9">
        <v>5</v>
      </c>
      <c r="HL9">
        <v>17987832</v>
      </c>
      <c r="HM9">
        <v>100554</v>
      </c>
      <c r="HN9" t="s">
        <v>1906</v>
      </c>
      <c r="HQ9" t="s">
        <v>2836</v>
      </c>
      <c r="HR9">
        <v>-2.4245362661989844E-14</v>
      </c>
      <c r="HT9">
        <v>-2.4245362661989844E-14</v>
      </c>
      <c r="HU9" t="s">
        <v>1594</v>
      </c>
      <c r="HV9">
        <v>2024</v>
      </c>
      <c r="HW9" t="s">
        <v>2837</v>
      </c>
      <c r="HX9" s="6">
        <v>45774</v>
      </c>
      <c r="HY9">
        <v>5</v>
      </c>
      <c r="HZ9">
        <v>-2.4245362661989844E-14</v>
      </c>
      <c r="IA9">
        <v>9020238</v>
      </c>
      <c r="IB9" t="s">
        <v>2838</v>
      </c>
      <c r="JK9" t="s">
        <v>3184</v>
      </c>
      <c r="JL9" t="s">
        <v>1634</v>
      </c>
      <c r="JM9">
        <v>24.9</v>
      </c>
      <c r="JN9">
        <v>7.4053610000000001</v>
      </c>
      <c r="JO9" t="s">
        <v>1599</v>
      </c>
      <c r="JP9">
        <v>2026</v>
      </c>
      <c r="JQ9" t="s">
        <v>3185</v>
      </c>
      <c r="JR9" s="6">
        <v>45981</v>
      </c>
      <c r="JS9">
        <v>5</v>
      </c>
      <c r="JT9">
        <v>361900000</v>
      </c>
      <c r="JU9">
        <v>100487</v>
      </c>
      <c r="JV9" t="s">
        <v>3186</v>
      </c>
      <c r="JY9" t="s">
        <v>2592</v>
      </c>
      <c r="JZ9">
        <v>7.0479999999999996E-3</v>
      </c>
      <c r="KA9" t="s">
        <v>1598</v>
      </c>
      <c r="KB9">
        <v>0.37631900000000001</v>
      </c>
      <c r="KC9" t="s">
        <v>1606</v>
      </c>
      <c r="KD9">
        <v>2024</v>
      </c>
      <c r="KE9" t="s">
        <v>2593</v>
      </c>
      <c r="KF9" s="6">
        <v>45742</v>
      </c>
      <c r="KG9">
        <v>5</v>
      </c>
      <c r="KH9">
        <v>2163480.08</v>
      </c>
      <c r="KI9">
        <v>153672</v>
      </c>
      <c r="KJ9" t="s">
        <v>2594</v>
      </c>
      <c r="NK9" t="s">
        <v>6030</v>
      </c>
      <c r="NL9">
        <v>3.6064370000000001</v>
      </c>
      <c r="NN9">
        <v>-2.4245362661989844E-14</v>
      </c>
      <c r="NO9" t="s">
        <v>1594</v>
      </c>
      <c r="NP9">
        <v>2024</v>
      </c>
      <c r="NQ9" t="s">
        <v>6022</v>
      </c>
      <c r="NR9" s="6">
        <v>45708</v>
      </c>
      <c r="NS9">
        <v>5</v>
      </c>
      <c r="NT9">
        <v>6340432</v>
      </c>
      <c r="NU9">
        <v>48402029</v>
      </c>
      <c r="NV9" t="s">
        <v>6031</v>
      </c>
      <c r="PE9" t="s">
        <v>2383</v>
      </c>
      <c r="PF9" t="s">
        <v>1634</v>
      </c>
      <c r="PG9">
        <v>5.5977880000000004</v>
      </c>
      <c r="PH9">
        <v>7.6756450000000003</v>
      </c>
      <c r="PI9" t="s">
        <v>1599</v>
      </c>
      <c r="PJ9">
        <v>2025</v>
      </c>
      <c r="PK9" t="s">
        <v>2384</v>
      </c>
      <c r="PL9" s="6">
        <v>46029</v>
      </c>
      <c r="PM9">
        <v>5</v>
      </c>
      <c r="PN9">
        <v>330895084.14999998</v>
      </c>
      <c r="PO9">
        <v>115705</v>
      </c>
      <c r="PP9" t="s">
        <v>2385</v>
      </c>
      <c r="PS9" t="s">
        <v>1645</v>
      </c>
      <c r="PT9">
        <v>4.8830999999999999E-2</v>
      </c>
      <c r="PU9" t="s">
        <v>1598</v>
      </c>
      <c r="PV9">
        <v>2.7042419999999998</v>
      </c>
      <c r="PW9" t="s">
        <v>1599</v>
      </c>
      <c r="PX9">
        <v>2025</v>
      </c>
      <c r="PY9" t="s">
        <v>1897</v>
      </c>
      <c r="PZ9" s="6">
        <v>45840</v>
      </c>
      <c r="QA9">
        <v>5</v>
      </c>
      <c r="QB9">
        <v>16351064</v>
      </c>
      <c r="QC9">
        <v>136424</v>
      </c>
      <c r="QD9" t="s">
        <v>1647</v>
      </c>
      <c r="RM9" t="s">
        <v>3910</v>
      </c>
      <c r="RO9">
        <v>-2.4245362661989844E-14</v>
      </c>
      <c r="RP9">
        <v>-2.4245362661989844E-14</v>
      </c>
      <c r="RQ9" t="s">
        <v>1664</v>
      </c>
      <c r="RR9">
        <v>2025</v>
      </c>
      <c r="RS9" t="s">
        <v>3911</v>
      </c>
      <c r="RT9" s="6">
        <v>45861</v>
      </c>
      <c r="RU9">
        <v>5</v>
      </c>
      <c r="RV9">
        <v>-2.4245362661989844E-14</v>
      </c>
      <c r="RW9">
        <v>38030711</v>
      </c>
      <c r="RX9" t="s">
        <v>3912</v>
      </c>
      <c r="SA9" t="s">
        <v>5774</v>
      </c>
      <c r="SB9">
        <v>-2.4245362661989844E-14</v>
      </c>
      <c r="SD9">
        <v>-2.4245362661989844E-14</v>
      </c>
      <c r="SE9" t="s">
        <v>1651</v>
      </c>
      <c r="SF9">
        <v>2023</v>
      </c>
      <c r="SG9" t="s">
        <v>2174</v>
      </c>
      <c r="SH9" s="6">
        <v>45245</v>
      </c>
      <c r="SI9">
        <v>5</v>
      </c>
      <c r="SJ9">
        <v>-2.4245362661989844E-14</v>
      </c>
      <c r="SK9">
        <v>21300729</v>
      </c>
      <c r="SL9" t="s">
        <v>5775</v>
      </c>
      <c r="SQ9" t="s">
        <v>5201</v>
      </c>
      <c r="SS9">
        <v>-2.4245362661989844E-14</v>
      </c>
      <c r="ST9">
        <v>-2.4245362661989844E-14</v>
      </c>
      <c r="SU9" t="s">
        <v>1594</v>
      </c>
      <c r="SV9">
        <v>2023</v>
      </c>
      <c r="SW9" t="s">
        <v>5202</v>
      </c>
      <c r="SX9" s="6">
        <v>45013</v>
      </c>
      <c r="SY9">
        <v>5</v>
      </c>
      <c r="SZ9">
        <v>-2.4245362661989844E-14</v>
      </c>
      <c r="TA9">
        <v>69921002</v>
      </c>
      <c r="TB9" t="s">
        <v>5203</v>
      </c>
      <c r="TU9" t="s">
        <v>3197</v>
      </c>
      <c r="TV9" t="s">
        <v>1598</v>
      </c>
      <c r="TW9">
        <v>0.21848899999999999</v>
      </c>
      <c r="TX9">
        <v>9.1699999999999993E-3</v>
      </c>
      <c r="TY9" t="s">
        <v>1606</v>
      </c>
      <c r="TZ9">
        <v>2025</v>
      </c>
      <c r="UA9" t="s">
        <v>3198</v>
      </c>
      <c r="UB9" s="6">
        <v>46078</v>
      </c>
      <c r="UC9">
        <v>5</v>
      </c>
      <c r="UD9">
        <v>80872.160000000003</v>
      </c>
      <c r="UE9">
        <v>109437</v>
      </c>
      <c r="UF9" t="s">
        <v>3199</v>
      </c>
      <c r="UI9" t="s">
        <v>1208</v>
      </c>
      <c r="UJ9">
        <v>3.8456359999999998</v>
      </c>
      <c r="UK9" t="s">
        <v>1598</v>
      </c>
      <c r="UL9">
        <v>0.56642899999999996</v>
      </c>
      <c r="UM9" t="s">
        <v>1606</v>
      </c>
      <c r="UN9">
        <v>2025</v>
      </c>
      <c r="UO9" t="s">
        <v>2163</v>
      </c>
      <c r="UP9" s="6">
        <v>45986</v>
      </c>
      <c r="UQ9">
        <v>5</v>
      </c>
      <c r="UR9">
        <v>84902032</v>
      </c>
      <c r="US9">
        <v>11826145</v>
      </c>
      <c r="UT9" t="s">
        <v>2658</v>
      </c>
      <c r="UY9" t="s">
        <v>2009</v>
      </c>
      <c r="UZ9" t="s">
        <v>1598</v>
      </c>
      <c r="VA9">
        <v>2.7688999999999998E-2</v>
      </c>
      <c r="VB9">
        <v>6.7176E-2</v>
      </c>
      <c r="VC9" t="s">
        <v>1599</v>
      </c>
      <c r="VD9">
        <v>2025</v>
      </c>
      <c r="VE9" t="s">
        <v>2010</v>
      </c>
      <c r="VF9" s="6">
        <v>45974</v>
      </c>
      <c r="VG9">
        <v>5</v>
      </c>
      <c r="VH9">
        <v>679247.66</v>
      </c>
      <c r="VI9">
        <v>193571</v>
      </c>
      <c r="VJ9" t="s">
        <v>2011</v>
      </c>
      <c r="VM9" t="s">
        <v>1679</v>
      </c>
      <c r="VN9">
        <v>4.4743999999999999E-2</v>
      </c>
      <c r="VO9" t="s">
        <v>1598</v>
      </c>
      <c r="VP9">
        <v>1.0747E-2</v>
      </c>
      <c r="VQ9" t="s">
        <v>1603</v>
      </c>
      <c r="VR9">
        <v>2025</v>
      </c>
      <c r="VS9" t="s">
        <v>1680</v>
      </c>
      <c r="VT9" s="6">
        <v>45820</v>
      </c>
      <c r="VU9">
        <v>5</v>
      </c>
      <c r="VV9">
        <v>438134</v>
      </c>
      <c r="VW9">
        <v>12129192</v>
      </c>
      <c r="VX9" t="s">
        <v>1681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907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908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909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910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911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912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913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914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915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916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917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918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919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920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921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922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923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924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925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926</v>
      </c>
      <c r="AE2" s="3" t="s">
        <v>33</v>
      </c>
      <c r="BI2" s="3" t="s">
        <v>927</v>
      </c>
      <c r="CM2" s="3" t="s">
        <v>270</v>
      </c>
      <c r="DQ2" s="3" t="s">
        <v>928</v>
      </c>
      <c r="EU2" s="3" t="s">
        <v>143</v>
      </c>
      <c r="FY2" s="3" t="s">
        <v>404</v>
      </c>
      <c r="HC2" s="3" t="s">
        <v>929</v>
      </c>
      <c r="IG2" s="3" t="s">
        <v>279</v>
      </c>
      <c r="JK2" s="3" t="s">
        <v>78</v>
      </c>
      <c r="KO2" s="3" t="s">
        <v>930</v>
      </c>
      <c r="LS2" s="3" t="s">
        <v>717</v>
      </c>
      <c r="MW2" s="3" t="s">
        <v>931</v>
      </c>
      <c r="OA2" s="3" t="s">
        <v>78</v>
      </c>
      <c r="PE2" s="3" t="s">
        <v>932</v>
      </c>
      <c r="QI2" s="3" t="s">
        <v>26</v>
      </c>
      <c r="RM2" s="3" t="s">
        <v>933</v>
      </c>
      <c r="SQ2" s="3" t="s">
        <v>80</v>
      </c>
      <c r="TU2" s="3" t="s">
        <v>78</v>
      </c>
      <c r="UY2" s="3" t="s">
        <v>31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_xll.BDS("AWE US Equity","SUPPLY_CHAIN_SUPPLIERS_ALL_DATA")</f>
        <v>#N/A N/A</v>
      </c>
      <c r="O5" t="str">
        <f>_xll.BDS("AWE US Equity","SUPPLY_CHAIN_CUSTOMERS_ALL_DATA")</f>
        <v>#N/A N/A</v>
      </c>
      <c r="AE5" t="str">
        <f>_xll.BDS("TMUS US Equity","SUPPLY_CHAIN_SUPPLIERS_ALL_DATA","cols=12;rows=5")</f>
        <v>AAPL US Equity</v>
      </c>
      <c r="AF5" t="s">
        <v>1598</v>
      </c>
      <c r="AG5">
        <v>0.96353</v>
      </c>
      <c r="AH5">
        <v>12.456792</v>
      </c>
      <c r="AI5" t="s">
        <v>1664</v>
      </c>
      <c r="AJ5">
        <v>2025</v>
      </c>
      <c r="AK5" t="s">
        <v>3471</v>
      </c>
      <c r="AL5" s="6">
        <v>45863</v>
      </c>
      <c r="AM5">
        <v>5</v>
      </c>
      <c r="AN5">
        <v>918812992</v>
      </c>
      <c r="AO5">
        <v>101695</v>
      </c>
      <c r="AP5" t="s">
        <v>1919</v>
      </c>
      <c r="AS5" t="str">
        <f>_xll.BDS("TMUS US Equity","SUPPLY_CHAIN_CUSTOMERS_ALL_DATA","cols=12;rows=5")</f>
        <v>SNX US Equity</v>
      </c>
      <c r="AT5">
        <v>0.48390699999999998</v>
      </c>
      <c r="AU5" t="s">
        <v>1598</v>
      </c>
      <c r="AV5">
        <v>0.65650600000000003</v>
      </c>
      <c r="AW5" t="s">
        <v>1606</v>
      </c>
      <c r="AX5">
        <v>2025</v>
      </c>
      <c r="AY5" t="s">
        <v>1701</v>
      </c>
      <c r="AZ5" s="6">
        <v>46056</v>
      </c>
      <c r="BA5">
        <v>5</v>
      </c>
      <c r="BB5">
        <v>106251488</v>
      </c>
      <c r="BC5">
        <v>1499717</v>
      </c>
      <c r="BD5" t="s">
        <v>1702</v>
      </c>
      <c r="BI5" t="str">
        <f>_xll.BDS("0910150D US Equity","SUPPLY_CHAIN_SUPPLIERS_ALL_DATA")</f>
        <v>#N/A N/A</v>
      </c>
      <c r="BW5" t="str">
        <f>_xll.BDS("0910150D US Equity","SUPPLY_CHAIN_CUSTOMERS_ALL_DATA")</f>
        <v>#N/A N/A</v>
      </c>
      <c r="CM5" t="str">
        <f>_xll.BDS("PEP US Equity","SUPPLY_CHAIN_SUPPLIERS_ALL_DATA","cols=12;rows=5")</f>
        <v>AMCR US Equity</v>
      </c>
      <c r="CN5" t="s">
        <v>1598</v>
      </c>
      <c r="CO5">
        <v>5.9558450000000001</v>
      </c>
      <c r="CP5">
        <v>3.014294</v>
      </c>
      <c r="CQ5" t="s">
        <v>1664</v>
      </c>
      <c r="CR5">
        <v>2026</v>
      </c>
      <c r="CS5" t="s">
        <v>2336</v>
      </c>
      <c r="CT5" s="6">
        <v>46071</v>
      </c>
      <c r="CU5">
        <v>5</v>
      </c>
      <c r="CV5">
        <v>324533984</v>
      </c>
      <c r="CW5">
        <v>61417091</v>
      </c>
      <c r="CX5" t="s">
        <v>2337</v>
      </c>
      <c r="DA5" t="str">
        <f>_xll.BDS("PEP US Equity","SUPPLY_CHAIN_CUSTOMERS_ALL_DATA","cols=12;rows=5")</f>
        <v>WMT US Equity</v>
      </c>
      <c r="DB5">
        <v>14</v>
      </c>
      <c r="DC5" t="s">
        <v>1598</v>
      </c>
      <c r="DD5">
        <v>2.534373</v>
      </c>
      <c r="DE5" t="s">
        <v>1594</v>
      </c>
      <c r="DF5">
        <v>2024</v>
      </c>
      <c r="DG5" t="s">
        <v>2826</v>
      </c>
      <c r="DH5" s="6">
        <v>45692</v>
      </c>
      <c r="DI5">
        <v>5</v>
      </c>
      <c r="DJ5">
        <v>3214889984</v>
      </c>
      <c r="DK5">
        <v>101616</v>
      </c>
      <c r="DL5" t="s">
        <v>1666</v>
      </c>
      <c r="DQ5" t="str">
        <f>_xll.BDS("NBL US Equity","SUPPLY_CHAIN_SUPPLIERS_ALL_DATA")</f>
        <v>#N/A N/A</v>
      </c>
      <c r="EE5" t="str">
        <f>_xll.BDS("NBL US Equity","SUPPLY_CHAIN_CUSTOMERS_ALL_DATA")</f>
        <v>#N/A N/A</v>
      </c>
      <c r="EU5" t="str">
        <f>_xll.BDS("ORCL US Equity","SUPPLY_CHAIN_SUPPLIERS_ALL_DATA","cols=12;rows=5")</f>
        <v>NVDA US Equity</v>
      </c>
      <c r="EV5" t="s">
        <v>1634</v>
      </c>
      <c r="EW5">
        <v>1.9751799999999999</v>
      </c>
      <c r="EX5">
        <v>11.182838</v>
      </c>
      <c r="EY5" t="s">
        <v>1606</v>
      </c>
      <c r="EZ5">
        <v>2026</v>
      </c>
      <c r="FA5" t="s">
        <v>2004</v>
      </c>
      <c r="FB5" s="6">
        <v>46087</v>
      </c>
      <c r="FC5">
        <v>5</v>
      </c>
      <c r="FD5">
        <v>1345630848</v>
      </c>
      <c r="FE5">
        <v>313657</v>
      </c>
      <c r="FF5" t="s">
        <v>2005</v>
      </c>
      <c r="FI5" t="str">
        <f>_xll.BDS("ORCL US Equity","SUPPLY_CHAIN_CUSTOMERS_ALL_DATA","cols=12;rows=5")</f>
        <v>ACN US Equity</v>
      </c>
      <c r="FJ5">
        <v>1.9061380000000001</v>
      </c>
      <c r="FK5" t="s">
        <v>1598</v>
      </c>
      <c r="FL5">
        <v>2.7725070000000001</v>
      </c>
      <c r="FM5" t="s">
        <v>1606</v>
      </c>
      <c r="FN5">
        <v>2025</v>
      </c>
      <c r="FO5" t="s">
        <v>2251</v>
      </c>
      <c r="FP5" s="6">
        <v>45848</v>
      </c>
      <c r="FQ5">
        <v>5</v>
      </c>
      <c r="FR5">
        <v>303133120</v>
      </c>
      <c r="FS5">
        <v>300787</v>
      </c>
      <c r="FT5" t="s">
        <v>2252</v>
      </c>
      <c r="FY5" t="str">
        <f>_xll.BDS("1813626D US Equity","SUPPLY_CHAIN_SUPPLIERS_ALL_DATA","cols=12;rows=1")</f>
        <v>FE US Equity</v>
      </c>
      <c r="GA5">
        <v>-2.4245362661989844E-14</v>
      </c>
      <c r="GB5">
        <v>-2.4245362661989844E-14</v>
      </c>
      <c r="GC5" t="s">
        <v>1594</v>
      </c>
      <c r="GD5">
        <v>2021</v>
      </c>
      <c r="GE5" t="s">
        <v>3048</v>
      </c>
      <c r="GF5" s="6">
        <v>44693</v>
      </c>
      <c r="GG5">
        <v>1</v>
      </c>
      <c r="GH5">
        <v>-2.4245362661989844E-14</v>
      </c>
      <c r="GI5">
        <v>302916</v>
      </c>
      <c r="GJ5" t="s">
        <v>3049</v>
      </c>
      <c r="GM5" t="str">
        <f>_xll.BDS("1813626D US Equity","SUPPLY_CHAIN_CUSTOMERS_ALL_DATA")</f>
        <v>#N/A N/A</v>
      </c>
      <c r="HC5" t="str">
        <f>_xll.BDS("ASFZ US Equity","SUPPLY_CHAIN_SUPPLIERS_ALL_DATA")</f>
        <v>#N/A N/A</v>
      </c>
      <c r="HQ5" t="str">
        <f>_xll.BDS("ASFZ US Equity","SUPPLY_CHAIN_CUSTOMERS_ALL_DATA")</f>
        <v>#N/A N/A</v>
      </c>
      <c r="IG5" t="str">
        <f>_xll.BDS("DHR US Equity","SUPPLY_CHAIN_SUPPLIERS_ALL_DATA","cols=12;rows=5")</f>
        <v>FLEX US Equity</v>
      </c>
      <c r="IH5" t="s">
        <v>1598</v>
      </c>
      <c r="II5">
        <v>1.165869</v>
      </c>
      <c r="IJ5">
        <v>2.8864939999999999</v>
      </c>
      <c r="IK5" t="s">
        <v>1599</v>
      </c>
      <c r="IL5">
        <v>2025</v>
      </c>
      <c r="IM5" t="s">
        <v>2557</v>
      </c>
      <c r="IN5" s="6">
        <v>45763</v>
      </c>
      <c r="IO5">
        <v>5</v>
      </c>
      <c r="IP5">
        <v>76434368</v>
      </c>
      <c r="IQ5">
        <v>136547</v>
      </c>
      <c r="IR5" t="s">
        <v>2558</v>
      </c>
      <c r="IU5" t="str">
        <f>_xll.BDS("DHR US Equity","SUPPLY_CHAIN_CUSTOMERS_ALL_DATA","cols=12;rows=5")</f>
        <v>CDW US Equity</v>
      </c>
      <c r="IV5">
        <v>0.25350099999999998</v>
      </c>
      <c r="IW5" t="s">
        <v>1598</v>
      </c>
      <c r="IX5">
        <v>0.35698299999999999</v>
      </c>
      <c r="IY5" t="s">
        <v>1603</v>
      </c>
      <c r="IZ5">
        <v>2025</v>
      </c>
      <c r="JA5" t="s">
        <v>1680</v>
      </c>
      <c r="JB5" s="6">
        <v>45820</v>
      </c>
      <c r="JC5">
        <v>5</v>
      </c>
      <c r="JD5">
        <v>14553483</v>
      </c>
      <c r="JE5">
        <v>12129192</v>
      </c>
      <c r="JF5" t="s">
        <v>1681</v>
      </c>
      <c r="JK5" t="str">
        <f>_xll.BDS("nan Equity","SUPPLY_CHAIN_SUPPLIERS_ALL_DATA")</f>
        <v>#N/A N/A</v>
      </c>
      <c r="JY5" t="str">
        <f>_xll.BDS("nan Equity","SUPPLY_CHAIN_CUSTOMERS_ALL_DATA")</f>
        <v>#N/A N/A</v>
      </c>
      <c r="KO5" t="str">
        <f>_xll.BDS("WPGGQ US Equity","SUPPLY_CHAIN_SUPPLIERS_ALL_DATA")</f>
        <v>#N/A N/A</v>
      </c>
      <c r="LC5" t="str">
        <f>_xll.BDS("WPGGQ US Equity","SUPPLY_CHAIN_CUSTOMERS_ALL_DATA")</f>
        <v>#N/A N/A</v>
      </c>
      <c r="LS5" t="str">
        <f>_xll.BDS("KIM US Equity","SUPPLY_CHAIN_SUPPLIERS_ALL_DATA","cols=12;rows=1")</f>
        <v>WOOD IJ Equity</v>
      </c>
      <c r="LU5">
        <v>-2.4245362661989844E-14</v>
      </c>
      <c r="LV5">
        <v>-2.4245362661989844E-14</v>
      </c>
      <c r="LW5" t="s">
        <v>1594</v>
      </c>
      <c r="LX5">
        <v>2023</v>
      </c>
      <c r="LY5" t="s">
        <v>4841</v>
      </c>
      <c r="LZ5" s="6">
        <v>45412</v>
      </c>
      <c r="MA5">
        <v>1</v>
      </c>
      <c r="MB5">
        <v>-2.4245362661989844E-14</v>
      </c>
      <c r="MC5">
        <v>53777122</v>
      </c>
      <c r="MD5" t="s">
        <v>4842</v>
      </c>
      <c r="MG5" t="str">
        <f>_xll.BDS("KIM US Equity","SUPPLY_CHAIN_CUSTOMERS_ALL_DATA","cols=12;rows=5")</f>
        <v>TJX US Equity</v>
      </c>
      <c r="MH5">
        <v>3.0607549999999999</v>
      </c>
      <c r="MI5" t="s">
        <v>1685</v>
      </c>
      <c r="MJ5">
        <v>0.57157999999999998</v>
      </c>
      <c r="MK5" t="s">
        <v>1594</v>
      </c>
      <c r="ML5">
        <v>2024</v>
      </c>
      <c r="MM5" t="s">
        <v>4953</v>
      </c>
      <c r="MN5" s="6">
        <v>45695</v>
      </c>
      <c r="MO5">
        <v>5</v>
      </c>
      <c r="MP5">
        <v>15587000</v>
      </c>
      <c r="MQ5">
        <v>101481</v>
      </c>
      <c r="MR5" t="s">
        <v>1773</v>
      </c>
      <c r="MW5" t="str">
        <f>_xll.BDS("329802Q US Equity","SUPPLY_CHAIN_SUPPLIERS_ALL_DATA")</f>
        <v>#N/A N/A</v>
      </c>
      <c r="NK5" t="str">
        <f>_xll.BDS("329802Q US Equity","SUPPLY_CHAIN_CUSTOMERS_ALL_DATA")</f>
        <v>#N/A N/A</v>
      </c>
      <c r="OA5" t="str">
        <f>_xll.BDS("nan Equity","SUPPLY_CHAIN_SUPPLIERS_ALL_DATA")</f>
        <v>#N/A N/A</v>
      </c>
      <c r="OO5" t="str">
        <f>_xll.BDS("nan Equity","SUPPLY_CHAIN_CUSTOMERS_ALL_DATA")</f>
        <v>#N/A N/A</v>
      </c>
      <c r="PE5" t="str">
        <f>_xll.BDS("MAT US Equity","SUPPLY_CHAIN_SUPPLIERS_ALL_DATA","cols=12;rows=5")</f>
        <v>HCLT IN Equity</v>
      </c>
      <c r="PF5" t="s">
        <v>1685</v>
      </c>
      <c r="PG5">
        <v>0.51776699999999998</v>
      </c>
      <c r="PH5">
        <v>4.3485860000000001</v>
      </c>
      <c r="PI5" t="s">
        <v>1664</v>
      </c>
      <c r="PJ5">
        <v>2026</v>
      </c>
      <c r="PK5" t="s">
        <v>3209</v>
      </c>
      <c r="PL5" s="6">
        <v>45986</v>
      </c>
      <c r="PM5">
        <v>5</v>
      </c>
      <c r="PN5">
        <v>18875078.109999999</v>
      </c>
      <c r="PO5">
        <v>995671</v>
      </c>
      <c r="PP5" t="s">
        <v>3210</v>
      </c>
      <c r="PS5" t="str">
        <f>_xll.BDS("MAT US Equity","SUPPLY_CHAIN_CUSTOMERS_ALL_DATA","cols=12;rows=5")</f>
        <v>WMT US Equity</v>
      </c>
      <c r="PT5">
        <v>20.195976000000002</v>
      </c>
      <c r="PU5" t="s">
        <v>1598</v>
      </c>
      <c r="PV5">
        <v>0.20172000000000001</v>
      </c>
      <c r="PW5" t="s">
        <v>1594</v>
      </c>
      <c r="PX5">
        <v>2025</v>
      </c>
      <c r="PY5" t="s">
        <v>2642</v>
      </c>
      <c r="PZ5" s="6">
        <v>46076</v>
      </c>
      <c r="QA5">
        <v>5</v>
      </c>
      <c r="QB5">
        <v>270000000</v>
      </c>
      <c r="QC5">
        <v>101616</v>
      </c>
      <c r="QD5" t="s">
        <v>1666</v>
      </c>
      <c r="QI5" t="str">
        <f>_xll.BDS("DIS US Equity","SUPPLY_CHAIN_SUPPLIERS_ALL_DATA","cols=12;rows=5")</f>
        <v>GTN US Equity</v>
      </c>
      <c r="QJ5" t="s">
        <v>1685</v>
      </c>
      <c r="QK5">
        <v>11</v>
      </c>
      <c r="QL5">
        <v>2.5200550000000002</v>
      </c>
      <c r="QM5" t="s">
        <v>1594</v>
      </c>
      <c r="QN5">
        <v>2024</v>
      </c>
      <c r="QO5" t="s">
        <v>2324</v>
      </c>
      <c r="QP5" s="6">
        <v>45715</v>
      </c>
      <c r="QQ5">
        <v>5</v>
      </c>
      <c r="QR5">
        <v>100210000</v>
      </c>
      <c r="QS5">
        <v>104103</v>
      </c>
      <c r="QT5" t="s">
        <v>2325</v>
      </c>
      <c r="QW5" t="str">
        <f>_xll.BDS("DIS US Equity","SUPPLY_CHAIN_CUSTOMERS_ALL_DATA","cols=12;rows=5")</f>
        <v>AD NA Equity</v>
      </c>
      <c r="QX5">
        <v>0.105923</v>
      </c>
      <c r="QY5" t="s">
        <v>1598</v>
      </c>
      <c r="QZ5">
        <v>0.13025800000000001</v>
      </c>
      <c r="RA5" t="s">
        <v>1664</v>
      </c>
      <c r="RB5">
        <v>2025</v>
      </c>
      <c r="RC5" t="s">
        <v>1920</v>
      </c>
      <c r="RD5" s="6">
        <v>45887</v>
      </c>
      <c r="RE5">
        <v>5</v>
      </c>
      <c r="RF5">
        <v>25058004.829999998</v>
      </c>
      <c r="RG5">
        <v>115643</v>
      </c>
      <c r="RH5" t="s">
        <v>1672</v>
      </c>
      <c r="RM5" t="str">
        <f>_xll.BDS("4134807Q US Equity","SUPPLY_CHAIN_SUPPLIERS_ALL_DATA")</f>
        <v>#N/A N/A</v>
      </c>
      <c r="SA5" t="str">
        <f>_xll.BDS("4134807Q US Equity","SUPPLY_CHAIN_CUSTOMERS_ALL_DATA")</f>
        <v>#N/A N/A</v>
      </c>
      <c r="SQ5" t="str">
        <f>_xll.BDS("MDT US Equity","SUPPLY_CHAIN_SUPPLIERS_ALL_DATA","cols=12;rows=5")</f>
        <v>FLEX US Equity</v>
      </c>
      <c r="SR5" t="s">
        <v>1598</v>
      </c>
      <c r="SS5">
        <v>1.2190190000000001</v>
      </c>
      <c r="ST5">
        <v>2.8758149999999998</v>
      </c>
      <c r="SU5" t="s">
        <v>1599</v>
      </c>
      <c r="SV5">
        <v>2025</v>
      </c>
      <c r="SW5" t="s">
        <v>2557</v>
      </c>
      <c r="SX5" s="6">
        <v>45763</v>
      </c>
      <c r="SY5">
        <v>5</v>
      </c>
      <c r="SZ5">
        <v>79918888</v>
      </c>
      <c r="TA5">
        <v>136547</v>
      </c>
      <c r="TB5" t="s">
        <v>2558</v>
      </c>
      <c r="TE5" t="str">
        <f>_xll.BDS("MDT US Equity","SUPPLY_CHAIN_CUSTOMERS_ALL_DATA","cols=12;rows=5")</f>
        <v>4104 TT Equity</v>
      </c>
      <c r="TF5">
        <v>0.20070099999999999</v>
      </c>
      <c r="TG5" t="s">
        <v>1598</v>
      </c>
      <c r="TH5">
        <v>32.397697000000001</v>
      </c>
      <c r="TI5" t="s">
        <v>1594</v>
      </c>
      <c r="TJ5">
        <v>2024</v>
      </c>
      <c r="TK5" t="s">
        <v>3693</v>
      </c>
      <c r="TL5" s="6">
        <v>45814</v>
      </c>
      <c r="TM5">
        <v>5</v>
      </c>
      <c r="TN5">
        <v>17028014.890000001</v>
      </c>
      <c r="TO5">
        <v>7324380</v>
      </c>
      <c r="TP5" t="s">
        <v>3694</v>
      </c>
      <c r="TU5" t="str">
        <f>_xll.BDS("nan Equity","SUPPLY_CHAIN_SUPPLIERS_ALL_DATA")</f>
        <v>#N/A N/A</v>
      </c>
      <c r="UI5" t="str">
        <f>_xll.BDS("nan Equity","SUPPLY_CHAIN_CUSTOMERS_ALL_DATA")</f>
        <v>#N/A N/A</v>
      </c>
      <c r="UY5" t="str">
        <f>_xll.BDS("CI US Equity","SUPPLY_CHAIN_SUPPLIERS_ALL_DATA","cols=12;rows=5")</f>
        <v>COR US Equity</v>
      </c>
      <c r="UZ5" t="s">
        <v>1598</v>
      </c>
      <c r="VA5">
        <v>13</v>
      </c>
      <c r="VB5">
        <v>17.228079000000001</v>
      </c>
      <c r="VC5" t="s">
        <v>1594</v>
      </c>
      <c r="VD5">
        <v>2025</v>
      </c>
      <c r="VE5" t="s">
        <v>1831</v>
      </c>
      <c r="VF5" s="6">
        <v>45986</v>
      </c>
      <c r="VG5">
        <v>5</v>
      </c>
      <c r="VH5">
        <v>10443316224</v>
      </c>
      <c r="VI5">
        <v>156969</v>
      </c>
      <c r="VJ5" t="s">
        <v>1767</v>
      </c>
      <c r="VM5" t="str">
        <f>_xll.BDS("CI US Equity","SUPPLY_CHAIN_CUSTOMERS_ALL_DATA","cols=12;rows=5")</f>
        <v>3352Z US Equity</v>
      </c>
      <c r="VN5">
        <v>11</v>
      </c>
      <c r="VP5">
        <v>-2.4245362661989844E-14</v>
      </c>
      <c r="VQ5" t="s">
        <v>1594</v>
      </c>
      <c r="VR5">
        <v>2024</v>
      </c>
      <c r="VS5" t="s">
        <v>4714</v>
      </c>
      <c r="VT5" s="6">
        <v>45715</v>
      </c>
      <c r="VU5">
        <v>5</v>
      </c>
      <c r="VV5">
        <v>6795827712</v>
      </c>
      <c r="VW5">
        <v>218252</v>
      </c>
      <c r="VX5" t="s">
        <v>1622</v>
      </c>
    </row>
    <row r="6" spans="1:600" x14ac:dyDescent="0.25">
      <c r="AE6" t="s">
        <v>2376</v>
      </c>
      <c r="AF6" t="s">
        <v>1598</v>
      </c>
      <c r="AG6">
        <v>1.532313</v>
      </c>
      <c r="AH6">
        <v>11.319699</v>
      </c>
      <c r="AI6" t="s">
        <v>1664</v>
      </c>
      <c r="AJ6">
        <v>2025</v>
      </c>
      <c r="AK6" t="s">
        <v>3471</v>
      </c>
      <c r="AL6" s="6">
        <v>45863</v>
      </c>
      <c r="AM6">
        <v>5</v>
      </c>
      <c r="AN6">
        <v>834940992</v>
      </c>
      <c r="AO6">
        <v>117929</v>
      </c>
      <c r="AP6" t="s">
        <v>2378</v>
      </c>
      <c r="AS6" t="s">
        <v>1679</v>
      </c>
      <c r="AT6">
        <v>0.12490800000000001</v>
      </c>
      <c r="AU6" t="s">
        <v>1598</v>
      </c>
      <c r="AV6">
        <v>0.63992199999999999</v>
      </c>
      <c r="AW6" t="s">
        <v>1603</v>
      </c>
      <c r="AX6">
        <v>2025</v>
      </c>
      <c r="AY6" t="s">
        <v>1680</v>
      </c>
      <c r="AZ6" s="6">
        <v>45820</v>
      </c>
      <c r="BA6">
        <v>5</v>
      </c>
      <c r="BB6">
        <v>26088340</v>
      </c>
      <c r="BC6">
        <v>12129192</v>
      </c>
      <c r="BD6" t="s">
        <v>1681</v>
      </c>
      <c r="CM6" t="s">
        <v>3842</v>
      </c>
      <c r="CN6" t="s">
        <v>1598</v>
      </c>
      <c r="CO6">
        <v>7.4403589999999999</v>
      </c>
      <c r="CP6">
        <v>2.409062</v>
      </c>
      <c r="CQ6" t="s">
        <v>1599</v>
      </c>
      <c r="CR6">
        <v>2025</v>
      </c>
      <c r="CS6" t="s">
        <v>3843</v>
      </c>
      <c r="CT6" s="6">
        <v>46050</v>
      </c>
      <c r="CU6">
        <v>5</v>
      </c>
      <c r="CV6">
        <v>251409728</v>
      </c>
      <c r="CW6">
        <v>100149</v>
      </c>
      <c r="CX6" t="s">
        <v>3844</v>
      </c>
      <c r="DA6" t="s">
        <v>311</v>
      </c>
      <c r="DB6">
        <v>5.077191</v>
      </c>
      <c r="DC6" t="s">
        <v>1598</v>
      </c>
      <c r="DD6">
        <v>3.3744339999999999</v>
      </c>
      <c r="DE6" t="s">
        <v>1664</v>
      </c>
      <c r="DF6">
        <v>2025</v>
      </c>
      <c r="DG6" t="s">
        <v>2827</v>
      </c>
      <c r="DH6" s="6">
        <v>45855</v>
      </c>
      <c r="DI6">
        <v>5</v>
      </c>
      <c r="DJ6">
        <v>1165900800</v>
      </c>
      <c r="DK6">
        <v>100864</v>
      </c>
      <c r="DL6" t="s">
        <v>1668</v>
      </c>
      <c r="EU6" t="s">
        <v>114</v>
      </c>
      <c r="EV6" t="s">
        <v>1634</v>
      </c>
      <c r="EW6">
        <v>3.5808580000000001</v>
      </c>
      <c r="EX6">
        <v>3.236755</v>
      </c>
      <c r="EY6" t="s">
        <v>1664</v>
      </c>
      <c r="EZ6">
        <v>2025</v>
      </c>
      <c r="FA6" t="s">
        <v>3353</v>
      </c>
      <c r="FB6" s="6">
        <v>45947</v>
      </c>
      <c r="FC6">
        <v>5</v>
      </c>
      <c r="FD6">
        <v>275188928</v>
      </c>
      <c r="FE6">
        <v>100010</v>
      </c>
      <c r="FF6" t="s">
        <v>1996</v>
      </c>
      <c r="FI6" t="s">
        <v>303</v>
      </c>
      <c r="FJ6">
        <v>1.3419890000000001</v>
      </c>
      <c r="FK6" t="s">
        <v>1598</v>
      </c>
      <c r="FL6">
        <v>0.27725100000000003</v>
      </c>
      <c r="FM6" t="s">
        <v>1606</v>
      </c>
      <c r="FN6">
        <v>2025</v>
      </c>
      <c r="FO6" t="s">
        <v>2251</v>
      </c>
      <c r="FP6" s="6">
        <v>45848</v>
      </c>
      <c r="FQ6">
        <v>5</v>
      </c>
      <c r="FR6">
        <v>213416512</v>
      </c>
      <c r="FS6">
        <v>216952</v>
      </c>
      <c r="FT6" t="s">
        <v>1631</v>
      </c>
      <c r="IG6" t="s">
        <v>2559</v>
      </c>
      <c r="IH6" t="s">
        <v>1598</v>
      </c>
      <c r="II6">
        <v>0.147895</v>
      </c>
      <c r="IJ6">
        <v>0.47978500000000002</v>
      </c>
      <c r="IK6" t="s">
        <v>1599</v>
      </c>
      <c r="IL6">
        <v>2025</v>
      </c>
      <c r="IM6" t="s">
        <v>2560</v>
      </c>
      <c r="IN6" s="6">
        <v>45867</v>
      </c>
      <c r="IO6">
        <v>5</v>
      </c>
      <c r="IP6">
        <v>11577221</v>
      </c>
      <c r="IQ6">
        <v>117092</v>
      </c>
      <c r="IR6" t="s">
        <v>2561</v>
      </c>
      <c r="IU6" t="s">
        <v>1700</v>
      </c>
      <c r="IV6">
        <v>0.22051499999999999</v>
      </c>
      <c r="IW6" t="s">
        <v>1598</v>
      </c>
      <c r="IX6">
        <v>9.3169000000000002E-2</v>
      </c>
      <c r="IY6" t="s">
        <v>1606</v>
      </c>
      <c r="IZ6">
        <v>2025</v>
      </c>
      <c r="JA6" t="s">
        <v>1701</v>
      </c>
      <c r="JB6" s="6">
        <v>46056</v>
      </c>
      <c r="JC6">
        <v>5</v>
      </c>
      <c r="JD6">
        <v>15078834</v>
      </c>
      <c r="JE6">
        <v>1499717</v>
      </c>
      <c r="JF6" t="s">
        <v>1702</v>
      </c>
      <c r="MG6" t="s">
        <v>1776</v>
      </c>
      <c r="MH6">
        <v>1.4744619999999999</v>
      </c>
      <c r="MI6" t="s">
        <v>1685</v>
      </c>
      <c r="MJ6">
        <v>0.89694700000000005</v>
      </c>
      <c r="MK6" t="s">
        <v>1594</v>
      </c>
      <c r="ML6">
        <v>2024</v>
      </c>
      <c r="MM6" t="s">
        <v>4953</v>
      </c>
      <c r="MN6" s="6">
        <v>45695</v>
      </c>
      <c r="MO6">
        <v>5</v>
      </c>
      <c r="MP6">
        <v>7508750</v>
      </c>
      <c r="MQ6">
        <v>106586</v>
      </c>
      <c r="MR6" t="s">
        <v>1777</v>
      </c>
      <c r="PE6" t="s">
        <v>3211</v>
      </c>
      <c r="PF6" t="s">
        <v>1598</v>
      </c>
      <c r="PG6">
        <v>0.30541800000000002</v>
      </c>
      <c r="PH6">
        <v>1.312338</v>
      </c>
      <c r="PI6" t="s">
        <v>1664</v>
      </c>
      <c r="PJ6">
        <v>2026</v>
      </c>
      <c r="PK6" t="s">
        <v>3212</v>
      </c>
      <c r="PL6" s="6">
        <v>46048</v>
      </c>
      <c r="PM6">
        <v>5</v>
      </c>
      <c r="PN6">
        <v>11391900.15</v>
      </c>
      <c r="PO6">
        <v>114322</v>
      </c>
      <c r="PP6" t="s">
        <v>3213</v>
      </c>
      <c r="PS6" t="s">
        <v>2643</v>
      </c>
      <c r="PT6">
        <v>11.780986</v>
      </c>
      <c r="PU6" t="s">
        <v>1598</v>
      </c>
      <c r="PV6">
        <v>0.82927499999999998</v>
      </c>
      <c r="PW6" t="s">
        <v>1594</v>
      </c>
      <c r="PX6">
        <v>2025</v>
      </c>
      <c r="PY6" t="s">
        <v>2642</v>
      </c>
      <c r="PZ6" s="6">
        <v>46076</v>
      </c>
      <c r="QA6">
        <v>5</v>
      </c>
      <c r="QB6">
        <v>157500000</v>
      </c>
      <c r="QC6">
        <v>100436</v>
      </c>
      <c r="QD6" t="s">
        <v>2644</v>
      </c>
      <c r="QI6" t="s">
        <v>178</v>
      </c>
      <c r="QJ6" t="s">
        <v>1598</v>
      </c>
      <c r="QK6">
        <v>0.136354</v>
      </c>
      <c r="QL6">
        <v>0.64509000000000005</v>
      </c>
      <c r="QM6" t="s">
        <v>1599</v>
      </c>
      <c r="QN6">
        <v>2025</v>
      </c>
      <c r="QO6" t="s">
        <v>1735</v>
      </c>
      <c r="QP6" s="6">
        <v>45843</v>
      </c>
      <c r="QQ6">
        <v>5</v>
      </c>
      <c r="QR6">
        <v>95537792</v>
      </c>
      <c r="QS6">
        <v>101743</v>
      </c>
      <c r="QT6" t="s">
        <v>1736</v>
      </c>
      <c r="QW6" t="s">
        <v>1669</v>
      </c>
      <c r="QX6">
        <v>9.5786999999999997E-2</v>
      </c>
      <c r="QY6" t="s">
        <v>1598</v>
      </c>
      <c r="QZ6">
        <v>0.115719</v>
      </c>
      <c r="RA6" t="s">
        <v>1664</v>
      </c>
      <c r="RB6">
        <v>2025</v>
      </c>
      <c r="RC6" t="s">
        <v>1921</v>
      </c>
      <c r="RD6" s="6">
        <v>45919</v>
      </c>
      <c r="RE6">
        <v>5</v>
      </c>
      <c r="RF6">
        <v>22674200.559999999</v>
      </c>
      <c r="RG6">
        <v>115268</v>
      </c>
      <c r="RH6" t="s">
        <v>1670</v>
      </c>
      <c r="SQ6" t="s">
        <v>2975</v>
      </c>
      <c r="SR6" t="s">
        <v>1598</v>
      </c>
      <c r="SS6">
        <v>2.3008839999999999</v>
      </c>
      <c r="ST6">
        <v>1.9882420000000001</v>
      </c>
      <c r="SU6" t="s">
        <v>1606</v>
      </c>
      <c r="SV6">
        <v>2024</v>
      </c>
      <c r="SW6" t="s">
        <v>2976</v>
      </c>
      <c r="SX6" s="6">
        <v>45694</v>
      </c>
      <c r="SY6">
        <v>5</v>
      </c>
      <c r="SZ6">
        <v>58573604</v>
      </c>
      <c r="TA6">
        <v>349266</v>
      </c>
      <c r="TB6" t="s">
        <v>2977</v>
      </c>
      <c r="TE6" t="s">
        <v>3695</v>
      </c>
      <c r="TF6">
        <v>-2.4245362661989844E-14</v>
      </c>
      <c r="TH6">
        <v>-2.4245362661989844E-14</v>
      </c>
      <c r="TI6" t="s">
        <v>1594</v>
      </c>
      <c r="TJ6">
        <v>2021</v>
      </c>
      <c r="TK6" t="s">
        <v>3696</v>
      </c>
      <c r="TL6" s="6">
        <v>44676</v>
      </c>
      <c r="TM6">
        <v>5</v>
      </c>
      <c r="TN6">
        <v>-2.4245362661989844E-14</v>
      </c>
      <c r="TO6">
        <v>24598477</v>
      </c>
      <c r="TP6" t="s">
        <v>3697</v>
      </c>
      <c r="UY6" t="s">
        <v>3797</v>
      </c>
      <c r="UZ6" t="s">
        <v>1598</v>
      </c>
      <c r="VA6">
        <v>3.9109850000000002</v>
      </c>
      <c r="VB6">
        <v>1.193235</v>
      </c>
      <c r="VC6" t="s">
        <v>1664</v>
      </c>
      <c r="VD6">
        <v>2025</v>
      </c>
      <c r="VE6" t="s">
        <v>4868</v>
      </c>
      <c r="VF6" s="6">
        <v>45986</v>
      </c>
      <c r="VG6">
        <v>5</v>
      </c>
      <c r="VH6">
        <v>732156033.95000005</v>
      </c>
      <c r="VI6">
        <v>115785</v>
      </c>
      <c r="VJ6" t="s">
        <v>3799</v>
      </c>
      <c r="VM6" t="s">
        <v>304</v>
      </c>
      <c r="VN6">
        <v>0.82464999999999999</v>
      </c>
      <c r="VO6" t="s">
        <v>1598</v>
      </c>
      <c r="VP6">
        <v>1.4172499999999999</v>
      </c>
      <c r="VQ6" t="s">
        <v>1606</v>
      </c>
      <c r="VR6">
        <v>2025</v>
      </c>
      <c r="VS6" t="s">
        <v>2450</v>
      </c>
      <c r="VT6" s="6">
        <v>46070</v>
      </c>
      <c r="VU6">
        <v>5</v>
      </c>
      <c r="VV6">
        <v>597640128</v>
      </c>
      <c r="VW6">
        <v>364913</v>
      </c>
      <c r="VX6" t="s">
        <v>4715</v>
      </c>
    </row>
    <row r="7" spans="1:600" x14ac:dyDescent="0.25">
      <c r="AE7" t="s">
        <v>686</v>
      </c>
      <c r="AF7" t="s">
        <v>1598</v>
      </c>
      <c r="AG7">
        <v>35</v>
      </c>
      <c r="AH7">
        <v>7.7523350000000004</v>
      </c>
      <c r="AI7" t="s">
        <v>1594</v>
      </c>
      <c r="AJ7">
        <v>2024</v>
      </c>
      <c r="AK7" t="s">
        <v>3472</v>
      </c>
      <c r="AL7" s="6">
        <v>45730</v>
      </c>
      <c r="AM7">
        <v>5</v>
      </c>
      <c r="AN7">
        <v>574700032</v>
      </c>
      <c r="AO7">
        <v>307493</v>
      </c>
      <c r="AP7" t="s">
        <v>3473</v>
      </c>
      <c r="AS7" t="s">
        <v>4653</v>
      </c>
      <c r="AT7">
        <v>9.0591000000000005E-2</v>
      </c>
      <c r="AU7" t="s">
        <v>1598</v>
      </c>
      <c r="AV7">
        <v>7.6550999999999994E-2</v>
      </c>
      <c r="AW7" t="s">
        <v>1594</v>
      </c>
      <c r="AX7">
        <v>2025</v>
      </c>
      <c r="AY7" t="s">
        <v>5245</v>
      </c>
      <c r="AZ7" s="6">
        <v>46064</v>
      </c>
      <c r="BA7">
        <v>5</v>
      </c>
      <c r="BB7">
        <v>20000000</v>
      </c>
      <c r="BC7">
        <v>180556</v>
      </c>
      <c r="BD7" t="s">
        <v>4654</v>
      </c>
      <c r="CM7" t="s">
        <v>3845</v>
      </c>
      <c r="CN7" t="s">
        <v>1598</v>
      </c>
      <c r="CO7">
        <v>12</v>
      </c>
      <c r="CP7">
        <v>1.9302889999999999</v>
      </c>
      <c r="CQ7" t="s">
        <v>1594</v>
      </c>
      <c r="CR7">
        <v>2025</v>
      </c>
      <c r="CS7" t="s">
        <v>3846</v>
      </c>
      <c r="CT7" s="6">
        <v>46044</v>
      </c>
      <c r="CU7">
        <v>5</v>
      </c>
      <c r="CV7">
        <v>205208992</v>
      </c>
      <c r="CW7">
        <v>101739</v>
      </c>
      <c r="CX7" t="s">
        <v>3847</v>
      </c>
      <c r="DA7" t="s">
        <v>303</v>
      </c>
      <c r="DB7">
        <v>4.6584729999999999</v>
      </c>
      <c r="DC7" t="s">
        <v>1598</v>
      </c>
      <c r="DD7">
        <v>1.3897170000000001</v>
      </c>
      <c r="DE7" t="s">
        <v>1664</v>
      </c>
      <c r="DF7">
        <v>2025</v>
      </c>
      <c r="DG7" t="s">
        <v>2827</v>
      </c>
      <c r="DH7" s="6">
        <v>45855</v>
      </c>
      <c r="DI7">
        <v>5</v>
      </c>
      <c r="DJ7">
        <v>1069748416</v>
      </c>
      <c r="DK7">
        <v>216952</v>
      </c>
      <c r="DL7" t="s">
        <v>1631</v>
      </c>
      <c r="EU7" t="s">
        <v>211</v>
      </c>
      <c r="EV7" t="s">
        <v>1634</v>
      </c>
      <c r="EW7">
        <v>0.91127400000000003</v>
      </c>
      <c r="EX7">
        <v>1.364298</v>
      </c>
      <c r="EY7" t="s">
        <v>1606</v>
      </c>
      <c r="EZ7">
        <v>2025</v>
      </c>
      <c r="FA7" t="s">
        <v>2691</v>
      </c>
      <c r="FB7" s="6">
        <v>46010</v>
      </c>
      <c r="FC7">
        <v>5</v>
      </c>
      <c r="FD7">
        <v>164166016</v>
      </c>
      <c r="FE7">
        <v>59907412</v>
      </c>
      <c r="FF7" t="s">
        <v>3354</v>
      </c>
      <c r="FI7" t="s">
        <v>1700</v>
      </c>
      <c r="FJ7">
        <v>1.0301469999999999</v>
      </c>
      <c r="FK7" t="s">
        <v>1598</v>
      </c>
      <c r="FL7">
        <v>1.0221020000000001</v>
      </c>
      <c r="FM7" t="s">
        <v>1606</v>
      </c>
      <c r="FN7">
        <v>2025</v>
      </c>
      <c r="FO7" t="s">
        <v>1701</v>
      </c>
      <c r="FP7" s="6">
        <v>46056</v>
      </c>
      <c r="FQ7">
        <v>5</v>
      </c>
      <c r="FR7">
        <v>165420976</v>
      </c>
      <c r="FS7">
        <v>1499717</v>
      </c>
      <c r="FT7" t="s">
        <v>1702</v>
      </c>
      <c r="IG7" t="s">
        <v>205</v>
      </c>
      <c r="IH7" t="s">
        <v>1598</v>
      </c>
      <c r="II7">
        <v>0.32230900000000001</v>
      </c>
      <c r="IJ7">
        <v>0.38473400000000002</v>
      </c>
      <c r="IK7" t="s">
        <v>1599</v>
      </c>
      <c r="IL7">
        <v>2025</v>
      </c>
      <c r="IM7" t="s">
        <v>2562</v>
      </c>
      <c r="IN7" s="6">
        <v>45891</v>
      </c>
      <c r="IO7">
        <v>5</v>
      </c>
      <c r="IP7">
        <v>9283621</v>
      </c>
      <c r="IQ7">
        <v>100097</v>
      </c>
      <c r="IR7" t="s">
        <v>2563</v>
      </c>
      <c r="IU7" t="s">
        <v>1703</v>
      </c>
      <c r="IV7">
        <v>8.1423999999999996E-2</v>
      </c>
      <c r="IW7" t="s">
        <v>1598</v>
      </c>
      <c r="IX7">
        <v>0.194387</v>
      </c>
      <c r="IY7" t="s">
        <v>1599</v>
      </c>
      <c r="IZ7">
        <v>2025</v>
      </c>
      <c r="JA7" t="s">
        <v>1704</v>
      </c>
      <c r="JB7" s="6">
        <v>45694</v>
      </c>
      <c r="JC7">
        <v>5</v>
      </c>
      <c r="JD7">
        <v>5430637.3600000003</v>
      </c>
      <c r="JE7">
        <v>111827</v>
      </c>
      <c r="JF7" t="s">
        <v>1705</v>
      </c>
      <c r="MG7" t="s">
        <v>365</v>
      </c>
      <c r="MH7">
        <v>1.453058</v>
      </c>
      <c r="MI7" t="s">
        <v>1685</v>
      </c>
      <c r="MJ7">
        <v>0.106848</v>
      </c>
      <c r="MK7" t="s">
        <v>1594</v>
      </c>
      <c r="ML7">
        <v>2024</v>
      </c>
      <c r="MM7" t="s">
        <v>4953</v>
      </c>
      <c r="MN7" s="6">
        <v>45695</v>
      </c>
      <c r="MO7">
        <v>5</v>
      </c>
      <c r="MP7">
        <v>7399750</v>
      </c>
      <c r="MQ7">
        <v>100743</v>
      </c>
      <c r="MR7" t="s">
        <v>1904</v>
      </c>
      <c r="PE7" t="s">
        <v>3214</v>
      </c>
      <c r="PF7" t="s">
        <v>1598</v>
      </c>
      <c r="PG7">
        <v>4.7877999999999997E-2</v>
      </c>
      <c r="PH7">
        <v>0.54544199999999998</v>
      </c>
      <c r="PI7" t="s">
        <v>1606</v>
      </c>
      <c r="PJ7">
        <v>2024</v>
      </c>
      <c r="PK7" t="s">
        <v>3215</v>
      </c>
      <c r="PL7" s="6">
        <v>45723</v>
      </c>
      <c r="PM7">
        <v>5</v>
      </c>
      <c r="PN7">
        <v>4423007.57</v>
      </c>
      <c r="PO7">
        <v>193359</v>
      </c>
      <c r="PP7" t="s">
        <v>3216</v>
      </c>
      <c r="PS7" t="s">
        <v>303</v>
      </c>
      <c r="PT7">
        <v>9.7239880000000003</v>
      </c>
      <c r="PU7" t="s">
        <v>1598</v>
      </c>
      <c r="PV7">
        <v>0.145898</v>
      </c>
      <c r="PW7" t="s">
        <v>1594</v>
      </c>
      <c r="PX7">
        <v>2025</v>
      </c>
      <c r="PY7" t="s">
        <v>2642</v>
      </c>
      <c r="PZ7" s="6">
        <v>46076</v>
      </c>
      <c r="QA7">
        <v>5</v>
      </c>
      <c r="QB7">
        <v>130000000</v>
      </c>
      <c r="QC7">
        <v>216952</v>
      </c>
      <c r="QD7" t="s">
        <v>1631</v>
      </c>
      <c r="QI7" t="s">
        <v>2326</v>
      </c>
      <c r="QJ7" t="s">
        <v>1598</v>
      </c>
      <c r="QK7">
        <v>8.6999999999999993</v>
      </c>
      <c r="QL7">
        <v>0.35915200000000003</v>
      </c>
      <c r="QM7" t="s">
        <v>1594</v>
      </c>
      <c r="QN7">
        <v>2024</v>
      </c>
      <c r="QO7" t="s">
        <v>2327</v>
      </c>
      <c r="QP7" s="6">
        <v>45716</v>
      </c>
      <c r="QQ7">
        <v>5</v>
      </c>
      <c r="QR7">
        <v>52541236</v>
      </c>
      <c r="QS7">
        <v>33838804</v>
      </c>
      <c r="QT7" t="s">
        <v>2328</v>
      </c>
      <c r="QW7" t="s">
        <v>1703</v>
      </c>
      <c r="QX7">
        <v>2.0863E-2</v>
      </c>
      <c r="QY7" t="s">
        <v>1598</v>
      </c>
      <c r="QZ7">
        <v>0.187834</v>
      </c>
      <c r="RA7" t="s">
        <v>1599</v>
      </c>
      <c r="RB7">
        <v>2025</v>
      </c>
      <c r="RC7" t="s">
        <v>1704</v>
      </c>
      <c r="RD7" s="6">
        <v>45694</v>
      </c>
      <c r="RE7">
        <v>5</v>
      </c>
      <c r="RF7">
        <v>5247564.7699999996</v>
      </c>
      <c r="RG7">
        <v>111827</v>
      </c>
      <c r="RH7" t="s">
        <v>1705</v>
      </c>
      <c r="SQ7" t="s">
        <v>2559</v>
      </c>
      <c r="SR7" t="s">
        <v>1598</v>
      </c>
      <c r="SS7">
        <v>0.23526900000000001</v>
      </c>
      <c r="ST7">
        <v>0.58521900000000004</v>
      </c>
      <c r="SU7" t="s">
        <v>1599</v>
      </c>
      <c r="SV7">
        <v>2025</v>
      </c>
      <c r="SW7" t="s">
        <v>2560</v>
      </c>
      <c r="SX7" s="6">
        <v>45867</v>
      </c>
      <c r="SY7">
        <v>5</v>
      </c>
      <c r="SZ7">
        <v>18416856</v>
      </c>
      <c r="TA7">
        <v>117092</v>
      </c>
      <c r="TB7" t="s">
        <v>2561</v>
      </c>
      <c r="TE7" t="s">
        <v>3698</v>
      </c>
      <c r="TF7">
        <v>-2.4245362661989844E-14</v>
      </c>
      <c r="TH7">
        <v>-2.4245362661989844E-14</v>
      </c>
      <c r="TI7" t="s">
        <v>1594</v>
      </c>
      <c r="TJ7">
        <v>2023</v>
      </c>
      <c r="TK7" t="s">
        <v>3699</v>
      </c>
      <c r="TL7" s="6">
        <v>45135</v>
      </c>
      <c r="TM7">
        <v>5</v>
      </c>
      <c r="TN7">
        <v>-2.4245362661989844E-14</v>
      </c>
      <c r="TO7">
        <v>103017</v>
      </c>
      <c r="TP7" t="s">
        <v>3700</v>
      </c>
      <c r="UY7" t="s">
        <v>240</v>
      </c>
      <c r="UZ7" t="s">
        <v>1598</v>
      </c>
      <c r="VA7">
        <v>2.966253</v>
      </c>
      <c r="VB7">
        <v>1.12304</v>
      </c>
      <c r="VC7" t="s">
        <v>1599</v>
      </c>
      <c r="VD7">
        <v>2025</v>
      </c>
      <c r="VE7" t="s">
        <v>2219</v>
      </c>
      <c r="VF7" s="6">
        <v>46018</v>
      </c>
      <c r="VG7">
        <v>5</v>
      </c>
      <c r="VH7">
        <v>711693056</v>
      </c>
      <c r="VI7">
        <v>100828</v>
      </c>
      <c r="VJ7" t="s">
        <v>1865</v>
      </c>
      <c r="VM7" t="s">
        <v>1615</v>
      </c>
      <c r="VN7">
        <v>-2.4245362661989844E-14</v>
      </c>
      <c r="VP7">
        <v>-2.4245362661989844E-14</v>
      </c>
      <c r="VQ7" t="s">
        <v>1594</v>
      </c>
      <c r="VR7">
        <v>2025</v>
      </c>
      <c r="VS7" t="s">
        <v>4716</v>
      </c>
      <c r="VT7" s="6">
        <v>46079</v>
      </c>
      <c r="VU7">
        <v>5</v>
      </c>
      <c r="VV7">
        <v>-2.4245362661989844E-14</v>
      </c>
      <c r="VW7">
        <v>962205</v>
      </c>
      <c r="VX7" t="s">
        <v>1617</v>
      </c>
    </row>
    <row r="8" spans="1:600" x14ac:dyDescent="0.25">
      <c r="AE8" t="s">
        <v>428</v>
      </c>
      <c r="AF8" t="s">
        <v>1598</v>
      </c>
      <c r="AG8">
        <v>18</v>
      </c>
      <c r="AH8">
        <v>5.8461829999999999</v>
      </c>
      <c r="AI8" t="s">
        <v>1594</v>
      </c>
      <c r="AJ8">
        <v>2025</v>
      </c>
      <c r="AK8" t="s">
        <v>2379</v>
      </c>
      <c r="AL8" s="6">
        <v>46077</v>
      </c>
      <c r="AM8">
        <v>5</v>
      </c>
      <c r="AN8">
        <v>479007008</v>
      </c>
      <c r="AO8">
        <v>210870</v>
      </c>
      <c r="AP8" t="s">
        <v>2380</v>
      </c>
      <c r="AS8" t="s">
        <v>2589</v>
      </c>
      <c r="AT8">
        <v>1.384E-2</v>
      </c>
      <c r="AU8" t="s">
        <v>1598</v>
      </c>
      <c r="AV8">
        <v>5.3727999999999998E-2</v>
      </c>
      <c r="AW8" t="s">
        <v>1664</v>
      </c>
      <c r="AX8">
        <v>2026</v>
      </c>
      <c r="AY8" t="s">
        <v>2590</v>
      </c>
      <c r="AZ8" s="6">
        <v>46063</v>
      </c>
      <c r="BA8">
        <v>5</v>
      </c>
      <c r="BB8">
        <v>3038811</v>
      </c>
      <c r="BC8">
        <v>100142</v>
      </c>
      <c r="BD8" t="s">
        <v>2591</v>
      </c>
      <c r="CM8" t="s">
        <v>3848</v>
      </c>
      <c r="CN8" t="s">
        <v>1598</v>
      </c>
      <c r="CO8">
        <v>54.700001</v>
      </c>
      <c r="CP8">
        <v>1.7763739999999999</v>
      </c>
      <c r="CQ8" t="s">
        <v>1594</v>
      </c>
      <c r="CR8">
        <v>2024</v>
      </c>
      <c r="CS8" t="s">
        <v>3849</v>
      </c>
      <c r="CT8" s="6">
        <v>45719</v>
      </c>
      <c r="CU8">
        <v>5</v>
      </c>
      <c r="CV8">
        <v>185382400</v>
      </c>
      <c r="CW8">
        <v>10951561</v>
      </c>
      <c r="CX8" t="s">
        <v>3850</v>
      </c>
      <c r="DA8" t="s">
        <v>1943</v>
      </c>
      <c r="DB8">
        <v>4.5123049999999996</v>
      </c>
      <c r="DC8" t="s">
        <v>1598</v>
      </c>
      <c r="DD8">
        <v>1.8841060000000001</v>
      </c>
      <c r="DE8" t="s">
        <v>1664</v>
      </c>
      <c r="DF8">
        <v>2025</v>
      </c>
      <c r="DG8" t="s">
        <v>2827</v>
      </c>
      <c r="DH8" s="6">
        <v>45855</v>
      </c>
      <c r="DI8">
        <v>5</v>
      </c>
      <c r="DJ8">
        <v>1036183168</v>
      </c>
      <c r="DK8">
        <v>101758</v>
      </c>
      <c r="DL8" t="s">
        <v>1944</v>
      </c>
      <c r="EU8" t="s">
        <v>1997</v>
      </c>
      <c r="EV8" t="s">
        <v>1634</v>
      </c>
      <c r="EW8">
        <v>6.234559</v>
      </c>
      <c r="EX8">
        <v>1.5138720000000001</v>
      </c>
      <c r="EY8" t="s">
        <v>1664</v>
      </c>
      <c r="EZ8">
        <v>2025</v>
      </c>
      <c r="FA8" t="s">
        <v>3355</v>
      </c>
      <c r="FB8" s="6">
        <v>45897</v>
      </c>
      <c r="FC8">
        <v>5</v>
      </c>
      <c r="FD8">
        <v>137459552</v>
      </c>
      <c r="FE8">
        <v>16532368</v>
      </c>
      <c r="FF8" t="s">
        <v>1999</v>
      </c>
      <c r="FI8" t="s">
        <v>32</v>
      </c>
      <c r="FJ8">
        <v>0.69902799999999998</v>
      </c>
      <c r="FK8" t="s">
        <v>1598</v>
      </c>
      <c r="FL8">
        <v>0.138625</v>
      </c>
      <c r="FM8" t="s">
        <v>1606</v>
      </c>
      <c r="FN8">
        <v>2025</v>
      </c>
      <c r="FO8" t="s">
        <v>2251</v>
      </c>
      <c r="FP8" s="6">
        <v>45848</v>
      </c>
      <c r="FQ8">
        <v>5</v>
      </c>
      <c r="FR8">
        <v>111166424</v>
      </c>
      <c r="FS8">
        <v>100976</v>
      </c>
      <c r="FT8" t="s">
        <v>1820</v>
      </c>
      <c r="IG8" t="s">
        <v>2564</v>
      </c>
      <c r="IH8" t="s">
        <v>1598</v>
      </c>
      <c r="II8">
        <v>1.1725810000000001</v>
      </c>
      <c r="IJ8">
        <v>0.15703400000000001</v>
      </c>
      <c r="IK8" t="s">
        <v>1603</v>
      </c>
      <c r="IL8">
        <v>2026</v>
      </c>
      <c r="IM8" t="s">
        <v>2565</v>
      </c>
      <c r="IN8" s="6">
        <v>46051</v>
      </c>
      <c r="IO8">
        <v>5</v>
      </c>
      <c r="IP8">
        <v>4510016</v>
      </c>
      <c r="IQ8">
        <v>225757</v>
      </c>
      <c r="IR8" t="s">
        <v>2566</v>
      </c>
      <c r="IU8" t="s">
        <v>1706</v>
      </c>
      <c r="IV8">
        <v>6.6940000000000003E-3</v>
      </c>
      <c r="IW8" t="s">
        <v>1598</v>
      </c>
      <c r="IX8">
        <v>5.5948409999999997</v>
      </c>
      <c r="IY8" t="s">
        <v>1594</v>
      </c>
      <c r="IZ8">
        <v>2024</v>
      </c>
      <c r="JA8" t="s">
        <v>1707</v>
      </c>
      <c r="JB8" s="6">
        <v>45819</v>
      </c>
      <c r="JC8">
        <v>5</v>
      </c>
      <c r="JD8">
        <v>402911.11</v>
      </c>
      <c r="JE8">
        <v>15291339</v>
      </c>
      <c r="JF8" t="s">
        <v>1708</v>
      </c>
      <c r="MG8" t="s">
        <v>303</v>
      </c>
      <c r="MH8">
        <v>1.4319980000000001</v>
      </c>
      <c r="MI8" t="s">
        <v>1685</v>
      </c>
      <c r="MJ8">
        <v>5.2781000000000002E-2</v>
      </c>
      <c r="MK8" t="s">
        <v>1594</v>
      </c>
      <c r="ML8">
        <v>2024</v>
      </c>
      <c r="MM8" t="s">
        <v>4953</v>
      </c>
      <c r="MN8" s="6">
        <v>45695</v>
      </c>
      <c r="MO8">
        <v>5</v>
      </c>
      <c r="MP8">
        <v>7292500</v>
      </c>
      <c r="MQ8">
        <v>216952</v>
      </c>
      <c r="MR8" t="s">
        <v>1631</v>
      </c>
      <c r="PE8" t="s">
        <v>1084</v>
      </c>
      <c r="PF8" t="s">
        <v>1685</v>
      </c>
      <c r="PG8">
        <v>1.3321E-2</v>
      </c>
      <c r="PH8">
        <v>0.18884200000000001</v>
      </c>
      <c r="PI8" t="s">
        <v>1664</v>
      </c>
      <c r="PJ8">
        <v>2025</v>
      </c>
      <c r="PK8" t="s">
        <v>2052</v>
      </c>
      <c r="PL8" s="6">
        <v>45838</v>
      </c>
      <c r="PM8">
        <v>5</v>
      </c>
      <c r="PN8">
        <v>782342</v>
      </c>
      <c r="PO8">
        <v>101689</v>
      </c>
      <c r="PP8" t="s">
        <v>2053</v>
      </c>
      <c r="PS8" t="s">
        <v>1875</v>
      </c>
      <c r="PT8">
        <v>2.153413</v>
      </c>
      <c r="PU8" t="s">
        <v>1598</v>
      </c>
      <c r="PV8">
        <v>0.17097999999999999</v>
      </c>
      <c r="PW8" t="s">
        <v>1606</v>
      </c>
      <c r="PX8">
        <v>2024</v>
      </c>
      <c r="PY8" t="s">
        <v>2645</v>
      </c>
      <c r="PZ8" s="6">
        <v>45771</v>
      </c>
      <c r="QA8">
        <v>5</v>
      </c>
      <c r="QB8">
        <v>35453792</v>
      </c>
      <c r="QC8">
        <v>112370</v>
      </c>
      <c r="QD8" t="s">
        <v>1877</v>
      </c>
      <c r="QI8" t="s">
        <v>2329</v>
      </c>
      <c r="QJ8" t="s">
        <v>1598</v>
      </c>
      <c r="QK8">
        <v>2.0555249999999998</v>
      </c>
      <c r="QL8">
        <v>0.15715399999999999</v>
      </c>
      <c r="QM8" t="s">
        <v>1664</v>
      </c>
      <c r="QN8">
        <v>2025</v>
      </c>
      <c r="QO8" t="s">
        <v>2330</v>
      </c>
      <c r="QP8" s="6">
        <v>45884</v>
      </c>
      <c r="QQ8">
        <v>5</v>
      </c>
      <c r="QR8">
        <v>22837664</v>
      </c>
      <c r="QS8">
        <v>17257533</v>
      </c>
      <c r="QT8" t="s">
        <v>2331</v>
      </c>
      <c r="QW8" t="s">
        <v>1922</v>
      </c>
      <c r="QX8">
        <v>9.5700000000000004E-3</v>
      </c>
      <c r="QY8" t="s">
        <v>1598</v>
      </c>
      <c r="QZ8">
        <v>7.616047</v>
      </c>
      <c r="RA8" t="s">
        <v>1594</v>
      </c>
      <c r="RB8">
        <v>2025</v>
      </c>
      <c r="RC8" t="s">
        <v>1923</v>
      </c>
      <c r="RD8" s="6">
        <v>45869</v>
      </c>
      <c r="RE8">
        <v>5</v>
      </c>
      <c r="RF8">
        <v>2250536.7200000002</v>
      </c>
      <c r="RG8">
        <v>16852453</v>
      </c>
      <c r="RH8" t="s">
        <v>1924</v>
      </c>
      <c r="SQ8" t="s">
        <v>2185</v>
      </c>
      <c r="SR8" t="s">
        <v>1598</v>
      </c>
      <c r="SS8">
        <v>1.69564</v>
      </c>
      <c r="ST8">
        <v>0.41697800000000002</v>
      </c>
      <c r="SU8" t="s">
        <v>1599</v>
      </c>
      <c r="SV8">
        <v>2025</v>
      </c>
      <c r="SW8" t="s">
        <v>2186</v>
      </c>
      <c r="SX8" s="6">
        <v>46001</v>
      </c>
      <c r="SY8">
        <v>5</v>
      </c>
      <c r="SZ8">
        <v>12763693</v>
      </c>
      <c r="TA8">
        <v>1182195</v>
      </c>
      <c r="TB8" t="s">
        <v>2187</v>
      </c>
      <c r="TE8" t="s">
        <v>3701</v>
      </c>
      <c r="TF8">
        <v>-2.4245362661989844E-14</v>
      </c>
      <c r="TH8">
        <v>-2.4245362661989844E-14</v>
      </c>
      <c r="TI8" t="s">
        <v>1594</v>
      </c>
      <c r="TJ8">
        <v>2022</v>
      </c>
      <c r="TK8" t="s">
        <v>3702</v>
      </c>
      <c r="TL8" s="6">
        <v>44887</v>
      </c>
      <c r="TM8">
        <v>5</v>
      </c>
      <c r="TN8">
        <v>-2.4245362661989844E-14</v>
      </c>
      <c r="TO8">
        <v>104917</v>
      </c>
      <c r="TP8" t="s">
        <v>3703</v>
      </c>
      <c r="UY8" t="s">
        <v>24</v>
      </c>
      <c r="UZ8" t="s">
        <v>1598</v>
      </c>
      <c r="VA8">
        <v>3.967965</v>
      </c>
      <c r="VB8">
        <v>0.95289199999999996</v>
      </c>
      <c r="VC8" t="s">
        <v>1664</v>
      </c>
      <c r="VD8">
        <v>2025</v>
      </c>
      <c r="VE8" t="s">
        <v>3358</v>
      </c>
      <c r="VF8" s="6">
        <v>45914</v>
      </c>
      <c r="VG8">
        <v>5</v>
      </c>
      <c r="VH8">
        <v>581425920</v>
      </c>
      <c r="VI8">
        <v>101166</v>
      </c>
      <c r="VJ8" t="s">
        <v>2119</v>
      </c>
      <c r="VM8" t="s">
        <v>4717</v>
      </c>
      <c r="VN8">
        <v>-2.4245362661989844E-14</v>
      </c>
      <c r="VP8">
        <v>-2.4245362661989844E-14</v>
      </c>
      <c r="VQ8" t="s">
        <v>1594</v>
      </c>
      <c r="VR8">
        <v>2025</v>
      </c>
      <c r="VS8" t="s">
        <v>4716</v>
      </c>
      <c r="VT8" s="6">
        <v>46079</v>
      </c>
      <c r="VU8">
        <v>5</v>
      </c>
      <c r="VV8">
        <v>-2.4245362661989844E-14</v>
      </c>
      <c r="VW8">
        <v>20081197</v>
      </c>
      <c r="VX8" t="s">
        <v>4718</v>
      </c>
    </row>
    <row r="9" spans="1:600" x14ac:dyDescent="0.25">
      <c r="AE9" t="s">
        <v>3474</v>
      </c>
      <c r="AF9" t="s">
        <v>1685</v>
      </c>
      <c r="AG9">
        <v>19.899999999999999</v>
      </c>
      <c r="AH9">
        <v>4.0537919999999996</v>
      </c>
      <c r="AI9" t="s">
        <v>1594</v>
      </c>
      <c r="AJ9">
        <v>2025</v>
      </c>
      <c r="AK9" t="s">
        <v>3475</v>
      </c>
      <c r="AL9" s="6">
        <v>46006</v>
      </c>
      <c r="AM9">
        <v>5</v>
      </c>
      <c r="AN9">
        <v>225512416</v>
      </c>
      <c r="AO9">
        <v>305698</v>
      </c>
      <c r="AP9" t="s">
        <v>3476</v>
      </c>
      <c r="AS9" t="s">
        <v>1645</v>
      </c>
      <c r="AT9">
        <v>9.7520000000000003E-3</v>
      </c>
      <c r="AU9" t="s">
        <v>1598</v>
      </c>
      <c r="AV9">
        <v>0.33684199999999997</v>
      </c>
      <c r="AW9" t="s">
        <v>1599</v>
      </c>
      <c r="AX9">
        <v>2025</v>
      </c>
      <c r="AY9" t="s">
        <v>1897</v>
      </c>
      <c r="AZ9" s="6">
        <v>45840</v>
      </c>
      <c r="BA9">
        <v>5</v>
      </c>
      <c r="BB9">
        <v>2036698</v>
      </c>
      <c r="BC9">
        <v>136424</v>
      </c>
      <c r="BD9" t="s">
        <v>1647</v>
      </c>
      <c r="CM9" t="s">
        <v>3851</v>
      </c>
      <c r="CN9" t="s">
        <v>1598</v>
      </c>
      <c r="CO9">
        <v>4.709041</v>
      </c>
      <c r="CP9">
        <v>1.331243</v>
      </c>
      <c r="CQ9" t="s">
        <v>1599</v>
      </c>
      <c r="CR9">
        <v>2025</v>
      </c>
      <c r="CS9" t="s">
        <v>3852</v>
      </c>
      <c r="CT9" s="6">
        <v>46018</v>
      </c>
      <c r="CU9">
        <v>5</v>
      </c>
      <c r="CV9">
        <v>138928480</v>
      </c>
      <c r="CW9">
        <v>100412</v>
      </c>
      <c r="CX9" t="s">
        <v>3853</v>
      </c>
      <c r="DA9" t="s">
        <v>1875</v>
      </c>
      <c r="DB9">
        <v>3.4026369999999999</v>
      </c>
      <c r="DC9" t="s">
        <v>1598</v>
      </c>
      <c r="DD9">
        <v>3.7682129999999998</v>
      </c>
      <c r="DE9" t="s">
        <v>1664</v>
      </c>
      <c r="DF9">
        <v>2025</v>
      </c>
      <c r="DG9" t="s">
        <v>2827</v>
      </c>
      <c r="DH9" s="6">
        <v>45855</v>
      </c>
      <c r="DI9">
        <v>5</v>
      </c>
      <c r="DJ9">
        <v>781364544</v>
      </c>
      <c r="DK9">
        <v>112370</v>
      </c>
      <c r="DL9" t="s">
        <v>1877</v>
      </c>
      <c r="EU9" t="s">
        <v>276</v>
      </c>
      <c r="EV9" t="s">
        <v>1634</v>
      </c>
      <c r="EW9">
        <v>3.6037650000000001</v>
      </c>
      <c r="EX9">
        <v>0.90356199999999998</v>
      </c>
      <c r="EY9" t="s">
        <v>1664</v>
      </c>
      <c r="EZ9">
        <v>2026</v>
      </c>
      <c r="FA9" t="s">
        <v>3356</v>
      </c>
      <c r="FB9" s="6">
        <v>46059</v>
      </c>
      <c r="FC9">
        <v>5</v>
      </c>
      <c r="FD9">
        <v>108725592</v>
      </c>
      <c r="FE9">
        <v>101643</v>
      </c>
      <c r="FF9" t="s">
        <v>3357</v>
      </c>
      <c r="FI9" t="s">
        <v>306</v>
      </c>
      <c r="FJ9">
        <v>0.66108800000000001</v>
      </c>
      <c r="FK9" t="s">
        <v>1598</v>
      </c>
      <c r="FL9">
        <v>0.122531</v>
      </c>
      <c r="FM9" t="s">
        <v>1606</v>
      </c>
      <c r="FN9">
        <v>2025</v>
      </c>
      <c r="FO9" t="s">
        <v>2251</v>
      </c>
      <c r="FP9" s="6">
        <v>45848</v>
      </c>
      <c r="FQ9">
        <v>5</v>
      </c>
      <c r="FR9">
        <v>105132824</v>
      </c>
      <c r="FS9">
        <v>101548</v>
      </c>
      <c r="FT9" t="s">
        <v>1770</v>
      </c>
      <c r="IG9" t="s">
        <v>1084</v>
      </c>
      <c r="IH9" t="s">
        <v>1685</v>
      </c>
      <c r="II9">
        <v>5.9742000000000003E-2</v>
      </c>
      <c r="IJ9">
        <v>0.18884000000000001</v>
      </c>
      <c r="IK9" t="s">
        <v>1664</v>
      </c>
      <c r="IL9">
        <v>2025</v>
      </c>
      <c r="IM9" t="s">
        <v>2052</v>
      </c>
      <c r="IN9" s="6">
        <v>45838</v>
      </c>
      <c r="IO9">
        <v>5</v>
      </c>
      <c r="IP9">
        <v>3508648</v>
      </c>
      <c r="IQ9">
        <v>101689</v>
      </c>
      <c r="IR9" t="s">
        <v>2053</v>
      </c>
      <c r="IU9" t="s">
        <v>1709</v>
      </c>
      <c r="IV9">
        <v>5.1640000000000002E-3</v>
      </c>
      <c r="IW9" t="s">
        <v>1598</v>
      </c>
      <c r="IX9">
        <v>5.0558560000000003</v>
      </c>
      <c r="IY9" t="s">
        <v>1594</v>
      </c>
      <c r="IZ9">
        <v>2024</v>
      </c>
      <c r="JA9" t="s">
        <v>1710</v>
      </c>
      <c r="JB9" s="6">
        <v>45814</v>
      </c>
      <c r="JC9">
        <v>5</v>
      </c>
      <c r="JD9">
        <v>310853.61</v>
      </c>
      <c r="JE9">
        <v>36034450</v>
      </c>
      <c r="JF9" t="s">
        <v>1711</v>
      </c>
      <c r="MG9" t="s">
        <v>2759</v>
      </c>
      <c r="MH9">
        <v>1.4258120000000001</v>
      </c>
      <c r="MI9" t="s">
        <v>1685</v>
      </c>
      <c r="MJ9">
        <v>0.82678600000000002</v>
      </c>
      <c r="MK9" t="s">
        <v>1594</v>
      </c>
      <c r="ML9">
        <v>2024</v>
      </c>
      <c r="MM9" t="s">
        <v>4953</v>
      </c>
      <c r="MN9" s="6">
        <v>45695</v>
      </c>
      <c r="MO9">
        <v>5</v>
      </c>
      <c r="MP9">
        <v>7261000</v>
      </c>
      <c r="MQ9">
        <v>34501311</v>
      </c>
      <c r="MR9" t="s">
        <v>2760</v>
      </c>
      <c r="PE9" t="s">
        <v>3217</v>
      </c>
      <c r="PF9" t="s">
        <v>1598</v>
      </c>
      <c r="PG9">
        <v>4.1804000000000001E-2</v>
      </c>
      <c r="PH9">
        <v>5.679E-2</v>
      </c>
      <c r="PI9" t="s">
        <v>1606</v>
      </c>
      <c r="PJ9">
        <v>2024</v>
      </c>
      <c r="PK9" t="s">
        <v>3218</v>
      </c>
      <c r="PL9" s="6">
        <v>45769</v>
      </c>
      <c r="PM9">
        <v>5</v>
      </c>
      <c r="PN9">
        <v>460513</v>
      </c>
      <c r="PO9">
        <v>104314</v>
      </c>
      <c r="PP9" t="s">
        <v>3219</v>
      </c>
      <c r="PS9" t="s">
        <v>1917</v>
      </c>
      <c r="PT9">
        <v>1.452942</v>
      </c>
      <c r="PU9" t="s">
        <v>1598</v>
      </c>
      <c r="PV9">
        <v>3.6230999999999999E-2</v>
      </c>
      <c r="PW9" t="s">
        <v>1606</v>
      </c>
      <c r="PX9">
        <v>2024</v>
      </c>
      <c r="PY9" t="s">
        <v>2645</v>
      </c>
      <c r="PZ9" s="6">
        <v>45771</v>
      </c>
      <c r="QA9">
        <v>5</v>
      </c>
      <c r="QB9">
        <v>23921236</v>
      </c>
      <c r="QC9">
        <v>101695</v>
      </c>
      <c r="QD9" t="s">
        <v>1919</v>
      </c>
      <c r="QI9" t="s">
        <v>2332</v>
      </c>
      <c r="QJ9" t="s">
        <v>1598</v>
      </c>
      <c r="QK9">
        <v>0.29686099999999999</v>
      </c>
      <c r="QL9">
        <v>6.9705000000000003E-2</v>
      </c>
      <c r="QM9" t="s">
        <v>1606</v>
      </c>
      <c r="QN9">
        <v>2025</v>
      </c>
      <c r="QO9" t="s">
        <v>2333</v>
      </c>
      <c r="QP9" s="6">
        <v>46087</v>
      </c>
      <c r="QQ9">
        <v>5</v>
      </c>
      <c r="QR9">
        <v>11619140</v>
      </c>
      <c r="QS9">
        <v>101204</v>
      </c>
      <c r="QT9" t="s">
        <v>2334</v>
      </c>
      <c r="QW9" t="s">
        <v>1925</v>
      </c>
      <c r="QX9">
        <v>5.3379999999999999E-3</v>
      </c>
      <c r="QY9" t="s">
        <v>1598</v>
      </c>
      <c r="QZ9">
        <v>1.0343059999999999</v>
      </c>
      <c r="RA9" t="s">
        <v>1603</v>
      </c>
      <c r="RB9">
        <v>2026</v>
      </c>
      <c r="RC9" t="s">
        <v>1926</v>
      </c>
      <c r="RD9" s="6">
        <v>45852</v>
      </c>
      <c r="RE9">
        <v>5</v>
      </c>
      <c r="RF9">
        <v>1261005</v>
      </c>
      <c r="RG9">
        <v>9515683</v>
      </c>
      <c r="RH9" t="s">
        <v>1927</v>
      </c>
      <c r="SQ9" t="s">
        <v>3891</v>
      </c>
      <c r="SR9" t="s">
        <v>1598</v>
      </c>
      <c r="SS9">
        <v>1.749268</v>
      </c>
      <c r="ST9">
        <v>0.29281299999999999</v>
      </c>
      <c r="SU9" t="s">
        <v>1664</v>
      </c>
      <c r="SV9">
        <v>2025</v>
      </c>
      <c r="SW9" t="s">
        <v>3892</v>
      </c>
      <c r="SX9" s="6">
        <v>45867</v>
      </c>
      <c r="SY9">
        <v>5</v>
      </c>
      <c r="SZ9">
        <v>9701879.8399999999</v>
      </c>
      <c r="TA9">
        <v>157487</v>
      </c>
      <c r="TB9" t="s">
        <v>3893</v>
      </c>
      <c r="TE9" t="s">
        <v>3704</v>
      </c>
      <c r="TF9">
        <v>-2.4245362661989844E-14</v>
      </c>
      <c r="TH9">
        <v>-2.4245362661989844E-14</v>
      </c>
      <c r="TI9" t="s">
        <v>1594</v>
      </c>
      <c r="TJ9">
        <v>2025</v>
      </c>
      <c r="TK9" t="s">
        <v>3705</v>
      </c>
      <c r="TL9" s="6">
        <v>45834</v>
      </c>
      <c r="TM9">
        <v>5</v>
      </c>
      <c r="TN9">
        <v>-2.4245362661989844E-14</v>
      </c>
      <c r="TO9">
        <v>11745327</v>
      </c>
      <c r="TP9" t="s">
        <v>3706</v>
      </c>
      <c r="UY9" t="s">
        <v>3407</v>
      </c>
      <c r="UZ9" t="s">
        <v>1598</v>
      </c>
      <c r="VA9">
        <v>2.9907159999999999</v>
      </c>
      <c r="VB9">
        <v>0.70191599999999998</v>
      </c>
      <c r="VC9" t="s">
        <v>1599</v>
      </c>
      <c r="VD9">
        <v>2025</v>
      </c>
      <c r="VE9" t="s">
        <v>3408</v>
      </c>
      <c r="VF9" s="6">
        <v>46080</v>
      </c>
      <c r="VG9">
        <v>5</v>
      </c>
      <c r="VH9">
        <v>463650688</v>
      </c>
      <c r="VI9">
        <v>111093</v>
      </c>
      <c r="VJ9" t="s">
        <v>3409</v>
      </c>
      <c r="VM9" t="s">
        <v>4719</v>
      </c>
      <c r="VN9">
        <v>-2.4245362661989844E-14</v>
      </c>
      <c r="VP9">
        <v>-2.4245362661989844E-14</v>
      </c>
      <c r="VQ9" t="s">
        <v>1594</v>
      </c>
      <c r="VR9">
        <v>2022</v>
      </c>
      <c r="VS9" t="s">
        <v>4720</v>
      </c>
      <c r="VT9" s="6">
        <v>44641</v>
      </c>
      <c r="VU9">
        <v>5</v>
      </c>
      <c r="VV9">
        <v>-2.4245362661989844E-14</v>
      </c>
      <c r="VW9">
        <v>193709</v>
      </c>
      <c r="VX9" t="s">
        <v>4721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935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936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937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938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939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940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941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942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943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944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945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946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947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948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949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950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951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952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953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954</v>
      </c>
      <c r="AE2" s="3" t="s">
        <v>955</v>
      </c>
      <c r="BI2" s="3" t="s">
        <v>776</v>
      </c>
      <c r="CM2" s="3" t="s">
        <v>956</v>
      </c>
      <c r="DQ2" s="3" t="s">
        <v>78</v>
      </c>
      <c r="EU2" s="3" t="s">
        <v>22</v>
      </c>
      <c r="FY2" s="3" t="s">
        <v>957</v>
      </c>
      <c r="HC2" s="3" t="s">
        <v>958</v>
      </c>
      <c r="IG2" s="3" t="s">
        <v>684</v>
      </c>
      <c r="JK2" s="3" t="s">
        <v>690</v>
      </c>
      <c r="KO2" s="3" t="s">
        <v>691</v>
      </c>
      <c r="LS2" s="3" t="s">
        <v>959</v>
      </c>
      <c r="MW2" s="3" t="s">
        <v>960</v>
      </c>
      <c r="OA2" s="3" t="s">
        <v>961</v>
      </c>
      <c r="PE2" s="3" t="s">
        <v>962</v>
      </c>
      <c r="QI2" s="3" t="s">
        <v>963</v>
      </c>
      <c r="RM2" s="3" t="s">
        <v>70</v>
      </c>
      <c r="SQ2" s="3" t="s">
        <v>109</v>
      </c>
      <c r="TU2" s="3" t="s">
        <v>964</v>
      </c>
      <c r="UY2" s="3" t="s">
        <v>965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_xll.BDS("ITW US Equity","SUPPLY_CHAIN_SUPPLIERS_ALL_DATA","cols=12;rows=5")</f>
        <v>179 HK Equity</v>
      </c>
      <c r="B5" t="s">
        <v>1598</v>
      </c>
      <c r="C5">
        <v>6.5320000000000003E-2</v>
      </c>
      <c r="D5">
        <v>2.7040999999999999E-2</v>
      </c>
      <c r="E5" t="s">
        <v>1664</v>
      </c>
      <c r="F5">
        <v>2026</v>
      </c>
      <c r="G5" t="s">
        <v>3913</v>
      </c>
      <c r="H5" s="6">
        <v>46044</v>
      </c>
      <c r="I5">
        <v>5</v>
      </c>
      <c r="J5">
        <v>598816</v>
      </c>
      <c r="K5">
        <v>116426</v>
      </c>
      <c r="L5" t="s">
        <v>3914</v>
      </c>
      <c r="O5" t="str">
        <f>_xll.BDS("ITW US Equity","SUPPLY_CHAIN_CUSTOMERS_ALL_DATA","cols=12;rows=5")</f>
        <v>TSCO US Equity</v>
      </c>
      <c r="P5">
        <v>1.765717</v>
      </c>
      <c r="Q5" t="s">
        <v>1598</v>
      </c>
      <c r="R5">
        <v>2.5065909999999998</v>
      </c>
      <c r="S5" t="s">
        <v>1664</v>
      </c>
      <c r="T5">
        <v>2025</v>
      </c>
      <c r="U5" t="s">
        <v>4097</v>
      </c>
      <c r="V5" s="6">
        <v>45917</v>
      </c>
      <c r="W5">
        <v>5</v>
      </c>
      <c r="X5">
        <v>70178408</v>
      </c>
      <c r="Y5">
        <v>126788</v>
      </c>
      <c r="Z5" t="s">
        <v>4098</v>
      </c>
      <c r="AE5" t="str">
        <f>_xll.BDS("9990302D US Equity","SUPPLY_CHAIN_SUPPLIERS_ALL_DATA")</f>
        <v>#N/A N/A</v>
      </c>
      <c r="AS5" t="str">
        <f>_xll.BDS("9990302D US Equity","SUPPLY_CHAIN_CUSTOMERS_ALL_DATA")</f>
        <v>#N/A N/A</v>
      </c>
      <c r="BI5" t="str">
        <f>_xll.BDS("CMCSA US Equity","SUPPLY_CHAIN_SUPPLIERS_ALL_DATA","cols=12;rows=5")</f>
        <v>GTN US Equity</v>
      </c>
      <c r="BJ5" t="s">
        <v>1685</v>
      </c>
      <c r="BK5">
        <v>27</v>
      </c>
      <c r="BL5">
        <v>2.0242360000000001</v>
      </c>
      <c r="BM5" t="s">
        <v>1594</v>
      </c>
      <c r="BN5">
        <v>2024</v>
      </c>
      <c r="BO5" t="s">
        <v>2324</v>
      </c>
      <c r="BP5" s="6">
        <v>45715</v>
      </c>
      <c r="BQ5">
        <v>5</v>
      </c>
      <c r="BR5">
        <v>245970000</v>
      </c>
      <c r="BS5">
        <v>104103</v>
      </c>
      <c r="BT5" t="s">
        <v>2325</v>
      </c>
      <c r="BW5" t="str">
        <f>_xll.BDS("CMCSA US Equity","SUPPLY_CHAIN_CUSTOMERS_ALL_DATA","cols=12;rows=5")</f>
        <v>ARW US Equity</v>
      </c>
      <c r="BX5">
        <v>0.26543</v>
      </c>
      <c r="BY5" t="s">
        <v>1598</v>
      </c>
      <c r="BZ5">
        <v>1.313388</v>
      </c>
      <c r="CA5" t="s">
        <v>1603</v>
      </c>
      <c r="CB5">
        <v>2025</v>
      </c>
      <c r="CC5" t="s">
        <v>1892</v>
      </c>
      <c r="CD5" s="6">
        <v>45784</v>
      </c>
      <c r="CE5">
        <v>5</v>
      </c>
      <c r="CF5">
        <v>79328960</v>
      </c>
      <c r="CG5">
        <v>100115</v>
      </c>
      <c r="CH5" t="s">
        <v>1893</v>
      </c>
      <c r="CM5" t="str">
        <f>_xll.BDS("DZA US Equity","SUPPLY_CHAIN_SUPPLIERS_ALL_DATA")</f>
        <v>#N/A N/A</v>
      </c>
      <c r="DA5" t="str">
        <f>_xll.BDS("DZA US Equity","SUPPLY_CHAIN_CUSTOMERS_ALL_DATA")</f>
        <v>#N/A N/A</v>
      </c>
      <c r="DQ5" t="str">
        <f>_xll.BDS("nan Equity","SUPPLY_CHAIN_SUPPLIERS_ALL_DATA")</f>
        <v>#N/A N/A</v>
      </c>
      <c r="EE5" t="str">
        <f>_xll.BDS("nan Equity","SUPPLY_CHAIN_CUSTOMERS_ALL_DATA")</f>
        <v>#N/A N/A</v>
      </c>
      <c r="EU5" t="str">
        <f>_xll.BDS("RTX US Equity","SUPPLY_CHAIN_SUPPLIERS_ALL_DATA","cols=12;rows=5")</f>
        <v>MTX GR Equity</v>
      </c>
      <c r="EV5" t="s">
        <v>1598</v>
      </c>
      <c r="EW5">
        <v>24.749371</v>
      </c>
      <c r="EX5">
        <v>3.4020609999999998</v>
      </c>
      <c r="EY5" t="s">
        <v>1664</v>
      </c>
      <c r="EZ5">
        <v>2025</v>
      </c>
      <c r="FA5" t="s">
        <v>2629</v>
      </c>
      <c r="FB5" s="6">
        <v>45937</v>
      </c>
      <c r="FC5">
        <v>5</v>
      </c>
      <c r="FD5">
        <v>585090912.53999996</v>
      </c>
      <c r="FE5">
        <v>8445936</v>
      </c>
      <c r="FF5" t="s">
        <v>2630</v>
      </c>
      <c r="FI5" t="str">
        <f>_xll.BDS("RTX US Equity","SUPPLY_CHAIN_CUSTOMERS_ALL_DATA","cols=12;rows=5")</f>
        <v>3352Z US Equity</v>
      </c>
      <c r="FJ5">
        <v>37.559677000000001</v>
      </c>
      <c r="FL5">
        <v>-2.4245362661989844E-14</v>
      </c>
      <c r="FM5" t="s">
        <v>1594</v>
      </c>
      <c r="FN5">
        <v>2025</v>
      </c>
      <c r="FO5" t="s">
        <v>4803</v>
      </c>
      <c r="FP5" s="6">
        <v>46059</v>
      </c>
      <c r="FQ5">
        <v>5</v>
      </c>
      <c r="FR5">
        <v>8319750000</v>
      </c>
      <c r="FS5">
        <v>218252</v>
      </c>
      <c r="FT5" t="s">
        <v>1622</v>
      </c>
      <c r="FY5" t="str">
        <f>_xll.BDS("1431816D US Equity","SUPPLY_CHAIN_SUPPLIERS_ALL_DATA")</f>
        <v>#N/A N/A</v>
      </c>
      <c r="GM5" t="str">
        <f>_xll.BDS("1431816D US Equity","SUPPLY_CHAIN_CUSTOMERS_ALL_DATA")</f>
        <v>#N/A N/A</v>
      </c>
      <c r="HC5" t="str">
        <f>_xll.BDS("GTN US Equity","SUPPLY_CHAIN_SUPPLIERS_ALL_DATA","cols=12;rows=5")</f>
        <v>0129612D US Equity</v>
      </c>
      <c r="HE5">
        <v>-2.4245362661989844E-14</v>
      </c>
      <c r="HF5">
        <v>-2.4245362661989844E-14</v>
      </c>
      <c r="HG5" t="s">
        <v>1594</v>
      </c>
      <c r="HH5">
        <v>2022</v>
      </c>
      <c r="HI5" t="s">
        <v>5623</v>
      </c>
      <c r="HJ5" s="6">
        <v>44981</v>
      </c>
      <c r="HK5">
        <v>5</v>
      </c>
      <c r="HL5">
        <v>-2.4245362661989844E-14</v>
      </c>
      <c r="HM5">
        <v>28945364</v>
      </c>
      <c r="HN5" t="s">
        <v>5624</v>
      </c>
      <c r="HQ5" t="str">
        <f>_xll.BDS("GTN US Equity","SUPPLY_CHAIN_CUSTOMERS_ALL_DATA","cols=12;rows=5")</f>
        <v>CMCSA US Equity</v>
      </c>
      <c r="HR5">
        <v>27</v>
      </c>
      <c r="HS5" t="s">
        <v>1685</v>
      </c>
      <c r="HT5">
        <v>2.0242360000000001</v>
      </c>
      <c r="HU5" t="s">
        <v>1594</v>
      </c>
      <c r="HV5">
        <v>2024</v>
      </c>
      <c r="HW5" t="s">
        <v>2324</v>
      </c>
      <c r="HX5" s="6">
        <v>45715</v>
      </c>
      <c r="HY5">
        <v>5</v>
      </c>
      <c r="HZ5">
        <v>245970000</v>
      </c>
      <c r="IA5">
        <v>101712</v>
      </c>
      <c r="IB5" t="s">
        <v>2809</v>
      </c>
      <c r="IG5" t="str">
        <f>_xll.BDS("HBAN US Equity","SUPPLY_CHAIN_SUPPLIERS_ALL_DATA","cols=12;rows=4")</f>
        <v>004800 KS Equity</v>
      </c>
      <c r="II5">
        <v>-2.4245362661989844E-14</v>
      </c>
      <c r="IJ5">
        <v>-2.4245362661989844E-14</v>
      </c>
      <c r="IK5" t="s">
        <v>1651</v>
      </c>
      <c r="IL5">
        <v>2025</v>
      </c>
      <c r="IM5" t="s">
        <v>2064</v>
      </c>
      <c r="IN5" s="6">
        <v>45974</v>
      </c>
      <c r="IO5">
        <v>4</v>
      </c>
      <c r="IP5">
        <v>-2.4245362661989844E-14</v>
      </c>
      <c r="IQ5">
        <v>118099</v>
      </c>
      <c r="IR5" t="s">
        <v>2065</v>
      </c>
      <c r="IU5" t="str">
        <f>_xll.BDS("HBAN US Equity","SUPPLY_CHAIN_CUSTOMERS_ALL_DATA")</f>
        <v>#N/A N/A</v>
      </c>
      <c r="JK5" t="str">
        <f>_xll.BDS("HOLX US Equity","SUPPLY_CHAIN_SUPPLIERS_ALL_DATA","cols=12;rows=5")</f>
        <v>FLEX US Equity</v>
      </c>
      <c r="JL5" t="s">
        <v>1598</v>
      </c>
      <c r="JM5">
        <v>0.19427700000000001</v>
      </c>
      <c r="JN5">
        <v>2.8862000000000001</v>
      </c>
      <c r="JO5" t="s">
        <v>1599</v>
      </c>
      <c r="JP5">
        <v>2025</v>
      </c>
      <c r="JQ5" t="s">
        <v>2557</v>
      </c>
      <c r="JR5" s="6">
        <v>45763</v>
      </c>
      <c r="JS5">
        <v>5</v>
      </c>
      <c r="JT5">
        <v>12736800</v>
      </c>
      <c r="JU5">
        <v>136547</v>
      </c>
      <c r="JV5" t="s">
        <v>2558</v>
      </c>
      <c r="JY5" t="str">
        <f>_xll.BDS("HOLX US Equity","SUPPLY_CHAIN_CUSTOMERS_ALL_DATA","cols=12;rows=5")</f>
        <v>0219250Z US Equity</v>
      </c>
      <c r="JZ5">
        <v>-2.4245362661989844E-14</v>
      </c>
      <c r="KB5">
        <v>-2.4245362661989844E-14</v>
      </c>
      <c r="KC5" t="s">
        <v>1599</v>
      </c>
      <c r="KD5">
        <v>2023</v>
      </c>
      <c r="KE5" t="s">
        <v>5062</v>
      </c>
      <c r="KF5" s="6">
        <v>45139</v>
      </c>
      <c r="KG5">
        <v>5</v>
      </c>
      <c r="KH5">
        <v>-2.4245362661989844E-14</v>
      </c>
      <c r="KI5">
        <v>962217</v>
      </c>
      <c r="KJ5" t="s">
        <v>2434</v>
      </c>
      <c r="KO5" t="str">
        <f>_xll.BDS("AA US Equity","SUPPLY_CHAIN_SUPPLIERS_ALL_DATA","cols=12;rows=5")</f>
        <v>MAADEN AB Equity</v>
      </c>
      <c r="KP5" t="s">
        <v>1598</v>
      </c>
      <c r="KQ5">
        <v>4.2572039999999998</v>
      </c>
      <c r="KR5">
        <v>3.644434</v>
      </c>
      <c r="KS5" t="s">
        <v>1594</v>
      </c>
      <c r="KT5">
        <v>2024</v>
      </c>
      <c r="KU5" t="s">
        <v>2615</v>
      </c>
      <c r="KV5" s="6">
        <v>45729</v>
      </c>
      <c r="KW5">
        <v>5</v>
      </c>
      <c r="KX5">
        <v>91511433.980000004</v>
      </c>
      <c r="KY5">
        <v>948635</v>
      </c>
      <c r="KZ5" t="s">
        <v>2616</v>
      </c>
      <c r="LC5" t="str">
        <f>_xll.BDS("AA US Equity","SUPPLY_CHAIN_CUSTOMERS_ALL_DATA","cols=12;rows=5")</f>
        <v>MAADEN AB Equity</v>
      </c>
      <c r="LD5">
        <v>1.3594E-2</v>
      </c>
      <c r="LE5" t="s">
        <v>1598</v>
      </c>
      <c r="LF5">
        <v>2.6039E-2</v>
      </c>
      <c r="LG5" t="s">
        <v>1594</v>
      </c>
      <c r="LH5">
        <v>2024</v>
      </c>
      <c r="LI5" t="s">
        <v>2615</v>
      </c>
      <c r="LJ5" s="6">
        <v>45729</v>
      </c>
      <c r="LK5">
        <v>5</v>
      </c>
      <c r="LL5">
        <v>404250.67</v>
      </c>
      <c r="LM5">
        <v>948635</v>
      </c>
      <c r="LN5" t="s">
        <v>2616</v>
      </c>
      <c r="LS5" t="str">
        <f>_xll.BDS("COR US Equity","SUPPLY_CHAIN_SUPPLIERS_ALL_DATA","cols=12;rows=5")</f>
        <v>LLY US Equity</v>
      </c>
      <c r="LT5" t="s">
        <v>1598</v>
      </c>
      <c r="LU5">
        <v>22.163627999999999</v>
      </c>
      <c r="LV5">
        <v>4.8294360000000003</v>
      </c>
      <c r="LW5" t="s">
        <v>1599</v>
      </c>
      <c r="LX5">
        <v>2025</v>
      </c>
      <c r="LY5" t="s">
        <v>1859</v>
      </c>
      <c r="LZ5" s="6">
        <v>46041</v>
      </c>
      <c r="MA5">
        <v>5</v>
      </c>
      <c r="MB5">
        <v>3900975616</v>
      </c>
      <c r="MC5">
        <v>100894</v>
      </c>
      <c r="MD5" t="s">
        <v>2218</v>
      </c>
      <c r="MG5" t="str">
        <f>_xll.BDS("COR US Equity","SUPPLY_CHAIN_CUSTOMERS_ALL_DATA","cols=12;rows=5")</f>
        <v>WBA US Equity</v>
      </c>
      <c r="MH5">
        <v>26.14452</v>
      </c>
      <c r="MI5" t="s">
        <v>1598</v>
      </c>
      <c r="MJ5">
        <v>60.735835999999999</v>
      </c>
      <c r="MK5" t="s">
        <v>1599</v>
      </c>
      <c r="ML5">
        <v>2025</v>
      </c>
      <c r="MM5" t="s">
        <v>1829</v>
      </c>
      <c r="MN5" s="6">
        <v>45834</v>
      </c>
      <c r="MO5">
        <v>5</v>
      </c>
      <c r="MP5">
        <v>19727000000</v>
      </c>
      <c r="MQ5">
        <v>101617</v>
      </c>
      <c r="MR5" t="s">
        <v>1830</v>
      </c>
      <c r="MW5" t="str">
        <f>_xll.BDS("FSH US Equity","SUPPLY_CHAIN_SUPPLIERS_ALL_DATA")</f>
        <v>#N/A N/A</v>
      </c>
      <c r="NK5" t="str">
        <f>_xll.BDS("FSH US Equity","SUPPLY_CHAIN_CUSTOMERS_ALL_DATA")</f>
        <v>#N/A N/A</v>
      </c>
      <c r="OA5" t="str">
        <f>_xll.BDS("FHN US Equity","SUPPLY_CHAIN_SUPPLIERS_ALL_DATA","cols=12;rows=3")</f>
        <v>GBG LN Equity</v>
      </c>
      <c r="OC5">
        <v>-2.4245362661989844E-14</v>
      </c>
      <c r="OD5">
        <v>-2.4245362661989844E-14</v>
      </c>
      <c r="OE5" t="s">
        <v>1792</v>
      </c>
      <c r="OF5">
        <v>2023</v>
      </c>
      <c r="OG5" t="s">
        <v>5198</v>
      </c>
      <c r="OH5" s="6">
        <v>45012</v>
      </c>
      <c r="OI5">
        <v>3</v>
      </c>
      <c r="OJ5">
        <v>-2.4245362661989844E-14</v>
      </c>
      <c r="OK5">
        <v>182003</v>
      </c>
      <c r="OL5" t="s">
        <v>5199</v>
      </c>
      <c r="OO5" t="str">
        <f>_xll.BDS("FHN US Equity","SUPPLY_CHAIN_CUSTOMERS_ALL_DATA")</f>
        <v>#N/A N/A</v>
      </c>
      <c r="PE5" t="str">
        <f>_xll.BDS("COX US Equity","SUPPLY_CHAIN_SUPPLIERS_ALL_DATA","cols=12;rows=5")</f>
        <v>2008 HK Equity</v>
      </c>
      <c r="PG5">
        <v>-2.4245362661989844E-14</v>
      </c>
      <c r="PH5">
        <v>-2.4245362661989844E-14</v>
      </c>
      <c r="PI5" t="s">
        <v>1594</v>
      </c>
      <c r="PJ5">
        <v>2024</v>
      </c>
      <c r="PK5" t="s">
        <v>4554</v>
      </c>
      <c r="PL5" s="6">
        <v>45770</v>
      </c>
      <c r="PM5">
        <v>5</v>
      </c>
      <c r="PN5">
        <v>-2.4245362661989844E-14</v>
      </c>
      <c r="PO5">
        <v>1447160</v>
      </c>
      <c r="PP5" t="s">
        <v>4555</v>
      </c>
      <c r="PS5" t="str">
        <f>_xll.BDS("COX US Equity","SUPPLY_CHAIN_CUSTOMERS_ALL_DATA","cols=12;rows=4")</f>
        <v>CURI US Equity</v>
      </c>
      <c r="PT5">
        <v>-2.4245362661989844E-14</v>
      </c>
      <c r="PV5">
        <v>-2.4245362661989844E-14</v>
      </c>
      <c r="PW5" t="s">
        <v>1594</v>
      </c>
      <c r="PX5">
        <v>2023</v>
      </c>
      <c r="PY5" t="s">
        <v>4266</v>
      </c>
      <c r="PZ5" s="6">
        <v>45376</v>
      </c>
      <c r="QA5">
        <v>4</v>
      </c>
      <c r="QB5">
        <v>-2.4245362661989844E-14</v>
      </c>
      <c r="QC5">
        <v>65558590</v>
      </c>
      <c r="QD5" t="s">
        <v>4267</v>
      </c>
      <c r="QI5" t="str">
        <f>_xll.BDS("Y US Equity","SUPPLY_CHAIN_SUPPLIERS_ALL_DATA","cols=12;rows=1")</f>
        <v>LRDC US Equity</v>
      </c>
      <c r="QK5">
        <v>-2.4245362661989844E-14</v>
      </c>
      <c r="QL5">
        <v>-2.4245362661989844E-14</v>
      </c>
      <c r="QM5" t="s">
        <v>1594</v>
      </c>
      <c r="QN5">
        <v>2022</v>
      </c>
      <c r="QO5" t="s">
        <v>6268</v>
      </c>
      <c r="QP5" s="6">
        <v>44818</v>
      </c>
      <c r="QQ5">
        <v>1</v>
      </c>
      <c r="QR5">
        <v>-2.4245362661989844E-14</v>
      </c>
      <c r="QS5">
        <v>16685337</v>
      </c>
      <c r="QT5" t="s">
        <v>6269</v>
      </c>
      <c r="QW5" t="str">
        <f>_xll.BDS("Y US Equity","SUPPLY_CHAIN_CUSTOMERS_ALL_DATA")</f>
        <v>#N/A N/A</v>
      </c>
      <c r="RM5" t="str">
        <f>_xll.BDS("ET US Equity","SUPPLY_CHAIN_SUPPLIERS_ALL_DATA","cols=12;rows=5")</f>
        <v>CNR CN Equity</v>
      </c>
      <c r="RN5" t="s">
        <v>1598</v>
      </c>
      <c r="RO5">
        <v>1.0582020000000001</v>
      </c>
      <c r="RP5">
        <v>0.20854300000000001</v>
      </c>
      <c r="RQ5" t="s">
        <v>1603</v>
      </c>
      <c r="RR5">
        <v>2025</v>
      </c>
      <c r="RS5" t="s">
        <v>2089</v>
      </c>
      <c r="RT5" s="6">
        <v>45849</v>
      </c>
      <c r="RU5">
        <v>5</v>
      </c>
      <c r="RV5">
        <v>32471893.800000001</v>
      </c>
      <c r="RW5">
        <v>179551</v>
      </c>
      <c r="RX5" t="s">
        <v>2090</v>
      </c>
      <c r="SA5" t="str">
        <f>_xll.BDS("ET US Equity","SUPPLY_CHAIN_CUSTOMERS_ALL_DATA","cols=12;rows=5")</f>
        <v>384 HK Equity</v>
      </c>
      <c r="SB5">
        <v>-2.4245362661989844E-14</v>
      </c>
      <c r="SD5">
        <v>-2.4245362661989844E-14</v>
      </c>
      <c r="SE5" t="s">
        <v>1594</v>
      </c>
      <c r="SF5">
        <v>2022</v>
      </c>
      <c r="SG5" t="s">
        <v>1982</v>
      </c>
      <c r="SH5" s="6">
        <v>44717</v>
      </c>
      <c r="SI5">
        <v>5</v>
      </c>
      <c r="SJ5">
        <v>-2.4245362661989844E-14</v>
      </c>
      <c r="SK5">
        <v>178275</v>
      </c>
      <c r="SL5" t="s">
        <v>1983</v>
      </c>
      <c r="SQ5" t="str">
        <f>_xll.BDS("WCOEQ US Equity","SUPPLY_CHAIN_SUPPLIERS_ALL_DATA")</f>
        <v>#N/A N/A</v>
      </c>
      <c r="TE5" t="str">
        <f>_xll.BDS("WCOEQ US Equity","SUPPLY_CHAIN_CUSTOMERS_ALL_DATA")</f>
        <v>#N/A N/A</v>
      </c>
      <c r="TU5" t="str">
        <f>_xll.BDS("OPITQ US Equity","SUPPLY_CHAIN_SUPPLIERS_ALL_DATA","cols=12;rows=3")</f>
        <v>SVC US Equity</v>
      </c>
      <c r="TV5" t="s">
        <v>1685</v>
      </c>
      <c r="TW5">
        <v>8.8789999999999994E-2</v>
      </c>
      <c r="TX5">
        <v>1.1887350000000001</v>
      </c>
      <c r="TY5" t="s">
        <v>1664</v>
      </c>
      <c r="TZ5">
        <v>2025</v>
      </c>
      <c r="UA5" t="s">
        <v>3155</v>
      </c>
      <c r="UB5" s="6">
        <v>45868</v>
      </c>
      <c r="UC5">
        <v>3</v>
      </c>
      <c r="UD5">
        <v>447000</v>
      </c>
      <c r="UE5">
        <v>170203</v>
      </c>
      <c r="UF5" t="s">
        <v>3156</v>
      </c>
      <c r="UI5" t="str">
        <f>_xll.BDS("OPITQ US Equity","SUPPLY_CHAIN_CUSTOMERS_ALL_DATA","cols=12;rows=5")</f>
        <v>3352Z US Equity</v>
      </c>
      <c r="UJ5">
        <v>17.100000000000001</v>
      </c>
      <c r="UL5">
        <v>-2.4245362661989844E-14</v>
      </c>
      <c r="UM5" t="s">
        <v>1664</v>
      </c>
      <c r="UN5">
        <v>2025</v>
      </c>
      <c r="UO5" t="s">
        <v>3155</v>
      </c>
      <c r="UP5" s="6">
        <v>45868</v>
      </c>
      <c r="UQ5">
        <v>5</v>
      </c>
      <c r="UR5">
        <v>19579328</v>
      </c>
      <c r="US5">
        <v>218252</v>
      </c>
      <c r="UT5" t="s">
        <v>1622</v>
      </c>
      <c r="UY5" t="str">
        <f>_xll.BDS("PCL US Equity","SUPPLY_CHAIN_SUPPLIERS_ALL_DATA")</f>
        <v>#N/A N/A</v>
      </c>
      <c r="VM5" t="str">
        <f>_xll.BDS("PCL US Equity","SUPPLY_CHAIN_CUSTOMERS_ALL_DATA")</f>
        <v>#N/A N/A</v>
      </c>
    </row>
    <row r="6" spans="1:600" x14ac:dyDescent="0.25">
      <c r="A6" t="s">
        <v>3915</v>
      </c>
      <c r="B6" t="s">
        <v>1598</v>
      </c>
      <c r="C6">
        <v>1.0368839999999999</v>
      </c>
      <c r="D6">
        <v>1.9713000000000001E-2</v>
      </c>
      <c r="E6" t="s">
        <v>1651</v>
      </c>
      <c r="F6">
        <v>2025</v>
      </c>
      <c r="G6" t="s">
        <v>3916</v>
      </c>
      <c r="H6" s="6">
        <v>45975</v>
      </c>
      <c r="I6">
        <v>5</v>
      </c>
      <c r="J6">
        <v>438049.33</v>
      </c>
      <c r="K6">
        <v>7994346</v>
      </c>
      <c r="L6" t="s">
        <v>3917</v>
      </c>
      <c r="O6" t="s">
        <v>1679</v>
      </c>
      <c r="P6">
        <v>0.121521</v>
      </c>
      <c r="Q6" t="s">
        <v>1598</v>
      </c>
      <c r="R6">
        <v>0.11847199999999999</v>
      </c>
      <c r="S6" t="s">
        <v>1603</v>
      </c>
      <c r="T6">
        <v>2025</v>
      </c>
      <c r="U6" t="s">
        <v>1680</v>
      </c>
      <c r="V6" s="6">
        <v>45820</v>
      </c>
      <c r="W6">
        <v>5</v>
      </c>
      <c r="X6">
        <v>4829866</v>
      </c>
      <c r="Y6">
        <v>12129192</v>
      </c>
      <c r="Z6" t="s">
        <v>1681</v>
      </c>
      <c r="BI6" t="s">
        <v>530</v>
      </c>
      <c r="BJ6" t="s">
        <v>1598</v>
      </c>
      <c r="BK6">
        <v>35</v>
      </c>
      <c r="BL6">
        <v>1.9343079999999999</v>
      </c>
      <c r="BM6" t="s">
        <v>1594</v>
      </c>
      <c r="BN6">
        <v>2025</v>
      </c>
      <c r="BO6" t="s">
        <v>3225</v>
      </c>
      <c r="BP6" s="6">
        <v>46079</v>
      </c>
      <c r="BQ6">
        <v>5</v>
      </c>
      <c r="BR6">
        <v>169015008</v>
      </c>
      <c r="BS6">
        <v>35508256</v>
      </c>
      <c r="BT6" t="s">
        <v>3226</v>
      </c>
      <c r="BW6" t="s">
        <v>1700</v>
      </c>
      <c r="BX6">
        <v>2.6209E-2</v>
      </c>
      <c r="BY6" t="s">
        <v>1598</v>
      </c>
      <c r="BZ6">
        <v>5.2323000000000001E-2</v>
      </c>
      <c r="CA6" t="s">
        <v>1606</v>
      </c>
      <c r="CB6">
        <v>2025</v>
      </c>
      <c r="CC6" t="s">
        <v>1701</v>
      </c>
      <c r="CD6" s="6">
        <v>46056</v>
      </c>
      <c r="CE6">
        <v>5</v>
      </c>
      <c r="CF6">
        <v>8468158</v>
      </c>
      <c r="CG6">
        <v>1499717</v>
      </c>
      <c r="CH6" t="s">
        <v>1702</v>
      </c>
      <c r="EU6" t="s">
        <v>2981</v>
      </c>
      <c r="EV6" t="s">
        <v>1598</v>
      </c>
      <c r="EW6">
        <v>24.639126000000001</v>
      </c>
      <c r="EX6">
        <v>1.5545880000000001</v>
      </c>
      <c r="EY6" t="s">
        <v>1664</v>
      </c>
      <c r="EZ6">
        <v>2025</v>
      </c>
      <c r="FA6" t="s">
        <v>2982</v>
      </c>
      <c r="FB6" s="6">
        <v>45961</v>
      </c>
      <c r="FC6">
        <v>5</v>
      </c>
      <c r="FD6">
        <v>275439546.58999997</v>
      </c>
      <c r="FE6">
        <v>47700205</v>
      </c>
      <c r="FF6" t="s">
        <v>2983</v>
      </c>
      <c r="FI6" t="s">
        <v>1732</v>
      </c>
      <c r="FJ6">
        <v>14</v>
      </c>
      <c r="FK6" t="s">
        <v>1598</v>
      </c>
      <c r="FL6">
        <v>18.408752</v>
      </c>
      <c r="FM6" t="s">
        <v>1594</v>
      </c>
      <c r="FN6">
        <v>2025</v>
      </c>
      <c r="FO6" t="s">
        <v>4803</v>
      </c>
      <c r="FP6" s="6">
        <v>46059</v>
      </c>
      <c r="FQ6">
        <v>5</v>
      </c>
      <c r="FR6">
        <v>3101104896</v>
      </c>
      <c r="FS6">
        <v>876285</v>
      </c>
      <c r="FT6" t="s">
        <v>1734</v>
      </c>
      <c r="HC6" t="s">
        <v>5625</v>
      </c>
      <c r="HE6">
        <v>-2.4245362661989844E-14</v>
      </c>
      <c r="HF6">
        <v>-2.4245362661989844E-14</v>
      </c>
      <c r="HG6" t="s">
        <v>1594</v>
      </c>
      <c r="HH6">
        <v>2022</v>
      </c>
      <c r="HI6" t="s">
        <v>5623</v>
      </c>
      <c r="HJ6" s="6">
        <v>44981</v>
      </c>
      <c r="HK6">
        <v>5</v>
      </c>
      <c r="HL6">
        <v>-2.4245362661989844E-14</v>
      </c>
      <c r="HM6">
        <v>233682</v>
      </c>
      <c r="HN6" t="s">
        <v>5626</v>
      </c>
      <c r="HQ6" t="s">
        <v>6161</v>
      </c>
      <c r="HR6">
        <v>14</v>
      </c>
      <c r="HS6" t="s">
        <v>1685</v>
      </c>
      <c r="HT6">
        <v>24.574180999999999</v>
      </c>
      <c r="HU6" t="s">
        <v>1594</v>
      </c>
      <c r="HV6">
        <v>2024</v>
      </c>
      <c r="HW6" t="s">
        <v>2324</v>
      </c>
      <c r="HX6" s="6">
        <v>45715</v>
      </c>
      <c r="HY6">
        <v>5</v>
      </c>
      <c r="HZ6">
        <v>127540000</v>
      </c>
      <c r="IA6">
        <v>57673944</v>
      </c>
      <c r="IB6" t="s">
        <v>6162</v>
      </c>
      <c r="IG6" t="s">
        <v>2171</v>
      </c>
      <c r="II6">
        <v>-2.4245362661989844E-14</v>
      </c>
      <c r="IJ6">
        <v>-2.4245362661989844E-14</v>
      </c>
      <c r="IK6" t="s">
        <v>1594</v>
      </c>
      <c r="IL6">
        <v>2023</v>
      </c>
      <c r="IM6" t="s">
        <v>2172</v>
      </c>
      <c r="IN6" s="6">
        <v>45337</v>
      </c>
      <c r="IO6">
        <v>4</v>
      </c>
      <c r="IP6">
        <v>-2.4245362661989844E-14</v>
      </c>
      <c r="IQ6">
        <v>46177523</v>
      </c>
      <c r="IR6" t="s">
        <v>2173</v>
      </c>
      <c r="JK6" t="s">
        <v>5801</v>
      </c>
      <c r="JL6" t="s">
        <v>1598</v>
      </c>
      <c r="JM6">
        <v>57</v>
      </c>
      <c r="JN6">
        <v>0.58612699999999995</v>
      </c>
      <c r="JO6" t="s">
        <v>1594</v>
      </c>
      <c r="JP6">
        <v>2024</v>
      </c>
      <c r="JQ6" t="s">
        <v>5802</v>
      </c>
      <c r="JR6" s="6">
        <v>45687</v>
      </c>
      <c r="JS6">
        <v>5</v>
      </c>
      <c r="JT6">
        <v>2640541.5699999998</v>
      </c>
      <c r="JU6">
        <v>13528079</v>
      </c>
      <c r="JV6" t="s">
        <v>5803</v>
      </c>
      <c r="JY6" t="s">
        <v>1615</v>
      </c>
      <c r="JZ6">
        <v>-2.4245362661989844E-14</v>
      </c>
      <c r="KB6">
        <v>-2.4245362661989844E-14</v>
      </c>
      <c r="KC6" t="s">
        <v>1599</v>
      </c>
      <c r="KD6">
        <v>2023</v>
      </c>
      <c r="KE6" t="s">
        <v>5062</v>
      </c>
      <c r="KF6" s="6">
        <v>45139</v>
      </c>
      <c r="KG6">
        <v>5</v>
      </c>
      <c r="KH6">
        <v>-2.4245362661989844E-14</v>
      </c>
      <c r="KI6">
        <v>962205</v>
      </c>
      <c r="KJ6" t="s">
        <v>1617</v>
      </c>
      <c r="KO6" t="s">
        <v>3177</v>
      </c>
      <c r="KP6" t="s">
        <v>1598</v>
      </c>
      <c r="KQ6">
        <v>2.854762</v>
      </c>
      <c r="KR6">
        <v>0.41643999999999998</v>
      </c>
      <c r="KS6" t="s">
        <v>1664</v>
      </c>
      <c r="KT6">
        <v>2025</v>
      </c>
      <c r="KU6" t="s">
        <v>3178</v>
      </c>
      <c r="KV6" s="6">
        <v>45902</v>
      </c>
      <c r="KW6">
        <v>5</v>
      </c>
      <c r="KX6">
        <v>11043989</v>
      </c>
      <c r="KY6">
        <v>47762945</v>
      </c>
      <c r="KZ6" t="s">
        <v>3179</v>
      </c>
      <c r="LC6" t="s">
        <v>2617</v>
      </c>
      <c r="LD6">
        <v>-2.4245362661989844E-14</v>
      </c>
      <c r="LF6">
        <v>-2.4245362661989844E-14</v>
      </c>
      <c r="LG6" t="s">
        <v>1594</v>
      </c>
      <c r="LH6">
        <v>2022</v>
      </c>
      <c r="LI6" t="s">
        <v>2618</v>
      </c>
      <c r="LJ6" s="6">
        <v>44665</v>
      </c>
      <c r="LK6">
        <v>5</v>
      </c>
      <c r="LL6">
        <v>-2.4245362661989844E-14</v>
      </c>
      <c r="LM6">
        <v>32508551</v>
      </c>
      <c r="LN6" t="s">
        <v>2619</v>
      </c>
      <c r="LS6" t="s">
        <v>240</v>
      </c>
      <c r="LT6" t="s">
        <v>1598</v>
      </c>
      <c r="LU6">
        <v>15.549336</v>
      </c>
      <c r="LV6">
        <v>4.6186980000000002</v>
      </c>
      <c r="LW6" t="s">
        <v>1599</v>
      </c>
      <c r="LX6">
        <v>2025</v>
      </c>
      <c r="LY6" t="s">
        <v>2219</v>
      </c>
      <c r="LZ6" s="6">
        <v>46018</v>
      </c>
      <c r="MA6">
        <v>5</v>
      </c>
      <c r="MB6">
        <v>3730752256</v>
      </c>
      <c r="MC6">
        <v>100828</v>
      </c>
      <c r="MD6" t="s">
        <v>1865</v>
      </c>
      <c r="MG6" t="s">
        <v>31</v>
      </c>
      <c r="MH6">
        <v>13</v>
      </c>
      <c r="MI6" t="s">
        <v>1598</v>
      </c>
      <c r="MJ6">
        <v>17.228079000000001</v>
      </c>
      <c r="MK6" t="s">
        <v>1594</v>
      </c>
      <c r="ML6">
        <v>2025</v>
      </c>
      <c r="MM6" t="s">
        <v>1831</v>
      </c>
      <c r="MN6" s="6">
        <v>45986</v>
      </c>
      <c r="MO6">
        <v>5</v>
      </c>
      <c r="MP6">
        <v>10443316224</v>
      </c>
      <c r="MQ6">
        <v>60401289</v>
      </c>
      <c r="MR6" t="s">
        <v>1769</v>
      </c>
      <c r="OA6" t="s">
        <v>2054</v>
      </c>
      <c r="OC6">
        <v>-2.4245362661989844E-14</v>
      </c>
      <c r="OD6">
        <v>-2.4245362661989844E-14</v>
      </c>
      <c r="OE6" t="s">
        <v>1594</v>
      </c>
      <c r="OF6">
        <v>2023</v>
      </c>
      <c r="OG6" t="s">
        <v>5200</v>
      </c>
      <c r="OH6" s="6">
        <v>45350</v>
      </c>
      <c r="OI6">
        <v>3</v>
      </c>
      <c r="OJ6">
        <v>-2.4245362661989844E-14</v>
      </c>
      <c r="OK6">
        <v>35300053</v>
      </c>
      <c r="OL6" t="s">
        <v>2056</v>
      </c>
      <c r="PE6" t="s">
        <v>1084</v>
      </c>
      <c r="PG6">
        <v>-2.4245362661989844E-14</v>
      </c>
      <c r="PH6">
        <v>-2.4245362661989844E-14</v>
      </c>
      <c r="PI6" t="s">
        <v>1603</v>
      </c>
      <c r="PJ6">
        <v>2025</v>
      </c>
      <c r="PK6" t="s">
        <v>4556</v>
      </c>
      <c r="PL6" s="6">
        <v>45734</v>
      </c>
      <c r="PM6">
        <v>5</v>
      </c>
      <c r="PN6">
        <v>-2.4245362661989844E-14</v>
      </c>
      <c r="PO6">
        <v>101689</v>
      </c>
      <c r="PP6" t="s">
        <v>2053</v>
      </c>
      <c r="PS6" t="s">
        <v>4268</v>
      </c>
      <c r="PT6">
        <v>-2.4245362661989844E-14</v>
      </c>
      <c r="PV6">
        <v>-2.4245362661989844E-14</v>
      </c>
      <c r="PW6" t="s">
        <v>1594</v>
      </c>
      <c r="PX6">
        <v>2024</v>
      </c>
      <c r="PY6" t="s">
        <v>4269</v>
      </c>
      <c r="PZ6" s="6">
        <v>45434</v>
      </c>
      <c r="QA6">
        <v>4</v>
      </c>
      <c r="QB6">
        <v>-2.4245362661989844E-14</v>
      </c>
      <c r="QC6">
        <v>28707504</v>
      </c>
      <c r="QD6" t="s">
        <v>4270</v>
      </c>
      <c r="RM6" t="s">
        <v>462</v>
      </c>
      <c r="RN6" t="s">
        <v>1634</v>
      </c>
      <c r="RO6">
        <v>0.122599</v>
      </c>
      <c r="RP6">
        <v>1.659594</v>
      </c>
      <c r="RQ6" t="s">
        <v>1664</v>
      </c>
      <c r="RR6">
        <v>2025</v>
      </c>
      <c r="RS6" t="s">
        <v>3366</v>
      </c>
      <c r="RT6" s="6">
        <v>45876</v>
      </c>
      <c r="RU6">
        <v>5</v>
      </c>
      <c r="RV6">
        <v>20313428</v>
      </c>
      <c r="RW6">
        <v>100285</v>
      </c>
      <c r="RX6" t="s">
        <v>1764</v>
      </c>
      <c r="SA6" t="s">
        <v>82</v>
      </c>
      <c r="SB6">
        <v>-2.4245362661989844E-14</v>
      </c>
      <c r="SD6">
        <v>-2.4245362661989844E-14</v>
      </c>
      <c r="SE6" t="s">
        <v>1594</v>
      </c>
      <c r="SF6">
        <v>2025</v>
      </c>
      <c r="SG6" t="s">
        <v>1984</v>
      </c>
      <c r="SH6" s="6">
        <v>45833</v>
      </c>
      <c r="SI6">
        <v>5</v>
      </c>
      <c r="SJ6">
        <v>-2.4245362661989844E-14</v>
      </c>
      <c r="SK6">
        <v>100315</v>
      </c>
      <c r="SL6" t="s">
        <v>1985</v>
      </c>
      <c r="TU6" t="s">
        <v>3157</v>
      </c>
      <c r="TW6">
        <v>-2.4245362661989844E-14</v>
      </c>
      <c r="TX6">
        <v>-2.4245362661989844E-14</v>
      </c>
      <c r="TY6" t="s">
        <v>1594</v>
      </c>
      <c r="TZ6">
        <v>2025</v>
      </c>
      <c r="UA6" t="s">
        <v>3158</v>
      </c>
      <c r="UB6" s="6">
        <v>45960</v>
      </c>
      <c r="UC6">
        <v>3</v>
      </c>
      <c r="UD6">
        <v>-2.4245362661989844E-14</v>
      </c>
      <c r="UE6">
        <v>71028653</v>
      </c>
      <c r="UF6" t="s">
        <v>3159</v>
      </c>
      <c r="UI6" t="s">
        <v>3154</v>
      </c>
      <c r="UJ6">
        <v>8.2245259999999991</v>
      </c>
      <c r="UK6" t="s">
        <v>1685</v>
      </c>
      <c r="UL6">
        <v>38.534247999999998</v>
      </c>
      <c r="UM6" t="s">
        <v>1664</v>
      </c>
      <c r="UN6">
        <v>2025</v>
      </c>
      <c r="UO6" t="s">
        <v>3155</v>
      </c>
      <c r="UP6" s="6">
        <v>45868</v>
      </c>
      <c r="UQ6">
        <v>5</v>
      </c>
      <c r="UR6">
        <v>9417000</v>
      </c>
      <c r="US6">
        <v>170203</v>
      </c>
      <c r="UT6" t="s">
        <v>3156</v>
      </c>
    </row>
    <row r="7" spans="1:600" x14ac:dyDescent="0.25">
      <c r="A7" t="s">
        <v>3042</v>
      </c>
      <c r="B7" t="s">
        <v>1634</v>
      </c>
      <c r="C7">
        <v>2.2953000000000001E-2</v>
      </c>
      <c r="D7">
        <v>0.34573199999999998</v>
      </c>
      <c r="E7" t="s">
        <v>1664</v>
      </c>
      <c r="F7">
        <v>2025</v>
      </c>
      <c r="G7" t="s">
        <v>3043</v>
      </c>
      <c r="H7" s="6">
        <v>45922</v>
      </c>
      <c r="I7">
        <v>5</v>
      </c>
      <c r="J7">
        <v>395808.42</v>
      </c>
      <c r="K7">
        <v>186659</v>
      </c>
      <c r="L7" t="s">
        <v>3044</v>
      </c>
      <c r="O7" t="s">
        <v>2646</v>
      </c>
      <c r="P7">
        <v>8.0078999999999997E-2</v>
      </c>
      <c r="Q7" t="s">
        <v>1598</v>
      </c>
      <c r="R7">
        <v>5.1369999999999999E-2</v>
      </c>
      <c r="S7" t="s">
        <v>1664</v>
      </c>
      <c r="T7">
        <v>2025</v>
      </c>
      <c r="U7" t="s">
        <v>6217</v>
      </c>
      <c r="V7" s="6">
        <v>45943</v>
      </c>
      <c r="W7">
        <v>5</v>
      </c>
      <c r="X7">
        <v>3182731</v>
      </c>
      <c r="Y7">
        <v>101754</v>
      </c>
      <c r="Z7" t="s">
        <v>2648</v>
      </c>
      <c r="BI7" t="s">
        <v>617</v>
      </c>
      <c r="BJ7" t="s">
        <v>1634</v>
      </c>
      <c r="BK7">
        <v>0.77183500000000005</v>
      </c>
      <c r="BL7">
        <v>4.7951790000000001</v>
      </c>
      <c r="BM7" t="s">
        <v>1664</v>
      </c>
      <c r="BN7">
        <v>2025</v>
      </c>
      <c r="BO7" t="s">
        <v>3227</v>
      </c>
      <c r="BP7" s="6">
        <v>45783</v>
      </c>
      <c r="BQ7">
        <v>5</v>
      </c>
      <c r="BR7">
        <v>107987432</v>
      </c>
      <c r="BS7">
        <v>69423747</v>
      </c>
      <c r="BT7" t="s">
        <v>3228</v>
      </c>
      <c r="BW7" t="s">
        <v>2592</v>
      </c>
      <c r="BX7">
        <v>1.123E-2</v>
      </c>
      <c r="BY7" t="s">
        <v>1598</v>
      </c>
      <c r="BZ7">
        <v>0.62343700000000002</v>
      </c>
      <c r="CA7" t="s">
        <v>1606</v>
      </c>
      <c r="CB7">
        <v>2024</v>
      </c>
      <c r="CC7" t="s">
        <v>2593</v>
      </c>
      <c r="CD7" s="6">
        <v>45742</v>
      </c>
      <c r="CE7">
        <v>5</v>
      </c>
      <c r="CF7">
        <v>3584175.85</v>
      </c>
      <c r="CG7">
        <v>153672</v>
      </c>
      <c r="CH7" t="s">
        <v>2594</v>
      </c>
      <c r="EU7" t="s">
        <v>2631</v>
      </c>
      <c r="EV7" t="s">
        <v>1598</v>
      </c>
      <c r="EW7">
        <v>11</v>
      </c>
      <c r="EX7">
        <v>1.2818369999999999</v>
      </c>
      <c r="EY7" t="s">
        <v>1594</v>
      </c>
      <c r="EZ7">
        <v>2025</v>
      </c>
      <c r="FA7" t="s">
        <v>2632</v>
      </c>
      <c r="FB7" s="6">
        <v>46065</v>
      </c>
      <c r="FC7">
        <v>5</v>
      </c>
      <c r="FD7">
        <v>226930000</v>
      </c>
      <c r="FE7">
        <v>59099358</v>
      </c>
      <c r="FF7" t="s">
        <v>2633</v>
      </c>
      <c r="FI7" t="s">
        <v>872</v>
      </c>
      <c r="FJ7">
        <v>5.3565009999999997</v>
      </c>
      <c r="FK7" t="s">
        <v>1598</v>
      </c>
      <c r="FL7">
        <v>5.6905900000000003</v>
      </c>
      <c r="FM7" t="s">
        <v>1664</v>
      </c>
      <c r="FN7">
        <v>2025</v>
      </c>
      <c r="FO7" t="s">
        <v>2129</v>
      </c>
      <c r="FP7" s="6">
        <v>45895</v>
      </c>
      <c r="FQ7">
        <v>5</v>
      </c>
      <c r="FR7">
        <v>1155986432</v>
      </c>
      <c r="FS7">
        <v>100211</v>
      </c>
      <c r="FT7" t="s">
        <v>1632</v>
      </c>
      <c r="HC7" t="s">
        <v>5627</v>
      </c>
      <c r="HE7">
        <v>-2.4245362661989844E-14</v>
      </c>
      <c r="HF7">
        <v>-2.4245362661989844E-14</v>
      </c>
      <c r="HG7" t="s">
        <v>1594</v>
      </c>
      <c r="HH7">
        <v>2025</v>
      </c>
      <c r="HI7" t="s">
        <v>5628</v>
      </c>
      <c r="HJ7" s="6">
        <v>45762</v>
      </c>
      <c r="HK7">
        <v>5</v>
      </c>
      <c r="HL7">
        <v>-2.4245362661989844E-14</v>
      </c>
      <c r="HM7">
        <v>71530422</v>
      </c>
      <c r="HN7" t="s">
        <v>5629</v>
      </c>
      <c r="HQ7" t="s">
        <v>26</v>
      </c>
      <c r="HR7">
        <v>11</v>
      </c>
      <c r="HS7" t="s">
        <v>1685</v>
      </c>
      <c r="HT7">
        <v>2.5200550000000002</v>
      </c>
      <c r="HU7" t="s">
        <v>1594</v>
      </c>
      <c r="HV7">
        <v>2024</v>
      </c>
      <c r="HW7" t="s">
        <v>2324</v>
      </c>
      <c r="HX7" s="6">
        <v>45715</v>
      </c>
      <c r="HY7">
        <v>5</v>
      </c>
      <c r="HZ7">
        <v>100210000</v>
      </c>
      <c r="IA7">
        <v>60854400</v>
      </c>
      <c r="IB7" t="s">
        <v>4084</v>
      </c>
      <c r="IG7" t="s">
        <v>106</v>
      </c>
      <c r="II7">
        <v>-2.4245362661989844E-14</v>
      </c>
      <c r="IJ7">
        <v>-2.4245362661989844E-14</v>
      </c>
      <c r="IK7" t="s">
        <v>1651</v>
      </c>
      <c r="IL7">
        <v>2023</v>
      </c>
      <c r="IM7" t="s">
        <v>2174</v>
      </c>
      <c r="IN7" s="6">
        <v>45245</v>
      </c>
      <c r="IO7">
        <v>4</v>
      </c>
      <c r="IP7">
        <v>-2.4245362661989844E-14</v>
      </c>
      <c r="IQ7">
        <v>103882</v>
      </c>
      <c r="IR7" t="s">
        <v>2175</v>
      </c>
      <c r="JK7" t="s">
        <v>5311</v>
      </c>
      <c r="JL7" t="s">
        <v>1634</v>
      </c>
      <c r="JM7">
        <v>2.9821E-2</v>
      </c>
      <c r="JN7">
        <v>0.29687599999999997</v>
      </c>
      <c r="JO7" t="s">
        <v>1606</v>
      </c>
      <c r="JP7">
        <v>2025</v>
      </c>
      <c r="JQ7" t="s">
        <v>5804</v>
      </c>
      <c r="JR7" s="6">
        <v>45868</v>
      </c>
      <c r="JS7">
        <v>5</v>
      </c>
      <c r="JT7">
        <v>119346.11</v>
      </c>
      <c r="JU7">
        <v>126987</v>
      </c>
      <c r="JV7" t="s">
        <v>5313</v>
      </c>
      <c r="JY7" t="s">
        <v>5063</v>
      </c>
      <c r="JZ7">
        <v>-2.4245362661989844E-14</v>
      </c>
      <c r="KB7">
        <v>-2.4245362661989844E-14</v>
      </c>
      <c r="KC7" t="s">
        <v>1651</v>
      </c>
      <c r="KD7">
        <v>2024</v>
      </c>
      <c r="KE7" t="s">
        <v>5064</v>
      </c>
      <c r="KF7" s="6">
        <v>45642</v>
      </c>
      <c r="KG7">
        <v>5</v>
      </c>
      <c r="KH7">
        <v>-2.4245362661989844E-14</v>
      </c>
      <c r="KI7">
        <v>72018854</v>
      </c>
      <c r="KJ7" t="s">
        <v>5065</v>
      </c>
      <c r="KO7" t="s">
        <v>3180</v>
      </c>
      <c r="KP7" t="s">
        <v>1598</v>
      </c>
      <c r="KQ7">
        <v>1.885923</v>
      </c>
      <c r="KR7">
        <v>0.25189800000000001</v>
      </c>
      <c r="KS7" t="s">
        <v>1599</v>
      </c>
      <c r="KT7">
        <v>2025</v>
      </c>
      <c r="KU7" t="s">
        <v>3181</v>
      </c>
      <c r="KV7" s="6">
        <v>46010</v>
      </c>
      <c r="KW7">
        <v>5</v>
      </c>
      <c r="KX7">
        <v>6788644</v>
      </c>
      <c r="KY7">
        <v>12189467</v>
      </c>
      <c r="KZ7" t="s">
        <v>3182</v>
      </c>
      <c r="LC7" t="s">
        <v>2620</v>
      </c>
      <c r="LD7">
        <v>-2.4245362661989844E-14</v>
      </c>
      <c r="LF7">
        <v>-2.4245362661989844E-14</v>
      </c>
      <c r="LG7" t="s">
        <v>1594</v>
      </c>
      <c r="LH7">
        <v>2023</v>
      </c>
      <c r="LI7" t="s">
        <v>2618</v>
      </c>
      <c r="LJ7" s="6">
        <v>45061</v>
      </c>
      <c r="LK7">
        <v>5</v>
      </c>
      <c r="LL7">
        <v>-2.4245362661989844E-14</v>
      </c>
      <c r="LM7">
        <v>35869103</v>
      </c>
      <c r="LN7" t="s">
        <v>2621</v>
      </c>
      <c r="LS7" t="s">
        <v>25</v>
      </c>
      <c r="LT7" t="s">
        <v>1598</v>
      </c>
      <c r="LU7">
        <v>22.158524</v>
      </c>
      <c r="LV7">
        <v>4.4440090000000003</v>
      </c>
      <c r="LW7" t="s">
        <v>1606</v>
      </c>
      <c r="LX7">
        <v>2025</v>
      </c>
      <c r="LY7" t="s">
        <v>2220</v>
      </c>
      <c r="LZ7" s="6">
        <v>46077</v>
      </c>
      <c r="MA7">
        <v>5</v>
      </c>
      <c r="MB7">
        <v>3682303488</v>
      </c>
      <c r="MC7">
        <v>28046509</v>
      </c>
      <c r="MD7" t="s">
        <v>2221</v>
      </c>
      <c r="MG7" t="s">
        <v>1832</v>
      </c>
      <c r="MH7">
        <v>5</v>
      </c>
      <c r="MJ7">
        <v>-2.4245362661989844E-14</v>
      </c>
      <c r="MK7" t="s">
        <v>1599</v>
      </c>
      <c r="ML7">
        <v>2025</v>
      </c>
      <c r="MM7" t="s">
        <v>1833</v>
      </c>
      <c r="MN7" s="6">
        <v>45954</v>
      </c>
      <c r="MO7">
        <v>5</v>
      </c>
      <c r="MP7">
        <v>4033176576</v>
      </c>
      <c r="MQ7">
        <v>42053322</v>
      </c>
      <c r="MR7" t="s">
        <v>1834</v>
      </c>
      <c r="OA7" t="s">
        <v>5201</v>
      </c>
      <c r="OC7">
        <v>-2.4245362661989844E-14</v>
      </c>
      <c r="OD7">
        <v>-2.4245362661989844E-14</v>
      </c>
      <c r="OE7" t="s">
        <v>1594</v>
      </c>
      <c r="OF7">
        <v>2023</v>
      </c>
      <c r="OG7" t="s">
        <v>5202</v>
      </c>
      <c r="OH7" s="6">
        <v>45013</v>
      </c>
      <c r="OI7">
        <v>3</v>
      </c>
      <c r="OJ7">
        <v>-2.4245362661989844E-14</v>
      </c>
      <c r="OK7">
        <v>69921002</v>
      </c>
      <c r="OL7" t="s">
        <v>5203</v>
      </c>
      <c r="PE7" t="s">
        <v>1581</v>
      </c>
      <c r="PG7">
        <v>-2.4245362661989844E-14</v>
      </c>
      <c r="PH7">
        <v>-2.4245362661989844E-14</v>
      </c>
      <c r="PI7" t="s">
        <v>1594</v>
      </c>
      <c r="PJ7">
        <v>2024</v>
      </c>
      <c r="PK7" t="s">
        <v>3427</v>
      </c>
      <c r="PL7" s="6">
        <v>45707</v>
      </c>
      <c r="PM7">
        <v>5</v>
      </c>
      <c r="PN7">
        <v>-2.4245362661989844E-14</v>
      </c>
      <c r="PO7">
        <v>67022523</v>
      </c>
      <c r="PP7" t="s">
        <v>4557</v>
      </c>
      <c r="PS7" t="s">
        <v>4271</v>
      </c>
      <c r="PT7">
        <v>-2.4245362661989844E-14</v>
      </c>
      <c r="PV7">
        <v>-2.4245362661989844E-14</v>
      </c>
      <c r="PW7" t="s">
        <v>1594</v>
      </c>
      <c r="PX7">
        <v>2022</v>
      </c>
      <c r="PY7" t="s">
        <v>4272</v>
      </c>
      <c r="PZ7" s="6">
        <v>44980</v>
      </c>
      <c r="QA7">
        <v>4</v>
      </c>
      <c r="QB7">
        <v>-2.4245362661989844E-14</v>
      </c>
      <c r="QC7">
        <v>53480899</v>
      </c>
      <c r="QD7" t="s">
        <v>4273</v>
      </c>
      <c r="RM7" t="s">
        <v>3894</v>
      </c>
      <c r="RN7" t="s">
        <v>1634</v>
      </c>
      <c r="RO7">
        <v>0.87248300000000001</v>
      </c>
      <c r="RP7">
        <v>1.0253380000000001</v>
      </c>
      <c r="RQ7" t="s">
        <v>1664</v>
      </c>
      <c r="RR7">
        <v>2025</v>
      </c>
      <c r="RS7" t="s">
        <v>3895</v>
      </c>
      <c r="RT7" s="6">
        <v>45925</v>
      </c>
      <c r="RU7">
        <v>5</v>
      </c>
      <c r="RV7">
        <v>17030868</v>
      </c>
      <c r="RW7">
        <v>10659312</v>
      </c>
      <c r="RX7" t="s">
        <v>3896</v>
      </c>
      <c r="SA7" t="s">
        <v>1986</v>
      </c>
      <c r="SB7">
        <v>-2.4245362661989844E-14</v>
      </c>
      <c r="SD7">
        <v>-2.4245362661989844E-14</v>
      </c>
      <c r="SE7" t="s">
        <v>1594</v>
      </c>
      <c r="SF7">
        <v>2025</v>
      </c>
      <c r="SG7" t="s">
        <v>1987</v>
      </c>
      <c r="SH7" s="6">
        <v>46063</v>
      </c>
      <c r="SI7">
        <v>5</v>
      </c>
      <c r="SJ7">
        <v>-2.4245362661989844E-14</v>
      </c>
      <c r="SK7">
        <v>100348</v>
      </c>
      <c r="SL7" t="s">
        <v>1988</v>
      </c>
      <c r="TU7" t="s">
        <v>3160</v>
      </c>
      <c r="TW7">
        <v>-2.4245362661989844E-14</v>
      </c>
      <c r="TX7">
        <v>-2.4245362661989844E-14</v>
      </c>
      <c r="TY7" t="s">
        <v>1664</v>
      </c>
      <c r="TZ7">
        <v>2025</v>
      </c>
      <c r="UA7" t="s">
        <v>3155</v>
      </c>
      <c r="UB7" s="6">
        <v>45868</v>
      </c>
      <c r="UC7">
        <v>3</v>
      </c>
      <c r="UD7">
        <v>-2.4245362661989844E-14</v>
      </c>
      <c r="UE7">
        <v>1161101</v>
      </c>
      <c r="UF7" t="s">
        <v>3161</v>
      </c>
      <c r="UI7" t="s">
        <v>2381</v>
      </c>
      <c r="UJ7">
        <v>5.8</v>
      </c>
      <c r="UK7" t="s">
        <v>1685</v>
      </c>
      <c r="UL7">
        <v>5.3948000000000003E-2</v>
      </c>
      <c r="UM7" t="s">
        <v>1664</v>
      </c>
      <c r="UN7">
        <v>2025</v>
      </c>
      <c r="UO7" t="s">
        <v>3155</v>
      </c>
      <c r="UP7" s="6">
        <v>45868</v>
      </c>
      <c r="UQ7">
        <v>5</v>
      </c>
      <c r="UR7">
        <v>6640942</v>
      </c>
      <c r="US7">
        <v>46946968</v>
      </c>
      <c r="UT7" t="s">
        <v>2382</v>
      </c>
    </row>
    <row r="8" spans="1:600" x14ac:dyDescent="0.25">
      <c r="A8" t="s">
        <v>3918</v>
      </c>
      <c r="B8" t="s">
        <v>1598</v>
      </c>
      <c r="C8">
        <v>0.181979</v>
      </c>
      <c r="D8">
        <v>8.0459999999999993E-3</v>
      </c>
      <c r="E8" t="s">
        <v>1664</v>
      </c>
      <c r="F8">
        <v>2026</v>
      </c>
      <c r="G8" t="s">
        <v>3919</v>
      </c>
      <c r="H8" s="6">
        <v>46056</v>
      </c>
      <c r="I8">
        <v>5</v>
      </c>
      <c r="J8">
        <v>170799.32</v>
      </c>
      <c r="K8">
        <v>8061855</v>
      </c>
      <c r="L8" t="s">
        <v>3920</v>
      </c>
      <c r="O8" t="s">
        <v>1891</v>
      </c>
      <c r="P8">
        <v>5.5352999999999999E-2</v>
      </c>
      <c r="Q8" t="s">
        <v>1598</v>
      </c>
      <c r="R8">
        <v>3.6423999999999998E-2</v>
      </c>
      <c r="S8" t="s">
        <v>1603</v>
      </c>
      <c r="T8">
        <v>2025</v>
      </c>
      <c r="U8" t="s">
        <v>1892</v>
      </c>
      <c r="V8" s="6">
        <v>45784</v>
      </c>
      <c r="W8">
        <v>5</v>
      </c>
      <c r="X8">
        <v>2200019</v>
      </c>
      <c r="Y8">
        <v>100115</v>
      </c>
      <c r="Z8" t="s">
        <v>1893</v>
      </c>
      <c r="BI8" t="s">
        <v>2236</v>
      </c>
      <c r="BJ8" t="s">
        <v>1598</v>
      </c>
      <c r="BK8">
        <v>1.1509940000000001</v>
      </c>
      <c r="BL8">
        <v>1.1986939999999999</v>
      </c>
      <c r="BM8" t="s">
        <v>1664</v>
      </c>
      <c r="BN8">
        <v>2025</v>
      </c>
      <c r="BO8" t="s">
        <v>3229</v>
      </c>
      <c r="BP8" s="6">
        <v>45953</v>
      </c>
      <c r="BQ8">
        <v>5</v>
      </c>
      <c r="BR8">
        <v>90773058.569999993</v>
      </c>
      <c r="BS8">
        <v>113389</v>
      </c>
      <c r="BT8" t="s">
        <v>2238</v>
      </c>
      <c r="BW8" t="s">
        <v>1645</v>
      </c>
      <c r="BX8">
        <v>8.352E-3</v>
      </c>
      <c r="BY8" t="s">
        <v>1598</v>
      </c>
      <c r="BZ8">
        <v>0.41281200000000001</v>
      </c>
      <c r="CA8" t="s">
        <v>1599</v>
      </c>
      <c r="CB8">
        <v>2025</v>
      </c>
      <c r="CC8" t="s">
        <v>1897</v>
      </c>
      <c r="CD8" s="6">
        <v>45840</v>
      </c>
      <c r="CE8">
        <v>5</v>
      </c>
      <c r="CF8">
        <v>2496047</v>
      </c>
      <c r="CG8">
        <v>136424</v>
      </c>
      <c r="CH8" t="s">
        <v>1647</v>
      </c>
      <c r="EU8" t="s">
        <v>110</v>
      </c>
      <c r="EV8" t="s">
        <v>1598</v>
      </c>
      <c r="EW8">
        <v>0.19926099999999999</v>
      </c>
      <c r="EX8">
        <v>1.1451750000000001</v>
      </c>
      <c r="EY8" t="s">
        <v>1664</v>
      </c>
      <c r="EZ8">
        <v>2025</v>
      </c>
      <c r="FA8" t="s">
        <v>2129</v>
      </c>
      <c r="FB8" s="6">
        <v>45895</v>
      </c>
      <c r="FC8">
        <v>5</v>
      </c>
      <c r="FD8">
        <v>197027360</v>
      </c>
      <c r="FE8">
        <v>100193</v>
      </c>
      <c r="FF8" t="s">
        <v>3708</v>
      </c>
      <c r="FI8" t="s">
        <v>1628</v>
      </c>
      <c r="FJ8">
        <v>2.7185320000000002</v>
      </c>
      <c r="FK8" t="s">
        <v>1598</v>
      </c>
      <c r="FL8">
        <v>3.3805040000000002</v>
      </c>
      <c r="FM8" t="s">
        <v>1664</v>
      </c>
      <c r="FN8">
        <v>2025</v>
      </c>
      <c r="FO8" t="s">
        <v>2129</v>
      </c>
      <c r="FP8" s="6">
        <v>45895</v>
      </c>
      <c r="FQ8">
        <v>5</v>
      </c>
      <c r="FR8">
        <v>586686400</v>
      </c>
      <c r="FS8">
        <v>156923</v>
      </c>
      <c r="FT8" t="s">
        <v>1630</v>
      </c>
      <c r="HC8" t="s">
        <v>531</v>
      </c>
      <c r="HE8">
        <v>-2.4245362661989844E-14</v>
      </c>
      <c r="HF8">
        <v>-2.4245362661989844E-14</v>
      </c>
      <c r="HG8" t="s">
        <v>1594</v>
      </c>
      <c r="HH8">
        <v>2024</v>
      </c>
      <c r="HI8" t="s">
        <v>5628</v>
      </c>
      <c r="HJ8" s="6">
        <v>45352</v>
      </c>
      <c r="HK8">
        <v>5</v>
      </c>
      <c r="HL8">
        <v>-2.4245362661989844E-14</v>
      </c>
      <c r="HM8">
        <v>69491275</v>
      </c>
      <c r="HN8" t="s">
        <v>1780</v>
      </c>
      <c r="HQ8" t="s">
        <v>6163</v>
      </c>
      <c r="HR8">
        <v>6.2778539999999996</v>
      </c>
      <c r="HS8" t="s">
        <v>1598</v>
      </c>
      <c r="HT8">
        <v>3.8663620000000001</v>
      </c>
      <c r="HU8" t="s">
        <v>1599</v>
      </c>
      <c r="HV8">
        <v>2025</v>
      </c>
      <c r="HW8" t="s">
        <v>6164</v>
      </c>
      <c r="HX8" s="6">
        <v>45981</v>
      </c>
      <c r="HY8">
        <v>5</v>
      </c>
      <c r="HZ8">
        <v>47052487.539999999</v>
      </c>
      <c r="IA8">
        <v>812360</v>
      </c>
      <c r="IB8" t="s">
        <v>6165</v>
      </c>
      <c r="IG8" t="s">
        <v>2176</v>
      </c>
      <c r="II8">
        <v>-2.4245362661989844E-14</v>
      </c>
      <c r="IJ8">
        <v>-2.4245362661989844E-14</v>
      </c>
      <c r="IK8" t="s">
        <v>1603</v>
      </c>
      <c r="IL8">
        <v>2023</v>
      </c>
      <c r="IM8" t="s">
        <v>2177</v>
      </c>
      <c r="IN8" s="6">
        <v>45057</v>
      </c>
      <c r="IO8">
        <v>4</v>
      </c>
      <c r="IP8">
        <v>-2.4245362661989844E-14</v>
      </c>
      <c r="IQ8">
        <v>173249</v>
      </c>
      <c r="IR8" t="s">
        <v>2178</v>
      </c>
      <c r="JK8" t="s">
        <v>5067</v>
      </c>
      <c r="JM8">
        <v>-2.4245362661989844E-14</v>
      </c>
      <c r="JN8">
        <v>-2.4245362661989844E-14</v>
      </c>
      <c r="JO8" t="s">
        <v>1792</v>
      </c>
      <c r="JP8">
        <v>2025</v>
      </c>
      <c r="JQ8" t="s">
        <v>5805</v>
      </c>
      <c r="JR8" s="6">
        <v>45890</v>
      </c>
      <c r="JS8">
        <v>5</v>
      </c>
      <c r="JT8">
        <v>-2.4245362661989844E-14</v>
      </c>
      <c r="JU8">
        <v>40810398</v>
      </c>
      <c r="JV8" t="s">
        <v>5069</v>
      </c>
      <c r="JY8" t="s">
        <v>1621</v>
      </c>
      <c r="JZ8">
        <v>-2.4245362661989844E-14</v>
      </c>
      <c r="KB8">
        <v>-2.4245362661989844E-14</v>
      </c>
      <c r="KC8" t="s">
        <v>1664</v>
      </c>
      <c r="KD8">
        <v>2023</v>
      </c>
      <c r="KE8" t="s">
        <v>5066</v>
      </c>
      <c r="KF8" s="6">
        <v>45048</v>
      </c>
      <c r="KG8">
        <v>5</v>
      </c>
      <c r="KH8">
        <v>-2.4245362661989844E-14</v>
      </c>
      <c r="KI8">
        <v>218252</v>
      </c>
      <c r="KJ8" t="s">
        <v>1622</v>
      </c>
      <c r="KO8" t="s">
        <v>493</v>
      </c>
      <c r="KP8" t="s">
        <v>1598</v>
      </c>
      <c r="KQ8">
        <v>0.14258699999999999</v>
      </c>
      <c r="KR8">
        <v>0.19661200000000001</v>
      </c>
      <c r="KS8" t="s">
        <v>1606</v>
      </c>
      <c r="KT8">
        <v>2025</v>
      </c>
      <c r="KU8" t="s">
        <v>2093</v>
      </c>
      <c r="KV8" s="6">
        <v>46071</v>
      </c>
      <c r="KW8">
        <v>5</v>
      </c>
      <c r="KX8">
        <v>5611298</v>
      </c>
      <c r="KY8">
        <v>100499</v>
      </c>
      <c r="KZ8" t="s">
        <v>2094</v>
      </c>
      <c r="LC8" t="s">
        <v>2622</v>
      </c>
      <c r="LD8">
        <v>-2.4245362661989844E-14</v>
      </c>
      <c r="LF8">
        <v>-2.4245362661989844E-14</v>
      </c>
      <c r="LG8" t="s">
        <v>1651</v>
      </c>
      <c r="LH8">
        <v>2025</v>
      </c>
      <c r="LI8" t="s">
        <v>2623</v>
      </c>
      <c r="LJ8" s="6">
        <v>45975</v>
      </c>
      <c r="LK8">
        <v>5</v>
      </c>
      <c r="LL8">
        <v>-2.4245362661989844E-14</v>
      </c>
      <c r="LM8">
        <v>33634105</v>
      </c>
      <c r="LN8" t="s">
        <v>2624</v>
      </c>
      <c r="LS8" t="s">
        <v>23</v>
      </c>
      <c r="LT8" t="s">
        <v>1598</v>
      </c>
      <c r="LU8">
        <v>29</v>
      </c>
      <c r="LV8">
        <v>4.4540850000000001</v>
      </c>
      <c r="LW8" t="s">
        <v>1594</v>
      </c>
      <c r="LX8">
        <v>2025</v>
      </c>
      <c r="LY8" t="s">
        <v>1765</v>
      </c>
      <c r="LZ8" s="6">
        <v>46064</v>
      </c>
      <c r="MA8">
        <v>5</v>
      </c>
      <c r="MB8">
        <v>3494064896</v>
      </c>
      <c r="MC8">
        <v>100225</v>
      </c>
      <c r="MD8" t="s">
        <v>2222</v>
      </c>
      <c r="MG8" t="s">
        <v>1615</v>
      </c>
      <c r="MH8">
        <v>1.1000000000000001</v>
      </c>
      <c r="MJ8">
        <v>-2.4245362661989844E-14</v>
      </c>
      <c r="MK8" t="s">
        <v>1599</v>
      </c>
      <c r="ML8">
        <v>2025</v>
      </c>
      <c r="MM8" t="s">
        <v>1833</v>
      </c>
      <c r="MN8" s="6">
        <v>45954</v>
      </c>
      <c r="MO8">
        <v>5</v>
      </c>
      <c r="MP8">
        <v>887298880</v>
      </c>
      <c r="MQ8">
        <v>962205</v>
      </c>
      <c r="MR8" t="s">
        <v>1617</v>
      </c>
      <c r="PE8" t="s">
        <v>2807</v>
      </c>
      <c r="PG8">
        <v>-2.4245362661989844E-14</v>
      </c>
      <c r="PH8">
        <v>-2.4245362661989844E-14</v>
      </c>
      <c r="PI8" t="s">
        <v>1594</v>
      </c>
      <c r="PJ8">
        <v>2023</v>
      </c>
      <c r="PK8" t="s">
        <v>4558</v>
      </c>
      <c r="PL8" s="6">
        <v>45331</v>
      </c>
      <c r="PM8">
        <v>5</v>
      </c>
      <c r="PN8">
        <v>-2.4245362661989844E-14</v>
      </c>
      <c r="PO8">
        <v>300948</v>
      </c>
      <c r="PP8" t="s">
        <v>2808</v>
      </c>
      <c r="PS8" t="s">
        <v>1645</v>
      </c>
      <c r="PT8">
        <v>-2.4245362661989844E-14</v>
      </c>
      <c r="PV8">
        <v>-2.4245362661989844E-14</v>
      </c>
      <c r="PW8" t="s">
        <v>1603</v>
      </c>
      <c r="PX8">
        <v>2024</v>
      </c>
      <c r="PY8" t="s">
        <v>1646</v>
      </c>
      <c r="PZ8" s="6">
        <v>45265</v>
      </c>
      <c r="QA8">
        <v>4</v>
      </c>
      <c r="QB8">
        <v>-2.4245362661989844E-14</v>
      </c>
      <c r="QC8">
        <v>136424</v>
      </c>
      <c r="QD8" t="s">
        <v>1647</v>
      </c>
      <c r="RM8" t="s">
        <v>3897</v>
      </c>
      <c r="RN8" t="s">
        <v>1598</v>
      </c>
      <c r="RO8">
        <v>4.2</v>
      </c>
      <c r="RP8">
        <v>7.9800999999999997E-2</v>
      </c>
      <c r="RQ8" t="s">
        <v>1594</v>
      </c>
      <c r="RR8">
        <v>2024</v>
      </c>
      <c r="RS8" t="s">
        <v>3898</v>
      </c>
      <c r="RT8" s="6">
        <v>45842</v>
      </c>
      <c r="RU8">
        <v>5</v>
      </c>
      <c r="RV8">
        <v>12195268.279999999</v>
      </c>
      <c r="RW8">
        <v>193849</v>
      </c>
      <c r="RX8" t="s">
        <v>3899</v>
      </c>
      <c r="SA8" t="s">
        <v>1989</v>
      </c>
      <c r="SB8">
        <v>-2.4245362661989844E-14</v>
      </c>
      <c r="SD8">
        <v>-2.4245362661989844E-14</v>
      </c>
      <c r="SE8" t="s">
        <v>1594</v>
      </c>
      <c r="SF8">
        <v>2025</v>
      </c>
      <c r="SG8" t="s">
        <v>1982</v>
      </c>
      <c r="SH8" s="6">
        <v>45965</v>
      </c>
      <c r="SI8">
        <v>5</v>
      </c>
      <c r="SJ8">
        <v>-2.4245362661989844E-14</v>
      </c>
      <c r="SK8">
        <v>100532</v>
      </c>
      <c r="SL8" t="s">
        <v>1990</v>
      </c>
      <c r="UI8" t="s">
        <v>3222</v>
      </c>
      <c r="UJ8">
        <v>4.7</v>
      </c>
      <c r="UL8">
        <v>-2.4245362661989844E-14</v>
      </c>
      <c r="UM8" t="s">
        <v>1664</v>
      </c>
      <c r="UN8">
        <v>2025</v>
      </c>
      <c r="UO8" t="s">
        <v>3155</v>
      </c>
      <c r="UP8" s="6">
        <v>45868</v>
      </c>
      <c r="UQ8">
        <v>5</v>
      </c>
      <c r="UR8">
        <v>5381453</v>
      </c>
      <c r="US8">
        <v>37373368</v>
      </c>
      <c r="UT8" t="s">
        <v>3223</v>
      </c>
    </row>
    <row r="9" spans="1:600" x14ac:dyDescent="0.25">
      <c r="A9" t="s">
        <v>3921</v>
      </c>
      <c r="B9" t="s">
        <v>1598</v>
      </c>
      <c r="C9">
        <v>0.146649</v>
      </c>
      <c r="D9">
        <v>6.999E-3</v>
      </c>
      <c r="E9" t="s">
        <v>1603</v>
      </c>
      <c r="F9">
        <v>2025</v>
      </c>
      <c r="G9" t="s">
        <v>3922</v>
      </c>
      <c r="H9" s="6">
        <v>45814</v>
      </c>
      <c r="I9">
        <v>5</v>
      </c>
      <c r="J9">
        <v>154990</v>
      </c>
      <c r="K9">
        <v>136312</v>
      </c>
      <c r="L9" t="s">
        <v>3923</v>
      </c>
      <c r="O9" t="s">
        <v>1739</v>
      </c>
      <c r="P9">
        <v>4.3901000000000003E-2</v>
      </c>
      <c r="Q9" t="s">
        <v>1598</v>
      </c>
      <c r="R9">
        <v>1.1003000000000001E-2</v>
      </c>
      <c r="S9" t="s">
        <v>1664</v>
      </c>
      <c r="T9">
        <v>2026</v>
      </c>
      <c r="U9" t="s">
        <v>1740</v>
      </c>
      <c r="V9" s="6">
        <v>45940</v>
      </c>
      <c r="W9">
        <v>5</v>
      </c>
      <c r="X9">
        <v>1744856</v>
      </c>
      <c r="Y9">
        <v>100916</v>
      </c>
      <c r="Z9" t="s">
        <v>1741</v>
      </c>
      <c r="BI9" t="s">
        <v>3184</v>
      </c>
      <c r="BJ9" t="s">
        <v>1634</v>
      </c>
      <c r="BK9">
        <v>8.1</v>
      </c>
      <c r="BL9">
        <v>2.2444199999999999</v>
      </c>
      <c r="BM9" t="s">
        <v>1606</v>
      </c>
      <c r="BN9">
        <v>2025</v>
      </c>
      <c r="BO9" t="s">
        <v>3230</v>
      </c>
      <c r="BP9" s="6">
        <v>45717</v>
      </c>
      <c r="BQ9">
        <v>5</v>
      </c>
      <c r="BR9">
        <v>87846608</v>
      </c>
      <c r="BS9">
        <v>100487</v>
      </c>
      <c r="BT9" t="s">
        <v>3186</v>
      </c>
      <c r="BW9" t="s">
        <v>2683</v>
      </c>
      <c r="BX9">
        <v>-2.4245362661989844E-14</v>
      </c>
      <c r="BZ9">
        <v>-2.4245362661989844E-14</v>
      </c>
      <c r="CA9" t="s">
        <v>1594</v>
      </c>
      <c r="CB9">
        <v>2022</v>
      </c>
      <c r="CC9" t="s">
        <v>2684</v>
      </c>
      <c r="CD9" s="6">
        <v>45013</v>
      </c>
      <c r="CE9">
        <v>5</v>
      </c>
      <c r="CF9">
        <v>-2.4245362661989844E-14</v>
      </c>
      <c r="CG9">
        <v>173027</v>
      </c>
      <c r="CH9" t="s">
        <v>2685</v>
      </c>
      <c r="EU9" t="s">
        <v>862</v>
      </c>
      <c r="EV9" t="s">
        <v>1598</v>
      </c>
      <c r="EW9">
        <v>3.715757</v>
      </c>
      <c r="EX9">
        <v>1.143508</v>
      </c>
      <c r="EY9" t="s">
        <v>1599</v>
      </c>
      <c r="EZ9">
        <v>2025</v>
      </c>
      <c r="FA9" t="s">
        <v>2137</v>
      </c>
      <c r="FB9" s="6">
        <v>45782</v>
      </c>
      <c r="FC9">
        <v>5</v>
      </c>
      <c r="FD9">
        <v>185133936</v>
      </c>
      <c r="FE9">
        <v>101149</v>
      </c>
      <c r="FF9" t="s">
        <v>2138</v>
      </c>
      <c r="FI9" t="s">
        <v>1116</v>
      </c>
      <c r="FJ9">
        <v>1.2661089999999999</v>
      </c>
      <c r="FK9" t="s">
        <v>1598</v>
      </c>
      <c r="FL9">
        <v>2.0610919999999999</v>
      </c>
      <c r="FM9" t="s">
        <v>1664</v>
      </c>
      <c r="FN9">
        <v>2025</v>
      </c>
      <c r="FO9" t="s">
        <v>2129</v>
      </c>
      <c r="FP9" s="6">
        <v>45895</v>
      </c>
      <c r="FQ9">
        <v>5</v>
      </c>
      <c r="FR9">
        <v>273238976</v>
      </c>
      <c r="FS9">
        <v>100090</v>
      </c>
      <c r="FT9" t="s">
        <v>1960</v>
      </c>
      <c r="HC9" t="s">
        <v>776</v>
      </c>
      <c r="HE9">
        <v>-2.4245362661989844E-14</v>
      </c>
      <c r="HF9">
        <v>-2.4245362661989844E-14</v>
      </c>
      <c r="HG9" t="s">
        <v>1594</v>
      </c>
      <c r="HH9">
        <v>2026</v>
      </c>
      <c r="HI9" t="s">
        <v>5628</v>
      </c>
      <c r="HJ9" s="6">
        <v>46058</v>
      </c>
      <c r="HK9">
        <v>5</v>
      </c>
      <c r="HL9">
        <v>-2.4245362661989844E-14</v>
      </c>
      <c r="HM9">
        <v>101712</v>
      </c>
      <c r="HN9" t="s">
        <v>2809</v>
      </c>
      <c r="HQ9" t="s">
        <v>2376</v>
      </c>
      <c r="HR9">
        <v>-2.4245362661989844E-14</v>
      </c>
      <c r="HT9">
        <v>-2.4245362661989844E-14</v>
      </c>
      <c r="HU9" t="s">
        <v>1594</v>
      </c>
      <c r="HV9">
        <v>2023</v>
      </c>
      <c r="HW9" t="s">
        <v>6166</v>
      </c>
      <c r="HX9" s="6">
        <v>45359</v>
      </c>
      <c r="HY9">
        <v>5</v>
      </c>
      <c r="HZ9">
        <v>-2.4245362661989844E-14</v>
      </c>
      <c r="IA9">
        <v>117929</v>
      </c>
      <c r="IB9" t="s">
        <v>2378</v>
      </c>
      <c r="JK9" t="s">
        <v>5206</v>
      </c>
      <c r="JM9">
        <v>-2.4245362661989844E-14</v>
      </c>
      <c r="JN9">
        <v>-2.4245362661989844E-14</v>
      </c>
      <c r="JO9" t="s">
        <v>1594</v>
      </c>
      <c r="JP9">
        <v>2022</v>
      </c>
      <c r="JQ9" t="s">
        <v>5207</v>
      </c>
      <c r="JR9" s="6">
        <v>44693</v>
      </c>
      <c r="JS9">
        <v>5</v>
      </c>
      <c r="JT9">
        <v>-2.4245362661989844E-14</v>
      </c>
      <c r="JU9">
        <v>114991</v>
      </c>
      <c r="JV9" t="s">
        <v>5208</v>
      </c>
      <c r="JY9" t="s">
        <v>5067</v>
      </c>
      <c r="JZ9">
        <v>-2.4245362661989844E-14</v>
      </c>
      <c r="KB9">
        <v>-2.4245362661989844E-14</v>
      </c>
      <c r="KC9" t="s">
        <v>1792</v>
      </c>
      <c r="KD9">
        <v>2022</v>
      </c>
      <c r="KE9" t="s">
        <v>5068</v>
      </c>
      <c r="KF9" s="6">
        <v>44790</v>
      </c>
      <c r="KG9">
        <v>5</v>
      </c>
      <c r="KH9">
        <v>-2.4245362661989844E-14</v>
      </c>
      <c r="KI9">
        <v>40810398</v>
      </c>
      <c r="KJ9" t="s">
        <v>5069</v>
      </c>
      <c r="KO9" t="s">
        <v>2088</v>
      </c>
      <c r="KP9" t="s">
        <v>1598</v>
      </c>
      <c r="KQ9">
        <v>0.14130899999999999</v>
      </c>
      <c r="KR9">
        <v>0.17785999999999999</v>
      </c>
      <c r="KS9" t="s">
        <v>1603</v>
      </c>
      <c r="KT9">
        <v>2025</v>
      </c>
      <c r="KU9" t="s">
        <v>2089</v>
      </c>
      <c r="KV9" s="6">
        <v>45849</v>
      </c>
      <c r="KW9">
        <v>5</v>
      </c>
      <c r="KX9">
        <v>4336195.59</v>
      </c>
      <c r="KY9">
        <v>179551</v>
      </c>
      <c r="KZ9" t="s">
        <v>2090</v>
      </c>
      <c r="LC9" t="s">
        <v>2625</v>
      </c>
      <c r="LD9">
        <v>-2.4245362661989844E-14</v>
      </c>
      <c r="LF9">
        <v>-2.4245362661989844E-14</v>
      </c>
      <c r="LG9" t="s">
        <v>1594</v>
      </c>
      <c r="LH9">
        <v>2021</v>
      </c>
      <c r="LI9" t="s">
        <v>2626</v>
      </c>
      <c r="LJ9" s="6">
        <v>44701</v>
      </c>
      <c r="LK9">
        <v>5</v>
      </c>
      <c r="LL9">
        <v>-2.4245362661989844E-14</v>
      </c>
      <c r="LM9">
        <v>384698</v>
      </c>
      <c r="LN9" t="s">
        <v>2627</v>
      </c>
      <c r="LS9" t="s">
        <v>2223</v>
      </c>
      <c r="LT9" t="s">
        <v>1598</v>
      </c>
      <c r="LU9">
        <v>23.000834000000001</v>
      </c>
      <c r="LV9">
        <v>3.3423889999999998</v>
      </c>
      <c r="LW9" t="s">
        <v>1599</v>
      </c>
      <c r="LX9">
        <v>2025</v>
      </c>
      <c r="LY9" t="s">
        <v>2224</v>
      </c>
      <c r="LZ9" s="6">
        <v>46049</v>
      </c>
      <c r="MA9">
        <v>5</v>
      </c>
      <c r="MB9">
        <v>2700220003.8200002</v>
      </c>
      <c r="MC9">
        <v>101095</v>
      </c>
      <c r="MD9" t="s">
        <v>2225</v>
      </c>
      <c r="MG9" t="s">
        <v>1835</v>
      </c>
      <c r="MH9">
        <v>0.60507999999999995</v>
      </c>
      <c r="MI9" t="s">
        <v>1598</v>
      </c>
      <c r="MJ9">
        <v>13.46205</v>
      </c>
      <c r="MK9" t="s">
        <v>1599</v>
      </c>
      <c r="ML9">
        <v>2025</v>
      </c>
      <c r="MM9" t="s">
        <v>1833</v>
      </c>
      <c r="MN9" s="6">
        <v>45954</v>
      </c>
      <c r="MO9">
        <v>5</v>
      </c>
      <c r="MP9">
        <v>488078912</v>
      </c>
      <c r="MQ9">
        <v>154455</v>
      </c>
      <c r="MR9" t="s">
        <v>1836</v>
      </c>
      <c r="PE9" t="s">
        <v>4559</v>
      </c>
      <c r="PG9">
        <v>-2.4245362661989844E-14</v>
      </c>
      <c r="PH9">
        <v>-2.4245362661989844E-14</v>
      </c>
      <c r="PI9" t="s">
        <v>1599</v>
      </c>
      <c r="PJ9">
        <v>2025</v>
      </c>
      <c r="PK9" t="s">
        <v>4560</v>
      </c>
      <c r="PL9" s="6">
        <v>45632</v>
      </c>
      <c r="PM9">
        <v>5</v>
      </c>
      <c r="PN9">
        <v>-2.4245362661989844E-14</v>
      </c>
      <c r="PO9">
        <v>28128949</v>
      </c>
      <c r="PP9" t="s">
        <v>4561</v>
      </c>
      <c r="RM9" t="s">
        <v>2298</v>
      </c>
      <c r="RN9" t="s">
        <v>1598</v>
      </c>
      <c r="RO9">
        <v>0.181587</v>
      </c>
      <c r="RP9">
        <v>4.4729999999999999E-2</v>
      </c>
      <c r="RQ9" t="s">
        <v>1599</v>
      </c>
      <c r="RR9">
        <v>2025</v>
      </c>
      <c r="RS9" t="s">
        <v>2299</v>
      </c>
      <c r="RT9" s="6">
        <v>45993</v>
      </c>
      <c r="RU9">
        <v>5</v>
      </c>
      <c r="RV9">
        <v>6513526</v>
      </c>
      <c r="RW9">
        <v>100415</v>
      </c>
      <c r="RX9" t="s">
        <v>2300</v>
      </c>
      <c r="SA9" t="s">
        <v>1991</v>
      </c>
      <c r="SB9">
        <v>-2.4245362661989844E-14</v>
      </c>
      <c r="SD9">
        <v>-2.4245362661989844E-14</v>
      </c>
      <c r="SE9" t="s">
        <v>1594</v>
      </c>
      <c r="SF9">
        <v>2025</v>
      </c>
      <c r="SG9" t="s">
        <v>1992</v>
      </c>
      <c r="SH9" s="6">
        <v>45975</v>
      </c>
      <c r="SI9">
        <v>5</v>
      </c>
      <c r="SJ9">
        <v>-2.4245362661989844E-14</v>
      </c>
      <c r="SK9">
        <v>100875</v>
      </c>
      <c r="SL9" t="s">
        <v>1993</v>
      </c>
      <c r="UI9" t="s">
        <v>71</v>
      </c>
      <c r="UJ9">
        <v>4.4000000000000004</v>
      </c>
      <c r="UL9">
        <v>-2.4245362661989844E-14</v>
      </c>
      <c r="UM9" t="s">
        <v>1664</v>
      </c>
      <c r="UN9">
        <v>2025</v>
      </c>
      <c r="UO9" t="s">
        <v>3155</v>
      </c>
      <c r="UP9" s="6">
        <v>45868</v>
      </c>
      <c r="UQ9">
        <v>5</v>
      </c>
      <c r="UR9">
        <v>5037956</v>
      </c>
      <c r="US9">
        <v>101032</v>
      </c>
      <c r="UT9" t="s">
        <v>3224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967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968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969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970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971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972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973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974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975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976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977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978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979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980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981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982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983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984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985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428</v>
      </c>
      <c r="AE2" s="3" t="s">
        <v>986</v>
      </c>
      <c r="BI2" s="3" t="s">
        <v>427</v>
      </c>
      <c r="CM2" s="3" t="s">
        <v>113</v>
      </c>
      <c r="DQ2" s="3" t="s">
        <v>271</v>
      </c>
      <c r="EU2" s="3" t="s">
        <v>987</v>
      </c>
      <c r="FY2" s="3" t="s">
        <v>988</v>
      </c>
      <c r="HC2" s="3" t="s">
        <v>989</v>
      </c>
      <c r="IG2" s="3" t="s">
        <v>990</v>
      </c>
      <c r="JK2" s="3" t="s">
        <v>991</v>
      </c>
      <c r="KO2" s="3" t="s">
        <v>84</v>
      </c>
      <c r="LS2" s="3" t="s">
        <v>79</v>
      </c>
      <c r="MW2" s="3" t="s">
        <v>617</v>
      </c>
      <c r="OA2" s="3" t="s">
        <v>992</v>
      </c>
      <c r="PE2" s="3" t="s">
        <v>993</v>
      </c>
      <c r="QI2" s="3" t="s">
        <v>994</v>
      </c>
      <c r="RM2" s="3" t="s">
        <v>995</v>
      </c>
      <c r="SQ2" s="3" t="s">
        <v>494</v>
      </c>
      <c r="TU2" s="3" t="s">
        <v>683</v>
      </c>
      <c r="UY2" s="3" t="s">
        <v>996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_xll.BDS("AMT US Equity","SUPPLY_CHAIN_SUPPLIERS_ALL_DATA","cols=12;rows=5")</f>
        <v>ORCL US Equity</v>
      </c>
      <c r="B5" t="s">
        <v>1598</v>
      </c>
      <c r="C5">
        <v>9.7300000000000002E-4</v>
      </c>
      <c r="D5">
        <v>0.27730500000000002</v>
      </c>
      <c r="E5" t="s">
        <v>1606</v>
      </c>
      <c r="F5">
        <v>2025</v>
      </c>
      <c r="G5" t="s">
        <v>2251</v>
      </c>
      <c r="H5" s="6">
        <v>45848</v>
      </c>
      <c r="I5">
        <v>5</v>
      </c>
      <c r="J5">
        <v>154736</v>
      </c>
      <c r="K5">
        <v>101752</v>
      </c>
      <c r="L5" t="s">
        <v>2265</v>
      </c>
      <c r="O5" t="str">
        <f>_xll.BDS("AMT US Equity","SUPPLY_CHAIN_CUSTOMERS_ALL_DATA","cols=12;rows=5")</f>
        <v>TMUS US Equity</v>
      </c>
      <c r="P5">
        <v>18</v>
      </c>
      <c r="Q5" t="s">
        <v>1598</v>
      </c>
      <c r="R5">
        <v>5.8461829999999999</v>
      </c>
      <c r="S5" t="s">
        <v>1594</v>
      </c>
      <c r="T5">
        <v>2025</v>
      </c>
      <c r="U5" t="s">
        <v>2379</v>
      </c>
      <c r="V5" s="6">
        <v>46077</v>
      </c>
      <c r="W5">
        <v>5</v>
      </c>
      <c r="X5">
        <v>479007008</v>
      </c>
      <c r="Y5">
        <v>8779219</v>
      </c>
      <c r="Z5" t="s">
        <v>5655</v>
      </c>
      <c r="AE5" t="str">
        <f>_xll.BDS("1293405D US Equity","SUPPLY_CHAIN_SUPPLIERS_ALL_DATA","cols=12;rows=1")</f>
        <v>DV US Equity</v>
      </c>
      <c r="AG5">
        <v>-2.4245362661989844E-14</v>
      </c>
      <c r="AH5">
        <v>-2.4245362661989844E-14</v>
      </c>
      <c r="AI5" t="s">
        <v>1664</v>
      </c>
      <c r="AJ5">
        <v>2025</v>
      </c>
      <c r="AK5" t="s">
        <v>5501</v>
      </c>
      <c r="AL5" s="6">
        <v>45875</v>
      </c>
      <c r="AM5">
        <v>1</v>
      </c>
      <c r="AN5">
        <v>-2.4245362661989844E-14</v>
      </c>
      <c r="AO5">
        <v>69492422</v>
      </c>
      <c r="AP5" t="s">
        <v>5502</v>
      </c>
      <c r="AS5" t="str">
        <f>_xll.BDS("1293405D US Equity","SUPPLY_CHAIN_CUSTOMERS_ALL_DATA","cols=12;rows=1")</f>
        <v>TTD US Equity</v>
      </c>
      <c r="AT5">
        <v>-2.4245362661989844E-14</v>
      </c>
      <c r="AV5">
        <v>-2.4245362661989844E-14</v>
      </c>
      <c r="AW5" t="s">
        <v>1599</v>
      </c>
      <c r="AX5">
        <v>2025</v>
      </c>
      <c r="AY5" t="s">
        <v>3529</v>
      </c>
      <c r="AZ5" s="6">
        <v>45971</v>
      </c>
      <c r="BA5">
        <v>1</v>
      </c>
      <c r="BB5">
        <v>-2.4245362661989844E-14</v>
      </c>
      <c r="BC5">
        <v>39234675</v>
      </c>
      <c r="BD5" t="s">
        <v>3530</v>
      </c>
      <c r="BI5" t="str">
        <f>_xll.BDS("MSI US Equity","SUPPLY_CHAIN_SUPPLIERS_ALL_DATA","cols=12;rows=5")</f>
        <v>SANM US Equity</v>
      </c>
      <c r="BJ5" t="s">
        <v>1598</v>
      </c>
      <c r="BK5">
        <v>11.295623000000001</v>
      </c>
      <c r="BL5">
        <v>18.250340999999999</v>
      </c>
      <c r="BM5" t="s">
        <v>1664</v>
      </c>
      <c r="BN5">
        <v>2025</v>
      </c>
      <c r="BO5" t="s">
        <v>2139</v>
      </c>
      <c r="BP5" s="6">
        <v>45791</v>
      </c>
      <c r="BQ5">
        <v>5</v>
      </c>
      <c r="BR5">
        <v>224114192</v>
      </c>
      <c r="BS5">
        <v>116988</v>
      </c>
      <c r="BT5" t="s">
        <v>2140</v>
      </c>
      <c r="BW5" t="str">
        <f>_xll.BDS("MSI US Equity","SUPPLY_CHAIN_CUSTOMERS_ALL_DATA","cols=12;rows=5")</f>
        <v>3352Z US Equity</v>
      </c>
      <c r="BX5">
        <v>8</v>
      </c>
      <c r="BZ5">
        <v>-2.4245362661989844E-14</v>
      </c>
      <c r="CA5" t="s">
        <v>1594</v>
      </c>
      <c r="CB5">
        <v>2025</v>
      </c>
      <c r="CC5" t="s">
        <v>4292</v>
      </c>
      <c r="CD5" s="6">
        <v>46065</v>
      </c>
      <c r="CE5">
        <v>5</v>
      </c>
      <c r="CF5">
        <v>233640000</v>
      </c>
      <c r="CG5">
        <v>218252</v>
      </c>
      <c r="CH5" t="s">
        <v>1622</v>
      </c>
      <c r="CM5" t="str">
        <f>_xll.BDS("BX US Equity","SUPPLY_CHAIN_SUPPLIERS_ALL_DATA","cols=12;rows=5")</f>
        <v>ORCL US Equity</v>
      </c>
      <c r="CN5" t="s">
        <v>1598</v>
      </c>
      <c r="CO5">
        <v>3.7003000000000001E-2</v>
      </c>
      <c r="CP5">
        <v>0.33128000000000002</v>
      </c>
      <c r="CQ5" t="s">
        <v>1606</v>
      </c>
      <c r="CR5">
        <v>2025</v>
      </c>
      <c r="CS5" t="s">
        <v>2251</v>
      </c>
      <c r="CT5" s="6">
        <v>45848</v>
      </c>
      <c r="CU5">
        <v>5</v>
      </c>
      <c r="CV5">
        <v>5884587</v>
      </c>
      <c r="CW5">
        <v>101752</v>
      </c>
      <c r="CX5" t="s">
        <v>2265</v>
      </c>
      <c r="DA5" t="str">
        <f>_xll.BDS("BX US Equity","SUPPLY_CHAIN_CUSTOMERS_ALL_DATA","cols=12;rows=5")</f>
        <v>002284 CH Equity</v>
      </c>
      <c r="DB5">
        <v>-2.4245362661989844E-14</v>
      </c>
      <c r="DD5">
        <v>-2.4245362661989844E-14</v>
      </c>
      <c r="DE5" t="s">
        <v>1594</v>
      </c>
      <c r="DF5">
        <v>2024</v>
      </c>
      <c r="DG5" t="s">
        <v>1789</v>
      </c>
      <c r="DH5" s="6">
        <v>45744</v>
      </c>
      <c r="DI5">
        <v>5</v>
      </c>
      <c r="DJ5">
        <v>-2.4245362661989844E-14</v>
      </c>
      <c r="DK5">
        <v>15069854</v>
      </c>
      <c r="DL5" t="s">
        <v>1790</v>
      </c>
      <c r="DQ5" t="str">
        <f>_xll.BDS("ELV US Equity","SUPPLY_CHAIN_SUPPLIERS_ALL_DATA","cols=12;rows=5")</f>
        <v>HNGE US Equity</v>
      </c>
      <c r="DR5" t="s">
        <v>1598</v>
      </c>
      <c r="DS5">
        <v>13.8</v>
      </c>
      <c r="DT5">
        <v>4.8899999999999999E-2</v>
      </c>
      <c r="DU5" t="s">
        <v>1599</v>
      </c>
      <c r="DV5">
        <v>2025</v>
      </c>
      <c r="DW5" t="s">
        <v>3340</v>
      </c>
      <c r="DX5" s="6">
        <v>45968</v>
      </c>
      <c r="DY5">
        <v>5</v>
      </c>
      <c r="DZ5">
        <v>21281118</v>
      </c>
      <c r="EA5">
        <v>54419104</v>
      </c>
      <c r="EB5" t="s">
        <v>3341</v>
      </c>
      <c r="EE5" t="str">
        <f>_xll.BDS("ELV US Equity","SUPPLY_CHAIN_CUSTOMERS_ALL_DATA","cols=12;rows=5")</f>
        <v>3352Z US Equity</v>
      </c>
      <c r="EF5">
        <v>31</v>
      </c>
      <c r="EH5">
        <v>-2.4245362661989844E-14</v>
      </c>
      <c r="EI5" t="s">
        <v>1594</v>
      </c>
      <c r="EJ5">
        <v>2024</v>
      </c>
      <c r="EK5" t="s">
        <v>2811</v>
      </c>
      <c r="EL5" s="6">
        <v>45708</v>
      </c>
      <c r="EM5">
        <v>5</v>
      </c>
      <c r="EN5">
        <v>13718352896</v>
      </c>
      <c r="EO5">
        <v>218252</v>
      </c>
      <c r="EP5" t="s">
        <v>1622</v>
      </c>
      <c r="EU5" t="str">
        <f>_xll.BDS("SOV US Equity","SUPPLY_CHAIN_SUPPLIERS_ALL_DATA")</f>
        <v>#N/A N/A</v>
      </c>
      <c r="FI5" t="str">
        <f>_xll.BDS("SOV US Equity","SUPPLY_CHAIN_CUSTOMERS_ALL_DATA")</f>
        <v>#N/A N/A</v>
      </c>
      <c r="FY5" t="str">
        <f>_xll.BDS("ALL US Equity","SUPPLY_CHAIN_SUPPLIERS_ALL_DATA","cols=12;rows=5")</f>
        <v>OPITQ US Equity</v>
      </c>
      <c r="FZ5" t="s">
        <v>1685</v>
      </c>
      <c r="GA5">
        <v>1.2490559999999999</v>
      </c>
      <c r="GB5">
        <v>62.699989000000002</v>
      </c>
      <c r="GC5" t="s">
        <v>1594</v>
      </c>
      <c r="GD5">
        <v>2024</v>
      </c>
      <c r="GE5" t="s">
        <v>3138</v>
      </c>
      <c r="GF5" s="6">
        <v>45701</v>
      </c>
      <c r="GG5">
        <v>5</v>
      </c>
      <c r="GH5">
        <v>1567499.75</v>
      </c>
      <c r="GI5">
        <v>15671511</v>
      </c>
      <c r="GJ5" t="s">
        <v>3139</v>
      </c>
      <c r="GM5" t="str">
        <f>_xll.BDS("ALL US Equity","SUPPLY_CHAIN_CUSTOMERS_ALL_DATA","cols=12;rows=5")</f>
        <v>035720 KS Equity</v>
      </c>
      <c r="GN5">
        <v>-2.4245362661989844E-14</v>
      </c>
      <c r="GP5">
        <v>-2.4245362661989844E-14</v>
      </c>
      <c r="GQ5" t="s">
        <v>1594</v>
      </c>
      <c r="GR5">
        <v>2022</v>
      </c>
      <c r="GS5" t="s">
        <v>2601</v>
      </c>
      <c r="GT5" s="6">
        <v>45005</v>
      </c>
      <c r="GU5">
        <v>5</v>
      </c>
      <c r="GV5">
        <v>-2.4245362661989844E-14</v>
      </c>
      <c r="GW5">
        <v>827647</v>
      </c>
      <c r="GX5" t="s">
        <v>2602</v>
      </c>
      <c r="HC5" t="str">
        <f>_xll.BDS("DTE US Equity","SUPPLY_CHAIN_SUPPLIERS_ALL_DATA","cols=12;rows=5")</f>
        <v>GNRC US Equity</v>
      </c>
      <c r="HD5" t="s">
        <v>1598</v>
      </c>
      <c r="HE5">
        <v>2.5443E-2</v>
      </c>
      <c r="HF5">
        <v>1.6906999999999998E-2</v>
      </c>
      <c r="HG5" t="s">
        <v>1599</v>
      </c>
      <c r="HH5">
        <v>2025</v>
      </c>
      <c r="HI5" t="s">
        <v>2195</v>
      </c>
      <c r="HJ5" s="6">
        <v>46022</v>
      </c>
      <c r="HK5">
        <v>5</v>
      </c>
      <c r="HL5">
        <v>283525</v>
      </c>
      <c r="HM5">
        <v>17300196</v>
      </c>
      <c r="HN5" t="s">
        <v>2196</v>
      </c>
      <c r="HQ5" t="str">
        <f>_xll.BDS("DTE US Equity","SUPPLY_CHAIN_CUSTOMERS_ALL_DATA","cols=12;rows=5")</f>
        <v>000333 CH Equity</v>
      </c>
      <c r="HR5">
        <v>-2.4245362661989844E-14</v>
      </c>
      <c r="HT5">
        <v>-2.4245362661989844E-14</v>
      </c>
      <c r="HU5" t="s">
        <v>1594</v>
      </c>
      <c r="HV5">
        <v>2021</v>
      </c>
      <c r="HW5" t="s">
        <v>1849</v>
      </c>
      <c r="HX5" s="6">
        <v>44693</v>
      </c>
      <c r="HY5">
        <v>5</v>
      </c>
      <c r="HZ5">
        <v>-2.4245362661989844E-14</v>
      </c>
      <c r="IA5">
        <v>9288162</v>
      </c>
      <c r="IB5" t="s">
        <v>1850</v>
      </c>
      <c r="IG5" t="str">
        <f>_xll.BDS("CFG US Equity","SUPPLY_CHAIN_SUPPLIERS_ALL_DATA","cols=12;rows=5")</f>
        <v>INFO IN Equity</v>
      </c>
      <c r="IH5" t="s">
        <v>1685</v>
      </c>
      <c r="II5">
        <v>0.43002000000000001</v>
      </c>
      <c r="IJ5">
        <v>1.5096449999999999</v>
      </c>
      <c r="IK5" t="s">
        <v>1664</v>
      </c>
      <c r="IL5">
        <v>2026</v>
      </c>
      <c r="IM5" t="s">
        <v>3374</v>
      </c>
      <c r="IN5" s="6">
        <v>46022</v>
      </c>
      <c r="IO5">
        <v>5</v>
      </c>
      <c r="IP5">
        <v>20161931.899999999</v>
      </c>
      <c r="IQ5">
        <v>174545</v>
      </c>
      <c r="IR5" t="s">
        <v>3375</v>
      </c>
      <c r="IU5" t="str">
        <f>_xll.BDS("CFG US Equity","SUPPLY_CHAIN_CUSTOMERS_ALL_DATA")</f>
        <v>#N/A N/A</v>
      </c>
      <c r="JK5" t="str">
        <f>_xll.BDS("1683997D US Equity","SUPPLY_CHAIN_SUPPLIERS_ALL_DATA")</f>
        <v>#N/A N/A</v>
      </c>
      <c r="JY5" t="str">
        <f>_xll.BDS("1683997D US Equity","SUPPLY_CHAIN_CUSTOMERS_ALL_DATA")</f>
        <v>#N/A N/A</v>
      </c>
      <c r="KO5" t="str">
        <f>_xll.BDS("0848680D US Equity","SUPPLY_CHAIN_SUPPLIERS_ALL_DATA")</f>
        <v>#N/A N/A</v>
      </c>
      <c r="LC5" t="str">
        <f>_xll.BDS("0848680D US Equity","SUPPLY_CHAIN_CUSTOMERS_ALL_DATA")</f>
        <v>#N/A N/A</v>
      </c>
      <c r="LS5" t="str">
        <f>_xll.BDS("MRK US Equity","SUPPLY_CHAIN_SUPPLIERS_ALL_DATA","cols=12;rows=5")</f>
        <v>AZN LN Equity</v>
      </c>
      <c r="LT5" t="s">
        <v>1598</v>
      </c>
      <c r="LU5">
        <v>1.1917120000000001</v>
      </c>
      <c r="LV5">
        <v>4.272983</v>
      </c>
      <c r="LW5" t="s">
        <v>1594</v>
      </c>
      <c r="LX5">
        <v>2025</v>
      </c>
      <c r="LY5" t="s">
        <v>4869</v>
      </c>
      <c r="LZ5" s="6">
        <v>46077</v>
      </c>
      <c r="MA5">
        <v>5</v>
      </c>
      <c r="MB5">
        <v>175000000</v>
      </c>
      <c r="MC5">
        <v>111093</v>
      </c>
      <c r="MD5" t="s">
        <v>3409</v>
      </c>
      <c r="MG5" t="str">
        <f>_xll.BDS("MRK US Equity","SUPPLY_CHAIN_CUSTOMERS_ALL_DATA","cols=12;rows=5")</f>
        <v>COR US Equity</v>
      </c>
      <c r="MH5">
        <v>9.6931790000000007</v>
      </c>
      <c r="MI5" t="s">
        <v>1598</v>
      </c>
      <c r="MJ5">
        <v>2.073159</v>
      </c>
      <c r="MK5" t="s">
        <v>1599</v>
      </c>
      <c r="ML5">
        <v>2025</v>
      </c>
      <c r="MM5" t="s">
        <v>5050</v>
      </c>
      <c r="MN5" s="6">
        <v>45985</v>
      </c>
      <c r="MO5">
        <v>5</v>
      </c>
      <c r="MP5">
        <v>1674593664</v>
      </c>
      <c r="MQ5">
        <v>156969</v>
      </c>
      <c r="MR5" t="s">
        <v>1767</v>
      </c>
      <c r="MW5" t="str">
        <f>_xll.BDS("CSCO US Equity","SUPPLY_CHAIN_SUPPLIERS_ALL_DATA","cols=12;rows=5")</f>
        <v>NVDA US Equity</v>
      </c>
      <c r="MX5" t="s">
        <v>1598</v>
      </c>
      <c r="MY5">
        <v>0.44414500000000001</v>
      </c>
      <c r="MZ5">
        <v>5.627351</v>
      </c>
      <c r="NA5" t="s">
        <v>1606</v>
      </c>
      <c r="NB5">
        <v>2026</v>
      </c>
      <c r="NC5" t="s">
        <v>2004</v>
      </c>
      <c r="ND5" s="6">
        <v>46087</v>
      </c>
      <c r="NE5">
        <v>5</v>
      </c>
      <c r="NF5">
        <v>302582656</v>
      </c>
      <c r="NG5">
        <v>313657</v>
      </c>
      <c r="NH5" t="s">
        <v>2005</v>
      </c>
      <c r="NK5" t="str">
        <f>_xll.BDS("CSCO US Equity","SUPPLY_CHAIN_CUSTOMERS_ALL_DATA","cols=12;rows=5")</f>
        <v>SNX US Equity</v>
      </c>
      <c r="NL5">
        <v>3.3352200000000001</v>
      </c>
      <c r="NM5" t="s">
        <v>1598</v>
      </c>
      <c r="NN5">
        <v>3.067034</v>
      </c>
      <c r="NO5" t="s">
        <v>1606</v>
      </c>
      <c r="NP5">
        <v>2025</v>
      </c>
      <c r="NQ5" t="s">
        <v>1701</v>
      </c>
      <c r="NR5" s="6">
        <v>46056</v>
      </c>
      <c r="NS5">
        <v>5</v>
      </c>
      <c r="NT5">
        <v>496380736</v>
      </c>
      <c r="NU5">
        <v>1499717</v>
      </c>
      <c r="NV5" t="s">
        <v>1702</v>
      </c>
      <c r="OA5" t="str">
        <f>_xll.BDS("CUZ US Equity","SUPPLY_CHAIN_SUPPLIERS_ALL_DATA","cols=12;rows=1")</f>
        <v>PCOR US Equity</v>
      </c>
      <c r="OC5">
        <v>-2.4245362661989844E-14</v>
      </c>
      <c r="OD5">
        <v>-2.4245362661989844E-14</v>
      </c>
      <c r="OE5" t="s">
        <v>1599</v>
      </c>
      <c r="OF5">
        <v>2022</v>
      </c>
      <c r="OG5" t="s">
        <v>3884</v>
      </c>
      <c r="OH5" s="6">
        <v>44874</v>
      </c>
      <c r="OI5">
        <v>1</v>
      </c>
      <c r="OJ5">
        <v>-2.4245362661989844E-14</v>
      </c>
      <c r="OK5">
        <v>28127709</v>
      </c>
      <c r="OL5" t="s">
        <v>3885</v>
      </c>
      <c r="OO5" t="str">
        <f>_xll.BDS("CUZ US Equity","SUPPLY_CHAIN_CUSTOMERS_ALL_DATA","cols=12;rows=5")</f>
        <v>AMZN US Equity</v>
      </c>
      <c r="OP5">
        <v>8.0237189999999998</v>
      </c>
      <c r="OQ5" t="s">
        <v>1685</v>
      </c>
      <c r="OR5">
        <v>0.13677500000000001</v>
      </c>
      <c r="OS5" t="s">
        <v>1594</v>
      </c>
      <c r="OT5">
        <v>2025</v>
      </c>
      <c r="OU5" t="s">
        <v>4168</v>
      </c>
      <c r="OV5" s="6">
        <v>46058</v>
      </c>
      <c r="OW5">
        <v>5</v>
      </c>
      <c r="OX5">
        <v>19935250</v>
      </c>
      <c r="OY5">
        <v>216952</v>
      </c>
      <c r="OZ5" t="s">
        <v>1631</v>
      </c>
      <c r="PE5" t="str">
        <f>_xll.BDS("CMI US Equity","SUPPLY_CHAIN_SUPPLIERS_ALL_DATA","cols=12;rows=5")</f>
        <v>TKA GR Equity</v>
      </c>
      <c r="PF5" t="s">
        <v>1598</v>
      </c>
      <c r="PG5">
        <v>1.2070529999999999</v>
      </c>
      <c r="PH5">
        <v>1.753323</v>
      </c>
      <c r="PI5" t="s">
        <v>1599</v>
      </c>
      <c r="PJ5">
        <v>2025</v>
      </c>
      <c r="PK5" t="s">
        <v>3245</v>
      </c>
      <c r="PL5" s="6">
        <v>45883</v>
      </c>
      <c r="PM5">
        <v>5</v>
      </c>
      <c r="PN5">
        <v>111501860.17</v>
      </c>
      <c r="PO5">
        <v>815253</v>
      </c>
      <c r="PP5" t="s">
        <v>3246</v>
      </c>
      <c r="PS5" t="str">
        <f>_xll.BDS("CMI US Equity","SUPPLY_CHAIN_CUSTOMERS_ALL_DATA","cols=12;rows=5")</f>
        <v>PCAR US Equity</v>
      </c>
      <c r="PT5">
        <v>13</v>
      </c>
      <c r="PU5" t="s">
        <v>1598</v>
      </c>
      <c r="PV5">
        <v>18.467997</v>
      </c>
      <c r="PW5" t="s">
        <v>1594</v>
      </c>
      <c r="PX5">
        <v>2025</v>
      </c>
      <c r="PY5" t="s">
        <v>2647</v>
      </c>
      <c r="PZ5" s="6">
        <v>46063</v>
      </c>
      <c r="QA5">
        <v>5</v>
      </c>
      <c r="QB5">
        <v>1094274944</v>
      </c>
      <c r="QC5">
        <v>101754</v>
      </c>
      <c r="QD5" t="s">
        <v>2648</v>
      </c>
      <c r="QI5" t="str">
        <f>_xll.BDS("582663Q US Equity","SUPPLY_CHAIN_SUPPLIERS_ALL_DATA")</f>
        <v>#N/A N/A</v>
      </c>
      <c r="QW5" t="str">
        <f>_xll.BDS("582663Q US Equity","SUPPLY_CHAIN_CUSTOMERS_ALL_DATA")</f>
        <v>#N/A N/A</v>
      </c>
      <c r="RM5" t="str">
        <f>_xll.BDS("MDRIQ US Equity","SUPPLY_CHAIN_SUPPLIERS_ALL_DATA","cols=12;rows=5")</f>
        <v>091090 KS Equity</v>
      </c>
      <c r="RO5">
        <v>-2.4245362661989844E-14</v>
      </c>
      <c r="RP5">
        <v>-2.4245362661989844E-14</v>
      </c>
      <c r="RQ5" t="s">
        <v>1594</v>
      </c>
      <c r="RR5">
        <v>2024</v>
      </c>
      <c r="RS5" t="s">
        <v>5612</v>
      </c>
      <c r="RT5" s="6">
        <v>45737</v>
      </c>
      <c r="RU5">
        <v>5</v>
      </c>
      <c r="RV5">
        <v>-2.4245362661989844E-14</v>
      </c>
      <c r="RW5">
        <v>10658772</v>
      </c>
      <c r="RX5" t="s">
        <v>5613</v>
      </c>
      <c r="SA5" t="str">
        <f>_xll.BDS("MDRIQ US Equity","SUPPLY_CHAIN_CUSTOMERS_ALL_DATA","cols=12;rows=5")</f>
        <v>16453Z QD Equity</v>
      </c>
      <c r="SB5">
        <v>-2.4245362661989844E-14</v>
      </c>
      <c r="SD5">
        <v>-2.4245362661989844E-14</v>
      </c>
      <c r="SE5" t="s">
        <v>1594</v>
      </c>
      <c r="SF5">
        <v>2024</v>
      </c>
      <c r="SG5" t="s">
        <v>6081</v>
      </c>
      <c r="SH5" s="6">
        <v>45568</v>
      </c>
      <c r="SI5">
        <v>5</v>
      </c>
      <c r="SJ5">
        <v>-2.4245362661989844E-14</v>
      </c>
      <c r="SK5">
        <v>945228</v>
      </c>
      <c r="SL5" t="s">
        <v>6082</v>
      </c>
      <c r="SQ5" t="str">
        <f>_xll.BDS("NXST US Equity","SUPPLY_CHAIN_SUPPLIERS_ALL_DATA","cols=12;rows=5")</f>
        <v>DLB US Equity</v>
      </c>
      <c r="SR5" t="s">
        <v>1598</v>
      </c>
      <c r="SS5">
        <v>0.234098</v>
      </c>
      <c r="ST5">
        <v>0.127889</v>
      </c>
      <c r="SU5" t="s">
        <v>1606</v>
      </c>
      <c r="SV5">
        <v>2025</v>
      </c>
      <c r="SW5" t="s">
        <v>3430</v>
      </c>
      <c r="SX5" s="6">
        <v>46018</v>
      </c>
      <c r="SY5">
        <v>5</v>
      </c>
      <c r="SZ5">
        <v>718737</v>
      </c>
      <c r="TA5">
        <v>916504</v>
      </c>
      <c r="TB5" t="s">
        <v>3431</v>
      </c>
      <c r="TE5" t="str">
        <f>_xll.BDS("NXST US Equity","SUPPLY_CHAIN_CUSTOMERS_ALL_DATA","cols=12;rows=5")</f>
        <v>3276470Z US Equity</v>
      </c>
      <c r="TF5">
        <v>-2.4245362661989844E-14</v>
      </c>
      <c r="TH5">
        <v>-2.4245362661989844E-14</v>
      </c>
      <c r="TI5" t="s">
        <v>1594</v>
      </c>
      <c r="TJ5">
        <v>2024</v>
      </c>
      <c r="TK5" t="s">
        <v>4582</v>
      </c>
      <c r="TL5" s="6">
        <v>45313</v>
      </c>
      <c r="TM5">
        <v>5</v>
      </c>
      <c r="TN5">
        <v>-2.4245362661989844E-14</v>
      </c>
      <c r="TO5">
        <v>15994790</v>
      </c>
      <c r="TP5" t="s">
        <v>3513</v>
      </c>
      <c r="TU5" t="str">
        <f>_xll.BDS("FSK US Equity","SUPPLY_CHAIN_SUPPLIERS_ALL_DATA")</f>
        <v>#N/A N/A</v>
      </c>
      <c r="UI5" t="str">
        <f>_xll.BDS("FSK US Equity","SUPPLY_CHAIN_CUSTOMERS_ALL_DATA")</f>
        <v>#N/A N/A</v>
      </c>
      <c r="UY5" t="str">
        <f>_xll.BDS("WLK US Equity","SUPPLY_CHAIN_SUPPLIERS_ALL_DATA","cols=12;rows=5")</f>
        <v>WLKP US Equity</v>
      </c>
      <c r="UZ5" t="s">
        <v>1598</v>
      </c>
      <c r="VA5">
        <v>89.5</v>
      </c>
      <c r="VB5">
        <v>10.627940000000001</v>
      </c>
      <c r="VC5" t="s">
        <v>1599</v>
      </c>
      <c r="VD5">
        <v>2025</v>
      </c>
      <c r="VE5" t="s">
        <v>5176</v>
      </c>
      <c r="VF5" s="6">
        <v>45961</v>
      </c>
      <c r="VG5">
        <v>5</v>
      </c>
      <c r="VH5">
        <v>276539000</v>
      </c>
      <c r="VI5">
        <v>40163322</v>
      </c>
      <c r="VJ5" t="s">
        <v>5177</v>
      </c>
      <c r="VM5" t="str">
        <f>_xll.BDS("WLK US Equity","SUPPLY_CHAIN_CUSTOMERS_ALL_DATA","cols=12;rows=5")</f>
        <v>HD US Equity</v>
      </c>
      <c r="VN5">
        <v>8.1903780000000008</v>
      </c>
      <c r="VO5" t="s">
        <v>1598</v>
      </c>
      <c r="VP5">
        <v>0.80214200000000002</v>
      </c>
      <c r="VQ5" t="s">
        <v>1664</v>
      </c>
      <c r="VR5">
        <v>2025</v>
      </c>
      <c r="VS5" t="s">
        <v>5174</v>
      </c>
      <c r="VT5" s="6">
        <v>45922</v>
      </c>
      <c r="VU5">
        <v>5</v>
      </c>
      <c r="VV5">
        <v>241861856</v>
      </c>
      <c r="VW5">
        <v>100743</v>
      </c>
      <c r="VX5" t="s">
        <v>1904</v>
      </c>
    </row>
    <row r="6" spans="1:600" x14ac:dyDescent="0.25">
      <c r="A6" t="s">
        <v>5913</v>
      </c>
      <c r="C6">
        <v>-2.4245362661989844E-14</v>
      </c>
      <c r="D6">
        <v>-2.4245362661989844E-14</v>
      </c>
      <c r="E6" t="s">
        <v>1594</v>
      </c>
      <c r="F6">
        <v>2023</v>
      </c>
      <c r="G6" t="s">
        <v>5914</v>
      </c>
      <c r="H6" s="6">
        <v>45042</v>
      </c>
      <c r="I6">
        <v>5</v>
      </c>
      <c r="J6">
        <v>-2.4245362661989844E-14</v>
      </c>
      <c r="K6">
        <v>19226683</v>
      </c>
      <c r="L6" t="s">
        <v>5915</v>
      </c>
      <c r="O6" t="s">
        <v>21</v>
      </c>
      <c r="P6">
        <v>17</v>
      </c>
      <c r="Q6" t="s">
        <v>1598</v>
      </c>
      <c r="R6">
        <v>3.5607669999999998</v>
      </c>
      <c r="S6" t="s">
        <v>1594</v>
      </c>
      <c r="T6">
        <v>2025</v>
      </c>
      <c r="U6" t="s">
        <v>2379</v>
      </c>
      <c r="V6" s="6">
        <v>46077</v>
      </c>
      <c r="W6">
        <v>5</v>
      </c>
      <c r="X6">
        <v>452395488</v>
      </c>
      <c r="Y6">
        <v>101376</v>
      </c>
      <c r="Z6" t="s">
        <v>3621</v>
      </c>
      <c r="BI6" t="s">
        <v>2556</v>
      </c>
      <c r="BJ6" t="s">
        <v>1598</v>
      </c>
      <c r="BK6">
        <v>0.46781499999999998</v>
      </c>
      <c r="BL6">
        <v>2.0978080000000001</v>
      </c>
      <c r="BM6" t="s">
        <v>1599</v>
      </c>
      <c r="BN6">
        <v>2025</v>
      </c>
      <c r="BO6" t="s">
        <v>2557</v>
      </c>
      <c r="BP6" s="6">
        <v>45763</v>
      </c>
      <c r="BQ6">
        <v>5</v>
      </c>
      <c r="BR6">
        <v>30669952</v>
      </c>
      <c r="BS6">
        <v>136547</v>
      </c>
      <c r="BT6" t="s">
        <v>2558</v>
      </c>
      <c r="BW6" t="s">
        <v>1700</v>
      </c>
      <c r="BX6">
        <v>2.7820800000000001</v>
      </c>
      <c r="BY6" t="s">
        <v>1598</v>
      </c>
      <c r="BZ6">
        <v>0.51724400000000004</v>
      </c>
      <c r="CA6" t="s">
        <v>1606</v>
      </c>
      <c r="CB6">
        <v>2025</v>
      </c>
      <c r="CC6" t="s">
        <v>1701</v>
      </c>
      <c r="CD6" s="6">
        <v>46056</v>
      </c>
      <c r="CE6">
        <v>5</v>
      </c>
      <c r="CF6">
        <v>83712784</v>
      </c>
      <c r="CG6">
        <v>1499717</v>
      </c>
      <c r="CH6" t="s">
        <v>1702</v>
      </c>
      <c r="CM6" t="s">
        <v>2266</v>
      </c>
      <c r="CN6" t="s">
        <v>1685</v>
      </c>
      <c r="CO6">
        <v>0.597939</v>
      </c>
      <c r="CP6">
        <v>5.9714000000000003E-2</v>
      </c>
      <c r="CQ6" t="s">
        <v>1594</v>
      </c>
      <c r="CR6">
        <v>2024</v>
      </c>
      <c r="CS6" t="s">
        <v>2267</v>
      </c>
      <c r="CT6" s="6">
        <v>45694</v>
      </c>
      <c r="CU6">
        <v>5</v>
      </c>
      <c r="CV6">
        <v>957052.25</v>
      </c>
      <c r="CW6">
        <v>103579</v>
      </c>
      <c r="CX6" t="s">
        <v>2268</v>
      </c>
      <c r="DA6" t="s">
        <v>1791</v>
      </c>
      <c r="DB6">
        <v>-2.4245362661989844E-14</v>
      </c>
      <c r="DD6">
        <v>-2.4245362661989844E-14</v>
      </c>
      <c r="DE6" t="s">
        <v>1792</v>
      </c>
      <c r="DF6">
        <v>2025</v>
      </c>
      <c r="DG6" t="s">
        <v>1793</v>
      </c>
      <c r="DH6" s="6">
        <v>45894</v>
      </c>
      <c r="DI6">
        <v>5</v>
      </c>
      <c r="DJ6">
        <v>-2.4245362661989844E-14</v>
      </c>
      <c r="DK6">
        <v>15149577</v>
      </c>
      <c r="DL6" t="s">
        <v>1794</v>
      </c>
      <c r="DQ6" t="s">
        <v>3342</v>
      </c>
      <c r="DR6" t="s">
        <v>1685</v>
      </c>
      <c r="DS6">
        <v>31</v>
      </c>
      <c r="DT6">
        <v>0.36833199999999999</v>
      </c>
      <c r="DU6" t="s">
        <v>1594</v>
      </c>
      <c r="DV6">
        <v>2025</v>
      </c>
      <c r="DW6" t="s">
        <v>3343</v>
      </c>
      <c r="DX6" s="6">
        <v>46065</v>
      </c>
      <c r="DY6">
        <v>5</v>
      </c>
      <c r="DZ6">
        <v>19322688</v>
      </c>
      <c r="EA6">
        <v>29633010</v>
      </c>
      <c r="EB6" t="s">
        <v>3344</v>
      </c>
      <c r="EE6" t="s">
        <v>2812</v>
      </c>
      <c r="EF6">
        <v>-2.4245362661989844E-14</v>
      </c>
      <c r="EH6">
        <v>-2.4245362661989844E-14</v>
      </c>
      <c r="EI6" t="s">
        <v>1594</v>
      </c>
      <c r="EJ6">
        <v>2023</v>
      </c>
      <c r="EK6" t="s">
        <v>2813</v>
      </c>
      <c r="EL6" s="6">
        <v>45303</v>
      </c>
      <c r="EM6">
        <v>5</v>
      </c>
      <c r="EN6">
        <v>-2.4245362661989844E-14</v>
      </c>
      <c r="EO6">
        <v>38176982</v>
      </c>
      <c r="EP6" t="s">
        <v>2814</v>
      </c>
      <c r="FY6" t="s">
        <v>992</v>
      </c>
      <c r="FZ6" t="s">
        <v>1685</v>
      </c>
      <c r="GA6">
        <v>0.69296100000000005</v>
      </c>
      <c r="GB6">
        <v>59.369999</v>
      </c>
      <c r="GC6" t="s">
        <v>1594</v>
      </c>
      <c r="GD6">
        <v>2024</v>
      </c>
      <c r="GE6" t="s">
        <v>3140</v>
      </c>
      <c r="GF6" s="6">
        <v>45694</v>
      </c>
      <c r="GG6">
        <v>5</v>
      </c>
      <c r="GH6">
        <v>1484250</v>
      </c>
      <c r="GI6">
        <v>106045</v>
      </c>
      <c r="GJ6" t="s">
        <v>2847</v>
      </c>
      <c r="GM6" t="s">
        <v>2603</v>
      </c>
      <c r="GN6">
        <v>-2.4245362661989844E-14</v>
      </c>
      <c r="GP6">
        <v>-2.4245362661989844E-14</v>
      </c>
      <c r="GQ6" t="s">
        <v>1594</v>
      </c>
      <c r="GR6">
        <v>2022</v>
      </c>
      <c r="GS6" t="s">
        <v>2604</v>
      </c>
      <c r="GT6" s="6">
        <v>44742</v>
      </c>
      <c r="GU6">
        <v>5</v>
      </c>
      <c r="GV6">
        <v>-2.4245362661989844E-14</v>
      </c>
      <c r="GW6">
        <v>23120697</v>
      </c>
      <c r="GX6" t="s">
        <v>2605</v>
      </c>
      <c r="HC6" t="s">
        <v>2197</v>
      </c>
      <c r="HE6">
        <v>-2.4245362661989844E-14</v>
      </c>
      <c r="HF6">
        <v>-2.4245362661989844E-14</v>
      </c>
      <c r="HG6" t="s">
        <v>1594</v>
      </c>
      <c r="HH6">
        <v>2024</v>
      </c>
      <c r="HI6" t="s">
        <v>2198</v>
      </c>
      <c r="HJ6" s="6">
        <v>45621</v>
      </c>
      <c r="HK6">
        <v>5</v>
      </c>
      <c r="HL6">
        <v>-2.4245362661989844E-14</v>
      </c>
      <c r="HM6">
        <v>70110117</v>
      </c>
      <c r="HN6" t="s">
        <v>2199</v>
      </c>
      <c r="HQ6" t="s">
        <v>1851</v>
      </c>
      <c r="HR6">
        <v>-2.4245362661989844E-14</v>
      </c>
      <c r="HT6">
        <v>-2.4245362661989844E-14</v>
      </c>
      <c r="HU6" t="s">
        <v>1594</v>
      </c>
      <c r="HV6">
        <v>2021</v>
      </c>
      <c r="HW6" t="s">
        <v>1849</v>
      </c>
      <c r="HX6" s="6">
        <v>44693</v>
      </c>
      <c r="HY6">
        <v>5</v>
      </c>
      <c r="HZ6">
        <v>-2.4245362661989844E-14</v>
      </c>
      <c r="IA6">
        <v>344589</v>
      </c>
      <c r="IB6" t="s">
        <v>1852</v>
      </c>
      <c r="IG6" t="s">
        <v>3162</v>
      </c>
      <c r="IH6" t="s">
        <v>1685</v>
      </c>
      <c r="II6">
        <v>4.9203999999999998E-2</v>
      </c>
      <c r="IJ6">
        <v>1.7811E-2</v>
      </c>
      <c r="IK6" t="s">
        <v>1603</v>
      </c>
      <c r="IL6">
        <v>2025</v>
      </c>
      <c r="IM6" t="s">
        <v>3163</v>
      </c>
      <c r="IN6" s="6">
        <v>45855</v>
      </c>
      <c r="IO6">
        <v>5</v>
      </c>
      <c r="IP6">
        <v>234030</v>
      </c>
      <c r="IQ6">
        <v>171977</v>
      </c>
      <c r="IR6" t="s">
        <v>3164</v>
      </c>
      <c r="LS6" t="s">
        <v>240</v>
      </c>
      <c r="LT6" t="s">
        <v>1598</v>
      </c>
      <c r="LU6">
        <v>0.57338800000000001</v>
      </c>
      <c r="LV6">
        <v>3.5686900000000001</v>
      </c>
      <c r="LW6" t="s">
        <v>1599</v>
      </c>
      <c r="LX6">
        <v>2025</v>
      </c>
      <c r="LY6" t="s">
        <v>2219</v>
      </c>
      <c r="LZ6" s="6">
        <v>46018</v>
      </c>
      <c r="MA6">
        <v>5</v>
      </c>
      <c r="MB6">
        <v>137572976</v>
      </c>
      <c r="MC6">
        <v>100828</v>
      </c>
      <c r="MD6" t="s">
        <v>1865</v>
      </c>
      <c r="MG6" t="s">
        <v>277</v>
      </c>
      <c r="MH6">
        <v>9.6462509999999995</v>
      </c>
      <c r="MI6" t="s">
        <v>1598</v>
      </c>
      <c r="MJ6">
        <v>2.2510729999999999</v>
      </c>
      <c r="MK6" t="s">
        <v>1599</v>
      </c>
      <c r="ML6">
        <v>2025</v>
      </c>
      <c r="MM6" t="s">
        <v>5050</v>
      </c>
      <c r="MN6" s="6">
        <v>45985</v>
      </c>
      <c r="MO6">
        <v>5</v>
      </c>
      <c r="MP6">
        <v>1666486272</v>
      </c>
      <c r="MQ6">
        <v>154936</v>
      </c>
      <c r="MR6" t="s">
        <v>1766</v>
      </c>
      <c r="MW6" t="s">
        <v>3655</v>
      </c>
      <c r="MX6" t="s">
        <v>1598</v>
      </c>
      <c r="MY6">
        <v>0.347161</v>
      </c>
      <c r="MZ6">
        <v>4.1422239999999997</v>
      </c>
      <c r="NA6" t="s">
        <v>1664</v>
      </c>
      <c r="NB6">
        <v>2025</v>
      </c>
      <c r="NC6" t="s">
        <v>3656</v>
      </c>
      <c r="ND6" s="6">
        <v>45889</v>
      </c>
      <c r="NE6">
        <v>5</v>
      </c>
      <c r="NF6">
        <v>201928052.13999999</v>
      </c>
      <c r="NG6">
        <v>119133</v>
      </c>
      <c r="NH6" t="s">
        <v>3657</v>
      </c>
      <c r="NK6" t="s">
        <v>178</v>
      </c>
      <c r="NL6">
        <v>2.8732120000000001</v>
      </c>
      <c r="NM6" t="s">
        <v>1634</v>
      </c>
      <c r="NN6">
        <v>2.4006630000000002</v>
      </c>
      <c r="NO6" t="s">
        <v>1664</v>
      </c>
      <c r="NP6">
        <v>2025</v>
      </c>
      <c r="NQ6" t="s">
        <v>3227</v>
      </c>
      <c r="NR6" s="6">
        <v>45783</v>
      </c>
      <c r="NS6">
        <v>5</v>
      </c>
      <c r="NT6">
        <v>401991104</v>
      </c>
      <c r="NU6">
        <v>101743</v>
      </c>
      <c r="NV6" t="s">
        <v>1736</v>
      </c>
      <c r="OO6" t="s">
        <v>2381</v>
      </c>
      <c r="OP6">
        <v>5.5277839999999996</v>
      </c>
      <c r="OQ6" t="s">
        <v>1685</v>
      </c>
      <c r="OR6">
        <v>0.109489</v>
      </c>
      <c r="OS6" t="s">
        <v>1594</v>
      </c>
      <c r="OT6">
        <v>2025</v>
      </c>
      <c r="OU6" t="s">
        <v>4168</v>
      </c>
      <c r="OV6" s="6">
        <v>46058</v>
      </c>
      <c r="OW6">
        <v>5</v>
      </c>
      <c r="OX6">
        <v>13734000</v>
      </c>
      <c r="OY6">
        <v>46946968</v>
      </c>
      <c r="OZ6" t="s">
        <v>2382</v>
      </c>
      <c r="PE6" t="s">
        <v>3247</v>
      </c>
      <c r="PF6" t="s">
        <v>1598</v>
      </c>
      <c r="PG6">
        <v>18.799999</v>
      </c>
      <c r="PH6">
        <v>1.3186310000000001</v>
      </c>
      <c r="PI6" t="s">
        <v>1594</v>
      </c>
      <c r="PJ6">
        <v>2025</v>
      </c>
      <c r="PK6" t="s">
        <v>3248</v>
      </c>
      <c r="PL6" s="6">
        <v>46066</v>
      </c>
      <c r="PM6">
        <v>5</v>
      </c>
      <c r="PN6">
        <v>82922096</v>
      </c>
      <c r="PO6">
        <v>70593168</v>
      </c>
      <c r="PP6" t="s">
        <v>3249</v>
      </c>
      <c r="PS6" t="s">
        <v>2649</v>
      </c>
      <c r="PT6">
        <v>6.5428839999999999</v>
      </c>
      <c r="PU6" t="s">
        <v>1598</v>
      </c>
      <c r="PV6">
        <v>5.4942979999999997</v>
      </c>
      <c r="PW6" t="s">
        <v>1606</v>
      </c>
      <c r="PX6">
        <v>2025</v>
      </c>
      <c r="PY6" t="s">
        <v>2650</v>
      </c>
      <c r="PZ6" s="6">
        <v>46065</v>
      </c>
      <c r="QA6">
        <v>5</v>
      </c>
      <c r="QB6">
        <v>558500608</v>
      </c>
      <c r="QC6">
        <v>69716006</v>
      </c>
      <c r="QD6" t="s">
        <v>2651</v>
      </c>
      <c r="RM6" t="s">
        <v>2152</v>
      </c>
      <c r="RO6">
        <v>-2.4245362661989844E-14</v>
      </c>
      <c r="RP6">
        <v>-2.4245362661989844E-14</v>
      </c>
      <c r="RQ6" t="s">
        <v>1594</v>
      </c>
      <c r="RR6">
        <v>2021</v>
      </c>
      <c r="RS6" t="s">
        <v>2153</v>
      </c>
      <c r="RT6" s="6">
        <v>44693</v>
      </c>
      <c r="RU6">
        <v>5</v>
      </c>
      <c r="RV6">
        <v>-2.4245362661989844E-14</v>
      </c>
      <c r="RW6">
        <v>100060</v>
      </c>
      <c r="RX6" t="s">
        <v>2154</v>
      </c>
      <c r="SA6" t="s">
        <v>6083</v>
      </c>
      <c r="SB6">
        <v>-2.4245362661989844E-14</v>
      </c>
      <c r="SD6">
        <v>-2.4245362661989844E-14</v>
      </c>
      <c r="SE6" t="s">
        <v>1594</v>
      </c>
      <c r="SF6">
        <v>2023</v>
      </c>
      <c r="SG6" t="s">
        <v>6084</v>
      </c>
      <c r="SH6" s="6">
        <v>45131</v>
      </c>
      <c r="SI6">
        <v>5</v>
      </c>
      <c r="SJ6">
        <v>-2.4245362661989844E-14</v>
      </c>
      <c r="SK6">
        <v>17049052</v>
      </c>
      <c r="SL6" t="s">
        <v>6085</v>
      </c>
      <c r="SQ6" t="s">
        <v>5237</v>
      </c>
      <c r="SS6">
        <v>-2.4245362661989844E-14</v>
      </c>
      <c r="ST6">
        <v>-2.4245362661989844E-14</v>
      </c>
      <c r="SU6" t="s">
        <v>1594</v>
      </c>
      <c r="SV6">
        <v>2024</v>
      </c>
      <c r="SW6" t="s">
        <v>5238</v>
      </c>
      <c r="SX6" s="6">
        <v>45511</v>
      </c>
      <c r="SY6">
        <v>5</v>
      </c>
      <c r="SZ6">
        <v>-2.4245362661989844E-14</v>
      </c>
      <c r="TA6">
        <v>169071</v>
      </c>
      <c r="TB6" t="s">
        <v>5239</v>
      </c>
      <c r="TE6" t="s">
        <v>4583</v>
      </c>
      <c r="TF6">
        <v>-2.4245362661989844E-14</v>
      </c>
      <c r="TH6">
        <v>-2.4245362661989844E-14</v>
      </c>
      <c r="TI6" t="s">
        <v>1594</v>
      </c>
      <c r="TJ6">
        <v>2025</v>
      </c>
      <c r="TK6" t="s">
        <v>4584</v>
      </c>
      <c r="TL6" s="6">
        <v>46087</v>
      </c>
      <c r="TM6">
        <v>5</v>
      </c>
      <c r="TN6">
        <v>-2.4245362661989844E-14</v>
      </c>
      <c r="TO6">
        <v>100179</v>
      </c>
      <c r="TP6" t="s">
        <v>4585</v>
      </c>
      <c r="UY6" t="s">
        <v>2298</v>
      </c>
      <c r="UZ6" t="s">
        <v>1598</v>
      </c>
      <c r="VA6">
        <v>2.7827999999999999E-2</v>
      </c>
      <c r="VB6">
        <v>3.8362E-2</v>
      </c>
      <c r="VC6" t="s">
        <v>1599</v>
      </c>
      <c r="VD6">
        <v>2025</v>
      </c>
      <c r="VE6" t="s">
        <v>2299</v>
      </c>
      <c r="VF6" s="6">
        <v>45993</v>
      </c>
      <c r="VG6">
        <v>5</v>
      </c>
      <c r="VH6">
        <v>998190</v>
      </c>
      <c r="VI6">
        <v>100415</v>
      </c>
      <c r="VJ6" t="s">
        <v>2300</v>
      </c>
      <c r="VM6" t="s">
        <v>431</v>
      </c>
      <c r="VN6">
        <v>5.5694879999999998</v>
      </c>
      <c r="VO6" t="s">
        <v>1598</v>
      </c>
      <c r="VP6">
        <v>2.3995069999999998</v>
      </c>
      <c r="VQ6" t="s">
        <v>1664</v>
      </c>
      <c r="VR6">
        <v>2025</v>
      </c>
      <c r="VS6" t="s">
        <v>5174</v>
      </c>
      <c r="VT6" s="6">
        <v>45922</v>
      </c>
      <c r="VU6">
        <v>5</v>
      </c>
      <c r="VV6">
        <v>164466976</v>
      </c>
      <c r="VW6">
        <v>100887</v>
      </c>
      <c r="VX6" t="s">
        <v>1723</v>
      </c>
    </row>
    <row r="7" spans="1:600" x14ac:dyDescent="0.25">
      <c r="A7" t="s">
        <v>5916</v>
      </c>
      <c r="C7">
        <v>-2.4245362661989844E-14</v>
      </c>
      <c r="D7">
        <v>-2.4245362661989844E-14</v>
      </c>
      <c r="E7" t="s">
        <v>1594</v>
      </c>
      <c r="F7">
        <v>2022</v>
      </c>
      <c r="G7" t="s">
        <v>5917</v>
      </c>
      <c r="H7" s="6">
        <v>44673</v>
      </c>
      <c r="I7">
        <v>5</v>
      </c>
      <c r="J7">
        <v>-2.4245362661989844E-14</v>
      </c>
      <c r="K7">
        <v>355575</v>
      </c>
      <c r="L7" t="s">
        <v>5918</v>
      </c>
      <c r="O7" t="s">
        <v>29</v>
      </c>
      <c r="P7">
        <v>14</v>
      </c>
      <c r="Q7" t="s">
        <v>1598</v>
      </c>
      <c r="R7">
        <v>2.6252870000000001</v>
      </c>
      <c r="S7" t="s">
        <v>1594</v>
      </c>
      <c r="T7">
        <v>2025</v>
      </c>
      <c r="U7" t="s">
        <v>2379</v>
      </c>
      <c r="V7" s="6">
        <v>46077</v>
      </c>
      <c r="W7">
        <v>5</v>
      </c>
      <c r="X7">
        <v>372560992</v>
      </c>
      <c r="Y7">
        <v>100185</v>
      </c>
      <c r="Z7" t="s">
        <v>3617</v>
      </c>
      <c r="BI7" t="s">
        <v>4642</v>
      </c>
      <c r="BJ7" t="s">
        <v>1598</v>
      </c>
      <c r="BK7">
        <v>0.39923900000000001</v>
      </c>
      <c r="BL7">
        <v>1.515544</v>
      </c>
      <c r="BM7" t="s">
        <v>1603</v>
      </c>
      <c r="BN7">
        <v>2025</v>
      </c>
      <c r="BO7" t="s">
        <v>4643</v>
      </c>
      <c r="BP7" s="6">
        <v>45866</v>
      </c>
      <c r="BQ7">
        <v>5</v>
      </c>
      <c r="BR7">
        <v>18607183.170000002</v>
      </c>
      <c r="BS7">
        <v>7359591</v>
      </c>
      <c r="BT7" t="s">
        <v>4644</v>
      </c>
      <c r="BW7" t="s">
        <v>1774</v>
      </c>
      <c r="BX7">
        <v>0.49351600000000001</v>
      </c>
      <c r="BY7" t="s">
        <v>1598</v>
      </c>
      <c r="BZ7">
        <v>0.16125400000000001</v>
      </c>
      <c r="CA7" t="s">
        <v>1664</v>
      </c>
      <c r="CB7">
        <v>2026</v>
      </c>
      <c r="CC7" t="s">
        <v>1782</v>
      </c>
      <c r="CD7" s="6">
        <v>45932</v>
      </c>
      <c r="CE7">
        <v>5</v>
      </c>
      <c r="CF7">
        <v>13645717</v>
      </c>
      <c r="CG7">
        <v>100197</v>
      </c>
      <c r="CH7" t="s">
        <v>1775</v>
      </c>
      <c r="CM7" t="s">
        <v>2269</v>
      </c>
      <c r="CN7" t="s">
        <v>1598</v>
      </c>
      <c r="CO7">
        <v>7.4065000000000006E-2</v>
      </c>
      <c r="CP7">
        <v>2.879E-3</v>
      </c>
      <c r="CQ7" t="s">
        <v>1594</v>
      </c>
      <c r="CR7">
        <v>2024</v>
      </c>
      <c r="CS7" t="s">
        <v>2270</v>
      </c>
      <c r="CT7" s="6">
        <v>45758</v>
      </c>
      <c r="CU7">
        <v>5</v>
      </c>
      <c r="CV7">
        <v>46697.46</v>
      </c>
      <c r="CW7">
        <v>130878</v>
      </c>
      <c r="CX7" t="s">
        <v>2271</v>
      </c>
      <c r="DA7" t="s">
        <v>1795</v>
      </c>
      <c r="DB7">
        <v>-2.4245362661989844E-14</v>
      </c>
      <c r="DD7">
        <v>-2.4245362661989844E-14</v>
      </c>
      <c r="DE7" t="s">
        <v>1664</v>
      </c>
      <c r="DF7">
        <v>2024</v>
      </c>
      <c r="DG7" t="s">
        <v>1796</v>
      </c>
      <c r="DH7" s="6">
        <v>45433</v>
      </c>
      <c r="DI7">
        <v>5</v>
      </c>
      <c r="DJ7">
        <v>-2.4245362661989844E-14</v>
      </c>
      <c r="DK7">
        <v>27196144</v>
      </c>
      <c r="DL7" t="s">
        <v>1797</v>
      </c>
      <c r="DQ7" t="s">
        <v>620</v>
      </c>
      <c r="DR7" t="s">
        <v>1598</v>
      </c>
      <c r="DS7">
        <v>0.69203999999999999</v>
      </c>
      <c r="DT7">
        <v>4.3590999999999998E-2</v>
      </c>
      <c r="DU7" t="s">
        <v>1664</v>
      </c>
      <c r="DV7">
        <v>2025</v>
      </c>
      <c r="DW7" t="s">
        <v>2970</v>
      </c>
      <c r="DX7" s="6">
        <v>45891</v>
      </c>
      <c r="DY7">
        <v>5</v>
      </c>
      <c r="DZ7">
        <v>18307918</v>
      </c>
      <c r="EA7">
        <v>104597</v>
      </c>
      <c r="EB7" t="s">
        <v>2971</v>
      </c>
      <c r="EE7" t="s">
        <v>2815</v>
      </c>
      <c r="EF7">
        <v>-2.4245362661989844E-14</v>
      </c>
      <c r="EH7">
        <v>-2.4245362661989844E-14</v>
      </c>
      <c r="EI7" t="s">
        <v>1594</v>
      </c>
      <c r="EJ7">
        <v>2022</v>
      </c>
      <c r="EK7" t="s">
        <v>2816</v>
      </c>
      <c r="EL7" s="6">
        <v>45008</v>
      </c>
      <c r="EM7">
        <v>5</v>
      </c>
      <c r="EN7">
        <v>-2.4245362661989844E-14</v>
      </c>
      <c r="EO7">
        <v>11533366</v>
      </c>
      <c r="EP7" t="s">
        <v>2817</v>
      </c>
      <c r="FY7" t="s">
        <v>2383</v>
      </c>
      <c r="FZ7" t="s">
        <v>1634</v>
      </c>
      <c r="GA7">
        <v>2.2846000000000002E-2</v>
      </c>
      <c r="GB7">
        <v>2.8128380000000002</v>
      </c>
      <c r="GC7" t="s">
        <v>1599</v>
      </c>
      <c r="GD7">
        <v>2025</v>
      </c>
      <c r="GE7" t="s">
        <v>2384</v>
      </c>
      <c r="GF7" s="6">
        <v>46029</v>
      </c>
      <c r="GG7">
        <v>5</v>
      </c>
      <c r="GH7">
        <v>1350467.19</v>
      </c>
      <c r="GI7">
        <v>115705</v>
      </c>
      <c r="GJ7" t="s">
        <v>2385</v>
      </c>
      <c r="GM7" t="s">
        <v>2606</v>
      </c>
      <c r="GN7">
        <v>-2.4245362661989844E-14</v>
      </c>
      <c r="GP7">
        <v>-2.4245362661989844E-14</v>
      </c>
      <c r="GQ7" t="s">
        <v>1594</v>
      </c>
      <c r="GR7">
        <v>2024</v>
      </c>
      <c r="GS7" t="s">
        <v>2607</v>
      </c>
      <c r="GT7" s="6">
        <v>45715</v>
      </c>
      <c r="GU7">
        <v>5</v>
      </c>
      <c r="GV7">
        <v>-2.4245362661989844E-14</v>
      </c>
      <c r="GW7">
        <v>27514034</v>
      </c>
      <c r="GX7" t="s">
        <v>2608</v>
      </c>
      <c r="HC7" t="s">
        <v>2200</v>
      </c>
      <c r="HE7">
        <v>-2.4245362661989844E-14</v>
      </c>
      <c r="HF7">
        <v>-2.4245362661989844E-14</v>
      </c>
      <c r="HG7" t="s">
        <v>1594</v>
      </c>
      <c r="HH7">
        <v>2024</v>
      </c>
      <c r="HI7" t="s">
        <v>2198</v>
      </c>
      <c r="HJ7" s="6">
        <v>45482</v>
      </c>
      <c r="HK7">
        <v>5</v>
      </c>
      <c r="HL7">
        <v>-2.4245362661989844E-14</v>
      </c>
      <c r="HM7">
        <v>70079185</v>
      </c>
      <c r="HN7" t="s">
        <v>2201</v>
      </c>
      <c r="HQ7" t="s">
        <v>1853</v>
      </c>
      <c r="HR7">
        <v>-2.4245362661989844E-14</v>
      </c>
      <c r="HT7">
        <v>-2.4245362661989844E-14</v>
      </c>
      <c r="HU7" t="s">
        <v>1594</v>
      </c>
      <c r="HV7">
        <v>2021</v>
      </c>
      <c r="HW7" t="s">
        <v>1849</v>
      </c>
      <c r="HX7" s="6">
        <v>44693</v>
      </c>
      <c r="HY7">
        <v>5</v>
      </c>
      <c r="HZ7">
        <v>-2.4245362661989844E-14</v>
      </c>
      <c r="IA7">
        <v>18546813</v>
      </c>
      <c r="IB7" t="s">
        <v>1854</v>
      </c>
      <c r="IG7" t="s">
        <v>4984</v>
      </c>
      <c r="II7">
        <v>-2.4245362661989844E-14</v>
      </c>
      <c r="IJ7">
        <v>-2.4245362661989844E-14</v>
      </c>
      <c r="IK7" t="s">
        <v>1594</v>
      </c>
      <c r="IL7">
        <v>2025</v>
      </c>
      <c r="IM7" t="s">
        <v>4985</v>
      </c>
      <c r="IN7" s="6">
        <v>46066</v>
      </c>
      <c r="IO7">
        <v>5</v>
      </c>
      <c r="IP7">
        <v>-2.4245362661989844E-14</v>
      </c>
      <c r="IQ7">
        <v>117123</v>
      </c>
      <c r="IR7" t="s">
        <v>4986</v>
      </c>
      <c r="LS7" t="s">
        <v>4870</v>
      </c>
      <c r="LT7" t="s">
        <v>1598</v>
      </c>
      <c r="LU7">
        <v>6.0908949999999997</v>
      </c>
      <c r="LV7">
        <v>2.5669719999999998</v>
      </c>
      <c r="LW7" t="s">
        <v>1594</v>
      </c>
      <c r="LX7">
        <v>2024</v>
      </c>
      <c r="LY7" t="s">
        <v>4871</v>
      </c>
      <c r="LZ7" s="6">
        <v>45713</v>
      </c>
      <c r="MA7">
        <v>5</v>
      </c>
      <c r="MB7">
        <v>97500000</v>
      </c>
      <c r="MC7">
        <v>69483676</v>
      </c>
      <c r="MD7" t="s">
        <v>4872</v>
      </c>
      <c r="MG7" t="s">
        <v>618</v>
      </c>
      <c r="MH7">
        <v>7.5766629999999999</v>
      </c>
      <c r="MI7" t="s">
        <v>1598</v>
      </c>
      <c r="MJ7">
        <v>2.12181</v>
      </c>
      <c r="MK7" t="s">
        <v>1599</v>
      </c>
      <c r="ML7">
        <v>2025</v>
      </c>
      <c r="MM7" t="s">
        <v>5050</v>
      </c>
      <c r="MN7" s="6">
        <v>45985</v>
      </c>
      <c r="MO7">
        <v>5</v>
      </c>
      <c r="MP7">
        <v>1308944256</v>
      </c>
      <c r="MQ7">
        <v>102782</v>
      </c>
      <c r="MR7" t="s">
        <v>1626</v>
      </c>
      <c r="MW7" t="s">
        <v>2582</v>
      </c>
      <c r="MX7" t="s">
        <v>1598</v>
      </c>
      <c r="MY7">
        <v>0.664825</v>
      </c>
      <c r="MZ7">
        <v>3.6327410000000002</v>
      </c>
      <c r="NA7" t="s">
        <v>1606</v>
      </c>
      <c r="NB7">
        <v>2024</v>
      </c>
      <c r="NC7" t="s">
        <v>3144</v>
      </c>
      <c r="ND7" s="6">
        <v>45741</v>
      </c>
      <c r="NE7">
        <v>5</v>
      </c>
      <c r="NF7">
        <v>178478249.27000001</v>
      </c>
      <c r="NG7">
        <v>153737</v>
      </c>
      <c r="NH7" t="s">
        <v>2584</v>
      </c>
      <c r="NK7" t="s">
        <v>2376</v>
      </c>
      <c r="NL7">
        <v>2.64514</v>
      </c>
      <c r="NM7" t="s">
        <v>1598</v>
      </c>
      <c r="NN7">
        <v>1.094911</v>
      </c>
      <c r="NO7" t="s">
        <v>1664</v>
      </c>
      <c r="NP7">
        <v>2025</v>
      </c>
      <c r="NQ7" t="s">
        <v>3227</v>
      </c>
      <c r="NR7" s="6">
        <v>45783</v>
      </c>
      <c r="NS7">
        <v>5</v>
      </c>
      <c r="NT7">
        <v>370081536</v>
      </c>
      <c r="NU7">
        <v>117929</v>
      </c>
      <c r="NV7" t="s">
        <v>2378</v>
      </c>
      <c r="OO7" t="s">
        <v>2528</v>
      </c>
      <c r="OP7">
        <v>4.2957650000000003</v>
      </c>
      <c r="OQ7" t="s">
        <v>1685</v>
      </c>
      <c r="OR7">
        <v>9.4242830000000009</v>
      </c>
      <c r="OS7" t="s">
        <v>1594</v>
      </c>
      <c r="OT7">
        <v>2025</v>
      </c>
      <c r="OU7" t="s">
        <v>4168</v>
      </c>
      <c r="OV7" s="6">
        <v>46058</v>
      </c>
      <c r="OW7">
        <v>5</v>
      </c>
      <c r="OX7">
        <v>10673000</v>
      </c>
      <c r="OY7">
        <v>202476</v>
      </c>
      <c r="OZ7" t="s">
        <v>2530</v>
      </c>
      <c r="PE7" t="s">
        <v>3250</v>
      </c>
      <c r="PF7" t="s">
        <v>1598</v>
      </c>
      <c r="PG7">
        <v>80.317284000000001</v>
      </c>
      <c r="PH7">
        <v>0.77947500000000003</v>
      </c>
      <c r="PI7" t="s">
        <v>1594</v>
      </c>
      <c r="PJ7">
        <v>2025</v>
      </c>
      <c r="PK7" t="s">
        <v>3251</v>
      </c>
      <c r="PL7" s="6">
        <v>45854</v>
      </c>
      <c r="PM7">
        <v>5</v>
      </c>
      <c r="PN7">
        <v>49352036.219999999</v>
      </c>
      <c r="PO7">
        <v>223616</v>
      </c>
      <c r="PP7" t="s">
        <v>3252</v>
      </c>
      <c r="PS7" t="s">
        <v>2652</v>
      </c>
      <c r="PT7">
        <v>6.4564769999999996</v>
      </c>
      <c r="PU7" t="s">
        <v>1598</v>
      </c>
      <c r="PV7">
        <v>5.5395469999999998</v>
      </c>
      <c r="PW7" t="s">
        <v>1606</v>
      </c>
      <c r="PX7">
        <v>2025</v>
      </c>
      <c r="PY7" t="s">
        <v>2650</v>
      </c>
      <c r="PZ7" s="6">
        <v>46065</v>
      </c>
      <c r="QA7">
        <v>5</v>
      </c>
      <c r="QB7">
        <v>551124864</v>
      </c>
      <c r="QC7">
        <v>12409566</v>
      </c>
      <c r="QD7" t="s">
        <v>2653</v>
      </c>
      <c r="RM7" t="s">
        <v>5614</v>
      </c>
      <c r="RO7">
        <v>-2.4245362661989844E-14</v>
      </c>
      <c r="RP7">
        <v>-2.4245362661989844E-14</v>
      </c>
      <c r="RQ7" t="s">
        <v>1594</v>
      </c>
      <c r="RR7">
        <v>2024</v>
      </c>
      <c r="RS7" t="s">
        <v>5615</v>
      </c>
      <c r="RT7" s="6">
        <v>45761</v>
      </c>
      <c r="RU7">
        <v>5</v>
      </c>
      <c r="RV7">
        <v>-2.4245362661989844E-14</v>
      </c>
      <c r="RW7">
        <v>10612484</v>
      </c>
      <c r="RX7" t="s">
        <v>5616</v>
      </c>
      <c r="SA7" t="s">
        <v>6086</v>
      </c>
      <c r="SB7">
        <v>-2.4245362661989844E-14</v>
      </c>
      <c r="SD7">
        <v>-2.4245362661989844E-14</v>
      </c>
      <c r="SE7" t="s">
        <v>1603</v>
      </c>
      <c r="SF7">
        <v>2025</v>
      </c>
      <c r="SG7" t="s">
        <v>6087</v>
      </c>
      <c r="SH7" s="6">
        <v>45518</v>
      </c>
      <c r="SI7">
        <v>5</v>
      </c>
      <c r="SJ7">
        <v>-2.4245362661989844E-14</v>
      </c>
      <c r="SK7">
        <v>193746</v>
      </c>
      <c r="SL7" t="s">
        <v>6088</v>
      </c>
      <c r="SQ7" t="s">
        <v>5240</v>
      </c>
      <c r="SS7">
        <v>-2.4245362661989844E-14</v>
      </c>
      <c r="ST7">
        <v>-2.4245362661989844E-14</v>
      </c>
      <c r="SU7" t="s">
        <v>1594</v>
      </c>
      <c r="SV7">
        <v>2024</v>
      </c>
      <c r="SW7" t="s">
        <v>5241</v>
      </c>
      <c r="SX7" s="6">
        <v>45728</v>
      </c>
      <c r="SY7">
        <v>5</v>
      </c>
      <c r="SZ7">
        <v>-2.4245362661989844E-14</v>
      </c>
      <c r="TA7">
        <v>384585</v>
      </c>
      <c r="TB7" t="s">
        <v>5242</v>
      </c>
      <c r="TE7" t="s">
        <v>29</v>
      </c>
      <c r="TF7">
        <v>-2.4245362661989844E-14</v>
      </c>
      <c r="TH7">
        <v>-2.4245362661989844E-14</v>
      </c>
      <c r="TI7" t="s">
        <v>1594</v>
      </c>
      <c r="TJ7">
        <v>2022</v>
      </c>
      <c r="TK7" t="s">
        <v>4586</v>
      </c>
      <c r="TL7" s="6">
        <v>44862</v>
      </c>
      <c r="TM7">
        <v>5</v>
      </c>
      <c r="TN7">
        <v>-2.4245362661989844E-14</v>
      </c>
      <c r="TO7">
        <v>100185</v>
      </c>
      <c r="TP7" t="s">
        <v>3617</v>
      </c>
      <c r="UY7" t="s">
        <v>2356</v>
      </c>
      <c r="VA7">
        <v>-2.4245362661989844E-14</v>
      </c>
      <c r="VB7">
        <v>-2.4245362661989844E-14</v>
      </c>
      <c r="VC7" t="s">
        <v>1594</v>
      </c>
      <c r="VD7">
        <v>2024</v>
      </c>
      <c r="VE7" t="s">
        <v>5252</v>
      </c>
      <c r="VF7" s="6">
        <v>45775</v>
      </c>
      <c r="VG7">
        <v>5</v>
      </c>
      <c r="VH7">
        <v>-2.4245362661989844E-14</v>
      </c>
      <c r="VI7">
        <v>12202769</v>
      </c>
      <c r="VJ7" t="s">
        <v>2358</v>
      </c>
      <c r="VM7" t="s">
        <v>1717</v>
      </c>
      <c r="VN7">
        <v>5.4120119999999998</v>
      </c>
      <c r="VO7" t="s">
        <v>1598</v>
      </c>
      <c r="VP7">
        <v>2.2954590000000001</v>
      </c>
      <c r="VQ7" t="s">
        <v>1664</v>
      </c>
      <c r="VR7">
        <v>2025</v>
      </c>
      <c r="VS7" t="s">
        <v>5174</v>
      </c>
      <c r="VT7" s="6">
        <v>45922</v>
      </c>
      <c r="VU7">
        <v>5</v>
      </c>
      <c r="VV7">
        <v>159816720</v>
      </c>
      <c r="VW7">
        <v>103445</v>
      </c>
      <c r="VX7" t="s">
        <v>1719</v>
      </c>
    </row>
    <row r="8" spans="1:600" x14ac:dyDescent="0.25">
      <c r="A8" t="s">
        <v>5919</v>
      </c>
      <c r="C8">
        <v>-2.4245362661989844E-14</v>
      </c>
      <c r="D8">
        <v>-2.4245362661989844E-14</v>
      </c>
      <c r="E8" t="s">
        <v>1594</v>
      </c>
      <c r="F8">
        <v>2025</v>
      </c>
      <c r="G8" t="s">
        <v>5920</v>
      </c>
      <c r="H8" s="6">
        <v>46066</v>
      </c>
      <c r="I8">
        <v>5</v>
      </c>
      <c r="J8">
        <v>-2.4245362661989844E-14</v>
      </c>
      <c r="K8">
        <v>49298461</v>
      </c>
      <c r="L8" t="s">
        <v>5921</v>
      </c>
      <c r="O8" t="s">
        <v>5656</v>
      </c>
      <c r="P8">
        <v>10</v>
      </c>
      <c r="Q8" t="s">
        <v>1598</v>
      </c>
      <c r="R8">
        <v>2.5764330000000002</v>
      </c>
      <c r="S8" t="s">
        <v>1594</v>
      </c>
      <c r="T8">
        <v>2025</v>
      </c>
      <c r="U8" t="s">
        <v>2379</v>
      </c>
      <c r="V8" s="6">
        <v>46077</v>
      </c>
      <c r="W8">
        <v>5</v>
      </c>
      <c r="X8">
        <v>266115008</v>
      </c>
      <c r="Y8">
        <v>101450</v>
      </c>
      <c r="Z8" t="s">
        <v>5657</v>
      </c>
      <c r="BI8" t="s">
        <v>4645</v>
      </c>
      <c r="BJ8" t="s">
        <v>1598</v>
      </c>
      <c r="BK8">
        <v>0.52334800000000004</v>
      </c>
      <c r="BL8">
        <v>0.67549400000000004</v>
      </c>
      <c r="BM8" t="s">
        <v>1603</v>
      </c>
      <c r="BN8">
        <v>2025</v>
      </c>
      <c r="BO8" t="s">
        <v>4646</v>
      </c>
      <c r="BP8" s="6">
        <v>45792</v>
      </c>
      <c r="BQ8">
        <v>5</v>
      </c>
      <c r="BR8">
        <v>8295066</v>
      </c>
      <c r="BS8">
        <v>15242973</v>
      </c>
      <c r="BT8" t="s">
        <v>4647</v>
      </c>
      <c r="BW8" t="s">
        <v>1679</v>
      </c>
      <c r="BX8">
        <v>0.48504599999999998</v>
      </c>
      <c r="BY8" t="s">
        <v>1598</v>
      </c>
      <c r="BZ8">
        <v>0.30077399999999999</v>
      </c>
      <c r="CA8" t="s">
        <v>1603</v>
      </c>
      <c r="CB8">
        <v>2025</v>
      </c>
      <c r="CC8" t="s">
        <v>1680</v>
      </c>
      <c r="CD8" s="6">
        <v>45820</v>
      </c>
      <c r="CE8">
        <v>5</v>
      </c>
      <c r="CF8">
        <v>12261954</v>
      </c>
      <c r="CG8">
        <v>12129192</v>
      </c>
      <c r="CH8" t="s">
        <v>1681</v>
      </c>
      <c r="CM8" t="s">
        <v>2272</v>
      </c>
      <c r="CN8" t="s">
        <v>1634</v>
      </c>
      <c r="CO8">
        <v>2.0240000000000002E-3</v>
      </c>
      <c r="CP8">
        <v>2.6168E-2</v>
      </c>
      <c r="CQ8" t="s">
        <v>1599</v>
      </c>
      <c r="CR8">
        <v>2025</v>
      </c>
      <c r="CS8" t="s">
        <v>2273</v>
      </c>
      <c r="CT8" s="6">
        <v>45964</v>
      </c>
      <c r="CU8">
        <v>5</v>
      </c>
      <c r="CV8">
        <v>10506</v>
      </c>
      <c r="CW8">
        <v>16546862</v>
      </c>
      <c r="CX8" t="s">
        <v>2274</v>
      </c>
      <c r="DA8" t="s">
        <v>1798</v>
      </c>
      <c r="DB8">
        <v>-2.4245362661989844E-14</v>
      </c>
      <c r="DD8">
        <v>-2.4245362661989844E-14</v>
      </c>
      <c r="DE8" t="s">
        <v>1594</v>
      </c>
      <c r="DF8">
        <v>2024</v>
      </c>
      <c r="DG8" t="s">
        <v>1799</v>
      </c>
      <c r="DH8" s="6">
        <v>45771</v>
      </c>
      <c r="DI8">
        <v>5</v>
      </c>
      <c r="DJ8">
        <v>-2.4245362661989844E-14</v>
      </c>
      <c r="DK8">
        <v>135686</v>
      </c>
      <c r="DL8" t="s">
        <v>1800</v>
      </c>
      <c r="DQ8" t="s">
        <v>1084</v>
      </c>
      <c r="DR8" t="s">
        <v>1685</v>
      </c>
      <c r="DS8">
        <v>0.17041600000000001</v>
      </c>
      <c r="DT8">
        <v>0.18884000000000001</v>
      </c>
      <c r="DU8" t="s">
        <v>1664</v>
      </c>
      <c r="DV8">
        <v>2025</v>
      </c>
      <c r="DW8" t="s">
        <v>2052</v>
      </c>
      <c r="DX8" s="6">
        <v>45838</v>
      </c>
      <c r="DY8">
        <v>5</v>
      </c>
      <c r="DZ8">
        <v>10008532</v>
      </c>
      <c r="EA8">
        <v>101689</v>
      </c>
      <c r="EB8" t="s">
        <v>2053</v>
      </c>
      <c r="EE8" t="s">
        <v>2818</v>
      </c>
      <c r="EF8">
        <v>-2.4245362661989844E-14</v>
      </c>
      <c r="EH8">
        <v>-2.4245362661989844E-14</v>
      </c>
      <c r="EI8" t="s">
        <v>1594</v>
      </c>
      <c r="EJ8">
        <v>2024</v>
      </c>
      <c r="EK8" t="s">
        <v>2819</v>
      </c>
      <c r="EL8" s="6">
        <v>45404</v>
      </c>
      <c r="EM8">
        <v>5</v>
      </c>
      <c r="EN8">
        <v>-2.4245362661989844E-14</v>
      </c>
      <c r="EO8">
        <v>59738013</v>
      </c>
      <c r="EP8" t="s">
        <v>2820</v>
      </c>
      <c r="FY8" t="s">
        <v>2600</v>
      </c>
      <c r="GA8">
        <v>-2.4245362661989844E-14</v>
      </c>
      <c r="GB8">
        <v>-2.4245362661989844E-14</v>
      </c>
      <c r="GC8" t="s">
        <v>1594</v>
      </c>
      <c r="GD8">
        <v>2022</v>
      </c>
      <c r="GE8" t="s">
        <v>2601</v>
      </c>
      <c r="GF8" s="6">
        <v>45005</v>
      </c>
      <c r="GG8">
        <v>5</v>
      </c>
      <c r="GH8">
        <v>-2.4245362661989844E-14</v>
      </c>
      <c r="GI8">
        <v>827647</v>
      </c>
      <c r="GJ8" t="s">
        <v>2602</v>
      </c>
      <c r="GM8" t="s">
        <v>2609</v>
      </c>
      <c r="GN8">
        <v>-2.4245362661989844E-14</v>
      </c>
      <c r="GP8">
        <v>-2.4245362661989844E-14</v>
      </c>
      <c r="GQ8" t="s">
        <v>1594</v>
      </c>
      <c r="GR8">
        <v>2022</v>
      </c>
      <c r="GS8" t="s">
        <v>2610</v>
      </c>
      <c r="GT8" s="6">
        <v>44862</v>
      </c>
      <c r="GU8">
        <v>5</v>
      </c>
      <c r="GV8">
        <v>-2.4245362661989844E-14</v>
      </c>
      <c r="GW8">
        <v>68654798</v>
      </c>
      <c r="GX8" t="s">
        <v>2611</v>
      </c>
      <c r="HC8" t="s">
        <v>2202</v>
      </c>
      <c r="HE8">
        <v>-2.4245362661989844E-14</v>
      </c>
      <c r="HF8">
        <v>-2.4245362661989844E-14</v>
      </c>
      <c r="HG8" t="s">
        <v>1594</v>
      </c>
      <c r="HH8">
        <v>2025</v>
      </c>
      <c r="HI8" t="s">
        <v>2198</v>
      </c>
      <c r="HJ8" s="6">
        <v>46001</v>
      </c>
      <c r="HK8">
        <v>5</v>
      </c>
      <c r="HL8">
        <v>-2.4245362661989844E-14</v>
      </c>
      <c r="HM8">
        <v>7121654</v>
      </c>
      <c r="HN8" t="s">
        <v>2203</v>
      </c>
      <c r="HQ8" t="s">
        <v>1855</v>
      </c>
      <c r="HR8">
        <v>-2.4245362661989844E-14</v>
      </c>
      <c r="HT8">
        <v>-2.4245362661989844E-14</v>
      </c>
      <c r="HU8" t="s">
        <v>1594</v>
      </c>
      <c r="HV8">
        <v>2021</v>
      </c>
      <c r="HW8" t="s">
        <v>1849</v>
      </c>
      <c r="HX8" s="6">
        <v>44693</v>
      </c>
      <c r="HY8">
        <v>5</v>
      </c>
      <c r="HZ8">
        <v>-2.4245362661989844E-14</v>
      </c>
      <c r="IA8">
        <v>20377539</v>
      </c>
      <c r="IB8" t="s">
        <v>1856</v>
      </c>
      <c r="IG8" t="s">
        <v>4987</v>
      </c>
      <c r="II8">
        <v>-2.4245362661989844E-14</v>
      </c>
      <c r="IJ8">
        <v>-2.4245362661989844E-14</v>
      </c>
      <c r="IK8" t="s">
        <v>1603</v>
      </c>
      <c r="IL8">
        <v>2025</v>
      </c>
      <c r="IM8" t="s">
        <v>4988</v>
      </c>
      <c r="IN8" s="6">
        <v>45785</v>
      </c>
      <c r="IO8">
        <v>5</v>
      </c>
      <c r="IP8">
        <v>-2.4245362661989844E-14</v>
      </c>
      <c r="IQ8">
        <v>42447088</v>
      </c>
      <c r="IR8" t="s">
        <v>4989</v>
      </c>
      <c r="LS8" t="s">
        <v>4873</v>
      </c>
      <c r="LT8" t="s">
        <v>2128</v>
      </c>
      <c r="LU8">
        <v>-2.4245362661989844E-14</v>
      </c>
      <c r="LV8">
        <v>1.9000570000000001</v>
      </c>
      <c r="LW8" t="s">
        <v>1594</v>
      </c>
      <c r="LX8">
        <v>2025</v>
      </c>
      <c r="LY8" t="s">
        <v>4869</v>
      </c>
      <c r="LZ8" s="6">
        <v>46077</v>
      </c>
      <c r="MA8">
        <v>5</v>
      </c>
      <c r="MB8">
        <v>75000000</v>
      </c>
      <c r="MC8">
        <v>71999429</v>
      </c>
      <c r="MD8" t="s">
        <v>4874</v>
      </c>
      <c r="MG8" t="s">
        <v>23</v>
      </c>
      <c r="MH8">
        <v>0.787219</v>
      </c>
      <c r="MI8" t="s">
        <v>1598</v>
      </c>
      <c r="MJ8">
        <v>3.9592429999999998</v>
      </c>
      <c r="MK8" t="s">
        <v>1599</v>
      </c>
      <c r="ML8">
        <v>2025</v>
      </c>
      <c r="MM8" t="s">
        <v>2126</v>
      </c>
      <c r="MN8" s="6">
        <v>45966</v>
      </c>
      <c r="MO8">
        <v>5</v>
      </c>
      <c r="MP8">
        <v>136000000</v>
      </c>
      <c r="MQ8">
        <v>100225</v>
      </c>
      <c r="MR8" t="s">
        <v>2222</v>
      </c>
      <c r="MW8" t="s">
        <v>2556</v>
      </c>
      <c r="MX8" t="s">
        <v>1598</v>
      </c>
      <c r="MY8">
        <v>2.6461350000000001</v>
      </c>
      <c r="MZ8">
        <v>3.5549309999999998</v>
      </c>
      <c r="NA8" t="s">
        <v>1599</v>
      </c>
      <c r="NB8">
        <v>2025</v>
      </c>
      <c r="NC8" t="s">
        <v>2557</v>
      </c>
      <c r="ND8" s="6">
        <v>45763</v>
      </c>
      <c r="NE8">
        <v>5</v>
      </c>
      <c r="NF8">
        <v>173480608</v>
      </c>
      <c r="NG8">
        <v>136547</v>
      </c>
      <c r="NH8" t="s">
        <v>2558</v>
      </c>
      <c r="NK8" t="s">
        <v>303</v>
      </c>
      <c r="NL8">
        <v>2.5842719999999999</v>
      </c>
      <c r="NM8" t="s">
        <v>1634</v>
      </c>
      <c r="NN8">
        <v>1.4451639999999999</v>
      </c>
      <c r="NO8" t="s">
        <v>1664</v>
      </c>
      <c r="NP8">
        <v>2025</v>
      </c>
      <c r="NQ8" t="s">
        <v>3227</v>
      </c>
      <c r="NR8" s="6">
        <v>45783</v>
      </c>
      <c r="NS8">
        <v>5</v>
      </c>
      <c r="NT8">
        <v>361565504</v>
      </c>
      <c r="NU8">
        <v>216952</v>
      </c>
      <c r="NV8" t="s">
        <v>1631</v>
      </c>
      <c r="OO8" t="s">
        <v>27</v>
      </c>
      <c r="OP8">
        <v>2.1985960000000002</v>
      </c>
      <c r="OQ8" t="s">
        <v>1685</v>
      </c>
      <c r="OR8">
        <v>0.196352</v>
      </c>
      <c r="OS8" t="s">
        <v>1594</v>
      </c>
      <c r="OT8">
        <v>2025</v>
      </c>
      <c r="OU8" t="s">
        <v>4168</v>
      </c>
      <c r="OV8" s="6">
        <v>46058</v>
      </c>
      <c r="OW8">
        <v>5</v>
      </c>
      <c r="OX8">
        <v>5462500</v>
      </c>
      <c r="OY8">
        <v>100546</v>
      </c>
      <c r="OZ8" t="s">
        <v>4326</v>
      </c>
      <c r="PE8" t="s">
        <v>3253</v>
      </c>
      <c r="PF8" t="s">
        <v>1634</v>
      </c>
      <c r="PG8">
        <v>14.022071</v>
      </c>
      <c r="PH8">
        <v>14.348967999999999</v>
      </c>
      <c r="PI8" t="s">
        <v>1594</v>
      </c>
      <c r="PJ8">
        <v>2025</v>
      </c>
      <c r="PK8" t="s">
        <v>3254</v>
      </c>
      <c r="PL8" s="6">
        <v>45853</v>
      </c>
      <c r="PM8">
        <v>5</v>
      </c>
      <c r="PN8">
        <v>43092693.920000002</v>
      </c>
      <c r="PO8">
        <v>169656</v>
      </c>
      <c r="PP8" t="s">
        <v>3255</v>
      </c>
      <c r="PS8" t="s">
        <v>2654</v>
      </c>
      <c r="PT8">
        <v>5.0006389999999996</v>
      </c>
      <c r="PU8" t="s">
        <v>1598</v>
      </c>
      <c r="PV8">
        <v>1.143467</v>
      </c>
      <c r="PW8" t="s">
        <v>1606</v>
      </c>
      <c r="PX8">
        <v>2025</v>
      </c>
      <c r="PY8" t="s">
        <v>2650</v>
      </c>
      <c r="PZ8" s="6">
        <v>46065</v>
      </c>
      <c r="QA8">
        <v>5</v>
      </c>
      <c r="QB8">
        <v>426854560</v>
      </c>
      <c r="QC8">
        <v>41633927</v>
      </c>
      <c r="QD8" t="s">
        <v>2655</v>
      </c>
      <c r="RM8" t="s">
        <v>110</v>
      </c>
      <c r="RO8">
        <v>-2.4245362661989844E-14</v>
      </c>
      <c r="RP8">
        <v>-2.4245362661989844E-14</v>
      </c>
      <c r="RQ8" t="s">
        <v>1594</v>
      </c>
      <c r="RR8">
        <v>2021</v>
      </c>
      <c r="RS8" t="s">
        <v>4239</v>
      </c>
      <c r="RT8" s="6">
        <v>44693</v>
      </c>
      <c r="RU8">
        <v>5</v>
      </c>
      <c r="RV8">
        <v>-2.4245362661989844E-14</v>
      </c>
      <c r="RW8">
        <v>100193</v>
      </c>
      <c r="RX8" t="s">
        <v>3708</v>
      </c>
      <c r="SA8" t="s">
        <v>6089</v>
      </c>
      <c r="SB8">
        <v>-2.4245362661989844E-14</v>
      </c>
      <c r="SD8">
        <v>-2.4245362661989844E-14</v>
      </c>
      <c r="SE8" t="s">
        <v>1594</v>
      </c>
      <c r="SF8">
        <v>2024</v>
      </c>
      <c r="SG8" t="s">
        <v>6090</v>
      </c>
      <c r="SH8" s="6">
        <v>45491</v>
      </c>
      <c r="SI8">
        <v>5</v>
      </c>
      <c r="SJ8">
        <v>-2.4245362661989844E-14</v>
      </c>
      <c r="SK8">
        <v>169906</v>
      </c>
      <c r="SL8" t="s">
        <v>6091</v>
      </c>
      <c r="SQ8" t="s">
        <v>2326</v>
      </c>
      <c r="SS8">
        <v>-2.4245362661989844E-14</v>
      </c>
      <c r="ST8">
        <v>-2.4245362661989844E-14</v>
      </c>
      <c r="SU8" t="s">
        <v>1594</v>
      </c>
      <c r="SV8">
        <v>2025</v>
      </c>
      <c r="SW8" t="s">
        <v>5243</v>
      </c>
      <c r="SX8" s="6">
        <v>46079</v>
      </c>
      <c r="SY8">
        <v>5</v>
      </c>
      <c r="SZ8">
        <v>-2.4245362661989844E-14</v>
      </c>
      <c r="TA8">
        <v>33838804</v>
      </c>
      <c r="TB8" t="s">
        <v>2328</v>
      </c>
      <c r="TE8" t="s">
        <v>4587</v>
      </c>
      <c r="TF8">
        <v>-2.4245362661989844E-14</v>
      </c>
      <c r="TH8">
        <v>-2.4245362661989844E-14</v>
      </c>
      <c r="TI8" t="s">
        <v>1594</v>
      </c>
      <c r="TJ8">
        <v>2023</v>
      </c>
      <c r="TK8" t="s">
        <v>4588</v>
      </c>
      <c r="TL8" s="6">
        <v>45346</v>
      </c>
      <c r="TM8">
        <v>5</v>
      </c>
      <c r="TN8">
        <v>-2.4245362661989844E-14</v>
      </c>
      <c r="TO8">
        <v>101624</v>
      </c>
      <c r="TP8" t="s">
        <v>4589</v>
      </c>
      <c r="UY8" t="s">
        <v>5253</v>
      </c>
      <c r="VA8">
        <v>-2.4245362661989844E-14</v>
      </c>
      <c r="VB8">
        <v>-2.4245362661989844E-14</v>
      </c>
      <c r="VC8" t="s">
        <v>1594</v>
      </c>
      <c r="VD8">
        <v>2023</v>
      </c>
      <c r="VE8" t="s">
        <v>5254</v>
      </c>
      <c r="VF8" s="6">
        <v>45007</v>
      </c>
      <c r="VG8">
        <v>5</v>
      </c>
      <c r="VH8">
        <v>-2.4245362661989844E-14</v>
      </c>
      <c r="VI8">
        <v>35176835</v>
      </c>
      <c r="VJ8" t="s">
        <v>5255</v>
      </c>
      <c r="VM8" t="s">
        <v>5175</v>
      </c>
      <c r="VN8">
        <v>4.5476390000000002</v>
      </c>
      <c r="VO8" t="s">
        <v>1598</v>
      </c>
      <c r="VP8">
        <v>61.612129000000003</v>
      </c>
      <c r="VQ8" t="s">
        <v>1599</v>
      </c>
      <c r="VR8">
        <v>2025</v>
      </c>
      <c r="VS8" t="s">
        <v>5176</v>
      </c>
      <c r="VT8" s="6">
        <v>45961</v>
      </c>
      <c r="VU8">
        <v>5</v>
      </c>
      <c r="VV8">
        <v>129062000</v>
      </c>
      <c r="VW8">
        <v>40163322</v>
      </c>
      <c r="VX8" t="s">
        <v>5177</v>
      </c>
    </row>
    <row r="9" spans="1:600" x14ac:dyDescent="0.25">
      <c r="A9" t="s">
        <v>5922</v>
      </c>
      <c r="C9">
        <v>-2.4245362661989844E-14</v>
      </c>
      <c r="D9">
        <v>-2.4245362661989844E-14</v>
      </c>
      <c r="E9" t="s">
        <v>1664</v>
      </c>
      <c r="F9">
        <v>2026</v>
      </c>
      <c r="G9" t="s">
        <v>5923</v>
      </c>
      <c r="H9" s="6">
        <v>45979</v>
      </c>
      <c r="I9">
        <v>5</v>
      </c>
      <c r="J9">
        <v>-2.4245362661989844E-14</v>
      </c>
      <c r="K9">
        <v>198701</v>
      </c>
      <c r="L9" t="s">
        <v>5924</v>
      </c>
      <c r="O9" t="s">
        <v>5658</v>
      </c>
      <c r="P9">
        <v>6.1642549999999998</v>
      </c>
      <c r="Q9" t="s">
        <v>1598</v>
      </c>
      <c r="R9">
        <v>2.3822230000000002</v>
      </c>
      <c r="S9" t="s">
        <v>1599</v>
      </c>
      <c r="T9">
        <v>2025</v>
      </c>
      <c r="U9" t="s">
        <v>5659</v>
      </c>
      <c r="V9" s="6">
        <v>46041</v>
      </c>
      <c r="W9">
        <v>5</v>
      </c>
      <c r="X9">
        <v>167507472</v>
      </c>
      <c r="Y9">
        <v>1745816</v>
      </c>
      <c r="Z9" t="s">
        <v>5660</v>
      </c>
      <c r="BI9" t="s">
        <v>4648</v>
      </c>
      <c r="BJ9" t="s">
        <v>1598</v>
      </c>
      <c r="BK9">
        <v>12.54</v>
      </c>
      <c r="BL9">
        <v>0.54083499999999995</v>
      </c>
      <c r="BM9" t="s">
        <v>1651</v>
      </c>
      <c r="BN9">
        <v>2025</v>
      </c>
      <c r="BO9" t="s">
        <v>4649</v>
      </c>
      <c r="BP9" s="6">
        <v>45954</v>
      </c>
      <c r="BQ9">
        <v>5</v>
      </c>
      <c r="BR9">
        <v>7432423.6699999999</v>
      </c>
      <c r="BS9">
        <v>13138644</v>
      </c>
      <c r="BT9" t="s">
        <v>4650</v>
      </c>
      <c r="BW9" t="s">
        <v>4293</v>
      </c>
      <c r="BX9">
        <v>0.42185099999999998</v>
      </c>
      <c r="BY9" t="s">
        <v>1598</v>
      </c>
      <c r="BZ9">
        <v>43.740009000000001</v>
      </c>
      <c r="CA9" t="s">
        <v>1594</v>
      </c>
      <c r="CB9">
        <v>2024</v>
      </c>
      <c r="CC9" t="s">
        <v>4294</v>
      </c>
      <c r="CD9" s="6">
        <v>45798</v>
      </c>
      <c r="CE9">
        <v>5</v>
      </c>
      <c r="CF9">
        <v>11679674.470000001</v>
      </c>
      <c r="CG9">
        <v>812726</v>
      </c>
      <c r="CH9" t="s">
        <v>4295</v>
      </c>
      <c r="CM9" t="s">
        <v>2275</v>
      </c>
      <c r="CN9" t="s">
        <v>1598</v>
      </c>
      <c r="CO9">
        <v>1.2467000000000001E-2</v>
      </c>
      <c r="CP9">
        <v>4.5800000000000002E-4</v>
      </c>
      <c r="CQ9" t="s">
        <v>1664</v>
      </c>
      <c r="CR9">
        <v>2025</v>
      </c>
      <c r="CS9" t="s">
        <v>2276</v>
      </c>
      <c r="CT9" s="6">
        <v>45744</v>
      </c>
      <c r="CU9">
        <v>5</v>
      </c>
      <c r="CV9">
        <v>6232.4</v>
      </c>
      <c r="CW9">
        <v>28653435</v>
      </c>
      <c r="CX9" t="s">
        <v>2277</v>
      </c>
      <c r="DA9" t="s">
        <v>1801</v>
      </c>
      <c r="DB9">
        <v>-2.4245362661989844E-14</v>
      </c>
      <c r="DD9">
        <v>-2.4245362661989844E-14</v>
      </c>
      <c r="DE9" t="s">
        <v>1594</v>
      </c>
      <c r="DF9">
        <v>2022</v>
      </c>
      <c r="DG9" t="s">
        <v>1802</v>
      </c>
      <c r="DH9" s="6">
        <v>45083</v>
      </c>
      <c r="DI9">
        <v>5</v>
      </c>
      <c r="DJ9">
        <v>-2.4245362661989844E-14</v>
      </c>
      <c r="DK9">
        <v>34532225</v>
      </c>
      <c r="DL9" t="s">
        <v>1803</v>
      </c>
      <c r="DQ9" t="s">
        <v>3162</v>
      </c>
      <c r="DR9" t="s">
        <v>1685</v>
      </c>
      <c r="DS9">
        <v>0.29472100000000001</v>
      </c>
      <c r="DT9">
        <v>2.6449E-2</v>
      </c>
      <c r="DU9" t="s">
        <v>1603</v>
      </c>
      <c r="DV9">
        <v>2025</v>
      </c>
      <c r="DW9" t="s">
        <v>3163</v>
      </c>
      <c r="DX9" s="6">
        <v>45855</v>
      </c>
      <c r="DY9">
        <v>5</v>
      </c>
      <c r="DZ9">
        <v>1401790</v>
      </c>
      <c r="EA9">
        <v>171977</v>
      </c>
      <c r="EB9" t="s">
        <v>3164</v>
      </c>
      <c r="EE9" t="s">
        <v>2821</v>
      </c>
      <c r="EF9">
        <v>-2.4245362661989844E-14</v>
      </c>
      <c r="EH9">
        <v>-2.4245362661989844E-14</v>
      </c>
      <c r="EI9" t="s">
        <v>1594</v>
      </c>
      <c r="EJ9">
        <v>2023</v>
      </c>
      <c r="EK9" t="s">
        <v>2822</v>
      </c>
      <c r="EL9" s="6">
        <v>45302</v>
      </c>
      <c r="EM9">
        <v>5</v>
      </c>
      <c r="EN9">
        <v>-2.4245362661989844E-14</v>
      </c>
      <c r="EO9">
        <v>8168286</v>
      </c>
      <c r="EP9" t="s">
        <v>2823</v>
      </c>
      <c r="FY9" t="s">
        <v>3141</v>
      </c>
      <c r="GA9">
        <v>-2.4245362661989844E-14</v>
      </c>
      <c r="GB9">
        <v>-2.4245362661989844E-14</v>
      </c>
      <c r="GC9" t="s">
        <v>1599</v>
      </c>
      <c r="GD9">
        <v>2025</v>
      </c>
      <c r="GE9" t="s">
        <v>3142</v>
      </c>
      <c r="GF9" s="6">
        <v>45965</v>
      </c>
      <c r="GG9">
        <v>5</v>
      </c>
      <c r="GH9">
        <v>-2.4245362661989844E-14</v>
      </c>
      <c r="GI9">
        <v>51446588</v>
      </c>
      <c r="GJ9" t="s">
        <v>3143</v>
      </c>
      <c r="GM9" t="s">
        <v>2612</v>
      </c>
      <c r="GN9">
        <v>-2.4245362661989844E-14</v>
      </c>
      <c r="GP9">
        <v>-2.4245362661989844E-14</v>
      </c>
      <c r="GQ9" t="s">
        <v>1594</v>
      </c>
      <c r="GR9">
        <v>2024</v>
      </c>
      <c r="GS9" t="s">
        <v>2613</v>
      </c>
      <c r="GT9" s="6">
        <v>45328</v>
      </c>
      <c r="GU9">
        <v>5</v>
      </c>
      <c r="GV9">
        <v>-2.4245362661989844E-14</v>
      </c>
      <c r="GW9">
        <v>105831</v>
      </c>
      <c r="GX9" t="s">
        <v>2614</v>
      </c>
      <c r="HC9" t="s">
        <v>2204</v>
      </c>
      <c r="HE9">
        <v>-2.4245362661989844E-14</v>
      </c>
      <c r="HF9">
        <v>-2.4245362661989844E-14</v>
      </c>
      <c r="HG9" t="s">
        <v>1594</v>
      </c>
      <c r="HH9">
        <v>2025</v>
      </c>
      <c r="HI9" t="s">
        <v>2205</v>
      </c>
      <c r="HJ9" s="6">
        <v>46066</v>
      </c>
      <c r="HK9">
        <v>5</v>
      </c>
      <c r="HL9">
        <v>-2.4245362661989844E-14</v>
      </c>
      <c r="HM9">
        <v>109221</v>
      </c>
      <c r="HN9" t="s">
        <v>2206</v>
      </c>
      <c r="HQ9" t="s">
        <v>1857</v>
      </c>
      <c r="HR9">
        <v>-2.4245362661989844E-14</v>
      </c>
      <c r="HT9">
        <v>-2.4245362661989844E-14</v>
      </c>
      <c r="HU9" t="s">
        <v>1594</v>
      </c>
      <c r="HV9">
        <v>2021</v>
      </c>
      <c r="HW9" t="s">
        <v>1849</v>
      </c>
      <c r="HX9" s="6">
        <v>44693</v>
      </c>
      <c r="HY9">
        <v>5</v>
      </c>
      <c r="HZ9">
        <v>-2.4245362661989844E-14</v>
      </c>
      <c r="IA9">
        <v>129444</v>
      </c>
      <c r="IB9" t="s">
        <v>1858</v>
      </c>
      <c r="IG9" t="s">
        <v>4990</v>
      </c>
      <c r="II9">
        <v>-2.4245362661989844E-14</v>
      </c>
      <c r="IJ9">
        <v>-2.4245362661989844E-14</v>
      </c>
      <c r="IK9" t="s">
        <v>1599</v>
      </c>
      <c r="IL9">
        <v>2025</v>
      </c>
      <c r="IM9" t="s">
        <v>4991</v>
      </c>
      <c r="IN9" s="6">
        <v>45957</v>
      </c>
      <c r="IO9">
        <v>5</v>
      </c>
      <c r="IP9">
        <v>-2.4245362661989844E-14</v>
      </c>
      <c r="IQ9">
        <v>43152573</v>
      </c>
      <c r="IR9" t="s">
        <v>4992</v>
      </c>
      <c r="LS9" t="s">
        <v>3208</v>
      </c>
      <c r="LT9" t="s">
        <v>1685</v>
      </c>
      <c r="LU9">
        <v>1.6404799999999999</v>
      </c>
      <c r="LV9">
        <v>2.2485889999999999</v>
      </c>
      <c r="LW9" t="s">
        <v>1606</v>
      </c>
      <c r="LX9">
        <v>2025</v>
      </c>
      <c r="LY9" t="s">
        <v>3209</v>
      </c>
      <c r="LZ9" s="6">
        <v>45796</v>
      </c>
      <c r="MA9">
        <v>5</v>
      </c>
      <c r="MB9">
        <v>57397160.810000002</v>
      </c>
      <c r="MC9">
        <v>995671</v>
      </c>
      <c r="MD9" t="s">
        <v>3210</v>
      </c>
      <c r="MG9" t="s">
        <v>4870</v>
      </c>
      <c r="MH9">
        <v>0.61089599999999999</v>
      </c>
      <c r="MI9" t="s">
        <v>1598</v>
      </c>
      <c r="MJ9">
        <v>14.583333</v>
      </c>
      <c r="MK9" t="s">
        <v>1594</v>
      </c>
      <c r="ML9">
        <v>2024</v>
      </c>
      <c r="MM9" t="s">
        <v>4871</v>
      </c>
      <c r="MN9" s="6">
        <v>45713</v>
      </c>
      <c r="MO9">
        <v>5</v>
      </c>
      <c r="MP9">
        <v>98000000</v>
      </c>
      <c r="MQ9">
        <v>69483676</v>
      </c>
      <c r="MR9" t="s">
        <v>4872</v>
      </c>
      <c r="MW9" t="s">
        <v>4008</v>
      </c>
      <c r="MX9" t="s">
        <v>1598</v>
      </c>
      <c r="MY9">
        <v>18.200001</v>
      </c>
      <c r="MZ9">
        <v>3.1899000000000002</v>
      </c>
      <c r="NA9" t="s">
        <v>1594</v>
      </c>
      <c r="NB9">
        <v>2025</v>
      </c>
      <c r="NC9" t="s">
        <v>4009</v>
      </c>
      <c r="ND9" s="6">
        <v>45888</v>
      </c>
      <c r="NE9">
        <v>5</v>
      </c>
      <c r="NF9">
        <v>155579376</v>
      </c>
      <c r="NG9">
        <v>9858567</v>
      </c>
      <c r="NH9" t="s">
        <v>4010</v>
      </c>
      <c r="NK9" t="s">
        <v>21</v>
      </c>
      <c r="NL9">
        <v>1.966375</v>
      </c>
      <c r="NM9" t="s">
        <v>1634</v>
      </c>
      <c r="NN9">
        <v>5.4308940000000003</v>
      </c>
      <c r="NO9" t="s">
        <v>1664</v>
      </c>
      <c r="NP9">
        <v>2025</v>
      </c>
      <c r="NQ9" t="s">
        <v>3227</v>
      </c>
      <c r="NR9" s="6">
        <v>45783</v>
      </c>
      <c r="NS9">
        <v>5</v>
      </c>
      <c r="NT9">
        <v>275115520</v>
      </c>
      <c r="NU9">
        <v>101376</v>
      </c>
      <c r="NV9" t="s">
        <v>3621</v>
      </c>
      <c r="OO9" t="s">
        <v>117</v>
      </c>
      <c r="OP9">
        <v>1.9150430000000001</v>
      </c>
      <c r="OQ9" t="s">
        <v>1685</v>
      </c>
      <c r="OR9">
        <v>9.4577999999999995E-2</v>
      </c>
      <c r="OS9" t="s">
        <v>1594</v>
      </c>
      <c r="OT9">
        <v>2025</v>
      </c>
      <c r="OU9" t="s">
        <v>4168</v>
      </c>
      <c r="OV9" s="6">
        <v>46058</v>
      </c>
      <c r="OW9">
        <v>5</v>
      </c>
      <c r="OX9">
        <v>4758000</v>
      </c>
      <c r="OY9">
        <v>100801</v>
      </c>
      <c r="OZ9" t="s">
        <v>1745</v>
      </c>
      <c r="PE9" t="s">
        <v>3256</v>
      </c>
      <c r="PF9" t="s">
        <v>1598</v>
      </c>
      <c r="PG9">
        <v>0.71901599999999999</v>
      </c>
      <c r="PH9">
        <v>0.45582600000000001</v>
      </c>
      <c r="PI9" t="s">
        <v>1606</v>
      </c>
      <c r="PJ9">
        <v>2025</v>
      </c>
      <c r="PK9" t="s">
        <v>3257</v>
      </c>
      <c r="PL9" s="6">
        <v>45943</v>
      </c>
      <c r="PM9">
        <v>5</v>
      </c>
      <c r="PN9">
        <v>27364710.43</v>
      </c>
      <c r="PO9">
        <v>111810</v>
      </c>
      <c r="PP9" t="s">
        <v>3258</v>
      </c>
      <c r="PS9" t="s">
        <v>2656</v>
      </c>
      <c r="PT9">
        <v>0.89385199999999998</v>
      </c>
      <c r="PU9" t="s">
        <v>1598</v>
      </c>
      <c r="PV9">
        <v>0.77159900000000003</v>
      </c>
      <c r="PW9" t="s">
        <v>1606</v>
      </c>
      <c r="PX9">
        <v>2025</v>
      </c>
      <c r="PY9" t="s">
        <v>2650</v>
      </c>
      <c r="PZ9" s="6">
        <v>46065</v>
      </c>
      <c r="QA9">
        <v>5</v>
      </c>
      <c r="QB9">
        <v>76299208</v>
      </c>
      <c r="QC9">
        <v>115650</v>
      </c>
      <c r="QD9" t="s">
        <v>2657</v>
      </c>
      <c r="RM9" t="s">
        <v>471</v>
      </c>
      <c r="RO9">
        <v>-2.4245362661989844E-14</v>
      </c>
      <c r="RP9">
        <v>-2.4245362661989844E-14</v>
      </c>
      <c r="RQ9" t="s">
        <v>1594</v>
      </c>
      <c r="RR9">
        <v>2021</v>
      </c>
      <c r="RS9" t="s">
        <v>2033</v>
      </c>
      <c r="RT9" s="6">
        <v>44693</v>
      </c>
      <c r="RU9">
        <v>5</v>
      </c>
      <c r="RV9">
        <v>-2.4245362661989844E-14</v>
      </c>
      <c r="RW9">
        <v>100760</v>
      </c>
      <c r="RX9" t="s">
        <v>2155</v>
      </c>
      <c r="SA9" t="s">
        <v>6092</v>
      </c>
      <c r="SB9">
        <v>-2.4245362661989844E-14</v>
      </c>
      <c r="SD9">
        <v>-2.4245362661989844E-14</v>
      </c>
      <c r="SE9" t="s">
        <v>1594</v>
      </c>
      <c r="SF9">
        <v>2023</v>
      </c>
      <c r="SG9" t="s">
        <v>6093</v>
      </c>
      <c r="SH9" s="6">
        <v>45237</v>
      </c>
      <c r="SI9">
        <v>5</v>
      </c>
      <c r="SJ9">
        <v>-2.4245362661989844E-14</v>
      </c>
      <c r="SK9">
        <v>169871</v>
      </c>
      <c r="SL9" t="s">
        <v>6094</v>
      </c>
      <c r="SQ9" t="s">
        <v>2807</v>
      </c>
      <c r="SS9">
        <v>-2.4245362661989844E-14</v>
      </c>
      <c r="ST9">
        <v>-2.4245362661989844E-14</v>
      </c>
      <c r="SU9" t="s">
        <v>1594</v>
      </c>
      <c r="SV9">
        <v>2024</v>
      </c>
      <c r="SW9" t="s">
        <v>5244</v>
      </c>
      <c r="SX9" s="6">
        <v>45702</v>
      </c>
      <c r="SY9">
        <v>5</v>
      </c>
      <c r="SZ9">
        <v>-2.4245362661989844E-14</v>
      </c>
      <c r="TA9">
        <v>300948</v>
      </c>
      <c r="TB9" t="s">
        <v>2808</v>
      </c>
      <c r="TE9" t="s">
        <v>776</v>
      </c>
      <c r="TF9">
        <v>-2.4245362661989844E-14</v>
      </c>
      <c r="TH9">
        <v>-2.4245362661989844E-14</v>
      </c>
      <c r="TI9" t="s">
        <v>1594</v>
      </c>
      <c r="TJ9">
        <v>2023</v>
      </c>
      <c r="TK9" t="s">
        <v>4590</v>
      </c>
      <c r="TL9" s="6">
        <v>45351</v>
      </c>
      <c r="TM9">
        <v>5</v>
      </c>
      <c r="TN9">
        <v>-2.4245362661989844E-14</v>
      </c>
      <c r="TO9">
        <v>101712</v>
      </c>
      <c r="TP9" t="s">
        <v>2809</v>
      </c>
      <c r="UY9" t="s">
        <v>5256</v>
      </c>
      <c r="VA9">
        <v>-2.4245362661989844E-14</v>
      </c>
      <c r="VB9">
        <v>-2.4245362661989844E-14</v>
      </c>
      <c r="VC9" t="s">
        <v>1792</v>
      </c>
      <c r="VD9">
        <v>2025</v>
      </c>
      <c r="VE9" t="s">
        <v>5257</v>
      </c>
      <c r="VF9" s="6">
        <v>45890</v>
      </c>
      <c r="VG9">
        <v>5</v>
      </c>
      <c r="VH9">
        <v>-2.4245362661989844E-14</v>
      </c>
      <c r="VI9">
        <v>31575969</v>
      </c>
      <c r="VJ9" t="s">
        <v>5258</v>
      </c>
      <c r="VM9" t="s">
        <v>1739</v>
      </c>
      <c r="VN9">
        <v>4.0695199999999998</v>
      </c>
      <c r="VO9" t="s">
        <v>1598</v>
      </c>
      <c r="VP9">
        <v>0.75780599999999998</v>
      </c>
      <c r="VQ9" t="s">
        <v>1664</v>
      </c>
      <c r="VR9">
        <v>2025</v>
      </c>
      <c r="VS9" t="s">
        <v>5174</v>
      </c>
      <c r="VT9" s="6">
        <v>45922</v>
      </c>
      <c r="VU9">
        <v>5</v>
      </c>
      <c r="VV9">
        <v>120172928</v>
      </c>
      <c r="VW9">
        <v>100916</v>
      </c>
      <c r="VX9" t="s">
        <v>1741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998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999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1000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1001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1002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1003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1004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1005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1006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1007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1008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1009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1010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1011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1012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1013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1014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1015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1016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1017</v>
      </c>
      <c r="AE2" s="3" t="s">
        <v>590</v>
      </c>
      <c r="BI2" s="3" t="s">
        <v>21</v>
      </c>
      <c r="CM2" s="3" t="s">
        <v>247</v>
      </c>
      <c r="DQ2" s="3" t="s">
        <v>78</v>
      </c>
      <c r="EU2" s="3" t="s">
        <v>78</v>
      </c>
      <c r="FY2" s="3" t="s">
        <v>85</v>
      </c>
      <c r="HC2" s="3" t="s">
        <v>139</v>
      </c>
      <c r="IG2" s="3" t="s">
        <v>365</v>
      </c>
      <c r="JK2" s="3" t="s">
        <v>463</v>
      </c>
      <c r="KO2" s="3" t="s">
        <v>1018</v>
      </c>
      <c r="LS2" s="3" t="s">
        <v>147</v>
      </c>
      <c r="MW2" s="3" t="s">
        <v>1019</v>
      </c>
      <c r="OA2" s="3" t="s">
        <v>1020</v>
      </c>
      <c r="PE2" s="3" t="s">
        <v>837</v>
      </c>
      <c r="QI2" s="3" t="s">
        <v>1021</v>
      </c>
      <c r="RM2" s="3" t="s">
        <v>177</v>
      </c>
      <c r="SQ2" s="3" t="s">
        <v>1022</v>
      </c>
      <c r="TU2" s="3" t="s">
        <v>1023</v>
      </c>
      <c r="UY2" s="3" t="s">
        <v>651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_xll.BDS("SLG US Equity","SUPPLY_CHAIN_SUPPLIERS_ALL_DATA","cols=12;rows=4")</f>
        <v>0155090D US Equity</v>
      </c>
      <c r="C5">
        <v>-2.4245362661989844E-14</v>
      </c>
      <c r="D5">
        <v>-2.4245362661989844E-14</v>
      </c>
      <c r="E5" t="s">
        <v>1594</v>
      </c>
      <c r="F5">
        <v>2023</v>
      </c>
      <c r="G5" t="s">
        <v>3878</v>
      </c>
      <c r="H5" s="6">
        <v>45345</v>
      </c>
      <c r="I5">
        <v>4</v>
      </c>
      <c r="J5">
        <v>-2.4245362661989844E-14</v>
      </c>
      <c r="K5">
        <v>29058190</v>
      </c>
      <c r="L5" t="s">
        <v>3879</v>
      </c>
      <c r="O5" t="str">
        <f>_xll.BDS("SLG US Equity","SUPPLY_CHAIN_CUSTOMERS_ALL_DATA","cols=12;rows=5")</f>
        <v>PSKY US Equity</v>
      </c>
      <c r="P5">
        <v>8.3162959999999995</v>
      </c>
      <c r="Q5" t="s">
        <v>1685</v>
      </c>
      <c r="R5">
        <v>1.010211</v>
      </c>
      <c r="S5" t="s">
        <v>1594</v>
      </c>
      <c r="T5">
        <v>2024</v>
      </c>
      <c r="U5" t="s">
        <v>2278</v>
      </c>
      <c r="V5" s="6">
        <v>45706</v>
      </c>
      <c r="W5">
        <v>5</v>
      </c>
      <c r="X5">
        <v>18426250</v>
      </c>
      <c r="Y5">
        <v>71830026</v>
      </c>
      <c r="Z5" t="s">
        <v>4954</v>
      </c>
      <c r="AE5" t="str">
        <f>_xll.BDS("SPG US Equity","SUPPLY_CHAIN_SUPPLIERS_ALL_DATA","cols=12;rows=4")</f>
        <v>420 HK Equity</v>
      </c>
      <c r="AG5">
        <v>-2.4245362661989844E-14</v>
      </c>
      <c r="AH5">
        <v>-2.4245362661989844E-14</v>
      </c>
      <c r="AI5" t="s">
        <v>1792</v>
      </c>
      <c r="AJ5">
        <v>2022</v>
      </c>
      <c r="AK5" t="s">
        <v>4820</v>
      </c>
      <c r="AL5" s="6">
        <v>44804</v>
      </c>
      <c r="AM5">
        <v>4</v>
      </c>
      <c r="AN5">
        <v>-2.4245362661989844E-14</v>
      </c>
      <c r="AO5">
        <v>116354</v>
      </c>
      <c r="AP5" t="s">
        <v>4821</v>
      </c>
      <c r="AS5" t="str">
        <f>_xll.BDS("SPG US Equity","SUPPLY_CHAIN_CUSTOMERS_ALL_DATA","cols=12;rows=5")</f>
        <v>GAP US Equity</v>
      </c>
      <c r="AT5">
        <v>2.5917919999999999</v>
      </c>
      <c r="AU5" t="s">
        <v>1685</v>
      </c>
      <c r="AV5">
        <v>2.9610970000000001</v>
      </c>
      <c r="AW5" t="s">
        <v>1594</v>
      </c>
      <c r="AX5">
        <v>2024</v>
      </c>
      <c r="AY5" t="s">
        <v>4722</v>
      </c>
      <c r="AZ5" s="6">
        <v>45693</v>
      </c>
      <c r="BA5">
        <v>5</v>
      </c>
      <c r="BB5">
        <v>38642317</v>
      </c>
      <c r="BC5">
        <v>100625</v>
      </c>
      <c r="BD5" t="s">
        <v>4723</v>
      </c>
      <c r="BI5" t="str">
        <f>_xll.BDS("T US Equity","SUPPLY_CHAIN_SUPPLIERS_ALL_DATA","cols=12;rows=5")</f>
        <v>AAPL US Equity</v>
      </c>
      <c r="BJ5" t="s">
        <v>1598</v>
      </c>
      <c r="BK5">
        <v>1.2812509999999999</v>
      </c>
      <c r="BL5">
        <v>9.9289989999999992</v>
      </c>
      <c r="BM5" t="s">
        <v>1664</v>
      </c>
      <c r="BN5">
        <v>2025</v>
      </c>
      <c r="BO5" t="s">
        <v>3183</v>
      </c>
      <c r="BP5" s="6">
        <v>45863</v>
      </c>
      <c r="BQ5">
        <v>5</v>
      </c>
      <c r="BR5">
        <v>1221788160</v>
      </c>
      <c r="BS5">
        <v>101695</v>
      </c>
      <c r="BT5" t="s">
        <v>1919</v>
      </c>
      <c r="BW5" t="str">
        <f>_xll.BDS("T US Equity","SUPPLY_CHAIN_CUSTOMERS_ALL_DATA","cols=12;rows=5")</f>
        <v>IBM US Equity</v>
      </c>
      <c r="BX5">
        <v>0.86485599999999996</v>
      </c>
      <c r="BY5" t="s">
        <v>1598</v>
      </c>
      <c r="BZ5">
        <v>4.0630959999999998</v>
      </c>
      <c r="CA5" t="s">
        <v>1603</v>
      </c>
      <c r="CB5">
        <v>2025</v>
      </c>
      <c r="CC5" t="s">
        <v>1744</v>
      </c>
      <c r="CD5" s="6">
        <v>45797</v>
      </c>
      <c r="CE5">
        <v>5</v>
      </c>
      <c r="CF5">
        <v>264507552</v>
      </c>
      <c r="CG5">
        <v>100801</v>
      </c>
      <c r="CH5" t="s">
        <v>1745</v>
      </c>
      <c r="CM5" t="str">
        <f>_xll.BDS("SLB US Equity","SUPPLY_CHAIN_SUPPLIERS_ALL_DATA","cols=12;rows=5")</f>
        <v>ARABIAND AB Equity</v>
      </c>
      <c r="CN5" t="s">
        <v>1598</v>
      </c>
      <c r="CO5">
        <v>16.391817</v>
      </c>
      <c r="CP5">
        <v>0.548377</v>
      </c>
      <c r="CQ5" t="s">
        <v>1594</v>
      </c>
      <c r="CR5">
        <v>2024</v>
      </c>
      <c r="CS5" t="s">
        <v>2240</v>
      </c>
      <c r="CT5" s="6">
        <v>45743</v>
      </c>
      <c r="CU5">
        <v>5</v>
      </c>
      <c r="CV5">
        <v>39521386.840000004</v>
      </c>
      <c r="CW5">
        <v>64576000</v>
      </c>
      <c r="CX5" t="s">
        <v>2241</v>
      </c>
      <c r="DA5" t="str">
        <f>_xll.BDS("SLB US Equity","SUPPLY_CHAIN_CUSTOMERS_ALL_DATA","cols=12;rows=5")</f>
        <v>PETR4 BZ Equity</v>
      </c>
      <c r="DB5">
        <v>4.2082129999999998</v>
      </c>
      <c r="DC5" t="s">
        <v>1634</v>
      </c>
      <c r="DD5">
        <v>7.6857369999999996</v>
      </c>
      <c r="DE5" t="s">
        <v>1599</v>
      </c>
      <c r="DF5">
        <v>2025</v>
      </c>
      <c r="DG5" t="s">
        <v>1809</v>
      </c>
      <c r="DH5" s="6">
        <v>45985</v>
      </c>
      <c r="DI5">
        <v>5</v>
      </c>
      <c r="DJ5">
        <v>375709248</v>
      </c>
      <c r="DK5">
        <v>136114</v>
      </c>
      <c r="DL5" t="s">
        <v>1810</v>
      </c>
      <c r="DQ5" t="str">
        <f>_xll.BDS("nan Equity","SUPPLY_CHAIN_SUPPLIERS_ALL_DATA")</f>
        <v>#N/A N/A</v>
      </c>
      <c r="EE5" t="str">
        <f>_xll.BDS("nan Equity","SUPPLY_CHAIN_CUSTOMERS_ALL_DATA")</f>
        <v>#N/A N/A</v>
      </c>
      <c r="EU5" t="str">
        <f>_xll.BDS("nan Equity","SUPPLY_CHAIN_SUPPLIERS_ALL_DATA")</f>
        <v>#N/A N/A</v>
      </c>
      <c r="FI5" t="str">
        <f>_xll.BDS("nan Equity","SUPPLY_CHAIN_CUSTOMERS_ALL_DATA")</f>
        <v>#N/A N/A</v>
      </c>
      <c r="FY5" t="str">
        <f>_xll.BDS("FIS US Equity","SUPPLY_CHAIN_SUPPLIERS_ALL_DATA","cols=12;rows=5")</f>
        <v>HPE US Equity</v>
      </c>
      <c r="FZ5" t="s">
        <v>1598</v>
      </c>
      <c r="GA5">
        <v>0.337399</v>
      </c>
      <c r="GB5">
        <v>1.5567709999999999</v>
      </c>
      <c r="GC5" t="s">
        <v>1664</v>
      </c>
      <c r="GD5">
        <v>2025</v>
      </c>
      <c r="GE5" t="s">
        <v>3110</v>
      </c>
      <c r="GF5" s="6">
        <v>45846</v>
      </c>
      <c r="GG5">
        <v>5</v>
      </c>
      <c r="GH5">
        <v>25733422</v>
      </c>
      <c r="GI5">
        <v>42602315</v>
      </c>
      <c r="GJ5" t="s">
        <v>3111</v>
      </c>
      <c r="GM5" t="str">
        <f>_xll.BDS("FIS US Equity","SUPPLY_CHAIN_CUSTOMERS_ALL_DATA","cols=12;rows=5")</f>
        <v>IBM US Equity</v>
      </c>
      <c r="GN5">
        <v>0.52327299999999999</v>
      </c>
      <c r="GO5" t="s">
        <v>1598</v>
      </c>
      <c r="GP5">
        <v>0.20352200000000001</v>
      </c>
      <c r="GQ5" t="s">
        <v>1603</v>
      </c>
      <c r="GR5">
        <v>2025</v>
      </c>
      <c r="GS5" t="s">
        <v>1744</v>
      </c>
      <c r="GT5" s="6">
        <v>45797</v>
      </c>
      <c r="GU5">
        <v>5</v>
      </c>
      <c r="GV5">
        <v>13249282</v>
      </c>
      <c r="GW5">
        <v>100801</v>
      </c>
      <c r="GX5" t="s">
        <v>1745</v>
      </c>
      <c r="HC5" t="str">
        <f>_xll.BDS("ABT US Equity","SUPPLY_CHAIN_SUPPLIERS_ALL_DATA","cols=12;rows=5")</f>
        <v>MSFT US Equity</v>
      </c>
      <c r="HD5" t="s">
        <v>1598</v>
      </c>
      <c r="HE5">
        <v>5.0347999999999997E-2</v>
      </c>
      <c r="HF5">
        <v>0.78954400000000002</v>
      </c>
      <c r="HG5" t="s">
        <v>1599</v>
      </c>
      <c r="HH5">
        <v>2025</v>
      </c>
      <c r="HI5" t="s">
        <v>1735</v>
      </c>
      <c r="HJ5" s="6">
        <v>45843</v>
      </c>
      <c r="HK5">
        <v>5</v>
      </c>
      <c r="HL5">
        <v>35276832</v>
      </c>
      <c r="HM5">
        <v>101743</v>
      </c>
      <c r="HN5" t="s">
        <v>1736</v>
      </c>
      <c r="HQ5" t="str">
        <f>_xll.BDS("ABT US Equity","SUPPLY_CHAIN_CUSTOMERS_ALL_DATA","cols=12;rows=5")</f>
        <v>SNX US Equity</v>
      </c>
      <c r="HR5">
        <v>0.37113800000000002</v>
      </c>
      <c r="HS5" t="s">
        <v>1598</v>
      </c>
      <c r="HT5">
        <v>0.260712</v>
      </c>
      <c r="HU5" t="s">
        <v>1606</v>
      </c>
      <c r="HV5">
        <v>2025</v>
      </c>
      <c r="HW5" t="s">
        <v>1701</v>
      </c>
      <c r="HX5" s="6">
        <v>46056</v>
      </c>
      <c r="HY5">
        <v>5</v>
      </c>
      <c r="HZ5">
        <v>42194648</v>
      </c>
      <c r="IA5">
        <v>1499717</v>
      </c>
      <c r="IB5" t="s">
        <v>1702</v>
      </c>
      <c r="IG5" t="str">
        <f>_xll.BDS("HD US Equity","SUPPLY_CHAIN_SUPPLIERS_ALL_DATA","cols=12;rows=5")</f>
        <v>669 HK Equity</v>
      </c>
      <c r="IH5" t="s">
        <v>1598</v>
      </c>
      <c r="II5">
        <v>44.370316000000003</v>
      </c>
      <c r="IJ5">
        <v>5.7634049999999997</v>
      </c>
      <c r="IK5" t="s">
        <v>1664</v>
      </c>
      <c r="IL5">
        <v>2025</v>
      </c>
      <c r="IM5" t="s">
        <v>3935</v>
      </c>
      <c r="IN5" s="6">
        <v>45957</v>
      </c>
      <c r="IO5">
        <v>5</v>
      </c>
      <c r="IP5">
        <v>1737781760</v>
      </c>
      <c r="IQ5">
        <v>116563</v>
      </c>
      <c r="IR5" t="s">
        <v>3936</v>
      </c>
      <c r="IU5" t="str">
        <f>_xll.BDS("HD US Equity","SUPPLY_CHAIN_CUSTOMERS_ALL_DATA","cols=12;rows=5")</f>
        <v>603201 CH Equity</v>
      </c>
      <c r="IV5">
        <v>-2.4245362661989844E-14</v>
      </c>
      <c r="IX5">
        <v>-2.4245362661989844E-14</v>
      </c>
      <c r="IY5" t="s">
        <v>1792</v>
      </c>
      <c r="IZ5">
        <v>2025</v>
      </c>
      <c r="JA5" t="s">
        <v>5039</v>
      </c>
      <c r="JB5" s="6">
        <v>45894</v>
      </c>
      <c r="JC5">
        <v>5</v>
      </c>
      <c r="JD5">
        <v>-2.4245362661989844E-14</v>
      </c>
      <c r="JE5">
        <v>17992568</v>
      </c>
      <c r="JF5" t="s">
        <v>5040</v>
      </c>
      <c r="JK5" t="str">
        <f>_xll.BDS("AMGN US Equity","SUPPLY_CHAIN_SUPPLIERS_ALL_DATA","cols=12;rows=5")</f>
        <v>AZN LN Equity</v>
      </c>
      <c r="JL5" t="s">
        <v>1598</v>
      </c>
      <c r="JM5">
        <v>1.1178159999999999</v>
      </c>
      <c r="JN5">
        <v>5.8230849999999998</v>
      </c>
      <c r="JO5" t="s">
        <v>1599</v>
      </c>
      <c r="JP5">
        <v>2025</v>
      </c>
      <c r="JQ5" t="s">
        <v>3408</v>
      </c>
      <c r="JR5" s="6">
        <v>46080</v>
      </c>
      <c r="JS5">
        <v>5</v>
      </c>
      <c r="JT5">
        <v>173295008</v>
      </c>
      <c r="JU5">
        <v>111093</v>
      </c>
      <c r="JV5" t="s">
        <v>3409</v>
      </c>
      <c r="JY5" t="str">
        <f>_xll.BDS("AMGN US Equity","SUPPLY_CHAIN_CUSTOMERS_ALL_DATA","cols=12;rows=5")</f>
        <v>MCK US Equity</v>
      </c>
      <c r="JZ5">
        <v>34</v>
      </c>
      <c r="KA5" t="s">
        <v>1598</v>
      </c>
      <c r="KB5">
        <v>3.2555800000000001</v>
      </c>
      <c r="KC5" t="s">
        <v>1594</v>
      </c>
      <c r="KD5">
        <v>2025</v>
      </c>
      <c r="KE5" t="s">
        <v>4106</v>
      </c>
      <c r="KF5" s="6">
        <v>46066</v>
      </c>
      <c r="KG5">
        <v>5</v>
      </c>
      <c r="KH5">
        <v>3123834880</v>
      </c>
      <c r="KI5">
        <v>154936</v>
      </c>
      <c r="KJ5" t="s">
        <v>1766</v>
      </c>
      <c r="KO5" t="str">
        <f>_xll.BDS("CBOE US Equity","SUPPLY_CHAIN_SUPPLIERS_ALL_DATA","cols=12;rows=2")</f>
        <v>3747 JP Equity</v>
      </c>
      <c r="KQ5">
        <v>-2.4245362661989844E-14</v>
      </c>
      <c r="KR5">
        <v>-2.4245362661989844E-14</v>
      </c>
      <c r="KS5" t="s">
        <v>1594</v>
      </c>
      <c r="KT5">
        <v>2026</v>
      </c>
      <c r="KU5" t="s">
        <v>3130</v>
      </c>
      <c r="KV5" s="6">
        <v>46042</v>
      </c>
      <c r="KW5">
        <v>2</v>
      </c>
      <c r="KX5">
        <v>-2.4245362661989844E-14</v>
      </c>
      <c r="KY5">
        <v>9095890</v>
      </c>
      <c r="KZ5" t="s">
        <v>3131</v>
      </c>
      <c r="LC5" t="str">
        <f>_xll.BDS("CBOE US Equity","SUPPLY_CHAIN_CUSTOMERS_ALL_DATA","cols=12;rows=1")</f>
        <v>ONCO CN Equity</v>
      </c>
      <c r="LD5">
        <v>-2.4245362661989844E-14</v>
      </c>
      <c r="LF5">
        <v>-2.4245362661989844E-14</v>
      </c>
      <c r="LG5" t="s">
        <v>1594</v>
      </c>
      <c r="LH5">
        <v>2025</v>
      </c>
      <c r="LI5" t="s">
        <v>3220</v>
      </c>
      <c r="LJ5" s="6">
        <v>45799</v>
      </c>
      <c r="LK5">
        <v>1</v>
      </c>
      <c r="LL5">
        <v>-2.4245362661989844E-14</v>
      </c>
      <c r="LM5">
        <v>72075411</v>
      </c>
      <c r="LN5" t="s">
        <v>3221</v>
      </c>
      <c r="LS5" t="str">
        <f>_xll.BDS("TFC US Equity","SUPPLY_CHAIN_SUPPLIERS_ALL_DATA","cols=12;rows=5")</f>
        <v>ADBE US Equity</v>
      </c>
      <c r="LT5" t="s">
        <v>1685</v>
      </c>
      <c r="LU5">
        <v>9.3438999999999994E-2</v>
      </c>
      <c r="LV5">
        <v>0.18883900000000001</v>
      </c>
      <c r="LW5" t="s">
        <v>1664</v>
      </c>
      <c r="LX5">
        <v>2025</v>
      </c>
      <c r="LY5" t="s">
        <v>2052</v>
      </c>
      <c r="LZ5" s="6">
        <v>45838</v>
      </c>
      <c r="MA5">
        <v>5</v>
      </c>
      <c r="MB5">
        <v>5487672</v>
      </c>
      <c r="MC5">
        <v>101689</v>
      </c>
      <c r="MD5" t="s">
        <v>2053</v>
      </c>
      <c r="MG5" t="str">
        <f>_xll.BDS("TFC US Equity","SUPPLY_CHAIN_CUSTOMERS_ALL_DATA","cols=12;rows=1")</f>
        <v>RENG IN Equity</v>
      </c>
      <c r="MH5">
        <v>-2.4245362661989844E-14</v>
      </c>
      <c r="MJ5">
        <v>-2.4245362661989844E-14</v>
      </c>
      <c r="MK5" t="s">
        <v>1594</v>
      </c>
      <c r="ML5">
        <v>2025</v>
      </c>
      <c r="MM5" t="s">
        <v>1673</v>
      </c>
      <c r="MN5" s="6">
        <v>45901</v>
      </c>
      <c r="MO5">
        <v>1</v>
      </c>
      <c r="MP5">
        <v>-2.4245362661989844E-14</v>
      </c>
      <c r="MQ5">
        <v>182734</v>
      </c>
      <c r="MR5" t="s">
        <v>1674</v>
      </c>
      <c r="MW5" t="str">
        <f>_xll.BDS("ARCC US Equity","SUPPLY_CHAIN_SUPPLIERS_ALL_DATA","cols=12;rows=1")</f>
        <v>NEWT US Equity</v>
      </c>
      <c r="MY5">
        <v>-2.4245362661989844E-14</v>
      </c>
      <c r="MZ5">
        <v>-2.4245362661989844E-14</v>
      </c>
      <c r="NA5" t="s">
        <v>1594</v>
      </c>
      <c r="NB5">
        <v>2024</v>
      </c>
      <c r="NC5" t="s">
        <v>5408</v>
      </c>
      <c r="ND5" s="6">
        <v>45733</v>
      </c>
      <c r="NE5">
        <v>1</v>
      </c>
      <c r="NF5">
        <v>-2.4245362661989844E-14</v>
      </c>
      <c r="NG5">
        <v>1183488</v>
      </c>
      <c r="NH5" t="s">
        <v>4164</v>
      </c>
      <c r="NK5" t="str">
        <f>_xll.BDS("ARCC US Equity","SUPPLY_CHAIN_CUSTOMERS_ALL_DATA","cols=12;rows=1")</f>
        <v>DKS US Equity</v>
      </c>
      <c r="NL5">
        <v>-2.4245362661989844E-14</v>
      </c>
      <c r="NN5">
        <v>-2.4245362661989844E-14</v>
      </c>
      <c r="NO5" t="s">
        <v>1599</v>
      </c>
      <c r="NP5">
        <v>2026</v>
      </c>
      <c r="NQ5" t="s">
        <v>5728</v>
      </c>
      <c r="NR5" s="6">
        <v>45986</v>
      </c>
      <c r="NS5">
        <v>1</v>
      </c>
      <c r="NT5">
        <v>-2.4245362661989844E-14</v>
      </c>
      <c r="NU5">
        <v>1133363</v>
      </c>
      <c r="NV5" t="s">
        <v>2758</v>
      </c>
      <c r="OA5" t="str">
        <f>_xll.BDS("WELL US Equity","SUPPLY_CHAIN_SUPPLIERS_ALL_DATA","cols=12;rows=2")</f>
        <v>OHI US Equity</v>
      </c>
      <c r="OB5" t="s">
        <v>1685</v>
      </c>
      <c r="OC5">
        <v>4.7567510000000004</v>
      </c>
      <c r="OD5">
        <v>27.424123999999999</v>
      </c>
      <c r="OE5" t="s">
        <v>1594</v>
      </c>
      <c r="OF5">
        <v>2024</v>
      </c>
      <c r="OG5" t="s">
        <v>3488</v>
      </c>
      <c r="OH5" s="6">
        <v>45693</v>
      </c>
      <c r="OI5">
        <v>2</v>
      </c>
      <c r="OJ5">
        <v>12503001</v>
      </c>
      <c r="OK5">
        <v>115223</v>
      </c>
      <c r="OL5" t="s">
        <v>5330</v>
      </c>
      <c r="OO5" t="str">
        <f>_xll.BDS("WELL US Equity","SUPPLY_CHAIN_CUSTOMERS_ALL_DATA","cols=12;rows=5")</f>
        <v>SRZ US Equity</v>
      </c>
      <c r="OP5">
        <v>10.062165</v>
      </c>
      <c r="OR5">
        <v>-2.4245362661989844E-14</v>
      </c>
      <c r="OS5" t="s">
        <v>1594</v>
      </c>
      <c r="OT5">
        <v>2024</v>
      </c>
      <c r="OU5" t="s">
        <v>5129</v>
      </c>
      <c r="OV5" s="6">
        <v>45700</v>
      </c>
      <c r="OW5">
        <v>5</v>
      </c>
      <c r="OX5">
        <v>201019872</v>
      </c>
      <c r="OY5">
        <v>171733</v>
      </c>
      <c r="OZ5" t="s">
        <v>5130</v>
      </c>
      <c r="PE5" t="str">
        <f>_xll.BDS("FITB US Equity","SUPPLY_CHAIN_SUPPLIERS_ALL_DATA","cols=12;rows=5")</f>
        <v>004800 KS Equity</v>
      </c>
      <c r="PG5">
        <v>-2.4245362661989844E-14</v>
      </c>
      <c r="PH5">
        <v>-2.4245362661989844E-14</v>
      </c>
      <c r="PI5" t="s">
        <v>2469</v>
      </c>
      <c r="PJ5">
        <v>2025</v>
      </c>
      <c r="PK5" t="s">
        <v>4544</v>
      </c>
      <c r="PL5" s="6">
        <v>45883</v>
      </c>
      <c r="PM5">
        <v>5</v>
      </c>
      <c r="PN5">
        <v>-2.4245362661989844E-14</v>
      </c>
      <c r="PO5">
        <v>118099</v>
      </c>
      <c r="PP5" t="s">
        <v>2065</v>
      </c>
      <c r="PS5" t="str">
        <f>_xll.BDS("FITB US Equity","SUPPLY_CHAIN_CUSTOMERS_ALL_DATA","cols=12;rows=1")</f>
        <v>USIO US Equity</v>
      </c>
      <c r="PT5">
        <v>-2.4245362661989844E-14</v>
      </c>
      <c r="PV5">
        <v>-2.4245362661989844E-14</v>
      </c>
      <c r="PW5" t="s">
        <v>1594</v>
      </c>
      <c r="PX5">
        <v>2024</v>
      </c>
      <c r="PY5" t="s">
        <v>3551</v>
      </c>
      <c r="PZ5" s="6">
        <v>45742</v>
      </c>
      <c r="QA5">
        <v>1</v>
      </c>
      <c r="QB5">
        <v>-2.4245362661989844E-14</v>
      </c>
      <c r="QC5">
        <v>381245</v>
      </c>
      <c r="QD5" t="s">
        <v>3552</v>
      </c>
      <c r="QI5" t="str">
        <f>_xll.BDS("BRCM US Equity","SUPPLY_CHAIN_SUPPLIERS_ALL_DATA")</f>
        <v>#N/A N/A</v>
      </c>
      <c r="QW5" t="str">
        <f>_xll.BDS("BRCM US Equity","SUPPLY_CHAIN_CUSTOMERS_ALL_DATA")</f>
        <v>#N/A N/A</v>
      </c>
      <c r="RM5" t="str">
        <f>_xll.BDS("1255173D US Equity","SUPPLY_CHAIN_SUPPLIERS_ALL_DATA")</f>
        <v>#N/A N/A</v>
      </c>
      <c r="SA5" t="str">
        <f>_xll.BDS("1255173D US Equity","SUPPLY_CHAIN_CUSTOMERS_ALL_DATA")</f>
        <v>#N/A N/A</v>
      </c>
      <c r="SQ5" t="str">
        <f>_xll.BDS("BDN US Equity","SUPPLY_CHAIN_SUPPLIERS_ALL_DATA")</f>
        <v>#N/A N/A</v>
      </c>
      <c r="TE5" t="str">
        <f>_xll.BDS("BDN US Equity","SUPPLY_CHAIN_CUSTOMERS_ALL_DATA","cols=12;rows=5")</f>
        <v>IBM US Equity</v>
      </c>
      <c r="TF5">
        <v>4.0809709999999999</v>
      </c>
      <c r="TG5" t="s">
        <v>1685</v>
      </c>
      <c r="TH5">
        <v>0.104779</v>
      </c>
      <c r="TI5" t="s">
        <v>1594</v>
      </c>
      <c r="TJ5">
        <v>2024</v>
      </c>
      <c r="TK5" t="s">
        <v>5984</v>
      </c>
      <c r="TL5" s="6">
        <v>45693</v>
      </c>
      <c r="TM5">
        <v>5</v>
      </c>
      <c r="TN5">
        <v>5157500</v>
      </c>
      <c r="TO5">
        <v>100801</v>
      </c>
      <c r="TP5" t="s">
        <v>1745</v>
      </c>
      <c r="TU5" t="str">
        <f>_xll.BDS("0544749D US Equity","SUPPLY_CHAIN_SUPPLIERS_ALL_DATA")</f>
        <v>#N/A N/A</v>
      </c>
      <c r="UI5" t="str">
        <f>_xll.BDS("0544749D US Equity","SUPPLY_CHAIN_CUSTOMERS_ALL_DATA")</f>
        <v>#N/A N/A</v>
      </c>
      <c r="UY5" t="str">
        <f>_xll.BDS("DVN US Equity","SUPPLY_CHAIN_SUPPLIERS_ALL_DATA","cols=12;rows=5")</f>
        <v>AROC US Equity</v>
      </c>
      <c r="UZ5" t="s">
        <v>1634</v>
      </c>
      <c r="VA5">
        <v>4.2080089999999997</v>
      </c>
      <c r="VB5">
        <v>1.658752</v>
      </c>
      <c r="VC5" t="s">
        <v>1664</v>
      </c>
      <c r="VD5">
        <v>2025</v>
      </c>
      <c r="VE5" t="s">
        <v>2067</v>
      </c>
      <c r="VF5" s="6">
        <v>45929</v>
      </c>
      <c r="VG5">
        <v>5</v>
      </c>
      <c r="VH5">
        <v>16123071</v>
      </c>
      <c r="VI5">
        <v>13070762</v>
      </c>
      <c r="VJ5" t="s">
        <v>2068</v>
      </c>
      <c r="VM5" t="str">
        <f>_xll.BDS("DVN US Equity","SUPPLY_CHAIN_CUSTOMERS_ALL_DATA","cols=12;rows=1")</f>
        <v>CNA LN Equity</v>
      </c>
      <c r="VN5">
        <v>-2.4245362661989844E-14</v>
      </c>
      <c r="VP5">
        <v>-2.4245362661989844E-14</v>
      </c>
      <c r="VQ5" t="s">
        <v>1594</v>
      </c>
      <c r="VR5">
        <v>2025</v>
      </c>
      <c r="VS5" t="s">
        <v>1754</v>
      </c>
      <c r="VT5" s="6">
        <v>45884</v>
      </c>
      <c r="VU5">
        <v>1</v>
      </c>
      <c r="VV5">
        <v>-2.4245362661989844E-14</v>
      </c>
      <c r="VW5">
        <v>216204</v>
      </c>
      <c r="VX5" t="s">
        <v>1755</v>
      </c>
    </row>
    <row r="6" spans="1:600" x14ac:dyDescent="0.25">
      <c r="A6" t="s">
        <v>3880</v>
      </c>
      <c r="C6">
        <v>-2.4245362661989844E-14</v>
      </c>
      <c r="D6">
        <v>-2.4245362661989844E-14</v>
      </c>
      <c r="E6" t="s">
        <v>1594</v>
      </c>
      <c r="F6">
        <v>2023</v>
      </c>
      <c r="G6" t="s">
        <v>3878</v>
      </c>
      <c r="H6" s="6">
        <v>45345</v>
      </c>
      <c r="I6">
        <v>4</v>
      </c>
      <c r="J6">
        <v>-2.4245362661989844E-14</v>
      </c>
      <c r="K6">
        <v>29880300</v>
      </c>
      <c r="L6" t="s">
        <v>3881</v>
      </c>
      <c r="O6" t="s">
        <v>4955</v>
      </c>
      <c r="P6">
        <v>5.295553</v>
      </c>
      <c r="Q6" t="s">
        <v>1685</v>
      </c>
      <c r="R6">
        <v>0.11380999999999999</v>
      </c>
      <c r="S6" t="s">
        <v>1594</v>
      </c>
      <c r="T6">
        <v>2024</v>
      </c>
      <c r="U6" t="s">
        <v>2278</v>
      </c>
      <c r="V6" s="6">
        <v>45706</v>
      </c>
      <c r="W6">
        <v>5</v>
      </c>
      <c r="X6">
        <v>11733251</v>
      </c>
      <c r="Y6">
        <v>41234897</v>
      </c>
      <c r="Z6" t="s">
        <v>4956</v>
      </c>
      <c r="AE6" t="s">
        <v>4822</v>
      </c>
      <c r="AG6">
        <v>-2.4245362661989844E-14</v>
      </c>
      <c r="AH6">
        <v>-2.4245362661989844E-14</v>
      </c>
      <c r="AI6" t="s">
        <v>1792</v>
      </c>
      <c r="AJ6">
        <v>2023</v>
      </c>
      <c r="AK6" t="s">
        <v>4823</v>
      </c>
      <c r="AL6" s="6">
        <v>45166</v>
      </c>
      <c r="AM6">
        <v>4</v>
      </c>
      <c r="AN6">
        <v>-2.4245362661989844E-14</v>
      </c>
      <c r="AO6">
        <v>25971390</v>
      </c>
      <c r="AP6" t="s">
        <v>4824</v>
      </c>
      <c r="AS6" t="s">
        <v>4724</v>
      </c>
      <c r="AT6">
        <v>1.6661520000000001</v>
      </c>
      <c r="AV6">
        <v>-2.4245362661989844E-14</v>
      </c>
      <c r="AW6" t="s">
        <v>1594</v>
      </c>
      <c r="AX6">
        <v>2024</v>
      </c>
      <c r="AY6" t="s">
        <v>4722</v>
      </c>
      <c r="AZ6" s="6">
        <v>45693</v>
      </c>
      <c r="BA6">
        <v>5</v>
      </c>
      <c r="BB6">
        <v>24841489.5</v>
      </c>
      <c r="BC6">
        <v>71265740</v>
      </c>
      <c r="BD6" t="s">
        <v>4725</v>
      </c>
      <c r="BI6" t="s">
        <v>2376</v>
      </c>
      <c r="BJ6" t="s">
        <v>1598</v>
      </c>
      <c r="BK6">
        <v>2.0413640000000002</v>
      </c>
      <c r="BL6">
        <v>9.0393749999999997</v>
      </c>
      <c r="BM6" t="s">
        <v>1664</v>
      </c>
      <c r="BN6">
        <v>2025</v>
      </c>
      <c r="BO6" t="s">
        <v>3183</v>
      </c>
      <c r="BP6" s="6">
        <v>45863</v>
      </c>
      <c r="BQ6">
        <v>5</v>
      </c>
      <c r="BR6">
        <v>1112317696</v>
      </c>
      <c r="BS6">
        <v>117929</v>
      </c>
      <c r="BT6" t="s">
        <v>2378</v>
      </c>
      <c r="BW6" t="s">
        <v>1700</v>
      </c>
      <c r="BX6">
        <v>0.112041</v>
      </c>
      <c r="BY6" t="s">
        <v>1598</v>
      </c>
      <c r="BZ6">
        <v>0.211726</v>
      </c>
      <c r="CA6" t="s">
        <v>1606</v>
      </c>
      <c r="CB6">
        <v>2025</v>
      </c>
      <c r="CC6" t="s">
        <v>1701</v>
      </c>
      <c r="CD6" s="6">
        <v>46056</v>
      </c>
      <c r="CE6">
        <v>5</v>
      </c>
      <c r="CF6">
        <v>34266560</v>
      </c>
      <c r="CG6">
        <v>1499717</v>
      </c>
      <c r="CH6" t="s">
        <v>1702</v>
      </c>
      <c r="CM6" t="s">
        <v>2242</v>
      </c>
      <c r="CN6" t="s">
        <v>1598</v>
      </c>
      <c r="CO6">
        <v>1.9326570000000001</v>
      </c>
      <c r="CP6">
        <v>0.21072099999999999</v>
      </c>
      <c r="CQ6" t="s">
        <v>1599</v>
      </c>
      <c r="CR6">
        <v>2025</v>
      </c>
      <c r="CS6" t="s">
        <v>2243</v>
      </c>
      <c r="CT6" s="6">
        <v>45985</v>
      </c>
      <c r="CU6">
        <v>5</v>
      </c>
      <c r="CV6">
        <v>15533053.789999999</v>
      </c>
      <c r="CW6">
        <v>125320</v>
      </c>
      <c r="CX6" t="s">
        <v>2244</v>
      </c>
      <c r="DA6" t="s">
        <v>1811</v>
      </c>
      <c r="DB6">
        <v>3.2167110000000001</v>
      </c>
      <c r="DC6" t="s">
        <v>1634</v>
      </c>
      <c r="DD6">
        <v>9.4337839999999993</v>
      </c>
      <c r="DE6" t="s">
        <v>1599</v>
      </c>
      <c r="DF6">
        <v>2025</v>
      </c>
      <c r="DG6" t="s">
        <v>1809</v>
      </c>
      <c r="DH6" s="6">
        <v>45985</v>
      </c>
      <c r="DI6">
        <v>5</v>
      </c>
      <c r="DJ6">
        <v>287187968</v>
      </c>
      <c r="DK6">
        <v>182074</v>
      </c>
      <c r="DL6" t="s">
        <v>1812</v>
      </c>
      <c r="FY6" t="s">
        <v>2095</v>
      </c>
      <c r="FZ6" t="s">
        <v>1685</v>
      </c>
      <c r="GA6">
        <v>1.2</v>
      </c>
      <c r="GB6">
        <v>0.120341</v>
      </c>
      <c r="GC6" t="s">
        <v>1594</v>
      </c>
      <c r="GD6">
        <v>2024</v>
      </c>
      <c r="GE6" t="s">
        <v>2096</v>
      </c>
      <c r="GF6" s="6">
        <v>45722</v>
      </c>
      <c r="GG6">
        <v>5</v>
      </c>
      <c r="GH6">
        <v>657841.06999999995</v>
      </c>
      <c r="GI6">
        <v>8674508</v>
      </c>
      <c r="GJ6" t="s">
        <v>2097</v>
      </c>
      <c r="GM6" t="s">
        <v>4396</v>
      </c>
      <c r="GN6">
        <v>-2.4245362661989844E-14</v>
      </c>
      <c r="GP6">
        <v>-2.4245362661989844E-14</v>
      </c>
      <c r="GQ6" t="s">
        <v>1594</v>
      </c>
      <c r="GR6">
        <v>2025</v>
      </c>
      <c r="GS6" t="s">
        <v>4397</v>
      </c>
      <c r="GT6" s="6">
        <v>45750</v>
      </c>
      <c r="GU6">
        <v>5</v>
      </c>
      <c r="GV6">
        <v>-2.4245362661989844E-14</v>
      </c>
      <c r="GW6">
        <v>69744938</v>
      </c>
      <c r="GX6" t="s">
        <v>4398</v>
      </c>
      <c r="HC6" t="s">
        <v>2796</v>
      </c>
      <c r="HD6" t="s">
        <v>1685</v>
      </c>
      <c r="HE6">
        <v>9.5382999999999996E-2</v>
      </c>
      <c r="HF6">
        <v>1.0817209999999999</v>
      </c>
      <c r="HG6" t="s">
        <v>1603</v>
      </c>
      <c r="HH6">
        <v>2026</v>
      </c>
      <c r="HI6" t="s">
        <v>2797</v>
      </c>
      <c r="HJ6" s="6">
        <v>45973</v>
      </c>
      <c r="HK6">
        <v>5</v>
      </c>
      <c r="HL6">
        <v>32671380.140000001</v>
      </c>
      <c r="HM6">
        <v>16857643</v>
      </c>
      <c r="HN6" t="s">
        <v>2798</v>
      </c>
      <c r="HQ6" t="s">
        <v>2896</v>
      </c>
      <c r="HR6">
        <v>0.16034200000000001</v>
      </c>
      <c r="HS6" t="s">
        <v>1598</v>
      </c>
      <c r="HT6">
        <v>12.286398</v>
      </c>
      <c r="HU6" t="s">
        <v>1594</v>
      </c>
      <c r="HV6">
        <v>2025</v>
      </c>
      <c r="HW6" t="s">
        <v>2897</v>
      </c>
      <c r="HX6" s="6">
        <v>45856</v>
      </c>
      <c r="HY6">
        <v>5</v>
      </c>
      <c r="HZ6">
        <v>17393065.039999999</v>
      </c>
      <c r="IA6">
        <v>169572</v>
      </c>
      <c r="IB6" t="s">
        <v>2898</v>
      </c>
      <c r="IG6" t="s">
        <v>3937</v>
      </c>
      <c r="IH6" t="s">
        <v>1598</v>
      </c>
      <c r="II6">
        <v>38.349643999999998</v>
      </c>
      <c r="IJ6">
        <v>2.6183679999999998</v>
      </c>
      <c r="IK6" t="s">
        <v>1594</v>
      </c>
      <c r="IL6">
        <v>2025</v>
      </c>
      <c r="IM6" t="s">
        <v>3938</v>
      </c>
      <c r="IN6" s="6">
        <v>46063</v>
      </c>
      <c r="IO6">
        <v>5</v>
      </c>
      <c r="IP6">
        <v>725000000</v>
      </c>
      <c r="IQ6">
        <v>100948</v>
      </c>
      <c r="IR6" t="s">
        <v>3939</v>
      </c>
      <c r="IU6" t="s">
        <v>5041</v>
      </c>
      <c r="IV6">
        <v>-2.4245362661989844E-14</v>
      </c>
      <c r="IX6">
        <v>-2.4245362661989844E-14</v>
      </c>
      <c r="IY6" t="s">
        <v>1792</v>
      </c>
      <c r="IZ6">
        <v>2025</v>
      </c>
      <c r="JA6" t="s">
        <v>5042</v>
      </c>
      <c r="JB6" s="6">
        <v>45884</v>
      </c>
      <c r="JC6">
        <v>5</v>
      </c>
      <c r="JD6">
        <v>-2.4245362661989844E-14</v>
      </c>
      <c r="JE6">
        <v>64444291</v>
      </c>
      <c r="JF6" t="s">
        <v>5043</v>
      </c>
      <c r="JK6" t="s">
        <v>3350</v>
      </c>
      <c r="JL6" t="s">
        <v>1598</v>
      </c>
      <c r="JM6">
        <v>1.073509</v>
      </c>
      <c r="JN6">
        <v>1.223395</v>
      </c>
      <c r="JO6" t="s">
        <v>1664</v>
      </c>
      <c r="JP6">
        <v>2025</v>
      </c>
      <c r="JQ6" t="s">
        <v>3351</v>
      </c>
      <c r="JR6" s="6">
        <v>45959</v>
      </c>
      <c r="JS6">
        <v>5</v>
      </c>
      <c r="JT6">
        <v>36821796.350000001</v>
      </c>
      <c r="JU6">
        <v>113332</v>
      </c>
      <c r="JV6" t="s">
        <v>3352</v>
      </c>
      <c r="JY6" t="s">
        <v>959</v>
      </c>
      <c r="JZ6">
        <v>27</v>
      </c>
      <c r="KA6" t="s">
        <v>1598</v>
      </c>
      <c r="KB6">
        <v>3.1622810000000001</v>
      </c>
      <c r="KC6" t="s">
        <v>1594</v>
      </c>
      <c r="KD6">
        <v>2025</v>
      </c>
      <c r="KE6" t="s">
        <v>4106</v>
      </c>
      <c r="KF6" s="6">
        <v>46066</v>
      </c>
      <c r="KG6">
        <v>5</v>
      </c>
      <c r="KH6">
        <v>2480692480</v>
      </c>
      <c r="KI6">
        <v>156969</v>
      </c>
      <c r="KJ6" t="s">
        <v>1767</v>
      </c>
      <c r="KO6" t="s">
        <v>3132</v>
      </c>
      <c r="KQ6">
        <v>-2.4245362661989844E-14</v>
      </c>
      <c r="KR6">
        <v>-2.4245362661989844E-14</v>
      </c>
      <c r="KS6" t="s">
        <v>1594</v>
      </c>
      <c r="KT6">
        <v>2022</v>
      </c>
      <c r="KU6" t="s">
        <v>3133</v>
      </c>
      <c r="KV6" s="6">
        <v>45047</v>
      </c>
      <c r="KW6">
        <v>2</v>
      </c>
      <c r="KX6">
        <v>-2.4245362661989844E-14</v>
      </c>
      <c r="KY6">
        <v>883855</v>
      </c>
      <c r="KZ6" t="s">
        <v>3134</v>
      </c>
      <c r="LS6" t="s">
        <v>2054</v>
      </c>
      <c r="LT6" t="s">
        <v>1685</v>
      </c>
      <c r="LU6">
        <v>1.151538</v>
      </c>
      <c r="LV6">
        <v>7.7191999999999997E-2</v>
      </c>
      <c r="LW6" t="s">
        <v>1594</v>
      </c>
      <c r="LX6">
        <v>2024</v>
      </c>
      <c r="LY6" t="s">
        <v>2055</v>
      </c>
      <c r="LZ6" s="6">
        <v>45716</v>
      </c>
      <c r="MA6">
        <v>5</v>
      </c>
      <c r="MB6">
        <v>2317499</v>
      </c>
      <c r="MC6">
        <v>35300053</v>
      </c>
      <c r="MD6" t="s">
        <v>2056</v>
      </c>
      <c r="OA6" t="s">
        <v>5331</v>
      </c>
      <c r="OC6">
        <v>-2.4245362661989844E-14</v>
      </c>
      <c r="OD6">
        <v>-2.4245362661989844E-14</v>
      </c>
      <c r="OE6" t="s">
        <v>1594</v>
      </c>
      <c r="OF6">
        <v>2023</v>
      </c>
      <c r="OG6" t="s">
        <v>5332</v>
      </c>
      <c r="OH6" s="6">
        <v>45342</v>
      </c>
      <c r="OI6">
        <v>2</v>
      </c>
      <c r="OJ6">
        <v>-2.4245362661989844E-14</v>
      </c>
      <c r="OK6">
        <v>101041</v>
      </c>
      <c r="OL6" t="s">
        <v>5333</v>
      </c>
      <c r="OO6" t="s">
        <v>5131</v>
      </c>
      <c r="OP6">
        <v>8.5141399999999994</v>
      </c>
      <c r="OR6">
        <v>-2.4245362661989844E-14</v>
      </c>
      <c r="OS6" t="s">
        <v>1594</v>
      </c>
      <c r="OT6">
        <v>2024</v>
      </c>
      <c r="OU6" t="s">
        <v>5129</v>
      </c>
      <c r="OV6" s="6">
        <v>45700</v>
      </c>
      <c r="OW6">
        <v>5</v>
      </c>
      <c r="OX6">
        <v>170093744</v>
      </c>
      <c r="OY6">
        <v>62774477</v>
      </c>
      <c r="OZ6" t="s">
        <v>5132</v>
      </c>
      <c r="PE6" t="s">
        <v>4545</v>
      </c>
      <c r="PG6">
        <v>-2.4245362661989844E-14</v>
      </c>
      <c r="PH6">
        <v>-2.4245362661989844E-14</v>
      </c>
      <c r="PI6" t="s">
        <v>1599</v>
      </c>
      <c r="PJ6">
        <v>2024</v>
      </c>
      <c r="PK6" t="s">
        <v>4546</v>
      </c>
      <c r="PL6" s="6">
        <v>45608</v>
      </c>
      <c r="PM6">
        <v>5</v>
      </c>
      <c r="PN6">
        <v>-2.4245362661989844E-14</v>
      </c>
      <c r="PO6">
        <v>159743</v>
      </c>
      <c r="PP6" t="s">
        <v>4547</v>
      </c>
      <c r="TE6" t="s">
        <v>3797</v>
      </c>
      <c r="TF6">
        <v>3.7013590000000001</v>
      </c>
      <c r="TG6" t="s">
        <v>1685</v>
      </c>
      <c r="TH6">
        <v>0.110587</v>
      </c>
      <c r="TI6" t="s">
        <v>1594</v>
      </c>
      <c r="TJ6">
        <v>2024</v>
      </c>
      <c r="TK6" t="s">
        <v>5984</v>
      </c>
      <c r="TL6" s="6">
        <v>45693</v>
      </c>
      <c r="TM6">
        <v>5</v>
      </c>
      <c r="TN6">
        <v>4677750</v>
      </c>
      <c r="TO6">
        <v>115785</v>
      </c>
      <c r="TP6" t="s">
        <v>3799</v>
      </c>
      <c r="UY6" t="s">
        <v>2069</v>
      </c>
      <c r="UZ6" t="s">
        <v>1634</v>
      </c>
      <c r="VA6">
        <v>0.66700099999999996</v>
      </c>
      <c r="VB6">
        <v>0.67727700000000002</v>
      </c>
      <c r="VC6" t="s">
        <v>1599</v>
      </c>
      <c r="VD6">
        <v>2025</v>
      </c>
      <c r="VE6" t="s">
        <v>2070</v>
      </c>
      <c r="VF6" s="6">
        <v>45979</v>
      </c>
      <c r="VG6">
        <v>5</v>
      </c>
      <c r="VH6">
        <v>7227891.7699999996</v>
      </c>
      <c r="VI6">
        <v>115557</v>
      </c>
      <c r="VJ6" t="s">
        <v>2071</v>
      </c>
    </row>
    <row r="7" spans="1:600" x14ac:dyDescent="0.25">
      <c r="A7" t="s">
        <v>117</v>
      </c>
      <c r="C7">
        <v>-2.4245362661989844E-14</v>
      </c>
      <c r="D7">
        <v>-2.4245362661989844E-14</v>
      </c>
      <c r="E7" t="s">
        <v>1664</v>
      </c>
      <c r="F7">
        <v>2022</v>
      </c>
      <c r="G7" t="s">
        <v>3882</v>
      </c>
      <c r="H7" s="6">
        <v>44760</v>
      </c>
      <c r="I7">
        <v>4</v>
      </c>
      <c r="J7">
        <v>-2.4245362661989844E-14</v>
      </c>
      <c r="K7">
        <v>100801</v>
      </c>
      <c r="L7" t="s">
        <v>1745</v>
      </c>
      <c r="O7" t="s">
        <v>4957</v>
      </c>
      <c r="P7">
        <v>4.4620610000000003</v>
      </c>
      <c r="Q7" t="s">
        <v>1685</v>
      </c>
      <c r="R7">
        <v>0.12989999999999999</v>
      </c>
      <c r="S7" t="s">
        <v>1594</v>
      </c>
      <c r="T7">
        <v>2024</v>
      </c>
      <c r="U7" t="s">
        <v>2278</v>
      </c>
      <c r="V7" s="6">
        <v>45706</v>
      </c>
      <c r="W7">
        <v>5</v>
      </c>
      <c r="X7">
        <v>9886500</v>
      </c>
      <c r="Y7">
        <v>110755</v>
      </c>
      <c r="Z7" t="s">
        <v>4958</v>
      </c>
      <c r="AE7" t="s">
        <v>4825</v>
      </c>
      <c r="AG7">
        <v>-2.4245362661989844E-14</v>
      </c>
      <c r="AH7">
        <v>-2.4245362661989844E-14</v>
      </c>
      <c r="AI7" t="s">
        <v>1594</v>
      </c>
      <c r="AJ7">
        <v>2023</v>
      </c>
      <c r="AK7" t="s">
        <v>4826</v>
      </c>
      <c r="AL7" s="6">
        <v>45104</v>
      </c>
      <c r="AM7">
        <v>4</v>
      </c>
      <c r="AN7">
        <v>-2.4245362661989844E-14</v>
      </c>
      <c r="AO7">
        <v>69692516</v>
      </c>
      <c r="AP7" t="s">
        <v>4827</v>
      </c>
      <c r="AS7" t="s">
        <v>1328</v>
      </c>
      <c r="AT7">
        <v>1.573588</v>
      </c>
      <c r="AU7" t="s">
        <v>1685</v>
      </c>
      <c r="AV7">
        <v>2.417144</v>
      </c>
      <c r="AW7" t="s">
        <v>1594</v>
      </c>
      <c r="AX7">
        <v>2024</v>
      </c>
      <c r="AY7" t="s">
        <v>4722</v>
      </c>
      <c r="AZ7" s="6">
        <v>45693</v>
      </c>
      <c r="BA7">
        <v>5</v>
      </c>
      <c r="BB7">
        <v>23461406.75</v>
      </c>
      <c r="BC7">
        <v>1182041</v>
      </c>
      <c r="BD7" t="s">
        <v>4726</v>
      </c>
      <c r="BI7" t="s">
        <v>2383</v>
      </c>
      <c r="BJ7" t="s">
        <v>1634</v>
      </c>
      <c r="BK7">
        <v>13.01698</v>
      </c>
      <c r="BL7">
        <v>13.663121</v>
      </c>
      <c r="BM7" t="s">
        <v>1599</v>
      </c>
      <c r="BN7">
        <v>2025</v>
      </c>
      <c r="BO7" t="s">
        <v>2384</v>
      </c>
      <c r="BP7" s="6">
        <v>46029</v>
      </c>
      <c r="BQ7">
        <v>5</v>
      </c>
      <c r="BR7">
        <v>769456564.02999997</v>
      </c>
      <c r="BS7">
        <v>115705</v>
      </c>
      <c r="BT7" t="s">
        <v>2385</v>
      </c>
      <c r="BW7" t="s">
        <v>1645</v>
      </c>
      <c r="BX7">
        <v>3.6669E-2</v>
      </c>
      <c r="BY7" t="s">
        <v>1598</v>
      </c>
      <c r="BZ7">
        <v>1.85477</v>
      </c>
      <c r="CA7" t="s">
        <v>1599</v>
      </c>
      <c r="CB7">
        <v>2025</v>
      </c>
      <c r="CC7" t="s">
        <v>1897</v>
      </c>
      <c r="CD7" s="6">
        <v>45840</v>
      </c>
      <c r="CE7">
        <v>5</v>
      </c>
      <c r="CF7">
        <v>11214774</v>
      </c>
      <c r="CG7">
        <v>136424</v>
      </c>
      <c r="CH7" t="s">
        <v>1647</v>
      </c>
      <c r="CM7" t="s">
        <v>178</v>
      </c>
      <c r="CN7" t="s">
        <v>1598</v>
      </c>
      <c r="CO7">
        <v>1.9193999999999999E-2</v>
      </c>
      <c r="CP7">
        <v>0.195358</v>
      </c>
      <c r="CQ7" t="s">
        <v>1599</v>
      </c>
      <c r="CR7">
        <v>2025</v>
      </c>
      <c r="CS7" t="s">
        <v>1735</v>
      </c>
      <c r="CT7" s="6">
        <v>45843</v>
      </c>
      <c r="CU7">
        <v>5</v>
      </c>
      <c r="CV7">
        <v>13448468</v>
      </c>
      <c r="CW7">
        <v>101743</v>
      </c>
      <c r="CX7" t="s">
        <v>1736</v>
      </c>
      <c r="DA7" t="s">
        <v>1813</v>
      </c>
      <c r="DB7">
        <v>2.516251</v>
      </c>
      <c r="DC7" t="s">
        <v>1634</v>
      </c>
      <c r="DD7">
        <v>5.8743780000000001</v>
      </c>
      <c r="DE7" t="s">
        <v>1599</v>
      </c>
      <c r="DF7">
        <v>2025</v>
      </c>
      <c r="DG7" t="s">
        <v>1809</v>
      </c>
      <c r="DH7" s="6">
        <v>45985</v>
      </c>
      <c r="DI7">
        <v>5</v>
      </c>
      <c r="DJ7">
        <v>224650896</v>
      </c>
      <c r="DK7">
        <v>100228</v>
      </c>
      <c r="DL7" t="s">
        <v>1814</v>
      </c>
      <c r="FY7" t="s">
        <v>2098</v>
      </c>
      <c r="FZ7" t="s">
        <v>1685</v>
      </c>
      <c r="GA7">
        <v>5.0314999999999999E-2</v>
      </c>
      <c r="GB7">
        <v>3.3623E-2</v>
      </c>
      <c r="GC7" t="s">
        <v>1603</v>
      </c>
      <c r="GD7">
        <v>2026</v>
      </c>
      <c r="GE7" t="s">
        <v>2099</v>
      </c>
      <c r="GF7" s="6">
        <v>45944</v>
      </c>
      <c r="GG7">
        <v>5</v>
      </c>
      <c r="GH7">
        <v>192328.72</v>
      </c>
      <c r="GI7">
        <v>14882485</v>
      </c>
      <c r="GJ7" t="s">
        <v>2100</v>
      </c>
      <c r="GM7" t="s">
        <v>4399</v>
      </c>
      <c r="GN7">
        <v>-2.4245362661989844E-14</v>
      </c>
      <c r="GP7">
        <v>-2.4245362661989844E-14</v>
      </c>
      <c r="GQ7" t="s">
        <v>1599</v>
      </c>
      <c r="GR7">
        <v>2025</v>
      </c>
      <c r="GS7" t="s">
        <v>4400</v>
      </c>
      <c r="GT7" s="6">
        <v>45966</v>
      </c>
      <c r="GU7">
        <v>5</v>
      </c>
      <c r="GV7">
        <v>-2.4245362661989844E-14</v>
      </c>
      <c r="GW7">
        <v>38748702</v>
      </c>
      <c r="GX7" t="s">
        <v>4401</v>
      </c>
      <c r="HC7" t="s">
        <v>2335</v>
      </c>
      <c r="HD7" t="s">
        <v>1598</v>
      </c>
      <c r="HE7">
        <v>0.54199799999999998</v>
      </c>
      <c r="HF7">
        <v>0.58194000000000001</v>
      </c>
      <c r="HG7" t="s">
        <v>1664</v>
      </c>
      <c r="HH7">
        <v>2026</v>
      </c>
      <c r="HI7" t="s">
        <v>2336</v>
      </c>
      <c r="HJ7" s="6">
        <v>46071</v>
      </c>
      <c r="HK7">
        <v>5</v>
      </c>
      <c r="HL7">
        <v>29533472</v>
      </c>
      <c r="HM7">
        <v>61417091</v>
      </c>
      <c r="HN7" t="s">
        <v>2337</v>
      </c>
      <c r="HQ7" t="s">
        <v>2899</v>
      </c>
      <c r="HR7">
        <v>4.6823999999999998E-2</v>
      </c>
      <c r="HS7" t="s">
        <v>1598</v>
      </c>
      <c r="HT7">
        <v>12.031086999999999</v>
      </c>
      <c r="HU7" t="s">
        <v>1594</v>
      </c>
      <c r="HV7">
        <v>2024</v>
      </c>
      <c r="HW7" t="s">
        <v>2900</v>
      </c>
      <c r="HX7" s="6">
        <v>45785</v>
      </c>
      <c r="HY7">
        <v>5</v>
      </c>
      <c r="HZ7">
        <v>5010938.38</v>
      </c>
      <c r="IA7">
        <v>33604341</v>
      </c>
      <c r="IB7" t="s">
        <v>2901</v>
      </c>
      <c r="IG7" t="s">
        <v>839</v>
      </c>
      <c r="IH7" t="s">
        <v>1598</v>
      </c>
      <c r="II7">
        <v>15</v>
      </c>
      <c r="IJ7">
        <v>2.066656</v>
      </c>
      <c r="IK7" t="s">
        <v>1594</v>
      </c>
      <c r="IL7">
        <v>2025</v>
      </c>
      <c r="IM7" t="s">
        <v>3940</v>
      </c>
      <c r="IN7" s="6">
        <v>46077</v>
      </c>
      <c r="IO7">
        <v>5</v>
      </c>
      <c r="IP7">
        <v>567390016</v>
      </c>
      <c r="IQ7">
        <v>101397</v>
      </c>
      <c r="IR7" t="s">
        <v>3097</v>
      </c>
      <c r="IU7" t="s">
        <v>5044</v>
      </c>
      <c r="IV7">
        <v>-2.4245362661989844E-14</v>
      </c>
      <c r="IX7">
        <v>-2.4245362661989844E-14</v>
      </c>
      <c r="IY7" t="s">
        <v>1651</v>
      </c>
      <c r="IZ7">
        <v>2025</v>
      </c>
      <c r="JA7" t="s">
        <v>5045</v>
      </c>
      <c r="JB7" s="6">
        <v>45968</v>
      </c>
      <c r="JC7">
        <v>5</v>
      </c>
      <c r="JD7">
        <v>-2.4245362661989844E-14</v>
      </c>
      <c r="JE7">
        <v>197082</v>
      </c>
      <c r="JF7" t="s">
        <v>5046</v>
      </c>
      <c r="JK7" t="s">
        <v>3347</v>
      </c>
      <c r="JL7" t="s">
        <v>1598</v>
      </c>
      <c r="JM7">
        <v>2.3738000000000001</v>
      </c>
      <c r="JN7">
        <v>0.71700799999999998</v>
      </c>
      <c r="JO7" t="s">
        <v>1599</v>
      </c>
      <c r="JP7">
        <v>2025</v>
      </c>
      <c r="JQ7" t="s">
        <v>3348</v>
      </c>
      <c r="JR7" s="6">
        <v>46069</v>
      </c>
      <c r="JS7">
        <v>5</v>
      </c>
      <c r="JT7">
        <v>21422836.649999999</v>
      </c>
      <c r="JU7">
        <v>153809</v>
      </c>
      <c r="JV7" t="s">
        <v>3349</v>
      </c>
      <c r="JY7" t="s">
        <v>618</v>
      </c>
      <c r="JZ7">
        <v>16</v>
      </c>
      <c r="KA7" t="s">
        <v>1598</v>
      </c>
      <c r="KB7">
        <v>2.4954839999999998</v>
      </c>
      <c r="KC7" t="s">
        <v>1594</v>
      </c>
      <c r="KD7">
        <v>2025</v>
      </c>
      <c r="KE7" t="s">
        <v>4106</v>
      </c>
      <c r="KF7" s="6">
        <v>46066</v>
      </c>
      <c r="KG7">
        <v>5</v>
      </c>
      <c r="KH7">
        <v>1470040064</v>
      </c>
      <c r="KI7">
        <v>102782</v>
      </c>
      <c r="KJ7" t="s">
        <v>1626</v>
      </c>
      <c r="LS7" t="s">
        <v>2057</v>
      </c>
      <c r="LT7" t="s">
        <v>1685</v>
      </c>
      <c r="LU7">
        <v>0.492811</v>
      </c>
      <c r="LV7">
        <v>2.9784000000000001E-2</v>
      </c>
      <c r="LW7" t="s">
        <v>1603</v>
      </c>
      <c r="LX7">
        <v>2026</v>
      </c>
      <c r="LY7" t="s">
        <v>2058</v>
      </c>
      <c r="LZ7" s="6">
        <v>45898</v>
      </c>
      <c r="MA7">
        <v>5</v>
      </c>
      <c r="MB7">
        <v>889383.69</v>
      </c>
      <c r="MC7">
        <v>178651</v>
      </c>
      <c r="MD7" t="s">
        <v>2059</v>
      </c>
      <c r="OO7" t="s">
        <v>5133</v>
      </c>
      <c r="OP7">
        <v>8.5141399999999994</v>
      </c>
      <c r="OR7">
        <v>-2.4245362661989844E-14</v>
      </c>
      <c r="OS7" t="s">
        <v>1594</v>
      </c>
      <c r="OT7">
        <v>2024</v>
      </c>
      <c r="OU7" t="s">
        <v>5129</v>
      </c>
      <c r="OV7" s="6">
        <v>45700</v>
      </c>
      <c r="OW7">
        <v>5</v>
      </c>
      <c r="OX7">
        <v>170093744</v>
      </c>
      <c r="OY7">
        <v>28214410</v>
      </c>
      <c r="OZ7" t="s">
        <v>5134</v>
      </c>
      <c r="PE7" t="s">
        <v>3235</v>
      </c>
      <c r="PG7">
        <v>-2.4245362661989844E-14</v>
      </c>
      <c r="PH7">
        <v>-2.4245362661989844E-14</v>
      </c>
      <c r="PI7" t="s">
        <v>1594</v>
      </c>
      <c r="PJ7">
        <v>2023</v>
      </c>
      <c r="PK7" t="s">
        <v>3236</v>
      </c>
      <c r="PL7" s="6">
        <v>45462</v>
      </c>
      <c r="PM7">
        <v>5</v>
      </c>
      <c r="PN7">
        <v>-2.4245362661989844E-14</v>
      </c>
      <c r="PO7">
        <v>48621208</v>
      </c>
      <c r="PP7" t="s">
        <v>3237</v>
      </c>
      <c r="TE7" t="s">
        <v>776</v>
      </c>
      <c r="TF7">
        <v>2.4651990000000001</v>
      </c>
      <c r="TG7" t="s">
        <v>1685</v>
      </c>
      <c r="TH7">
        <v>2.5638999999999999E-2</v>
      </c>
      <c r="TI7" t="s">
        <v>1594</v>
      </c>
      <c r="TJ7">
        <v>2024</v>
      </c>
      <c r="TK7" t="s">
        <v>5984</v>
      </c>
      <c r="TL7" s="6">
        <v>45693</v>
      </c>
      <c r="TM7">
        <v>5</v>
      </c>
      <c r="TN7">
        <v>3115500</v>
      </c>
      <c r="TO7">
        <v>101712</v>
      </c>
      <c r="TP7" t="s">
        <v>2809</v>
      </c>
      <c r="UY7" t="s">
        <v>2072</v>
      </c>
      <c r="UZ7" t="s">
        <v>1598</v>
      </c>
      <c r="VA7">
        <v>0.93894500000000003</v>
      </c>
      <c r="VB7">
        <v>0.184472</v>
      </c>
      <c r="VC7" t="s">
        <v>1599</v>
      </c>
      <c r="VD7">
        <v>2025</v>
      </c>
      <c r="VE7" t="s">
        <v>2073</v>
      </c>
      <c r="VF7" s="6">
        <v>46027</v>
      </c>
      <c r="VG7">
        <v>5</v>
      </c>
      <c r="VH7">
        <v>5952911</v>
      </c>
      <c r="VI7">
        <v>36965288</v>
      </c>
      <c r="VJ7" t="s">
        <v>2074</v>
      </c>
    </row>
    <row r="8" spans="1:600" x14ac:dyDescent="0.25">
      <c r="A8" t="s">
        <v>3883</v>
      </c>
      <c r="C8">
        <v>-2.4245362661989844E-14</v>
      </c>
      <c r="D8">
        <v>-2.4245362661989844E-14</v>
      </c>
      <c r="E8" t="s">
        <v>1599</v>
      </c>
      <c r="F8">
        <v>2022</v>
      </c>
      <c r="G8" t="s">
        <v>3884</v>
      </c>
      <c r="H8" s="6">
        <v>44874</v>
      </c>
      <c r="I8">
        <v>4</v>
      </c>
      <c r="J8">
        <v>-2.4245362661989844E-14</v>
      </c>
      <c r="K8">
        <v>28127709</v>
      </c>
      <c r="L8" t="s">
        <v>3885</v>
      </c>
      <c r="O8" t="s">
        <v>4959</v>
      </c>
      <c r="P8">
        <v>3.5291649999999999</v>
      </c>
      <c r="Q8" t="s">
        <v>1685</v>
      </c>
      <c r="R8">
        <v>0.312338</v>
      </c>
      <c r="S8" t="s">
        <v>1594</v>
      </c>
      <c r="T8">
        <v>2024</v>
      </c>
      <c r="U8" t="s">
        <v>2278</v>
      </c>
      <c r="V8" s="6">
        <v>45706</v>
      </c>
      <c r="W8">
        <v>5</v>
      </c>
      <c r="X8">
        <v>7819500</v>
      </c>
      <c r="Y8">
        <v>101365</v>
      </c>
      <c r="Z8" t="s">
        <v>4960</v>
      </c>
      <c r="AE8" t="s">
        <v>4828</v>
      </c>
      <c r="AG8">
        <v>-2.4245362661989844E-14</v>
      </c>
      <c r="AH8">
        <v>-2.4245362661989844E-14</v>
      </c>
      <c r="AI8" t="s">
        <v>1594</v>
      </c>
      <c r="AJ8">
        <v>2022</v>
      </c>
      <c r="AK8" t="s">
        <v>4829</v>
      </c>
      <c r="AL8" s="6">
        <v>45019</v>
      </c>
      <c r="AM8">
        <v>4</v>
      </c>
      <c r="AN8">
        <v>-2.4245362661989844E-14</v>
      </c>
      <c r="AO8">
        <v>11190543</v>
      </c>
      <c r="AP8" t="s">
        <v>4830</v>
      </c>
      <c r="AS8" t="s">
        <v>4727</v>
      </c>
      <c r="AT8">
        <v>1.38846</v>
      </c>
      <c r="AU8" t="s">
        <v>1685</v>
      </c>
      <c r="AV8">
        <v>3.841923</v>
      </c>
      <c r="AW8" t="s">
        <v>1594</v>
      </c>
      <c r="AX8">
        <v>2024</v>
      </c>
      <c r="AY8" t="s">
        <v>4722</v>
      </c>
      <c r="AZ8" s="6">
        <v>45693</v>
      </c>
      <c r="BA8">
        <v>5</v>
      </c>
      <c r="BB8">
        <v>20701241.25</v>
      </c>
      <c r="BC8">
        <v>112150</v>
      </c>
      <c r="BD8" t="s">
        <v>4728</v>
      </c>
      <c r="BI8" t="s">
        <v>428</v>
      </c>
      <c r="BJ8" t="s">
        <v>1598</v>
      </c>
      <c r="BK8">
        <v>17</v>
      </c>
      <c r="BL8">
        <v>3.5607669999999998</v>
      </c>
      <c r="BM8" t="s">
        <v>1594</v>
      </c>
      <c r="BN8">
        <v>2025</v>
      </c>
      <c r="BO8" t="s">
        <v>2379</v>
      </c>
      <c r="BP8" s="6">
        <v>46077</v>
      </c>
      <c r="BQ8">
        <v>5</v>
      </c>
      <c r="BR8">
        <v>452395488</v>
      </c>
      <c r="BS8">
        <v>210870</v>
      </c>
      <c r="BT8" t="s">
        <v>2380</v>
      </c>
      <c r="BW8" t="s">
        <v>2589</v>
      </c>
      <c r="BX8">
        <v>1.3672E-2</v>
      </c>
      <c r="BY8" t="s">
        <v>1598</v>
      </c>
      <c r="BZ8">
        <v>7.3932999999999999E-2</v>
      </c>
      <c r="CA8" t="s">
        <v>1664</v>
      </c>
      <c r="CB8">
        <v>2026</v>
      </c>
      <c r="CC8" t="s">
        <v>2590</v>
      </c>
      <c r="CD8" s="6">
        <v>46063</v>
      </c>
      <c r="CE8">
        <v>5</v>
      </c>
      <c r="CF8">
        <v>4181589</v>
      </c>
      <c r="CG8">
        <v>100142</v>
      </c>
      <c r="CH8" t="s">
        <v>2591</v>
      </c>
      <c r="CM8" t="s">
        <v>2245</v>
      </c>
      <c r="CN8" t="s">
        <v>1598</v>
      </c>
      <c r="CO8">
        <v>0.74089799999999995</v>
      </c>
      <c r="CP8">
        <v>0.15796199999999999</v>
      </c>
      <c r="CQ8" t="s">
        <v>1599</v>
      </c>
      <c r="CR8">
        <v>2025</v>
      </c>
      <c r="CS8" t="s">
        <v>2246</v>
      </c>
      <c r="CT8" s="6">
        <v>46076</v>
      </c>
      <c r="CU8">
        <v>5</v>
      </c>
      <c r="CV8">
        <v>12663799</v>
      </c>
      <c r="CW8">
        <v>119151</v>
      </c>
      <c r="CX8" t="s">
        <v>2247</v>
      </c>
      <c r="DA8" t="s">
        <v>1815</v>
      </c>
      <c r="DB8">
        <v>2.263004</v>
      </c>
      <c r="DC8" t="s">
        <v>1634</v>
      </c>
      <c r="DD8">
        <v>1.609923</v>
      </c>
      <c r="DE8" t="s">
        <v>1599</v>
      </c>
      <c r="DF8">
        <v>2025</v>
      </c>
      <c r="DG8" t="s">
        <v>1809</v>
      </c>
      <c r="DH8" s="6">
        <v>45985</v>
      </c>
      <c r="DI8">
        <v>5</v>
      </c>
      <c r="DJ8">
        <v>202040992</v>
      </c>
      <c r="DK8">
        <v>948637</v>
      </c>
      <c r="DL8" t="s">
        <v>1816</v>
      </c>
      <c r="FY8" t="s">
        <v>3410</v>
      </c>
      <c r="GA8">
        <v>-2.4245362661989844E-14</v>
      </c>
      <c r="GB8">
        <v>-2.4245362661989844E-14</v>
      </c>
      <c r="GC8" t="s">
        <v>1594</v>
      </c>
      <c r="GD8">
        <v>2024</v>
      </c>
      <c r="GE8" t="s">
        <v>3411</v>
      </c>
      <c r="GF8" s="6">
        <v>45716</v>
      </c>
      <c r="GG8">
        <v>5</v>
      </c>
      <c r="GH8">
        <v>-2.4245362661989844E-14</v>
      </c>
      <c r="GI8">
        <v>101145</v>
      </c>
      <c r="GJ8" t="s">
        <v>3412</v>
      </c>
      <c r="GM8" t="s">
        <v>1700</v>
      </c>
      <c r="GN8">
        <v>-2.4245362661989844E-14</v>
      </c>
      <c r="GP8">
        <v>-2.4245362661989844E-14</v>
      </c>
      <c r="GQ8" t="s">
        <v>1594</v>
      </c>
      <c r="GR8">
        <v>2021</v>
      </c>
      <c r="GS8" t="s">
        <v>4265</v>
      </c>
      <c r="GT8" s="6">
        <v>44656</v>
      </c>
      <c r="GU8">
        <v>5</v>
      </c>
      <c r="GV8">
        <v>-2.4245362661989844E-14</v>
      </c>
      <c r="GW8">
        <v>1499717</v>
      </c>
      <c r="GX8" t="s">
        <v>1702</v>
      </c>
      <c r="HC8" t="s">
        <v>3376</v>
      </c>
      <c r="HD8" t="s">
        <v>1598</v>
      </c>
      <c r="HE8">
        <v>0.634911</v>
      </c>
      <c r="HF8">
        <v>0.46775099999999997</v>
      </c>
      <c r="HG8" t="s">
        <v>1606</v>
      </c>
      <c r="HH8">
        <v>2025</v>
      </c>
      <c r="HI8" t="s">
        <v>3377</v>
      </c>
      <c r="HJ8" s="6">
        <v>46072</v>
      </c>
      <c r="HK8">
        <v>5</v>
      </c>
      <c r="HL8">
        <v>23653411.170000002</v>
      </c>
      <c r="HM8">
        <v>70579391</v>
      </c>
      <c r="HN8" t="s">
        <v>3378</v>
      </c>
      <c r="HQ8" t="s">
        <v>2902</v>
      </c>
      <c r="HR8">
        <v>1.312E-2</v>
      </c>
      <c r="HS8" t="s">
        <v>1598</v>
      </c>
      <c r="HT8">
        <v>1.7301280000000001</v>
      </c>
      <c r="HU8" t="s">
        <v>1651</v>
      </c>
      <c r="HV8">
        <v>2025</v>
      </c>
      <c r="HW8" t="s">
        <v>2903</v>
      </c>
      <c r="HX8" s="6">
        <v>45975</v>
      </c>
      <c r="HY8">
        <v>5</v>
      </c>
      <c r="HZ8">
        <v>1435299.06</v>
      </c>
      <c r="IA8">
        <v>12025725</v>
      </c>
      <c r="IB8" t="s">
        <v>2904</v>
      </c>
      <c r="IG8" t="s">
        <v>1597</v>
      </c>
      <c r="IH8" t="s">
        <v>1598</v>
      </c>
      <c r="II8">
        <v>2.6082209999999999</v>
      </c>
      <c r="IJ8">
        <v>1.4772909999999999</v>
      </c>
      <c r="IK8" t="s">
        <v>1599</v>
      </c>
      <c r="IL8">
        <v>2025</v>
      </c>
      <c r="IM8" t="s">
        <v>1600</v>
      </c>
      <c r="IN8" s="6">
        <v>46014</v>
      </c>
      <c r="IO8">
        <v>5</v>
      </c>
      <c r="IP8">
        <v>411563475.94999999</v>
      </c>
      <c r="IQ8">
        <v>7583418</v>
      </c>
      <c r="IR8" t="s">
        <v>1601</v>
      </c>
      <c r="IU8" t="s">
        <v>5047</v>
      </c>
      <c r="IV8">
        <v>-2.4245362661989844E-14</v>
      </c>
      <c r="IX8">
        <v>-2.4245362661989844E-14</v>
      </c>
      <c r="IY8" t="s">
        <v>1603</v>
      </c>
      <c r="IZ8">
        <v>2024</v>
      </c>
      <c r="JA8" t="s">
        <v>5048</v>
      </c>
      <c r="JB8" s="6">
        <v>45090</v>
      </c>
      <c r="JC8">
        <v>5</v>
      </c>
      <c r="JD8">
        <v>-2.4245362661989844E-14</v>
      </c>
      <c r="JE8">
        <v>302751</v>
      </c>
      <c r="JF8" t="s">
        <v>5049</v>
      </c>
      <c r="JK8" t="s">
        <v>2367</v>
      </c>
      <c r="JL8" t="s">
        <v>2128</v>
      </c>
      <c r="JM8">
        <v>1.459176</v>
      </c>
      <c r="JN8">
        <v>0.86356999999999995</v>
      </c>
      <c r="JO8" t="s">
        <v>1664</v>
      </c>
      <c r="JP8">
        <v>2025</v>
      </c>
      <c r="JQ8" t="s">
        <v>2368</v>
      </c>
      <c r="JR8" s="6">
        <v>45921</v>
      </c>
      <c r="JS8">
        <v>5</v>
      </c>
      <c r="JT8">
        <v>15060666</v>
      </c>
      <c r="JU8">
        <v>963610</v>
      </c>
      <c r="JV8" t="s">
        <v>2369</v>
      </c>
      <c r="JY8" t="s">
        <v>31</v>
      </c>
      <c r="JZ8">
        <v>3.6153759999999999</v>
      </c>
      <c r="KA8" t="s">
        <v>1598</v>
      </c>
      <c r="KB8">
        <v>0.54387399999999997</v>
      </c>
      <c r="KC8" t="s">
        <v>1664</v>
      </c>
      <c r="KD8">
        <v>2025</v>
      </c>
      <c r="KE8" t="s">
        <v>4107</v>
      </c>
      <c r="KF8" s="6">
        <v>45929</v>
      </c>
      <c r="KG8">
        <v>5</v>
      </c>
      <c r="KH8">
        <v>331855360</v>
      </c>
      <c r="KI8">
        <v>60401289</v>
      </c>
      <c r="KJ8" t="s">
        <v>1769</v>
      </c>
      <c r="LS8" t="s">
        <v>2060</v>
      </c>
      <c r="LU8">
        <v>0.44397199999999998</v>
      </c>
      <c r="LV8">
        <v>-2.4245362661989844E-14</v>
      </c>
      <c r="LW8" t="s">
        <v>1606</v>
      </c>
      <c r="LX8">
        <v>2024</v>
      </c>
      <c r="LY8" t="s">
        <v>2061</v>
      </c>
      <c r="LZ8" s="6">
        <v>45699</v>
      </c>
      <c r="MA8">
        <v>5</v>
      </c>
      <c r="MB8">
        <v>316250</v>
      </c>
      <c r="MC8">
        <v>10086577</v>
      </c>
      <c r="MD8" t="s">
        <v>2062</v>
      </c>
      <c r="OO8" t="s">
        <v>5135</v>
      </c>
      <c r="OP8">
        <v>-2.4245362661989844E-14</v>
      </c>
      <c r="OR8">
        <v>-2.4245362661989844E-14</v>
      </c>
      <c r="OS8" t="s">
        <v>1594</v>
      </c>
      <c r="OT8">
        <v>2022</v>
      </c>
      <c r="OU8" t="s">
        <v>5136</v>
      </c>
      <c r="OV8" s="6">
        <v>44979</v>
      </c>
      <c r="OW8">
        <v>5</v>
      </c>
      <c r="OX8">
        <v>-2.4245362661989844E-14</v>
      </c>
      <c r="OY8">
        <v>14654414</v>
      </c>
      <c r="OZ8" t="s">
        <v>5137</v>
      </c>
      <c r="PE8" t="s">
        <v>4548</v>
      </c>
      <c r="PG8">
        <v>-2.4245362661989844E-14</v>
      </c>
      <c r="PH8">
        <v>-2.4245362661989844E-14</v>
      </c>
      <c r="PI8" t="s">
        <v>1594</v>
      </c>
      <c r="PJ8">
        <v>2024</v>
      </c>
      <c r="PK8" t="s">
        <v>4549</v>
      </c>
      <c r="PL8" s="6">
        <v>45714</v>
      </c>
      <c r="PM8">
        <v>5</v>
      </c>
      <c r="PN8">
        <v>-2.4245362661989844E-14</v>
      </c>
      <c r="PO8">
        <v>100457</v>
      </c>
      <c r="PP8" t="s">
        <v>4550</v>
      </c>
      <c r="TE8" t="s">
        <v>6228</v>
      </c>
      <c r="TF8">
        <v>2.3805329999999998</v>
      </c>
      <c r="TG8" t="s">
        <v>1685</v>
      </c>
      <c r="TH8">
        <v>1.8668940000000001</v>
      </c>
      <c r="TI8" t="s">
        <v>1594</v>
      </c>
      <c r="TJ8">
        <v>2024</v>
      </c>
      <c r="TK8" t="s">
        <v>5984</v>
      </c>
      <c r="TL8" s="6">
        <v>45693</v>
      </c>
      <c r="TM8">
        <v>5</v>
      </c>
      <c r="TN8">
        <v>3008500</v>
      </c>
      <c r="TO8">
        <v>100597</v>
      </c>
      <c r="TP8" t="s">
        <v>6229</v>
      </c>
      <c r="UY8" t="s">
        <v>2075</v>
      </c>
      <c r="UZ8" t="s">
        <v>1598</v>
      </c>
      <c r="VA8">
        <v>0.81212200000000001</v>
      </c>
      <c r="VB8">
        <v>3.9961000000000003E-2</v>
      </c>
      <c r="VC8" t="s">
        <v>1594</v>
      </c>
      <c r="VD8">
        <v>2024</v>
      </c>
      <c r="VE8" t="s">
        <v>2076</v>
      </c>
      <c r="VF8" s="6">
        <v>45722</v>
      </c>
      <c r="VG8">
        <v>5</v>
      </c>
      <c r="VH8">
        <v>1125000</v>
      </c>
      <c r="VI8">
        <v>34755071</v>
      </c>
      <c r="VJ8" t="s">
        <v>2077</v>
      </c>
    </row>
    <row r="9" spans="1:600" x14ac:dyDescent="0.25">
      <c r="O9" t="s">
        <v>3416</v>
      </c>
      <c r="P9">
        <v>2.8646959999999999</v>
      </c>
      <c r="R9">
        <v>-2.4245362661989844E-14</v>
      </c>
      <c r="S9" t="s">
        <v>1594</v>
      </c>
      <c r="T9">
        <v>2024</v>
      </c>
      <c r="U9" t="s">
        <v>2278</v>
      </c>
      <c r="V9" s="6">
        <v>45706</v>
      </c>
      <c r="W9">
        <v>5</v>
      </c>
      <c r="X9">
        <v>6347250</v>
      </c>
      <c r="Y9">
        <v>143028</v>
      </c>
      <c r="Z9" t="s">
        <v>3418</v>
      </c>
      <c r="AS9" t="s">
        <v>3499</v>
      </c>
      <c r="AT9">
        <v>1.38846</v>
      </c>
      <c r="AU9" t="s">
        <v>1685</v>
      </c>
      <c r="AV9">
        <v>4.1475580000000001</v>
      </c>
      <c r="AW9" t="s">
        <v>1594</v>
      </c>
      <c r="AX9">
        <v>2024</v>
      </c>
      <c r="AY9" t="s">
        <v>4722</v>
      </c>
      <c r="AZ9" s="6">
        <v>45693</v>
      </c>
      <c r="BA9">
        <v>5</v>
      </c>
      <c r="BB9">
        <v>20701241.25</v>
      </c>
      <c r="BC9">
        <v>69579252</v>
      </c>
      <c r="BD9" t="s">
        <v>3500</v>
      </c>
      <c r="BI9" t="s">
        <v>3184</v>
      </c>
      <c r="BJ9" t="s">
        <v>1634</v>
      </c>
      <c r="BK9">
        <v>24.9</v>
      </c>
      <c r="BL9">
        <v>7.4053610000000001</v>
      </c>
      <c r="BM9" t="s">
        <v>1599</v>
      </c>
      <c r="BN9">
        <v>2026</v>
      </c>
      <c r="BO9" t="s">
        <v>3185</v>
      </c>
      <c r="BP9" s="6">
        <v>45981</v>
      </c>
      <c r="BQ9">
        <v>5</v>
      </c>
      <c r="BR9">
        <v>361900000</v>
      </c>
      <c r="BS9">
        <v>100487</v>
      </c>
      <c r="BT9" t="s">
        <v>3186</v>
      </c>
      <c r="BW9" t="s">
        <v>2592</v>
      </c>
      <c r="BX9">
        <v>7.0479999999999996E-3</v>
      </c>
      <c r="BY9" t="s">
        <v>1598</v>
      </c>
      <c r="BZ9">
        <v>0.37631900000000001</v>
      </c>
      <c r="CA9" t="s">
        <v>1606</v>
      </c>
      <c r="CB9">
        <v>2024</v>
      </c>
      <c r="CC9" t="s">
        <v>2593</v>
      </c>
      <c r="CD9" s="6">
        <v>45742</v>
      </c>
      <c r="CE9">
        <v>5</v>
      </c>
      <c r="CF9">
        <v>2163480.08</v>
      </c>
      <c r="CG9">
        <v>153672</v>
      </c>
      <c r="CH9" t="s">
        <v>2594</v>
      </c>
      <c r="CM9" t="s">
        <v>2248</v>
      </c>
      <c r="CN9" t="s">
        <v>1598</v>
      </c>
      <c r="CO9">
        <v>1.9906219999999999</v>
      </c>
      <c r="CP9">
        <v>0.177985</v>
      </c>
      <c r="CQ9" t="s">
        <v>1664</v>
      </c>
      <c r="CR9">
        <v>2025</v>
      </c>
      <c r="CS9" t="s">
        <v>2249</v>
      </c>
      <c r="CT9" s="6">
        <v>45936</v>
      </c>
      <c r="CU9">
        <v>5</v>
      </c>
      <c r="CV9">
        <v>12336562.08</v>
      </c>
      <c r="CW9">
        <v>116058</v>
      </c>
      <c r="CX9" t="s">
        <v>2250</v>
      </c>
      <c r="DA9" t="s">
        <v>1817</v>
      </c>
      <c r="DB9">
        <v>2.2018209999999998</v>
      </c>
      <c r="DC9" t="s">
        <v>1634</v>
      </c>
      <c r="DD9">
        <v>4.3137720000000002</v>
      </c>
      <c r="DE9" t="s">
        <v>1599</v>
      </c>
      <c r="DF9">
        <v>2025</v>
      </c>
      <c r="DG9" t="s">
        <v>1809</v>
      </c>
      <c r="DH9" s="6">
        <v>45985</v>
      </c>
      <c r="DI9">
        <v>5</v>
      </c>
      <c r="DJ9">
        <v>196578576</v>
      </c>
      <c r="DK9">
        <v>9268711</v>
      </c>
      <c r="DL9" t="s">
        <v>1818</v>
      </c>
      <c r="FY9" t="s">
        <v>3413</v>
      </c>
      <c r="GA9">
        <v>-2.4245362661989844E-14</v>
      </c>
      <c r="GB9">
        <v>-2.4245362661989844E-14</v>
      </c>
      <c r="GC9" t="s">
        <v>1599</v>
      </c>
      <c r="GD9">
        <v>2024</v>
      </c>
      <c r="GE9" t="s">
        <v>3414</v>
      </c>
      <c r="GF9" s="6">
        <v>45617</v>
      </c>
      <c r="GG9">
        <v>5</v>
      </c>
      <c r="GH9">
        <v>-2.4245362661989844E-14</v>
      </c>
      <c r="GI9">
        <v>10166446</v>
      </c>
      <c r="GJ9" t="s">
        <v>3415</v>
      </c>
      <c r="GM9" t="s">
        <v>4402</v>
      </c>
      <c r="GN9">
        <v>-2.4245362661989844E-14</v>
      </c>
      <c r="GP9">
        <v>-2.4245362661989844E-14</v>
      </c>
      <c r="GQ9" t="s">
        <v>1594</v>
      </c>
      <c r="GR9">
        <v>2022</v>
      </c>
      <c r="GS9" t="s">
        <v>4403</v>
      </c>
      <c r="GT9" s="6">
        <v>44840</v>
      </c>
      <c r="GU9">
        <v>5</v>
      </c>
      <c r="GV9">
        <v>-2.4245362661989844E-14</v>
      </c>
      <c r="GW9">
        <v>14699050</v>
      </c>
      <c r="GX9" t="s">
        <v>4404</v>
      </c>
      <c r="HC9" t="s">
        <v>3379</v>
      </c>
      <c r="HD9" t="s">
        <v>1598</v>
      </c>
      <c r="HE9">
        <v>0.81015999999999999</v>
      </c>
      <c r="HF9">
        <v>0.38313000000000003</v>
      </c>
      <c r="HG9" t="s">
        <v>1599</v>
      </c>
      <c r="HH9">
        <v>2025</v>
      </c>
      <c r="HI9" t="s">
        <v>3380</v>
      </c>
      <c r="HJ9" s="6">
        <v>46050</v>
      </c>
      <c r="HK9">
        <v>5</v>
      </c>
      <c r="HL9">
        <v>19443840</v>
      </c>
      <c r="HM9">
        <v>32348903</v>
      </c>
      <c r="HN9" t="s">
        <v>3381</v>
      </c>
      <c r="HQ9" t="s">
        <v>2905</v>
      </c>
      <c r="HR9">
        <v>1.312E-2</v>
      </c>
      <c r="HS9" t="s">
        <v>1598</v>
      </c>
      <c r="HT9">
        <v>1.9811540000000001</v>
      </c>
      <c r="HU9" t="s">
        <v>1651</v>
      </c>
      <c r="HV9">
        <v>2025</v>
      </c>
      <c r="HW9" t="s">
        <v>2906</v>
      </c>
      <c r="HX9" s="6">
        <v>45975</v>
      </c>
      <c r="HY9">
        <v>5</v>
      </c>
      <c r="HZ9">
        <v>1435298.82</v>
      </c>
      <c r="IA9">
        <v>128948</v>
      </c>
      <c r="IB9" t="s">
        <v>2907</v>
      </c>
      <c r="IG9" t="s">
        <v>3941</v>
      </c>
      <c r="IH9" t="s">
        <v>1598</v>
      </c>
      <c r="II9">
        <v>13.367844</v>
      </c>
      <c r="IJ9">
        <v>1.217878</v>
      </c>
      <c r="IK9" t="s">
        <v>1664</v>
      </c>
      <c r="IL9">
        <v>2025</v>
      </c>
      <c r="IM9" t="s">
        <v>3942</v>
      </c>
      <c r="IN9" s="6">
        <v>45954</v>
      </c>
      <c r="IO9">
        <v>5</v>
      </c>
      <c r="IP9">
        <v>367214688</v>
      </c>
      <c r="IQ9">
        <v>11089797</v>
      </c>
      <c r="IR9" t="s">
        <v>3943</v>
      </c>
      <c r="IU9" t="s">
        <v>2165</v>
      </c>
      <c r="IV9">
        <v>-2.4245362661989844E-14</v>
      </c>
      <c r="IX9">
        <v>-2.4245362661989844E-14</v>
      </c>
      <c r="IY9" t="s">
        <v>1603</v>
      </c>
      <c r="IZ9">
        <v>2024</v>
      </c>
      <c r="JA9" t="s">
        <v>5048</v>
      </c>
      <c r="JB9" s="6">
        <v>45090</v>
      </c>
      <c r="JC9">
        <v>5</v>
      </c>
      <c r="JD9">
        <v>-2.4245362661989844E-14</v>
      </c>
      <c r="JE9">
        <v>36850308</v>
      </c>
      <c r="JF9" t="s">
        <v>2167</v>
      </c>
      <c r="JK9" t="s">
        <v>493</v>
      </c>
      <c r="JL9" t="s">
        <v>1598</v>
      </c>
      <c r="JM9">
        <v>0.27685399999999999</v>
      </c>
      <c r="JN9">
        <v>0.36708800000000003</v>
      </c>
      <c r="JO9" t="s">
        <v>1603</v>
      </c>
      <c r="JP9">
        <v>2025</v>
      </c>
      <c r="JQ9" t="s">
        <v>2093</v>
      </c>
      <c r="JR9" s="6">
        <v>45795</v>
      </c>
      <c r="JS9">
        <v>5</v>
      </c>
      <c r="JT9">
        <v>10895174</v>
      </c>
      <c r="JU9">
        <v>100499</v>
      </c>
      <c r="JV9" t="s">
        <v>2094</v>
      </c>
      <c r="JY9" t="s">
        <v>4108</v>
      </c>
      <c r="JZ9">
        <v>0.72379000000000004</v>
      </c>
      <c r="KA9" t="s">
        <v>1598</v>
      </c>
      <c r="KB9">
        <v>38.702872999999997</v>
      </c>
      <c r="KC9" t="s">
        <v>1594</v>
      </c>
      <c r="KD9">
        <v>2025</v>
      </c>
      <c r="KE9" t="s">
        <v>4106</v>
      </c>
      <c r="KF9" s="6">
        <v>46066</v>
      </c>
      <c r="KG9">
        <v>5</v>
      </c>
      <c r="KH9">
        <v>66500000</v>
      </c>
      <c r="KI9">
        <v>47826561</v>
      </c>
      <c r="KJ9" t="s">
        <v>4109</v>
      </c>
      <c r="LS9" t="s">
        <v>2063</v>
      </c>
      <c r="LU9">
        <v>-2.4245362661989844E-14</v>
      </c>
      <c r="LV9">
        <v>-2.4245362661989844E-14</v>
      </c>
      <c r="LW9" t="s">
        <v>1651</v>
      </c>
      <c r="LX9">
        <v>2025</v>
      </c>
      <c r="LY9" t="s">
        <v>2064</v>
      </c>
      <c r="LZ9" s="6">
        <v>45974</v>
      </c>
      <c r="MA9">
        <v>5</v>
      </c>
      <c r="MB9">
        <v>-2.4245362661989844E-14</v>
      </c>
      <c r="MC9">
        <v>118099</v>
      </c>
      <c r="MD9" t="s">
        <v>2065</v>
      </c>
      <c r="OO9" t="s">
        <v>5138</v>
      </c>
      <c r="OP9">
        <v>-2.4245362661989844E-14</v>
      </c>
      <c r="OR9">
        <v>-2.4245362661989844E-14</v>
      </c>
      <c r="OS9" t="s">
        <v>1594</v>
      </c>
      <c r="OT9">
        <v>2022</v>
      </c>
      <c r="OU9" t="s">
        <v>5136</v>
      </c>
      <c r="OV9" s="6">
        <v>44979</v>
      </c>
      <c r="OW9">
        <v>5</v>
      </c>
      <c r="OX9">
        <v>-2.4245362661989844E-14</v>
      </c>
      <c r="OY9">
        <v>7337833</v>
      </c>
      <c r="OZ9" t="s">
        <v>5139</v>
      </c>
      <c r="PE9" t="s">
        <v>4551</v>
      </c>
      <c r="PG9">
        <v>-2.4245362661989844E-14</v>
      </c>
      <c r="PH9">
        <v>-2.4245362661989844E-14</v>
      </c>
      <c r="PI9" t="s">
        <v>1664</v>
      </c>
      <c r="PJ9">
        <v>2024</v>
      </c>
      <c r="PK9" t="s">
        <v>4552</v>
      </c>
      <c r="PL9" s="6">
        <v>45433</v>
      </c>
      <c r="PM9">
        <v>5</v>
      </c>
      <c r="PN9">
        <v>-2.4245362661989844E-14</v>
      </c>
      <c r="PO9">
        <v>103350</v>
      </c>
      <c r="PP9" t="s">
        <v>4553</v>
      </c>
      <c r="TE9" t="s">
        <v>6230</v>
      </c>
      <c r="TF9">
        <v>2.0717400000000001</v>
      </c>
      <c r="TH9">
        <v>-2.4245362661989844E-14</v>
      </c>
      <c r="TI9" t="s">
        <v>1594</v>
      </c>
      <c r="TJ9">
        <v>2024</v>
      </c>
      <c r="TK9" t="s">
        <v>5984</v>
      </c>
      <c r="TL9" s="6">
        <v>45693</v>
      </c>
      <c r="TM9">
        <v>5</v>
      </c>
      <c r="TN9">
        <v>2618250</v>
      </c>
      <c r="TO9">
        <v>68344266</v>
      </c>
      <c r="TP9" t="s">
        <v>6231</v>
      </c>
      <c r="UY9" t="s">
        <v>2078</v>
      </c>
      <c r="UZ9" t="s">
        <v>1598</v>
      </c>
      <c r="VA9">
        <v>7.6275999999999997E-2</v>
      </c>
      <c r="VB9">
        <v>2.5603000000000001E-2</v>
      </c>
      <c r="VC9" t="s">
        <v>1606</v>
      </c>
      <c r="VD9">
        <v>2025</v>
      </c>
      <c r="VE9" t="s">
        <v>2079</v>
      </c>
      <c r="VF9" s="6">
        <v>46079</v>
      </c>
      <c r="VG9">
        <v>5</v>
      </c>
      <c r="VH9">
        <v>803949</v>
      </c>
      <c r="VI9">
        <v>49689146</v>
      </c>
      <c r="VJ9" t="s">
        <v>2080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1025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1026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1027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1028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1029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1030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1031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1032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1033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1034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1035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1036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1037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1038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1039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1040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1041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1042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1043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1044</v>
      </c>
      <c r="AE2" s="3" t="s">
        <v>1045</v>
      </c>
      <c r="BI2" s="3" t="s">
        <v>1046</v>
      </c>
      <c r="CM2" s="3" t="s">
        <v>1047</v>
      </c>
      <c r="DQ2" s="3" t="s">
        <v>78</v>
      </c>
      <c r="EU2" s="3" t="s">
        <v>241</v>
      </c>
      <c r="FY2" s="3" t="s">
        <v>1048</v>
      </c>
      <c r="HC2" s="3" t="s">
        <v>78</v>
      </c>
      <c r="IG2" s="3" t="s">
        <v>24</v>
      </c>
      <c r="JK2" s="3" t="s">
        <v>1049</v>
      </c>
      <c r="KO2" s="3" t="s">
        <v>809</v>
      </c>
      <c r="LS2" s="3" t="s">
        <v>270</v>
      </c>
      <c r="MW2" s="3" t="s">
        <v>1050</v>
      </c>
      <c r="OA2" s="3" t="s">
        <v>1051</v>
      </c>
      <c r="PE2" s="3" t="s">
        <v>281</v>
      </c>
      <c r="QI2" s="3" t="s">
        <v>684</v>
      </c>
      <c r="RM2" s="3" t="s">
        <v>1052</v>
      </c>
      <c r="SQ2" s="3" t="s">
        <v>1053</v>
      </c>
      <c r="TU2" s="3" t="s">
        <v>1054</v>
      </c>
      <c r="UY2" s="3" t="s">
        <v>1055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_xll.BDS("1837572D US Equity","SUPPLY_CHAIN_SUPPLIERS_ALL_DATA")</f>
        <v>#N/A N/A</v>
      </c>
      <c r="O5" t="str">
        <f>_xll.BDS("1837572D US Equity","SUPPLY_CHAIN_CUSTOMERS_ALL_DATA")</f>
        <v>#N/A N/A</v>
      </c>
      <c r="AE5" t="str">
        <f>_xll.BDS("THC US Equity","SUPPLY_CHAIN_SUPPLIERS_ALL_DATA","cols=12;rows=5")</f>
        <v>ORCL US Equity</v>
      </c>
      <c r="AF5" t="s">
        <v>1598</v>
      </c>
      <c r="AG5">
        <v>5.8312999999999997E-2</v>
      </c>
      <c r="AH5">
        <v>0.21387300000000001</v>
      </c>
      <c r="AI5" t="s">
        <v>1606</v>
      </c>
      <c r="AJ5">
        <v>2025</v>
      </c>
      <c r="AK5" t="s">
        <v>2251</v>
      </c>
      <c r="AL5" s="6">
        <v>45848</v>
      </c>
      <c r="AM5">
        <v>5</v>
      </c>
      <c r="AN5">
        <v>9273516</v>
      </c>
      <c r="AO5">
        <v>101752</v>
      </c>
      <c r="AP5" t="s">
        <v>2265</v>
      </c>
      <c r="AS5" t="str">
        <f>_xll.BDS("THC US Equity","SUPPLY_CHAIN_CUSTOMERS_ALL_DATA","cols=12;rows=3")</f>
        <v>0019676D US Equity</v>
      </c>
      <c r="AT5">
        <v>-2.4245362661989844E-14</v>
      </c>
      <c r="AV5">
        <v>-2.4245362661989844E-14</v>
      </c>
      <c r="AW5" t="s">
        <v>1594</v>
      </c>
      <c r="AX5">
        <v>2022</v>
      </c>
      <c r="AY5" t="s">
        <v>5750</v>
      </c>
      <c r="AZ5" s="6">
        <v>44854</v>
      </c>
      <c r="BA5">
        <v>3</v>
      </c>
      <c r="BB5">
        <v>-2.4245362661989844E-14</v>
      </c>
      <c r="BC5">
        <v>7819356</v>
      </c>
      <c r="BD5" t="s">
        <v>5751</v>
      </c>
      <c r="BI5" t="str">
        <f>_xll.BDS("ARI US Equity","SUPPLY_CHAIN_SUPPLIERS_ALL_DATA")</f>
        <v>#N/A N/A</v>
      </c>
      <c r="BW5" t="str">
        <f>_xll.BDS("ARI US Equity","SUPPLY_CHAIN_CUSTOMERS_ALL_DATA")</f>
        <v>#N/A N/A</v>
      </c>
      <c r="CM5" t="str">
        <f>_xll.BDS("1704453D US Equity","SUPPLY_CHAIN_SUPPLIERS_ALL_DATA")</f>
        <v>#N/A N/A</v>
      </c>
      <c r="DA5" t="str">
        <f>_xll.BDS("1704453D US Equity","SUPPLY_CHAIN_CUSTOMERS_ALL_DATA")</f>
        <v>#N/A N/A</v>
      </c>
      <c r="DQ5" t="str">
        <f>_xll.BDS("nan Equity","SUPPLY_CHAIN_SUPPLIERS_ALL_DATA")</f>
        <v>#N/A N/A</v>
      </c>
      <c r="EE5" t="str">
        <f>_xll.BDS("nan Equity","SUPPLY_CHAIN_CUSTOMERS_ALL_DATA")</f>
        <v>#N/A N/A</v>
      </c>
      <c r="EU5" t="str">
        <f>_xll.BDS("TRV US Equity","SUPPLY_CHAIN_SUPPLIERS_ALL_DATA","cols=12;rows=5")</f>
        <v>1892140D US Equity</v>
      </c>
      <c r="EW5">
        <v>-2.4245362661989844E-14</v>
      </c>
      <c r="EX5">
        <v>-2.4245362661989844E-14</v>
      </c>
      <c r="EY5" t="s">
        <v>1594</v>
      </c>
      <c r="EZ5">
        <v>2025</v>
      </c>
      <c r="FA5" t="s">
        <v>5089</v>
      </c>
      <c r="FB5" s="6">
        <v>46037</v>
      </c>
      <c r="FC5">
        <v>5</v>
      </c>
      <c r="FD5">
        <v>-2.4245362661989844E-14</v>
      </c>
      <c r="FE5">
        <v>69602734</v>
      </c>
      <c r="FF5" t="s">
        <v>5090</v>
      </c>
      <c r="FI5" t="str">
        <f>_xll.BDS("TRV US Equity","SUPPLY_CHAIN_CUSTOMERS_ALL_DATA")</f>
        <v>#N/A N/A</v>
      </c>
      <c r="FY5" t="str">
        <f>_xll.BDS("NS US Equity","SUPPLY_CHAIN_SUPPLIERS_ALL_DATA","cols=12;rows=5")</f>
        <v>1623420D US Equity</v>
      </c>
      <c r="GA5">
        <v>-2.4245362661989844E-14</v>
      </c>
      <c r="GB5">
        <v>-2.4245362661989844E-14</v>
      </c>
      <c r="GC5" t="s">
        <v>1594</v>
      </c>
      <c r="GD5">
        <v>2023</v>
      </c>
      <c r="GE5" t="s">
        <v>2659</v>
      </c>
      <c r="GF5" s="6">
        <v>45224</v>
      </c>
      <c r="GG5">
        <v>5</v>
      </c>
      <c r="GH5">
        <v>-2.4245362661989844E-14</v>
      </c>
      <c r="GI5">
        <v>60546301</v>
      </c>
      <c r="GJ5" t="s">
        <v>3088</v>
      </c>
      <c r="GM5" t="str">
        <f>_xll.BDS("NS US Equity","SUPPLY_CHAIN_CUSTOMERS_ALL_DATA","cols=12;rows=5")</f>
        <v>010060 KS Equity</v>
      </c>
      <c r="GN5">
        <v>-2.4245362661989844E-14</v>
      </c>
      <c r="GP5">
        <v>-2.4245362661989844E-14</v>
      </c>
      <c r="GQ5" t="s">
        <v>1594</v>
      </c>
      <c r="GR5">
        <v>2023</v>
      </c>
      <c r="GS5" t="s">
        <v>2659</v>
      </c>
      <c r="GT5" s="6">
        <v>45049</v>
      </c>
      <c r="GU5">
        <v>5</v>
      </c>
      <c r="GV5">
        <v>-2.4245362661989844E-14</v>
      </c>
      <c r="GW5">
        <v>119138</v>
      </c>
      <c r="GX5" t="s">
        <v>2660</v>
      </c>
      <c r="HC5" t="str">
        <f>_xll.BDS("nan Equity","SUPPLY_CHAIN_SUPPLIERS_ALL_DATA")</f>
        <v>#N/A N/A</v>
      </c>
      <c r="HQ5" t="str">
        <f>_xll.BDS("nan Equity","SUPPLY_CHAIN_CUSTOMERS_ALL_DATA")</f>
        <v>#N/A N/A</v>
      </c>
      <c r="IG5" t="str">
        <f>_xll.BDS("PFE US Equity","SUPPLY_CHAIN_SUPPLIERS_ALL_DATA","cols=12;rows=5")</f>
        <v>BNTX US Equity</v>
      </c>
      <c r="IH5" t="s">
        <v>1598</v>
      </c>
      <c r="II5">
        <v>73</v>
      </c>
      <c r="IJ5">
        <v>12.187704999999999</v>
      </c>
      <c r="IK5" t="s">
        <v>1594</v>
      </c>
      <c r="IL5">
        <v>2024</v>
      </c>
      <c r="IM5" t="s">
        <v>3345</v>
      </c>
      <c r="IN5" s="6">
        <v>45726</v>
      </c>
      <c r="IO5">
        <v>5</v>
      </c>
      <c r="IP5">
        <v>544064265</v>
      </c>
      <c r="IQ5">
        <v>65839686</v>
      </c>
      <c r="IR5" t="s">
        <v>3346</v>
      </c>
      <c r="IU5" t="str">
        <f>_xll.BDS("PFE US Equity","SUPPLY_CHAIN_CUSTOMERS_ALL_DATA","cols=12;rows=5")</f>
        <v>MCK US Equity</v>
      </c>
      <c r="IV5">
        <v>25</v>
      </c>
      <c r="IW5" t="s">
        <v>1598</v>
      </c>
      <c r="IX5">
        <v>4.0761390000000004</v>
      </c>
      <c r="IY5" t="s">
        <v>1594</v>
      </c>
      <c r="IZ5">
        <v>2025</v>
      </c>
      <c r="JA5" t="s">
        <v>2824</v>
      </c>
      <c r="JB5" s="6">
        <v>46079</v>
      </c>
      <c r="JC5">
        <v>5</v>
      </c>
      <c r="JD5">
        <v>3911187456</v>
      </c>
      <c r="JE5">
        <v>154936</v>
      </c>
      <c r="JF5" t="s">
        <v>1766</v>
      </c>
      <c r="JK5" t="str">
        <f>_xll.BDS("AMCC US Equity","SUPPLY_CHAIN_SUPPLIERS_ALL_DATA")</f>
        <v>#N/A N/A</v>
      </c>
      <c r="JY5" t="str">
        <f>_xll.BDS("AMCC US Equity","SUPPLY_CHAIN_CUSTOMERS_ALL_DATA")</f>
        <v>#N/A N/A</v>
      </c>
      <c r="KO5" t="str">
        <f>_xll.BDS("ATBA AV Equity","SUPPLY_CHAIN_SUPPLIERS_ALL_DATA","cols=12;rows=5")</f>
        <v>000676 CH Equity</v>
      </c>
      <c r="KQ5">
        <v>-2.4245362661989844E-14</v>
      </c>
      <c r="KR5">
        <v>-2.4245362661989844E-14</v>
      </c>
      <c r="KS5" t="s">
        <v>1792</v>
      </c>
      <c r="KT5">
        <v>2025</v>
      </c>
      <c r="KU5" t="s">
        <v>4620</v>
      </c>
      <c r="KV5" s="6">
        <v>45896</v>
      </c>
      <c r="KW5">
        <v>5</v>
      </c>
      <c r="KX5">
        <v>-2.4245362661989844E-14</v>
      </c>
      <c r="KY5">
        <v>193970</v>
      </c>
      <c r="KZ5" t="s">
        <v>4621</v>
      </c>
      <c r="LC5" t="str">
        <f>_xll.BDS("ATBA AV Equity","SUPPLY_CHAIN_CUSTOMERS_ALL_DATA","cols=12;rows=5")</f>
        <v>066570 KS Equity</v>
      </c>
      <c r="LD5">
        <v>-2.4245362661989844E-14</v>
      </c>
      <c r="LF5">
        <v>-2.4245362661989844E-14</v>
      </c>
      <c r="LG5" t="s">
        <v>1594</v>
      </c>
      <c r="LH5">
        <v>2025</v>
      </c>
      <c r="LI5" t="s">
        <v>4216</v>
      </c>
      <c r="LJ5" s="6">
        <v>45757</v>
      </c>
      <c r="LK5">
        <v>5</v>
      </c>
      <c r="LL5">
        <v>-2.4245362661989844E-14</v>
      </c>
      <c r="LM5">
        <v>7583418</v>
      </c>
      <c r="LN5" t="s">
        <v>1601</v>
      </c>
      <c r="LS5" t="str">
        <f>_xll.BDS("PEP US Equity","SUPPLY_CHAIN_SUPPLIERS_ALL_DATA","cols=12;rows=5")</f>
        <v>AMCR US Equity</v>
      </c>
      <c r="LT5" t="s">
        <v>1598</v>
      </c>
      <c r="LU5">
        <v>5.9558450000000001</v>
      </c>
      <c r="LV5">
        <v>3.014294</v>
      </c>
      <c r="LW5" t="s">
        <v>1664</v>
      </c>
      <c r="LX5">
        <v>2026</v>
      </c>
      <c r="LY5" t="s">
        <v>2336</v>
      </c>
      <c r="LZ5" s="6">
        <v>46071</v>
      </c>
      <c r="MA5">
        <v>5</v>
      </c>
      <c r="MB5">
        <v>324533984</v>
      </c>
      <c r="MC5">
        <v>61417091</v>
      </c>
      <c r="MD5" t="s">
        <v>2337</v>
      </c>
      <c r="MG5" t="str">
        <f>_xll.BDS("PEP US Equity","SUPPLY_CHAIN_CUSTOMERS_ALL_DATA","cols=12;rows=5")</f>
        <v>WMT US Equity</v>
      </c>
      <c r="MH5">
        <v>14</v>
      </c>
      <c r="MI5" t="s">
        <v>1598</v>
      </c>
      <c r="MJ5">
        <v>2.534373</v>
      </c>
      <c r="MK5" t="s">
        <v>1594</v>
      </c>
      <c r="ML5">
        <v>2024</v>
      </c>
      <c r="MM5" t="s">
        <v>2826</v>
      </c>
      <c r="MN5" s="6">
        <v>45692</v>
      </c>
      <c r="MO5">
        <v>5</v>
      </c>
      <c r="MP5">
        <v>3214889984</v>
      </c>
      <c r="MQ5">
        <v>101616</v>
      </c>
      <c r="MR5" t="s">
        <v>1666</v>
      </c>
      <c r="MW5" t="str">
        <f>_xll.BDS("300583Q US Equity","SUPPLY_CHAIN_SUPPLIERS_ALL_DATA")</f>
        <v>#N/A N/A</v>
      </c>
      <c r="NK5" t="str">
        <f>_xll.BDS("300583Q US Equity","SUPPLY_CHAIN_CUSTOMERS_ALL_DATA")</f>
        <v>#N/A N/A</v>
      </c>
      <c r="OA5" t="str">
        <f>_xll.BDS("DYNIQ US Equity","SUPPLY_CHAIN_SUPPLIERS_ALL_DATA")</f>
        <v>#N/A N/A</v>
      </c>
      <c r="OO5" t="str">
        <f>_xll.BDS("DYNIQ US Equity","SUPPLY_CHAIN_CUSTOMERS_ALL_DATA")</f>
        <v>#N/A N/A</v>
      </c>
      <c r="PE5" t="str">
        <f>_xll.BDS("MPLX US Equity","SUPPLY_CHAIN_SUPPLIERS_ALL_DATA","cols=12;rows=5")</f>
        <v>DNOW US Equity</v>
      </c>
      <c r="PF5" t="s">
        <v>1598</v>
      </c>
      <c r="PG5">
        <v>0.27696399999999999</v>
      </c>
      <c r="PH5">
        <v>0.10378</v>
      </c>
      <c r="PI5" t="s">
        <v>1599</v>
      </c>
      <c r="PJ5">
        <v>2025</v>
      </c>
      <c r="PK5" t="s">
        <v>2073</v>
      </c>
      <c r="PL5" s="6">
        <v>46027</v>
      </c>
      <c r="PM5">
        <v>5</v>
      </c>
      <c r="PN5">
        <v>1755952</v>
      </c>
      <c r="PO5">
        <v>36965288</v>
      </c>
      <c r="PP5" t="s">
        <v>2074</v>
      </c>
      <c r="PS5" t="str">
        <f>_xll.BDS("MPLX US Equity","SUPPLY_CHAIN_CUSTOMERS_ALL_DATA","cols=12;rows=3")</f>
        <v>MPC US Equity</v>
      </c>
      <c r="PT5">
        <v>49</v>
      </c>
      <c r="PU5" t="s">
        <v>1598</v>
      </c>
      <c r="PV5">
        <v>4.4841980000000001</v>
      </c>
      <c r="PW5" t="s">
        <v>1594</v>
      </c>
      <c r="PX5">
        <v>2024</v>
      </c>
      <c r="PY5" t="s">
        <v>2548</v>
      </c>
      <c r="PZ5" s="6">
        <v>45715</v>
      </c>
      <c r="QA5">
        <v>3</v>
      </c>
      <c r="QB5">
        <v>1461792512</v>
      </c>
      <c r="QC5">
        <v>23756399</v>
      </c>
      <c r="QD5" t="s">
        <v>2549</v>
      </c>
      <c r="QI5" t="str">
        <f>_xll.BDS("HBAN US Equity","SUPPLY_CHAIN_SUPPLIERS_ALL_DATA","cols=12;rows=4")</f>
        <v>004800 KS Equity</v>
      </c>
      <c r="QK5">
        <v>-2.4245362661989844E-14</v>
      </c>
      <c r="QL5">
        <v>-2.4245362661989844E-14</v>
      </c>
      <c r="QM5" t="s">
        <v>1651</v>
      </c>
      <c r="QN5">
        <v>2025</v>
      </c>
      <c r="QO5" t="s">
        <v>2064</v>
      </c>
      <c r="QP5" s="6">
        <v>45974</v>
      </c>
      <c r="QQ5">
        <v>4</v>
      </c>
      <c r="QR5">
        <v>-2.4245362661989844E-14</v>
      </c>
      <c r="QS5">
        <v>118099</v>
      </c>
      <c r="QT5" t="s">
        <v>2065</v>
      </c>
      <c r="QW5" t="str">
        <f>_xll.BDS("HBAN US Equity","SUPPLY_CHAIN_CUSTOMERS_ALL_DATA")</f>
        <v>#N/A N/A</v>
      </c>
      <c r="RM5" t="str">
        <f>_xll.BDS("SSB US Equity","SUPPLY_CHAIN_SUPPLIERS_ALL_DATA","cols=12;rows=4")</f>
        <v>BLND US Equity</v>
      </c>
      <c r="RO5">
        <v>-2.4245362661989844E-14</v>
      </c>
      <c r="RP5">
        <v>-2.4245362661989844E-14</v>
      </c>
      <c r="RQ5" t="s">
        <v>1603</v>
      </c>
      <c r="RR5">
        <v>2025</v>
      </c>
      <c r="RS5" t="s">
        <v>4988</v>
      </c>
      <c r="RT5" s="6">
        <v>45785</v>
      </c>
      <c r="RU5">
        <v>4</v>
      </c>
      <c r="RV5">
        <v>-2.4245362661989844E-14</v>
      </c>
      <c r="RW5">
        <v>42447088</v>
      </c>
      <c r="RX5" t="s">
        <v>4989</v>
      </c>
      <c r="SA5" t="str">
        <f>_xll.BDS("SSB US Equity","SUPPLY_CHAIN_CUSTOMERS_ALL_DATA")</f>
        <v>#N/A N/A</v>
      </c>
      <c r="SQ5" t="str">
        <f>_xll.BDS("IT US Equity","SUPPLY_CHAIN_SUPPLIERS_ALL_DATA","cols=12;rows=5")</f>
        <v>000977 CH Equity</v>
      </c>
      <c r="SR5" t="s">
        <v>1634</v>
      </c>
      <c r="SS5">
        <v>0.14047699999999999</v>
      </c>
      <c r="ST5">
        <v>17.867687</v>
      </c>
      <c r="SU5" t="s">
        <v>1664</v>
      </c>
      <c r="SV5">
        <v>2025</v>
      </c>
      <c r="SW5" t="s">
        <v>3679</v>
      </c>
      <c r="SX5" s="6">
        <v>45958</v>
      </c>
      <c r="SY5">
        <v>5</v>
      </c>
      <c r="SZ5">
        <v>6476615.4400000004</v>
      </c>
      <c r="TA5">
        <v>1456094</v>
      </c>
      <c r="TB5" t="s">
        <v>3680</v>
      </c>
      <c r="TE5" t="str">
        <f>_xll.BDS("IT US Equity","SUPPLY_CHAIN_CUSTOMERS_ALL_DATA","cols=12;rows=5")</f>
        <v>294090 KS Equity</v>
      </c>
      <c r="TF5">
        <v>-2.4245362661989844E-14</v>
      </c>
      <c r="TH5">
        <v>-2.4245362661989844E-14</v>
      </c>
      <c r="TI5" t="s">
        <v>1594</v>
      </c>
      <c r="TJ5">
        <v>2022</v>
      </c>
      <c r="TK5" t="s">
        <v>5537</v>
      </c>
      <c r="TL5" s="6">
        <v>45007</v>
      </c>
      <c r="TM5">
        <v>5</v>
      </c>
      <c r="TN5">
        <v>-2.4245362661989844E-14</v>
      </c>
      <c r="TO5">
        <v>59002338</v>
      </c>
      <c r="TP5" t="s">
        <v>5538</v>
      </c>
      <c r="TU5" t="str">
        <f>_xll.BDS("LQI US Equity","SUPPLY_CHAIN_SUPPLIERS_ALL_DATA")</f>
        <v>#N/A N/A</v>
      </c>
      <c r="UI5" t="str">
        <f>_xll.BDS("LQI US Equity","SUPPLY_CHAIN_CUSTOMERS_ALL_DATA")</f>
        <v>#N/A N/A</v>
      </c>
      <c r="UY5" t="str">
        <f>_xll.BDS("CHRD US Equity","SUPPLY_CHAIN_SUPPLIERS_ALL_DATA","cols=12;rows=5")</f>
        <v>DNOW US Equity</v>
      </c>
      <c r="UZ5" t="s">
        <v>1598</v>
      </c>
      <c r="VA5">
        <v>0.32326199999999999</v>
      </c>
      <c r="VB5">
        <v>0.183476</v>
      </c>
      <c r="VC5" t="s">
        <v>1599</v>
      </c>
      <c r="VD5">
        <v>2025</v>
      </c>
      <c r="VE5" t="s">
        <v>2073</v>
      </c>
      <c r="VF5" s="6">
        <v>46027</v>
      </c>
      <c r="VG5">
        <v>5</v>
      </c>
      <c r="VH5">
        <v>2049481</v>
      </c>
      <c r="VI5">
        <v>36965288</v>
      </c>
      <c r="VJ5" t="s">
        <v>2074</v>
      </c>
      <c r="VM5" t="str">
        <f>_xll.BDS("CHRD US Equity","SUPPLY_CHAIN_CUSTOMERS_ALL_DATA","cols=12;rows=4")</f>
        <v>PSX US Equity</v>
      </c>
      <c r="VN5">
        <v>19</v>
      </c>
      <c r="VO5" t="s">
        <v>1598</v>
      </c>
      <c r="VP5">
        <v>0.75211099999999997</v>
      </c>
      <c r="VQ5" t="s">
        <v>1594</v>
      </c>
      <c r="VR5">
        <v>2024</v>
      </c>
      <c r="VS5" t="s">
        <v>4634</v>
      </c>
      <c r="VT5" s="6">
        <v>45715</v>
      </c>
      <c r="VU5">
        <v>4</v>
      </c>
      <c r="VV5">
        <v>249426400</v>
      </c>
      <c r="VW5">
        <v>28399721</v>
      </c>
      <c r="VX5" t="s">
        <v>3092</v>
      </c>
    </row>
    <row r="6" spans="1:600" x14ac:dyDescent="0.25">
      <c r="AE6" t="s">
        <v>587</v>
      </c>
      <c r="AF6" t="s">
        <v>1685</v>
      </c>
      <c r="AG6">
        <v>1.574166</v>
      </c>
      <c r="AH6">
        <v>0.133378</v>
      </c>
      <c r="AI6" t="s">
        <v>1594</v>
      </c>
      <c r="AJ6">
        <v>2024</v>
      </c>
      <c r="AK6" t="s">
        <v>5829</v>
      </c>
      <c r="AL6" s="6">
        <v>45707</v>
      </c>
      <c r="AM6">
        <v>5</v>
      </c>
      <c r="AN6">
        <v>4991349.5</v>
      </c>
      <c r="AO6">
        <v>17318505</v>
      </c>
      <c r="AP6" t="s">
        <v>5842</v>
      </c>
      <c r="AS6" t="s">
        <v>5752</v>
      </c>
      <c r="AT6">
        <v>-2.4245362661989844E-14</v>
      </c>
      <c r="AV6">
        <v>-2.4245362661989844E-14</v>
      </c>
      <c r="AW6" t="s">
        <v>1594</v>
      </c>
      <c r="AX6">
        <v>2022</v>
      </c>
      <c r="AY6" t="s">
        <v>5753</v>
      </c>
      <c r="AZ6" s="6">
        <v>44978</v>
      </c>
      <c r="BA6">
        <v>3</v>
      </c>
      <c r="BB6">
        <v>-2.4245362661989844E-14</v>
      </c>
      <c r="BC6">
        <v>1081218</v>
      </c>
      <c r="BD6" t="s">
        <v>5754</v>
      </c>
      <c r="EU6" t="s">
        <v>3466</v>
      </c>
      <c r="EW6">
        <v>-2.4245362661989844E-14</v>
      </c>
      <c r="EX6">
        <v>-2.4245362661989844E-14</v>
      </c>
      <c r="EY6" t="s">
        <v>1603</v>
      </c>
      <c r="EZ6">
        <v>2024</v>
      </c>
      <c r="FA6" t="s">
        <v>3467</v>
      </c>
      <c r="FB6" s="6">
        <v>45421</v>
      </c>
      <c r="FC6">
        <v>5</v>
      </c>
      <c r="FD6">
        <v>-2.4245362661989844E-14</v>
      </c>
      <c r="FE6">
        <v>65608618</v>
      </c>
      <c r="FF6" t="s">
        <v>3468</v>
      </c>
      <c r="FY6" t="s">
        <v>2661</v>
      </c>
      <c r="GA6">
        <v>-2.4245362661989844E-14</v>
      </c>
      <c r="GB6">
        <v>-2.4245362661989844E-14</v>
      </c>
      <c r="GC6" t="s">
        <v>1594</v>
      </c>
      <c r="GD6">
        <v>2022</v>
      </c>
      <c r="GE6" t="s">
        <v>2662</v>
      </c>
      <c r="GF6" s="6">
        <v>44980</v>
      </c>
      <c r="GG6">
        <v>5</v>
      </c>
      <c r="GH6">
        <v>-2.4245362661989844E-14</v>
      </c>
      <c r="GI6">
        <v>201737</v>
      </c>
      <c r="GJ6" t="s">
        <v>2663</v>
      </c>
      <c r="GM6" t="s">
        <v>2661</v>
      </c>
      <c r="GN6">
        <v>-2.4245362661989844E-14</v>
      </c>
      <c r="GP6">
        <v>-2.4245362661989844E-14</v>
      </c>
      <c r="GQ6" t="s">
        <v>1594</v>
      </c>
      <c r="GR6">
        <v>2022</v>
      </c>
      <c r="GS6" t="s">
        <v>2662</v>
      </c>
      <c r="GT6" s="6">
        <v>44980</v>
      </c>
      <c r="GU6">
        <v>5</v>
      </c>
      <c r="GV6">
        <v>-2.4245362661989844E-14</v>
      </c>
      <c r="GW6">
        <v>201737</v>
      </c>
      <c r="GX6" t="s">
        <v>2663</v>
      </c>
      <c r="IG6" t="s">
        <v>143</v>
      </c>
      <c r="IH6" t="s">
        <v>1598</v>
      </c>
      <c r="II6">
        <v>0.22900000000000001</v>
      </c>
      <c r="IJ6">
        <v>1.2800659999999999</v>
      </c>
      <c r="IK6" t="s">
        <v>1606</v>
      </c>
      <c r="IL6">
        <v>2025</v>
      </c>
      <c r="IM6" t="s">
        <v>2251</v>
      </c>
      <c r="IN6" s="6">
        <v>45848</v>
      </c>
      <c r="IO6">
        <v>5</v>
      </c>
      <c r="IP6">
        <v>36417872</v>
      </c>
      <c r="IQ6">
        <v>101752</v>
      </c>
      <c r="IR6" t="s">
        <v>2265</v>
      </c>
      <c r="IU6" t="s">
        <v>959</v>
      </c>
      <c r="IV6">
        <v>16</v>
      </c>
      <c r="IW6" t="s">
        <v>1598</v>
      </c>
      <c r="IX6">
        <v>3.190922</v>
      </c>
      <c r="IY6" t="s">
        <v>1594</v>
      </c>
      <c r="IZ6">
        <v>2025</v>
      </c>
      <c r="JA6" t="s">
        <v>2824</v>
      </c>
      <c r="JB6" s="6">
        <v>46079</v>
      </c>
      <c r="JC6">
        <v>5</v>
      </c>
      <c r="JD6">
        <v>2503160064</v>
      </c>
      <c r="JE6">
        <v>156969</v>
      </c>
      <c r="JF6" t="s">
        <v>1767</v>
      </c>
      <c r="KO6" t="s">
        <v>4622</v>
      </c>
      <c r="KQ6">
        <v>-2.4245362661989844E-14</v>
      </c>
      <c r="KR6">
        <v>-2.4245362661989844E-14</v>
      </c>
      <c r="KS6" t="s">
        <v>2469</v>
      </c>
      <c r="KT6">
        <v>2023</v>
      </c>
      <c r="KU6" t="s">
        <v>4623</v>
      </c>
      <c r="KV6" s="6">
        <v>45152</v>
      </c>
      <c r="KW6">
        <v>5</v>
      </c>
      <c r="KX6">
        <v>-2.4245362661989844E-14</v>
      </c>
      <c r="KY6">
        <v>9996300</v>
      </c>
      <c r="KZ6" t="s">
        <v>4624</v>
      </c>
      <c r="LC6" t="s">
        <v>4217</v>
      </c>
      <c r="LD6">
        <v>-2.4245362661989844E-14</v>
      </c>
      <c r="LF6">
        <v>-2.4245362661989844E-14</v>
      </c>
      <c r="LG6" t="s">
        <v>1651</v>
      </c>
      <c r="LH6">
        <v>2022</v>
      </c>
      <c r="LI6" t="s">
        <v>4218</v>
      </c>
      <c r="LJ6" s="6">
        <v>44916</v>
      </c>
      <c r="LK6">
        <v>5</v>
      </c>
      <c r="LL6">
        <v>-2.4245362661989844E-14</v>
      </c>
      <c r="LM6">
        <v>7312672</v>
      </c>
      <c r="LN6" t="s">
        <v>4219</v>
      </c>
      <c r="LS6" t="s">
        <v>3842</v>
      </c>
      <c r="LT6" t="s">
        <v>1598</v>
      </c>
      <c r="LU6">
        <v>7.4403589999999999</v>
      </c>
      <c r="LV6">
        <v>2.409062</v>
      </c>
      <c r="LW6" t="s">
        <v>1599</v>
      </c>
      <c r="LX6">
        <v>2025</v>
      </c>
      <c r="LY6" t="s">
        <v>3843</v>
      </c>
      <c r="LZ6" s="6">
        <v>46050</v>
      </c>
      <c r="MA6">
        <v>5</v>
      </c>
      <c r="MB6">
        <v>251409728</v>
      </c>
      <c r="MC6">
        <v>100149</v>
      </c>
      <c r="MD6" t="s">
        <v>3844</v>
      </c>
      <c r="MG6" t="s">
        <v>311</v>
      </c>
      <c r="MH6">
        <v>5.077191</v>
      </c>
      <c r="MI6" t="s">
        <v>1598</v>
      </c>
      <c r="MJ6">
        <v>3.3744339999999999</v>
      </c>
      <c r="MK6" t="s">
        <v>1664</v>
      </c>
      <c r="ML6">
        <v>2025</v>
      </c>
      <c r="MM6" t="s">
        <v>2827</v>
      </c>
      <c r="MN6" s="6">
        <v>45855</v>
      </c>
      <c r="MO6">
        <v>5</v>
      </c>
      <c r="MP6">
        <v>1165900800</v>
      </c>
      <c r="MQ6">
        <v>100864</v>
      </c>
      <c r="MR6" t="s">
        <v>1668</v>
      </c>
      <c r="PE6" t="s">
        <v>2298</v>
      </c>
      <c r="PF6" t="s">
        <v>1598</v>
      </c>
      <c r="PG6">
        <v>3.3007000000000002E-2</v>
      </c>
      <c r="PH6">
        <v>6.9973999999999995E-2</v>
      </c>
      <c r="PI6" t="s">
        <v>1599</v>
      </c>
      <c r="PJ6">
        <v>2025</v>
      </c>
      <c r="PK6" t="s">
        <v>2299</v>
      </c>
      <c r="PL6" s="6">
        <v>45993</v>
      </c>
      <c r="PM6">
        <v>5</v>
      </c>
      <c r="PN6">
        <v>1183961</v>
      </c>
      <c r="PO6">
        <v>100415</v>
      </c>
      <c r="PP6" t="s">
        <v>2300</v>
      </c>
      <c r="PS6" t="s">
        <v>2550</v>
      </c>
      <c r="PT6">
        <v>-2.4245362661989844E-14</v>
      </c>
      <c r="PV6">
        <v>-2.4245362661989844E-14</v>
      </c>
      <c r="PW6" t="s">
        <v>1594</v>
      </c>
      <c r="PX6">
        <v>2023</v>
      </c>
      <c r="PY6" t="s">
        <v>2551</v>
      </c>
      <c r="PZ6" s="6">
        <v>45337</v>
      </c>
      <c r="QA6">
        <v>3</v>
      </c>
      <c r="QB6">
        <v>-2.4245362661989844E-14</v>
      </c>
      <c r="QC6">
        <v>17312199</v>
      </c>
      <c r="QD6" t="s">
        <v>2552</v>
      </c>
      <c r="QI6" t="s">
        <v>2171</v>
      </c>
      <c r="QK6">
        <v>-2.4245362661989844E-14</v>
      </c>
      <c r="QL6">
        <v>-2.4245362661989844E-14</v>
      </c>
      <c r="QM6" t="s">
        <v>1594</v>
      </c>
      <c r="QN6">
        <v>2023</v>
      </c>
      <c r="QO6" t="s">
        <v>2172</v>
      </c>
      <c r="QP6" s="6">
        <v>45337</v>
      </c>
      <c r="QQ6">
        <v>4</v>
      </c>
      <c r="QR6">
        <v>-2.4245362661989844E-14</v>
      </c>
      <c r="QS6">
        <v>46177523</v>
      </c>
      <c r="QT6" t="s">
        <v>2173</v>
      </c>
      <c r="RM6" t="s">
        <v>5436</v>
      </c>
      <c r="RO6">
        <v>-2.4245362661989844E-14</v>
      </c>
      <c r="RP6">
        <v>-2.4245362661989844E-14</v>
      </c>
      <c r="RQ6" t="s">
        <v>1594</v>
      </c>
      <c r="RR6">
        <v>2024</v>
      </c>
      <c r="RS6" t="s">
        <v>5838</v>
      </c>
      <c r="RT6" s="6">
        <v>45762</v>
      </c>
      <c r="RU6">
        <v>4</v>
      </c>
      <c r="RV6">
        <v>-2.4245362661989844E-14</v>
      </c>
      <c r="RW6">
        <v>46286147</v>
      </c>
      <c r="RX6" t="s">
        <v>5438</v>
      </c>
      <c r="SQ6" t="s">
        <v>3906</v>
      </c>
      <c r="SR6" t="s">
        <v>1685</v>
      </c>
      <c r="SS6">
        <v>1.398854</v>
      </c>
      <c r="ST6">
        <v>0.27654699999999999</v>
      </c>
      <c r="SU6" t="s">
        <v>1594</v>
      </c>
      <c r="SV6">
        <v>2024</v>
      </c>
      <c r="SW6" t="s">
        <v>3907</v>
      </c>
      <c r="SX6" s="6">
        <v>45702</v>
      </c>
      <c r="SY6">
        <v>5</v>
      </c>
      <c r="SZ6">
        <v>1994500</v>
      </c>
      <c r="TA6">
        <v>225922</v>
      </c>
      <c r="TB6" t="s">
        <v>3908</v>
      </c>
      <c r="TE6" t="s">
        <v>5539</v>
      </c>
      <c r="TF6">
        <v>-2.4245362661989844E-14</v>
      </c>
      <c r="TH6">
        <v>-2.4245362661989844E-14</v>
      </c>
      <c r="TI6" t="s">
        <v>1792</v>
      </c>
      <c r="TJ6">
        <v>2022</v>
      </c>
      <c r="TK6" t="s">
        <v>5540</v>
      </c>
      <c r="TL6" s="6">
        <v>44865</v>
      </c>
      <c r="TM6">
        <v>5</v>
      </c>
      <c r="TN6">
        <v>-2.4245362661989844E-14</v>
      </c>
      <c r="TO6">
        <v>30408380</v>
      </c>
      <c r="TP6" t="s">
        <v>5541</v>
      </c>
      <c r="UY6" t="s">
        <v>247</v>
      </c>
      <c r="UZ6" t="s">
        <v>1634</v>
      </c>
      <c r="VA6">
        <v>8.9339999999999992E-3</v>
      </c>
      <c r="VB6">
        <v>0.23429900000000001</v>
      </c>
      <c r="VC6" t="s">
        <v>1599</v>
      </c>
      <c r="VD6">
        <v>2025</v>
      </c>
      <c r="VE6" t="s">
        <v>1809</v>
      </c>
      <c r="VF6" s="6">
        <v>45985</v>
      </c>
      <c r="VG6">
        <v>5</v>
      </c>
      <c r="VH6">
        <v>797628</v>
      </c>
      <c r="VI6">
        <v>101318</v>
      </c>
      <c r="VJ6" t="s">
        <v>3724</v>
      </c>
      <c r="VM6" t="s">
        <v>5490</v>
      </c>
      <c r="VN6">
        <v>-2.4245362661989844E-14</v>
      </c>
      <c r="VP6">
        <v>-2.4245362661989844E-14</v>
      </c>
      <c r="VQ6" t="s">
        <v>1594</v>
      </c>
      <c r="VR6">
        <v>2023</v>
      </c>
      <c r="VS6" t="s">
        <v>5491</v>
      </c>
      <c r="VT6" s="6">
        <v>45348</v>
      </c>
      <c r="VU6">
        <v>4</v>
      </c>
      <c r="VV6">
        <v>-2.4245362661989844E-14</v>
      </c>
      <c r="VW6">
        <v>50946272</v>
      </c>
      <c r="VX6" t="s">
        <v>5492</v>
      </c>
    </row>
    <row r="7" spans="1:600" x14ac:dyDescent="0.25">
      <c r="AE7" t="s">
        <v>3282</v>
      </c>
      <c r="AG7">
        <v>0.69000899999999998</v>
      </c>
      <c r="AH7">
        <v>-2.4245362661989844E-14</v>
      </c>
      <c r="AI7" t="s">
        <v>1606</v>
      </c>
      <c r="AJ7">
        <v>2024</v>
      </c>
      <c r="AK7" t="s">
        <v>3283</v>
      </c>
      <c r="AL7" s="6">
        <v>45691</v>
      </c>
      <c r="AM7">
        <v>5</v>
      </c>
      <c r="AN7">
        <v>4816179</v>
      </c>
      <c r="AO7">
        <v>70929473</v>
      </c>
      <c r="AP7" t="s">
        <v>3284</v>
      </c>
      <c r="AS7" t="s">
        <v>2727</v>
      </c>
      <c r="AT7">
        <v>-2.4245362661989844E-14</v>
      </c>
      <c r="AV7">
        <v>-2.4245362661989844E-14</v>
      </c>
      <c r="AW7" t="s">
        <v>1594</v>
      </c>
      <c r="AX7">
        <v>2024</v>
      </c>
      <c r="AY7" t="s">
        <v>5755</v>
      </c>
      <c r="AZ7" s="6">
        <v>45706</v>
      </c>
      <c r="BA7">
        <v>3</v>
      </c>
      <c r="BB7">
        <v>-2.4245362661989844E-14</v>
      </c>
      <c r="BC7">
        <v>17483390</v>
      </c>
      <c r="BD7" t="s">
        <v>2729</v>
      </c>
      <c r="EU7" t="s">
        <v>1961</v>
      </c>
      <c r="EW7">
        <v>-2.4245362661989844E-14</v>
      </c>
      <c r="EX7">
        <v>-2.4245362661989844E-14</v>
      </c>
      <c r="EY7" t="s">
        <v>1606</v>
      </c>
      <c r="EZ7">
        <v>2022</v>
      </c>
      <c r="FA7" t="s">
        <v>1962</v>
      </c>
      <c r="FB7" s="6">
        <v>45011</v>
      </c>
      <c r="FC7">
        <v>5</v>
      </c>
      <c r="FD7">
        <v>-2.4245362661989844E-14</v>
      </c>
      <c r="FE7">
        <v>14520400</v>
      </c>
      <c r="FF7" t="s">
        <v>1963</v>
      </c>
      <c r="FY7" t="s">
        <v>1593</v>
      </c>
      <c r="GA7">
        <v>-2.4245362661989844E-14</v>
      </c>
      <c r="GB7">
        <v>-2.4245362661989844E-14</v>
      </c>
      <c r="GC7" t="s">
        <v>1594</v>
      </c>
      <c r="GD7">
        <v>2022</v>
      </c>
      <c r="GE7" t="s">
        <v>2662</v>
      </c>
      <c r="GF7" s="6">
        <v>44980</v>
      </c>
      <c r="GG7">
        <v>5</v>
      </c>
      <c r="GH7">
        <v>-2.4245362661989844E-14</v>
      </c>
      <c r="GI7">
        <v>69792617</v>
      </c>
      <c r="GJ7" t="s">
        <v>1596</v>
      </c>
      <c r="GM7" t="s">
        <v>1593</v>
      </c>
      <c r="GN7">
        <v>-2.4245362661989844E-14</v>
      </c>
      <c r="GP7">
        <v>-2.4245362661989844E-14</v>
      </c>
      <c r="GQ7" t="s">
        <v>1594</v>
      </c>
      <c r="GR7">
        <v>2023</v>
      </c>
      <c r="GS7" t="s">
        <v>2664</v>
      </c>
      <c r="GT7" s="6">
        <v>45344</v>
      </c>
      <c r="GU7">
        <v>5</v>
      </c>
      <c r="GV7">
        <v>-2.4245362661989844E-14</v>
      </c>
      <c r="GW7">
        <v>69792617</v>
      </c>
      <c r="GX7" t="s">
        <v>1596</v>
      </c>
      <c r="IG7" t="s">
        <v>3347</v>
      </c>
      <c r="IH7" t="s">
        <v>1598</v>
      </c>
      <c r="II7">
        <v>3.7231350000000001</v>
      </c>
      <c r="IJ7">
        <v>0.80518199999999995</v>
      </c>
      <c r="IK7" t="s">
        <v>1599</v>
      </c>
      <c r="IL7">
        <v>2025</v>
      </c>
      <c r="IM7" t="s">
        <v>3348</v>
      </c>
      <c r="IN7" s="6">
        <v>46069</v>
      </c>
      <c r="IO7">
        <v>5</v>
      </c>
      <c r="IP7">
        <v>33600181.100000001</v>
      </c>
      <c r="IQ7">
        <v>153809</v>
      </c>
      <c r="IR7" t="s">
        <v>3349</v>
      </c>
      <c r="IU7" t="s">
        <v>618</v>
      </c>
      <c r="IV7">
        <v>13</v>
      </c>
      <c r="IW7" t="s">
        <v>1598</v>
      </c>
      <c r="IX7">
        <v>3.4525320000000002</v>
      </c>
      <c r="IY7" t="s">
        <v>1594</v>
      </c>
      <c r="IZ7">
        <v>2025</v>
      </c>
      <c r="JA7" t="s">
        <v>2824</v>
      </c>
      <c r="JB7" s="6">
        <v>46079</v>
      </c>
      <c r="JC7">
        <v>5</v>
      </c>
      <c r="JD7">
        <v>2033817472</v>
      </c>
      <c r="JE7">
        <v>102782</v>
      </c>
      <c r="JF7" t="s">
        <v>1626</v>
      </c>
      <c r="KO7" t="s">
        <v>4625</v>
      </c>
      <c r="KQ7">
        <v>-2.4245362661989844E-14</v>
      </c>
      <c r="KR7">
        <v>-2.4245362661989844E-14</v>
      </c>
      <c r="KS7" t="s">
        <v>1594</v>
      </c>
      <c r="KT7">
        <v>2021</v>
      </c>
      <c r="KU7" t="s">
        <v>4626</v>
      </c>
      <c r="KV7" s="6">
        <v>44642</v>
      </c>
      <c r="KW7">
        <v>5</v>
      </c>
      <c r="KX7">
        <v>-2.4245362661989844E-14</v>
      </c>
      <c r="KY7">
        <v>27882222</v>
      </c>
      <c r="KZ7" t="s">
        <v>4627</v>
      </c>
      <c r="LC7" t="s">
        <v>4220</v>
      </c>
      <c r="LD7">
        <v>-2.4245362661989844E-14</v>
      </c>
      <c r="LF7">
        <v>-2.4245362661989844E-14</v>
      </c>
      <c r="LG7" t="s">
        <v>1664</v>
      </c>
      <c r="LH7">
        <v>2026</v>
      </c>
      <c r="LI7" t="s">
        <v>4221</v>
      </c>
      <c r="LJ7" s="6">
        <v>45974</v>
      </c>
      <c r="LK7">
        <v>5</v>
      </c>
      <c r="LL7">
        <v>-2.4245362661989844E-14</v>
      </c>
      <c r="LM7">
        <v>19060015</v>
      </c>
      <c r="LN7" t="s">
        <v>4222</v>
      </c>
      <c r="LS7" t="s">
        <v>3845</v>
      </c>
      <c r="LT7" t="s">
        <v>1598</v>
      </c>
      <c r="LU7">
        <v>12</v>
      </c>
      <c r="LV7">
        <v>1.9302889999999999</v>
      </c>
      <c r="LW7" t="s">
        <v>1594</v>
      </c>
      <c r="LX7">
        <v>2025</v>
      </c>
      <c r="LY7" t="s">
        <v>3846</v>
      </c>
      <c r="LZ7" s="6">
        <v>46044</v>
      </c>
      <c r="MA7">
        <v>5</v>
      </c>
      <c r="MB7">
        <v>205208992</v>
      </c>
      <c r="MC7">
        <v>101739</v>
      </c>
      <c r="MD7" t="s">
        <v>3847</v>
      </c>
      <c r="MG7" t="s">
        <v>303</v>
      </c>
      <c r="MH7">
        <v>4.6584729999999999</v>
      </c>
      <c r="MI7" t="s">
        <v>1598</v>
      </c>
      <c r="MJ7">
        <v>1.3897170000000001</v>
      </c>
      <c r="MK7" t="s">
        <v>1664</v>
      </c>
      <c r="ML7">
        <v>2025</v>
      </c>
      <c r="MM7" t="s">
        <v>2827</v>
      </c>
      <c r="MN7" s="6">
        <v>45855</v>
      </c>
      <c r="MO7">
        <v>5</v>
      </c>
      <c r="MP7">
        <v>1069748416</v>
      </c>
      <c r="MQ7">
        <v>216952</v>
      </c>
      <c r="MR7" t="s">
        <v>1631</v>
      </c>
      <c r="PE7" t="s">
        <v>393</v>
      </c>
      <c r="PG7">
        <v>-2.4245362661989844E-14</v>
      </c>
      <c r="PH7">
        <v>-2.4245362661989844E-14</v>
      </c>
      <c r="PI7" t="s">
        <v>1594</v>
      </c>
      <c r="PJ7">
        <v>2022</v>
      </c>
      <c r="PK7" t="s">
        <v>3124</v>
      </c>
      <c r="PL7" s="6">
        <v>44972</v>
      </c>
      <c r="PM7">
        <v>5</v>
      </c>
      <c r="PN7">
        <v>-2.4245362661989844E-14</v>
      </c>
      <c r="PO7">
        <v>8514868</v>
      </c>
      <c r="PP7" t="s">
        <v>3125</v>
      </c>
      <c r="PS7" t="s">
        <v>2553</v>
      </c>
      <c r="PT7">
        <v>-2.4245362661989844E-14</v>
      </c>
      <c r="PV7">
        <v>-2.4245362661989844E-14</v>
      </c>
      <c r="PW7" t="s">
        <v>1599</v>
      </c>
      <c r="PX7">
        <v>2024</v>
      </c>
      <c r="PY7" t="s">
        <v>2554</v>
      </c>
      <c r="PZ7" s="6">
        <v>45609</v>
      </c>
      <c r="QA7">
        <v>3</v>
      </c>
      <c r="QB7">
        <v>-2.4245362661989844E-14</v>
      </c>
      <c r="QC7">
        <v>110113</v>
      </c>
      <c r="QD7" t="s">
        <v>2555</v>
      </c>
      <c r="QI7" t="s">
        <v>106</v>
      </c>
      <c r="QK7">
        <v>-2.4245362661989844E-14</v>
      </c>
      <c r="QL7">
        <v>-2.4245362661989844E-14</v>
      </c>
      <c r="QM7" t="s">
        <v>1651</v>
      </c>
      <c r="QN7">
        <v>2023</v>
      </c>
      <c r="QO7" t="s">
        <v>2174</v>
      </c>
      <c r="QP7" s="6">
        <v>45245</v>
      </c>
      <c r="QQ7">
        <v>4</v>
      </c>
      <c r="QR7">
        <v>-2.4245362661989844E-14</v>
      </c>
      <c r="QS7">
        <v>103882</v>
      </c>
      <c r="QT7" t="s">
        <v>2175</v>
      </c>
      <c r="RM7" t="s">
        <v>5839</v>
      </c>
      <c r="RO7">
        <v>-2.4245362661989844E-14</v>
      </c>
      <c r="RP7">
        <v>-2.4245362661989844E-14</v>
      </c>
      <c r="RQ7" t="s">
        <v>1594</v>
      </c>
      <c r="RR7">
        <v>2024</v>
      </c>
      <c r="RS7" t="s">
        <v>5840</v>
      </c>
      <c r="RT7" s="6">
        <v>45743</v>
      </c>
      <c r="RU7">
        <v>4</v>
      </c>
      <c r="RV7">
        <v>-2.4245362661989844E-14</v>
      </c>
      <c r="RW7">
        <v>33322594</v>
      </c>
      <c r="RX7" t="s">
        <v>5841</v>
      </c>
      <c r="SQ7" t="s">
        <v>5641</v>
      </c>
      <c r="SS7">
        <v>-2.4245362661989844E-14</v>
      </c>
      <c r="ST7">
        <v>-2.4245362661989844E-14</v>
      </c>
      <c r="SU7" t="s">
        <v>1594</v>
      </c>
      <c r="SV7">
        <v>2024</v>
      </c>
      <c r="SW7" t="s">
        <v>5642</v>
      </c>
      <c r="SX7" s="6">
        <v>45597</v>
      </c>
      <c r="SY7">
        <v>5</v>
      </c>
      <c r="SZ7">
        <v>-2.4245362661989844E-14</v>
      </c>
      <c r="TA7">
        <v>13536133</v>
      </c>
      <c r="TB7" t="s">
        <v>5643</v>
      </c>
      <c r="TE7" t="s">
        <v>1621</v>
      </c>
      <c r="TF7">
        <v>-2.4245362661989844E-14</v>
      </c>
      <c r="TH7">
        <v>-2.4245362661989844E-14</v>
      </c>
      <c r="TI7" t="s">
        <v>1594</v>
      </c>
      <c r="TJ7">
        <v>2025</v>
      </c>
      <c r="TK7" t="s">
        <v>5542</v>
      </c>
      <c r="TL7" s="6">
        <v>46065</v>
      </c>
      <c r="TM7">
        <v>5</v>
      </c>
      <c r="TN7">
        <v>-2.4245362661989844E-14</v>
      </c>
      <c r="TO7">
        <v>218252</v>
      </c>
      <c r="TP7" t="s">
        <v>1622</v>
      </c>
      <c r="UY7" t="s">
        <v>6095</v>
      </c>
      <c r="VA7">
        <v>-2.4245362661989844E-14</v>
      </c>
      <c r="VB7">
        <v>-2.4245362661989844E-14</v>
      </c>
      <c r="VC7" t="s">
        <v>1792</v>
      </c>
      <c r="VD7">
        <v>2023</v>
      </c>
      <c r="VE7" t="s">
        <v>6096</v>
      </c>
      <c r="VF7" s="6">
        <v>45168</v>
      </c>
      <c r="VG7">
        <v>5</v>
      </c>
      <c r="VH7">
        <v>-2.4245362661989844E-14</v>
      </c>
      <c r="VI7">
        <v>330352</v>
      </c>
      <c r="VJ7" t="s">
        <v>6097</v>
      </c>
      <c r="VM7" t="s">
        <v>2072</v>
      </c>
      <c r="VN7">
        <v>-2.4245362661989844E-14</v>
      </c>
      <c r="VP7">
        <v>-2.4245362661989844E-14</v>
      </c>
      <c r="VQ7" t="s">
        <v>1594</v>
      </c>
      <c r="VR7">
        <v>2023</v>
      </c>
      <c r="VS7" t="s">
        <v>2851</v>
      </c>
      <c r="VT7" s="6">
        <v>45352</v>
      </c>
      <c r="VU7">
        <v>4</v>
      </c>
      <c r="VV7">
        <v>-2.4245362661989844E-14</v>
      </c>
      <c r="VW7">
        <v>36965288</v>
      </c>
      <c r="VX7" t="s">
        <v>2074</v>
      </c>
    </row>
    <row r="8" spans="1:600" x14ac:dyDescent="0.25">
      <c r="AE8" t="s">
        <v>2194</v>
      </c>
      <c r="AF8" t="s">
        <v>1634</v>
      </c>
      <c r="AG8">
        <v>1.031E-3</v>
      </c>
      <c r="AH8">
        <v>4.1029999999999999E-3</v>
      </c>
      <c r="AI8" t="s">
        <v>1599</v>
      </c>
      <c r="AJ8">
        <v>2025</v>
      </c>
      <c r="AK8" t="s">
        <v>2195</v>
      </c>
      <c r="AL8" s="6">
        <v>46022</v>
      </c>
      <c r="AM8">
        <v>5</v>
      </c>
      <c r="AN8">
        <v>11489</v>
      </c>
      <c r="AO8">
        <v>17300196</v>
      </c>
      <c r="AP8" t="s">
        <v>2196</v>
      </c>
      <c r="EU8" t="s">
        <v>5091</v>
      </c>
      <c r="EW8">
        <v>-2.4245362661989844E-14</v>
      </c>
      <c r="EX8">
        <v>-2.4245362661989844E-14</v>
      </c>
      <c r="EY8" t="s">
        <v>1594</v>
      </c>
      <c r="EZ8">
        <v>2024</v>
      </c>
      <c r="FA8" t="s">
        <v>5092</v>
      </c>
      <c r="FB8" s="6">
        <v>45719</v>
      </c>
      <c r="FC8">
        <v>5</v>
      </c>
      <c r="FD8">
        <v>-2.4245362661989844E-14</v>
      </c>
      <c r="FE8">
        <v>71713725</v>
      </c>
      <c r="FF8" t="s">
        <v>5093</v>
      </c>
      <c r="FY8" t="s">
        <v>3089</v>
      </c>
      <c r="GA8">
        <v>-2.4245362661989844E-14</v>
      </c>
      <c r="GB8">
        <v>-2.4245362661989844E-14</v>
      </c>
      <c r="GC8" t="s">
        <v>1594</v>
      </c>
      <c r="GD8">
        <v>2022</v>
      </c>
      <c r="GE8" t="s">
        <v>3090</v>
      </c>
      <c r="GF8" s="6">
        <v>44985</v>
      </c>
      <c r="GG8">
        <v>5</v>
      </c>
      <c r="GH8">
        <v>-2.4245362661989844E-14</v>
      </c>
      <c r="GI8">
        <v>8746371</v>
      </c>
      <c r="GJ8" t="s">
        <v>3091</v>
      </c>
      <c r="GM8" t="s">
        <v>2665</v>
      </c>
      <c r="GN8">
        <v>-2.4245362661989844E-14</v>
      </c>
      <c r="GP8">
        <v>-2.4245362661989844E-14</v>
      </c>
      <c r="GQ8" t="s">
        <v>1594</v>
      </c>
      <c r="GR8">
        <v>2022</v>
      </c>
      <c r="GS8" t="s">
        <v>2662</v>
      </c>
      <c r="GT8" s="6">
        <v>44980</v>
      </c>
      <c r="GU8">
        <v>5</v>
      </c>
      <c r="GV8">
        <v>-2.4245362661989844E-14</v>
      </c>
      <c r="GW8">
        <v>101581</v>
      </c>
      <c r="GX8" t="s">
        <v>2666</v>
      </c>
      <c r="IG8" t="s">
        <v>23</v>
      </c>
      <c r="IH8" t="s">
        <v>1598</v>
      </c>
      <c r="II8">
        <v>0.238619</v>
      </c>
      <c r="IJ8">
        <v>0.71575299999999997</v>
      </c>
      <c r="IK8" t="s">
        <v>1594</v>
      </c>
      <c r="IL8">
        <v>2025</v>
      </c>
      <c r="IM8" t="s">
        <v>1765</v>
      </c>
      <c r="IN8" s="6">
        <v>46064</v>
      </c>
      <c r="IO8">
        <v>5</v>
      </c>
      <c r="IP8">
        <v>28750000</v>
      </c>
      <c r="IQ8">
        <v>100225</v>
      </c>
      <c r="IR8" t="s">
        <v>2222</v>
      </c>
      <c r="IU8" t="s">
        <v>23</v>
      </c>
      <c r="IV8">
        <v>11.153900999999999</v>
      </c>
      <c r="IW8" t="s">
        <v>1598</v>
      </c>
      <c r="IX8">
        <v>50.086109</v>
      </c>
      <c r="IY8" t="s">
        <v>1594</v>
      </c>
      <c r="IZ8">
        <v>2025</v>
      </c>
      <c r="JA8" t="s">
        <v>1765</v>
      </c>
      <c r="JB8" s="6">
        <v>46064</v>
      </c>
      <c r="JC8">
        <v>5</v>
      </c>
      <c r="JD8">
        <v>1745000000</v>
      </c>
      <c r="JE8">
        <v>100225</v>
      </c>
      <c r="JF8" t="s">
        <v>2222</v>
      </c>
      <c r="KO8" t="s">
        <v>4628</v>
      </c>
      <c r="KQ8">
        <v>-2.4245362661989844E-14</v>
      </c>
      <c r="KR8">
        <v>-2.4245362661989844E-14</v>
      </c>
      <c r="KS8" t="s">
        <v>1594</v>
      </c>
      <c r="KT8">
        <v>2024</v>
      </c>
      <c r="KU8" t="s">
        <v>4629</v>
      </c>
      <c r="KV8" s="6">
        <v>45803</v>
      </c>
      <c r="KW8">
        <v>5</v>
      </c>
      <c r="KX8">
        <v>-2.4245362661989844E-14</v>
      </c>
      <c r="KY8">
        <v>870231</v>
      </c>
      <c r="KZ8" t="s">
        <v>4630</v>
      </c>
      <c r="LC8" t="s">
        <v>4223</v>
      </c>
      <c r="LD8">
        <v>-2.4245362661989844E-14</v>
      </c>
      <c r="LF8">
        <v>-2.4245362661989844E-14</v>
      </c>
      <c r="LG8" t="s">
        <v>1594</v>
      </c>
      <c r="LH8">
        <v>2024</v>
      </c>
      <c r="LI8" t="s">
        <v>4224</v>
      </c>
      <c r="LJ8" s="6">
        <v>45767</v>
      </c>
      <c r="LK8">
        <v>5</v>
      </c>
      <c r="LL8">
        <v>-2.4245362661989844E-14</v>
      </c>
      <c r="LM8">
        <v>26949139</v>
      </c>
      <c r="LN8" t="s">
        <v>4225</v>
      </c>
      <c r="LS8" t="s">
        <v>3848</v>
      </c>
      <c r="LT8" t="s">
        <v>1598</v>
      </c>
      <c r="LU8">
        <v>54.700001</v>
      </c>
      <c r="LV8">
        <v>1.7763739999999999</v>
      </c>
      <c r="LW8" t="s">
        <v>1594</v>
      </c>
      <c r="LX8">
        <v>2024</v>
      </c>
      <c r="LY8" t="s">
        <v>3849</v>
      </c>
      <c r="LZ8" s="6">
        <v>45719</v>
      </c>
      <c r="MA8">
        <v>5</v>
      </c>
      <c r="MB8">
        <v>185382400</v>
      </c>
      <c r="MC8">
        <v>10951561</v>
      </c>
      <c r="MD8" t="s">
        <v>3850</v>
      </c>
      <c r="MG8" t="s">
        <v>1943</v>
      </c>
      <c r="MH8">
        <v>4.5123049999999996</v>
      </c>
      <c r="MI8" t="s">
        <v>1598</v>
      </c>
      <c r="MJ8">
        <v>1.8841060000000001</v>
      </c>
      <c r="MK8" t="s">
        <v>1664</v>
      </c>
      <c r="ML8">
        <v>2025</v>
      </c>
      <c r="MM8" t="s">
        <v>2827</v>
      </c>
      <c r="MN8" s="6">
        <v>45855</v>
      </c>
      <c r="MO8">
        <v>5</v>
      </c>
      <c r="MP8">
        <v>1036183168</v>
      </c>
      <c r="MQ8">
        <v>101758</v>
      </c>
      <c r="MR8" t="s">
        <v>1944</v>
      </c>
      <c r="PE8" t="s">
        <v>593</v>
      </c>
      <c r="PG8">
        <v>-2.4245362661989844E-14</v>
      </c>
      <c r="PH8">
        <v>-2.4245362661989844E-14</v>
      </c>
      <c r="PI8" t="s">
        <v>1594</v>
      </c>
      <c r="PJ8">
        <v>2025</v>
      </c>
      <c r="PK8" t="s">
        <v>3126</v>
      </c>
      <c r="PL8" s="6">
        <v>46071</v>
      </c>
      <c r="PM8">
        <v>5</v>
      </c>
      <c r="PN8">
        <v>-2.4245362661989844E-14</v>
      </c>
      <c r="PO8">
        <v>100539</v>
      </c>
      <c r="PP8" t="s">
        <v>3127</v>
      </c>
      <c r="QI8" t="s">
        <v>2176</v>
      </c>
      <c r="QK8">
        <v>-2.4245362661989844E-14</v>
      </c>
      <c r="QL8">
        <v>-2.4245362661989844E-14</v>
      </c>
      <c r="QM8" t="s">
        <v>1603</v>
      </c>
      <c r="QN8">
        <v>2023</v>
      </c>
      <c r="QO8" t="s">
        <v>2177</v>
      </c>
      <c r="QP8" s="6">
        <v>45057</v>
      </c>
      <c r="QQ8">
        <v>4</v>
      </c>
      <c r="QR8">
        <v>-2.4245362661989844E-14</v>
      </c>
      <c r="QS8">
        <v>173249</v>
      </c>
      <c r="QT8" t="s">
        <v>2178</v>
      </c>
      <c r="RM8" t="s">
        <v>2528</v>
      </c>
      <c r="RO8">
        <v>-2.4245362661989844E-14</v>
      </c>
      <c r="RP8">
        <v>-2.4245362661989844E-14</v>
      </c>
      <c r="RQ8" t="s">
        <v>1664</v>
      </c>
      <c r="RR8">
        <v>2023</v>
      </c>
      <c r="RS8" t="s">
        <v>2529</v>
      </c>
      <c r="RT8" s="6">
        <v>45174</v>
      </c>
      <c r="RU8">
        <v>4</v>
      </c>
      <c r="RV8">
        <v>-2.4245362661989844E-14</v>
      </c>
      <c r="RW8">
        <v>202476</v>
      </c>
      <c r="RX8" t="s">
        <v>2530</v>
      </c>
      <c r="SQ8" t="s">
        <v>5644</v>
      </c>
      <c r="SS8">
        <v>-2.4245362661989844E-14</v>
      </c>
      <c r="ST8">
        <v>-2.4245362661989844E-14</v>
      </c>
      <c r="SU8" t="s">
        <v>1594</v>
      </c>
      <c r="SV8">
        <v>2025</v>
      </c>
      <c r="SW8" t="s">
        <v>5645</v>
      </c>
      <c r="SX8" s="6">
        <v>45847</v>
      </c>
      <c r="SY8">
        <v>5</v>
      </c>
      <c r="SZ8">
        <v>-2.4245362661989844E-14</v>
      </c>
      <c r="TA8">
        <v>999057</v>
      </c>
      <c r="TB8" t="s">
        <v>5646</v>
      </c>
      <c r="TE8" t="s">
        <v>5543</v>
      </c>
      <c r="TF8">
        <v>-2.4245362661989844E-14</v>
      </c>
      <c r="TH8">
        <v>-2.4245362661989844E-14</v>
      </c>
      <c r="TI8" t="s">
        <v>1603</v>
      </c>
      <c r="TJ8">
        <v>2024</v>
      </c>
      <c r="TK8" t="s">
        <v>5544</v>
      </c>
      <c r="TL8" s="6">
        <v>45418</v>
      </c>
      <c r="TM8">
        <v>5</v>
      </c>
      <c r="TN8">
        <v>-2.4245362661989844E-14</v>
      </c>
      <c r="TO8">
        <v>11307982</v>
      </c>
      <c r="TP8" t="s">
        <v>5545</v>
      </c>
      <c r="UY8" t="s">
        <v>6098</v>
      </c>
      <c r="VA8">
        <v>-2.4245362661989844E-14</v>
      </c>
      <c r="VB8">
        <v>-2.4245362661989844E-14</v>
      </c>
      <c r="VC8" t="s">
        <v>1606</v>
      </c>
      <c r="VD8">
        <v>2022</v>
      </c>
      <c r="VE8" t="s">
        <v>6099</v>
      </c>
      <c r="VF8" s="6">
        <v>44991</v>
      </c>
      <c r="VG8">
        <v>5</v>
      </c>
      <c r="VH8">
        <v>-2.4245362661989844E-14</v>
      </c>
      <c r="VI8">
        <v>1182453</v>
      </c>
      <c r="VJ8" t="s">
        <v>6100</v>
      </c>
      <c r="VM8" t="s">
        <v>1817</v>
      </c>
      <c r="VN8">
        <v>-2.4245362661989844E-14</v>
      </c>
      <c r="VP8">
        <v>-2.4245362661989844E-14</v>
      </c>
      <c r="VQ8" t="s">
        <v>1594</v>
      </c>
      <c r="VR8">
        <v>2022</v>
      </c>
      <c r="VS8" t="s">
        <v>5493</v>
      </c>
      <c r="VT8" s="6">
        <v>44986</v>
      </c>
      <c r="VU8">
        <v>4</v>
      </c>
      <c r="VV8">
        <v>-2.4245362661989844E-14</v>
      </c>
      <c r="VW8">
        <v>9268711</v>
      </c>
      <c r="VX8" t="s">
        <v>1818</v>
      </c>
    </row>
    <row r="9" spans="1:600" x14ac:dyDescent="0.25">
      <c r="AE9" t="s">
        <v>3288</v>
      </c>
      <c r="AG9">
        <v>-2.4245362661989844E-14</v>
      </c>
      <c r="AH9">
        <v>-2.4245362661989844E-14</v>
      </c>
      <c r="AI9" t="s">
        <v>1594</v>
      </c>
      <c r="AJ9">
        <v>2024</v>
      </c>
      <c r="AK9" t="s">
        <v>3289</v>
      </c>
      <c r="AL9" s="6">
        <v>45776</v>
      </c>
      <c r="AM9">
        <v>5</v>
      </c>
      <c r="AN9">
        <v>-2.4245362661989844E-14</v>
      </c>
      <c r="AO9">
        <v>23463925</v>
      </c>
      <c r="AP9" t="s">
        <v>3290</v>
      </c>
      <c r="EU9" t="s">
        <v>5094</v>
      </c>
      <c r="EW9">
        <v>-2.4245362661989844E-14</v>
      </c>
      <c r="EX9">
        <v>-2.4245362661989844E-14</v>
      </c>
      <c r="EY9" t="s">
        <v>1599</v>
      </c>
      <c r="EZ9">
        <v>2023</v>
      </c>
      <c r="FA9" t="s">
        <v>5095</v>
      </c>
      <c r="FB9" s="6">
        <v>45272</v>
      </c>
      <c r="FC9">
        <v>5</v>
      </c>
      <c r="FD9">
        <v>-2.4245362661989844E-14</v>
      </c>
      <c r="FE9">
        <v>30906467</v>
      </c>
      <c r="FF9" t="s">
        <v>5096</v>
      </c>
      <c r="FY9" t="s">
        <v>1329</v>
      </c>
      <c r="GA9">
        <v>-2.4245362661989844E-14</v>
      </c>
      <c r="GB9">
        <v>-2.4245362661989844E-14</v>
      </c>
      <c r="GC9" t="s">
        <v>1594</v>
      </c>
      <c r="GD9">
        <v>2022</v>
      </c>
      <c r="GE9" t="s">
        <v>2662</v>
      </c>
      <c r="GF9" s="6">
        <v>44980</v>
      </c>
      <c r="GG9">
        <v>5</v>
      </c>
      <c r="GH9">
        <v>-2.4245362661989844E-14</v>
      </c>
      <c r="GI9">
        <v>28399721</v>
      </c>
      <c r="GJ9" t="s">
        <v>3092</v>
      </c>
      <c r="GM9" t="s">
        <v>2667</v>
      </c>
      <c r="GN9">
        <v>-2.4245362661989844E-14</v>
      </c>
      <c r="GP9">
        <v>-2.4245362661989844E-14</v>
      </c>
      <c r="GQ9" t="s">
        <v>1594</v>
      </c>
      <c r="GR9">
        <v>2023</v>
      </c>
      <c r="GS9" t="s">
        <v>2668</v>
      </c>
      <c r="GT9" s="6">
        <v>45049</v>
      </c>
      <c r="GU9">
        <v>5</v>
      </c>
      <c r="GV9">
        <v>-2.4245362661989844E-14</v>
      </c>
      <c r="GW9">
        <v>34305270</v>
      </c>
      <c r="GX9" t="s">
        <v>2669</v>
      </c>
      <c r="IG9" t="s">
        <v>3350</v>
      </c>
      <c r="IH9" t="s">
        <v>1598</v>
      </c>
      <c r="II9">
        <v>0.82792200000000005</v>
      </c>
      <c r="IJ9">
        <v>0.75151400000000002</v>
      </c>
      <c r="IK9" t="s">
        <v>1664</v>
      </c>
      <c r="IL9">
        <v>2025</v>
      </c>
      <c r="IM9" t="s">
        <v>3351</v>
      </c>
      <c r="IN9" s="6">
        <v>45959</v>
      </c>
      <c r="IO9">
        <v>5</v>
      </c>
      <c r="IP9">
        <v>28398061.84</v>
      </c>
      <c r="IQ9">
        <v>113332</v>
      </c>
      <c r="IR9" t="s">
        <v>3352</v>
      </c>
      <c r="IU9" t="s">
        <v>1621</v>
      </c>
      <c r="IV9">
        <v>6</v>
      </c>
      <c r="IX9">
        <v>-2.4245362661989844E-14</v>
      </c>
      <c r="IY9" t="s">
        <v>1594</v>
      </c>
      <c r="IZ9">
        <v>2024</v>
      </c>
      <c r="JA9" t="s">
        <v>2825</v>
      </c>
      <c r="JB9" s="6">
        <v>45715</v>
      </c>
      <c r="JC9">
        <v>5</v>
      </c>
      <c r="JD9">
        <v>954404992</v>
      </c>
      <c r="JE9">
        <v>218252</v>
      </c>
      <c r="JF9" t="s">
        <v>1622</v>
      </c>
      <c r="KO9" t="s">
        <v>4631</v>
      </c>
      <c r="KQ9">
        <v>-2.4245362661989844E-14</v>
      </c>
      <c r="KR9">
        <v>-2.4245362661989844E-14</v>
      </c>
      <c r="KS9" t="s">
        <v>1594</v>
      </c>
      <c r="KT9">
        <v>2022</v>
      </c>
      <c r="KU9" t="s">
        <v>4632</v>
      </c>
      <c r="KV9" s="6">
        <v>45000</v>
      </c>
      <c r="KW9">
        <v>5</v>
      </c>
      <c r="KX9">
        <v>-2.4245362661989844E-14</v>
      </c>
      <c r="KY9">
        <v>69704831</v>
      </c>
      <c r="KZ9" t="s">
        <v>4633</v>
      </c>
      <c r="LC9" t="s">
        <v>4226</v>
      </c>
      <c r="LD9">
        <v>-2.4245362661989844E-14</v>
      </c>
      <c r="LF9">
        <v>-2.4245362661989844E-14</v>
      </c>
      <c r="LG9" t="s">
        <v>1594</v>
      </c>
      <c r="LH9">
        <v>2024</v>
      </c>
      <c r="LI9" t="s">
        <v>4227</v>
      </c>
      <c r="LJ9" s="6">
        <v>45777</v>
      </c>
      <c r="LK9">
        <v>5</v>
      </c>
      <c r="LL9">
        <v>-2.4245362661989844E-14</v>
      </c>
      <c r="LM9">
        <v>384701</v>
      </c>
      <c r="LN9" t="s">
        <v>4228</v>
      </c>
      <c r="LS9" t="s">
        <v>3851</v>
      </c>
      <c r="LT9" t="s">
        <v>1598</v>
      </c>
      <c r="LU9">
        <v>4.709041</v>
      </c>
      <c r="LV9">
        <v>1.331243</v>
      </c>
      <c r="LW9" t="s">
        <v>1599</v>
      </c>
      <c r="LX9">
        <v>2025</v>
      </c>
      <c r="LY9" t="s">
        <v>3852</v>
      </c>
      <c r="LZ9" s="6">
        <v>46018</v>
      </c>
      <c r="MA9">
        <v>5</v>
      </c>
      <c r="MB9">
        <v>138928480</v>
      </c>
      <c r="MC9">
        <v>100412</v>
      </c>
      <c r="MD9" t="s">
        <v>3853</v>
      </c>
      <c r="MG9" t="s">
        <v>1875</v>
      </c>
      <c r="MH9">
        <v>3.4026369999999999</v>
      </c>
      <c r="MI9" t="s">
        <v>1598</v>
      </c>
      <c r="MJ9">
        <v>3.7682129999999998</v>
      </c>
      <c r="MK9" t="s">
        <v>1664</v>
      </c>
      <c r="ML9">
        <v>2025</v>
      </c>
      <c r="MM9" t="s">
        <v>2827</v>
      </c>
      <c r="MN9" s="6">
        <v>45855</v>
      </c>
      <c r="MO9">
        <v>5</v>
      </c>
      <c r="MP9">
        <v>781364544</v>
      </c>
      <c r="MQ9">
        <v>112370</v>
      </c>
      <c r="MR9" t="s">
        <v>1877</v>
      </c>
      <c r="PE9" t="s">
        <v>70</v>
      </c>
      <c r="PG9">
        <v>-2.4245362661989844E-14</v>
      </c>
      <c r="PH9">
        <v>-2.4245362661989844E-14</v>
      </c>
      <c r="PI9" t="s">
        <v>1594</v>
      </c>
      <c r="PJ9">
        <v>2022</v>
      </c>
      <c r="PK9" t="s">
        <v>3128</v>
      </c>
      <c r="PL9" s="6">
        <v>44974</v>
      </c>
      <c r="PM9">
        <v>5</v>
      </c>
      <c r="PN9">
        <v>-2.4245362661989844E-14</v>
      </c>
      <c r="PO9">
        <v>10005604</v>
      </c>
      <c r="PP9" t="s">
        <v>2406</v>
      </c>
      <c r="SQ9" t="s">
        <v>5647</v>
      </c>
      <c r="SS9">
        <v>-2.4245362661989844E-14</v>
      </c>
      <c r="ST9">
        <v>-2.4245362661989844E-14</v>
      </c>
      <c r="SU9" t="s">
        <v>1594</v>
      </c>
      <c r="SV9">
        <v>2024</v>
      </c>
      <c r="SW9" t="s">
        <v>5648</v>
      </c>
      <c r="SX9" s="6">
        <v>45307</v>
      </c>
      <c r="SY9">
        <v>5</v>
      </c>
      <c r="SZ9">
        <v>-2.4245362661989844E-14</v>
      </c>
      <c r="TA9">
        <v>61467250</v>
      </c>
      <c r="TB9" t="s">
        <v>5649</v>
      </c>
      <c r="TE9" t="s">
        <v>5546</v>
      </c>
      <c r="TF9">
        <v>-2.4245362661989844E-14</v>
      </c>
      <c r="TH9">
        <v>-2.4245362661989844E-14</v>
      </c>
      <c r="TI9" t="s">
        <v>1594</v>
      </c>
      <c r="TJ9">
        <v>2022</v>
      </c>
      <c r="TK9" t="s">
        <v>5547</v>
      </c>
      <c r="TL9" s="6">
        <v>44860</v>
      </c>
      <c r="TM9">
        <v>5</v>
      </c>
      <c r="TN9">
        <v>-2.4245362661989844E-14</v>
      </c>
      <c r="TO9">
        <v>25746653</v>
      </c>
      <c r="TP9" t="s">
        <v>5548</v>
      </c>
      <c r="UY9" t="s">
        <v>6101</v>
      </c>
      <c r="VA9">
        <v>-2.4245362661989844E-14</v>
      </c>
      <c r="VB9">
        <v>-2.4245362661989844E-14</v>
      </c>
      <c r="VC9" t="s">
        <v>1594</v>
      </c>
      <c r="VD9">
        <v>2024</v>
      </c>
      <c r="VE9" t="s">
        <v>6102</v>
      </c>
      <c r="VF9" s="6">
        <v>45727</v>
      </c>
      <c r="VG9">
        <v>5</v>
      </c>
      <c r="VH9">
        <v>-2.4245362661989844E-14</v>
      </c>
      <c r="VI9">
        <v>71694517</v>
      </c>
      <c r="VJ9" t="s">
        <v>6103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1057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1058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1059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1060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1061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1062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1063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1064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1065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1066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1067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1068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1069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1070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1071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1072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1073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1074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1075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745</v>
      </c>
      <c r="AE2" s="3" t="s">
        <v>401</v>
      </c>
      <c r="BI2" s="3" t="s">
        <v>1076</v>
      </c>
      <c r="CM2" s="3" t="s">
        <v>1077</v>
      </c>
      <c r="DQ2" s="3" t="s">
        <v>1078</v>
      </c>
      <c r="EU2" s="3" t="s">
        <v>742</v>
      </c>
      <c r="FY2" s="3" t="s">
        <v>1079</v>
      </c>
      <c r="HC2" s="3" t="s">
        <v>80</v>
      </c>
      <c r="IG2" s="3" t="s">
        <v>1080</v>
      </c>
      <c r="JK2" s="3" t="s">
        <v>306</v>
      </c>
      <c r="KO2" s="3" t="s">
        <v>1081</v>
      </c>
      <c r="LS2" s="3" t="s">
        <v>1082</v>
      </c>
      <c r="MW2" s="3" t="s">
        <v>1083</v>
      </c>
      <c r="OA2" s="3" t="s">
        <v>113</v>
      </c>
      <c r="PE2" s="3" t="s">
        <v>928</v>
      </c>
      <c r="QI2" s="3" t="s">
        <v>84</v>
      </c>
      <c r="RM2" s="3" t="s">
        <v>1084</v>
      </c>
      <c r="SQ2" s="3" t="s">
        <v>1085</v>
      </c>
      <c r="TU2" s="3" t="s">
        <v>1086</v>
      </c>
      <c r="UY2" s="3" t="s">
        <v>1087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_xll.BDS("GE US Equity","SUPPLY_CHAIN_SUPPLIERS_ALL_DATA","cols=12;rows=5")</f>
        <v>SAF FP Equity</v>
      </c>
      <c r="B5" t="s">
        <v>1598</v>
      </c>
      <c r="C5">
        <v>7.9101749999999997</v>
      </c>
      <c r="D5">
        <v>9.7364909999999991</v>
      </c>
      <c r="E5" t="s">
        <v>1664</v>
      </c>
      <c r="F5">
        <v>2025</v>
      </c>
      <c r="G5" t="s">
        <v>2132</v>
      </c>
      <c r="H5" s="6">
        <v>45874</v>
      </c>
      <c r="I5">
        <v>5</v>
      </c>
      <c r="J5">
        <v>666294015.34000003</v>
      </c>
      <c r="K5">
        <v>115519</v>
      </c>
      <c r="L5" t="s">
        <v>2133</v>
      </c>
      <c r="O5" t="str">
        <f>_xll.BDS("GE US Equity","SUPPLY_CHAIN_CUSTOMERS_ALL_DATA","cols=12;rows=5")</f>
        <v>3352Z US Equity</v>
      </c>
      <c r="P5">
        <v>10</v>
      </c>
      <c r="R5">
        <v>-2.4245362661989844E-14</v>
      </c>
      <c r="S5" t="s">
        <v>1594</v>
      </c>
      <c r="T5">
        <v>2025</v>
      </c>
      <c r="U5" t="s">
        <v>1957</v>
      </c>
      <c r="V5" s="6">
        <v>46051</v>
      </c>
      <c r="W5">
        <v>5</v>
      </c>
      <c r="X5">
        <v>1146375040</v>
      </c>
      <c r="Y5">
        <v>218252</v>
      </c>
      <c r="Z5" t="s">
        <v>1622</v>
      </c>
      <c r="AE5" t="str">
        <f>_xll.BDS("MCHP US Equity","SUPPLY_CHAIN_SUPPLIERS_ALL_DATA","cols=12;rows=5")</f>
        <v>GFS US Equity</v>
      </c>
      <c r="AF5" t="s">
        <v>1598</v>
      </c>
      <c r="AG5">
        <v>0.92524700000000004</v>
      </c>
      <c r="AH5">
        <v>3.1242359999999998</v>
      </c>
      <c r="AI5" t="s">
        <v>1603</v>
      </c>
      <c r="AJ5">
        <v>2025</v>
      </c>
      <c r="AK5" t="s">
        <v>4646</v>
      </c>
      <c r="AL5" s="6">
        <v>45792</v>
      </c>
      <c r="AM5">
        <v>5</v>
      </c>
      <c r="AN5">
        <v>14665165</v>
      </c>
      <c r="AO5">
        <v>15242973</v>
      </c>
      <c r="AP5" t="s">
        <v>4647</v>
      </c>
      <c r="AS5" t="str">
        <f>_xll.BDS("MCHP US Equity","SUPPLY_CHAIN_CUSTOMERS_ALL_DATA","cols=12;rows=5")</f>
        <v>ARW US Equity</v>
      </c>
      <c r="AT5">
        <v>12</v>
      </c>
      <c r="AU5" t="s">
        <v>1598</v>
      </c>
      <c r="AV5">
        <v>1.987511</v>
      </c>
      <c r="AW5" t="s">
        <v>1651</v>
      </c>
      <c r="AX5">
        <v>2026</v>
      </c>
      <c r="AY5" t="s">
        <v>5169</v>
      </c>
      <c r="AZ5" s="6">
        <v>46058</v>
      </c>
      <c r="BA5">
        <v>5</v>
      </c>
      <c r="BB5">
        <v>136076000</v>
      </c>
      <c r="BC5">
        <v>100115</v>
      </c>
      <c r="BD5" t="s">
        <v>1893</v>
      </c>
      <c r="BI5" t="str">
        <f>_xll.BDS("XRX US Equity","SUPPLY_CHAIN_SUPPLIERS_ALL_DATA","cols=12;rows=5")</f>
        <v>4901 JP Equity</v>
      </c>
      <c r="BJ5" t="s">
        <v>1598</v>
      </c>
      <c r="BK5">
        <v>4.2803089999999999</v>
      </c>
      <c r="BL5">
        <v>20.793240000000001</v>
      </c>
      <c r="BM5" t="s">
        <v>1594</v>
      </c>
      <c r="BN5">
        <v>2024</v>
      </c>
      <c r="BO5" t="s">
        <v>3107</v>
      </c>
      <c r="BP5" s="6">
        <v>45712</v>
      </c>
      <c r="BQ5">
        <v>5</v>
      </c>
      <c r="BR5">
        <v>221499984</v>
      </c>
      <c r="BS5">
        <v>113590</v>
      </c>
      <c r="BT5" t="s">
        <v>3108</v>
      </c>
      <c r="BW5" t="str">
        <f>_xll.BDS("XRX US Equity","SUPPLY_CHAIN_CUSTOMERS_ALL_DATA","cols=12;rows=5")</f>
        <v>SNX US Equity</v>
      </c>
      <c r="BX5">
        <v>1.5706199999999999</v>
      </c>
      <c r="BY5" t="s">
        <v>1598</v>
      </c>
      <c r="BZ5">
        <v>0.19680800000000001</v>
      </c>
      <c r="CA5" t="s">
        <v>1606</v>
      </c>
      <c r="CB5">
        <v>2025</v>
      </c>
      <c r="CC5" t="s">
        <v>1701</v>
      </c>
      <c r="CD5" s="6">
        <v>46056</v>
      </c>
      <c r="CE5">
        <v>5</v>
      </c>
      <c r="CF5">
        <v>31852174</v>
      </c>
      <c r="CG5">
        <v>1499717</v>
      </c>
      <c r="CH5" t="s">
        <v>1702</v>
      </c>
      <c r="CM5" t="str">
        <f>_xll.BDS("HFC US Equity","SUPPLY_CHAIN_SUPPLIERS_ALL_DATA")</f>
        <v>#N/A N/A</v>
      </c>
      <c r="DA5" t="str">
        <f>_xll.BDS("HFC US Equity","SUPPLY_CHAIN_CUSTOMERS_ALL_DATA")</f>
        <v>#N/A N/A</v>
      </c>
      <c r="DQ5" t="str">
        <f>_xll.BDS("DCH US Equity","SUPPLY_CHAIN_SUPPLIERS_ALL_DATA","cols=12;rows=5")</f>
        <v>SKFB SS Equity</v>
      </c>
      <c r="DR5" t="s">
        <v>1598</v>
      </c>
      <c r="DS5">
        <v>0.68357800000000002</v>
      </c>
      <c r="DT5">
        <v>1.2268920000000001</v>
      </c>
      <c r="DU5" t="s">
        <v>1599</v>
      </c>
      <c r="DV5">
        <v>2025</v>
      </c>
      <c r="DW5" t="s">
        <v>5021</v>
      </c>
      <c r="DX5" s="6">
        <v>45973</v>
      </c>
      <c r="DY5">
        <v>5</v>
      </c>
      <c r="DZ5">
        <v>16153226.289999999</v>
      </c>
      <c r="EA5">
        <v>115750</v>
      </c>
      <c r="EB5" t="s">
        <v>5022</v>
      </c>
      <c r="EE5" t="str">
        <f>_xll.BDS("DCH US Equity","SUPPLY_CHAIN_CUSTOMERS_ALL_DATA","cols=12;rows=5")</f>
        <v>GM US Equity</v>
      </c>
      <c r="EF5">
        <v>44</v>
      </c>
      <c r="EG5" t="s">
        <v>1598</v>
      </c>
      <c r="EH5">
        <v>1.613888</v>
      </c>
      <c r="EI5" t="s">
        <v>1594</v>
      </c>
      <c r="EJ5">
        <v>2025</v>
      </c>
      <c r="EK5" t="s">
        <v>4831</v>
      </c>
      <c r="EL5" s="6">
        <v>46066</v>
      </c>
      <c r="EM5">
        <v>5</v>
      </c>
      <c r="EN5">
        <v>642036992</v>
      </c>
      <c r="EO5">
        <v>16632863</v>
      </c>
      <c r="EP5" t="s">
        <v>4407</v>
      </c>
      <c r="EU5" t="str">
        <f>_xll.BDS("CEQP US Equity","SUPPLY_CHAIN_SUPPLIERS_ALL_DATA")</f>
        <v>#N/A N/A</v>
      </c>
      <c r="FI5" t="str">
        <f>_xll.BDS("CEQP US Equity","SUPPLY_CHAIN_CUSTOMERS_ALL_DATA","cols=12;rows=1")</f>
        <v>SPH US Equity</v>
      </c>
      <c r="FJ5">
        <v>-2.4245362661989844E-14</v>
      </c>
      <c r="FL5">
        <v>-2.4245362661989844E-14</v>
      </c>
      <c r="FM5" t="s">
        <v>1594</v>
      </c>
      <c r="FN5">
        <v>2022</v>
      </c>
      <c r="FO5" t="s">
        <v>3446</v>
      </c>
      <c r="FP5" s="6">
        <v>44888</v>
      </c>
      <c r="FQ5">
        <v>1</v>
      </c>
      <c r="FR5">
        <v>-2.4245362661989844E-14</v>
      </c>
      <c r="FS5">
        <v>179984</v>
      </c>
      <c r="FT5" t="s">
        <v>3447</v>
      </c>
      <c r="FY5" t="str">
        <f>_xll.BDS("STJ US Equity","SUPPLY_CHAIN_SUPPLIERS_ALL_DATA")</f>
        <v>#N/A N/A</v>
      </c>
      <c r="GM5" t="str">
        <f>_xll.BDS("STJ US Equity","SUPPLY_CHAIN_CUSTOMERS_ALL_DATA")</f>
        <v>#N/A N/A</v>
      </c>
      <c r="HC5" t="str">
        <f>_xll.BDS("MDT US Equity","SUPPLY_CHAIN_SUPPLIERS_ALL_DATA","cols=12;rows=5")</f>
        <v>FLEX US Equity</v>
      </c>
      <c r="HD5" t="s">
        <v>1598</v>
      </c>
      <c r="HE5">
        <v>1.2190190000000001</v>
      </c>
      <c r="HF5">
        <v>2.8758149999999998</v>
      </c>
      <c r="HG5" t="s">
        <v>1599</v>
      </c>
      <c r="HH5">
        <v>2025</v>
      </c>
      <c r="HI5" t="s">
        <v>2557</v>
      </c>
      <c r="HJ5" s="6">
        <v>45763</v>
      </c>
      <c r="HK5">
        <v>5</v>
      </c>
      <c r="HL5">
        <v>79918888</v>
      </c>
      <c r="HM5">
        <v>136547</v>
      </c>
      <c r="HN5" t="s">
        <v>2558</v>
      </c>
      <c r="HQ5" t="str">
        <f>_xll.BDS("MDT US Equity","SUPPLY_CHAIN_CUSTOMERS_ALL_DATA","cols=12;rows=5")</f>
        <v>4104 TT Equity</v>
      </c>
      <c r="HR5">
        <v>0.20070099999999999</v>
      </c>
      <c r="HS5" t="s">
        <v>1598</v>
      </c>
      <c r="HT5">
        <v>32.397697000000001</v>
      </c>
      <c r="HU5" t="s">
        <v>1594</v>
      </c>
      <c r="HV5">
        <v>2024</v>
      </c>
      <c r="HW5" t="s">
        <v>3693</v>
      </c>
      <c r="HX5" s="6">
        <v>45814</v>
      </c>
      <c r="HY5">
        <v>5</v>
      </c>
      <c r="HZ5">
        <v>17028014.890000001</v>
      </c>
      <c r="IA5">
        <v>7324380</v>
      </c>
      <c r="IB5" t="s">
        <v>3694</v>
      </c>
      <c r="IG5" t="str">
        <f>_xll.BDS("1810430D US Equity","SUPPLY_CHAIN_SUPPLIERS_ALL_DATA")</f>
        <v>#N/A N/A</v>
      </c>
      <c r="IU5" t="str">
        <f>_xll.BDS("1810430D US Equity","SUPPLY_CHAIN_CUSTOMERS_ALL_DATA")</f>
        <v>#N/A N/A</v>
      </c>
      <c r="JK5" t="str">
        <f>_xll.BDS("UNH US Equity","SUPPLY_CHAIN_SUPPLIERS_ALL_DATA","cols=12;rows=5")</f>
        <v>VRTX US Equity</v>
      </c>
      <c r="JL5" t="s">
        <v>1598</v>
      </c>
      <c r="JM5">
        <v>9.6255240000000004</v>
      </c>
      <c r="JN5">
        <v>0.32416699999999998</v>
      </c>
      <c r="JO5" t="s">
        <v>1606</v>
      </c>
      <c r="JP5">
        <v>2025</v>
      </c>
      <c r="JQ5" t="s">
        <v>2965</v>
      </c>
      <c r="JR5" s="6">
        <v>46077</v>
      </c>
      <c r="JS5">
        <v>5</v>
      </c>
      <c r="JT5">
        <v>307054208</v>
      </c>
      <c r="JU5">
        <v>107741</v>
      </c>
      <c r="JV5" t="s">
        <v>2966</v>
      </c>
      <c r="JY5" t="str">
        <f>_xll.BDS("UNH US Equity","SUPPLY_CHAIN_CUSTOMERS_ALL_DATA","cols=12;rows=5")</f>
        <v>9877893Z US Equity</v>
      </c>
      <c r="JZ5">
        <v>40</v>
      </c>
      <c r="KB5">
        <v>-2.4245362661989844E-14</v>
      </c>
      <c r="KC5" t="s">
        <v>1594</v>
      </c>
      <c r="KD5">
        <v>2024</v>
      </c>
      <c r="KE5" t="s">
        <v>2840</v>
      </c>
      <c r="KF5" s="6">
        <v>45715</v>
      </c>
      <c r="KG5">
        <v>5</v>
      </c>
      <c r="KH5">
        <v>40027799552</v>
      </c>
      <c r="KI5">
        <v>17483390</v>
      </c>
      <c r="KJ5" t="s">
        <v>2729</v>
      </c>
      <c r="KO5" t="str">
        <f>_xll.BDS("9876555D US Equity","SUPPLY_CHAIN_SUPPLIERS_ALL_DATA")</f>
        <v>#N/A N/A</v>
      </c>
      <c r="LC5" t="str">
        <f>_xll.BDS("9876555D US Equity","SUPPLY_CHAIN_CUSTOMERS_ALL_DATA")</f>
        <v>#N/A N/A</v>
      </c>
      <c r="LS5" t="str">
        <f>_xll.BDS("UAL US Equity","SUPPLY_CHAIN_SUPPLIERS_ALL_DATA","cols=12;rows=5")</f>
        <v>BA US Equity</v>
      </c>
      <c r="LT5" t="s">
        <v>1634</v>
      </c>
      <c r="LU5">
        <v>4.6894470000000004</v>
      </c>
      <c r="LV5">
        <v>82.890625</v>
      </c>
      <c r="LW5" t="s">
        <v>1664</v>
      </c>
      <c r="LX5">
        <v>2025</v>
      </c>
      <c r="LY5" t="s">
        <v>2179</v>
      </c>
      <c r="LZ5" s="6">
        <v>45873</v>
      </c>
      <c r="MA5">
        <v>5</v>
      </c>
      <c r="MB5">
        <v>1066802304</v>
      </c>
      <c r="MC5">
        <v>100211</v>
      </c>
      <c r="MD5" t="s">
        <v>1632</v>
      </c>
      <c r="MG5" t="str">
        <f>_xll.BDS("UAL US Equity","SUPPLY_CHAIN_CUSTOMERS_ALL_DATA","cols=12;rows=5")</f>
        <v>0219682Z US Equity</v>
      </c>
      <c r="MH5">
        <v>-2.4245362661989844E-14</v>
      </c>
      <c r="MJ5">
        <v>-2.4245362661989844E-14</v>
      </c>
      <c r="MK5" t="s">
        <v>1594</v>
      </c>
      <c r="ML5">
        <v>2026</v>
      </c>
      <c r="MM5" t="s">
        <v>1756</v>
      </c>
      <c r="MN5" s="6">
        <v>46072</v>
      </c>
      <c r="MO5">
        <v>5</v>
      </c>
      <c r="MP5">
        <v>-2.4245362661989844E-14</v>
      </c>
      <c r="MQ5">
        <v>962205</v>
      </c>
      <c r="MR5" t="s">
        <v>1617</v>
      </c>
      <c r="MW5" t="str">
        <f>_xll.BDS("CBI US Equity","SUPPLY_CHAIN_SUPPLIERS_ALL_DATA","cols=12;rows=5")</f>
        <v>AEP US Equity</v>
      </c>
      <c r="MY5">
        <v>-2.4245362661989844E-14</v>
      </c>
      <c r="MZ5">
        <v>-2.4245362661989844E-14</v>
      </c>
      <c r="NA5" t="s">
        <v>1594</v>
      </c>
      <c r="NB5">
        <v>2021</v>
      </c>
      <c r="NC5" t="s">
        <v>2153</v>
      </c>
      <c r="ND5" s="6">
        <v>44693</v>
      </c>
      <c r="NE5">
        <v>5</v>
      </c>
      <c r="NF5">
        <v>-2.4245362661989844E-14</v>
      </c>
      <c r="NG5">
        <v>100060</v>
      </c>
      <c r="NH5" t="s">
        <v>2154</v>
      </c>
      <c r="NK5" t="str">
        <f>_xll.BDS("CBI US Equity","SUPPLY_CHAIN_CUSTOMERS_ALL_DATA","cols=12;rows=3")</f>
        <v>010950 KS Equity</v>
      </c>
      <c r="NL5">
        <v>-2.4245362661989844E-14</v>
      </c>
      <c r="NN5">
        <v>-2.4245362661989844E-14</v>
      </c>
      <c r="NO5" t="s">
        <v>1594</v>
      </c>
      <c r="NP5">
        <v>2022</v>
      </c>
      <c r="NQ5" t="s">
        <v>5632</v>
      </c>
      <c r="NR5" s="6">
        <v>45005</v>
      </c>
      <c r="NS5">
        <v>3</v>
      </c>
      <c r="NT5">
        <v>-2.4245362661989844E-14</v>
      </c>
      <c r="NU5">
        <v>118013</v>
      </c>
      <c r="NV5" t="s">
        <v>5633</v>
      </c>
      <c r="OA5" t="str">
        <f>_xll.BDS("BX US Equity","SUPPLY_CHAIN_SUPPLIERS_ALL_DATA","cols=12;rows=5")</f>
        <v>ORCL US Equity</v>
      </c>
      <c r="OB5" t="s">
        <v>1598</v>
      </c>
      <c r="OC5">
        <v>3.7003000000000001E-2</v>
      </c>
      <c r="OD5">
        <v>0.33128000000000002</v>
      </c>
      <c r="OE5" t="s">
        <v>1606</v>
      </c>
      <c r="OF5">
        <v>2025</v>
      </c>
      <c r="OG5" t="s">
        <v>2251</v>
      </c>
      <c r="OH5" s="6">
        <v>45848</v>
      </c>
      <c r="OI5">
        <v>5</v>
      </c>
      <c r="OJ5">
        <v>5884587</v>
      </c>
      <c r="OK5">
        <v>101752</v>
      </c>
      <c r="OL5" t="s">
        <v>2265</v>
      </c>
      <c r="OO5" t="str">
        <f>_xll.BDS("BX US Equity","SUPPLY_CHAIN_CUSTOMERS_ALL_DATA","cols=12;rows=5")</f>
        <v>002284 CH Equity</v>
      </c>
      <c r="OP5">
        <v>-2.4245362661989844E-14</v>
      </c>
      <c r="OR5">
        <v>-2.4245362661989844E-14</v>
      </c>
      <c r="OS5" t="s">
        <v>1594</v>
      </c>
      <c r="OT5">
        <v>2024</v>
      </c>
      <c r="OU5" t="s">
        <v>1789</v>
      </c>
      <c r="OV5" s="6">
        <v>45744</v>
      </c>
      <c r="OW5">
        <v>5</v>
      </c>
      <c r="OX5">
        <v>-2.4245362661989844E-14</v>
      </c>
      <c r="OY5">
        <v>15069854</v>
      </c>
      <c r="OZ5" t="s">
        <v>1790</v>
      </c>
      <c r="PE5" t="str">
        <f>_xll.BDS("NBL US Equity","SUPPLY_CHAIN_SUPPLIERS_ALL_DATA")</f>
        <v>#N/A N/A</v>
      </c>
      <c r="PS5" t="str">
        <f>_xll.BDS("NBL US Equity","SUPPLY_CHAIN_CUSTOMERS_ALL_DATA")</f>
        <v>#N/A N/A</v>
      </c>
      <c r="QI5" t="str">
        <f>_xll.BDS("0848680D US Equity","SUPPLY_CHAIN_SUPPLIERS_ALL_DATA")</f>
        <v>#N/A N/A</v>
      </c>
      <c r="QW5" t="str">
        <f>_xll.BDS("0848680D US Equity","SUPPLY_CHAIN_CUSTOMERS_ALL_DATA")</f>
        <v>#N/A N/A</v>
      </c>
      <c r="RM5" t="str">
        <f>_xll.BDS("ADBE US Equity","SUPPLY_CHAIN_SUPPLIERS_ALL_DATA","cols=12;rows=5")</f>
        <v>NVDA US Equity</v>
      </c>
      <c r="RN5" t="s">
        <v>1598</v>
      </c>
      <c r="RO5">
        <v>3.0667E-2</v>
      </c>
      <c r="RP5">
        <v>3.2191839999999998</v>
      </c>
      <c r="RQ5" t="s">
        <v>1606</v>
      </c>
      <c r="RR5">
        <v>2026</v>
      </c>
      <c r="RS5" t="s">
        <v>2004</v>
      </c>
      <c r="RT5" s="6">
        <v>46087</v>
      </c>
      <c r="RU5">
        <v>5</v>
      </c>
      <c r="RV5">
        <v>20892508</v>
      </c>
      <c r="RW5">
        <v>313657</v>
      </c>
      <c r="RX5" t="s">
        <v>2005</v>
      </c>
      <c r="SA5" t="str">
        <f>_xll.BDS("ADBE US Equity","SUPPLY_CHAIN_CUSTOMERS_ALL_DATA","cols=12;rows=5")</f>
        <v>TSCO LN Equity</v>
      </c>
      <c r="SB5">
        <v>1.001385</v>
      </c>
      <c r="SC5" t="s">
        <v>1598</v>
      </c>
      <c r="SD5">
        <v>0.275866</v>
      </c>
      <c r="SE5" t="s">
        <v>1603</v>
      </c>
      <c r="SF5">
        <v>2026</v>
      </c>
      <c r="SG5" t="s">
        <v>1876</v>
      </c>
      <c r="SH5" s="6">
        <v>45898</v>
      </c>
      <c r="SI5">
        <v>5</v>
      </c>
      <c r="SJ5">
        <v>58534355.460000001</v>
      </c>
      <c r="SK5">
        <v>112370</v>
      </c>
      <c r="SL5" t="s">
        <v>1877</v>
      </c>
      <c r="SQ5" t="str">
        <f>_xll.BDS("ARCH US Equity","SUPPLY_CHAIN_SUPPLIERS_ALL_DATA","cols=12;rows=5")</f>
        <v>AEE US Equity</v>
      </c>
      <c r="SS5">
        <v>-2.4245362661989844E-14</v>
      </c>
      <c r="ST5">
        <v>-2.4245362661989844E-14</v>
      </c>
      <c r="SU5" t="s">
        <v>1594</v>
      </c>
      <c r="SV5">
        <v>2021</v>
      </c>
      <c r="SW5" t="s">
        <v>2150</v>
      </c>
      <c r="SX5" s="6">
        <v>44693</v>
      </c>
      <c r="SY5">
        <v>5</v>
      </c>
      <c r="SZ5">
        <v>-2.4245362661989844E-14</v>
      </c>
      <c r="TA5">
        <v>313098</v>
      </c>
      <c r="TB5" t="s">
        <v>2151</v>
      </c>
      <c r="TE5" t="str">
        <f>_xll.BDS("ARCH US Equity","SUPPLY_CHAIN_CUSTOMERS_ALL_DATA","cols=12;rows=5")</f>
        <v>004020 KS Equity</v>
      </c>
      <c r="TF5">
        <v>-2.4245362661989844E-14</v>
      </c>
      <c r="TH5">
        <v>-2.4245362661989844E-14</v>
      </c>
      <c r="TI5" t="s">
        <v>1594</v>
      </c>
      <c r="TJ5">
        <v>2022</v>
      </c>
      <c r="TK5" t="s">
        <v>3435</v>
      </c>
      <c r="TL5" s="6">
        <v>44973</v>
      </c>
      <c r="TM5">
        <v>5</v>
      </c>
      <c r="TN5">
        <v>-2.4245362661989844E-14</v>
      </c>
      <c r="TO5">
        <v>117635</v>
      </c>
      <c r="TP5" t="s">
        <v>3436</v>
      </c>
      <c r="TU5" t="str">
        <f>_xll.BDS("CAR US Equity","SUPPLY_CHAIN_SUPPLIERS_ALL_DATA","cols=12;rows=5")</f>
        <v>VRRM US Equity</v>
      </c>
      <c r="TV5" t="s">
        <v>1598</v>
      </c>
      <c r="TW5">
        <v>13.5</v>
      </c>
      <c r="TX5">
        <v>1.973611</v>
      </c>
      <c r="TY5" t="s">
        <v>1594</v>
      </c>
      <c r="TZ5">
        <v>2024</v>
      </c>
      <c r="UA5" t="s">
        <v>3037</v>
      </c>
      <c r="UB5" s="6">
        <v>45715</v>
      </c>
      <c r="UC5">
        <v>5</v>
      </c>
      <c r="UD5">
        <v>29673236</v>
      </c>
      <c r="UE5">
        <v>51985055</v>
      </c>
      <c r="UF5" t="s">
        <v>3038</v>
      </c>
      <c r="UI5" t="str">
        <f>_xll.BDS("CAR US Equity","SUPPLY_CHAIN_CUSTOMERS_ALL_DATA","cols=12;rows=5")</f>
        <v>EIH IN Equity</v>
      </c>
      <c r="UJ5">
        <v>1.306E-2</v>
      </c>
      <c r="UK5" t="s">
        <v>1598</v>
      </c>
      <c r="UL5">
        <v>0.69246200000000002</v>
      </c>
      <c r="UM5" t="s">
        <v>1594</v>
      </c>
      <c r="UN5">
        <v>2025</v>
      </c>
      <c r="UO5" t="s">
        <v>2466</v>
      </c>
      <c r="UP5" s="6">
        <v>45850</v>
      </c>
      <c r="UQ5">
        <v>5</v>
      </c>
      <c r="UR5">
        <v>381034.1</v>
      </c>
      <c r="US5">
        <v>162657</v>
      </c>
      <c r="UT5" t="s">
        <v>2467</v>
      </c>
      <c r="UY5" t="str">
        <f>_xll.BDS("MAXR US Equity","SUPPLY_CHAIN_SUPPLIERS_ALL_DATA","cols=12;rows=5")</f>
        <v>ASTR US Equity</v>
      </c>
      <c r="VA5">
        <v>-2.4245362661989844E-14</v>
      </c>
      <c r="VB5">
        <v>-2.4245362661989844E-14</v>
      </c>
      <c r="VC5" t="s">
        <v>1594</v>
      </c>
      <c r="VD5">
        <v>2022</v>
      </c>
      <c r="VE5" t="s">
        <v>2207</v>
      </c>
      <c r="VF5" s="6">
        <v>44845</v>
      </c>
      <c r="VG5">
        <v>5</v>
      </c>
      <c r="VH5">
        <v>-2.4245362661989844E-14</v>
      </c>
      <c r="VI5">
        <v>68517220</v>
      </c>
      <c r="VJ5" t="s">
        <v>2208</v>
      </c>
      <c r="VM5" t="str">
        <f>_xll.BDS("MAXR US Equity","SUPPLY_CHAIN_CUSTOMERS_ALL_DATA","cols=12;rows=5")</f>
        <v>0219682Z US Equity</v>
      </c>
      <c r="VN5">
        <v>-2.4245362661989844E-14</v>
      </c>
      <c r="VP5">
        <v>-2.4245362661989844E-14</v>
      </c>
      <c r="VQ5" t="s">
        <v>1594</v>
      </c>
      <c r="VR5">
        <v>2022</v>
      </c>
      <c r="VS5" t="s">
        <v>1946</v>
      </c>
      <c r="VT5" s="6">
        <v>44979</v>
      </c>
      <c r="VU5">
        <v>5</v>
      </c>
      <c r="VV5">
        <v>-2.4245362661989844E-14</v>
      </c>
      <c r="VW5">
        <v>962205</v>
      </c>
      <c r="VX5" t="s">
        <v>1617</v>
      </c>
    </row>
    <row r="6" spans="1:600" x14ac:dyDescent="0.25">
      <c r="A6" t="s">
        <v>2628</v>
      </c>
      <c r="B6" t="s">
        <v>1598</v>
      </c>
      <c r="C6">
        <v>13.760432</v>
      </c>
      <c r="D6">
        <v>4.7536569999999996</v>
      </c>
      <c r="E6" t="s">
        <v>1664</v>
      </c>
      <c r="F6">
        <v>2025</v>
      </c>
      <c r="G6" t="s">
        <v>2629</v>
      </c>
      <c r="H6" s="6">
        <v>45937</v>
      </c>
      <c r="I6">
        <v>5</v>
      </c>
      <c r="J6">
        <v>325305405.77999997</v>
      </c>
      <c r="K6">
        <v>8445936</v>
      </c>
      <c r="L6" t="s">
        <v>2630</v>
      </c>
      <c r="O6" t="s">
        <v>872</v>
      </c>
      <c r="P6">
        <v>9.2636719999999997</v>
      </c>
      <c r="Q6" t="s">
        <v>1598</v>
      </c>
      <c r="R6">
        <v>5.0267530000000002</v>
      </c>
      <c r="S6" t="s">
        <v>1664</v>
      </c>
      <c r="T6">
        <v>2025</v>
      </c>
      <c r="U6" t="s">
        <v>1958</v>
      </c>
      <c r="V6" s="6">
        <v>45888</v>
      </c>
      <c r="W6">
        <v>5</v>
      </c>
      <c r="X6">
        <v>1021134592</v>
      </c>
      <c r="Y6">
        <v>100211</v>
      </c>
      <c r="Z6" t="s">
        <v>1632</v>
      </c>
      <c r="AE6" t="s">
        <v>3808</v>
      </c>
      <c r="AF6" t="s">
        <v>1598</v>
      </c>
      <c r="AG6">
        <v>0.30862800000000001</v>
      </c>
      <c r="AH6">
        <v>1.2203660000000001</v>
      </c>
      <c r="AI6" t="s">
        <v>1599</v>
      </c>
      <c r="AJ6">
        <v>2025</v>
      </c>
      <c r="AK6" t="s">
        <v>3809</v>
      </c>
      <c r="AL6" s="6">
        <v>46035</v>
      </c>
      <c r="AM6">
        <v>5</v>
      </c>
      <c r="AN6">
        <v>6132340</v>
      </c>
      <c r="AO6">
        <v>302680</v>
      </c>
      <c r="AP6" t="s">
        <v>3810</v>
      </c>
      <c r="AS6" t="s">
        <v>2690</v>
      </c>
      <c r="AT6">
        <v>4.9519380000000002</v>
      </c>
      <c r="AU6" t="s">
        <v>1598</v>
      </c>
      <c r="AV6">
        <v>0.53381100000000004</v>
      </c>
      <c r="AW6" t="s">
        <v>1664</v>
      </c>
      <c r="AX6">
        <v>2026</v>
      </c>
      <c r="AY6" t="s">
        <v>5170</v>
      </c>
      <c r="AZ6" s="6">
        <v>46035</v>
      </c>
      <c r="BA6">
        <v>5</v>
      </c>
      <c r="BB6">
        <v>56471900</v>
      </c>
      <c r="BC6">
        <v>1459396</v>
      </c>
      <c r="BD6" t="s">
        <v>2692</v>
      </c>
      <c r="BI6" t="s">
        <v>2556</v>
      </c>
      <c r="BJ6" t="s">
        <v>1598</v>
      </c>
      <c r="BK6">
        <v>1.489474</v>
      </c>
      <c r="BL6">
        <v>8.7893709999999992</v>
      </c>
      <c r="BM6" t="s">
        <v>1599</v>
      </c>
      <c r="BN6">
        <v>2025</v>
      </c>
      <c r="BO6" t="s">
        <v>2557</v>
      </c>
      <c r="BP6" s="6">
        <v>45763</v>
      </c>
      <c r="BQ6">
        <v>5</v>
      </c>
      <c r="BR6">
        <v>97649912</v>
      </c>
      <c r="BS6">
        <v>136547</v>
      </c>
      <c r="BT6" t="s">
        <v>2558</v>
      </c>
      <c r="BW6" t="s">
        <v>2579</v>
      </c>
      <c r="BX6">
        <v>0.31558199999999997</v>
      </c>
      <c r="BY6" t="s">
        <v>1598</v>
      </c>
      <c r="BZ6">
        <v>4.5779690000000004</v>
      </c>
      <c r="CA6" t="s">
        <v>1603</v>
      </c>
      <c r="CB6">
        <v>2026</v>
      </c>
      <c r="CC6" t="s">
        <v>2580</v>
      </c>
      <c r="CD6" s="6">
        <v>46063</v>
      </c>
      <c r="CE6">
        <v>5</v>
      </c>
      <c r="CF6">
        <v>6400001</v>
      </c>
      <c r="CG6">
        <v>49991909</v>
      </c>
      <c r="CH6" t="s">
        <v>2581</v>
      </c>
      <c r="DQ6" t="s">
        <v>5023</v>
      </c>
      <c r="DR6" t="s">
        <v>1598</v>
      </c>
      <c r="DS6">
        <v>0.94342199999999998</v>
      </c>
      <c r="DT6">
        <v>0.82891199999999998</v>
      </c>
      <c r="DU6" t="s">
        <v>1664</v>
      </c>
      <c r="DV6">
        <v>2025</v>
      </c>
      <c r="DW6" t="s">
        <v>5024</v>
      </c>
      <c r="DX6" s="6">
        <v>45910</v>
      </c>
      <c r="DY6">
        <v>5</v>
      </c>
      <c r="DZ6">
        <v>11070114</v>
      </c>
      <c r="EA6">
        <v>101477</v>
      </c>
      <c r="EB6" t="s">
        <v>5025</v>
      </c>
      <c r="EE6" t="s">
        <v>3021</v>
      </c>
      <c r="EF6">
        <v>15</v>
      </c>
      <c r="EG6" t="s">
        <v>1598</v>
      </c>
      <c r="EH6">
        <v>0.47174899999999997</v>
      </c>
      <c r="EI6" t="s">
        <v>1594</v>
      </c>
      <c r="EJ6">
        <v>2025</v>
      </c>
      <c r="EK6" t="s">
        <v>4831</v>
      </c>
      <c r="EL6" s="6">
        <v>46066</v>
      </c>
      <c r="EM6">
        <v>5</v>
      </c>
      <c r="EN6">
        <v>218876256</v>
      </c>
      <c r="EO6">
        <v>100602</v>
      </c>
      <c r="EP6" t="s">
        <v>3023</v>
      </c>
      <c r="HC6" t="s">
        <v>2975</v>
      </c>
      <c r="HD6" t="s">
        <v>1598</v>
      </c>
      <c r="HE6">
        <v>2.3008839999999999</v>
      </c>
      <c r="HF6">
        <v>1.9882420000000001</v>
      </c>
      <c r="HG6" t="s">
        <v>1606</v>
      </c>
      <c r="HH6">
        <v>2024</v>
      </c>
      <c r="HI6" t="s">
        <v>2976</v>
      </c>
      <c r="HJ6" s="6">
        <v>45694</v>
      </c>
      <c r="HK6">
        <v>5</v>
      </c>
      <c r="HL6">
        <v>58573604</v>
      </c>
      <c r="HM6">
        <v>349266</v>
      </c>
      <c r="HN6" t="s">
        <v>2977</v>
      </c>
      <c r="HQ6" t="s">
        <v>3695</v>
      </c>
      <c r="HR6">
        <v>-2.4245362661989844E-14</v>
      </c>
      <c r="HT6">
        <v>-2.4245362661989844E-14</v>
      </c>
      <c r="HU6" t="s">
        <v>1594</v>
      </c>
      <c r="HV6">
        <v>2021</v>
      </c>
      <c r="HW6" t="s">
        <v>3696</v>
      </c>
      <c r="HX6" s="6">
        <v>44676</v>
      </c>
      <c r="HY6">
        <v>5</v>
      </c>
      <c r="HZ6">
        <v>-2.4245362661989844E-14</v>
      </c>
      <c r="IA6">
        <v>24598477</v>
      </c>
      <c r="IB6" t="s">
        <v>3697</v>
      </c>
      <c r="JK6" t="s">
        <v>2361</v>
      </c>
      <c r="JL6" t="s">
        <v>1598</v>
      </c>
      <c r="JM6">
        <v>12.627013</v>
      </c>
      <c r="JN6">
        <v>0.18209500000000001</v>
      </c>
      <c r="JO6" t="s">
        <v>1599</v>
      </c>
      <c r="JP6">
        <v>2025</v>
      </c>
      <c r="JQ6" t="s">
        <v>3406</v>
      </c>
      <c r="JR6" s="6">
        <v>46050</v>
      </c>
      <c r="JS6">
        <v>5</v>
      </c>
      <c r="JT6">
        <v>172482464</v>
      </c>
      <c r="JU6">
        <v>126255</v>
      </c>
      <c r="JV6" t="s">
        <v>2363</v>
      </c>
      <c r="JY6" t="s">
        <v>1621</v>
      </c>
      <c r="JZ6">
        <v>-2.4245362661989844E-14</v>
      </c>
      <c r="KB6">
        <v>-2.4245362661989844E-14</v>
      </c>
      <c r="KC6" t="s">
        <v>1594</v>
      </c>
      <c r="KD6">
        <v>2024</v>
      </c>
      <c r="KE6" t="s">
        <v>2840</v>
      </c>
      <c r="KF6" s="6">
        <v>45715</v>
      </c>
      <c r="KG6">
        <v>5</v>
      </c>
      <c r="KH6">
        <v>-2.4245362661989844E-14</v>
      </c>
      <c r="KI6">
        <v>218252</v>
      </c>
      <c r="KJ6" t="s">
        <v>1622</v>
      </c>
      <c r="LS6" t="s">
        <v>745</v>
      </c>
      <c r="LT6" t="s">
        <v>1598</v>
      </c>
      <c r="LU6">
        <v>3.2472560000000001</v>
      </c>
      <c r="LV6">
        <v>2.573108</v>
      </c>
      <c r="LW6" t="s">
        <v>1664</v>
      </c>
      <c r="LX6">
        <v>2025</v>
      </c>
      <c r="LY6" t="s">
        <v>1958</v>
      </c>
      <c r="LZ6" s="6">
        <v>45888</v>
      </c>
      <c r="MA6">
        <v>5</v>
      </c>
      <c r="MB6">
        <v>357945024</v>
      </c>
      <c r="MC6">
        <v>100632</v>
      </c>
      <c r="MD6" t="s">
        <v>2162</v>
      </c>
      <c r="MG6" t="s">
        <v>1757</v>
      </c>
      <c r="MH6">
        <v>-2.4245362661989844E-14</v>
      </c>
      <c r="MJ6">
        <v>-2.4245362661989844E-14</v>
      </c>
      <c r="MK6" t="s">
        <v>1594</v>
      </c>
      <c r="ML6">
        <v>2023</v>
      </c>
      <c r="MM6" t="s">
        <v>1758</v>
      </c>
      <c r="MN6" s="6">
        <v>45404</v>
      </c>
      <c r="MO6">
        <v>5</v>
      </c>
      <c r="MP6">
        <v>-2.4245362661989844E-14</v>
      </c>
      <c r="MQ6">
        <v>19015168</v>
      </c>
      <c r="MR6" t="s">
        <v>1759</v>
      </c>
      <c r="MW6" t="s">
        <v>5746</v>
      </c>
      <c r="MY6">
        <v>-2.4245362661989844E-14</v>
      </c>
      <c r="MZ6">
        <v>-2.4245362661989844E-14</v>
      </c>
      <c r="NA6" t="s">
        <v>1599</v>
      </c>
      <c r="NB6">
        <v>2022</v>
      </c>
      <c r="NC6" t="s">
        <v>5747</v>
      </c>
      <c r="ND6" s="6">
        <v>44778</v>
      </c>
      <c r="NE6">
        <v>5</v>
      </c>
      <c r="NF6">
        <v>-2.4245362661989844E-14</v>
      </c>
      <c r="NG6">
        <v>102539</v>
      </c>
      <c r="NH6" t="s">
        <v>5748</v>
      </c>
      <c r="NK6" t="s">
        <v>3115</v>
      </c>
      <c r="NL6">
        <v>-2.4245362661989844E-14</v>
      </c>
      <c r="NN6">
        <v>-2.4245362661989844E-14</v>
      </c>
      <c r="NO6" t="s">
        <v>2438</v>
      </c>
      <c r="NP6">
        <v>2025</v>
      </c>
      <c r="NQ6" t="s">
        <v>5634</v>
      </c>
      <c r="NR6" s="6">
        <v>45792</v>
      </c>
      <c r="NS6">
        <v>3</v>
      </c>
      <c r="NT6">
        <v>-2.4245362661989844E-14</v>
      </c>
      <c r="NU6">
        <v>51678326</v>
      </c>
      <c r="NV6" t="s">
        <v>3117</v>
      </c>
      <c r="OA6" t="s">
        <v>2266</v>
      </c>
      <c r="OB6" t="s">
        <v>1685</v>
      </c>
      <c r="OC6">
        <v>0.597939</v>
      </c>
      <c r="OD6">
        <v>5.9714000000000003E-2</v>
      </c>
      <c r="OE6" t="s">
        <v>1594</v>
      </c>
      <c r="OF6">
        <v>2024</v>
      </c>
      <c r="OG6" t="s">
        <v>2267</v>
      </c>
      <c r="OH6" s="6">
        <v>45694</v>
      </c>
      <c r="OI6">
        <v>5</v>
      </c>
      <c r="OJ6">
        <v>957052.25</v>
      </c>
      <c r="OK6">
        <v>103579</v>
      </c>
      <c r="OL6" t="s">
        <v>2268</v>
      </c>
      <c r="OO6" t="s">
        <v>1791</v>
      </c>
      <c r="OP6">
        <v>-2.4245362661989844E-14</v>
      </c>
      <c r="OR6">
        <v>-2.4245362661989844E-14</v>
      </c>
      <c r="OS6" t="s">
        <v>1792</v>
      </c>
      <c r="OT6">
        <v>2025</v>
      </c>
      <c r="OU6" t="s">
        <v>1793</v>
      </c>
      <c r="OV6" s="6">
        <v>45894</v>
      </c>
      <c r="OW6">
        <v>5</v>
      </c>
      <c r="OX6">
        <v>-2.4245362661989844E-14</v>
      </c>
      <c r="OY6">
        <v>15149577</v>
      </c>
      <c r="OZ6" t="s">
        <v>1794</v>
      </c>
      <c r="RM6" t="s">
        <v>3900</v>
      </c>
      <c r="RN6" t="s">
        <v>1685</v>
      </c>
      <c r="RO6">
        <v>2.5072190000000001</v>
      </c>
      <c r="RP6">
        <v>0.34607399999999999</v>
      </c>
      <c r="RQ6" t="s">
        <v>1594</v>
      </c>
      <c r="RR6">
        <v>2025</v>
      </c>
      <c r="RS6" t="s">
        <v>3901</v>
      </c>
      <c r="RT6" s="6">
        <v>46064</v>
      </c>
      <c r="RU6">
        <v>5</v>
      </c>
      <c r="RV6">
        <v>6974250</v>
      </c>
      <c r="RW6">
        <v>202222</v>
      </c>
      <c r="RX6" t="s">
        <v>3902</v>
      </c>
      <c r="SA6" t="s">
        <v>1700</v>
      </c>
      <c r="SB6">
        <v>0.72984499999999997</v>
      </c>
      <c r="SC6" t="s">
        <v>1598</v>
      </c>
      <c r="SD6">
        <v>0.30837399999999998</v>
      </c>
      <c r="SE6" t="s">
        <v>1664</v>
      </c>
      <c r="SF6">
        <v>2025</v>
      </c>
      <c r="SG6" t="s">
        <v>2052</v>
      </c>
      <c r="SH6" s="6">
        <v>45838</v>
      </c>
      <c r="SI6">
        <v>5</v>
      </c>
      <c r="SJ6">
        <v>42863796</v>
      </c>
      <c r="SK6">
        <v>1499717</v>
      </c>
      <c r="SL6" t="s">
        <v>1702</v>
      </c>
      <c r="SQ6" t="s">
        <v>2152</v>
      </c>
      <c r="SS6">
        <v>-2.4245362661989844E-14</v>
      </c>
      <c r="ST6">
        <v>-2.4245362661989844E-14</v>
      </c>
      <c r="SU6" t="s">
        <v>1594</v>
      </c>
      <c r="SV6">
        <v>2021</v>
      </c>
      <c r="SW6" t="s">
        <v>2153</v>
      </c>
      <c r="SX6" s="6">
        <v>44693</v>
      </c>
      <c r="SY6">
        <v>5</v>
      </c>
      <c r="SZ6">
        <v>-2.4245362661989844E-14</v>
      </c>
      <c r="TA6">
        <v>100060</v>
      </c>
      <c r="TB6" t="s">
        <v>2154</v>
      </c>
      <c r="TE6" t="s">
        <v>3437</v>
      </c>
      <c r="TF6">
        <v>-2.4245362661989844E-14</v>
      </c>
      <c r="TH6">
        <v>-2.4245362661989844E-14</v>
      </c>
      <c r="TI6" t="s">
        <v>1594</v>
      </c>
      <c r="TJ6">
        <v>2022</v>
      </c>
      <c r="TK6" t="s">
        <v>3435</v>
      </c>
      <c r="TL6" s="6">
        <v>44973</v>
      </c>
      <c r="TM6">
        <v>5</v>
      </c>
      <c r="TN6">
        <v>-2.4245362661989844E-14</v>
      </c>
      <c r="TO6">
        <v>39543440</v>
      </c>
      <c r="TP6" t="s">
        <v>3438</v>
      </c>
      <c r="TU6" t="s">
        <v>3039</v>
      </c>
      <c r="TV6" t="s">
        <v>1598</v>
      </c>
      <c r="TW6">
        <v>0.38619700000000001</v>
      </c>
      <c r="TX6">
        <v>0.47442000000000001</v>
      </c>
      <c r="TY6" t="s">
        <v>1664</v>
      </c>
      <c r="TZ6">
        <v>2025</v>
      </c>
      <c r="UA6" t="s">
        <v>3040</v>
      </c>
      <c r="UB6" s="6">
        <v>45952</v>
      </c>
      <c r="UC6">
        <v>5</v>
      </c>
      <c r="UD6">
        <v>7236754.0099999998</v>
      </c>
      <c r="UE6">
        <v>27639867</v>
      </c>
      <c r="UF6" t="s">
        <v>3041</v>
      </c>
      <c r="UI6" t="s">
        <v>2468</v>
      </c>
      <c r="UJ6">
        <v>-2.4245362661989844E-14</v>
      </c>
      <c r="UL6">
        <v>-2.4245362661989844E-14</v>
      </c>
      <c r="UM6" t="s">
        <v>2469</v>
      </c>
      <c r="UN6">
        <v>2024</v>
      </c>
      <c r="UO6" t="s">
        <v>2470</v>
      </c>
      <c r="UP6" s="6">
        <v>45518</v>
      </c>
      <c r="UQ6">
        <v>5</v>
      </c>
      <c r="UR6">
        <v>-2.4245362661989844E-14</v>
      </c>
      <c r="US6">
        <v>130119</v>
      </c>
      <c r="UT6" t="s">
        <v>2471</v>
      </c>
      <c r="UY6" t="s">
        <v>2209</v>
      </c>
      <c r="VA6">
        <v>-2.4245362661989844E-14</v>
      </c>
      <c r="VB6">
        <v>-2.4245362661989844E-14</v>
      </c>
      <c r="VC6" t="s">
        <v>1594</v>
      </c>
      <c r="VD6">
        <v>2022</v>
      </c>
      <c r="VE6" t="s">
        <v>2210</v>
      </c>
      <c r="VF6" s="6">
        <v>44916</v>
      </c>
      <c r="VG6">
        <v>5</v>
      </c>
      <c r="VH6">
        <v>-2.4245362661989844E-14</v>
      </c>
      <c r="VI6">
        <v>125961</v>
      </c>
      <c r="VJ6" t="s">
        <v>2211</v>
      </c>
      <c r="VM6" t="s">
        <v>1947</v>
      </c>
      <c r="VN6">
        <v>-2.4245362661989844E-14</v>
      </c>
      <c r="VP6">
        <v>-2.4245362661989844E-14</v>
      </c>
      <c r="VQ6" t="s">
        <v>1594</v>
      </c>
      <c r="VR6">
        <v>2023</v>
      </c>
      <c r="VS6" t="s">
        <v>1948</v>
      </c>
      <c r="VT6" s="6">
        <v>44984</v>
      </c>
      <c r="VU6">
        <v>5</v>
      </c>
      <c r="VV6">
        <v>-2.4245362661989844E-14</v>
      </c>
      <c r="VW6">
        <v>962190</v>
      </c>
      <c r="VX6" t="s">
        <v>1949</v>
      </c>
    </row>
    <row r="7" spans="1:600" x14ac:dyDescent="0.25">
      <c r="A7" t="s">
        <v>2631</v>
      </c>
      <c r="B7" t="s">
        <v>1598</v>
      </c>
      <c r="C7">
        <v>11</v>
      </c>
      <c r="D7">
        <v>3.1337429999999999</v>
      </c>
      <c r="E7" t="s">
        <v>1594</v>
      </c>
      <c r="F7">
        <v>2025</v>
      </c>
      <c r="G7" t="s">
        <v>2632</v>
      </c>
      <c r="H7" s="6">
        <v>46065</v>
      </c>
      <c r="I7">
        <v>5</v>
      </c>
      <c r="J7">
        <v>226930000</v>
      </c>
      <c r="K7">
        <v>59099358</v>
      </c>
      <c r="L7" t="s">
        <v>2633</v>
      </c>
      <c r="O7" t="s">
        <v>1732</v>
      </c>
      <c r="P7">
        <v>4.5319979999999997</v>
      </c>
      <c r="Q7" t="s">
        <v>1598</v>
      </c>
      <c r="R7">
        <v>3.2162160000000002</v>
      </c>
      <c r="S7" t="s">
        <v>1664</v>
      </c>
      <c r="T7">
        <v>2025</v>
      </c>
      <c r="U7" t="s">
        <v>1958</v>
      </c>
      <c r="V7" s="6">
        <v>45888</v>
      </c>
      <c r="W7">
        <v>5</v>
      </c>
      <c r="X7">
        <v>499562144</v>
      </c>
      <c r="Y7">
        <v>876285</v>
      </c>
      <c r="Z7" t="s">
        <v>1734</v>
      </c>
      <c r="AE7" t="s">
        <v>2585</v>
      </c>
      <c r="AF7" t="s">
        <v>1598</v>
      </c>
      <c r="AG7">
        <v>1.8717000000000001E-2</v>
      </c>
      <c r="AH7">
        <v>0.53299099999999999</v>
      </c>
      <c r="AI7" t="s">
        <v>1603</v>
      </c>
      <c r="AJ7">
        <v>2026</v>
      </c>
      <c r="AK7" t="s">
        <v>3997</v>
      </c>
      <c r="AL7" s="6">
        <v>46079</v>
      </c>
      <c r="AM7">
        <v>5</v>
      </c>
      <c r="AN7">
        <v>2553560</v>
      </c>
      <c r="AO7">
        <v>100995</v>
      </c>
      <c r="AP7" t="s">
        <v>2586</v>
      </c>
      <c r="AS7" t="s">
        <v>2589</v>
      </c>
      <c r="AT7">
        <v>4.8382500000000004</v>
      </c>
      <c r="AU7" t="s">
        <v>1598</v>
      </c>
      <c r="AV7">
        <v>1.0442359999999999</v>
      </c>
      <c r="AW7" t="s">
        <v>1664</v>
      </c>
      <c r="AX7">
        <v>2026</v>
      </c>
      <c r="AY7" t="s">
        <v>5170</v>
      </c>
      <c r="AZ7" s="6">
        <v>46035</v>
      </c>
      <c r="BA7">
        <v>5</v>
      </c>
      <c r="BB7">
        <v>55175404</v>
      </c>
      <c r="BC7">
        <v>100142</v>
      </c>
      <c r="BD7" t="s">
        <v>2591</v>
      </c>
      <c r="BI7" t="s">
        <v>3109</v>
      </c>
      <c r="BJ7" t="s">
        <v>1598</v>
      </c>
      <c r="BK7">
        <v>0.171538</v>
      </c>
      <c r="BL7">
        <v>1.2689820000000001</v>
      </c>
      <c r="BM7" t="s">
        <v>1664</v>
      </c>
      <c r="BN7">
        <v>2025</v>
      </c>
      <c r="BO7" t="s">
        <v>3110</v>
      </c>
      <c r="BP7" s="6">
        <v>45846</v>
      </c>
      <c r="BQ7">
        <v>5</v>
      </c>
      <c r="BR7">
        <v>13083203</v>
      </c>
      <c r="BS7">
        <v>42602315</v>
      </c>
      <c r="BT7" t="s">
        <v>3111</v>
      </c>
      <c r="BW7" t="s">
        <v>1786</v>
      </c>
      <c r="BX7">
        <v>0.12892500000000001</v>
      </c>
      <c r="BY7" t="s">
        <v>1598</v>
      </c>
      <c r="BZ7">
        <v>0.107617</v>
      </c>
      <c r="CA7" t="s">
        <v>1664</v>
      </c>
      <c r="CB7">
        <v>2025</v>
      </c>
      <c r="CC7" t="s">
        <v>1787</v>
      </c>
      <c r="CD7" s="6">
        <v>46008</v>
      </c>
      <c r="CE7">
        <v>5</v>
      </c>
      <c r="CF7">
        <v>2502764.6800000002</v>
      </c>
      <c r="CG7">
        <v>349049</v>
      </c>
      <c r="CH7" t="s">
        <v>1788</v>
      </c>
      <c r="DQ7" t="s">
        <v>5026</v>
      </c>
      <c r="DR7" t="s">
        <v>1598</v>
      </c>
      <c r="DS7">
        <v>4.085833</v>
      </c>
      <c r="DT7">
        <v>0.69739700000000004</v>
      </c>
      <c r="DU7" t="s">
        <v>1664</v>
      </c>
      <c r="DV7">
        <v>2025</v>
      </c>
      <c r="DW7" t="s">
        <v>5027</v>
      </c>
      <c r="DX7" s="6">
        <v>45897</v>
      </c>
      <c r="DY7">
        <v>5</v>
      </c>
      <c r="DZ7">
        <v>9313738</v>
      </c>
      <c r="EA7">
        <v>302037</v>
      </c>
      <c r="EB7" t="s">
        <v>5028</v>
      </c>
      <c r="EE7" t="s">
        <v>2654</v>
      </c>
      <c r="EF7">
        <v>13</v>
      </c>
      <c r="EG7" t="s">
        <v>1598</v>
      </c>
      <c r="EH7">
        <v>0.51730900000000002</v>
      </c>
      <c r="EI7" t="s">
        <v>1594</v>
      </c>
      <c r="EJ7">
        <v>2025</v>
      </c>
      <c r="EK7" t="s">
        <v>4831</v>
      </c>
      <c r="EL7" s="6">
        <v>46066</v>
      </c>
      <c r="EM7">
        <v>5</v>
      </c>
      <c r="EN7">
        <v>189692752</v>
      </c>
      <c r="EO7">
        <v>41633927</v>
      </c>
      <c r="EP7" t="s">
        <v>2655</v>
      </c>
      <c r="HC7" t="s">
        <v>2559</v>
      </c>
      <c r="HD7" t="s">
        <v>1598</v>
      </c>
      <c r="HE7">
        <v>0.23526900000000001</v>
      </c>
      <c r="HF7">
        <v>0.58521900000000004</v>
      </c>
      <c r="HG7" t="s">
        <v>1599</v>
      </c>
      <c r="HH7">
        <v>2025</v>
      </c>
      <c r="HI7" t="s">
        <v>2560</v>
      </c>
      <c r="HJ7" s="6">
        <v>45867</v>
      </c>
      <c r="HK7">
        <v>5</v>
      </c>
      <c r="HL7">
        <v>18416856</v>
      </c>
      <c r="HM7">
        <v>117092</v>
      </c>
      <c r="HN7" t="s">
        <v>2561</v>
      </c>
      <c r="HQ7" t="s">
        <v>3698</v>
      </c>
      <c r="HR7">
        <v>-2.4245362661989844E-14</v>
      </c>
      <c r="HT7">
        <v>-2.4245362661989844E-14</v>
      </c>
      <c r="HU7" t="s">
        <v>1594</v>
      </c>
      <c r="HV7">
        <v>2023</v>
      </c>
      <c r="HW7" t="s">
        <v>3699</v>
      </c>
      <c r="HX7" s="6">
        <v>45135</v>
      </c>
      <c r="HY7">
        <v>5</v>
      </c>
      <c r="HZ7">
        <v>-2.4245362661989844E-14</v>
      </c>
      <c r="IA7">
        <v>103017</v>
      </c>
      <c r="IB7" t="s">
        <v>3700</v>
      </c>
      <c r="JK7" t="s">
        <v>3407</v>
      </c>
      <c r="JL7" t="s">
        <v>1598</v>
      </c>
      <c r="JM7">
        <v>1.035563</v>
      </c>
      <c r="JN7">
        <v>0.169491</v>
      </c>
      <c r="JO7" t="s">
        <v>1599</v>
      </c>
      <c r="JP7">
        <v>2025</v>
      </c>
      <c r="JQ7" t="s">
        <v>3408</v>
      </c>
      <c r="JR7" s="6">
        <v>46080</v>
      </c>
      <c r="JS7">
        <v>5</v>
      </c>
      <c r="JT7">
        <v>160543328</v>
      </c>
      <c r="JU7">
        <v>111093</v>
      </c>
      <c r="JV7" t="s">
        <v>3409</v>
      </c>
      <c r="JY7" t="s">
        <v>117</v>
      </c>
      <c r="JZ7">
        <v>-2.4245362661989844E-14</v>
      </c>
      <c r="KB7">
        <v>-2.4245362661989844E-14</v>
      </c>
      <c r="KC7" t="s">
        <v>1594</v>
      </c>
      <c r="KD7">
        <v>2023</v>
      </c>
      <c r="KE7" t="s">
        <v>2841</v>
      </c>
      <c r="KF7" s="6">
        <v>45398</v>
      </c>
      <c r="KG7">
        <v>5</v>
      </c>
      <c r="KH7">
        <v>-2.4245362661989844E-14</v>
      </c>
      <c r="KI7">
        <v>100801</v>
      </c>
      <c r="KJ7" t="s">
        <v>1745</v>
      </c>
      <c r="LS7" t="s">
        <v>22</v>
      </c>
      <c r="LT7" t="s">
        <v>1598</v>
      </c>
      <c r="LU7">
        <v>1.2439389999999999</v>
      </c>
      <c r="LV7">
        <v>1.9298</v>
      </c>
      <c r="LW7" t="s">
        <v>1664</v>
      </c>
      <c r="LX7">
        <v>2025</v>
      </c>
      <c r="LY7" t="s">
        <v>2129</v>
      </c>
      <c r="LZ7" s="6">
        <v>45895</v>
      </c>
      <c r="MA7">
        <v>5</v>
      </c>
      <c r="MB7">
        <v>268454464</v>
      </c>
      <c r="MC7">
        <v>101555</v>
      </c>
      <c r="MD7" t="s">
        <v>2130</v>
      </c>
      <c r="MG7" t="s">
        <v>1621</v>
      </c>
      <c r="MH7">
        <v>-2.4245362661989844E-14</v>
      </c>
      <c r="MJ7">
        <v>-2.4245362661989844E-14</v>
      </c>
      <c r="MK7" t="s">
        <v>1594</v>
      </c>
      <c r="ML7">
        <v>2026</v>
      </c>
      <c r="MM7" t="s">
        <v>1756</v>
      </c>
      <c r="MN7" s="6">
        <v>46072</v>
      </c>
      <c r="MO7">
        <v>5</v>
      </c>
      <c r="MP7">
        <v>-2.4245362661989844E-14</v>
      </c>
      <c r="MQ7">
        <v>218252</v>
      </c>
      <c r="MR7" t="s">
        <v>1622</v>
      </c>
      <c r="MW7" t="s">
        <v>110</v>
      </c>
      <c r="MY7">
        <v>-2.4245362661989844E-14</v>
      </c>
      <c r="MZ7">
        <v>-2.4245362661989844E-14</v>
      </c>
      <c r="NA7" t="s">
        <v>1594</v>
      </c>
      <c r="NB7">
        <v>2021</v>
      </c>
      <c r="NC7" t="s">
        <v>4239</v>
      </c>
      <c r="ND7" s="6">
        <v>44693</v>
      </c>
      <c r="NE7">
        <v>5</v>
      </c>
      <c r="NF7">
        <v>-2.4245362661989844E-14</v>
      </c>
      <c r="NG7">
        <v>100193</v>
      </c>
      <c r="NH7" t="s">
        <v>3708</v>
      </c>
      <c r="NK7" t="s">
        <v>5635</v>
      </c>
      <c r="NL7">
        <v>-2.4245362661989844E-14</v>
      </c>
      <c r="NN7">
        <v>-2.4245362661989844E-14</v>
      </c>
      <c r="NO7" t="s">
        <v>1594</v>
      </c>
      <c r="NP7">
        <v>2025</v>
      </c>
      <c r="NQ7" t="s">
        <v>5636</v>
      </c>
      <c r="NR7" s="6">
        <v>45890</v>
      </c>
      <c r="NS7">
        <v>3</v>
      </c>
      <c r="NT7">
        <v>-2.4245362661989844E-14</v>
      </c>
      <c r="NU7">
        <v>71282972</v>
      </c>
      <c r="NV7" t="s">
        <v>5637</v>
      </c>
      <c r="OA7" t="s">
        <v>2269</v>
      </c>
      <c r="OB7" t="s">
        <v>1598</v>
      </c>
      <c r="OC7">
        <v>7.4065000000000006E-2</v>
      </c>
      <c r="OD7">
        <v>2.879E-3</v>
      </c>
      <c r="OE7" t="s">
        <v>1594</v>
      </c>
      <c r="OF7">
        <v>2024</v>
      </c>
      <c r="OG7" t="s">
        <v>2270</v>
      </c>
      <c r="OH7" s="6">
        <v>45758</v>
      </c>
      <c r="OI7">
        <v>5</v>
      </c>
      <c r="OJ7">
        <v>46697.46</v>
      </c>
      <c r="OK7">
        <v>130878</v>
      </c>
      <c r="OL7" t="s">
        <v>2271</v>
      </c>
      <c r="OO7" t="s">
        <v>1795</v>
      </c>
      <c r="OP7">
        <v>-2.4245362661989844E-14</v>
      </c>
      <c r="OR7">
        <v>-2.4245362661989844E-14</v>
      </c>
      <c r="OS7" t="s">
        <v>1664</v>
      </c>
      <c r="OT7">
        <v>2024</v>
      </c>
      <c r="OU7" t="s">
        <v>1796</v>
      </c>
      <c r="OV7" s="6">
        <v>45433</v>
      </c>
      <c r="OW7">
        <v>5</v>
      </c>
      <c r="OX7">
        <v>-2.4245362661989844E-14</v>
      </c>
      <c r="OY7">
        <v>27196144</v>
      </c>
      <c r="OZ7" t="s">
        <v>1797</v>
      </c>
      <c r="RM7" t="s">
        <v>117</v>
      </c>
      <c r="RN7" t="s">
        <v>1598</v>
      </c>
      <c r="RO7">
        <v>4.1959999999999997E-2</v>
      </c>
      <c r="RP7">
        <v>0.98093300000000005</v>
      </c>
      <c r="RQ7" t="s">
        <v>1603</v>
      </c>
      <c r="RR7">
        <v>2025</v>
      </c>
      <c r="RS7" t="s">
        <v>1744</v>
      </c>
      <c r="RT7" s="6">
        <v>45797</v>
      </c>
      <c r="RU7">
        <v>5</v>
      </c>
      <c r="RV7">
        <v>6101404</v>
      </c>
      <c r="RW7">
        <v>100801</v>
      </c>
      <c r="RX7" t="s">
        <v>1745</v>
      </c>
      <c r="SA7" t="s">
        <v>303</v>
      </c>
      <c r="SB7">
        <v>0.70327099999999998</v>
      </c>
      <c r="SC7" t="s">
        <v>1598</v>
      </c>
      <c r="SD7">
        <v>5.3657000000000003E-2</v>
      </c>
      <c r="SE7" t="s">
        <v>1664</v>
      </c>
      <c r="SF7">
        <v>2025</v>
      </c>
      <c r="SG7" t="s">
        <v>2052</v>
      </c>
      <c r="SH7" s="6">
        <v>45838</v>
      </c>
      <c r="SI7">
        <v>5</v>
      </c>
      <c r="SJ7">
        <v>41303104</v>
      </c>
      <c r="SK7">
        <v>216952</v>
      </c>
      <c r="SL7" t="s">
        <v>1631</v>
      </c>
      <c r="SQ7" t="s">
        <v>110</v>
      </c>
      <c r="SS7">
        <v>-2.4245362661989844E-14</v>
      </c>
      <c r="ST7">
        <v>-2.4245362661989844E-14</v>
      </c>
      <c r="SU7" t="s">
        <v>1594</v>
      </c>
      <c r="SV7">
        <v>2023</v>
      </c>
      <c r="SW7" t="s">
        <v>3440</v>
      </c>
      <c r="SX7" s="6">
        <v>45337</v>
      </c>
      <c r="SY7">
        <v>5</v>
      </c>
      <c r="SZ7">
        <v>-2.4245362661989844E-14</v>
      </c>
      <c r="TA7">
        <v>100193</v>
      </c>
      <c r="TB7" t="s">
        <v>3708</v>
      </c>
      <c r="TE7" t="s">
        <v>3439</v>
      </c>
      <c r="TF7">
        <v>-2.4245362661989844E-14</v>
      </c>
      <c r="TH7">
        <v>-2.4245362661989844E-14</v>
      </c>
      <c r="TI7" t="s">
        <v>1594</v>
      </c>
      <c r="TJ7">
        <v>2023</v>
      </c>
      <c r="TK7" t="s">
        <v>3440</v>
      </c>
      <c r="TL7" s="6">
        <v>45337</v>
      </c>
      <c r="TM7">
        <v>5</v>
      </c>
      <c r="TN7">
        <v>-2.4245362661989844E-14</v>
      </c>
      <c r="TO7">
        <v>7847241</v>
      </c>
      <c r="TP7" t="s">
        <v>3441</v>
      </c>
      <c r="TU7" t="s">
        <v>3042</v>
      </c>
      <c r="TV7" t="s">
        <v>1634</v>
      </c>
      <c r="TW7">
        <v>0.254056</v>
      </c>
      <c r="TX7">
        <v>0.26785799999999998</v>
      </c>
      <c r="TY7" t="s">
        <v>1606</v>
      </c>
      <c r="TZ7">
        <v>2024</v>
      </c>
      <c r="UA7" t="s">
        <v>3043</v>
      </c>
      <c r="UB7" s="6">
        <v>45770</v>
      </c>
      <c r="UC7">
        <v>5</v>
      </c>
      <c r="UD7">
        <v>4756853.6399999997</v>
      </c>
      <c r="UE7">
        <v>186659</v>
      </c>
      <c r="UF7" t="s">
        <v>3044</v>
      </c>
      <c r="UI7" t="s">
        <v>2108</v>
      </c>
      <c r="UJ7">
        <v>-2.4245362661989844E-14</v>
      </c>
      <c r="UL7">
        <v>-2.4245362661989844E-14</v>
      </c>
      <c r="UM7" t="s">
        <v>2469</v>
      </c>
      <c r="UN7">
        <v>2024</v>
      </c>
      <c r="UO7" t="s">
        <v>2472</v>
      </c>
      <c r="UP7" s="6">
        <v>45518</v>
      </c>
      <c r="UQ7">
        <v>5</v>
      </c>
      <c r="UR7">
        <v>-2.4245362661989844E-14</v>
      </c>
      <c r="US7">
        <v>227699</v>
      </c>
      <c r="UT7" t="s">
        <v>2110</v>
      </c>
      <c r="UY7" t="s">
        <v>2212</v>
      </c>
      <c r="VA7">
        <v>-2.4245362661989844E-14</v>
      </c>
      <c r="VB7">
        <v>-2.4245362661989844E-14</v>
      </c>
      <c r="VC7" t="s">
        <v>1606</v>
      </c>
      <c r="VD7">
        <v>2024</v>
      </c>
      <c r="VE7" t="s">
        <v>2213</v>
      </c>
      <c r="VF7" s="6">
        <v>45597</v>
      </c>
      <c r="VG7">
        <v>5</v>
      </c>
      <c r="VH7">
        <v>-2.4245362661989844E-14</v>
      </c>
      <c r="VI7">
        <v>104365</v>
      </c>
      <c r="VJ7" t="s">
        <v>2214</v>
      </c>
      <c r="VM7" t="s">
        <v>1950</v>
      </c>
      <c r="VN7">
        <v>-2.4245362661989844E-14</v>
      </c>
      <c r="VP7">
        <v>-2.4245362661989844E-14</v>
      </c>
      <c r="VQ7" t="s">
        <v>1594</v>
      </c>
      <c r="VR7">
        <v>2022</v>
      </c>
      <c r="VS7" t="s">
        <v>1951</v>
      </c>
      <c r="VT7" s="6">
        <v>44960</v>
      </c>
      <c r="VU7">
        <v>5</v>
      </c>
      <c r="VV7">
        <v>-2.4245362661989844E-14</v>
      </c>
      <c r="VW7">
        <v>9351834</v>
      </c>
      <c r="VX7" t="s">
        <v>1952</v>
      </c>
    </row>
    <row r="8" spans="1:600" x14ac:dyDescent="0.25">
      <c r="A8" t="s">
        <v>1878</v>
      </c>
      <c r="B8" t="s">
        <v>1598</v>
      </c>
      <c r="C8">
        <v>8.8672269999999997</v>
      </c>
      <c r="D8">
        <v>1.980351</v>
      </c>
      <c r="E8" t="s">
        <v>1664</v>
      </c>
      <c r="F8">
        <v>2025</v>
      </c>
      <c r="G8" t="s">
        <v>2634</v>
      </c>
      <c r="H8" s="6">
        <v>45922</v>
      </c>
      <c r="I8">
        <v>5</v>
      </c>
      <c r="J8">
        <v>135574848</v>
      </c>
      <c r="K8">
        <v>11937231</v>
      </c>
      <c r="L8" t="s">
        <v>1880</v>
      </c>
      <c r="O8" t="s">
        <v>1082</v>
      </c>
      <c r="P8">
        <v>3.2472560000000001</v>
      </c>
      <c r="Q8" t="s">
        <v>1598</v>
      </c>
      <c r="R8">
        <v>2.573108</v>
      </c>
      <c r="S8" t="s">
        <v>1664</v>
      </c>
      <c r="T8">
        <v>2025</v>
      </c>
      <c r="U8" t="s">
        <v>1958</v>
      </c>
      <c r="V8" s="6">
        <v>45888</v>
      </c>
      <c r="W8">
        <v>5</v>
      </c>
      <c r="X8">
        <v>357945024</v>
      </c>
      <c r="Y8">
        <v>10451815</v>
      </c>
      <c r="Z8" t="s">
        <v>1959</v>
      </c>
      <c r="AE8" t="s">
        <v>5259</v>
      </c>
      <c r="AF8" t="s">
        <v>1598</v>
      </c>
      <c r="AG8">
        <v>2.9225000000000001E-2</v>
      </c>
      <c r="AH8">
        <v>0.24604699999999999</v>
      </c>
      <c r="AI8" t="s">
        <v>1599</v>
      </c>
      <c r="AJ8">
        <v>2025</v>
      </c>
      <c r="AK8" t="s">
        <v>5260</v>
      </c>
      <c r="AL8" s="6">
        <v>45936</v>
      </c>
      <c r="AM8">
        <v>5</v>
      </c>
      <c r="AN8">
        <v>1226790.45</v>
      </c>
      <c r="AO8">
        <v>835530</v>
      </c>
      <c r="AP8" t="s">
        <v>5261</v>
      </c>
      <c r="AS8" t="s">
        <v>1597</v>
      </c>
      <c r="AT8">
        <v>3.9990190000000001</v>
      </c>
      <c r="AU8" t="s">
        <v>1598</v>
      </c>
      <c r="AV8">
        <v>0.37565900000000002</v>
      </c>
      <c r="AW8" t="s">
        <v>1599</v>
      </c>
      <c r="AX8">
        <v>2024</v>
      </c>
      <c r="AY8" t="s">
        <v>1600</v>
      </c>
      <c r="AZ8" s="6">
        <v>45727</v>
      </c>
      <c r="BA8">
        <v>5</v>
      </c>
      <c r="BB8">
        <v>46555768.390000001</v>
      </c>
      <c r="BC8">
        <v>7583418</v>
      </c>
      <c r="BD8" t="s">
        <v>1601</v>
      </c>
      <c r="BI8" t="s">
        <v>3112</v>
      </c>
      <c r="BJ8" t="s">
        <v>1685</v>
      </c>
      <c r="BK8">
        <v>0.11415599999999999</v>
      </c>
      <c r="BL8">
        <v>1.9941009999999999</v>
      </c>
      <c r="BM8" t="s">
        <v>1599</v>
      </c>
      <c r="BN8">
        <v>2026</v>
      </c>
      <c r="BO8" t="s">
        <v>3113</v>
      </c>
      <c r="BP8" s="6">
        <v>46058</v>
      </c>
      <c r="BQ8">
        <v>5</v>
      </c>
      <c r="BR8">
        <v>8595589.2599999998</v>
      </c>
      <c r="BS8">
        <v>7259059</v>
      </c>
      <c r="BT8" t="s">
        <v>3114</v>
      </c>
      <c r="BW8" t="s">
        <v>1679</v>
      </c>
      <c r="BX8">
        <v>0.115815</v>
      </c>
      <c r="BY8" t="s">
        <v>1598</v>
      </c>
      <c r="BZ8">
        <v>4.1390999999999997E-2</v>
      </c>
      <c r="CA8" t="s">
        <v>1603</v>
      </c>
      <c r="CB8">
        <v>2025</v>
      </c>
      <c r="CC8" t="s">
        <v>1680</v>
      </c>
      <c r="CD8" s="6">
        <v>45820</v>
      </c>
      <c r="CE8">
        <v>5</v>
      </c>
      <c r="CF8">
        <v>1687428</v>
      </c>
      <c r="CG8">
        <v>12129192</v>
      </c>
      <c r="CH8" t="s">
        <v>1681</v>
      </c>
      <c r="DQ8" t="s">
        <v>3360</v>
      </c>
      <c r="DR8" t="s">
        <v>1598</v>
      </c>
      <c r="DS8">
        <v>0.256494</v>
      </c>
      <c r="DT8">
        <v>0.58031999999999995</v>
      </c>
      <c r="DU8" t="s">
        <v>1599</v>
      </c>
      <c r="DV8">
        <v>2025</v>
      </c>
      <c r="DW8" t="s">
        <v>3361</v>
      </c>
      <c r="DX8" s="6">
        <v>45971</v>
      </c>
      <c r="DY8">
        <v>5</v>
      </c>
      <c r="DZ8">
        <v>7638750</v>
      </c>
      <c r="EA8">
        <v>7912227</v>
      </c>
      <c r="EB8" t="s">
        <v>3362</v>
      </c>
      <c r="EE8" t="s">
        <v>4408</v>
      </c>
      <c r="EF8">
        <v>0.85890900000000003</v>
      </c>
      <c r="EG8" t="s">
        <v>1598</v>
      </c>
      <c r="EH8">
        <v>4.0767999999999999E-2</v>
      </c>
      <c r="EI8" t="s">
        <v>1599</v>
      </c>
      <c r="EJ8">
        <v>2025</v>
      </c>
      <c r="EK8" t="s">
        <v>4832</v>
      </c>
      <c r="EL8" s="6">
        <v>45996</v>
      </c>
      <c r="EM8">
        <v>5</v>
      </c>
      <c r="EN8">
        <v>12929157</v>
      </c>
      <c r="EO8">
        <v>328683</v>
      </c>
      <c r="EP8" t="s">
        <v>4409</v>
      </c>
      <c r="HC8" t="s">
        <v>2185</v>
      </c>
      <c r="HD8" t="s">
        <v>1598</v>
      </c>
      <c r="HE8">
        <v>1.69564</v>
      </c>
      <c r="HF8">
        <v>0.41697800000000002</v>
      </c>
      <c r="HG8" t="s">
        <v>1599</v>
      </c>
      <c r="HH8">
        <v>2025</v>
      </c>
      <c r="HI8" t="s">
        <v>2186</v>
      </c>
      <c r="HJ8" s="6">
        <v>46001</v>
      </c>
      <c r="HK8">
        <v>5</v>
      </c>
      <c r="HL8">
        <v>12763693</v>
      </c>
      <c r="HM8">
        <v>1182195</v>
      </c>
      <c r="HN8" t="s">
        <v>2187</v>
      </c>
      <c r="HQ8" t="s">
        <v>3701</v>
      </c>
      <c r="HR8">
        <v>-2.4245362661989844E-14</v>
      </c>
      <c r="HT8">
        <v>-2.4245362661989844E-14</v>
      </c>
      <c r="HU8" t="s">
        <v>1594</v>
      </c>
      <c r="HV8">
        <v>2022</v>
      </c>
      <c r="HW8" t="s">
        <v>3702</v>
      </c>
      <c r="HX8" s="6">
        <v>44887</v>
      </c>
      <c r="HY8">
        <v>5</v>
      </c>
      <c r="HZ8">
        <v>-2.4245362661989844E-14</v>
      </c>
      <c r="IA8">
        <v>104917</v>
      </c>
      <c r="IB8" t="s">
        <v>3703</v>
      </c>
      <c r="JK8" t="s">
        <v>2223</v>
      </c>
      <c r="JL8" t="s">
        <v>1598</v>
      </c>
      <c r="JM8">
        <v>1.2087429999999999</v>
      </c>
      <c r="JN8">
        <v>0.14913000000000001</v>
      </c>
      <c r="JO8" t="s">
        <v>1599</v>
      </c>
      <c r="JP8">
        <v>2025</v>
      </c>
      <c r="JQ8" t="s">
        <v>2224</v>
      </c>
      <c r="JR8" s="6">
        <v>46049</v>
      </c>
      <c r="JS8">
        <v>5</v>
      </c>
      <c r="JT8">
        <v>141902324.31</v>
      </c>
      <c r="JU8">
        <v>101095</v>
      </c>
      <c r="JV8" t="s">
        <v>2225</v>
      </c>
      <c r="JY8" t="s">
        <v>1663</v>
      </c>
      <c r="JZ8">
        <v>-2.4245362661989844E-14</v>
      </c>
      <c r="KB8">
        <v>-2.4245362661989844E-14</v>
      </c>
      <c r="KC8" t="s">
        <v>1594</v>
      </c>
      <c r="KD8">
        <v>2024</v>
      </c>
      <c r="KE8" t="s">
        <v>2842</v>
      </c>
      <c r="KF8" s="6">
        <v>45367</v>
      </c>
      <c r="KG8">
        <v>5</v>
      </c>
      <c r="KH8">
        <v>-2.4245362661989844E-14</v>
      </c>
      <c r="KI8">
        <v>101616</v>
      </c>
      <c r="KJ8" t="s">
        <v>1666</v>
      </c>
      <c r="LS8" t="s">
        <v>1732</v>
      </c>
      <c r="LT8" t="s">
        <v>1634</v>
      </c>
      <c r="LU8">
        <v>1.086325</v>
      </c>
      <c r="LV8">
        <v>15.376639000000001</v>
      </c>
      <c r="LW8" t="s">
        <v>1664</v>
      </c>
      <c r="LX8">
        <v>2025</v>
      </c>
      <c r="LY8" t="s">
        <v>2161</v>
      </c>
      <c r="LZ8" s="6">
        <v>45874</v>
      </c>
      <c r="MA8">
        <v>5</v>
      </c>
      <c r="MB8">
        <v>197818312.84</v>
      </c>
      <c r="MC8">
        <v>876285</v>
      </c>
      <c r="MD8" t="s">
        <v>1734</v>
      </c>
      <c r="MG8" t="s">
        <v>1760</v>
      </c>
      <c r="MH8">
        <v>-2.4245362661989844E-14</v>
      </c>
      <c r="MJ8">
        <v>-2.4245362661989844E-14</v>
      </c>
      <c r="MK8" t="s">
        <v>1594</v>
      </c>
      <c r="ML8">
        <v>2024</v>
      </c>
      <c r="MM8" t="s">
        <v>1761</v>
      </c>
      <c r="MN8" s="6">
        <v>45785</v>
      </c>
      <c r="MO8">
        <v>5</v>
      </c>
      <c r="MP8">
        <v>-2.4245362661989844E-14</v>
      </c>
      <c r="MQ8">
        <v>11151669</v>
      </c>
      <c r="MR8" t="s">
        <v>1762</v>
      </c>
      <c r="MW8" t="s">
        <v>471</v>
      </c>
      <c r="MY8">
        <v>-2.4245362661989844E-14</v>
      </c>
      <c r="MZ8">
        <v>-2.4245362661989844E-14</v>
      </c>
      <c r="NA8" t="s">
        <v>1594</v>
      </c>
      <c r="NB8">
        <v>2021</v>
      </c>
      <c r="NC8" t="s">
        <v>2033</v>
      </c>
      <c r="ND8" s="6">
        <v>44693</v>
      </c>
      <c r="NE8">
        <v>5</v>
      </c>
      <c r="NF8">
        <v>-2.4245362661989844E-14</v>
      </c>
      <c r="NG8">
        <v>100760</v>
      </c>
      <c r="NH8" t="s">
        <v>2155</v>
      </c>
      <c r="OA8" t="s">
        <v>2272</v>
      </c>
      <c r="OB8" t="s">
        <v>1634</v>
      </c>
      <c r="OC8">
        <v>2.0240000000000002E-3</v>
      </c>
      <c r="OD8">
        <v>2.6168E-2</v>
      </c>
      <c r="OE8" t="s">
        <v>1599</v>
      </c>
      <c r="OF8">
        <v>2025</v>
      </c>
      <c r="OG8" t="s">
        <v>2273</v>
      </c>
      <c r="OH8" s="6">
        <v>45964</v>
      </c>
      <c r="OI8">
        <v>5</v>
      </c>
      <c r="OJ8">
        <v>10506</v>
      </c>
      <c r="OK8">
        <v>16546862</v>
      </c>
      <c r="OL8" t="s">
        <v>2274</v>
      </c>
      <c r="OO8" t="s">
        <v>1798</v>
      </c>
      <c r="OP8">
        <v>-2.4245362661989844E-14</v>
      </c>
      <c r="OR8">
        <v>-2.4245362661989844E-14</v>
      </c>
      <c r="OS8" t="s">
        <v>1594</v>
      </c>
      <c r="OT8">
        <v>2024</v>
      </c>
      <c r="OU8" t="s">
        <v>1799</v>
      </c>
      <c r="OV8" s="6">
        <v>45771</v>
      </c>
      <c r="OW8">
        <v>5</v>
      </c>
      <c r="OX8">
        <v>-2.4245362661989844E-14</v>
      </c>
      <c r="OY8">
        <v>135686</v>
      </c>
      <c r="OZ8" t="s">
        <v>1800</v>
      </c>
      <c r="RM8" t="s">
        <v>178</v>
      </c>
      <c r="RN8" t="s">
        <v>1598</v>
      </c>
      <c r="RO8">
        <v>8.6090000000000003E-3</v>
      </c>
      <c r="RP8">
        <v>0.94545199999999996</v>
      </c>
      <c r="RQ8" t="s">
        <v>1599</v>
      </c>
      <c r="RR8">
        <v>2025</v>
      </c>
      <c r="RS8" t="s">
        <v>1735</v>
      </c>
      <c r="RT8" s="6">
        <v>45843</v>
      </c>
      <c r="RU8">
        <v>5</v>
      </c>
      <c r="RV8">
        <v>6031982</v>
      </c>
      <c r="RW8">
        <v>101743</v>
      </c>
      <c r="RX8" t="s">
        <v>1736</v>
      </c>
      <c r="SA8" t="s">
        <v>75</v>
      </c>
      <c r="SB8">
        <v>0.60699000000000003</v>
      </c>
      <c r="SC8" t="s">
        <v>1685</v>
      </c>
      <c r="SD8">
        <v>0.15107200000000001</v>
      </c>
      <c r="SE8" t="s">
        <v>1664</v>
      </c>
      <c r="SF8">
        <v>2025</v>
      </c>
      <c r="SG8" t="s">
        <v>2052</v>
      </c>
      <c r="SH8" s="6">
        <v>45838</v>
      </c>
      <c r="SI8">
        <v>5</v>
      </c>
      <c r="SJ8">
        <v>35648524</v>
      </c>
      <c r="SK8">
        <v>100312</v>
      </c>
      <c r="SL8" t="s">
        <v>5329</v>
      </c>
      <c r="SQ8" t="s">
        <v>274</v>
      </c>
      <c r="SS8">
        <v>-2.4245362661989844E-14</v>
      </c>
      <c r="ST8">
        <v>-2.4245362661989844E-14</v>
      </c>
      <c r="SU8" t="s">
        <v>1594</v>
      </c>
      <c r="SV8">
        <v>2021</v>
      </c>
      <c r="SW8" t="s">
        <v>3689</v>
      </c>
      <c r="SX8" s="6">
        <v>44693</v>
      </c>
      <c r="SY8">
        <v>5</v>
      </c>
      <c r="SZ8">
        <v>-2.4245362661989844E-14</v>
      </c>
      <c r="TA8">
        <v>100466</v>
      </c>
      <c r="TB8" t="s">
        <v>5155</v>
      </c>
      <c r="TE8" t="s">
        <v>336</v>
      </c>
      <c r="TF8">
        <v>-2.4245362661989844E-14</v>
      </c>
      <c r="TH8">
        <v>-2.4245362661989844E-14</v>
      </c>
      <c r="TI8" t="s">
        <v>1594</v>
      </c>
      <c r="TJ8">
        <v>2023</v>
      </c>
      <c r="TK8" t="s">
        <v>3440</v>
      </c>
      <c r="TL8" s="6">
        <v>45337</v>
      </c>
      <c r="TM8">
        <v>5</v>
      </c>
      <c r="TN8">
        <v>-2.4245362661989844E-14</v>
      </c>
      <c r="TO8">
        <v>101370</v>
      </c>
      <c r="TP8" t="s">
        <v>3442</v>
      </c>
      <c r="TU8" t="s">
        <v>143</v>
      </c>
      <c r="TV8" t="s">
        <v>1598</v>
      </c>
      <c r="TW8">
        <v>2.1909000000000001E-2</v>
      </c>
      <c r="TX8">
        <v>0.25751600000000002</v>
      </c>
      <c r="TY8" t="s">
        <v>1606</v>
      </c>
      <c r="TZ8">
        <v>2025</v>
      </c>
      <c r="UA8" t="s">
        <v>2251</v>
      </c>
      <c r="UB8" s="6">
        <v>45848</v>
      </c>
      <c r="UC8">
        <v>5</v>
      </c>
      <c r="UD8">
        <v>3484188</v>
      </c>
      <c r="UE8">
        <v>101752</v>
      </c>
      <c r="UF8" t="s">
        <v>2265</v>
      </c>
      <c r="UI8" t="s">
        <v>2473</v>
      </c>
      <c r="UJ8">
        <v>-2.4245362661989844E-14</v>
      </c>
      <c r="UL8">
        <v>-2.4245362661989844E-14</v>
      </c>
      <c r="UM8" t="s">
        <v>1651</v>
      </c>
      <c r="UN8">
        <v>2025</v>
      </c>
      <c r="UO8" t="s">
        <v>2474</v>
      </c>
      <c r="UP8" s="6">
        <v>45975</v>
      </c>
      <c r="UQ8">
        <v>5</v>
      </c>
      <c r="UR8">
        <v>-2.4245362661989844E-14</v>
      </c>
      <c r="US8">
        <v>9760711</v>
      </c>
      <c r="UT8" t="s">
        <v>2475</v>
      </c>
      <c r="UY8" t="s">
        <v>206</v>
      </c>
      <c r="VA8">
        <v>-2.4245362661989844E-14</v>
      </c>
      <c r="VB8">
        <v>-2.4245362661989844E-14</v>
      </c>
      <c r="VC8" t="s">
        <v>1594</v>
      </c>
      <c r="VD8">
        <v>2023</v>
      </c>
      <c r="VE8" t="s">
        <v>2215</v>
      </c>
      <c r="VF8" s="6">
        <v>44993</v>
      </c>
      <c r="VG8">
        <v>5</v>
      </c>
      <c r="VH8">
        <v>-2.4245362661989844E-14</v>
      </c>
      <c r="VI8">
        <v>100710</v>
      </c>
      <c r="VJ8" t="s">
        <v>2216</v>
      </c>
      <c r="VM8" t="s">
        <v>1953</v>
      </c>
      <c r="VN8">
        <v>-2.4245362661989844E-14</v>
      </c>
      <c r="VP8">
        <v>-2.4245362661989844E-14</v>
      </c>
      <c r="VQ8" t="s">
        <v>1594</v>
      </c>
      <c r="VR8">
        <v>2023</v>
      </c>
      <c r="VS8" t="s">
        <v>1948</v>
      </c>
      <c r="VT8" s="6">
        <v>44978</v>
      </c>
      <c r="VU8">
        <v>5</v>
      </c>
      <c r="VV8">
        <v>-2.4245362661989844E-14</v>
      </c>
      <c r="VW8">
        <v>912447</v>
      </c>
      <c r="VX8" t="s">
        <v>1954</v>
      </c>
    </row>
    <row r="9" spans="1:600" x14ac:dyDescent="0.25">
      <c r="A9" t="s">
        <v>2635</v>
      </c>
      <c r="B9" t="s">
        <v>1598</v>
      </c>
      <c r="C9">
        <v>9.9027270000000005</v>
      </c>
      <c r="D9">
        <v>1.5774429999999999</v>
      </c>
      <c r="E9" t="s">
        <v>1664</v>
      </c>
      <c r="F9">
        <v>2025</v>
      </c>
      <c r="G9" t="s">
        <v>2636</v>
      </c>
      <c r="H9" s="6">
        <v>45904</v>
      </c>
      <c r="I9">
        <v>5</v>
      </c>
      <c r="J9">
        <v>107991712</v>
      </c>
      <c r="K9">
        <v>187877</v>
      </c>
      <c r="L9" t="s">
        <v>2637</v>
      </c>
      <c r="O9" t="s">
        <v>1116</v>
      </c>
      <c r="P9">
        <v>3.0622020000000001</v>
      </c>
      <c r="Q9" t="s">
        <v>1598</v>
      </c>
      <c r="R9">
        <v>2.546176</v>
      </c>
      <c r="S9" t="s">
        <v>1664</v>
      </c>
      <c r="T9">
        <v>2025</v>
      </c>
      <c r="U9" t="s">
        <v>1958</v>
      </c>
      <c r="V9" s="6">
        <v>45888</v>
      </c>
      <c r="W9">
        <v>5</v>
      </c>
      <c r="X9">
        <v>337546528</v>
      </c>
      <c r="Y9">
        <v>100090</v>
      </c>
      <c r="Z9" t="s">
        <v>1960</v>
      </c>
      <c r="AE9" t="s">
        <v>3817</v>
      </c>
      <c r="AF9" t="s">
        <v>1634</v>
      </c>
      <c r="AG9">
        <v>3.3274999999999999E-2</v>
      </c>
      <c r="AH9">
        <v>4.8761130000000001</v>
      </c>
      <c r="AI9" t="s">
        <v>1664</v>
      </c>
      <c r="AJ9">
        <v>2026</v>
      </c>
      <c r="AK9" t="s">
        <v>3818</v>
      </c>
      <c r="AL9" s="6">
        <v>46063</v>
      </c>
      <c r="AM9">
        <v>5</v>
      </c>
      <c r="AN9">
        <v>1097125</v>
      </c>
      <c r="AO9">
        <v>101732</v>
      </c>
      <c r="AP9" t="s">
        <v>3819</v>
      </c>
      <c r="AS9" t="s">
        <v>5171</v>
      </c>
      <c r="AT9">
        <v>2.5742210000000001</v>
      </c>
      <c r="AU9" t="s">
        <v>1598</v>
      </c>
      <c r="AV9">
        <v>18.557379000000001</v>
      </c>
      <c r="AW9" t="s">
        <v>1594</v>
      </c>
      <c r="AX9">
        <v>2024</v>
      </c>
      <c r="AY9" t="s">
        <v>5172</v>
      </c>
      <c r="AZ9" s="6">
        <v>45784</v>
      </c>
      <c r="BA9">
        <v>5</v>
      </c>
      <c r="BB9">
        <v>28636240.420000002</v>
      </c>
      <c r="BC9">
        <v>17392177</v>
      </c>
      <c r="BD9" t="s">
        <v>5173</v>
      </c>
      <c r="BI9" t="s">
        <v>2559</v>
      </c>
      <c r="BJ9" t="s">
        <v>1598</v>
      </c>
      <c r="BK9">
        <v>7.6977000000000004E-2</v>
      </c>
      <c r="BL9">
        <v>0.58445800000000003</v>
      </c>
      <c r="BM9" t="s">
        <v>1599</v>
      </c>
      <c r="BN9">
        <v>2025</v>
      </c>
      <c r="BO9" t="s">
        <v>2560</v>
      </c>
      <c r="BP9" s="6">
        <v>45867</v>
      </c>
      <c r="BQ9">
        <v>5</v>
      </c>
      <c r="BR9">
        <v>6025760</v>
      </c>
      <c r="BS9">
        <v>117092</v>
      </c>
      <c r="BT9" t="s">
        <v>2561</v>
      </c>
      <c r="BW9" t="s">
        <v>1894</v>
      </c>
      <c r="BX9">
        <v>4.8992000000000001E-2</v>
      </c>
      <c r="BY9" t="s">
        <v>1598</v>
      </c>
      <c r="BZ9">
        <v>6.3288999999999998E-2</v>
      </c>
      <c r="CA9" t="s">
        <v>1606</v>
      </c>
      <c r="CB9">
        <v>2025</v>
      </c>
      <c r="CC9" t="s">
        <v>1895</v>
      </c>
      <c r="CD9" s="6">
        <v>46091</v>
      </c>
      <c r="CE9">
        <v>5</v>
      </c>
      <c r="CF9">
        <v>993554</v>
      </c>
      <c r="CG9">
        <v>156637</v>
      </c>
      <c r="CH9" t="s">
        <v>1896</v>
      </c>
      <c r="DQ9" t="s">
        <v>5029</v>
      </c>
      <c r="DR9" t="s">
        <v>1598</v>
      </c>
      <c r="DS9">
        <v>3.6626789999999998</v>
      </c>
      <c r="DT9">
        <v>0.52700400000000003</v>
      </c>
      <c r="DU9" t="s">
        <v>1599</v>
      </c>
      <c r="DV9">
        <v>2025</v>
      </c>
      <c r="DW9" t="s">
        <v>5030</v>
      </c>
      <c r="DX9" s="6">
        <v>45988</v>
      </c>
      <c r="DY9">
        <v>5</v>
      </c>
      <c r="DZ9">
        <v>6936850.4500000002</v>
      </c>
      <c r="EA9">
        <v>7859113</v>
      </c>
      <c r="EB9" t="s">
        <v>5031</v>
      </c>
      <c r="EE9" t="s">
        <v>4833</v>
      </c>
      <c r="EF9">
        <v>0.77761899999999995</v>
      </c>
      <c r="EG9" t="s">
        <v>1598</v>
      </c>
      <c r="EH9">
        <v>3.6144999999999997E-2</v>
      </c>
      <c r="EI9" t="s">
        <v>1599</v>
      </c>
      <c r="EJ9">
        <v>2025</v>
      </c>
      <c r="EK9" t="s">
        <v>4832</v>
      </c>
      <c r="EL9" s="6">
        <v>45996</v>
      </c>
      <c r="EM9">
        <v>5</v>
      </c>
      <c r="EN9">
        <v>11705499</v>
      </c>
      <c r="EO9">
        <v>115682</v>
      </c>
      <c r="EP9" t="s">
        <v>4834</v>
      </c>
      <c r="HC9" t="s">
        <v>3891</v>
      </c>
      <c r="HD9" t="s">
        <v>1598</v>
      </c>
      <c r="HE9">
        <v>1.749268</v>
      </c>
      <c r="HF9">
        <v>0.29281299999999999</v>
      </c>
      <c r="HG9" t="s">
        <v>1664</v>
      </c>
      <c r="HH9">
        <v>2025</v>
      </c>
      <c r="HI9" t="s">
        <v>3892</v>
      </c>
      <c r="HJ9" s="6">
        <v>45867</v>
      </c>
      <c r="HK9">
        <v>5</v>
      </c>
      <c r="HL9">
        <v>9701879.8399999999</v>
      </c>
      <c r="HM9">
        <v>157487</v>
      </c>
      <c r="HN9" t="s">
        <v>3893</v>
      </c>
      <c r="HQ9" t="s">
        <v>3704</v>
      </c>
      <c r="HR9">
        <v>-2.4245362661989844E-14</v>
      </c>
      <c r="HT9">
        <v>-2.4245362661989844E-14</v>
      </c>
      <c r="HU9" t="s">
        <v>1594</v>
      </c>
      <c r="HV9">
        <v>2025</v>
      </c>
      <c r="HW9" t="s">
        <v>3705</v>
      </c>
      <c r="HX9" s="6">
        <v>45834</v>
      </c>
      <c r="HY9">
        <v>5</v>
      </c>
      <c r="HZ9">
        <v>-2.4245362661989844E-14</v>
      </c>
      <c r="IA9">
        <v>11745327</v>
      </c>
      <c r="IB9" t="s">
        <v>3706</v>
      </c>
      <c r="JK9" t="s">
        <v>23</v>
      </c>
      <c r="JL9" t="s">
        <v>1598</v>
      </c>
      <c r="JM9">
        <v>1.0236080000000001</v>
      </c>
      <c r="JN9">
        <v>0.137097</v>
      </c>
      <c r="JO9" t="s">
        <v>1664</v>
      </c>
      <c r="JP9">
        <v>2025</v>
      </c>
      <c r="JQ9" t="s">
        <v>1768</v>
      </c>
      <c r="JR9" s="6">
        <v>45929</v>
      </c>
      <c r="JS9">
        <v>5</v>
      </c>
      <c r="JT9">
        <v>125586464</v>
      </c>
      <c r="JU9">
        <v>100225</v>
      </c>
      <c r="JV9" t="s">
        <v>2222</v>
      </c>
      <c r="JY9" t="s">
        <v>2843</v>
      </c>
      <c r="JZ9">
        <v>-2.4245362661989844E-14</v>
      </c>
      <c r="KB9">
        <v>-2.4245362661989844E-14</v>
      </c>
      <c r="KC9" t="s">
        <v>1594</v>
      </c>
      <c r="KD9">
        <v>2024</v>
      </c>
      <c r="KE9" t="s">
        <v>2844</v>
      </c>
      <c r="KF9" s="6">
        <v>45435</v>
      </c>
      <c r="KG9">
        <v>5</v>
      </c>
      <c r="KH9">
        <v>-2.4245362661989844E-14</v>
      </c>
      <c r="KI9">
        <v>1028866</v>
      </c>
      <c r="KJ9" t="s">
        <v>2845</v>
      </c>
      <c r="LS9" t="s">
        <v>243</v>
      </c>
      <c r="LT9" t="s">
        <v>1598</v>
      </c>
      <c r="LU9">
        <v>1.3805559999999999</v>
      </c>
      <c r="LV9">
        <v>1.0273540000000001</v>
      </c>
      <c r="LW9" t="s">
        <v>1664</v>
      </c>
      <c r="LX9">
        <v>2025</v>
      </c>
      <c r="LY9" t="s">
        <v>2180</v>
      </c>
      <c r="LZ9" s="6">
        <v>45898</v>
      </c>
      <c r="MA9">
        <v>5</v>
      </c>
      <c r="MB9">
        <v>142915152</v>
      </c>
      <c r="MC9">
        <v>100043</v>
      </c>
      <c r="MD9" t="s">
        <v>2181</v>
      </c>
      <c r="MG9" t="s">
        <v>462</v>
      </c>
      <c r="MH9">
        <v>-2.4245362661989844E-14</v>
      </c>
      <c r="MJ9">
        <v>-2.4245362661989844E-14</v>
      </c>
      <c r="MK9" t="s">
        <v>1664</v>
      </c>
      <c r="ML9">
        <v>2025</v>
      </c>
      <c r="MM9" t="s">
        <v>1763</v>
      </c>
      <c r="MN9" s="6">
        <v>45910</v>
      </c>
      <c r="MO9">
        <v>5</v>
      </c>
      <c r="MP9">
        <v>-2.4245362661989844E-14</v>
      </c>
      <c r="MQ9">
        <v>100285</v>
      </c>
      <c r="MR9" t="s">
        <v>1764</v>
      </c>
      <c r="MW9" t="s">
        <v>172</v>
      </c>
      <c r="MY9">
        <v>-2.4245362661989844E-14</v>
      </c>
      <c r="MZ9">
        <v>-2.4245362661989844E-14</v>
      </c>
      <c r="NA9" t="s">
        <v>1594</v>
      </c>
      <c r="NB9">
        <v>2021</v>
      </c>
      <c r="NC9" t="s">
        <v>4240</v>
      </c>
      <c r="ND9" s="6">
        <v>44693</v>
      </c>
      <c r="NE9">
        <v>5</v>
      </c>
      <c r="NF9">
        <v>-2.4245362661989844E-14</v>
      </c>
      <c r="NG9">
        <v>100481</v>
      </c>
      <c r="NH9" t="s">
        <v>4241</v>
      </c>
      <c r="OA9" t="s">
        <v>2275</v>
      </c>
      <c r="OB9" t="s">
        <v>1598</v>
      </c>
      <c r="OC9">
        <v>1.2467000000000001E-2</v>
      </c>
      <c r="OD9">
        <v>4.5800000000000002E-4</v>
      </c>
      <c r="OE9" t="s">
        <v>1664</v>
      </c>
      <c r="OF9">
        <v>2025</v>
      </c>
      <c r="OG9" t="s">
        <v>2276</v>
      </c>
      <c r="OH9" s="6">
        <v>45744</v>
      </c>
      <c r="OI9">
        <v>5</v>
      </c>
      <c r="OJ9">
        <v>6232.4</v>
      </c>
      <c r="OK9">
        <v>28653435</v>
      </c>
      <c r="OL9" t="s">
        <v>2277</v>
      </c>
      <c r="OO9" t="s">
        <v>1801</v>
      </c>
      <c r="OP9">
        <v>-2.4245362661989844E-14</v>
      </c>
      <c r="OR9">
        <v>-2.4245362661989844E-14</v>
      </c>
      <c r="OS9" t="s">
        <v>1594</v>
      </c>
      <c r="OT9">
        <v>2022</v>
      </c>
      <c r="OU9" t="s">
        <v>1802</v>
      </c>
      <c r="OV9" s="6">
        <v>45083</v>
      </c>
      <c r="OW9">
        <v>5</v>
      </c>
      <c r="OX9">
        <v>-2.4245362661989844E-14</v>
      </c>
      <c r="OY9">
        <v>34532225</v>
      </c>
      <c r="OZ9" t="s">
        <v>1803</v>
      </c>
      <c r="RM9" t="s">
        <v>3903</v>
      </c>
      <c r="RN9" t="s">
        <v>1598</v>
      </c>
      <c r="RO9">
        <v>0.27634599999999998</v>
      </c>
      <c r="RP9">
        <v>0.25924000000000003</v>
      </c>
      <c r="RQ9" t="s">
        <v>1664</v>
      </c>
      <c r="RR9">
        <v>2026</v>
      </c>
      <c r="RS9" t="s">
        <v>3904</v>
      </c>
      <c r="RT9" s="6">
        <v>46036</v>
      </c>
      <c r="RU9">
        <v>5</v>
      </c>
      <c r="RV9">
        <v>1682466</v>
      </c>
      <c r="RW9">
        <v>194585</v>
      </c>
      <c r="RX9" t="s">
        <v>3905</v>
      </c>
      <c r="SA9" t="s">
        <v>173</v>
      </c>
      <c r="SB9">
        <v>0.587646</v>
      </c>
      <c r="SC9" t="s">
        <v>1598</v>
      </c>
      <c r="SD9">
        <v>0.32928600000000002</v>
      </c>
      <c r="SE9" t="s">
        <v>1664</v>
      </c>
      <c r="SF9">
        <v>2025</v>
      </c>
      <c r="SG9" t="s">
        <v>2052</v>
      </c>
      <c r="SH9" s="6">
        <v>45838</v>
      </c>
      <c r="SI9">
        <v>5</v>
      </c>
      <c r="SJ9">
        <v>34512448</v>
      </c>
      <c r="SK9">
        <v>100732</v>
      </c>
      <c r="SL9" t="s">
        <v>1869</v>
      </c>
      <c r="SQ9" t="s">
        <v>367</v>
      </c>
      <c r="SS9">
        <v>-2.4245362661989844E-14</v>
      </c>
      <c r="ST9">
        <v>-2.4245362661989844E-14</v>
      </c>
      <c r="SU9" t="s">
        <v>1594</v>
      </c>
      <c r="SV9">
        <v>2021</v>
      </c>
      <c r="SW9" t="s">
        <v>3048</v>
      </c>
      <c r="SX9" s="6">
        <v>44693</v>
      </c>
      <c r="SY9">
        <v>5</v>
      </c>
      <c r="SZ9">
        <v>-2.4245362661989844E-14</v>
      </c>
      <c r="TA9">
        <v>302916</v>
      </c>
      <c r="TB9" t="s">
        <v>3049</v>
      </c>
      <c r="TE9" t="s">
        <v>3443</v>
      </c>
      <c r="TF9">
        <v>-2.4245362661989844E-14</v>
      </c>
      <c r="TH9">
        <v>-2.4245362661989844E-14</v>
      </c>
      <c r="TI9" t="s">
        <v>1594</v>
      </c>
      <c r="TJ9">
        <v>2023</v>
      </c>
      <c r="TK9" t="s">
        <v>3440</v>
      </c>
      <c r="TL9" s="6">
        <v>45337</v>
      </c>
      <c r="TM9">
        <v>5</v>
      </c>
      <c r="TN9">
        <v>-2.4245362661989844E-14</v>
      </c>
      <c r="TO9">
        <v>154561</v>
      </c>
      <c r="TP9" t="s">
        <v>3444</v>
      </c>
      <c r="TU9" t="s">
        <v>3045</v>
      </c>
      <c r="TV9" t="s">
        <v>1598</v>
      </c>
      <c r="TW9">
        <v>3.7962999999999997E-2</v>
      </c>
      <c r="TX9">
        <v>0.117649</v>
      </c>
      <c r="TY9" t="s">
        <v>1664</v>
      </c>
      <c r="TZ9">
        <v>2025</v>
      </c>
      <c r="UA9" t="s">
        <v>3046</v>
      </c>
      <c r="UB9" s="6">
        <v>45917</v>
      </c>
      <c r="UC9">
        <v>5</v>
      </c>
      <c r="UD9">
        <v>1794964.29</v>
      </c>
      <c r="UE9">
        <v>112156</v>
      </c>
      <c r="UF9" t="s">
        <v>3047</v>
      </c>
      <c r="UI9" t="s">
        <v>2476</v>
      </c>
      <c r="UJ9">
        <v>-2.4245362661989844E-14</v>
      </c>
      <c r="UL9">
        <v>-2.4245362661989844E-14</v>
      </c>
      <c r="UM9" t="s">
        <v>1594</v>
      </c>
      <c r="UN9">
        <v>2022</v>
      </c>
      <c r="UO9" t="s">
        <v>2477</v>
      </c>
      <c r="UP9" s="6">
        <v>44973</v>
      </c>
      <c r="UQ9">
        <v>5</v>
      </c>
      <c r="UR9">
        <v>-2.4245362661989844E-14</v>
      </c>
      <c r="US9">
        <v>11599856</v>
      </c>
      <c r="UT9" t="s">
        <v>2478</v>
      </c>
      <c r="UY9" t="s">
        <v>1628</v>
      </c>
      <c r="VA9">
        <v>-2.4245362661989844E-14</v>
      </c>
      <c r="VB9">
        <v>-2.4245362661989844E-14</v>
      </c>
      <c r="VC9" t="s">
        <v>1594</v>
      </c>
      <c r="VD9">
        <v>2024</v>
      </c>
      <c r="VE9" t="s">
        <v>2217</v>
      </c>
      <c r="VF9" s="6">
        <v>45418</v>
      </c>
      <c r="VG9">
        <v>5</v>
      </c>
      <c r="VH9">
        <v>-2.4245362661989844E-14</v>
      </c>
      <c r="VI9">
        <v>156923</v>
      </c>
      <c r="VJ9" t="s">
        <v>1630</v>
      </c>
      <c r="VM9" t="s">
        <v>1955</v>
      </c>
      <c r="VN9">
        <v>-2.4245362661989844E-14</v>
      </c>
      <c r="VP9">
        <v>-2.4245362661989844E-14</v>
      </c>
      <c r="VQ9" t="s">
        <v>1594</v>
      </c>
      <c r="VR9">
        <v>2022</v>
      </c>
      <c r="VS9" t="s">
        <v>1946</v>
      </c>
      <c r="VT9" s="6">
        <v>44979</v>
      </c>
      <c r="VU9">
        <v>5</v>
      </c>
      <c r="VV9">
        <v>-2.4245362661989844E-14</v>
      </c>
      <c r="VW9">
        <v>833169</v>
      </c>
      <c r="VX9" t="s">
        <v>1956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1089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1090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1091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1092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1093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1094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1095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1096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1097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1098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1099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1100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1101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1102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1103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1104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1105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1106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1107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1108</v>
      </c>
      <c r="AE2" s="3" t="s">
        <v>1109</v>
      </c>
      <c r="BI2" s="3" t="s">
        <v>1110</v>
      </c>
      <c r="CM2" s="3" t="s">
        <v>306</v>
      </c>
      <c r="DQ2" s="3" t="s">
        <v>810</v>
      </c>
      <c r="EU2" s="3" t="s">
        <v>1111</v>
      </c>
      <c r="FY2" s="3" t="s">
        <v>1112</v>
      </c>
      <c r="HC2" s="3" t="s">
        <v>928</v>
      </c>
      <c r="IG2" s="3" t="s">
        <v>78</v>
      </c>
      <c r="JK2" s="3" t="s">
        <v>1113</v>
      </c>
      <c r="KO2" s="3" t="s">
        <v>585</v>
      </c>
      <c r="LS2" s="3" t="s">
        <v>1114</v>
      </c>
      <c r="MW2" s="3" t="s">
        <v>1115</v>
      </c>
      <c r="OA2" s="3" t="s">
        <v>1116</v>
      </c>
      <c r="PE2" s="3" t="s">
        <v>1110</v>
      </c>
      <c r="QI2" s="3" t="s">
        <v>173</v>
      </c>
      <c r="RM2" s="3" t="s">
        <v>1117</v>
      </c>
      <c r="SQ2" s="3" t="s">
        <v>80</v>
      </c>
      <c r="TU2" s="3" t="s">
        <v>1118</v>
      </c>
      <c r="UY2" s="3" t="s">
        <v>1119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_xll.BDS("GAS US Equity","SUPPLY_CHAIN_SUPPLIERS_ALL_DATA")</f>
        <v>#N/A N/A</v>
      </c>
      <c r="O5" t="str">
        <f>_xll.BDS("GAS US Equity","SUPPLY_CHAIN_CUSTOMERS_ALL_DATA")</f>
        <v>#N/A N/A</v>
      </c>
      <c r="AE5" t="str">
        <f>_xll.BDS("QCOM US Equity","SUPPLY_CHAIN_SUPPLIERS_ALL_DATA","cols=12;rows=5")</f>
        <v>2330 TT Equity</v>
      </c>
      <c r="AF5" t="s">
        <v>1598</v>
      </c>
      <c r="AG5">
        <v>5.226388</v>
      </c>
      <c r="AH5">
        <v>27.196342000000001</v>
      </c>
      <c r="AI5" t="s">
        <v>1606</v>
      </c>
      <c r="AJ5">
        <v>2024</v>
      </c>
      <c r="AK5" t="s">
        <v>3144</v>
      </c>
      <c r="AL5" s="6">
        <v>45741</v>
      </c>
      <c r="AM5">
        <v>5</v>
      </c>
      <c r="AN5">
        <v>1403070856.74</v>
      </c>
      <c r="AO5">
        <v>153737</v>
      </c>
      <c r="AP5" t="s">
        <v>2584</v>
      </c>
      <c r="AS5" t="str">
        <f>_xll.BDS("QCOM US Equity","SUPPLY_CHAIN_CUSTOMERS_ALL_DATA","cols=12;rows=5")</f>
        <v>AAPL US Equity</v>
      </c>
      <c r="AT5">
        <v>21.025372999999998</v>
      </c>
      <c r="AU5" t="s">
        <v>1598</v>
      </c>
      <c r="AV5">
        <v>4.3779389999999996</v>
      </c>
      <c r="AW5" t="s">
        <v>1606</v>
      </c>
      <c r="AX5">
        <v>2025</v>
      </c>
      <c r="AY5" t="s">
        <v>6320</v>
      </c>
      <c r="AZ5" s="6">
        <v>46034</v>
      </c>
      <c r="BA5">
        <v>5</v>
      </c>
      <c r="BB5">
        <v>2369559552</v>
      </c>
      <c r="BC5">
        <v>101695</v>
      </c>
      <c r="BD5" t="s">
        <v>1919</v>
      </c>
      <c r="BI5" t="str">
        <f>_xll.BDS("2326248D US Equity","SUPPLY_CHAIN_SUPPLIERS_ALL_DATA")</f>
        <v>#N/A N/A</v>
      </c>
      <c r="BW5" t="str">
        <f>_xll.BDS("2326248D US Equity","SUPPLY_CHAIN_CUSTOMERS_ALL_DATA")</f>
        <v>#N/A N/A</v>
      </c>
      <c r="CM5" t="str">
        <f>_xll.BDS("UNH US Equity","SUPPLY_CHAIN_SUPPLIERS_ALL_DATA","cols=12;rows=5")</f>
        <v>VRTX US Equity</v>
      </c>
      <c r="CN5" t="s">
        <v>1598</v>
      </c>
      <c r="CO5">
        <v>9.6255240000000004</v>
      </c>
      <c r="CP5">
        <v>0.32416699999999998</v>
      </c>
      <c r="CQ5" t="s">
        <v>1606</v>
      </c>
      <c r="CR5">
        <v>2025</v>
      </c>
      <c r="CS5" t="s">
        <v>2965</v>
      </c>
      <c r="CT5" s="6">
        <v>46077</v>
      </c>
      <c r="CU5">
        <v>5</v>
      </c>
      <c r="CV5">
        <v>307054208</v>
      </c>
      <c r="CW5">
        <v>107741</v>
      </c>
      <c r="CX5" t="s">
        <v>2966</v>
      </c>
      <c r="DA5" t="str">
        <f>_xll.BDS("UNH US Equity","SUPPLY_CHAIN_CUSTOMERS_ALL_DATA","cols=12;rows=5")</f>
        <v>9877893Z US Equity</v>
      </c>
      <c r="DB5">
        <v>40</v>
      </c>
      <c r="DD5">
        <v>-2.4245362661989844E-14</v>
      </c>
      <c r="DE5" t="s">
        <v>1594</v>
      </c>
      <c r="DF5">
        <v>2024</v>
      </c>
      <c r="DG5" t="s">
        <v>2840</v>
      </c>
      <c r="DH5" s="6">
        <v>45715</v>
      </c>
      <c r="DI5">
        <v>5</v>
      </c>
      <c r="DJ5">
        <v>40027799552</v>
      </c>
      <c r="DK5">
        <v>17483390</v>
      </c>
      <c r="DL5" t="s">
        <v>2729</v>
      </c>
      <c r="DQ5" t="str">
        <f>_xll.BDS("AES US Equity","SUPPLY_CHAIN_SUPPLIERS_ALL_DATA","cols=12;rows=5")</f>
        <v>FLNC US Equity</v>
      </c>
      <c r="DR5" t="s">
        <v>1634</v>
      </c>
      <c r="DS5">
        <v>38.317962999999999</v>
      </c>
      <c r="DT5">
        <v>10.071903000000001</v>
      </c>
      <c r="DU5" t="s">
        <v>1603</v>
      </c>
      <c r="DV5">
        <v>2026</v>
      </c>
      <c r="DW5" t="s">
        <v>4229</v>
      </c>
      <c r="DX5" s="6">
        <v>46057</v>
      </c>
      <c r="DY5">
        <v>5</v>
      </c>
      <c r="DZ5">
        <v>182100000</v>
      </c>
      <c r="EA5">
        <v>69755265</v>
      </c>
      <c r="EB5" t="s">
        <v>3123</v>
      </c>
      <c r="EE5" t="str">
        <f>_xll.BDS("AES US Equity","SUPPLY_CHAIN_CUSTOMERS_ALL_DATA","cols=12;rows=5")</f>
        <v>PE&amp;OLES* MM Equity</v>
      </c>
      <c r="EF5">
        <v>1.093019</v>
      </c>
      <c r="EG5" t="s">
        <v>1598</v>
      </c>
      <c r="EH5">
        <v>2.7068530000000002</v>
      </c>
      <c r="EI5" t="s">
        <v>1594</v>
      </c>
      <c r="EJ5">
        <v>2024</v>
      </c>
      <c r="EK5" t="s">
        <v>5187</v>
      </c>
      <c r="EL5" s="6">
        <v>45775</v>
      </c>
      <c r="EM5">
        <v>5</v>
      </c>
      <c r="EN5">
        <v>33115740</v>
      </c>
      <c r="EO5">
        <v>158161</v>
      </c>
      <c r="EP5" t="s">
        <v>5188</v>
      </c>
      <c r="EU5" t="str">
        <f>_xll.BDS("EXAS US Equity","SUPPLY_CHAIN_SUPPLIERS_ALL_DATA","cols=12;rows=5")</f>
        <v>1724622D US Equity</v>
      </c>
      <c r="EV5" t="s">
        <v>2128</v>
      </c>
      <c r="EW5">
        <v>-2.4245362661989844E-14</v>
      </c>
      <c r="EX5">
        <v>10.435993</v>
      </c>
      <c r="EY5" t="s">
        <v>1594</v>
      </c>
      <c r="EZ5">
        <v>2024</v>
      </c>
      <c r="FA5" t="s">
        <v>3776</v>
      </c>
      <c r="FB5" s="6">
        <v>45707</v>
      </c>
      <c r="FC5">
        <v>5</v>
      </c>
      <c r="FD5">
        <v>11250000</v>
      </c>
      <c r="FE5">
        <v>65039869</v>
      </c>
      <c r="FF5" t="s">
        <v>5843</v>
      </c>
      <c r="FI5" t="str">
        <f>_xll.BDS("EXAS US Equity","SUPPLY_CHAIN_CUSTOMERS_ALL_DATA","cols=12;rows=5")</f>
        <v>9877893Z US Equity</v>
      </c>
      <c r="FJ5">
        <v>16</v>
      </c>
      <c r="FL5">
        <v>-2.4245362661989844E-14</v>
      </c>
      <c r="FM5" t="s">
        <v>1594</v>
      </c>
      <c r="FN5">
        <v>2024</v>
      </c>
      <c r="FO5" t="s">
        <v>3776</v>
      </c>
      <c r="FP5" s="6">
        <v>45707</v>
      </c>
      <c r="FQ5">
        <v>5</v>
      </c>
      <c r="FR5">
        <v>110354680</v>
      </c>
      <c r="FS5">
        <v>17483390</v>
      </c>
      <c r="FT5" t="s">
        <v>2729</v>
      </c>
      <c r="FY5" t="str">
        <f>_xll.BDS("UNFI US Equity","SUPPLY_CHAIN_SUPPLIERS_ALL_DATA","cols=12;rows=5")</f>
        <v>UPS US Equity</v>
      </c>
      <c r="FZ5" t="s">
        <v>1598</v>
      </c>
      <c r="GA5">
        <v>2.13375</v>
      </c>
      <c r="GB5">
        <v>6.7306309999999998</v>
      </c>
      <c r="GC5" t="s">
        <v>1599</v>
      </c>
      <c r="GD5">
        <v>2025</v>
      </c>
      <c r="GE5" t="s">
        <v>3068</v>
      </c>
      <c r="GF5" s="6">
        <v>46007</v>
      </c>
      <c r="GG5">
        <v>5</v>
      </c>
      <c r="GH5">
        <v>456942560</v>
      </c>
      <c r="GI5">
        <v>143027</v>
      </c>
      <c r="GJ5" t="s">
        <v>1908</v>
      </c>
      <c r="GM5" t="str">
        <f>_xll.BDS("UNFI US Equity","SUPPLY_CHAIN_CUSTOMERS_ALL_DATA","cols=12;rows=5")</f>
        <v>AD NA Equity</v>
      </c>
      <c r="GN5">
        <v>1.733949</v>
      </c>
      <c r="GO5" t="s">
        <v>1598</v>
      </c>
      <c r="GP5">
        <v>0.75876299999999997</v>
      </c>
      <c r="GQ5" t="s">
        <v>1664</v>
      </c>
      <c r="GR5">
        <v>2025</v>
      </c>
      <c r="GS5" t="s">
        <v>1920</v>
      </c>
      <c r="GT5" s="6">
        <v>45887</v>
      </c>
      <c r="GU5">
        <v>5</v>
      </c>
      <c r="GV5">
        <v>145964839.81</v>
      </c>
      <c r="GW5">
        <v>115643</v>
      </c>
      <c r="GX5" t="s">
        <v>1672</v>
      </c>
      <c r="HC5" t="str">
        <f>_xll.BDS("NBL US Equity","SUPPLY_CHAIN_SUPPLIERS_ALL_DATA")</f>
        <v>#N/A N/A</v>
      </c>
      <c r="HQ5" t="str">
        <f>_xll.BDS("NBL US Equity","SUPPLY_CHAIN_CUSTOMERS_ALL_DATA")</f>
        <v>#N/A N/A</v>
      </c>
      <c r="IG5" t="str">
        <f>_xll.BDS("nan Equity","SUPPLY_CHAIN_SUPPLIERS_ALL_DATA")</f>
        <v>#N/A N/A</v>
      </c>
      <c r="IU5" t="str">
        <f>_xll.BDS("nan Equity","SUPPLY_CHAIN_CUSTOMERS_ALL_DATA")</f>
        <v>#N/A N/A</v>
      </c>
      <c r="JK5" t="str">
        <f>_xll.BDS("SWKH US Equity","SUPPLY_CHAIN_SUPPLIERS_ALL_DATA")</f>
        <v>#N/A N/A</v>
      </c>
      <c r="JY5" t="str">
        <f>_xll.BDS("SWKH US Equity","SUPPLY_CHAIN_CUSTOMERS_ALL_DATA","cols=12;rows=1")</f>
        <v>TVRD US Equity</v>
      </c>
      <c r="JZ5">
        <v>-2.4245362661989844E-14</v>
      </c>
      <c r="KB5">
        <v>-2.4245362661989844E-14</v>
      </c>
      <c r="KC5" t="s">
        <v>1594</v>
      </c>
      <c r="KD5">
        <v>2024</v>
      </c>
      <c r="KE5" t="s">
        <v>6323</v>
      </c>
      <c r="KF5" s="6">
        <v>45727</v>
      </c>
      <c r="KG5">
        <v>1</v>
      </c>
      <c r="KH5">
        <v>-2.4245362661989844E-14</v>
      </c>
      <c r="KI5">
        <v>14701642</v>
      </c>
      <c r="KJ5" t="s">
        <v>6324</v>
      </c>
      <c r="KO5" t="str">
        <f>_xll.BDS("2860436Q US Equity","SUPPLY_CHAIN_SUPPLIERS_ALL_DATA")</f>
        <v>#N/A N/A</v>
      </c>
      <c r="LC5" t="str">
        <f>_xll.BDS("2860436Q US Equity","SUPPLY_CHAIN_CUSTOMERS_ALL_DATA")</f>
        <v>#N/A N/A</v>
      </c>
      <c r="LS5" t="str">
        <f>_xll.BDS("PHM US Equity","SUPPLY_CHAIN_SUPPLIERS_ALL_DATA","cols=12;rows=5")</f>
        <v>STRL US Equity</v>
      </c>
      <c r="LT5" t="s">
        <v>1598</v>
      </c>
      <c r="LU5">
        <v>1.039209</v>
      </c>
      <c r="LV5">
        <v>0.19920499999999999</v>
      </c>
      <c r="LW5" t="s">
        <v>1664</v>
      </c>
      <c r="LX5">
        <v>2025</v>
      </c>
      <c r="LY5" t="s">
        <v>5415</v>
      </c>
      <c r="LZ5" s="6">
        <v>45912</v>
      </c>
      <c r="MA5">
        <v>5</v>
      </c>
      <c r="MB5">
        <v>6385607</v>
      </c>
      <c r="MC5">
        <v>104534</v>
      </c>
      <c r="MD5" t="s">
        <v>5416</v>
      </c>
      <c r="MG5" t="str">
        <f>_xll.BDS("PHM US Equity","SUPPLY_CHAIN_CUSTOMERS_ALL_DATA")</f>
        <v>#N/A N/A</v>
      </c>
      <c r="MW5" t="str">
        <f>_xll.BDS("1436513D US Equity","SUPPLY_CHAIN_SUPPLIERS_ALL_DATA","cols=12;rows=1")</f>
        <v>FE US Equity</v>
      </c>
      <c r="MY5">
        <v>-2.4245362661989844E-14</v>
      </c>
      <c r="MZ5">
        <v>-2.4245362661989844E-14</v>
      </c>
      <c r="NA5" t="s">
        <v>1594</v>
      </c>
      <c r="NB5">
        <v>2021</v>
      </c>
      <c r="NC5" t="s">
        <v>3048</v>
      </c>
      <c r="ND5" s="6">
        <v>44693</v>
      </c>
      <c r="NE5">
        <v>1</v>
      </c>
      <c r="NF5">
        <v>-2.4245362661989844E-14</v>
      </c>
      <c r="NG5">
        <v>302916</v>
      </c>
      <c r="NH5" t="s">
        <v>3049</v>
      </c>
      <c r="NK5" t="str">
        <f>_xll.BDS("1436513D US Equity","SUPPLY_CHAIN_CUSTOMERS_ALL_DATA")</f>
        <v>#N/A N/A</v>
      </c>
      <c r="OA5" t="str">
        <f>_xll.BDS("AAL US Equity","SUPPLY_CHAIN_SUPPLIERS_ALL_DATA","cols=12;rows=5")</f>
        <v>BA US Equity</v>
      </c>
      <c r="OB5" t="s">
        <v>1634</v>
      </c>
      <c r="OC5">
        <v>1.979095</v>
      </c>
      <c r="OD5">
        <v>90.225311000000005</v>
      </c>
      <c r="OE5" t="s">
        <v>1664</v>
      </c>
      <c r="OF5">
        <v>2025</v>
      </c>
      <c r="OG5" t="s">
        <v>2179</v>
      </c>
      <c r="OH5" s="6">
        <v>45873</v>
      </c>
      <c r="OI5">
        <v>5</v>
      </c>
      <c r="OJ5">
        <v>450224320</v>
      </c>
      <c r="OK5">
        <v>100211</v>
      </c>
      <c r="OL5" t="s">
        <v>1632</v>
      </c>
      <c r="OO5" t="str">
        <f>_xll.BDS("AAL US Equity","SUPPLY_CHAIN_CUSTOMERS_ALL_DATA","cols=12;rows=5")</f>
        <v>293 HK Equity</v>
      </c>
      <c r="OP5">
        <v>9.9788000000000002E-2</v>
      </c>
      <c r="OQ5" t="s">
        <v>1685</v>
      </c>
      <c r="OR5">
        <v>0.46331600000000001</v>
      </c>
      <c r="OS5" t="s">
        <v>1664</v>
      </c>
      <c r="OT5">
        <v>2025</v>
      </c>
      <c r="OU5" t="s">
        <v>3566</v>
      </c>
      <c r="OV5" s="6">
        <v>45882</v>
      </c>
      <c r="OW5">
        <v>5</v>
      </c>
      <c r="OX5">
        <v>14362498.66</v>
      </c>
      <c r="OY5">
        <v>115777</v>
      </c>
      <c r="OZ5" t="s">
        <v>3567</v>
      </c>
      <c r="PE5" t="str">
        <f>_xll.BDS("2326248D US Equity","SUPPLY_CHAIN_SUPPLIERS_ALL_DATA")</f>
        <v>#N/A N/A</v>
      </c>
      <c r="PS5" t="str">
        <f>_xll.BDS("2326248D US Equity","SUPPLY_CHAIN_CUSTOMERS_ALL_DATA")</f>
        <v>#N/A N/A</v>
      </c>
      <c r="QI5" t="str">
        <f>_xll.BDS("HPQ US Equity","SUPPLY_CHAIN_SUPPLIERS_ALL_DATA","cols=12;rows=5")</f>
        <v>2356 TT Equity</v>
      </c>
      <c r="QJ5" t="s">
        <v>1598</v>
      </c>
      <c r="QK5">
        <v>36.343342</v>
      </c>
      <c r="QL5">
        <v>18.051394999999999</v>
      </c>
      <c r="QM5" t="s">
        <v>1599</v>
      </c>
      <c r="QN5">
        <v>2025</v>
      </c>
      <c r="QO5" t="s">
        <v>2226</v>
      </c>
      <c r="QP5" s="6">
        <v>46035</v>
      </c>
      <c r="QQ5">
        <v>5</v>
      </c>
      <c r="QR5">
        <v>2141270971.6500001</v>
      </c>
      <c r="QS5">
        <v>193712</v>
      </c>
      <c r="QT5" t="s">
        <v>2227</v>
      </c>
      <c r="QW5" t="str">
        <f>_xll.BDS("HPQ US Equity","SUPPLY_CHAIN_CUSTOMERS_ALL_DATA","cols=12;rows=5")</f>
        <v>SNX US Equity</v>
      </c>
      <c r="QX5">
        <v>12</v>
      </c>
      <c r="QY5" t="s">
        <v>1598</v>
      </c>
      <c r="QZ5">
        <v>11.690618000000001</v>
      </c>
      <c r="RA5" t="s">
        <v>1594</v>
      </c>
      <c r="RB5">
        <v>2025</v>
      </c>
      <c r="RC5" t="s">
        <v>1781</v>
      </c>
      <c r="RD5" s="6">
        <v>46001</v>
      </c>
      <c r="RE5">
        <v>5</v>
      </c>
      <c r="RF5">
        <v>1658850048</v>
      </c>
      <c r="RG5">
        <v>1499717</v>
      </c>
      <c r="RH5" t="s">
        <v>1702</v>
      </c>
      <c r="RM5" t="str">
        <f>_xll.BDS("DDS US Equity","SUPPLY_CHAIN_SUPPLIERS_ALL_DATA","cols=12;rows=5")</f>
        <v>PVH US Equity</v>
      </c>
      <c r="RN5" t="s">
        <v>1598</v>
      </c>
      <c r="RO5">
        <v>1.1983060000000001</v>
      </c>
      <c r="RP5">
        <v>2.771347</v>
      </c>
      <c r="RQ5" t="s">
        <v>1603</v>
      </c>
      <c r="RR5">
        <v>2026</v>
      </c>
      <c r="RS5" t="s">
        <v>4927</v>
      </c>
      <c r="RT5" s="6">
        <v>45874</v>
      </c>
      <c r="RU5">
        <v>5</v>
      </c>
      <c r="RV5">
        <v>23769598</v>
      </c>
      <c r="RW5">
        <v>101175</v>
      </c>
      <c r="RX5" t="s">
        <v>4928</v>
      </c>
      <c r="SA5" t="str">
        <f>_xll.BDS("DDS US Equity","SUPPLY_CHAIN_CUSTOMERS_ALL_DATA")</f>
        <v>#N/A N/A</v>
      </c>
      <c r="SQ5" t="str">
        <f>_xll.BDS("MDT US Equity","SUPPLY_CHAIN_SUPPLIERS_ALL_DATA","cols=12;rows=5")</f>
        <v>FLEX US Equity</v>
      </c>
      <c r="SR5" t="s">
        <v>1598</v>
      </c>
      <c r="SS5">
        <v>1.2190190000000001</v>
      </c>
      <c r="ST5">
        <v>2.8758149999999998</v>
      </c>
      <c r="SU5" t="s">
        <v>1599</v>
      </c>
      <c r="SV5">
        <v>2025</v>
      </c>
      <c r="SW5" t="s">
        <v>2557</v>
      </c>
      <c r="SX5" s="6">
        <v>45763</v>
      </c>
      <c r="SY5">
        <v>5</v>
      </c>
      <c r="SZ5">
        <v>79918888</v>
      </c>
      <c r="TA5">
        <v>136547</v>
      </c>
      <c r="TB5" t="s">
        <v>2558</v>
      </c>
      <c r="TE5" t="str">
        <f>_xll.BDS("MDT US Equity","SUPPLY_CHAIN_CUSTOMERS_ALL_DATA","cols=12;rows=5")</f>
        <v>4104 TT Equity</v>
      </c>
      <c r="TF5">
        <v>0.20070099999999999</v>
      </c>
      <c r="TG5" t="s">
        <v>1598</v>
      </c>
      <c r="TH5">
        <v>32.397697000000001</v>
      </c>
      <c r="TI5" t="s">
        <v>1594</v>
      </c>
      <c r="TJ5">
        <v>2024</v>
      </c>
      <c r="TK5" t="s">
        <v>3693</v>
      </c>
      <c r="TL5" s="6">
        <v>45814</v>
      </c>
      <c r="TM5">
        <v>5</v>
      </c>
      <c r="TN5">
        <v>17028014.890000001</v>
      </c>
      <c r="TO5">
        <v>7324380</v>
      </c>
      <c r="TP5" t="s">
        <v>3694</v>
      </c>
      <c r="TU5" t="str">
        <f>_xll.BDS("AVTA US Equity","SUPPLY_CHAIN_SUPPLIERS_ALL_DATA","cols=12;rows=2")</f>
        <v>LMRT SP Equity</v>
      </c>
      <c r="TW5">
        <v>-2.4245362661989844E-14</v>
      </c>
      <c r="TX5">
        <v>-2.4245362661989844E-14</v>
      </c>
      <c r="TY5" t="s">
        <v>1594</v>
      </c>
      <c r="TZ5">
        <v>2022</v>
      </c>
      <c r="UA5" t="s">
        <v>4492</v>
      </c>
      <c r="UB5" s="6">
        <v>45019</v>
      </c>
      <c r="UC5">
        <v>2</v>
      </c>
      <c r="UD5">
        <v>-2.4245362661989844E-14</v>
      </c>
      <c r="UE5">
        <v>13393358</v>
      </c>
      <c r="UF5" t="s">
        <v>4493</v>
      </c>
      <c r="UI5" t="str">
        <f>_xll.BDS("AVTA US Equity","SUPPLY_CHAIN_CUSTOMERS_ALL_DATA")</f>
        <v>#N/A N/A</v>
      </c>
      <c r="UY5" t="str">
        <f>_xll.BDS("CAA US Equity","SUPPLY_CHAIN_SUPPLIERS_ALL_DATA")</f>
        <v>#N/A N/A</v>
      </c>
      <c r="VM5" t="str">
        <f>_xll.BDS("CAA US Equity","SUPPLY_CHAIN_CUSTOMERS_ALL_DATA")</f>
        <v>#N/A N/A</v>
      </c>
    </row>
    <row r="6" spans="1:600" x14ac:dyDescent="0.25">
      <c r="AE6" t="s">
        <v>2376</v>
      </c>
      <c r="AF6" t="s">
        <v>1598</v>
      </c>
      <c r="AG6">
        <v>0.57338299999999998</v>
      </c>
      <c r="AH6">
        <v>6.6237620000000001</v>
      </c>
      <c r="AI6" t="s">
        <v>1664</v>
      </c>
      <c r="AJ6">
        <v>2025</v>
      </c>
      <c r="AK6" t="s">
        <v>2377</v>
      </c>
      <c r="AL6" s="6">
        <v>45952</v>
      </c>
      <c r="AM6">
        <v>5</v>
      </c>
      <c r="AN6">
        <v>305451118.32999998</v>
      </c>
      <c r="AO6">
        <v>117929</v>
      </c>
      <c r="AP6" t="s">
        <v>2378</v>
      </c>
      <c r="AS6" t="s">
        <v>2376</v>
      </c>
      <c r="AT6">
        <v>20.070501</v>
      </c>
      <c r="AU6" t="s">
        <v>1598</v>
      </c>
      <c r="AV6">
        <v>5.9667389999999996</v>
      </c>
      <c r="AW6" t="s">
        <v>1606</v>
      </c>
      <c r="AX6">
        <v>2025</v>
      </c>
      <c r="AY6" t="s">
        <v>6320</v>
      </c>
      <c r="AZ6" s="6">
        <v>46034</v>
      </c>
      <c r="BA6">
        <v>5</v>
      </c>
      <c r="BB6">
        <v>2261945600</v>
      </c>
      <c r="BC6">
        <v>117929</v>
      </c>
      <c r="BD6" t="s">
        <v>2378</v>
      </c>
      <c r="CM6" t="s">
        <v>2361</v>
      </c>
      <c r="CN6" t="s">
        <v>1598</v>
      </c>
      <c r="CO6">
        <v>12.627013</v>
      </c>
      <c r="CP6">
        <v>0.18209500000000001</v>
      </c>
      <c r="CQ6" t="s">
        <v>1599</v>
      </c>
      <c r="CR6">
        <v>2025</v>
      </c>
      <c r="CS6" t="s">
        <v>3406</v>
      </c>
      <c r="CT6" s="6">
        <v>46050</v>
      </c>
      <c r="CU6">
        <v>5</v>
      </c>
      <c r="CV6">
        <v>172482464</v>
      </c>
      <c r="CW6">
        <v>126255</v>
      </c>
      <c r="CX6" t="s">
        <v>2363</v>
      </c>
      <c r="DA6" t="s">
        <v>1621</v>
      </c>
      <c r="DB6">
        <v>-2.4245362661989844E-14</v>
      </c>
      <c r="DD6">
        <v>-2.4245362661989844E-14</v>
      </c>
      <c r="DE6" t="s">
        <v>1594</v>
      </c>
      <c r="DF6">
        <v>2024</v>
      </c>
      <c r="DG6" t="s">
        <v>2840</v>
      </c>
      <c r="DH6" s="6">
        <v>45715</v>
      </c>
      <c r="DI6">
        <v>5</v>
      </c>
      <c r="DJ6">
        <v>-2.4245362661989844E-14</v>
      </c>
      <c r="DK6">
        <v>218252</v>
      </c>
      <c r="DL6" t="s">
        <v>1622</v>
      </c>
      <c r="DQ6" t="s">
        <v>2320</v>
      </c>
      <c r="DR6" t="s">
        <v>1634</v>
      </c>
      <c r="DS6">
        <v>1.423424</v>
      </c>
      <c r="DT6">
        <v>6.0081470000000001</v>
      </c>
      <c r="DU6" t="s">
        <v>1599</v>
      </c>
      <c r="DV6">
        <v>2025</v>
      </c>
      <c r="DW6" t="s">
        <v>2321</v>
      </c>
      <c r="DX6" s="6">
        <v>45975</v>
      </c>
      <c r="DY6">
        <v>5</v>
      </c>
      <c r="DZ6">
        <v>108627296</v>
      </c>
      <c r="EA6">
        <v>305366</v>
      </c>
      <c r="EB6" t="s">
        <v>2322</v>
      </c>
      <c r="EE6" t="s">
        <v>1875</v>
      </c>
      <c r="EF6">
        <v>0.45574900000000002</v>
      </c>
      <c r="EG6" t="s">
        <v>1598</v>
      </c>
      <c r="EH6">
        <v>6.0069999999999998E-2</v>
      </c>
      <c r="EI6" t="s">
        <v>1603</v>
      </c>
      <c r="EJ6">
        <v>2026</v>
      </c>
      <c r="EK6" t="s">
        <v>1876</v>
      </c>
      <c r="EL6" s="6">
        <v>45898</v>
      </c>
      <c r="EM6">
        <v>5</v>
      </c>
      <c r="EN6">
        <v>12745893.34</v>
      </c>
      <c r="EO6">
        <v>112370</v>
      </c>
      <c r="EP6" t="s">
        <v>1877</v>
      </c>
      <c r="EU6" t="s">
        <v>5844</v>
      </c>
      <c r="EV6" t="s">
        <v>1598</v>
      </c>
      <c r="EW6">
        <v>1.4319E-2</v>
      </c>
      <c r="EX6">
        <v>6.0989000000000002E-2</v>
      </c>
      <c r="EY6" t="s">
        <v>1664</v>
      </c>
      <c r="EZ6">
        <v>2025</v>
      </c>
      <c r="FA6" t="s">
        <v>5845</v>
      </c>
      <c r="FB6" s="6">
        <v>45899</v>
      </c>
      <c r="FC6">
        <v>5</v>
      </c>
      <c r="FD6">
        <v>151638</v>
      </c>
      <c r="FE6">
        <v>393051</v>
      </c>
      <c r="FF6" t="s">
        <v>5846</v>
      </c>
      <c r="FI6" t="s">
        <v>306</v>
      </c>
      <c r="FJ6">
        <v>13</v>
      </c>
      <c r="FK6" t="s">
        <v>1598</v>
      </c>
      <c r="FL6">
        <v>0.115757</v>
      </c>
      <c r="FM6" t="s">
        <v>1594</v>
      </c>
      <c r="FN6">
        <v>2025</v>
      </c>
      <c r="FO6" t="s">
        <v>3777</v>
      </c>
      <c r="FP6" s="6">
        <v>46066</v>
      </c>
      <c r="FQ6">
        <v>5</v>
      </c>
      <c r="FR6">
        <v>105527176</v>
      </c>
      <c r="FS6">
        <v>101548</v>
      </c>
      <c r="FT6" t="s">
        <v>1770</v>
      </c>
      <c r="FY6" t="s">
        <v>498</v>
      </c>
      <c r="FZ6" t="s">
        <v>1598</v>
      </c>
      <c r="GA6">
        <v>1.0328740000000001</v>
      </c>
      <c r="GB6">
        <v>0.75484600000000002</v>
      </c>
      <c r="GC6" t="s">
        <v>1603</v>
      </c>
      <c r="GD6">
        <v>2026</v>
      </c>
      <c r="GE6" t="s">
        <v>1979</v>
      </c>
      <c r="GF6" s="6">
        <v>45945</v>
      </c>
      <c r="GG6">
        <v>5</v>
      </c>
      <c r="GH6">
        <v>50318008</v>
      </c>
      <c r="GI6">
        <v>100636</v>
      </c>
      <c r="GJ6" t="s">
        <v>3069</v>
      </c>
      <c r="GM6" t="s">
        <v>2531</v>
      </c>
      <c r="GN6">
        <v>0.99207100000000004</v>
      </c>
      <c r="GO6" t="s">
        <v>1598</v>
      </c>
      <c r="GP6">
        <v>2.0648040000000001</v>
      </c>
      <c r="GQ6" t="s">
        <v>1664</v>
      </c>
      <c r="GR6">
        <v>2025</v>
      </c>
      <c r="GS6" t="s">
        <v>2532</v>
      </c>
      <c r="GT6" s="6">
        <v>45785</v>
      </c>
      <c r="GU6">
        <v>5</v>
      </c>
      <c r="GV6">
        <v>80933152</v>
      </c>
      <c r="GW6">
        <v>13061296</v>
      </c>
      <c r="GX6" t="s">
        <v>2533</v>
      </c>
      <c r="LS6" t="s">
        <v>3860</v>
      </c>
      <c r="LT6" t="s">
        <v>1598</v>
      </c>
      <c r="LU6">
        <v>0.67926200000000003</v>
      </c>
      <c r="LV6">
        <v>0.17585300000000001</v>
      </c>
      <c r="LW6" t="s">
        <v>1603</v>
      </c>
      <c r="LX6">
        <v>2026</v>
      </c>
      <c r="LY6" t="s">
        <v>3861</v>
      </c>
      <c r="LZ6" s="6">
        <v>45891</v>
      </c>
      <c r="MA6">
        <v>5</v>
      </c>
      <c r="MB6">
        <v>5637059</v>
      </c>
      <c r="MC6">
        <v>7799313</v>
      </c>
      <c r="MD6" t="s">
        <v>3862</v>
      </c>
      <c r="OA6" t="s">
        <v>745</v>
      </c>
      <c r="OB6" t="s">
        <v>1598</v>
      </c>
      <c r="OC6">
        <v>3.0622020000000001</v>
      </c>
      <c r="OD6">
        <v>2.546176</v>
      </c>
      <c r="OE6" t="s">
        <v>1664</v>
      </c>
      <c r="OF6">
        <v>2025</v>
      </c>
      <c r="OG6" t="s">
        <v>1958</v>
      </c>
      <c r="OH6" s="6">
        <v>45888</v>
      </c>
      <c r="OI6">
        <v>5</v>
      </c>
      <c r="OJ6">
        <v>337546528</v>
      </c>
      <c r="OK6">
        <v>100632</v>
      </c>
      <c r="OL6" t="s">
        <v>2162</v>
      </c>
      <c r="OO6" t="s">
        <v>3577</v>
      </c>
      <c r="OP6">
        <v>-2.4245362661989844E-14</v>
      </c>
      <c r="OR6">
        <v>-2.4245362661989844E-14</v>
      </c>
      <c r="OS6" t="s">
        <v>1594</v>
      </c>
      <c r="OT6">
        <v>2024</v>
      </c>
      <c r="OU6" t="s">
        <v>3578</v>
      </c>
      <c r="OV6" s="6">
        <v>45707</v>
      </c>
      <c r="OW6">
        <v>5</v>
      </c>
      <c r="OX6">
        <v>-2.4245362661989844E-14</v>
      </c>
      <c r="OY6">
        <v>129220</v>
      </c>
      <c r="OZ6" t="s">
        <v>3579</v>
      </c>
      <c r="QI6" t="s">
        <v>275</v>
      </c>
      <c r="QJ6" t="s">
        <v>1598</v>
      </c>
      <c r="QK6">
        <v>12.003353000000001</v>
      </c>
      <c r="QL6">
        <v>14.056165999999999</v>
      </c>
      <c r="QM6" t="s">
        <v>1606</v>
      </c>
      <c r="QN6">
        <v>2025</v>
      </c>
      <c r="QO6" t="s">
        <v>2228</v>
      </c>
      <c r="QP6" s="6">
        <v>46048</v>
      </c>
      <c r="QQ6">
        <v>5</v>
      </c>
      <c r="QR6">
        <v>1641338496</v>
      </c>
      <c r="QS6">
        <v>101729</v>
      </c>
      <c r="QT6" t="s">
        <v>2229</v>
      </c>
      <c r="QW6" t="s">
        <v>1774</v>
      </c>
      <c r="QX6">
        <v>1.5894710000000001</v>
      </c>
      <c r="QY6" t="s">
        <v>1598</v>
      </c>
      <c r="QZ6">
        <v>2.6168589999999998</v>
      </c>
      <c r="RA6" t="s">
        <v>1664</v>
      </c>
      <c r="RB6">
        <v>2026</v>
      </c>
      <c r="RC6" t="s">
        <v>1782</v>
      </c>
      <c r="RD6" s="6">
        <v>45932</v>
      </c>
      <c r="RE6">
        <v>5</v>
      </c>
      <c r="RF6">
        <v>221445152</v>
      </c>
      <c r="RG6">
        <v>100197</v>
      </c>
      <c r="RH6" t="s">
        <v>1775</v>
      </c>
      <c r="RM6" t="s">
        <v>4929</v>
      </c>
      <c r="RN6" t="s">
        <v>1598</v>
      </c>
      <c r="RO6">
        <v>1.0060150000000001</v>
      </c>
      <c r="RP6">
        <v>1.8028150000000001</v>
      </c>
      <c r="RQ6" t="s">
        <v>1603</v>
      </c>
      <c r="RR6">
        <v>2026</v>
      </c>
      <c r="RS6" t="s">
        <v>4930</v>
      </c>
      <c r="RT6" s="6">
        <v>45884</v>
      </c>
      <c r="RU6">
        <v>5</v>
      </c>
      <c r="RV6">
        <v>17294404</v>
      </c>
      <c r="RW6">
        <v>225160</v>
      </c>
      <c r="RX6" t="s">
        <v>4931</v>
      </c>
      <c r="SQ6" t="s">
        <v>2975</v>
      </c>
      <c r="SR6" t="s">
        <v>1598</v>
      </c>
      <c r="SS6">
        <v>2.3008839999999999</v>
      </c>
      <c r="ST6">
        <v>1.9882420000000001</v>
      </c>
      <c r="SU6" t="s">
        <v>1606</v>
      </c>
      <c r="SV6">
        <v>2024</v>
      </c>
      <c r="SW6" t="s">
        <v>2976</v>
      </c>
      <c r="SX6" s="6">
        <v>45694</v>
      </c>
      <c r="SY6">
        <v>5</v>
      </c>
      <c r="SZ6">
        <v>58573604</v>
      </c>
      <c r="TA6">
        <v>349266</v>
      </c>
      <c r="TB6" t="s">
        <v>2977</v>
      </c>
      <c r="TE6" t="s">
        <v>3695</v>
      </c>
      <c r="TF6">
        <v>-2.4245362661989844E-14</v>
      </c>
      <c r="TH6">
        <v>-2.4245362661989844E-14</v>
      </c>
      <c r="TI6" t="s">
        <v>1594</v>
      </c>
      <c r="TJ6">
        <v>2021</v>
      </c>
      <c r="TK6" t="s">
        <v>3696</v>
      </c>
      <c r="TL6" s="6">
        <v>44676</v>
      </c>
      <c r="TM6">
        <v>5</v>
      </c>
      <c r="TN6">
        <v>-2.4245362661989844E-14</v>
      </c>
      <c r="TO6">
        <v>24598477</v>
      </c>
      <c r="TP6" t="s">
        <v>3697</v>
      </c>
      <c r="TU6" t="s">
        <v>4494</v>
      </c>
      <c r="TW6">
        <v>-2.4245362661989844E-14</v>
      </c>
      <c r="TX6">
        <v>-2.4245362661989844E-14</v>
      </c>
      <c r="TY6" t="s">
        <v>1594</v>
      </c>
      <c r="TZ6">
        <v>2022</v>
      </c>
      <c r="UA6" t="s">
        <v>4495</v>
      </c>
      <c r="UB6" s="6">
        <v>44868</v>
      </c>
      <c r="UC6">
        <v>2</v>
      </c>
      <c r="UD6">
        <v>-2.4245362661989844E-14</v>
      </c>
      <c r="UE6">
        <v>154432</v>
      </c>
      <c r="UF6" t="s">
        <v>4496</v>
      </c>
    </row>
    <row r="7" spans="1:600" x14ac:dyDescent="0.25">
      <c r="AE7" t="s">
        <v>4645</v>
      </c>
      <c r="AF7" t="s">
        <v>1598</v>
      </c>
      <c r="AG7">
        <v>16.371476999999999</v>
      </c>
      <c r="AH7">
        <v>5.2559839999999998</v>
      </c>
      <c r="AI7" t="s">
        <v>1603</v>
      </c>
      <c r="AJ7">
        <v>2025</v>
      </c>
      <c r="AK7" t="s">
        <v>4646</v>
      </c>
      <c r="AL7" s="6">
        <v>45792</v>
      </c>
      <c r="AM7">
        <v>5</v>
      </c>
      <c r="AN7">
        <v>259487920</v>
      </c>
      <c r="AO7">
        <v>15242973</v>
      </c>
      <c r="AP7" t="s">
        <v>4647</v>
      </c>
      <c r="AS7" t="s">
        <v>6321</v>
      </c>
      <c r="AT7">
        <v>13.081865000000001</v>
      </c>
      <c r="AU7" t="s">
        <v>1598</v>
      </c>
      <c r="AV7">
        <v>12.103292</v>
      </c>
      <c r="AW7" t="s">
        <v>1606</v>
      </c>
      <c r="AX7">
        <v>2025</v>
      </c>
      <c r="AY7" t="s">
        <v>6320</v>
      </c>
      <c r="AZ7" s="6">
        <v>46034</v>
      </c>
      <c r="BA7">
        <v>5</v>
      </c>
      <c r="BB7">
        <v>1474326144</v>
      </c>
      <c r="BC7">
        <v>23513321</v>
      </c>
      <c r="BD7" t="s">
        <v>6322</v>
      </c>
      <c r="CM7" t="s">
        <v>3407</v>
      </c>
      <c r="CN7" t="s">
        <v>1598</v>
      </c>
      <c r="CO7">
        <v>1.035563</v>
      </c>
      <c r="CP7">
        <v>0.169491</v>
      </c>
      <c r="CQ7" t="s">
        <v>1599</v>
      </c>
      <c r="CR7">
        <v>2025</v>
      </c>
      <c r="CS7" t="s">
        <v>3408</v>
      </c>
      <c r="CT7" s="6">
        <v>46080</v>
      </c>
      <c r="CU7">
        <v>5</v>
      </c>
      <c r="CV7">
        <v>160543328</v>
      </c>
      <c r="CW7">
        <v>111093</v>
      </c>
      <c r="CX7" t="s">
        <v>3409</v>
      </c>
      <c r="DA7" t="s">
        <v>117</v>
      </c>
      <c r="DB7">
        <v>-2.4245362661989844E-14</v>
      </c>
      <c r="DD7">
        <v>-2.4245362661989844E-14</v>
      </c>
      <c r="DE7" t="s">
        <v>1594</v>
      </c>
      <c r="DF7">
        <v>2023</v>
      </c>
      <c r="DG7" t="s">
        <v>2841</v>
      </c>
      <c r="DH7" s="6">
        <v>45398</v>
      </c>
      <c r="DI7">
        <v>5</v>
      </c>
      <c r="DJ7">
        <v>-2.4245362661989844E-14</v>
      </c>
      <c r="DK7">
        <v>100801</v>
      </c>
      <c r="DL7" t="s">
        <v>1745</v>
      </c>
      <c r="DQ7" t="s">
        <v>4230</v>
      </c>
      <c r="DR7" t="s">
        <v>1634</v>
      </c>
      <c r="DS7">
        <v>0.90049999999999997</v>
      </c>
      <c r="DT7">
        <v>1.570532</v>
      </c>
      <c r="DU7" t="s">
        <v>1603</v>
      </c>
      <c r="DV7">
        <v>2025</v>
      </c>
      <c r="DW7" t="s">
        <v>4231</v>
      </c>
      <c r="DX7" s="6">
        <v>45800</v>
      </c>
      <c r="DY7">
        <v>5</v>
      </c>
      <c r="DZ7">
        <v>19690965.510000002</v>
      </c>
      <c r="EA7">
        <v>117928</v>
      </c>
      <c r="EB7" t="s">
        <v>4232</v>
      </c>
      <c r="EE7" t="s">
        <v>5189</v>
      </c>
      <c r="EF7">
        <v>0.25919300000000001</v>
      </c>
      <c r="EG7" t="s">
        <v>1598</v>
      </c>
      <c r="EH7">
        <v>0.198653</v>
      </c>
      <c r="EI7" t="s">
        <v>1594</v>
      </c>
      <c r="EJ7">
        <v>2024</v>
      </c>
      <c r="EK7" t="s">
        <v>5190</v>
      </c>
      <c r="EL7" s="6">
        <v>45854</v>
      </c>
      <c r="EM7">
        <v>5</v>
      </c>
      <c r="EN7">
        <v>8179342.8499999996</v>
      </c>
      <c r="EO7">
        <v>154566</v>
      </c>
      <c r="EP7" t="s">
        <v>5191</v>
      </c>
      <c r="EU7" t="s">
        <v>24</v>
      </c>
      <c r="EV7" t="s">
        <v>1598</v>
      </c>
      <c r="EW7">
        <v>5.3999999999999998E-5</v>
      </c>
      <c r="EX7">
        <v>3.1819999999999999E-3</v>
      </c>
      <c r="EY7" t="s">
        <v>1664</v>
      </c>
      <c r="EZ7">
        <v>2025</v>
      </c>
      <c r="FA7" t="s">
        <v>3358</v>
      </c>
      <c r="FB7" s="6">
        <v>45914</v>
      </c>
      <c r="FC7">
        <v>5</v>
      </c>
      <c r="FD7">
        <v>7913</v>
      </c>
      <c r="FE7">
        <v>101166</v>
      </c>
      <c r="FF7" t="s">
        <v>2119</v>
      </c>
      <c r="FI7" t="s">
        <v>3778</v>
      </c>
      <c r="FJ7">
        <v>-2.4245362661989844E-14</v>
      </c>
      <c r="FL7">
        <v>-2.4245362661989844E-14</v>
      </c>
      <c r="FM7" t="s">
        <v>1594</v>
      </c>
      <c r="FN7">
        <v>2022</v>
      </c>
      <c r="FO7" t="s">
        <v>3779</v>
      </c>
      <c r="FP7" s="6">
        <v>44979</v>
      </c>
      <c r="FQ7">
        <v>5</v>
      </c>
      <c r="FR7">
        <v>-2.4245362661989844E-14</v>
      </c>
      <c r="FS7">
        <v>36853596</v>
      </c>
      <c r="FT7" t="s">
        <v>3780</v>
      </c>
      <c r="FY7" t="s">
        <v>3070</v>
      </c>
      <c r="FZ7" t="s">
        <v>1598</v>
      </c>
      <c r="GA7">
        <v>1.07674</v>
      </c>
      <c r="GB7">
        <v>0.65956099999999995</v>
      </c>
      <c r="GC7" t="s">
        <v>1603</v>
      </c>
      <c r="GD7">
        <v>2025</v>
      </c>
      <c r="GE7" t="s">
        <v>3071</v>
      </c>
      <c r="GF7" s="6">
        <v>45812</v>
      </c>
      <c r="GG7">
        <v>5</v>
      </c>
      <c r="GH7">
        <v>46736484</v>
      </c>
      <c r="GI7">
        <v>101181</v>
      </c>
      <c r="GJ7" t="s">
        <v>3072</v>
      </c>
      <c r="GM7" t="s">
        <v>2534</v>
      </c>
      <c r="GN7">
        <v>-2.4245362661989844E-14</v>
      </c>
      <c r="GP7">
        <v>-2.4245362661989844E-14</v>
      </c>
      <c r="GQ7" t="s">
        <v>1594</v>
      </c>
      <c r="GR7">
        <v>2024</v>
      </c>
      <c r="GS7" t="s">
        <v>2535</v>
      </c>
      <c r="GT7" s="6">
        <v>45840</v>
      </c>
      <c r="GU7">
        <v>5</v>
      </c>
      <c r="GV7">
        <v>-2.4245362661989844E-14</v>
      </c>
      <c r="GW7">
        <v>71249697</v>
      </c>
      <c r="GX7" t="s">
        <v>2536</v>
      </c>
      <c r="LS7" t="s">
        <v>3863</v>
      </c>
      <c r="LT7" t="s">
        <v>1598</v>
      </c>
      <c r="LU7">
        <v>13</v>
      </c>
      <c r="LV7">
        <v>3.6646999999999999E-2</v>
      </c>
      <c r="LW7" t="s">
        <v>2438</v>
      </c>
      <c r="LX7">
        <v>2025</v>
      </c>
      <c r="LY7" t="s">
        <v>3864</v>
      </c>
      <c r="LZ7" s="6">
        <v>46029</v>
      </c>
      <c r="MA7">
        <v>5</v>
      </c>
      <c r="MB7">
        <v>1187550</v>
      </c>
      <c r="MC7">
        <v>136177</v>
      </c>
      <c r="MD7" t="s">
        <v>3865</v>
      </c>
      <c r="OA7" t="s">
        <v>22</v>
      </c>
      <c r="OB7" t="s">
        <v>1598</v>
      </c>
      <c r="OC7">
        <v>1.2661089999999999</v>
      </c>
      <c r="OD7">
        <v>2.0610919999999999</v>
      </c>
      <c r="OE7" t="s">
        <v>1664</v>
      </c>
      <c r="OF7">
        <v>2025</v>
      </c>
      <c r="OG7" t="s">
        <v>2129</v>
      </c>
      <c r="OH7" s="6">
        <v>45895</v>
      </c>
      <c r="OI7">
        <v>5</v>
      </c>
      <c r="OJ7">
        <v>273238976</v>
      </c>
      <c r="OK7">
        <v>101555</v>
      </c>
      <c r="OL7" t="s">
        <v>2130</v>
      </c>
      <c r="OO7" t="s">
        <v>3580</v>
      </c>
      <c r="OP7">
        <v>-2.4245362661989844E-14</v>
      </c>
      <c r="OR7">
        <v>-2.4245362661989844E-14</v>
      </c>
      <c r="OS7" t="s">
        <v>1594</v>
      </c>
      <c r="OT7">
        <v>2025</v>
      </c>
      <c r="OU7" t="s">
        <v>3581</v>
      </c>
      <c r="OV7" s="6">
        <v>45755</v>
      </c>
      <c r="OW7">
        <v>5</v>
      </c>
      <c r="OX7">
        <v>-2.4245362661989844E-14</v>
      </c>
      <c r="OY7">
        <v>17681995</v>
      </c>
      <c r="OZ7" t="s">
        <v>3582</v>
      </c>
      <c r="QI7" t="s">
        <v>2230</v>
      </c>
      <c r="QJ7" t="s">
        <v>1598</v>
      </c>
      <c r="QK7">
        <v>6.8536460000000003</v>
      </c>
      <c r="QL7">
        <v>9.6768190000000001</v>
      </c>
      <c r="QM7" t="s">
        <v>1603</v>
      </c>
      <c r="QN7">
        <v>2025</v>
      </c>
      <c r="QO7" t="s">
        <v>2231</v>
      </c>
      <c r="QP7" s="6">
        <v>45812</v>
      </c>
      <c r="QQ7">
        <v>5</v>
      </c>
      <c r="QR7">
        <v>1011895282.72</v>
      </c>
      <c r="QS7">
        <v>330541</v>
      </c>
      <c r="QT7" t="s">
        <v>2232</v>
      </c>
      <c r="QW7" t="s">
        <v>1783</v>
      </c>
      <c r="QX7">
        <v>1.3641749999999999</v>
      </c>
      <c r="QY7" t="s">
        <v>1598</v>
      </c>
      <c r="QZ7">
        <v>0.69426200000000005</v>
      </c>
      <c r="RA7" t="s">
        <v>1603</v>
      </c>
      <c r="RB7">
        <v>2025</v>
      </c>
      <c r="RC7" t="s">
        <v>1784</v>
      </c>
      <c r="RD7" s="6">
        <v>45797</v>
      </c>
      <c r="RE7">
        <v>5</v>
      </c>
      <c r="RF7">
        <v>183924678.06999999</v>
      </c>
      <c r="RG7">
        <v>223340</v>
      </c>
      <c r="RH7" t="s">
        <v>1785</v>
      </c>
      <c r="RM7" t="s">
        <v>4932</v>
      </c>
      <c r="RN7" t="s">
        <v>1598</v>
      </c>
      <c r="RO7">
        <v>1.2757449999999999</v>
      </c>
      <c r="RP7">
        <v>1.7910269999999999</v>
      </c>
      <c r="RQ7" t="s">
        <v>1599</v>
      </c>
      <c r="RR7">
        <v>2025</v>
      </c>
      <c r="RS7" t="s">
        <v>4933</v>
      </c>
      <c r="RT7" s="6">
        <v>46073</v>
      </c>
      <c r="RU7">
        <v>5</v>
      </c>
      <c r="RV7">
        <v>14909631.82</v>
      </c>
      <c r="RW7">
        <v>118304</v>
      </c>
      <c r="RX7" t="s">
        <v>4934</v>
      </c>
      <c r="SQ7" t="s">
        <v>2559</v>
      </c>
      <c r="SR7" t="s">
        <v>1598</v>
      </c>
      <c r="SS7">
        <v>0.23526900000000001</v>
      </c>
      <c r="ST7">
        <v>0.58521900000000004</v>
      </c>
      <c r="SU7" t="s">
        <v>1599</v>
      </c>
      <c r="SV7">
        <v>2025</v>
      </c>
      <c r="SW7" t="s">
        <v>2560</v>
      </c>
      <c r="SX7" s="6">
        <v>45867</v>
      </c>
      <c r="SY7">
        <v>5</v>
      </c>
      <c r="SZ7">
        <v>18416856</v>
      </c>
      <c r="TA7">
        <v>117092</v>
      </c>
      <c r="TB7" t="s">
        <v>2561</v>
      </c>
      <c r="TE7" t="s">
        <v>3698</v>
      </c>
      <c r="TF7">
        <v>-2.4245362661989844E-14</v>
      </c>
      <c r="TH7">
        <v>-2.4245362661989844E-14</v>
      </c>
      <c r="TI7" t="s">
        <v>1594</v>
      </c>
      <c r="TJ7">
        <v>2023</v>
      </c>
      <c r="TK7" t="s">
        <v>3699</v>
      </c>
      <c r="TL7" s="6">
        <v>45135</v>
      </c>
      <c r="TM7">
        <v>5</v>
      </c>
      <c r="TN7">
        <v>-2.4245362661989844E-14</v>
      </c>
      <c r="TO7">
        <v>103017</v>
      </c>
      <c r="TP7" t="s">
        <v>3700</v>
      </c>
    </row>
    <row r="8" spans="1:600" x14ac:dyDescent="0.25">
      <c r="AE8" t="s">
        <v>3808</v>
      </c>
      <c r="AF8" t="s">
        <v>1598</v>
      </c>
      <c r="AG8">
        <v>11.1</v>
      </c>
      <c r="AH8">
        <v>3.6963159999999999</v>
      </c>
      <c r="AI8" t="s">
        <v>1594</v>
      </c>
      <c r="AJ8">
        <v>2025</v>
      </c>
      <c r="AK8" t="s">
        <v>4713</v>
      </c>
      <c r="AL8" s="6">
        <v>46073</v>
      </c>
      <c r="AM8">
        <v>5</v>
      </c>
      <c r="AN8">
        <v>186146480</v>
      </c>
      <c r="AO8">
        <v>302680</v>
      </c>
      <c r="AP8" t="s">
        <v>3810</v>
      </c>
      <c r="AS8" t="s">
        <v>2693</v>
      </c>
      <c r="AT8">
        <v>1.9016709999999999</v>
      </c>
      <c r="AU8" t="s">
        <v>1598</v>
      </c>
      <c r="AV8">
        <v>2.3280289999999999</v>
      </c>
      <c r="AW8" t="s">
        <v>1606</v>
      </c>
      <c r="AX8">
        <v>2025</v>
      </c>
      <c r="AY8" t="s">
        <v>6320</v>
      </c>
      <c r="AZ8" s="6">
        <v>46034</v>
      </c>
      <c r="BA8">
        <v>5</v>
      </c>
      <c r="BB8">
        <v>214318320</v>
      </c>
      <c r="BC8">
        <v>11092218</v>
      </c>
      <c r="BD8" t="s">
        <v>2694</v>
      </c>
      <c r="CM8" t="s">
        <v>2223</v>
      </c>
      <c r="CN8" t="s">
        <v>1598</v>
      </c>
      <c r="CO8">
        <v>1.2087429999999999</v>
      </c>
      <c r="CP8">
        <v>0.14913000000000001</v>
      </c>
      <c r="CQ8" t="s">
        <v>1599</v>
      </c>
      <c r="CR8">
        <v>2025</v>
      </c>
      <c r="CS8" t="s">
        <v>2224</v>
      </c>
      <c r="CT8" s="6">
        <v>46049</v>
      </c>
      <c r="CU8">
        <v>5</v>
      </c>
      <c r="CV8">
        <v>141902324.31</v>
      </c>
      <c r="CW8">
        <v>101095</v>
      </c>
      <c r="CX8" t="s">
        <v>2225</v>
      </c>
      <c r="DA8" t="s">
        <v>1663</v>
      </c>
      <c r="DB8">
        <v>-2.4245362661989844E-14</v>
      </c>
      <c r="DD8">
        <v>-2.4245362661989844E-14</v>
      </c>
      <c r="DE8" t="s">
        <v>1594</v>
      </c>
      <c r="DF8">
        <v>2024</v>
      </c>
      <c r="DG8" t="s">
        <v>2842</v>
      </c>
      <c r="DH8" s="6">
        <v>45367</v>
      </c>
      <c r="DI8">
        <v>5</v>
      </c>
      <c r="DJ8">
        <v>-2.4245362661989844E-14</v>
      </c>
      <c r="DK8">
        <v>101616</v>
      </c>
      <c r="DL8" t="s">
        <v>1666</v>
      </c>
      <c r="DQ8" t="s">
        <v>4233</v>
      </c>
      <c r="DR8" t="s">
        <v>1598</v>
      </c>
      <c r="DS8">
        <v>3.202E-3</v>
      </c>
      <c r="DT8">
        <v>7.4029999999999999E-3</v>
      </c>
      <c r="DU8" t="s">
        <v>1651</v>
      </c>
      <c r="DV8">
        <v>2025</v>
      </c>
      <c r="DW8" t="s">
        <v>4234</v>
      </c>
      <c r="DX8" s="6">
        <v>45975</v>
      </c>
      <c r="DY8">
        <v>5</v>
      </c>
      <c r="DZ8">
        <v>185541.95</v>
      </c>
      <c r="EA8">
        <v>1456300</v>
      </c>
      <c r="EB8" t="s">
        <v>4235</v>
      </c>
      <c r="EE8" t="s">
        <v>5192</v>
      </c>
      <c r="EF8">
        <v>0.20505100000000001</v>
      </c>
      <c r="EG8" t="s">
        <v>1598</v>
      </c>
      <c r="EH8">
        <v>0.29925099999999999</v>
      </c>
      <c r="EI8" t="s">
        <v>1664</v>
      </c>
      <c r="EJ8">
        <v>2025</v>
      </c>
      <c r="EK8" t="s">
        <v>5193</v>
      </c>
      <c r="EL8" s="6">
        <v>45744</v>
      </c>
      <c r="EM8">
        <v>5</v>
      </c>
      <c r="EN8">
        <v>6257816.1600000001</v>
      </c>
      <c r="EO8">
        <v>116954</v>
      </c>
      <c r="EP8" t="s">
        <v>5194</v>
      </c>
      <c r="EU8" t="s">
        <v>5847</v>
      </c>
      <c r="EW8">
        <v>-2.4245362661989844E-14</v>
      </c>
      <c r="EX8">
        <v>-2.4245362661989844E-14</v>
      </c>
      <c r="EY8" t="s">
        <v>1594</v>
      </c>
      <c r="EZ8">
        <v>2025</v>
      </c>
      <c r="FA8" t="s">
        <v>5848</v>
      </c>
      <c r="FB8" s="6">
        <v>45897</v>
      </c>
      <c r="FC8">
        <v>5</v>
      </c>
      <c r="FD8">
        <v>-2.4245362661989844E-14</v>
      </c>
      <c r="FE8">
        <v>922858</v>
      </c>
      <c r="FF8" t="s">
        <v>5849</v>
      </c>
      <c r="FI8" t="s">
        <v>3781</v>
      </c>
      <c r="FJ8">
        <v>-2.4245362661989844E-14</v>
      </c>
      <c r="FL8">
        <v>-2.4245362661989844E-14</v>
      </c>
      <c r="FM8" t="s">
        <v>1594</v>
      </c>
      <c r="FN8">
        <v>2025</v>
      </c>
      <c r="FO8" t="s">
        <v>3777</v>
      </c>
      <c r="FP8" s="6">
        <v>46066</v>
      </c>
      <c r="FQ8">
        <v>5</v>
      </c>
      <c r="FR8">
        <v>-2.4245362661989844E-14</v>
      </c>
      <c r="FS8">
        <v>70171248</v>
      </c>
      <c r="FT8" t="s">
        <v>3782</v>
      </c>
      <c r="FY8" t="s">
        <v>3073</v>
      </c>
      <c r="FZ8" t="s">
        <v>1598</v>
      </c>
      <c r="GA8">
        <v>22</v>
      </c>
      <c r="GB8">
        <v>0.60715799999999998</v>
      </c>
      <c r="GC8" t="s">
        <v>1594</v>
      </c>
      <c r="GD8">
        <v>2025</v>
      </c>
      <c r="GE8" t="s">
        <v>3074</v>
      </c>
      <c r="GF8" s="6">
        <v>46079</v>
      </c>
      <c r="GG8">
        <v>5</v>
      </c>
      <c r="GH8">
        <v>41769420</v>
      </c>
      <c r="GI8">
        <v>39421340</v>
      </c>
      <c r="GJ8" t="s">
        <v>3075</v>
      </c>
      <c r="GM8" t="s">
        <v>2537</v>
      </c>
      <c r="GN8">
        <v>-2.4245362661989844E-14</v>
      </c>
      <c r="GP8">
        <v>-2.4245362661989844E-14</v>
      </c>
      <c r="GQ8" t="s">
        <v>1594</v>
      </c>
      <c r="GR8">
        <v>2025</v>
      </c>
      <c r="GS8" t="s">
        <v>2538</v>
      </c>
      <c r="GT8" s="6">
        <v>46002</v>
      </c>
      <c r="GU8">
        <v>5</v>
      </c>
      <c r="GV8">
        <v>-2.4245362661989844E-14</v>
      </c>
      <c r="GW8">
        <v>31754010</v>
      </c>
      <c r="GX8" t="s">
        <v>2539</v>
      </c>
      <c r="LS8" t="s">
        <v>1211</v>
      </c>
      <c r="LU8">
        <v>-2.4245362661989844E-14</v>
      </c>
      <c r="LV8">
        <v>-2.4245362661989844E-14</v>
      </c>
      <c r="LW8" t="s">
        <v>1594</v>
      </c>
      <c r="LX8">
        <v>2025</v>
      </c>
      <c r="LY8" t="s">
        <v>1718</v>
      </c>
      <c r="LZ8" s="6">
        <v>46070</v>
      </c>
      <c r="MA8">
        <v>5</v>
      </c>
      <c r="MB8">
        <v>-2.4245362661989844E-14</v>
      </c>
      <c r="MC8">
        <v>952888</v>
      </c>
      <c r="MD8" t="s">
        <v>2787</v>
      </c>
      <c r="OA8" t="s">
        <v>5097</v>
      </c>
      <c r="OB8" t="s">
        <v>1598</v>
      </c>
      <c r="OC8">
        <v>-2.4245362661989844E-14</v>
      </c>
      <c r="OD8">
        <v>1.3072379999999999</v>
      </c>
      <c r="OE8" t="s">
        <v>1599</v>
      </c>
      <c r="OF8">
        <v>2025</v>
      </c>
      <c r="OG8" t="s">
        <v>5098</v>
      </c>
      <c r="OH8" s="6">
        <v>45953</v>
      </c>
      <c r="OI8">
        <v>5</v>
      </c>
      <c r="OJ8">
        <v>177000000</v>
      </c>
      <c r="OK8">
        <v>1757856</v>
      </c>
      <c r="OL8" t="s">
        <v>5099</v>
      </c>
      <c r="OO8" t="s">
        <v>3583</v>
      </c>
      <c r="OP8">
        <v>-2.4245362661989844E-14</v>
      </c>
      <c r="OR8">
        <v>-2.4245362661989844E-14</v>
      </c>
      <c r="OS8" t="s">
        <v>1594</v>
      </c>
      <c r="OT8">
        <v>2024</v>
      </c>
      <c r="OU8" t="s">
        <v>3578</v>
      </c>
      <c r="OV8" s="6">
        <v>45707</v>
      </c>
      <c r="OW8">
        <v>5</v>
      </c>
      <c r="OX8">
        <v>-2.4245362661989844E-14</v>
      </c>
      <c r="OY8">
        <v>901570</v>
      </c>
      <c r="OZ8" t="s">
        <v>3584</v>
      </c>
      <c r="QI8" t="s">
        <v>2233</v>
      </c>
      <c r="QJ8" t="s">
        <v>1598</v>
      </c>
      <c r="QK8">
        <v>4.2738360000000002</v>
      </c>
      <c r="QL8">
        <v>6.6693020000000001</v>
      </c>
      <c r="QM8" t="s">
        <v>1599</v>
      </c>
      <c r="QN8">
        <v>2025</v>
      </c>
      <c r="QO8" t="s">
        <v>2234</v>
      </c>
      <c r="QP8" s="6">
        <v>46087</v>
      </c>
      <c r="QQ8">
        <v>5</v>
      </c>
      <c r="QR8">
        <v>811049598.16999996</v>
      </c>
      <c r="QS8">
        <v>7975354</v>
      </c>
      <c r="QT8" t="s">
        <v>2235</v>
      </c>
      <c r="QW8" t="s">
        <v>1679</v>
      </c>
      <c r="QX8">
        <v>0.59423499999999996</v>
      </c>
      <c r="QY8" t="s">
        <v>1598</v>
      </c>
      <c r="QZ8">
        <v>1.9269499999999999</v>
      </c>
      <c r="RA8" t="s">
        <v>1603</v>
      </c>
      <c r="RB8">
        <v>2025</v>
      </c>
      <c r="RC8" t="s">
        <v>1680</v>
      </c>
      <c r="RD8" s="6">
        <v>45820</v>
      </c>
      <c r="RE8">
        <v>5</v>
      </c>
      <c r="RF8">
        <v>78557896</v>
      </c>
      <c r="RG8">
        <v>12129192</v>
      </c>
      <c r="RH8" t="s">
        <v>1681</v>
      </c>
      <c r="RM8" t="s">
        <v>4935</v>
      </c>
      <c r="RN8" t="s">
        <v>1598</v>
      </c>
      <c r="RO8">
        <v>9.4863000000000003E-2</v>
      </c>
      <c r="RP8">
        <v>1.246383</v>
      </c>
      <c r="RQ8" t="s">
        <v>1599</v>
      </c>
      <c r="RR8">
        <v>2025</v>
      </c>
      <c r="RS8" t="s">
        <v>4936</v>
      </c>
      <c r="RT8" s="6">
        <v>45832</v>
      </c>
      <c r="RU8">
        <v>5</v>
      </c>
      <c r="RV8">
        <v>10690111</v>
      </c>
      <c r="RW8">
        <v>101073</v>
      </c>
      <c r="RX8" t="s">
        <v>4937</v>
      </c>
      <c r="SQ8" t="s">
        <v>2185</v>
      </c>
      <c r="SR8" t="s">
        <v>1598</v>
      </c>
      <c r="SS8">
        <v>1.69564</v>
      </c>
      <c r="ST8">
        <v>0.41697800000000002</v>
      </c>
      <c r="SU8" t="s">
        <v>1599</v>
      </c>
      <c r="SV8">
        <v>2025</v>
      </c>
      <c r="SW8" t="s">
        <v>2186</v>
      </c>
      <c r="SX8" s="6">
        <v>46001</v>
      </c>
      <c r="SY8">
        <v>5</v>
      </c>
      <c r="SZ8">
        <v>12763693</v>
      </c>
      <c r="TA8">
        <v>1182195</v>
      </c>
      <c r="TB8" t="s">
        <v>2187</v>
      </c>
      <c r="TE8" t="s">
        <v>3701</v>
      </c>
      <c r="TF8">
        <v>-2.4245362661989844E-14</v>
      </c>
      <c r="TH8">
        <v>-2.4245362661989844E-14</v>
      </c>
      <c r="TI8" t="s">
        <v>1594</v>
      </c>
      <c r="TJ8">
        <v>2022</v>
      </c>
      <c r="TK8" t="s">
        <v>3702</v>
      </c>
      <c r="TL8" s="6">
        <v>44887</v>
      </c>
      <c r="TM8">
        <v>5</v>
      </c>
      <c r="TN8">
        <v>-2.4245362661989844E-14</v>
      </c>
      <c r="TO8">
        <v>104917</v>
      </c>
      <c r="TP8" t="s">
        <v>3703</v>
      </c>
    </row>
    <row r="9" spans="1:600" x14ac:dyDescent="0.25">
      <c r="AE9" t="s">
        <v>3145</v>
      </c>
      <c r="AF9" t="s">
        <v>1598</v>
      </c>
      <c r="AG9">
        <v>2.5302280000000001</v>
      </c>
      <c r="AH9">
        <v>2.3085650000000002</v>
      </c>
      <c r="AI9" t="s">
        <v>1603</v>
      </c>
      <c r="AJ9">
        <v>2025</v>
      </c>
      <c r="AK9" t="s">
        <v>3146</v>
      </c>
      <c r="AL9" s="6">
        <v>45819</v>
      </c>
      <c r="AM9">
        <v>5</v>
      </c>
      <c r="AN9">
        <v>113957192.78</v>
      </c>
      <c r="AO9">
        <v>58244711</v>
      </c>
      <c r="AP9" t="s">
        <v>3147</v>
      </c>
      <c r="AS9" t="s">
        <v>2690</v>
      </c>
      <c r="AT9">
        <v>1.563129</v>
      </c>
      <c r="AU9" t="s">
        <v>1598</v>
      </c>
      <c r="AV9">
        <v>1.6652290000000001</v>
      </c>
      <c r="AW9" t="s">
        <v>1606</v>
      </c>
      <c r="AX9">
        <v>2025</v>
      </c>
      <c r="AY9" t="s">
        <v>6320</v>
      </c>
      <c r="AZ9" s="6">
        <v>46034</v>
      </c>
      <c r="BA9">
        <v>5</v>
      </c>
      <c r="BB9">
        <v>176164640</v>
      </c>
      <c r="BC9">
        <v>1459396</v>
      </c>
      <c r="BD9" t="s">
        <v>2692</v>
      </c>
      <c r="CM9" t="s">
        <v>23</v>
      </c>
      <c r="CN9" t="s">
        <v>1598</v>
      </c>
      <c r="CO9">
        <v>1.0236080000000001</v>
      </c>
      <c r="CP9">
        <v>0.137097</v>
      </c>
      <c r="CQ9" t="s">
        <v>1664</v>
      </c>
      <c r="CR9">
        <v>2025</v>
      </c>
      <c r="CS9" t="s">
        <v>1768</v>
      </c>
      <c r="CT9" s="6">
        <v>45929</v>
      </c>
      <c r="CU9">
        <v>5</v>
      </c>
      <c r="CV9">
        <v>125586464</v>
      </c>
      <c r="CW9">
        <v>100225</v>
      </c>
      <c r="CX9" t="s">
        <v>2222</v>
      </c>
      <c r="DA9" t="s">
        <v>2843</v>
      </c>
      <c r="DB9">
        <v>-2.4245362661989844E-14</v>
      </c>
      <c r="DD9">
        <v>-2.4245362661989844E-14</v>
      </c>
      <c r="DE9" t="s">
        <v>1594</v>
      </c>
      <c r="DF9">
        <v>2024</v>
      </c>
      <c r="DG9" t="s">
        <v>2844</v>
      </c>
      <c r="DH9" s="6">
        <v>45435</v>
      </c>
      <c r="DI9">
        <v>5</v>
      </c>
      <c r="DJ9">
        <v>-2.4245362661989844E-14</v>
      </c>
      <c r="DK9">
        <v>1028866</v>
      </c>
      <c r="DL9" t="s">
        <v>2845</v>
      </c>
      <c r="DQ9" t="s">
        <v>4236</v>
      </c>
      <c r="DR9" t="s">
        <v>1598</v>
      </c>
      <c r="DS9">
        <v>0.122296</v>
      </c>
      <c r="DT9">
        <v>6.0229999999999997E-3</v>
      </c>
      <c r="DU9" t="s">
        <v>1651</v>
      </c>
      <c r="DV9">
        <v>2025</v>
      </c>
      <c r="DW9" t="s">
        <v>4237</v>
      </c>
      <c r="DX9" s="6">
        <v>45972</v>
      </c>
      <c r="DY9">
        <v>5</v>
      </c>
      <c r="DZ9">
        <v>146938.79</v>
      </c>
      <c r="EA9">
        <v>171204</v>
      </c>
      <c r="EB9" t="s">
        <v>4238</v>
      </c>
      <c r="EE9" t="s">
        <v>5195</v>
      </c>
      <c r="EF9">
        <v>6.0194999999999999E-2</v>
      </c>
      <c r="EG9" t="s">
        <v>1598</v>
      </c>
      <c r="EH9">
        <v>0.32420599999999999</v>
      </c>
      <c r="EI9" t="s">
        <v>1594</v>
      </c>
      <c r="EJ9">
        <v>2024</v>
      </c>
      <c r="EK9" t="s">
        <v>5196</v>
      </c>
      <c r="EL9" s="6">
        <v>45762</v>
      </c>
      <c r="EM9">
        <v>5</v>
      </c>
      <c r="EN9">
        <v>1823749.5</v>
      </c>
      <c r="EO9">
        <v>14453817</v>
      </c>
      <c r="EP9" t="s">
        <v>5197</v>
      </c>
      <c r="EU9" t="s">
        <v>5850</v>
      </c>
      <c r="EW9">
        <v>-2.4245362661989844E-14</v>
      </c>
      <c r="EX9">
        <v>-2.4245362661989844E-14</v>
      </c>
      <c r="EY9" t="s">
        <v>1594</v>
      </c>
      <c r="EZ9">
        <v>2025</v>
      </c>
      <c r="FA9" t="s">
        <v>5851</v>
      </c>
      <c r="FB9" s="6">
        <v>45875</v>
      </c>
      <c r="FC9">
        <v>5</v>
      </c>
      <c r="FD9">
        <v>-2.4245362661989844E-14</v>
      </c>
      <c r="FE9">
        <v>50124956</v>
      </c>
      <c r="FF9" t="s">
        <v>5852</v>
      </c>
      <c r="FI9" t="s">
        <v>3783</v>
      </c>
      <c r="FJ9">
        <v>-2.4245362661989844E-14</v>
      </c>
      <c r="FL9">
        <v>-2.4245362661989844E-14</v>
      </c>
      <c r="FM9" t="s">
        <v>1594</v>
      </c>
      <c r="FN9">
        <v>2023</v>
      </c>
      <c r="FO9" t="s">
        <v>3784</v>
      </c>
      <c r="FP9" s="6">
        <v>45168</v>
      </c>
      <c r="FQ9">
        <v>5</v>
      </c>
      <c r="FR9">
        <v>-2.4245362661989844E-14</v>
      </c>
      <c r="FS9">
        <v>392760</v>
      </c>
      <c r="FT9" t="s">
        <v>3785</v>
      </c>
      <c r="FY9" t="s">
        <v>3076</v>
      </c>
      <c r="FZ9" t="s">
        <v>1598</v>
      </c>
      <c r="GA9">
        <v>0.79385499999999998</v>
      </c>
      <c r="GB9">
        <v>0.47515200000000002</v>
      </c>
      <c r="GC9" t="s">
        <v>1664</v>
      </c>
      <c r="GD9">
        <v>2025</v>
      </c>
      <c r="GE9" t="s">
        <v>3077</v>
      </c>
      <c r="GF9" s="6">
        <v>45882</v>
      </c>
      <c r="GG9">
        <v>5</v>
      </c>
      <c r="GH9">
        <v>33151384</v>
      </c>
      <c r="GI9">
        <v>107244</v>
      </c>
      <c r="GJ9" t="s">
        <v>3078</v>
      </c>
      <c r="GM9" t="s">
        <v>2540</v>
      </c>
      <c r="GN9">
        <v>-2.4245362661989844E-14</v>
      </c>
      <c r="GP9">
        <v>-2.4245362661989844E-14</v>
      </c>
      <c r="GQ9" t="s">
        <v>1594</v>
      </c>
      <c r="GR9">
        <v>2025</v>
      </c>
      <c r="GS9" t="s">
        <v>2541</v>
      </c>
      <c r="GT9" s="6">
        <v>45931</v>
      </c>
      <c r="GU9">
        <v>5</v>
      </c>
      <c r="GV9">
        <v>-2.4245362661989844E-14</v>
      </c>
      <c r="GW9">
        <v>25314626</v>
      </c>
      <c r="GX9" t="s">
        <v>2542</v>
      </c>
      <c r="LS9" t="s">
        <v>5417</v>
      </c>
      <c r="LU9">
        <v>-2.4245362661989844E-14</v>
      </c>
      <c r="LV9">
        <v>-2.4245362661989844E-14</v>
      </c>
      <c r="LW9" t="s">
        <v>1594</v>
      </c>
      <c r="LX9">
        <v>2024</v>
      </c>
      <c r="LY9" t="s">
        <v>5418</v>
      </c>
      <c r="LZ9" s="6">
        <v>46001</v>
      </c>
      <c r="MA9">
        <v>5</v>
      </c>
      <c r="MB9">
        <v>-2.4245362661989844E-14</v>
      </c>
      <c r="MC9">
        <v>72670003</v>
      </c>
      <c r="MD9" t="s">
        <v>5419</v>
      </c>
      <c r="OA9" t="s">
        <v>5100</v>
      </c>
      <c r="OB9" t="s">
        <v>1598</v>
      </c>
      <c r="OC9">
        <v>-2.4245362661989844E-14</v>
      </c>
      <c r="OD9">
        <v>1.312514</v>
      </c>
      <c r="OE9" t="s">
        <v>1664</v>
      </c>
      <c r="OF9">
        <v>2025</v>
      </c>
      <c r="OG9" t="s">
        <v>5101</v>
      </c>
      <c r="OH9" s="6">
        <v>45862</v>
      </c>
      <c r="OI9">
        <v>5</v>
      </c>
      <c r="OJ9">
        <v>174000000</v>
      </c>
      <c r="OK9">
        <v>946362</v>
      </c>
      <c r="OL9" t="s">
        <v>5102</v>
      </c>
      <c r="OO9" t="s">
        <v>3585</v>
      </c>
      <c r="OP9">
        <v>-2.4245362661989844E-14</v>
      </c>
      <c r="OR9">
        <v>-2.4245362661989844E-14</v>
      </c>
      <c r="OS9" t="s">
        <v>1594</v>
      </c>
      <c r="OT9">
        <v>2024</v>
      </c>
      <c r="OU9" t="s">
        <v>3578</v>
      </c>
      <c r="OV9" s="6">
        <v>45707</v>
      </c>
      <c r="OW9">
        <v>5</v>
      </c>
      <c r="OX9">
        <v>-2.4245362661989844E-14</v>
      </c>
      <c r="OY9">
        <v>27010988</v>
      </c>
      <c r="OZ9" t="s">
        <v>3586</v>
      </c>
      <c r="QI9" t="s">
        <v>2236</v>
      </c>
      <c r="QJ9" t="s">
        <v>1598</v>
      </c>
      <c r="QK9">
        <v>10.5</v>
      </c>
      <c r="QL9">
        <v>7.349405</v>
      </c>
      <c r="QM9" t="s">
        <v>1594</v>
      </c>
      <c r="QN9">
        <v>2024</v>
      </c>
      <c r="QO9" t="s">
        <v>2237</v>
      </c>
      <c r="QP9" s="6">
        <v>45744</v>
      </c>
      <c r="QQ9">
        <v>5</v>
      </c>
      <c r="QR9">
        <v>778954139.5</v>
      </c>
      <c r="QS9">
        <v>113389</v>
      </c>
      <c r="QT9" t="s">
        <v>2238</v>
      </c>
      <c r="QW9" t="s">
        <v>1786</v>
      </c>
      <c r="QX9">
        <v>0.56558799999999998</v>
      </c>
      <c r="QY9" t="s">
        <v>1598</v>
      </c>
      <c r="QZ9">
        <v>3.5370110000000001</v>
      </c>
      <c r="RA9" t="s">
        <v>1664</v>
      </c>
      <c r="RB9">
        <v>2025</v>
      </c>
      <c r="RC9" t="s">
        <v>1787</v>
      </c>
      <c r="RD9" s="6">
        <v>46008</v>
      </c>
      <c r="RE9">
        <v>5</v>
      </c>
      <c r="RF9">
        <v>82257509.170000002</v>
      </c>
      <c r="RG9">
        <v>349049</v>
      </c>
      <c r="RH9" t="s">
        <v>1788</v>
      </c>
      <c r="RM9" t="s">
        <v>4938</v>
      </c>
      <c r="RN9" t="s">
        <v>1598</v>
      </c>
      <c r="RO9">
        <v>0.73746699999999998</v>
      </c>
      <c r="RP9">
        <v>1.1116200000000001</v>
      </c>
      <c r="RQ9" t="s">
        <v>1664</v>
      </c>
      <c r="RR9">
        <v>2025</v>
      </c>
      <c r="RS9" t="s">
        <v>4939</v>
      </c>
      <c r="RT9" s="6">
        <v>45896</v>
      </c>
      <c r="RU9">
        <v>5</v>
      </c>
      <c r="RV9">
        <v>10663773</v>
      </c>
      <c r="RW9">
        <v>230998</v>
      </c>
      <c r="RX9" t="s">
        <v>4940</v>
      </c>
      <c r="SQ9" t="s">
        <v>3891</v>
      </c>
      <c r="SR9" t="s">
        <v>1598</v>
      </c>
      <c r="SS9">
        <v>1.749268</v>
      </c>
      <c r="ST9">
        <v>0.29281299999999999</v>
      </c>
      <c r="SU9" t="s">
        <v>1664</v>
      </c>
      <c r="SV9">
        <v>2025</v>
      </c>
      <c r="SW9" t="s">
        <v>3892</v>
      </c>
      <c r="SX9" s="6">
        <v>45867</v>
      </c>
      <c r="SY9">
        <v>5</v>
      </c>
      <c r="SZ9">
        <v>9701879.8399999999</v>
      </c>
      <c r="TA9">
        <v>157487</v>
      </c>
      <c r="TB9" t="s">
        <v>3893</v>
      </c>
      <c r="TE9" t="s">
        <v>3704</v>
      </c>
      <c r="TF9">
        <v>-2.4245362661989844E-14</v>
      </c>
      <c r="TH9">
        <v>-2.4245362661989844E-14</v>
      </c>
      <c r="TI9" t="s">
        <v>1594</v>
      </c>
      <c r="TJ9">
        <v>2025</v>
      </c>
      <c r="TK9" t="s">
        <v>3705</v>
      </c>
      <c r="TL9" s="6">
        <v>45834</v>
      </c>
      <c r="TM9">
        <v>5</v>
      </c>
      <c r="TN9">
        <v>-2.4245362661989844E-14</v>
      </c>
      <c r="TO9">
        <v>11745327</v>
      </c>
      <c r="TP9" t="s">
        <v>3706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1121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1122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1123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1124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1125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1126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1127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1128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1129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1130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1131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1132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1133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1134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1135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1136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1137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1138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1139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1140</v>
      </c>
      <c r="AE2" s="3" t="s">
        <v>1141</v>
      </c>
      <c r="BI2" s="3" t="s">
        <v>1142</v>
      </c>
      <c r="CM2" s="3" t="s">
        <v>113</v>
      </c>
      <c r="DQ2" s="3" t="s">
        <v>1143</v>
      </c>
      <c r="EU2" s="3" t="s">
        <v>1144</v>
      </c>
      <c r="FY2" s="3" t="s">
        <v>1145</v>
      </c>
      <c r="HC2" s="3" t="s">
        <v>1146</v>
      </c>
      <c r="IG2" s="3" t="s">
        <v>116</v>
      </c>
      <c r="JK2" s="3" t="s">
        <v>1023</v>
      </c>
      <c r="KO2" s="3" t="s">
        <v>1147</v>
      </c>
      <c r="LS2" s="3" t="s">
        <v>1148</v>
      </c>
      <c r="MW2" s="3" t="s">
        <v>1149</v>
      </c>
      <c r="OA2" s="3" t="s">
        <v>1150</v>
      </c>
      <c r="PE2" s="3" t="s">
        <v>1151</v>
      </c>
      <c r="QI2" s="3" t="s">
        <v>1152</v>
      </c>
      <c r="RM2" s="3" t="s">
        <v>139</v>
      </c>
      <c r="SQ2" s="3" t="s">
        <v>78</v>
      </c>
      <c r="TU2" s="3" t="s">
        <v>1153</v>
      </c>
      <c r="UY2" s="3" t="s">
        <v>1154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_xll.BDS("AM US Equity","SUPPLY_CHAIN_SUPPLIERS_ALL_DATA","cols=12;rows=1")</f>
        <v>AR US Equity</v>
      </c>
      <c r="C5">
        <v>-2.4245362661989844E-14</v>
      </c>
      <c r="D5">
        <v>-2.4245362661989844E-14</v>
      </c>
      <c r="E5" t="s">
        <v>1594</v>
      </c>
      <c r="F5">
        <v>2022</v>
      </c>
      <c r="G5" t="s">
        <v>3835</v>
      </c>
      <c r="H5" s="6">
        <v>44973</v>
      </c>
      <c r="I5">
        <v>1</v>
      </c>
      <c r="J5">
        <v>-2.4245362661989844E-14</v>
      </c>
      <c r="K5">
        <v>17312199</v>
      </c>
      <c r="L5" t="s">
        <v>2552</v>
      </c>
      <c r="O5" t="str">
        <f>_xll.BDS("AM US Equity","SUPPLY_CHAIN_CUSTOMERS_ALL_DATA","cols=12;rows=1")</f>
        <v>AR US Equity</v>
      </c>
      <c r="P5">
        <v>71.354889</v>
      </c>
      <c r="Q5" t="s">
        <v>1598</v>
      </c>
      <c r="R5">
        <v>21.692126999999999</v>
      </c>
      <c r="S5" t="s">
        <v>1594</v>
      </c>
      <c r="T5">
        <v>2025</v>
      </c>
      <c r="U5" t="s">
        <v>4738</v>
      </c>
      <c r="V5" s="6">
        <v>46064</v>
      </c>
      <c r="W5">
        <v>1</v>
      </c>
      <c r="X5">
        <v>212000000</v>
      </c>
      <c r="Y5">
        <v>17312199</v>
      </c>
      <c r="Z5" t="s">
        <v>2552</v>
      </c>
      <c r="AE5" t="str">
        <f>_xll.BDS("KG US Equity","SUPPLY_CHAIN_SUPPLIERS_ALL_DATA")</f>
        <v>#N/A N/A</v>
      </c>
      <c r="AS5" t="str">
        <f>_xll.BDS("KG US Equity","SUPPLY_CHAIN_CUSTOMERS_ALL_DATA")</f>
        <v>#N/A N/A</v>
      </c>
      <c r="BI5" t="str">
        <f>_xll.BDS("XPO US Equity","SUPPLY_CHAIN_SUPPLIERS_ALL_DATA","cols=12;rows=5")</f>
        <v>EXTR US Equity</v>
      </c>
      <c r="BJ5" t="s">
        <v>1634</v>
      </c>
      <c r="BK5">
        <v>0.165661</v>
      </c>
      <c r="BL5">
        <v>0.33158399999999999</v>
      </c>
      <c r="BM5" t="s">
        <v>1603</v>
      </c>
      <c r="BN5">
        <v>2026</v>
      </c>
      <c r="BO5" t="s">
        <v>3051</v>
      </c>
      <c r="BP5" s="6">
        <v>46049</v>
      </c>
      <c r="BQ5">
        <v>5</v>
      </c>
      <c r="BR5">
        <v>513955</v>
      </c>
      <c r="BS5">
        <v>386537</v>
      </c>
      <c r="BT5" t="s">
        <v>3052</v>
      </c>
      <c r="BW5" t="str">
        <f>_xll.BDS("XPO US Equity","SUPPLY_CHAIN_CUSTOMERS_ALL_DATA","cols=12;rows=5")</f>
        <v>BP/ LN Equity</v>
      </c>
      <c r="BX5">
        <v>1.299342</v>
      </c>
      <c r="BY5" t="s">
        <v>1598</v>
      </c>
      <c r="BZ5">
        <v>9.4878000000000004E-2</v>
      </c>
      <c r="CA5" t="s">
        <v>1664</v>
      </c>
      <c r="CB5">
        <v>2025</v>
      </c>
      <c r="CC5" t="s">
        <v>2543</v>
      </c>
      <c r="CD5" s="6">
        <v>45916</v>
      </c>
      <c r="CE5">
        <v>5</v>
      </c>
      <c r="CF5">
        <v>27026314</v>
      </c>
      <c r="CG5">
        <v>100228</v>
      </c>
      <c r="CH5" t="s">
        <v>1814</v>
      </c>
      <c r="CM5" t="str">
        <f>_xll.BDS("BX US Equity","SUPPLY_CHAIN_SUPPLIERS_ALL_DATA","cols=12;rows=5")</f>
        <v>ORCL US Equity</v>
      </c>
      <c r="CN5" t="s">
        <v>1598</v>
      </c>
      <c r="CO5">
        <v>3.7003000000000001E-2</v>
      </c>
      <c r="CP5">
        <v>0.33128000000000002</v>
      </c>
      <c r="CQ5" t="s">
        <v>1606</v>
      </c>
      <c r="CR5">
        <v>2025</v>
      </c>
      <c r="CS5" t="s">
        <v>2251</v>
      </c>
      <c r="CT5" s="6">
        <v>45848</v>
      </c>
      <c r="CU5">
        <v>5</v>
      </c>
      <c r="CV5">
        <v>5884587</v>
      </c>
      <c r="CW5">
        <v>101752</v>
      </c>
      <c r="CX5" t="s">
        <v>2265</v>
      </c>
      <c r="DA5" t="str">
        <f>_xll.BDS("BX US Equity","SUPPLY_CHAIN_CUSTOMERS_ALL_DATA","cols=12;rows=5")</f>
        <v>002284 CH Equity</v>
      </c>
      <c r="DB5">
        <v>-2.4245362661989844E-14</v>
      </c>
      <c r="DD5">
        <v>-2.4245362661989844E-14</v>
      </c>
      <c r="DE5" t="s">
        <v>1594</v>
      </c>
      <c r="DF5">
        <v>2024</v>
      </c>
      <c r="DG5" t="s">
        <v>1789</v>
      </c>
      <c r="DH5" s="6">
        <v>45744</v>
      </c>
      <c r="DI5">
        <v>5</v>
      </c>
      <c r="DJ5">
        <v>-2.4245362661989844E-14</v>
      </c>
      <c r="DK5">
        <v>15069854</v>
      </c>
      <c r="DL5" t="s">
        <v>1790</v>
      </c>
      <c r="DQ5" t="str">
        <f>_xll.BDS("SKS US Equity","SUPPLY_CHAIN_SUPPLIERS_ALL_DATA","cols=12;rows=1")</f>
        <v>UE US Equity</v>
      </c>
      <c r="DS5">
        <v>-2.4245362661989844E-14</v>
      </c>
      <c r="DT5">
        <v>-2.4245362661989844E-14</v>
      </c>
      <c r="DU5" t="s">
        <v>1594</v>
      </c>
      <c r="DV5">
        <v>2024</v>
      </c>
      <c r="DW5" t="s">
        <v>5739</v>
      </c>
      <c r="DX5" s="6">
        <v>45701</v>
      </c>
      <c r="DY5">
        <v>1</v>
      </c>
      <c r="DZ5">
        <v>-2.4245362661989844E-14</v>
      </c>
      <c r="EA5">
        <v>39980720</v>
      </c>
      <c r="EB5" t="s">
        <v>5740</v>
      </c>
      <c r="EE5" t="str">
        <f>_xll.BDS("SKS US Equity","SUPPLY_CHAIN_CUSTOMERS_ALL_DATA","cols=12;rows=1")</f>
        <v>GCARSOA1 MM Equity</v>
      </c>
      <c r="EF5">
        <v>-2.4245362661989844E-14</v>
      </c>
      <c r="EH5">
        <v>-2.4245362661989844E-14</v>
      </c>
      <c r="EI5" t="s">
        <v>1594</v>
      </c>
      <c r="EJ5">
        <v>2021</v>
      </c>
      <c r="EK5" t="s">
        <v>5661</v>
      </c>
      <c r="EL5" s="6">
        <v>44684</v>
      </c>
      <c r="EM5">
        <v>1</v>
      </c>
      <c r="EN5">
        <v>-2.4245362661989844E-14</v>
      </c>
      <c r="EO5">
        <v>116659</v>
      </c>
      <c r="EP5" t="s">
        <v>5662</v>
      </c>
      <c r="EU5" t="str">
        <f>_xll.BDS("WSC US Equity","SUPPLY_CHAIN_SUPPLIERS_ALL_DATA")</f>
        <v>#N/A N/A</v>
      </c>
      <c r="FI5" t="str">
        <f>_xll.BDS("WSC US Equity","SUPPLY_CHAIN_CUSTOMERS_ALL_DATA")</f>
        <v>#N/A N/A</v>
      </c>
      <c r="FY5" t="str">
        <f>_xll.BDS("TWC US Equity","SUPPLY_CHAIN_SUPPLIERS_ALL_DATA")</f>
        <v>#N/A N/A</v>
      </c>
      <c r="GM5" t="str">
        <f>_xll.BDS("TWC US Equity","SUPPLY_CHAIN_CUSTOMERS_ALL_DATA")</f>
        <v>#N/A N/A</v>
      </c>
      <c r="HC5" t="str">
        <f>_xll.BDS("ILPT US Equity","SUPPLY_CHAIN_SUPPLIERS_ALL_DATA")</f>
        <v>#N/A N/A</v>
      </c>
      <c r="HQ5" t="str">
        <f>_xll.BDS("ILPT US Equity","SUPPLY_CHAIN_CUSTOMERS_ALL_DATA","cols=12;rows=5")</f>
        <v>FDX US Equity</v>
      </c>
      <c r="HR5">
        <v>29.1</v>
      </c>
      <c r="HS5" t="s">
        <v>1685</v>
      </c>
      <c r="HT5">
        <v>0.86648099999999995</v>
      </c>
      <c r="HU5" t="s">
        <v>1594</v>
      </c>
      <c r="HV5">
        <v>2024</v>
      </c>
      <c r="HW5" t="s">
        <v>5396</v>
      </c>
      <c r="HX5" s="6">
        <v>45707</v>
      </c>
      <c r="HY5">
        <v>5</v>
      </c>
      <c r="HZ5">
        <v>32178926</v>
      </c>
      <c r="IA5">
        <v>100554</v>
      </c>
      <c r="IB5" t="s">
        <v>1906</v>
      </c>
      <c r="IG5" t="str">
        <f>_xll.BDS("LUMN US Equity","SUPPLY_CHAIN_SUPPLIERS_ALL_DATA","cols=12;rows=5")</f>
        <v>DY US Equity</v>
      </c>
      <c r="IH5" t="s">
        <v>1634</v>
      </c>
      <c r="II5">
        <v>11.7</v>
      </c>
      <c r="IJ5">
        <v>16.359269999999999</v>
      </c>
      <c r="IK5" t="s">
        <v>1599</v>
      </c>
      <c r="IL5">
        <v>2026</v>
      </c>
      <c r="IM5" t="s">
        <v>3185</v>
      </c>
      <c r="IN5" s="6">
        <v>45981</v>
      </c>
      <c r="IO5">
        <v>5</v>
      </c>
      <c r="IP5">
        <v>170300000</v>
      </c>
      <c r="IQ5">
        <v>100487</v>
      </c>
      <c r="IR5" t="s">
        <v>3186</v>
      </c>
      <c r="IU5" t="str">
        <f>_xll.BDS("LUMN US Equity","SUPPLY_CHAIN_CUSTOMERS_ALL_DATA","cols=12;rows=5")</f>
        <v>728 HK Equity</v>
      </c>
      <c r="IV5">
        <v>1.3918710000000001</v>
      </c>
      <c r="IW5" t="s">
        <v>1598</v>
      </c>
      <c r="IX5">
        <v>0.33867900000000001</v>
      </c>
      <c r="IY5" t="s">
        <v>1664</v>
      </c>
      <c r="IZ5">
        <v>2025</v>
      </c>
      <c r="JA5" t="s">
        <v>3725</v>
      </c>
      <c r="JB5" s="6">
        <v>45888</v>
      </c>
      <c r="JC5">
        <v>5</v>
      </c>
      <c r="JD5">
        <v>42968957.090000004</v>
      </c>
      <c r="JE5">
        <v>7001331</v>
      </c>
      <c r="JF5" t="s">
        <v>3726</v>
      </c>
      <c r="JK5" t="str">
        <f>_xll.BDS("0544749D US Equity","SUPPLY_CHAIN_SUPPLIERS_ALL_DATA")</f>
        <v>#N/A N/A</v>
      </c>
      <c r="JY5" t="str">
        <f>_xll.BDS("0544749D US Equity","SUPPLY_CHAIN_CUSTOMERS_ALL_DATA")</f>
        <v>#N/A N/A</v>
      </c>
      <c r="KO5" t="str">
        <f>_xll.BDS("HZNP US Equity","SUPPLY_CHAIN_SUPPLIERS_ALL_DATA","cols=12;rows=5")</f>
        <v>0217032D US Equity</v>
      </c>
      <c r="KQ5">
        <v>-2.4245362661989844E-14</v>
      </c>
      <c r="KR5">
        <v>-2.4245362661989844E-14</v>
      </c>
      <c r="KS5" t="s">
        <v>1664</v>
      </c>
      <c r="KT5">
        <v>2023</v>
      </c>
      <c r="KU5" t="s">
        <v>2516</v>
      </c>
      <c r="KV5" s="6">
        <v>45146</v>
      </c>
      <c r="KW5">
        <v>5</v>
      </c>
      <c r="KX5">
        <v>-2.4245362661989844E-14</v>
      </c>
      <c r="KY5">
        <v>8538176</v>
      </c>
      <c r="KZ5" t="s">
        <v>3027</v>
      </c>
      <c r="LC5" t="str">
        <f>_xll.BDS("HZNP US Equity","SUPPLY_CHAIN_CUSTOMERS_ALL_DATA","cols=12;rows=5")</f>
        <v>1789 TT Equity</v>
      </c>
      <c r="LD5">
        <v>-2.4245362661989844E-14</v>
      </c>
      <c r="LF5">
        <v>-2.4245362661989844E-14</v>
      </c>
      <c r="LG5" t="s">
        <v>1594</v>
      </c>
      <c r="LH5">
        <v>2021</v>
      </c>
      <c r="LI5" t="s">
        <v>2514</v>
      </c>
      <c r="LJ5" s="6">
        <v>44637</v>
      </c>
      <c r="LK5">
        <v>5</v>
      </c>
      <c r="LL5">
        <v>-2.4245362661989844E-14</v>
      </c>
      <c r="LM5">
        <v>10498790</v>
      </c>
      <c r="LN5" t="s">
        <v>2503</v>
      </c>
      <c r="LS5" t="str">
        <f>_xll.BDS("1719868D US Equity","SUPPLY_CHAIN_SUPPLIERS_ALL_DATA")</f>
        <v>#N/A N/A</v>
      </c>
      <c r="MG5" t="str">
        <f>_xll.BDS("1719868D US Equity","SUPPLY_CHAIN_CUSTOMERS_ALL_DATA")</f>
        <v>#N/A N/A</v>
      </c>
      <c r="MW5" t="str">
        <f>_xll.BDS("IEP US Equity","SUPPLY_CHAIN_SUPPLIERS_ALL_DATA","cols=12;rows=5")</f>
        <v>SMP US Equity</v>
      </c>
      <c r="MX5" t="s">
        <v>1598</v>
      </c>
      <c r="MY5">
        <v>0.58005099999999998</v>
      </c>
      <c r="MZ5">
        <v>0.126083</v>
      </c>
      <c r="NA5" t="s">
        <v>1664</v>
      </c>
      <c r="NB5">
        <v>2025</v>
      </c>
      <c r="NC5" t="s">
        <v>2952</v>
      </c>
      <c r="ND5" s="6">
        <v>45908</v>
      </c>
      <c r="NE5">
        <v>5</v>
      </c>
      <c r="NF5">
        <v>2864599</v>
      </c>
      <c r="NG5">
        <v>101392</v>
      </c>
      <c r="NH5" t="s">
        <v>2953</v>
      </c>
      <c r="NK5" t="str">
        <f>_xll.BDS("IEP US Equity","SUPPLY_CHAIN_CUSTOMERS_ALL_DATA","cols=12;rows=2")</f>
        <v>FMGI IN Equity</v>
      </c>
      <c r="NL5">
        <v>-2.4245362661989844E-14</v>
      </c>
      <c r="NN5">
        <v>-2.4245362661989844E-14</v>
      </c>
      <c r="NO5" t="s">
        <v>1594</v>
      </c>
      <c r="NP5">
        <v>2023</v>
      </c>
      <c r="NQ5" t="s">
        <v>2499</v>
      </c>
      <c r="NR5" s="6">
        <v>45076</v>
      </c>
      <c r="NS5">
        <v>2</v>
      </c>
      <c r="NT5">
        <v>-2.4245362661989844E-14</v>
      </c>
      <c r="NU5">
        <v>174503</v>
      </c>
      <c r="NV5" t="s">
        <v>2500</v>
      </c>
      <c r="OA5" t="str">
        <f>_xll.BDS("OSK US Equity","SUPPLY_CHAIN_SUPPLIERS_ALL_DATA","cols=12;rows=5")</f>
        <v>SANM US Equity</v>
      </c>
      <c r="OB5" t="s">
        <v>1598</v>
      </c>
      <c r="OC5">
        <v>1.975986</v>
      </c>
      <c r="OD5">
        <v>1.965884</v>
      </c>
      <c r="OE5" t="s">
        <v>1664</v>
      </c>
      <c r="OF5">
        <v>2025</v>
      </c>
      <c r="OG5" t="s">
        <v>2139</v>
      </c>
      <c r="OH5" s="6">
        <v>45791</v>
      </c>
      <c r="OI5">
        <v>5</v>
      </c>
      <c r="OJ5">
        <v>39205144</v>
      </c>
      <c r="OK5">
        <v>116988</v>
      </c>
      <c r="OL5" t="s">
        <v>2140</v>
      </c>
      <c r="OO5" t="str">
        <f>_xll.BDS("OSK US Equity","SUPPLY_CHAIN_CUSTOMERS_ALL_DATA","cols=12;rows=5")</f>
        <v>3352Z US Equity</v>
      </c>
      <c r="OP5">
        <v>20</v>
      </c>
      <c r="OR5">
        <v>-2.4245362661989844E-14</v>
      </c>
      <c r="OS5" t="s">
        <v>1594</v>
      </c>
      <c r="OT5">
        <v>2025</v>
      </c>
      <c r="OU5" t="s">
        <v>4705</v>
      </c>
      <c r="OV5" s="6">
        <v>46070</v>
      </c>
      <c r="OW5">
        <v>5</v>
      </c>
      <c r="OX5">
        <v>521200000</v>
      </c>
      <c r="OY5">
        <v>218252</v>
      </c>
      <c r="OZ5" t="s">
        <v>1622</v>
      </c>
      <c r="PE5" t="str">
        <f>_xll.BDS("1284849D US Equity","SUPPLY_CHAIN_SUPPLIERS_ALL_DATA","cols=12;rows=5")</f>
        <v>AEE US Equity</v>
      </c>
      <c r="PG5">
        <v>-2.4245362661989844E-14</v>
      </c>
      <c r="PH5">
        <v>-2.4245362661989844E-14</v>
      </c>
      <c r="PI5" t="s">
        <v>1594</v>
      </c>
      <c r="PJ5">
        <v>2021</v>
      </c>
      <c r="PK5" t="s">
        <v>2150</v>
      </c>
      <c r="PL5" s="6">
        <v>44693</v>
      </c>
      <c r="PM5">
        <v>5</v>
      </c>
      <c r="PN5">
        <v>-2.4245362661989844E-14</v>
      </c>
      <c r="PO5">
        <v>313098</v>
      </c>
      <c r="PP5" t="s">
        <v>2151</v>
      </c>
      <c r="PS5" t="str">
        <f>_xll.BDS("1284849D US Equity","SUPPLY_CHAIN_CUSTOMERS_ALL_DATA","cols=12;rows=1")</f>
        <v>4569 JP Equity</v>
      </c>
      <c r="PT5">
        <v>-2.4245362661989844E-14</v>
      </c>
      <c r="PV5">
        <v>-2.4245362661989844E-14</v>
      </c>
      <c r="PW5" t="s">
        <v>1594</v>
      </c>
      <c r="PX5">
        <v>2022</v>
      </c>
      <c r="PY5" t="s">
        <v>4037</v>
      </c>
      <c r="PZ5" s="6">
        <v>44736</v>
      </c>
      <c r="QA5">
        <v>1</v>
      </c>
      <c r="QB5">
        <v>-2.4245362661989844E-14</v>
      </c>
      <c r="QC5">
        <v>10499395</v>
      </c>
      <c r="QD5" t="s">
        <v>4038</v>
      </c>
      <c r="QI5" t="str">
        <f>_xll.BDS("1920486D US Equity","SUPPLY_CHAIN_SUPPLIERS_ALL_DATA")</f>
        <v>#N/A N/A</v>
      </c>
      <c r="QW5" t="str">
        <f>_xll.BDS("1920486D US Equity","SUPPLY_CHAIN_CUSTOMERS_ALL_DATA")</f>
        <v>#N/A N/A</v>
      </c>
      <c r="RM5" t="str">
        <f>_xll.BDS("ABT US Equity","SUPPLY_CHAIN_SUPPLIERS_ALL_DATA","cols=12;rows=5")</f>
        <v>MSFT US Equity</v>
      </c>
      <c r="RN5" t="s">
        <v>1598</v>
      </c>
      <c r="RO5">
        <v>5.0347999999999997E-2</v>
      </c>
      <c r="RP5">
        <v>0.78954400000000002</v>
      </c>
      <c r="RQ5" t="s">
        <v>1599</v>
      </c>
      <c r="RR5">
        <v>2025</v>
      </c>
      <c r="RS5" t="s">
        <v>1735</v>
      </c>
      <c r="RT5" s="6">
        <v>45843</v>
      </c>
      <c r="RU5">
        <v>5</v>
      </c>
      <c r="RV5">
        <v>35276832</v>
      </c>
      <c r="RW5">
        <v>101743</v>
      </c>
      <c r="RX5" t="s">
        <v>1736</v>
      </c>
      <c r="SA5" t="str">
        <f>_xll.BDS("ABT US Equity","SUPPLY_CHAIN_CUSTOMERS_ALL_DATA","cols=12;rows=5")</f>
        <v>SNX US Equity</v>
      </c>
      <c r="SB5">
        <v>0.37113800000000002</v>
      </c>
      <c r="SC5" t="s">
        <v>1598</v>
      </c>
      <c r="SD5">
        <v>0.260712</v>
      </c>
      <c r="SE5" t="s">
        <v>1606</v>
      </c>
      <c r="SF5">
        <v>2025</v>
      </c>
      <c r="SG5" t="s">
        <v>1701</v>
      </c>
      <c r="SH5" s="6">
        <v>46056</v>
      </c>
      <c r="SI5">
        <v>5</v>
      </c>
      <c r="SJ5">
        <v>42194648</v>
      </c>
      <c r="SK5">
        <v>1499717</v>
      </c>
      <c r="SL5" t="s">
        <v>1702</v>
      </c>
      <c r="SQ5" t="str">
        <f>_xll.BDS("nan Equity","SUPPLY_CHAIN_SUPPLIERS_ALL_DATA")</f>
        <v>#N/A N/A</v>
      </c>
      <c r="TE5" t="str">
        <f>_xll.BDS("nan Equity","SUPPLY_CHAIN_CUSTOMERS_ALL_DATA")</f>
        <v>#N/A N/A</v>
      </c>
      <c r="TU5" t="str">
        <f>_xll.BDS("LEHMQ US Equity","SUPPLY_CHAIN_SUPPLIERS_ALL_DATA")</f>
        <v>#N/A N/A</v>
      </c>
      <c r="UI5" t="str">
        <f>_xll.BDS("LEHMQ US Equity","SUPPLY_CHAIN_CUSTOMERS_ALL_DATA")</f>
        <v>#N/A N/A</v>
      </c>
      <c r="UY5" t="str">
        <f>_xll.BDS("KRG US Equity","SUPPLY_CHAIN_SUPPLIERS_ALL_DATA")</f>
        <v>#N/A N/A</v>
      </c>
      <c r="VM5" t="str">
        <f>_xll.BDS("KRG US Equity","SUPPLY_CHAIN_CUSTOMERS_ALL_DATA","cols=12;rows=5")</f>
        <v>TJX US Equity</v>
      </c>
      <c r="VN5">
        <v>1.9736480000000001</v>
      </c>
      <c r="VO5" t="s">
        <v>1685</v>
      </c>
      <c r="VP5">
        <v>0.15231900000000001</v>
      </c>
      <c r="VQ5" t="s">
        <v>1594</v>
      </c>
      <c r="VR5">
        <v>2024</v>
      </c>
      <c r="VS5" t="s">
        <v>1772</v>
      </c>
      <c r="VT5" s="6">
        <v>45700</v>
      </c>
      <c r="VU5">
        <v>5</v>
      </c>
      <c r="VV5">
        <v>4153750</v>
      </c>
      <c r="VW5">
        <v>101481</v>
      </c>
      <c r="VX5" t="s">
        <v>1773</v>
      </c>
    </row>
    <row r="6" spans="1:600" x14ac:dyDescent="0.25">
      <c r="BI6" t="s">
        <v>810</v>
      </c>
      <c r="BK6">
        <v>-2.4245362661989844E-14</v>
      </c>
      <c r="BL6">
        <v>-2.4245362661989844E-14</v>
      </c>
      <c r="BM6" t="s">
        <v>1594</v>
      </c>
      <c r="BN6">
        <v>2021</v>
      </c>
      <c r="BO6" t="s">
        <v>2346</v>
      </c>
      <c r="BP6" s="6">
        <v>44693</v>
      </c>
      <c r="BQ6">
        <v>5</v>
      </c>
      <c r="BR6">
        <v>-2.4245362661989844E-14</v>
      </c>
      <c r="BS6">
        <v>101690</v>
      </c>
      <c r="BT6" t="s">
        <v>2347</v>
      </c>
      <c r="BW6" t="s">
        <v>1739</v>
      </c>
      <c r="BX6">
        <v>1.0567569999999999</v>
      </c>
      <c r="BY6" t="s">
        <v>1598</v>
      </c>
      <c r="BZ6">
        <v>0.13860900000000001</v>
      </c>
      <c r="CA6" t="s">
        <v>1664</v>
      </c>
      <c r="CB6">
        <v>2025</v>
      </c>
      <c r="CC6" t="s">
        <v>2543</v>
      </c>
      <c r="CD6" s="6">
        <v>45916</v>
      </c>
      <c r="CE6">
        <v>5</v>
      </c>
      <c r="CF6">
        <v>21980546</v>
      </c>
      <c r="CG6">
        <v>100916</v>
      </c>
      <c r="CH6" t="s">
        <v>1741</v>
      </c>
      <c r="CM6" t="s">
        <v>2266</v>
      </c>
      <c r="CN6" t="s">
        <v>1685</v>
      </c>
      <c r="CO6">
        <v>0.597939</v>
      </c>
      <c r="CP6">
        <v>5.9714000000000003E-2</v>
      </c>
      <c r="CQ6" t="s">
        <v>1594</v>
      </c>
      <c r="CR6">
        <v>2024</v>
      </c>
      <c r="CS6" t="s">
        <v>2267</v>
      </c>
      <c r="CT6" s="6">
        <v>45694</v>
      </c>
      <c r="CU6">
        <v>5</v>
      </c>
      <c r="CV6">
        <v>957052.25</v>
      </c>
      <c r="CW6">
        <v>103579</v>
      </c>
      <c r="CX6" t="s">
        <v>2268</v>
      </c>
      <c r="DA6" t="s">
        <v>1791</v>
      </c>
      <c r="DB6">
        <v>-2.4245362661989844E-14</v>
      </c>
      <c r="DD6">
        <v>-2.4245362661989844E-14</v>
      </c>
      <c r="DE6" t="s">
        <v>1792</v>
      </c>
      <c r="DF6">
        <v>2025</v>
      </c>
      <c r="DG6" t="s">
        <v>1793</v>
      </c>
      <c r="DH6" s="6">
        <v>45894</v>
      </c>
      <c r="DI6">
        <v>5</v>
      </c>
      <c r="DJ6">
        <v>-2.4245362661989844E-14</v>
      </c>
      <c r="DK6">
        <v>15149577</v>
      </c>
      <c r="DL6" t="s">
        <v>1794</v>
      </c>
      <c r="HQ6" t="s">
        <v>303</v>
      </c>
      <c r="HR6">
        <v>6.8</v>
      </c>
      <c r="HS6" t="s">
        <v>1685</v>
      </c>
      <c r="HT6">
        <v>5.4424E-2</v>
      </c>
      <c r="HU6" t="s">
        <v>1594</v>
      </c>
      <c r="HV6">
        <v>2024</v>
      </c>
      <c r="HW6" t="s">
        <v>5396</v>
      </c>
      <c r="HX6" s="6">
        <v>45707</v>
      </c>
      <c r="HY6">
        <v>5</v>
      </c>
      <c r="HZ6">
        <v>7519474</v>
      </c>
      <c r="IA6">
        <v>216952</v>
      </c>
      <c r="IB6" t="s">
        <v>1631</v>
      </c>
      <c r="IG6" t="s">
        <v>3886</v>
      </c>
      <c r="IH6" t="s">
        <v>1634</v>
      </c>
      <c r="II6">
        <v>0.87257700000000005</v>
      </c>
      <c r="IJ6">
        <v>3.4366629999999998</v>
      </c>
      <c r="IK6" t="s">
        <v>1599</v>
      </c>
      <c r="IL6">
        <v>2025</v>
      </c>
      <c r="IM6" t="s">
        <v>3887</v>
      </c>
      <c r="IN6" s="6">
        <v>45982</v>
      </c>
      <c r="IO6">
        <v>5</v>
      </c>
      <c r="IP6">
        <v>35775656</v>
      </c>
      <c r="IQ6">
        <v>100399</v>
      </c>
      <c r="IR6" t="s">
        <v>3888</v>
      </c>
      <c r="IU6" t="s">
        <v>1679</v>
      </c>
      <c r="IV6">
        <v>0.23341500000000001</v>
      </c>
      <c r="IW6" t="s">
        <v>1598</v>
      </c>
      <c r="IX6">
        <v>0.18218400000000001</v>
      </c>
      <c r="IY6" t="s">
        <v>1603</v>
      </c>
      <c r="IZ6">
        <v>2025</v>
      </c>
      <c r="JA6" t="s">
        <v>1680</v>
      </c>
      <c r="JB6" s="6">
        <v>45820</v>
      </c>
      <c r="JC6">
        <v>5</v>
      </c>
      <c r="JD6">
        <v>7427277</v>
      </c>
      <c r="JE6">
        <v>12129192</v>
      </c>
      <c r="JF6" t="s">
        <v>1681</v>
      </c>
      <c r="KO6" t="s">
        <v>3028</v>
      </c>
      <c r="KQ6">
        <v>-2.4245362661989844E-14</v>
      </c>
      <c r="KR6">
        <v>-2.4245362661989844E-14</v>
      </c>
      <c r="KS6" t="s">
        <v>1664</v>
      </c>
      <c r="KT6">
        <v>2023</v>
      </c>
      <c r="KU6" t="s">
        <v>2516</v>
      </c>
      <c r="KV6" s="6">
        <v>45146</v>
      </c>
      <c r="KW6">
        <v>5</v>
      </c>
      <c r="KX6">
        <v>-2.4245362661989844E-14</v>
      </c>
      <c r="KY6">
        <v>946185</v>
      </c>
      <c r="KZ6" t="s">
        <v>3029</v>
      </c>
      <c r="LC6" t="s">
        <v>2515</v>
      </c>
      <c r="LD6">
        <v>-2.4245362661989844E-14</v>
      </c>
      <c r="LF6">
        <v>-2.4245362661989844E-14</v>
      </c>
      <c r="LG6" t="s">
        <v>1664</v>
      </c>
      <c r="LH6">
        <v>2023</v>
      </c>
      <c r="LI6" t="s">
        <v>2516</v>
      </c>
      <c r="LJ6" s="6">
        <v>45146</v>
      </c>
      <c r="LK6">
        <v>5</v>
      </c>
      <c r="LL6">
        <v>-2.4245362661989844E-14</v>
      </c>
      <c r="LM6">
        <v>64778847</v>
      </c>
      <c r="LN6" t="s">
        <v>2517</v>
      </c>
      <c r="MW6" t="s">
        <v>2954</v>
      </c>
      <c r="MX6" t="s">
        <v>1598</v>
      </c>
      <c r="MY6">
        <v>3.8052999999999997E-2</v>
      </c>
      <c r="MZ6">
        <v>3.3156999999999999E-2</v>
      </c>
      <c r="NA6" t="s">
        <v>1664</v>
      </c>
      <c r="NB6">
        <v>2025</v>
      </c>
      <c r="NC6" t="s">
        <v>2955</v>
      </c>
      <c r="ND6" s="6">
        <v>45954</v>
      </c>
      <c r="NE6">
        <v>5</v>
      </c>
      <c r="NF6">
        <v>753034.07</v>
      </c>
      <c r="NG6">
        <v>114817</v>
      </c>
      <c r="NH6" t="s">
        <v>2956</v>
      </c>
      <c r="NK6" t="s">
        <v>2501</v>
      </c>
      <c r="NL6">
        <v>-2.4245362661989844E-14</v>
      </c>
      <c r="NN6">
        <v>-2.4245362661989844E-14</v>
      </c>
      <c r="NO6" t="s">
        <v>1594</v>
      </c>
      <c r="NP6">
        <v>2022</v>
      </c>
      <c r="NQ6" t="s">
        <v>2502</v>
      </c>
      <c r="NR6" s="6">
        <v>44994</v>
      </c>
      <c r="NS6">
        <v>2</v>
      </c>
      <c r="NT6">
        <v>-2.4245362661989844E-14</v>
      </c>
      <c r="NU6">
        <v>10498790</v>
      </c>
      <c r="NV6" t="s">
        <v>2503</v>
      </c>
      <c r="OA6" t="s">
        <v>4804</v>
      </c>
      <c r="OB6" t="s">
        <v>1598</v>
      </c>
      <c r="OC6">
        <v>4.827852</v>
      </c>
      <c r="OD6">
        <v>1.5711250000000001</v>
      </c>
      <c r="OE6" t="s">
        <v>1606</v>
      </c>
      <c r="OF6">
        <v>2025</v>
      </c>
      <c r="OG6" t="s">
        <v>4805</v>
      </c>
      <c r="OH6" s="6">
        <v>46083</v>
      </c>
      <c r="OI6">
        <v>5</v>
      </c>
      <c r="OJ6">
        <v>35581268</v>
      </c>
      <c r="OK6">
        <v>20170631</v>
      </c>
      <c r="OL6" t="s">
        <v>4806</v>
      </c>
      <c r="OO6" t="s">
        <v>1549</v>
      </c>
      <c r="OP6">
        <v>1.4937910000000001</v>
      </c>
      <c r="OQ6" t="s">
        <v>1598</v>
      </c>
      <c r="OR6">
        <v>1.4965649999999999</v>
      </c>
      <c r="OS6" t="s">
        <v>1664</v>
      </c>
      <c r="OT6">
        <v>2025</v>
      </c>
      <c r="OU6" t="s">
        <v>3638</v>
      </c>
      <c r="OV6" s="6">
        <v>45881</v>
      </c>
      <c r="OW6">
        <v>5</v>
      </c>
      <c r="OX6">
        <v>36067208</v>
      </c>
      <c r="OY6">
        <v>302887</v>
      </c>
      <c r="OZ6" t="s">
        <v>4706</v>
      </c>
      <c r="PE6" t="s">
        <v>2152</v>
      </c>
      <c r="PG6">
        <v>-2.4245362661989844E-14</v>
      </c>
      <c r="PH6">
        <v>-2.4245362661989844E-14</v>
      </c>
      <c r="PI6" t="s">
        <v>1594</v>
      </c>
      <c r="PJ6">
        <v>2021</v>
      </c>
      <c r="PK6" t="s">
        <v>2153</v>
      </c>
      <c r="PL6" s="6">
        <v>44693</v>
      </c>
      <c r="PM6">
        <v>5</v>
      </c>
      <c r="PN6">
        <v>-2.4245362661989844E-14</v>
      </c>
      <c r="PO6">
        <v>100060</v>
      </c>
      <c r="PP6" t="s">
        <v>2154</v>
      </c>
      <c r="RM6" t="s">
        <v>2796</v>
      </c>
      <c r="RN6" t="s">
        <v>1685</v>
      </c>
      <c r="RO6">
        <v>9.5382999999999996E-2</v>
      </c>
      <c r="RP6">
        <v>1.0817209999999999</v>
      </c>
      <c r="RQ6" t="s">
        <v>1603</v>
      </c>
      <c r="RR6">
        <v>2026</v>
      </c>
      <c r="RS6" t="s">
        <v>2797</v>
      </c>
      <c r="RT6" s="6">
        <v>45973</v>
      </c>
      <c r="RU6">
        <v>5</v>
      </c>
      <c r="RV6">
        <v>32671380.140000001</v>
      </c>
      <c r="RW6">
        <v>16857643</v>
      </c>
      <c r="RX6" t="s">
        <v>2798</v>
      </c>
      <c r="SA6" t="s">
        <v>2896</v>
      </c>
      <c r="SB6">
        <v>0.16034200000000001</v>
      </c>
      <c r="SC6" t="s">
        <v>1598</v>
      </c>
      <c r="SD6">
        <v>12.286398</v>
      </c>
      <c r="SE6" t="s">
        <v>1594</v>
      </c>
      <c r="SF6">
        <v>2025</v>
      </c>
      <c r="SG6" t="s">
        <v>2897</v>
      </c>
      <c r="SH6" s="6">
        <v>45856</v>
      </c>
      <c r="SI6">
        <v>5</v>
      </c>
      <c r="SJ6">
        <v>17393065.039999999</v>
      </c>
      <c r="SK6">
        <v>169572</v>
      </c>
      <c r="SL6" t="s">
        <v>2898</v>
      </c>
      <c r="VM6" t="s">
        <v>1774</v>
      </c>
      <c r="VN6">
        <v>1.359756</v>
      </c>
      <c r="VO6" t="s">
        <v>1685</v>
      </c>
      <c r="VP6">
        <v>0.14887500000000001</v>
      </c>
      <c r="VQ6" t="s">
        <v>1594</v>
      </c>
      <c r="VR6">
        <v>2024</v>
      </c>
      <c r="VS6" t="s">
        <v>1772</v>
      </c>
      <c r="VT6" s="6">
        <v>45700</v>
      </c>
      <c r="VU6">
        <v>5</v>
      </c>
      <c r="VV6">
        <v>2861750</v>
      </c>
      <c r="VW6">
        <v>100197</v>
      </c>
      <c r="VX6" t="s">
        <v>1775</v>
      </c>
    </row>
    <row r="7" spans="1:600" x14ac:dyDescent="0.25">
      <c r="BI7" t="s">
        <v>3053</v>
      </c>
      <c r="BK7">
        <v>-2.4245362661989844E-14</v>
      </c>
      <c r="BL7">
        <v>-2.4245362661989844E-14</v>
      </c>
      <c r="BM7" t="s">
        <v>1594</v>
      </c>
      <c r="BN7">
        <v>2021</v>
      </c>
      <c r="BO7" t="s">
        <v>3054</v>
      </c>
      <c r="BP7" s="6">
        <v>44693</v>
      </c>
      <c r="BQ7">
        <v>5</v>
      </c>
      <c r="BR7">
        <v>-2.4245362661989844E-14</v>
      </c>
      <c r="BS7">
        <v>101224</v>
      </c>
      <c r="BT7" t="s">
        <v>3055</v>
      </c>
      <c r="BW7" t="s">
        <v>2544</v>
      </c>
      <c r="BX7">
        <v>1.0088429999999999</v>
      </c>
      <c r="BY7" t="s">
        <v>1598</v>
      </c>
      <c r="BZ7">
        <v>0.12273000000000001</v>
      </c>
      <c r="CA7" t="s">
        <v>1664</v>
      </c>
      <c r="CB7">
        <v>2025</v>
      </c>
      <c r="CC7" t="s">
        <v>2543</v>
      </c>
      <c r="CD7" s="6">
        <v>45916</v>
      </c>
      <c r="CE7">
        <v>5</v>
      </c>
      <c r="CF7">
        <v>20983934</v>
      </c>
      <c r="CG7">
        <v>114428</v>
      </c>
      <c r="CH7" t="s">
        <v>2545</v>
      </c>
      <c r="CM7" t="s">
        <v>2269</v>
      </c>
      <c r="CN7" t="s">
        <v>1598</v>
      </c>
      <c r="CO7">
        <v>7.4065000000000006E-2</v>
      </c>
      <c r="CP7">
        <v>2.879E-3</v>
      </c>
      <c r="CQ7" t="s">
        <v>1594</v>
      </c>
      <c r="CR7">
        <v>2024</v>
      </c>
      <c r="CS7" t="s">
        <v>2270</v>
      </c>
      <c r="CT7" s="6">
        <v>45758</v>
      </c>
      <c r="CU7">
        <v>5</v>
      </c>
      <c r="CV7">
        <v>46697.46</v>
      </c>
      <c r="CW7">
        <v>130878</v>
      </c>
      <c r="CX7" t="s">
        <v>2271</v>
      </c>
      <c r="DA7" t="s">
        <v>1795</v>
      </c>
      <c r="DB7">
        <v>-2.4245362661989844E-14</v>
      </c>
      <c r="DD7">
        <v>-2.4245362661989844E-14</v>
      </c>
      <c r="DE7" t="s">
        <v>1664</v>
      </c>
      <c r="DF7">
        <v>2024</v>
      </c>
      <c r="DG7" t="s">
        <v>1796</v>
      </c>
      <c r="DH7" s="6">
        <v>45433</v>
      </c>
      <c r="DI7">
        <v>5</v>
      </c>
      <c r="DJ7">
        <v>-2.4245362661989844E-14</v>
      </c>
      <c r="DK7">
        <v>27196144</v>
      </c>
      <c r="DL7" t="s">
        <v>1797</v>
      </c>
      <c r="HQ7" t="s">
        <v>365</v>
      </c>
      <c r="HR7">
        <v>2.2999999999999998</v>
      </c>
      <c r="HS7" t="s">
        <v>1685</v>
      </c>
      <c r="HT7">
        <v>3.5388000000000003E-2</v>
      </c>
      <c r="HU7" t="s">
        <v>1594</v>
      </c>
      <c r="HV7">
        <v>2024</v>
      </c>
      <c r="HW7" t="s">
        <v>5396</v>
      </c>
      <c r="HX7" s="6">
        <v>45707</v>
      </c>
      <c r="HY7">
        <v>5</v>
      </c>
      <c r="HZ7">
        <v>2543351.5</v>
      </c>
      <c r="IA7">
        <v>100743</v>
      </c>
      <c r="IB7" t="s">
        <v>1904</v>
      </c>
      <c r="IG7" t="s">
        <v>2320</v>
      </c>
      <c r="IH7" t="s">
        <v>1634</v>
      </c>
      <c r="II7">
        <v>0.32499299999999998</v>
      </c>
      <c r="IJ7">
        <v>2.3824730000000001</v>
      </c>
      <c r="IK7" t="s">
        <v>1599</v>
      </c>
      <c r="IL7">
        <v>2025</v>
      </c>
      <c r="IM7" t="s">
        <v>2321</v>
      </c>
      <c r="IN7" s="6">
        <v>45975</v>
      </c>
      <c r="IO7">
        <v>5</v>
      </c>
      <c r="IP7">
        <v>24801542</v>
      </c>
      <c r="IQ7">
        <v>305366</v>
      </c>
      <c r="IR7" t="s">
        <v>2322</v>
      </c>
      <c r="IU7" t="s">
        <v>1645</v>
      </c>
      <c r="IV7">
        <v>0.103657</v>
      </c>
      <c r="IW7" t="s">
        <v>1598</v>
      </c>
      <c r="IX7">
        <v>0.54550299999999996</v>
      </c>
      <c r="IY7" t="s">
        <v>1599</v>
      </c>
      <c r="IZ7">
        <v>2025</v>
      </c>
      <c r="JA7" t="s">
        <v>1897</v>
      </c>
      <c r="JB7" s="6">
        <v>45840</v>
      </c>
      <c r="JC7">
        <v>5</v>
      </c>
      <c r="JD7">
        <v>3298357</v>
      </c>
      <c r="JE7">
        <v>136424</v>
      </c>
      <c r="JF7" t="s">
        <v>1647</v>
      </c>
      <c r="KO7" t="s">
        <v>3030</v>
      </c>
      <c r="KQ7">
        <v>-2.4245362661989844E-14</v>
      </c>
      <c r="KR7">
        <v>-2.4245362661989844E-14</v>
      </c>
      <c r="KS7" t="s">
        <v>1594</v>
      </c>
      <c r="KT7">
        <v>2022</v>
      </c>
      <c r="KU7" t="s">
        <v>2519</v>
      </c>
      <c r="KV7" s="6">
        <v>44986</v>
      </c>
      <c r="KW7">
        <v>5</v>
      </c>
      <c r="KX7">
        <v>-2.4245362661989844E-14</v>
      </c>
      <c r="KY7">
        <v>11778012</v>
      </c>
      <c r="KZ7" t="s">
        <v>3031</v>
      </c>
      <c r="LC7" t="s">
        <v>2518</v>
      </c>
      <c r="LD7">
        <v>-2.4245362661989844E-14</v>
      </c>
      <c r="LF7">
        <v>-2.4245362661989844E-14</v>
      </c>
      <c r="LG7" t="s">
        <v>1594</v>
      </c>
      <c r="LH7">
        <v>2022</v>
      </c>
      <c r="LI7" t="s">
        <v>2519</v>
      </c>
      <c r="LJ7" s="6">
        <v>44986</v>
      </c>
      <c r="LK7">
        <v>5</v>
      </c>
      <c r="LL7">
        <v>-2.4245362661989844E-14</v>
      </c>
      <c r="LM7">
        <v>62317360</v>
      </c>
      <c r="LN7" t="s">
        <v>2520</v>
      </c>
      <c r="MW7" t="s">
        <v>2957</v>
      </c>
      <c r="MX7" t="s">
        <v>1598</v>
      </c>
      <c r="MY7">
        <v>8.6390000000000008E-3</v>
      </c>
      <c r="MZ7">
        <v>2.8081999999999999E-2</v>
      </c>
      <c r="NA7" t="s">
        <v>1664</v>
      </c>
      <c r="NB7">
        <v>2025</v>
      </c>
      <c r="NC7" t="s">
        <v>2958</v>
      </c>
      <c r="ND7" s="6">
        <v>45951</v>
      </c>
      <c r="NE7">
        <v>5</v>
      </c>
      <c r="NF7">
        <v>637757.78</v>
      </c>
      <c r="NG7">
        <v>115439</v>
      </c>
      <c r="NH7" t="s">
        <v>2959</v>
      </c>
      <c r="OA7" t="s">
        <v>4807</v>
      </c>
      <c r="OB7" t="s">
        <v>1598</v>
      </c>
      <c r="OC7">
        <v>0.51363000000000003</v>
      </c>
      <c r="OD7">
        <v>0.49836399999999997</v>
      </c>
      <c r="OE7" t="s">
        <v>1664</v>
      </c>
      <c r="OF7">
        <v>2025</v>
      </c>
      <c r="OG7" t="s">
        <v>4808</v>
      </c>
      <c r="OH7" s="6">
        <v>45897</v>
      </c>
      <c r="OI7">
        <v>5</v>
      </c>
      <c r="OJ7">
        <v>9938741</v>
      </c>
      <c r="OK7">
        <v>13954993</v>
      </c>
      <c r="OL7" t="s">
        <v>4809</v>
      </c>
      <c r="OO7" t="s">
        <v>4707</v>
      </c>
      <c r="OP7">
        <v>0.86696899999999999</v>
      </c>
      <c r="OQ7" t="s">
        <v>1598</v>
      </c>
      <c r="OR7">
        <v>1.3495980000000001</v>
      </c>
      <c r="OS7" t="s">
        <v>1664</v>
      </c>
      <c r="OT7">
        <v>2025</v>
      </c>
      <c r="OU7" t="s">
        <v>3638</v>
      </c>
      <c r="OV7" s="6">
        <v>45881</v>
      </c>
      <c r="OW7">
        <v>5</v>
      </c>
      <c r="OX7">
        <v>20932750</v>
      </c>
      <c r="OY7">
        <v>171775</v>
      </c>
      <c r="OZ7" t="s">
        <v>4708</v>
      </c>
      <c r="PE7" t="s">
        <v>810</v>
      </c>
      <c r="PG7">
        <v>-2.4245362661989844E-14</v>
      </c>
      <c r="PH7">
        <v>-2.4245362661989844E-14</v>
      </c>
      <c r="PI7" t="s">
        <v>1594</v>
      </c>
      <c r="PJ7">
        <v>2021</v>
      </c>
      <c r="PK7" t="s">
        <v>2346</v>
      </c>
      <c r="PL7" s="6">
        <v>44693</v>
      </c>
      <c r="PM7">
        <v>5</v>
      </c>
      <c r="PN7">
        <v>-2.4245362661989844E-14</v>
      </c>
      <c r="PO7">
        <v>101690</v>
      </c>
      <c r="PP7" t="s">
        <v>2347</v>
      </c>
      <c r="RM7" t="s">
        <v>2335</v>
      </c>
      <c r="RN7" t="s">
        <v>1598</v>
      </c>
      <c r="RO7">
        <v>0.54199799999999998</v>
      </c>
      <c r="RP7">
        <v>0.58194000000000001</v>
      </c>
      <c r="RQ7" t="s">
        <v>1664</v>
      </c>
      <c r="RR7">
        <v>2026</v>
      </c>
      <c r="RS7" t="s">
        <v>2336</v>
      </c>
      <c r="RT7" s="6">
        <v>46071</v>
      </c>
      <c r="RU7">
        <v>5</v>
      </c>
      <c r="RV7">
        <v>29533472</v>
      </c>
      <c r="RW7">
        <v>61417091</v>
      </c>
      <c r="RX7" t="s">
        <v>2337</v>
      </c>
      <c r="SA7" t="s">
        <v>2899</v>
      </c>
      <c r="SB7">
        <v>4.6823999999999998E-2</v>
      </c>
      <c r="SC7" t="s">
        <v>1598</v>
      </c>
      <c r="SD7">
        <v>12.031086999999999</v>
      </c>
      <c r="SE7" t="s">
        <v>1594</v>
      </c>
      <c r="SF7">
        <v>2024</v>
      </c>
      <c r="SG7" t="s">
        <v>2900</v>
      </c>
      <c r="SH7" s="6">
        <v>45785</v>
      </c>
      <c r="SI7">
        <v>5</v>
      </c>
      <c r="SJ7">
        <v>5010938.38</v>
      </c>
      <c r="SK7">
        <v>33604341</v>
      </c>
      <c r="SL7" t="s">
        <v>2901</v>
      </c>
      <c r="VM7" t="s">
        <v>1776</v>
      </c>
      <c r="VN7">
        <v>1.3462149999999999</v>
      </c>
      <c r="VO7" t="s">
        <v>1685</v>
      </c>
      <c r="VP7">
        <v>0.33844200000000002</v>
      </c>
      <c r="VQ7" t="s">
        <v>1594</v>
      </c>
      <c r="VR7">
        <v>2024</v>
      </c>
      <c r="VS7" t="s">
        <v>1772</v>
      </c>
      <c r="VT7" s="6">
        <v>45700</v>
      </c>
      <c r="VU7">
        <v>5</v>
      </c>
      <c r="VV7">
        <v>2833250</v>
      </c>
      <c r="VW7">
        <v>106586</v>
      </c>
      <c r="VX7" t="s">
        <v>1777</v>
      </c>
    </row>
    <row r="8" spans="1:600" x14ac:dyDescent="0.25">
      <c r="BI8" t="s">
        <v>3056</v>
      </c>
      <c r="BK8">
        <v>-2.4245362661989844E-14</v>
      </c>
      <c r="BL8">
        <v>-2.4245362661989844E-14</v>
      </c>
      <c r="BM8" t="s">
        <v>1594</v>
      </c>
      <c r="BN8">
        <v>2021</v>
      </c>
      <c r="BO8" t="s">
        <v>3057</v>
      </c>
      <c r="BP8" s="6">
        <v>44693</v>
      </c>
      <c r="BQ8">
        <v>5</v>
      </c>
      <c r="BR8">
        <v>-2.4245362661989844E-14</v>
      </c>
      <c r="BS8">
        <v>101225</v>
      </c>
      <c r="BT8" t="s">
        <v>3058</v>
      </c>
      <c r="BW8" t="s">
        <v>1866</v>
      </c>
      <c r="BX8">
        <v>0.91420599999999996</v>
      </c>
      <c r="BY8" t="s">
        <v>1598</v>
      </c>
      <c r="BZ8">
        <v>0.138595</v>
      </c>
      <c r="CA8" t="s">
        <v>1664</v>
      </c>
      <c r="CB8">
        <v>2025</v>
      </c>
      <c r="CC8" t="s">
        <v>2543</v>
      </c>
      <c r="CD8" s="6">
        <v>45916</v>
      </c>
      <c r="CE8">
        <v>5</v>
      </c>
      <c r="CF8">
        <v>19015484</v>
      </c>
      <c r="CG8">
        <v>112571</v>
      </c>
      <c r="CH8" t="s">
        <v>1867</v>
      </c>
      <c r="CM8" t="s">
        <v>2272</v>
      </c>
      <c r="CN8" t="s">
        <v>1634</v>
      </c>
      <c r="CO8">
        <v>2.0240000000000002E-3</v>
      </c>
      <c r="CP8">
        <v>2.6168E-2</v>
      </c>
      <c r="CQ8" t="s">
        <v>1599</v>
      </c>
      <c r="CR8">
        <v>2025</v>
      </c>
      <c r="CS8" t="s">
        <v>2273</v>
      </c>
      <c r="CT8" s="6">
        <v>45964</v>
      </c>
      <c r="CU8">
        <v>5</v>
      </c>
      <c r="CV8">
        <v>10506</v>
      </c>
      <c r="CW8">
        <v>16546862</v>
      </c>
      <c r="CX8" t="s">
        <v>2274</v>
      </c>
      <c r="DA8" t="s">
        <v>1798</v>
      </c>
      <c r="DB8">
        <v>-2.4245362661989844E-14</v>
      </c>
      <c r="DD8">
        <v>-2.4245362661989844E-14</v>
      </c>
      <c r="DE8" t="s">
        <v>1594</v>
      </c>
      <c r="DF8">
        <v>2024</v>
      </c>
      <c r="DG8" t="s">
        <v>1799</v>
      </c>
      <c r="DH8" s="6">
        <v>45771</v>
      </c>
      <c r="DI8">
        <v>5</v>
      </c>
      <c r="DJ8">
        <v>-2.4245362661989844E-14</v>
      </c>
      <c r="DK8">
        <v>135686</v>
      </c>
      <c r="DL8" t="s">
        <v>1800</v>
      </c>
      <c r="HQ8" t="s">
        <v>5397</v>
      </c>
      <c r="HR8">
        <v>1.6</v>
      </c>
      <c r="HT8">
        <v>-2.4245362661989844E-14</v>
      </c>
      <c r="HU8" t="s">
        <v>1594</v>
      </c>
      <c r="HV8">
        <v>2024</v>
      </c>
      <c r="HW8" t="s">
        <v>5396</v>
      </c>
      <c r="HX8" s="6">
        <v>45707</v>
      </c>
      <c r="HY8">
        <v>5</v>
      </c>
      <c r="HZ8">
        <v>1769288</v>
      </c>
      <c r="IA8">
        <v>305911</v>
      </c>
      <c r="IB8" t="s">
        <v>5398</v>
      </c>
      <c r="IG8" t="s">
        <v>1639</v>
      </c>
      <c r="IH8" t="s">
        <v>1634</v>
      </c>
      <c r="II8">
        <v>3.774562</v>
      </c>
      <c r="IJ8">
        <v>1.7094309999999999</v>
      </c>
      <c r="IK8" t="s">
        <v>1606</v>
      </c>
      <c r="IL8">
        <v>2024</v>
      </c>
      <c r="IM8" t="s">
        <v>3889</v>
      </c>
      <c r="IN8" s="6">
        <v>45736</v>
      </c>
      <c r="IO8">
        <v>5</v>
      </c>
      <c r="IP8">
        <v>15641294</v>
      </c>
      <c r="IQ8">
        <v>10092517</v>
      </c>
      <c r="IR8" t="s">
        <v>1641</v>
      </c>
      <c r="IU8" t="s">
        <v>1894</v>
      </c>
      <c r="IV8">
        <v>4.7757000000000001E-2</v>
      </c>
      <c r="IW8" t="s">
        <v>1598</v>
      </c>
      <c r="IX8">
        <v>9.2510999999999996E-2</v>
      </c>
      <c r="IY8" t="s">
        <v>1606</v>
      </c>
      <c r="IZ8">
        <v>2025</v>
      </c>
      <c r="JA8" t="s">
        <v>1895</v>
      </c>
      <c r="JB8" s="6">
        <v>46091</v>
      </c>
      <c r="JC8">
        <v>5</v>
      </c>
      <c r="JD8">
        <v>1452302</v>
      </c>
      <c r="JE8">
        <v>156637</v>
      </c>
      <c r="JF8" t="s">
        <v>1896</v>
      </c>
      <c r="KO8" t="s">
        <v>3032</v>
      </c>
      <c r="KQ8">
        <v>-2.4245362661989844E-14</v>
      </c>
      <c r="KR8">
        <v>-2.4245362661989844E-14</v>
      </c>
      <c r="KS8" t="s">
        <v>1664</v>
      </c>
      <c r="KT8">
        <v>2022</v>
      </c>
      <c r="KU8" t="s">
        <v>3033</v>
      </c>
      <c r="KV8" s="6">
        <v>44817</v>
      </c>
      <c r="KW8">
        <v>5</v>
      </c>
      <c r="KX8">
        <v>-2.4245362661989844E-14</v>
      </c>
      <c r="KY8">
        <v>29596182</v>
      </c>
      <c r="KZ8" t="s">
        <v>3034</v>
      </c>
      <c r="LC8" t="s">
        <v>2521</v>
      </c>
      <c r="LD8">
        <v>-2.4245362661989844E-14</v>
      </c>
      <c r="LF8">
        <v>-2.4245362661989844E-14</v>
      </c>
      <c r="LG8" t="s">
        <v>1664</v>
      </c>
      <c r="LH8">
        <v>2023</v>
      </c>
      <c r="LI8" t="s">
        <v>2516</v>
      </c>
      <c r="LJ8" s="6">
        <v>45146</v>
      </c>
      <c r="LK8">
        <v>5</v>
      </c>
      <c r="LL8">
        <v>-2.4245362661989844E-14</v>
      </c>
      <c r="LM8">
        <v>7749970</v>
      </c>
      <c r="LN8" t="s">
        <v>2522</v>
      </c>
      <c r="MW8" t="s">
        <v>2960</v>
      </c>
      <c r="MX8" t="s">
        <v>1598</v>
      </c>
      <c r="MY8">
        <v>3.1126000000000001E-2</v>
      </c>
      <c r="MZ8">
        <v>3.6621000000000001E-2</v>
      </c>
      <c r="NA8" t="s">
        <v>1599</v>
      </c>
      <c r="NB8">
        <v>2025</v>
      </c>
      <c r="NC8" t="s">
        <v>2961</v>
      </c>
      <c r="ND8" s="6">
        <v>45974</v>
      </c>
      <c r="NE8">
        <v>5</v>
      </c>
      <c r="NF8">
        <v>617178.78</v>
      </c>
      <c r="NG8">
        <v>128163</v>
      </c>
      <c r="NH8" t="s">
        <v>2962</v>
      </c>
      <c r="OA8" t="s">
        <v>4810</v>
      </c>
      <c r="OB8" t="s">
        <v>1598</v>
      </c>
      <c r="OC8">
        <v>7</v>
      </c>
      <c r="OD8">
        <v>0.44464399999999998</v>
      </c>
      <c r="OE8" t="s">
        <v>1594</v>
      </c>
      <c r="OF8">
        <v>2025</v>
      </c>
      <c r="OG8" t="s">
        <v>4811</v>
      </c>
      <c r="OH8" s="6">
        <v>46084</v>
      </c>
      <c r="OI8">
        <v>5</v>
      </c>
      <c r="OJ8">
        <v>9563522</v>
      </c>
      <c r="OK8">
        <v>21463932</v>
      </c>
      <c r="OL8" t="s">
        <v>4812</v>
      </c>
      <c r="OO8" t="s">
        <v>4709</v>
      </c>
      <c r="OP8">
        <v>0.84917500000000001</v>
      </c>
      <c r="OQ8" t="s">
        <v>1598</v>
      </c>
      <c r="OR8">
        <v>0.57015099999999996</v>
      </c>
      <c r="OS8" t="s">
        <v>1664</v>
      </c>
      <c r="OT8">
        <v>2025</v>
      </c>
      <c r="OU8" t="s">
        <v>3638</v>
      </c>
      <c r="OV8" s="6">
        <v>45881</v>
      </c>
      <c r="OW8">
        <v>5</v>
      </c>
      <c r="OX8">
        <v>20503118</v>
      </c>
      <c r="OY8">
        <v>11293680</v>
      </c>
      <c r="OZ8" t="s">
        <v>4710</v>
      </c>
      <c r="PE8" t="s">
        <v>110</v>
      </c>
      <c r="PG8">
        <v>-2.4245362661989844E-14</v>
      </c>
      <c r="PH8">
        <v>-2.4245362661989844E-14</v>
      </c>
      <c r="PI8" t="s">
        <v>1594</v>
      </c>
      <c r="PJ8">
        <v>2021</v>
      </c>
      <c r="PK8" t="s">
        <v>4239</v>
      </c>
      <c r="PL8" s="6">
        <v>44693</v>
      </c>
      <c r="PM8">
        <v>5</v>
      </c>
      <c r="PN8">
        <v>-2.4245362661989844E-14</v>
      </c>
      <c r="PO8">
        <v>100193</v>
      </c>
      <c r="PP8" t="s">
        <v>3708</v>
      </c>
      <c r="RM8" t="s">
        <v>3376</v>
      </c>
      <c r="RN8" t="s">
        <v>1598</v>
      </c>
      <c r="RO8">
        <v>0.634911</v>
      </c>
      <c r="RP8">
        <v>0.46775099999999997</v>
      </c>
      <c r="RQ8" t="s">
        <v>1606</v>
      </c>
      <c r="RR8">
        <v>2025</v>
      </c>
      <c r="RS8" t="s">
        <v>3377</v>
      </c>
      <c r="RT8" s="6">
        <v>46072</v>
      </c>
      <c r="RU8">
        <v>5</v>
      </c>
      <c r="RV8">
        <v>23653411.170000002</v>
      </c>
      <c r="RW8">
        <v>70579391</v>
      </c>
      <c r="RX8" t="s">
        <v>3378</v>
      </c>
      <c r="SA8" t="s">
        <v>2902</v>
      </c>
      <c r="SB8">
        <v>1.312E-2</v>
      </c>
      <c r="SC8" t="s">
        <v>1598</v>
      </c>
      <c r="SD8">
        <v>1.7301280000000001</v>
      </c>
      <c r="SE8" t="s">
        <v>1651</v>
      </c>
      <c r="SF8">
        <v>2025</v>
      </c>
      <c r="SG8" t="s">
        <v>2903</v>
      </c>
      <c r="SH8" s="6">
        <v>45975</v>
      </c>
      <c r="SI8">
        <v>5</v>
      </c>
      <c r="SJ8">
        <v>1435299.06</v>
      </c>
      <c r="SK8">
        <v>12025725</v>
      </c>
      <c r="SL8" t="s">
        <v>2904</v>
      </c>
      <c r="VM8" t="s">
        <v>1778</v>
      </c>
      <c r="VN8">
        <v>1.3055890000000001</v>
      </c>
      <c r="VP8">
        <v>-2.4245362661989844E-14</v>
      </c>
      <c r="VQ8" t="s">
        <v>1594</v>
      </c>
      <c r="VR8">
        <v>2024</v>
      </c>
      <c r="VS8" t="s">
        <v>1772</v>
      </c>
      <c r="VT8" s="6">
        <v>45700</v>
      </c>
      <c r="VU8">
        <v>5</v>
      </c>
      <c r="VV8">
        <v>2747750</v>
      </c>
      <c r="VW8">
        <v>119389</v>
      </c>
      <c r="VX8" t="s">
        <v>1779</v>
      </c>
    </row>
    <row r="9" spans="1:600" x14ac:dyDescent="0.25">
      <c r="BI9" t="s">
        <v>3059</v>
      </c>
      <c r="BK9">
        <v>-2.4245362661989844E-14</v>
      </c>
      <c r="BL9">
        <v>-2.4245362661989844E-14</v>
      </c>
      <c r="BM9" t="s">
        <v>1594</v>
      </c>
      <c r="BN9">
        <v>2021</v>
      </c>
      <c r="BO9" t="s">
        <v>3060</v>
      </c>
      <c r="BP9" s="6">
        <v>44693</v>
      </c>
      <c r="BQ9">
        <v>5</v>
      </c>
      <c r="BR9">
        <v>-2.4245362661989844E-14</v>
      </c>
      <c r="BS9">
        <v>101315</v>
      </c>
      <c r="BT9" t="s">
        <v>3061</v>
      </c>
      <c r="BW9" t="s">
        <v>2546</v>
      </c>
      <c r="BX9">
        <v>0.81113800000000003</v>
      </c>
      <c r="BY9" t="s">
        <v>1598</v>
      </c>
      <c r="BZ9">
        <v>8.5227999999999998E-2</v>
      </c>
      <c r="CA9" t="s">
        <v>1664</v>
      </c>
      <c r="CB9">
        <v>2025</v>
      </c>
      <c r="CC9" t="s">
        <v>2543</v>
      </c>
      <c r="CD9" s="6">
        <v>45916</v>
      </c>
      <c r="CE9">
        <v>5</v>
      </c>
      <c r="CF9">
        <v>16871670</v>
      </c>
      <c r="CG9">
        <v>100109</v>
      </c>
      <c r="CH9" t="s">
        <v>2547</v>
      </c>
      <c r="CM9" t="s">
        <v>2275</v>
      </c>
      <c r="CN9" t="s">
        <v>1598</v>
      </c>
      <c r="CO9">
        <v>1.2467000000000001E-2</v>
      </c>
      <c r="CP9">
        <v>4.5800000000000002E-4</v>
      </c>
      <c r="CQ9" t="s">
        <v>1664</v>
      </c>
      <c r="CR9">
        <v>2025</v>
      </c>
      <c r="CS9" t="s">
        <v>2276</v>
      </c>
      <c r="CT9" s="6">
        <v>45744</v>
      </c>
      <c r="CU9">
        <v>5</v>
      </c>
      <c r="CV9">
        <v>6232.4</v>
      </c>
      <c r="CW9">
        <v>28653435</v>
      </c>
      <c r="CX9" t="s">
        <v>2277</v>
      </c>
      <c r="DA9" t="s">
        <v>1801</v>
      </c>
      <c r="DB9">
        <v>-2.4245362661989844E-14</v>
      </c>
      <c r="DD9">
        <v>-2.4245362661989844E-14</v>
      </c>
      <c r="DE9" t="s">
        <v>1594</v>
      </c>
      <c r="DF9">
        <v>2022</v>
      </c>
      <c r="DG9" t="s">
        <v>1802</v>
      </c>
      <c r="DH9" s="6">
        <v>45083</v>
      </c>
      <c r="DI9">
        <v>5</v>
      </c>
      <c r="DJ9">
        <v>-2.4245362661989844E-14</v>
      </c>
      <c r="DK9">
        <v>34532225</v>
      </c>
      <c r="DL9" t="s">
        <v>1803</v>
      </c>
      <c r="HQ9" t="s">
        <v>5399</v>
      </c>
      <c r="HR9">
        <v>1.5</v>
      </c>
      <c r="HS9" t="s">
        <v>1685</v>
      </c>
      <c r="HT9">
        <v>0.62795800000000002</v>
      </c>
      <c r="HU9" t="s">
        <v>1594</v>
      </c>
      <c r="HV9">
        <v>2024</v>
      </c>
      <c r="HW9" t="s">
        <v>5396</v>
      </c>
      <c r="HX9" s="6">
        <v>45707</v>
      </c>
      <c r="HY9">
        <v>5</v>
      </c>
      <c r="HZ9">
        <v>1658707.5</v>
      </c>
      <c r="IA9">
        <v>27262161</v>
      </c>
      <c r="IB9" t="s">
        <v>5400</v>
      </c>
      <c r="IG9" t="s">
        <v>2041</v>
      </c>
      <c r="IH9" t="s">
        <v>1634</v>
      </c>
      <c r="II9">
        <v>1.4444140000000001</v>
      </c>
      <c r="IJ9">
        <v>1.9580120000000001</v>
      </c>
      <c r="IK9" t="s">
        <v>1603</v>
      </c>
      <c r="IL9">
        <v>2025</v>
      </c>
      <c r="IM9" t="s">
        <v>3890</v>
      </c>
      <c r="IN9" s="6">
        <v>45812</v>
      </c>
      <c r="IO9">
        <v>5</v>
      </c>
      <c r="IP9">
        <v>15487874</v>
      </c>
      <c r="IQ9">
        <v>211040</v>
      </c>
      <c r="IR9" t="s">
        <v>2043</v>
      </c>
      <c r="IU9" t="s">
        <v>3727</v>
      </c>
      <c r="IV9">
        <v>-2.4245362661989844E-14</v>
      </c>
      <c r="IX9">
        <v>-2.4245362661989844E-14</v>
      </c>
      <c r="IY9" t="s">
        <v>1606</v>
      </c>
      <c r="IZ9">
        <v>2025</v>
      </c>
      <c r="JA9" t="s">
        <v>3728</v>
      </c>
      <c r="JB9" s="6">
        <v>46056</v>
      </c>
      <c r="JC9">
        <v>5</v>
      </c>
      <c r="JD9">
        <v>-2.4245362661989844E-14</v>
      </c>
      <c r="JE9">
        <v>202508</v>
      </c>
      <c r="JF9" t="s">
        <v>3729</v>
      </c>
      <c r="KO9" t="s">
        <v>3035</v>
      </c>
      <c r="KQ9">
        <v>-2.4245362661989844E-14</v>
      </c>
      <c r="KR9">
        <v>-2.4245362661989844E-14</v>
      </c>
      <c r="KS9" t="s">
        <v>1594</v>
      </c>
      <c r="KT9">
        <v>2022</v>
      </c>
      <c r="KU9" t="s">
        <v>2519</v>
      </c>
      <c r="KV9" s="6">
        <v>44986</v>
      </c>
      <c r="KW9">
        <v>5</v>
      </c>
      <c r="KX9">
        <v>-2.4245362661989844E-14</v>
      </c>
      <c r="KY9">
        <v>14703138</v>
      </c>
      <c r="KZ9" t="s">
        <v>3036</v>
      </c>
      <c r="LC9" t="s">
        <v>2523</v>
      </c>
      <c r="LD9">
        <v>-2.4245362661989844E-14</v>
      </c>
      <c r="LF9">
        <v>-2.4245362661989844E-14</v>
      </c>
      <c r="LG9" t="s">
        <v>1664</v>
      </c>
      <c r="LH9">
        <v>2023</v>
      </c>
      <c r="LI9" t="s">
        <v>2516</v>
      </c>
      <c r="LJ9" s="6">
        <v>45146</v>
      </c>
      <c r="LK9">
        <v>5</v>
      </c>
      <c r="LL9">
        <v>-2.4245362661989844E-14</v>
      </c>
      <c r="LM9">
        <v>26132526</v>
      </c>
      <c r="LN9" t="s">
        <v>2524</v>
      </c>
      <c r="MW9" t="s">
        <v>1742</v>
      </c>
      <c r="MX9" t="s">
        <v>1598</v>
      </c>
      <c r="MY9">
        <v>3.4840000000000001E-3</v>
      </c>
      <c r="MZ9">
        <v>1.7006E-2</v>
      </c>
      <c r="NA9" t="s">
        <v>1606</v>
      </c>
      <c r="NB9">
        <v>2024</v>
      </c>
      <c r="NC9" t="s">
        <v>2963</v>
      </c>
      <c r="ND9" s="6">
        <v>45740</v>
      </c>
      <c r="NE9">
        <v>5</v>
      </c>
      <c r="NF9">
        <v>375380.08</v>
      </c>
      <c r="NG9">
        <v>115688</v>
      </c>
      <c r="NH9" t="s">
        <v>1743</v>
      </c>
      <c r="OA9" t="s">
        <v>993</v>
      </c>
      <c r="OB9" t="s">
        <v>1598</v>
      </c>
      <c r="OC9">
        <v>7.8826999999999994E-2</v>
      </c>
      <c r="OD9">
        <v>0.34162700000000001</v>
      </c>
      <c r="OE9" t="s">
        <v>1664</v>
      </c>
      <c r="OF9">
        <v>2025</v>
      </c>
      <c r="OG9" t="s">
        <v>3638</v>
      </c>
      <c r="OH9" s="6">
        <v>45881</v>
      </c>
      <c r="OI9">
        <v>5</v>
      </c>
      <c r="OJ9">
        <v>6812982</v>
      </c>
      <c r="OK9">
        <v>100419</v>
      </c>
      <c r="OL9" t="s">
        <v>4089</v>
      </c>
      <c r="OO9" t="s">
        <v>4711</v>
      </c>
      <c r="OP9">
        <v>0.61002299999999998</v>
      </c>
      <c r="OQ9" t="s">
        <v>1598</v>
      </c>
      <c r="OR9">
        <v>1.964583</v>
      </c>
      <c r="OS9" t="s">
        <v>1664</v>
      </c>
      <c r="OT9">
        <v>2025</v>
      </c>
      <c r="OU9" t="s">
        <v>3638</v>
      </c>
      <c r="OV9" s="6">
        <v>45881</v>
      </c>
      <c r="OW9">
        <v>5</v>
      </c>
      <c r="OX9">
        <v>14728853</v>
      </c>
      <c r="OY9">
        <v>110753</v>
      </c>
      <c r="OZ9" t="s">
        <v>4712</v>
      </c>
      <c r="PE9" t="s">
        <v>172</v>
      </c>
      <c r="PG9">
        <v>-2.4245362661989844E-14</v>
      </c>
      <c r="PH9">
        <v>-2.4245362661989844E-14</v>
      </c>
      <c r="PI9" t="s">
        <v>1594</v>
      </c>
      <c r="PJ9">
        <v>2021</v>
      </c>
      <c r="PK9" t="s">
        <v>4240</v>
      </c>
      <c r="PL9" s="6">
        <v>44693</v>
      </c>
      <c r="PM9">
        <v>5</v>
      </c>
      <c r="PN9">
        <v>-2.4245362661989844E-14</v>
      </c>
      <c r="PO9">
        <v>100481</v>
      </c>
      <c r="PP9" t="s">
        <v>4241</v>
      </c>
      <c r="RM9" t="s">
        <v>3379</v>
      </c>
      <c r="RN9" t="s">
        <v>1598</v>
      </c>
      <c r="RO9">
        <v>0.81015999999999999</v>
      </c>
      <c r="RP9">
        <v>0.38313000000000003</v>
      </c>
      <c r="RQ9" t="s">
        <v>1599</v>
      </c>
      <c r="RR9">
        <v>2025</v>
      </c>
      <c r="RS9" t="s">
        <v>3380</v>
      </c>
      <c r="RT9" s="6">
        <v>46050</v>
      </c>
      <c r="RU9">
        <v>5</v>
      </c>
      <c r="RV9">
        <v>19443840</v>
      </c>
      <c r="RW9">
        <v>32348903</v>
      </c>
      <c r="RX9" t="s">
        <v>3381</v>
      </c>
      <c r="SA9" t="s">
        <v>2905</v>
      </c>
      <c r="SB9">
        <v>1.312E-2</v>
      </c>
      <c r="SC9" t="s">
        <v>1598</v>
      </c>
      <c r="SD9">
        <v>1.9811540000000001</v>
      </c>
      <c r="SE9" t="s">
        <v>1651</v>
      </c>
      <c r="SF9">
        <v>2025</v>
      </c>
      <c r="SG9" t="s">
        <v>2906</v>
      </c>
      <c r="SH9" s="6">
        <v>45975</v>
      </c>
      <c r="SI9">
        <v>5</v>
      </c>
      <c r="SJ9">
        <v>1435298.82</v>
      </c>
      <c r="SK9">
        <v>128948</v>
      </c>
      <c r="SL9" t="s">
        <v>2907</v>
      </c>
      <c r="VM9" t="s">
        <v>531</v>
      </c>
      <c r="VN9">
        <v>0.99139699999999997</v>
      </c>
      <c r="VO9" t="s">
        <v>1685</v>
      </c>
      <c r="VP9">
        <v>4.4498000000000003E-2</v>
      </c>
      <c r="VQ9" t="s">
        <v>1594</v>
      </c>
      <c r="VR9">
        <v>2024</v>
      </c>
      <c r="VS9" t="s">
        <v>1772</v>
      </c>
      <c r="VT9" s="6">
        <v>45700</v>
      </c>
      <c r="VU9">
        <v>5</v>
      </c>
      <c r="VV9">
        <v>2086499</v>
      </c>
      <c r="VW9">
        <v>69491275</v>
      </c>
      <c r="VX9" t="s">
        <v>1780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1156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1157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1158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1159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1160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1161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1162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1163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1164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1165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1166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1167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1168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1169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1170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1171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1172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1173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1174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368</v>
      </c>
      <c r="AE2" s="3" t="s">
        <v>78</v>
      </c>
      <c r="BI2" s="3" t="s">
        <v>1175</v>
      </c>
      <c r="CM2" s="3" t="s">
        <v>1176</v>
      </c>
      <c r="DQ2" s="3" t="s">
        <v>1177</v>
      </c>
      <c r="EU2" s="3" t="s">
        <v>745</v>
      </c>
      <c r="FY2" s="3" t="s">
        <v>1178</v>
      </c>
      <c r="HC2" s="3" t="s">
        <v>23</v>
      </c>
      <c r="IG2" s="3" t="s">
        <v>1179</v>
      </c>
      <c r="JK2" s="3" t="s">
        <v>397</v>
      </c>
      <c r="KO2" s="3" t="s">
        <v>1180</v>
      </c>
      <c r="LS2" s="3" t="s">
        <v>1181</v>
      </c>
      <c r="MW2" s="3" t="s">
        <v>80</v>
      </c>
      <c r="OA2" s="3" t="s">
        <v>32</v>
      </c>
      <c r="PE2" s="3" t="s">
        <v>1182</v>
      </c>
      <c r="QI2" s="3" t="s">
        <v>1183</v>
      </c>
      <c r="RM2" s="3" t="s">
        <v>497</v>
      </c>
      <c r="SQ2" s="3" t="s">
        <v>1184</v>
      </c>
      <c r="TU2" s="3" t="s">
        <v>1185</v>
      </c>
      <c r="UY2" s="3" t="s">
        <v>21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_xll.BDS("CAG US Equity","SUPPLY_CHAIN_SUPPLIERS_ALL_DATA","cols=12;rows=5")</f>
        <v>AMCR US Equity</v>
      </c>
      <c r="B5" t="s">
        <v>1598</v>
      </c>
      <c r="C5">
        <v>0.77134499999999995</v>
      </c>
      <c r="D5">
        <v>1.952799</v>
      </c>
      <c r="E5" t="s">
        <v>1664</v>
      </c>
      <c r="F5">
        <v>2026</v>
      </c>
      <c r="G5" t="s">
        <v>2336</v>
      </c>
      <c r="H5" s="6">
        <v>46071</v>
      </c>
      <c r="I5">
        <v>5</v>
      </c>
      <c r="J5">
        <v>42030588</v>
      </c>
      <c r="K5">
        <v>61417091</v>
      </c>
      <c r="L5" t="s">
        <v>2337</v>
      </c>
      <c r="O5" t="str">
        <f>_xll.BDS("CAG US Equity","SUPPLY_CHAIN_CUSTOMERS_ALL_DATA","cols=12;rows=5")</f>
        <v>WMT US Equity</v>
      </c>
      <c r="P5">
        <v>29</v>
      </c>
      <c r="Q5" t="s">
        <v>1598</v>
      </c>
      <c r="R5">
        <v>0.65440100000000001</v>
      </c>
      <c r="S5" t="s">
        <v>1594</v>
      </c>
      <c r="T5">
        <v>2025</v>
      </c>
      <c r="U5" t="s">
        <v>2709</v>
      </c>
      <c r="V5" s="6">
        <v>45848</v>
      </c>
      <c r="W5">
        <v>5</v>
      </c>
      <c r="X5">
        <v>841928000</v>
      </c>
      <c r="Y5">
        <v>101616</v>
      </c>
      <c r="Z5" t="s">
        <v>1666</v>
      </c>
      <c r="AE5" t="str">
        <f>_xll.BDS("nan Equity","SUPPLY_CHAIN_SUPPLIERS_ALL_DATA")</f>
        <v>#N/A N/A</v>
      </c>
      <c r="AS5" t="str">
        <f>_xll.BDS("nan Equity","SUPPLY_CHAIN_CUSTOMERS_ALL_DATA")</f>
        <v>#N/A N/A</v>
      </c>
      <c r="BI5" t="str">
        <f>_xll.BDS("HPC US Equity","SUPPLY_CHAIN_SUPPLIERS_ALL_DATA")</f>
        <v>#N/A N/A</v>
      </c>
      <c r="BW5" t="str">
        <f>_xll.BDS("HPC US Equity","SUPPLY_CHAIN_CUSTOMERS_ALL_DATA")</f>
        <v>#N/A N/A</v>
      </c>
      <c r="CM5" t="str">
        <f>_xll.BDS("CADE US Equity","SUPPLY_CHAIN_SUPPLIERS_ALL_DATA","cols=12;rows=3")</f>
        <v>15647Z US Equity</v>
      </c>
      <c r="CO5">
        <v>-2.4245362661989844E-14</v>
      </c>
      <c r="CP5">
        <v>-2.4245362661989844E-14</v>
      </c>
      <c r="CQ5" t="s">
        <v>1594</v>
      </c>
      <c r="CR5">
        <v>2025</v>
      </c>
      <c r="CS5" t="s">
        <v>4160</v>
      </c>
      <c r="CT5" s="6">
        <v>45960</v>
      </c>
      <c r="CU5">
        <v>3</v>
      </c>
      <c r="CV5">
        <v>-2.4245362661989844E-14</v>
      </c>
      <c r="CW5">
        <v>852237</v>
      </c>
      <c r="CX5" t="s">
        <v>4161</v>
      </c>
      <c r="DA5" t="str">
        <f>_xll.BDS("CADE US Equity","SUPPLY_CHAIN_CUSTOMERS_ALL_DATA")</f>
        <v>#N/A N/A</v>
      </c>
      <c r="DQ5" t="str">
        <f>_xll.BDS("PCP US Equity","SUPPLY_CHAIN_SUPPLIERS_ALL_DATA","cols=12;rows=1")</f>
        <v>FE US Equity</v>
      </c>
      <c r="DS5">
        <v>-2.4245362661989844E-14</v>
      </c>
      <c r="DT5">
        <v>-2.4245362661989844E-14</v>
      </c>
      <c r="DU5" t="s">
        <v>1594</v>
      </c>
      <c r="DV5">
        <v>2021</v>
      </c>
      <c r="DW5" t="s">
        <v>3048</v>
      </c>
      <c r="DX5" s="6">
        <v>44693</v>
      </c>
      <c r="DY5">
        <v>1</v>
      </c>
      <c r="DZ5">
        <v>-2.4245362661989844E-14</v>
      </c>
      <c r="EA5">
        <v>302916</v>
      </c>
      <c r="EB5" t="s">
        <v>3049</v>
      </c>
      <c r="EE5" t="str">
        <f>_xll.BDS("PCP US Equity","SUPPLY_CHAIN_CUSTOMERS_ALL_DATA")</f>
        <v>#N/A N/A</v>
      </c>
      <c r="EU5" t="str">
        <f>_xll.BDS("GE US Equity","SUPPLY_CHAIN_SUPPLIERS_ALL_DATA","cols=12;rows=5")</f>
        <v>SAF FP Equity</v>
      </c>
      <c r="EV5" t="s">
        <v>1598</v>
      </c>
      <c r="EW5">
        <v>7.9101749999999997</v>
      </c>
      <c r="EX5">
        <v>9.7364909999999991</v>
      </c>
      <c r="EY5" t="s">
        <v>1664</v>
      </c>
      <c r="EZ5">
        <v>2025</v>
      </c>
      <c r="FA5" t="s">
        <v>2132</v>
      </c>
      <c r="FB5" s="6">
        <v>45874</v>
      </c>
      <c r="FC5">
        <v>5</v>
      </c>
      <c r="FD5">
        <v>666294015.34000003</v>
      </c>
      <c r="FE5">
        <v>115519</v>
      </c>
      <c r="FF5" t="s">
        <v>2133</v>
      </c>
      <c r="FI5" t="str">
        <f>_xll.BDS("GE US Equity","SUPPLY_CHAIN_CUSTOMERS_ALL_DATA","cols=12;rows=5")</f>
        <v>3352Z US Equity</v>
      </c>
      <c r="FJ5">
        <v>10</v>
      </c>
      <c r="FL5">
        <v>-2.4245362661989844E-14</v>
      </c>
      <c r="FM5" t="s">
        <v>1594</v>
      </c>
      <c r="FN5">
        <v>2025</v>
      </c>
      <c r="FO5" t="s">
        <v>1957</v>
      </c>
      <c r="FP5" s="6">
        <v>46051</v>
      </c>
      <c r="FQ5">
        <v>5</v>
      </c>
      <c r="FR5">
        <v>1146375040</v>
      </c>
      <c r="FS5">
        <v>218252</v>
      </c>
      <c r="FT5" t="s">
        <v>1622</v>
      </c>
      <c r="FY5" t="str">
        <f>_xll.BDS("RUN US Equity","SUPPLY_CHAIN_SUPPLIERS_ALL_DATA","cols=12;rows=5")</f>
        <v>002459 CH Equity</v>
      </c>
      <c r="GA5">
        <v>-2.4245362661989844E-14</v>
      </c>
      <c r="GB5">
        <v>-2.4245362661989844E-14</v>
      </c>
      <c r="GC5" t="s">
        <v>1792</v>
      </c>
      <c r="GD5">
        <v>2024</v>
      </c>
      <c r="GE5" t="s">
        <v>3014</v>
      </c>
      <c r="GF5" s="6">
        <v>45534</v>
      </c>
      <c r="GG5">
        <v>5</v>
      </c>
      <c r="GH5">
        <v>-2.4245362661989844E-14</v>
      </c>
      <c r="GI5">
        <v>18170741</v>
      </c>
      <c r="GJ5" t="s">
        <v>3015</v>
      </c>
      <c r="GM5" t="str">
        <f>_xll.BDS("RUN US Equity","SUPPLY_CHAIN_CUSTOMERS_ALL_DATA","cols=12;rows=5")</f>
        <v>1469434D US Equity</v>
      </c>
      <c r="GN5">
        <v>-2.4245362661989844E-14</v>
      </c>
      <c r="GP5">
        <v>-2.4245362661989844E-14</v>
      </c>
      <c r="GQ5" t="s">
        <v>1594</v>
      </c>
      <c r="GR5">
        <v>2024</v>
      </c>
      <c r="GS5" t="s">
        <v>2504</v>
      </c>
      <c r="GT5" s="6">
        <v>45315</v>
      </c>
      <c r="GU5">
        <v>5</v>
      </c>
      <c r="GV5">
        <v>-2.4245362661989844E-14</v>
      </c>
      <c r="GW5">
        <v>51818686</v>
      </c>
      <c r="GX5" t="s">
        <v>2505</v>
      </c>
      <c r="HC5" t="str">
        <f>_xll.BDS("BMY US Equity","SUPPLY_CHAIN_SUPPLIERS_ALL_DATA","cols=12;rows=5")</f>
        <v>PFE US Equity</v>
      </c>
      <c r="HD5" t="s">
        <v>1598</v>
      </c>
      <c r="HE5">
        <v>11.153900999999999</v>
      </c>
      <c r="HF5">
        <v>50.086109</v>
      </c>
      <c r="HG5" t="s">
        <v>1594</v>
      </c>
      <c r="HH5">
        <v>2025</v>
      </c>
      <c r="HI5" t="s">
        <v>1765</v>
      </c>
      <c r="HJ5" s="6">
        <v>46064</v>
      </c>
      <c r="HK5">
        <v>5</v>
      </c>
      <c r="HL5">
        <v>1745000000</v>
      </c>
      <c r="HM5">
        <v>101166</v>
      </c>
      <c r="HN5" t="s">
        <v>2119</v>
      </c>
      <c r="HQ5" t="str">
        <f>_xll.BDS("BMY US Equity","SUPPLY_CHAIN_CUSTOMERS_ALL_DATA","cols=12;rows=5")</f>
        <v>MCK US Equity</v>
      </c>
      <c r="HR5">
        <v>36</v>
      </c>
      <c r="HS5" t="s">
        <v>1598</v>
      </c>
      <c r="HT5">
        <v>4.5203889999999998</v>
      </c>
      <c r="HU5" t="s">
        <v>1594</v>
      </c>
      <c r="HV5">
        <v>2025</v>
      </c>
      <c r="HW5" t="s">
        <v>1765</v>
      </c>
      <c r="HX5" s="6">
        <v>46064</v>
      </c>
      <c r="HY5">
        <v>5</v>
      </c>
      <c r="HZ5">
        <v>4337460224</v>
      </c>
      <c r="IA5">
        <v>154936</v>
      </c>
      <c r="IB5" t="s">
        <v>1766</v>
      </c>
      <c r="IG5" t="str">
        <f>_xll.BDS("WEN US Equity","SUPPLY_CHAIN_SUPPLIERS_ALL_DATA","cols=12;rows=5")</f>
        <v>KO US Equity</v>
      </c>
      <c r="IH5" t="s">
        <v>1598</v>
      </c>
      <c r="II5">
        <v>1.0342E-2</v>
      </c>
      <c r="IJ5">
        <v>0.61166399999999999</v>
      </c>
      <c r="IK5" t="s">
        <v>1603</v>
      </c>
      <c r="IL5">
        <v>2025</v>
      </c>
      <c r="IM5" t="s">
        <v>5409</v>
      </c>
      <c r="IN5" s="6">
        <v>45853</v>
      </c>
      <c r="IO5">
        <v>5</v>
      </c>
      <c r="IP5">
        <v>1150961</v>
      </c>
      <c r="IQ5">
        <v>100355</v>
      </c>
      <c r="IR5" t="s">
        <v>5410</v>
      </c>
      <c r="IU5" t="str">
        <f>_xll.BDS("WEN US Equity","SUPPLY_CHAIN_CUSTOMERS_ALL_DATA","cols=12;rows=5")</f>
        <v>MKS LN Equity</v>
      </c>
      <c r="IV5">
        <v>6.7389000000000004E-2</v>
      </c>
      <c r="IW5" t="s">
        <v>1598</v>
      </c>
      <c r="IX5">
        <v>1.1951E-2</v>
      </c>
      <c r="IY5" t="s">
        <v>1599</v>
      </c>
      <c r="IZ5">
        <v>2026</v>
      </c>
      <c r="JA5" t="s">
        <v>5375</v>
      </c>
      <c r="JB5" s="6">
        <v>46077</v>
      </c>
      <c r="JC5">
        <v>5</v>
      </c>
      <c r="JD5">
        <v>365934.87</v>
      </c>
      <c r="JE5">
        <v>111927</v>
      </c>
      <c r="JF5" t="s">
        <v>5376</v>
      </c>
      <c r="JK5" t="str">
        <f>_xll.BDS("WMB US Equity","SUPPLY_CHAIN_SUPPLIERS_ALL_DATA","cols=12;rows=5")</f>
        <v>PWR US Equity</v>
      </c>
      <c r="JL5" t="s">
        <v>1634</v>
      </c>
      <c r="JM5">
        <v>0.62114000000000003</v>
      </c>
      <c r="JN5">
        <v>4.9687349999999997</v>
      </c>
      <c r="JO5" t="s">
        <v>1599</v>
      </c>
      <c r="JP5">
        <v>2025</v>
      </c>
      <c r="JQ5" t="s">
        <v>2321</v>
      </c>
      <c r="JR5" s="6">
        <v>45975</v>
      </c>
      <c r="JS5">
        <v>5</v>
      </c>
      <c r="JT5">
        <v>47401728</v>
      </c>
      <c r="JU5">
        <v>305366</v>
      </c>
      <c r="JV5" t="s">
        <v>2322</v>
      </c>
      <c r="JY5" t="str">
        <f>_xll.BDS("WMB US Equity","SUPPLY_CHAIN_CUSTOMERS_ALL_DATA","cols=12;rows=5")</f>
        <v>3352Z US Equity</v>
      </c>
      <c r="JZ5">
        <v>-2.4245362661989844E-14</v>
      </c>
      <c r="KB5">
        <v>-2.4245362661989844E-14</v>
      </c>
      <c r="KC5" t="s">
        <v>1594</v>
      </c>
      <c r="KD5">
        <v>2023</v>
      </c>
      <c r="KE5" t="s">
        <v>2745</v>
      </c>
      <c r="KF5" s="6">
        <v>45216</v>
      </c>
      <c r="KG5">
        <v>5</v>
      </c>
      <c r="KH5">
        <v>-2.4245362661989844E-14</v>
      </c>
      <c r="KI5">
        <v>218252</v>
      </c>
      <c r="KJ5" t="s">
        <v>1622</v>
      </c>
      <c r="KO5" t="str">
        <f>_xll.BDS("VALPQ US Equity","SUPPLY_CHAIN_SUPPLIERS_ALL_DATA","cols=12;rows=1")</f>
        <v>042660 KS Equity</v>
      </c>
      <c r="KQ5">
        <v>-2.4245362661989844E-14</v>
      </c>
      <c r="KR5">
        <v>-2.4245362661989844E-14</v>
      </c>
      <c r="KS5" t="s">
        <v>1594</v>
      </c>
      <c r="KT5">
        <v>2021</v>
      </c>
      <c r="KU5" t="s">
        <v>4470</v>
      </c>
      <c r="KV5" s="6">
        <v>44634</v>
      </c>
      <c r="KW5">
        <v>1</v>
      </c>
      <c r="KX5">
        <v>-2.4245362661989844E-14</v>
      </c>
      <c r="KY5">
        <v>815794</v>
      </c>
      <c r="KZ5" t="s">
        <v>4471</v>
      </c>
      <c r="LC5" t="str">
        <f>_xll.BDS("VALPQ US Equity","SUPPLY_CHAIN_CUSTOMERS_ALL_DATA")</f>
        <v>#N/A N/A</v>
      </c>
      <c r="LS5" t="str">
        <f>_xll.BDS("9990822D US Equity","SUPPLY_CHAIN_SUPPLIERS_ALL_DATA","cols=12;rows=1")</f>
        <v>AMZN US Equity</v>
      </c>
      <c r="LU5">
        <v>-2.4245362661989844E-14</v>
      </c>
      <c r="LV5">
        <v>-2.4245362661989844E-14</v>
      </c>
      <c r="LW5" t="s">
        <v>1594</v>
      </c>
      <c r="LX5">
        <v>2025</v>
      </c>
      <c r="LY5" t="s">
        <v>4215</v>
      </c>
      <c r="LZ5" s="6">
        <v>45993</v>
      </c>
      <c r="MA5">
        <v>1</v>
      </c>
      <c r="MB5">
        <v>-2.4245362661989844E-14</v>
      </c>
      <c r="MC5">
        <v>216952</v>
      </c>
      <c r="MD5" t="s">
        <v>1631</v>
      </c>
      <c r="MG5" t="str">
        <f>_xll.BDS("9990822D US Equity","SUPPLY_CHAIN_CUSTOMERS_ALL_DATA","cols=12;rows=3")</f>
        <v>0759608D US Equity</v>
      </c>
      <c r="MH5">
        <v>-2.4245362661989844E-14</v>
      </c>
      <c r="MJ5">
        <v>-2.4245362661989844E-14</v>
      </c>
      <c r="MK5" t="s">
        <v>1594</v>
      </c>
      <c r="ML5">
        <v>2023</v>
      </c>
      <c r="MM5" t="s">
        <v>4255</v>
      </c>
      <c r="MN5" s="6">
        <v>44972</v>
      </c>
      <c r="MO5">
        <v>3</v>
      </c>
      <c r="MP5">
        <v>-2.4245362661989844E-14</v>
      </c>
      <c r="MQ5">
        <v>22120244</v>
      </c>
      <c r="MR5" t="s">
        <v>4256</v>
      </c>
      <c r="MW5" t="str">
        <f>_xll.BDS("MDT US Equity","SUPPLY_CHAIN_SUPPLIERS_ALL_DATA","cols=12;rows=5")</f>
        <v>FLEX US Equity</v>
      </c>
      <c r="MX5" t="s">
        <v>1598</v>
      </c>
      <c r="MY5">
        <v>1.2190190000000001</v>
      </c>
      <c r="MZ5">
        <v>2.8758149999999998</v>
      </c>
      <c r="NA5" t="s">
        <v>1599</v>
      </c>
      <c r="NB5">
        <v>2025</v>
      </c>
      <c r="NC5" t="s">
        <v>2557</v>
      </c>
      <c r="ND5" s="6">
        <v>45763</v>
      </c>
      <c r="NE5">
        <v>5</v>
      </c>
      <c r="NF5">
        <v>79918888</v>
      </c>
      <c r="NG5">
        <v>136547</v>
      </c>
      <c r="NH5" t="s">
        <v>2558</v>
      </c>
      <c r="NK5" t="str">
        <f>_xll.BDS("MDT US Equity","SUPPLY_CHAIN_CUSTOMERS_ALL_DATA","cols=12;rows=5")</f>
        <v>4104 TT Equity</v>
      </c>
      <c r="NL5">
        <v>0.20070099999999999</v>
      </c>
      <c r="NM5" t="s">
        <v>1598</v>
      </c>
      <c r="NN5">
        <v>32.397697000000001</v>
      </c>
      <c r="NO5" t="s">
        <v>1594</v>
      </c>
      <c r="NP5">
        <v>2024</v>
      </c>
      <c r="NQ5" t="s">
        <v>3693</v>
      </c>
      <c r="NR5" s="6">
        <v>45814</v>
      </c>
      <c r="NS5">
        <v>5</v>
      </c>
      <c r="NT5">
        <v>17028014.890000001</v>
      </c>
      <c r="NU5">
        <v>7324380</v>
      </c>
      <c r="NV5" t="s">
        <v>3694</v>
      </c>
      <c r="OA5" t="str">
        <f>_xll.BDS("CVS US Equity","SUPPLY_CHAIN_SUPPLIERS_ALL_DATA","cols=12;rows=5")</f>
        <v>MCK US Equity</v>
      </c>
      <c r="OB5" t="s">
        <v>1598</v>
      </c>
      <c r="OC5">
        <v>24</v>
      </c>
      <c r="OD5">
        <v>26.455601000000001</v>
      </c>
      <c r="OE5" t="s">
        <v>1594</v>
      </c>
      <c r="OF5">
        <v>2025</v>
      </c>
      <c r="OG5" t="s">
        <v>2431</v>
      </c>
      <c r="OH5" s="6">
        <v>45786</v>
      </c>
      <c r="OI5">
        <v>5</v>
      </c>
      <c r="OJ5">
        <v>21543059456</v>
      </c>
      <c r="OK5">
        <v>154936</v>
      </c>
      <c r="OL5" t="s">
        <v>1766</v>
      </c>
      <c r="OO5" t="str">
        <f>_xll.BDS("CVS US Equity","SUPPLY_CHAIN_CUSTOMERS_ALL_DATA","cols=12;rows=5")</f>
        <v>3352Z US Equity</v>
      </c>
      <c r="OP5">
        <v>20</v>
      </c>
      <c r="OR5">
        <v>-2.4245362661989844E-14</v>
      </c>
      <c r="OS5" t="s">
        <v>1594</v>
      </c>
      <c r="OT5">
        <v>2025</v>
      </c>
      <c r="OU5" t="s">
        <v>3587</v>
      </c>
      <c r="OV5" s="6">
        <v>46063</v>
      </c>
      <c r="OW5">
        <v>5</v>
      </c>
      <c r="OX5">
        <v>20103350272</v>
      </c>
      <c r="OY5">
        <v>218252</v>
      </c>
      <c r="OZ5" t="s">
        <v>1622</v>
      </c>
      <c r="PE5" t="str">
        <f>_xll.BDS("LRCX US Equity","SUPPLY_CHAIN_SUPPLIERS_ALL_DATA","cols=12;rows=5")</f>
        <v>UCTT US Equity</v>
      </c>
      <c r="PF5" t="s">
        <v>1598</v>
      </c>
      <c r="PG5">
        <v>37</v>
      </c>
      <c r="PH5">
        <v>7.3633649999999999</v>
      </c>
      <c r="PI5" t="s">
        <v>1594</v>
      </c>
      <c r="PJ5">
        <v>2025</v>
      </c>
      <c r="PK5" t="s">
        <v>3322</v>
      </c>
      <c r="PL5" s="6">
        <v>46076</v>
      </c>
      <c r="PM5">
        <v>5</v>
      </c>
      <c r="PN5">
        <v>189995008</v>
      </c>
      <c r="PO5">
        <v>8597928</v>
      </c>
      <c r="PP5" t="s">
        <v>3323</v>
      </c>
      <c r="PS5" t="str">
        <f>_xll.BDS("LRCX US Equity","SUPPLY_CHAIN_CUSTOMERS_ALL_DATA","cols=12;rows=5")</f>
        <v>2330 TT Equity</v>
      </c>
      <c r="PT5">
        <v>18.001533999999999</v>
      </c>
      <c r="PU5" t="s">
        <v>1634</v>
      </c>
      <c r="PV5">
        <v>8.3687039999999993</v>
      </c>
      <c r="PW5" t="s">
        <v>1664</v>
      </c>
      <c r="PX5">
        <v>2026</v>
      </c>
      <c r="PY5" t="s">
        <v>2583</v>
      </c>
      <c r="PZ5" s="6">
        <v>46063</v>
      </c>
      <c r="QA5">
        <v>5</v>
      </c>
      <c r="QB5">
        <v>962144320</v>
      </c>
      <c r="QC5">
        <v>153737</v>
      </c>
      <c r="QD5" t="s">
        <v>2584</v>
      </c>
      <c r="QI5" t="str">
        <f>_xll.BDS("GXP US Equity","SUPPLY_CHAIN_SUPPLIERS_ALL_DATA")</f>
        <v>#N/A N/A</v>
      </c>
      <c r="QW5" t="str">
        <f>_xll.BDS("GXP US Equity","SUPPLY_CHAIN_CUSTOMERS_ALL_DATA")</f>
        <v>#N/A N/A</v>
      </c>
      <c r="RM5" t="str">
        <f>_xll.BDS("CELG US Equity","SUPPLY_CHAIN_SUPPLIERS_ALL_DATA","cols=12;rows=1")</f>
        <v>FE US Equity</v>
      </c>
      <c r="RO5">
        <v>-2.4245362661989844E-14</v>
      </c>
      <c r="RP5">
        <v>-2.4245362661989844E-14</v>
      </c>
      <c r="RQ5" t="s">
        <v>1594</v>
      </c>
      <c r="RR5">
        <v>2021</v>
      </c>
      <c r="RS5" t="s">
        <v>3048</v>
      </c>
      <c r="RT5" s="6">
        <v>44693</v>
      </c>
      <c r="RU5">
        <v>1</v>
      </c>
      <c r="RV5">
        <v>-2.4245362661989844E-14</v>
      </c>
      <c r="RW5">
        <v>302916</v>
      </c>
      <c r="RX5" t="s">
        <v>3049</v>
      </c>
      <c r="SA5" t="str">
        <f>_xll.BDS("CELG US Equity","SUPPLY_CHAIN_CUSTOMERS_ALL_DATA")</f>
        <v>#N/A N/A</v>
      </c>
      <c r="SQ5" t="str">
        <f>_xll.BDS("PVH US Equity","SUPPLY_CHAIN_SUPPLIERS_ALL_DATA","cols=12;rows=5")</f>
        <v>BABA US Equity</v>
      </c>
      <c r="SR5" t="s">
        <v>1685</v>
      </c>
      <c r="SS5">
        <v>0.104313</v>
      </c>
      <c r="ST5">
        <v>3.1842860000000002</v>
      </c>
      <c r="SU5" t="s">
        <v>1603</v>
      </c>
      <c r="SV5">
        <v>2026</v>
      </c>
      <c r="SW5" t="s">
        <v>2797</v>
      </c>
      <c r="SX5" s="6">
        <v>45973</v>
      </c>
      <c r="SY5">
        <v>5</v>
      </c>
      <c r="SZ5">
        <v>35730158.82</v>
      </c>
      <c r="TA5">
        <v>16857643</v>
      </c>
      <c r="TB5" t="s">
        <v>2798</v>
      </c>
      <c r="TE5" t="str">
        <f>_xll.BDS("PVH US Equity","SUPPLY_CHAIN_CUSTOMERS_ALL_DATA","cols=12;rows=5")</f>
        <v>M US Equity</v>
      </c>
      <c r="TF5">
        <v>3.9025400000000001</v>
      </c>
      <c r="TG5" t="s">
        <v>1598</v>
      </c>
      <c r="TH5">
        <v>2.7696170000000002</v>
      </c>
      <c r="TI5" t="s">
        <v>1603</v>
      </c>
      <c r="TJ5">
        <v>2026</v>
      </c>
      <c r="TK5" t="s">
        <v>4927</v>
      </c>
      <c r="TL5" s="6">
        <v>45874</v>
      </c>
      <c r="TM5">
        <v>5</v>
      </c>
      <c r="TN5">
        <v>77410784</v>
      </c>
      <c r="TO5">
        <v>100562</v>
      </c>
      <c r="TP5" t="s">
        <v>4599</v>
      </c>
      <c r="TU5" t="str">
        <f>_xll.BDS("ASH US Equity","SUPPLY_CHAIN_SUPPLIERS_ALL_DATA","cols=12;rows=5")</f>
        <v>HUN US Equity</v>
      </c>
      <c r="TV5" t="s">
        <v>1598</v>
      </c>
      <c r="TW5">
        <v>2.6832999999999999E-2</v>
      </c>
      <c r="TX5">
        <v>0.12939000000000001</v>
      </c>
      <c r="TY5" t="s">
        <v>1606</v>
      </c>
      <c r="TZ5">
        <v>2025</v>
      </c>
      <c r="UA5" t="s">
        <v>1935</v>
      </c>
      <c r="UB5" s="6">
        <v>46086</v>
      </c>
      <c r="UC5">
        <v>5</v>
      </c>
      <c r="UD5">
        <v>363587</v>
      </c>
      <c r="UE5">
        <v>9188256</v>
      </c>
      <c r="UF5" t="s">
        <v>1936</v>
      </c>
      <c r="UI5" t="str">
        <f>_xll.BDS("ASH US Equity","SUPPLY_CHAIN_CUSTOMERS_ALL_DATA","cols=12;rows=5")</f>
        <v>BNR GR Equity</v>
      </c>
      <c r="UJ5">
        <v>0.12971199999999999</v>
      </c>
      <c r="UK5" t="s">
        <v>1598</v>
      </c>
      <c r="UL5">
        <v>1.8297000000000001E-2</v>
      </c>
      <c r="UM5" t="s">
        <v>1664</v>
      </c>
      <c r="UN5">
        <v>2025</v>
      </c>
      <c r="UO5" t="s">
        <v>4412</v>
      </c>
      <c r="UP5" s="6">
        <v>45944</v>
      </c>
      <c r="UQ5">
        <v>5</v>
      </c>
      <c r="UR5">
        <v>600327.14</v>
      </c>
      <c r="US5">
        <v>1135366</v>
      </c>
      <c r="UT5" t="s">
        <v>2414</v>
      </c>
      <c r="UY5" t="str">
        <f>_xll.BDS("T US Equity","SUPPLY_CHAIN_SUPPLIERS_ALL_DATA","cols=12;rows=5")</f>
        <v>AAPL US Equity</v>
      </c>
      <c r="UZ5" t="s">
        <v>1598</v>
      </c>
      <c r="VA5">
        <v>1.2812509999999999</v>
      </c>
      <c r="VB5">
        <v>9.9289989999999992</v>
      </c>
      <c r="VC5" t="s">
        <v>1664</v>
      </c>
      <c r="VD5">
        <v>2025</v>
      </c>
      <c r="VE5" t="s">
        <v>3183</v>
      </c>
      <c r="VF5" s="6">
        <v>45863</v>
      </c>
      <c r="VG5">
        <v>5</v>
      </c>
      <c r="VH5">
        <v>1221788160</v>
      </c>
      <c r="VI5">
        <v>101695</v>
      </c>
      <c r="VJ5" t="s">
        <v>1919</v>
      </c>
      <c r="VM5" t="str">
        <f>_xll.BDS("T US Equity","SUPPLY_CHAIN_CUSTOMERS_ALL_DATA","cols=12;rows=5")</f>
        <v>IBM US Equity</v>
      </c>
      <c r="VN5">
        <v>0.86485599999999996</v>
      </c>
      <c r="VO5" t="s">
        <v>1598</v>
      </c>
      <c r="VP5">
        <v>4.0630959999999998</v>
      </c>
      <c r="VQ5" t="s">
        <v>1603</v>
      </c>
      <c r="VR5">
        <v>2025</v>
      </c>
      <c r="VS5" t="s">
        <v>1744</v>
      </c>
      <c r="VT5" s="6">
        <v>45797</v>
      </c>
      <c r="VU5">
        <v>5</v>
      </c>
      <c r="VV5">
        <v>264507552</v>
      </c>
      <c r="VW5">
        <v>100801</v>
      </c>
      <c r="VX5" t="s">
        <v>1745</v>
      </c>
    </row>
    <row r="6" spans="1:600" x14ac:dyDescent="0.25">
      <c r="A6" t="s">
        <v>3599</v>
      </c>
      <c r="B6" t="s">
        <v>1598</v>
      </c>
      <c r="C6">
        <v>0.88658599999999999</v>
      </c>
      <c r="D6">
        <v>1.5828880000000001</v>
      </c>
      <c r="E6" t="s">
        <v>1599</v>
      </c>
      <c r="F6">
        <v>2024</v>
      </c>
      <c r="G6" t="s">
        <v>3600</v>
      </c>
      <c r="H6" s="6">
        <v>45686</v>
      </c>
      <c r="I6">
        <v>5</v>
      </c>
      <c r="J6">
        <v>34497060</v>
      </c>
      <c r="K6">
        <v>12271051</v>
      </c>
      <c r="L6" t="s">
        <v>3601</v>
      </c>
      <c r="O6" t="s">
        <v>311</v>
      </c>
      <c r="P6">
        <v>5.1173909999999996</v>
      </c>
      <c r="Q6" t="s">
        <v>1598</v>
      </c>
      <c r="R6">
        <v>0.57236200000000004</v>
      </c>
      <c r="S6" t="s">
        <v>1664</v>
      </c>
      <c r="T6">
        <v>2026</v>
      </c>
      <c r="U6" t="s">
        <v>2710</v>
      </c>
      <c r="V6" s="6">
        <v>46020</v>
      </c>
      <c r="W6">
        <v>5</v>
      </c>
      <c r="X6">
        <v>148568096</v>
      </c>
      <c r="Y6">
        <v>100864</v>
      </c>
      <c r="Z6" t="s">
        <v>1668</v>
      </c>
      <c r="CM6" t="s">
        <v>4162</v>
      </c>
      <c r="CO6">
        <v>-2.4245362661989844E-14</v>
      </c>
      <c r="CP6">
        <v>-2.4245362661989844E-14</v>
      </c>
      <c r="CQ6" t="s">
        <v>1594</v>
      </c>
      <c r="CR6">
        <v>2023</v>
      </c>
      <c r="CS6" t="s">
        <v>4163</v>
      </c>
      <c r="CT6" s="6">
        <v>45383</v>
      </c>
      <c r="CU6">
        <v>3</v>
      </c>
      <c r="CV6">
        <v>-2.4245362661989844E-14</v>
      </c>
      <c r="CW6">
        <v>1183488</v>
      </c>
      <c r="CX6" t="s">
        <v>4164</v>
      </c>
      <c r="EU6" t="s">
        <v>2628</v>
      </c>
      <c r="EV6" t="s">
        <v>1598</v>
      </c>
      <c r="EW6">
        <v>13.760432</v>
      </c>
      <c r="EX6">
        <v>4.7536569999999996</v>
      </c>
      <c r="EY6" t="s">
        <v>1664</v>
      </c>
      <c r="EZ6">
        <v>2025</v>
      </c>
      <c r="FA6" t="s">
        <v>2629</v>
      </c>
      <c r="FB6" s="6">
        <v>45937</v>
      </c>
      <c r="FC6">
        <v>5</v>
      </c>
      <c r="FD6">
        <v>325305405.77999997</v>
      </c>
      <c r="FE6">
        <v>8445936</v>
      </c>
      <c r="FF6" t="s">
        <v>2630</v>
      </c>
      <c r="FI6" t="s">
        <v>872</v>
      </c>
      <c r="FJ6">
        <v>9.2636719999999997</v>
      </c>
      <c r="FK6" t="s">
        <v>1598</v>
      </c>
      <c r="FL6">
        <v>5.0267530000000002</v>
      </c>
      <c r="FM6" t="s">
        <v>1664</v>
      </c>
      <c r="FN6">
        <v>2025</v>
      </c>
      <c r="FO6" t="s">
        <v>1958</v>
      </c>
      <c r="FP6" s="6">
        <v>45888</v>
      </c>
      <c r="FQ6">
        <v>5</v>
      </c>
      <c r="FR6">
        <v>1021134592</v>
      </c>
      <c r="FS6">
        <v>100211</v>
      </c>
      <c r="FT6" t="s">
        <v>1632</v>
      </c>
      <c r="FY6" t="s">
        <v>3016</v>
      </c>
      <c r="GA6">
        <v>-2.4245362661989844E-14</v>
      </c>
      <c r="GB6">
        <v>-2.4245362661989844E-14</v>
      </c>
      <c r="GC6" t="s">
        <v>1594</v>
      </c>
      <c r="GD6">
        <v>2024</v>
      </c>
      <c r="GE6" t="s">
        <v>2507</v>
      </c>
      <c r="GF6" s="6">
        <v>45370</v>
      </c>
      <c r="GG6">
        <v>5</v>
      </c>
      <c r="GH6">
        <v>-2.4245362661989844E-14</v>
      </c>
      <c r="GI6">
        <v>8199934</v>
      </c>
      <c r="GJ6" t="s">
        <v>3017</v>
      </c>
      <c r="GM6" t="s">
        <v>2506</v>
      </c>
      <c r="GN6">
        <v>-2.4245362661989844E-14</v>
      </c>
      <c r="GP6">
        <v>-2.4245362661989844E-14</v>
      </c>
      <c r="GQ6" t="s">
        <v>1594</v>
      </c>
      <c r="GR6">
        <v>2026</v>
      </c>
      <c r="GS6" t="s">
        <v>2507</v>
      </c>
      <c r="GT6" s="6">
        <v>46056</v>
      </c>
      <c r="GU6">
        <v>5</v>
      </c>
      <c r="GV6">
        <v>-2.4245362661989844E-14</v>
      </c>
      <c r="GW6">
        <v>67602091</v>
      </c>
      <c r="GX6" t="s">
        <v>2508</v>
      </c>
      <c r="HC6" t="s">
        <v>2120</v>
      </c>
      <c r="HD6" t="s">
        <v>1598</v>
      </c>
      <c r="HE6">
        <v>25.6</v>
      </c>
      <c r="HF6">
        <v>5.8001680000000002</v>
      </c>
      <c r="HG6" t="s">
        <v>1594</v>
      </c>
      <c r="HH6">
        <v>2025</v>
      </c>
      <c r="HI6" t="s">
        <v>2121</v>
      </c>
      <c r="HJ6" s="6">
        <v>45827</v>
      </c>
      <c r="HK6">
        <v>5</v>
      </c>
      <c r="HL6">
        <v>204217368.44999999</v>
      </c>
      <c r="HM6">
        <v>114514</v>
      </c>
      <c r="HN6" t="s">
        <v>2122</v>
      </c>
      <c r="HQ6" t="s">
        <v>959</v>
      </c>
      <c r="HR6">
        <v>29</v>
      </c>
      <c r="HS6" t="s">
        <v>1598</v>
      </c>
      <c r="HT6">
        <v>4.4540850000000001</v>
      </c>
      <c r="HU6" t="s">
        <v>1594</v>
      </c>
      <c r="HV6">
        <v>2025</v>
      </c>
      <c r="HW6" t="s">
        <v>1765</v>
      </c>
      <c r="HX6" s="6">
        <v>46064</v>
      </c>
      <c r="HY6">
        <v>5</v>
      </c>
      <c r="HZ6">
        <v>3494064896</v>
      </c>
      <c r="IA6">
        <v>156969</v>
      </c>
      <c r="IB6" t="s">
        <v>1767</v>
      </c>
      <c r="IG6" t="s">
        <v>3602</v>
      </c>
      <c r="IH6" t="s">
        <v>1598</v>
      </c>
      <c r="II6">
        <v>3.3864999999999999E-2</v>
      </c>
      <c r="IJ6">
        <v>0.351217</v>
      </c>
      <c r="IK6" t="s">
        <v>1606</v>
      </c>
      <c r="IL6">
        <v>2025</v>
      </c>
      <c r="IM6" t="s">
        <v>3603</v>
      </c>
      <c r="IN6" s="6">
        <v>46076</v>
      </c>
      <c r="IO6">
        <v>5</v>
      </c>
      <c r="IP6">
        <v>712181</v>
      </c>
      <c r="IQ6">
        <v>187274</v>
      </c>
      <c r="IR6" t="s">
        <v>3604</v>
      </c>
      <c r="IU6" t="s">
        <v>5377</v>
      </c>
      <c r="IV6">
        <v>-2.4245362661989844E-14</v>
      </c>
      <c r="IX6">
        <v>-2.4245362661989844E-14</v>
      </c>
      <c r="IY6" t="s">
        <v>1594</v>
      </c>
      <c r="IZ6">
        <v>2023</v>
      </c>
      <c r="JA6" t="s">
        <v>5378</v>
      </c>
      <c r="JB6" s="6">
        <v>45147</v>
      </c>
      <c r="JC6">
        <v>5</v>
      </c>
      <c r="JD6">
        <v>-2.4245362661989844E-14</v>
      </c>
      <c r="JE6">
        <v>40592425</v>
      </c>
      <c r="JF6" t="s">
        <v>5379</v>
      </c>
      <c r="JK6" t="s">
        <v>2066</v>
      </c>
      <c r="JL6" t="s">
        <v>1634</v>
      </c>
      <c r="JM6">
        <v>8.2072929999999999</v>
      </c>
      <c r="JN6">
        <v>3.2352270000000001</v>
      </c>
      <c r="JO6" t="s">
        <v>1664</v>
      </c>
      <c r="JP6">
        <v>2025</v>
      </c>
      <c r="JQ6" t="s">
        <v>2067</v>
      </c>
      <c r="JR6" s="6">
        <v>45929</v>
      </c>
      <c r="JS6">
        <v>5</v>
      </c>
      <c r="JT6">
        <v>31446408</v>
      </c>
      <c r="JU6">
        <v>13070762</v>
      </c>
      <c r="JV6" t="s">
        <v>2068</v>
      </c>
      <c r="JY6" t="s">
        <v>2428</v>
      </c>
      <c r="JZ6">
        <v>-2.4245362661989844E-14</v>
      </c>
      <c r="KB6">
        <v>-2.4245362661989844E-14</v>
      </c>
      <c r="KC6" t="s">
        <v>1594</v>
      </c>
      <c r="KD6">
        <v>2023</v>
      </c>
      <c r="KE6" t="s">
        <v>2745</v>
      </c>
      <c r="KF6" s="6">
        <v>45216</v>
      </c>
      <c r="KG6">
        <v>5</v>
      </c>
      <c r="KH6">
        <v>-2.4245362661989844E-14</v>
      </c>
      <c r="KI6">
        <v>962207</v>
      </c>
      <c r="KJ6" t="s">
        <v>2429</v>
      </c>
      <c r="MG6" t="s">
        <v>2381</v>
      </c>
      <c r="MH6">
        <v>-2.4245362661989844E-14</v>
      </c>
      <c r="MJ6">
        <v>-2.4245362661989844E-14</v>
      </c>
      <c r="MK6" t="s">
        <v>1594</v>
      </c>
      <c r="ML6">
        <v>2023</v>
      </c>
      <c r="MM6" t="s">
        <v>4255</v>
      </c>
      <c r="MN6" s="6">
        <v>44943</v>
      </c>
      <c r="MO6">
        <v>3</v>
      </c>
      <c r="MP6">
        <v>-2.4245362661989844E-14</v>
      </c>
      <c r="MQ6">
        <v>46946968</v>
      </c>
      <c r="MR6" t="s">
        <v>2382</v>
      </c>
      <c r="MW6" t="s">
        <v>2975</v>
      </c>
      <c r="MX6" t="s">
        <v>1598</v>
      </c>
      <c r="MY6">
        <v>2.3008839999999999</v>
      </c>
      <c r="MZ6">
        <v>1.9882420000000001</v>
      </c>
      <c r="NA6" t="s">
        <v>1606</v>
      </c>
      <c r="NB6">
        <v>2024</v>
      </c>
      <c r="NC6" t="s">
        <v>2976</v>
      </c>
      <c r="ND6" s="6">
        <v>45694</v>
      </c>
      <c r="NE6">
        <v>5</v>
      </c>
      <c r="NF6">
        <v>58573604</v>
      </c>
      <c r="NG6">
        <v>349266</v>
      </c>
      <c r="NH6" t="s">
        <v>2977</v>
      </c>
      <c r="NK6" t="s">
        <v>3695</v>
      </c>
      <c r="NL6">
        <v>-2.4245362661989844E-14</v>
      </c>
      <c r="NN6">
        <v>-2.4245362661989844E-14</v>
      </c>
      <c r="NO6" t="s">
        <v>1594</v>
      </c>
      <c r="NP6">
        <v>2021</v>
      </c>
      <c r="NQ6" t="s">
        <v>3696</v>
      </c>
      <c r="NR6" s="6">
        <v>44676</v>
      </c>
      <c r="NS6">
        <v>5</v>
      </c>
      <c r="NT6">
        <v>-2.4245362661989844E-14</v>
      </c>
      <c r="NU6">
        <v>24598477</v>
      </c>
      <c r="NV6" t="s">
        <v>3697</v>
      </c>
      <c r="OA6" t="s">
        <v>618</v>
      </c>
      <c r="OB6" t="s">
        <v>1598</v>
      </c>
      <c r="OC6">
        <v>30</v>
      </c>
      <c r="OD6">
        <v>20.040337000000001</v>
      </c>
      <c r="OE6" t="s">
        <v>1594</v>
      </c>
      <c r="OF6">
        <v>2025</v>
      </c>
      <c r="OG6" t="s">
        <v>1819</v>
      </c>
      <c r="OH6" s="6">
        <v>45881</v>
      </c>
      <c r="OI6">
        <v>5</v>
      </c>
      <c r="OJ6">
        <v>16693350400</v>
      </c>
      <c r="OK6">
        <v>102782</v>
      </c>
      <c r="OL6" t="s">
        <v>1626</v>
      </c>
      <c r="OO6" t="s">
        <v>1898</v>
      </c>
      <c r="OP6">
        <v>-2.4245362661989844E-14</v>
      </c>
      <c r="OR6">
        <v>-2.4245362661989844E-14</v>
      </c>
      <c r="OS6" t="s">
        <v>1594</v>
      </c>
      <c r="OT6">
        <v>2025</v>
      </c>
      <c r="OU6" t="s">
        <v>3588</v>
      </c>
      <c r="OV6" s="6">
        <v>45828</v>
      </c>
      <c r="OW6">
        <v>5</v>
      </c>
      <c r="OX6">
        <v>-2.4245362661989844E-14</v>
      </c>
      <c r="OY6">
        <v>20735187</v>
      </c>
      <c r="OZ6" t="s">
        <v>1900</v>
      </c>
      <c r="PE6" t="s">
        <v>3324</v>
      </c>
      <c r="PF6" t="s">
        <v>1598</v>
      </c>
      <c r="PG6">
        <v>37.083022999999997</v>
      </c>
      <c r="PH6">
        <v>3.404852</v>
      </c>
      <c r="PI6" t="s">
        <v>1594</v>
      </c>
      <c r="PJ6">
        <v>2025</v>
      </c>
      <c r="PK6" t="s">
        <v>3325</v>
      </c>
      <c r="PL6" s="6">
        <v>46073</v>
      </c>
      <c r="PM6">
        <v>5</v>
      </c>
      <c r="PN6">
        <v>87854500</v>
      </c>
      <c r="PO6">
        <v>51018342</v>
      </c>
      <c r="PP6" t="s">
        <v>3326</v>
      </c>
      <c r="PS6" t="s">
        <v>2376</v>
      </c>
      <c r="PT6">
        <v>15.012124</v>
      </c>
      <c r="PU6" t="s">
        <v>1634</v>
      </c>
      <c r="PV6">
        <v>10.293347000000001</v>
      </c>
      <c r="PW6" t="s">
        <v>1664</v>
      </c>
      <c r="PX6">
        <v>2026</v>
      </c>
      <c r="PY6" t="s">
        <v>2583</v>
      </c>
      <c r="PZ6" s="6">
        <v>46063</v>
      </c>
      <c r="QA6">
        <v>5</v>
      </c>
      <c r="QB6">
        <v>802366656</v>
      </c>
      <c r="QC6">
        <v>117929</v>
      </c>
      <c r="QD6" t="s">
        <v>2378</v>
      </c>
      <c r="SQ6" t="s">
        <v>4431</v>
      </c>
      <c r="SR6" t="s">
        <v>1598</v>
      </c>
      <c r="SS6">
        <v>0.76688100000000003</v>
      </c>
      <c r="ST6">
        <v>2.0628829999999998</v>
      </c>
      <c r="SU6" t="s">
        <v>1599</v>
      </c>
      <c r="SV6">
        <v>2025</v>
      </c>
      <c r="SW6" t="s">
        <v>4432</v>
      </c>
      <c r="SX6" s="6">
        <v>46050</v>
      </c>
      <c r="SY6">
        <v>5</v>
      </c>
      <c r="SZ6">
        <v>20659774</v>
      </c>
      <c r="TA6">
        <v>100803</v>
      </c>
      <c r="TB6" t="s">
        <v>4433</v>
      </c>
      <c r="TE6" t="s">
        <v>4600</v>
      </c>
      <c r="TF6">
        <v>3.7304020000000002</v>
      </c>
      <c r="TG6" t="s">
        <v>1598</v>
      </c>
      <c r="TH6">
        <v>2.8071419999999998</v>
      </c>
      <c r="TI6" t="s">
        <v>1603</v>
      </c>
      <c r="TJ6">
        <v>2026</v>
      </c>
      <c r="TK6" t="s">
        <v>4927</v>
      </c>
      <c r="TL6" s="6">
        <v>45874</v>
      </c>
      <c r="TM6">
        <v>5</v>
      </c>
      <c r="TN6">
        <v>73996256</v>
      </c>
      <c r="TO6">
        <v>101749</v>
      </c>
      <c r="TP6" t="s">
        <v>4601</v>
      </c>
      <c r="TU6" t="s">
        <v>2108</v>
      </c>
      <c r="TW6">
        <v>-2.4245362661989844E-14</v>
      </c>
      <c r="TX6">
        <v>-2.4245362661989844E-14</v>
      </c>
      <c r="TY6" t="s">
        <v>1651</v>
      </c>
      <c r="TZ6">
        <v>2023</v>
      </c>
      <c r="UA6" t="s">
        <v>4537</v>
      </c>
      <c r="UB6" s="6">
        <v>45244</v>
      </c>
      <c r="UC6">
        <v>5</v>
      </c>
      <c r="UD6">
        <v>-2.4245362661989844E-14</v>
      </c>
      <c r="UE6">
        <v>227699</v>
      </c>
      <c r="UF6" t="s">
        <v>2110</v>
      </c>
      <c r="UI6" t="s">
        <v>4413</v>
      </c>
      <c r="UJ6">
        <v>-2.4245362661989844E-14</v>
      </c>
      <c r="UL6">
        <v>-2.4245362661989844E-14</v>
      </c>
      <c r="UM6" t="s">
        <v>1651</v>
      </c>
      <c r="UN6">
        <v>2025</v>
      </c>
      <c r="UO6" t="s">
        <v>4414</v>
      </c>
      <c r="UP6" s="6">
        <v>45975</v>
      </c>
      <c r="UQ6">
        <v>5</v>
      </c>
      <c r="UR6">
        <v>-2.4245362661989844E-14</v>
      </c>
      <c r="US6">
        <v>815710</v>
      </c>
      <c r="UT6" t="s">
        <v>4415</v>
      </c>
      <c r="UY6" t="s">
        <v>2376</v>
      </c>
      <c r="UZ6" t="s">
        <v>1598</v>
      </c>
      <c r="VA6">
        <v>2.0413640000000002</v>
      </c>
      <c r="VB6">
        <v>9.0393749999999997</v>
      </c>
      <c r="VC6" t="s">
        <v>1664</v>
      </c>
      <c r="VD6">
        <v>2025</v>
      </c>
      <c r="VE6" t="s">
        <v>3183</v>
      </c>
      <c r="VF6" s="6">
        <v>45863</v>
      </c>
      <c r="VG6">
        <v>5</v>
      </c>
      <c r="VH6">
        <v>1112317696</v>
      </c>
      <c r="VI6">
        <v>117929</v>
      </c>
      <c r="VJ6" t="s">
        <v>2378</v>
      </c>
      <c r="VM6" t="s">
        <v>1700</v>
      </c>
      <c r="VN6">
        <v>0.112041</v>
      </c>
      <c r="VO6" t="s">
        <v>1598</v>
      </c>
      <c r="VP6">
        <v>0.211726</v>
      </c>
      <c r="VQ6" t="s">
        <v>1606</v>
      </c>
      <c r="VR6">
        <v>2025</v>
      </c>
      <c r="VS6" t="s">
        <v>1701</v>
      </c>
      <c r="VT6" s="6">
        <v>46056</v>
      </c>
      <c r="VU6">
        <v>5</v>
      </c>
      <c r="VV6">
        <v>34266560</v>
      </c>
      <c r="VW6">
        <v>1499717</v>
      </c>
      <c r="VX6" t="s">
        <v>1702</v>
      </c>
    </row>
    <row r="7" spans="1:600" x14ac:dyDescent="0.25">
      <c r="A7" t="s">
        <v>3093</v>
      </c>
      <c r="B7" t="s">
        <v>1598</v>
      </c>
      <c r="C7">
        <v>2.173902</v>
      </c>
      <c r="D7">
        <v>1.4833229999999999</v>
      </c>
      <c r="E7" t="s">
        <v>1606</v>
      </c>
      <c r="F7">
        <v>2025</v>
      </c>
      <c r="G7" t="s">
        <v>3094</v>
      </c>
      <c r="H7" s="6">
        <v>46077</v>
      </c>
      <c r="I7">
        <v>5</v>
      </c>
      <c r="J7">
        <v>31925924</v>
      </c>
      <c r="K7">
        <v>159323</v>
      </c>
      <c r="L7" t="s">
        <v>3095</v>
      </c>
      <c r="O7" t="s">
        <v>2711</v>
      </c>
      <c r="P7">
        <v>2.5004659999999999</v>
      </c>
      <c r="Q7" t="s">
        <v>1598</v>
      </c>
      <c r="R7">
        <v>0.63146800000000003</v>
      </c>
      <c r="S7" t="s">
        <v>1664</v>
      </c>
      <c r="T7">
        <v>2026</v>
      </c>
      <c r="U7" t="s">
        <v>2710</v>
      </c>
      <c r="V7" s="6">
        <v>46020</v>
      </c>
      <c r="W7">
        <v>5</v>
      </c>
      <c r="X7">
        <v>72593528</v>
      </c>
      <c r="Y7">
        <v>143036</v>
      </c>
      <c r="Z7" t="s">
        <v>2712</v>
      </c>
      <c r="CM7" t="s">
        <v>2528</v>
      </c>
      <c r="CO7">
        <v>-2.4245362661989844E-14</v>
      </c>
      <c r="CP7">
        <v>-2.4245362661989844E-14</v>
      </c>
      <c r="CQ7" t="s">
        <v>1606</v>
      </c>
      <c r="CR7">
        <v>2023</v>
      </c>
      <c r="CS7" t="s">
        <v>4165</v>
      </c>
      <c r="CT7" s="6">
        <v>45730</v>
      </c>
      <c r="CU7">
        <v>3</v>
      </c>
      <c r="CV7">
        <v>-2.4245362661989844E-14</v>
      </c>
      <c r="CW7">
        <v>202476</v>
      </c>
      <c r="CX7" t="s">
        <v>2530</v>
      </c>
      <c r="EU7" t="s">
        <v>2631</v>
      </c>
      <c r="EV7" t="s">
        <v>1598</v>
      </c>
      <c r="EW7">
        <v>11</v>
      </c>
      <c r="EX7">
        <v>3.1337429999999999</v>
      </c>
      <c r="EY7" t="s">
        <v>1594</v>
      </c>
      <c r="EZ7">
        <v>2025</v>
      </c>
      <c r="FA7" t="s">
        <v>2632</v>
      </c>
      <c r="FB7" s="6">
        <v>46065</v>
      </c>
      <c r="FC7">
        <v>5</v>
      </c>
      <c r="FD7">
        <v>226930000</v>
      </c>
      <c r="FE7">
        <v>59099358</v>
      </c>
      <c r="FF7" t="s">
        <v>2633</v>
      </c>
      <c r="FI7" t="s">
        <v>1732</v>
      </c>
      <c r="FJ7">
        <v>4.5319979999999997</v>
      </c>
      <c r="FK7" t="s">
        <v>1598</v>
      </c>
      <c r="FL7">
        <v>3.2162160000000002</v>
      </c>
      <c r="FM7" t="s">
        <v>1664</v>
      </c>
      <c r="FN7">
        <v>2025</v>
      </c>
      <c r="FO7" t="s">
        <v>1958</v>
      </c>
      <c r="FP7" s="6">
        <v>45888</v>
      </c>
      <c r="FQ7">
        <v>5</v>
      </c>
      <c r="FR7">
        <v>499562144</v>
      </c>
      <c r="FS7">
        <v>876285</v>
      </c>
      <c r="FT7" t="s">
        <v>1734</v>
      </c>
      <c r="FY7" t="s">
        <v>3018</v>
      </c>
      <c r="GA7">
        <v>-2.4245362661989844E-14</v>
      </c>
      <c r="GB7">
        <v>-2.4245362661989844E-14</v>
      </c>
      <c r="GC7" t="s">
        <v>1594</v>
      </c>
      <c r="GD7">
        <v>2024</v>
      </c>
      <c r="GE7" t="s">
        <v>3019</v>
      </c>
      <c r="GF7" s="6">
        <v>45309</v>
      </c>
      <c r="GG7">
        <v>5</v>
      </c>
      <c r="GH7">
        <v>-2.4245362661989844E-14</v>
      </c>
      <c r="GI7">
        <v>62147731</v>
      </c>
      <c r="GJ7" t="s">
        <v>3020</v>
      </c>
      <c r="GM7" t="s">
        <v>2509</v>
      </c>
      <c r="GN7">
        <v>-2.4245362661989844E-14</v>
      </c>
      <c r="GP7">
        <v>-2.4245362661989844E-14</v>
      </c>
      <c r="GQ7" t="s">
        <v>1594</v>
      </c>
      <c r="GR7">
        <v>2026</v>
      </c>
      <c r="GS7" t="s">
        <v>2507</v>
      </c>
      <c r="GT7" s="6">
        <v>46056</v>
      </c>
      <c r="GU7">
        <v>5</v>
      </c>
      <c r="GV7">
        <v>-2.4245362661989844E-14</v>
      </c>
      <c r="GW7">
        <v>943608</v>
      </c>
      <c r="GX7" t="s">
        <v>2510</v>
      </c>
      <c r="HC7" t="s">
        <v>2123</v>
      </c>
      <c r="HD7" t="s">
        <v>1598</v>
      </c>
      <c r="HE7">
        <v>91.610000999999997</v>
      </c>
      <c r="HF7">
        <v>5.3039319999999996</v>
      </c>
      <c r="HG7" t="s">
        <v>1594</v>
      </c>
      <c r="HH7">
        <v>2024</v>
      </c>
      <c r="HI7" t="s">
        <v>2124</v>
      </c>
      <c r="HJ7" s="6">
        <v>45744</v>
      </c>
      <c r="HK7">
        <v>5</v>
      </c>
      <c r="HL7">
        <v>185227362.65000001</v>
      </c>
      <c r="HM7">
        <v>41186103</v>
      </c>
      <c r="HN7" t="s">
        <v>2125</v>
      </c>
      <c r="HQ7" t="s">
        <v>618</v>
      </c>
      <c r="HR7">
        <v>22</v>
      </c>
      <c r="HS7" t="s">
        <v>1598</v>
      </c>
      <c r="HT7">
        <v>4.4996770000000001</v>
      </c>
      <c r="HU7" t="s">
        <v>1594</v>
      </c>
      <c r="HV7">
        <v>2025</v>
      </c>
      <c r="HW7" t="s">
        <v>1765</v>
      </c>
      <c r="HX7" s="6">
        <v>46064</v>
      </c>
      <c r="HY7">
        <v>5</v>
      </c>
      <c r="HZ7">
        <v>2650670080</v>
      </c>
      <c r="IA7">
        <v>102782</v>
      </c>
      <c r="IB7" t="s">
        <v>1626</v>
      </c>
      <c r="IG7" t="s">
        <v>3241</v>
      </c>
      <c r="IH7" t="s">
        <v>1634</v>
      </c>
      <c r="II7">
        <v>2.3092000000000001E-2</v>
      </c>
      <c r="IJ7">
        <v>1.1238319999999999</v>
      </c>
      <c r="IK7" t="s">
        <v>1599</v>
      </c>
      <c r="IL7">
        <v>2025</v>
      </c>
      <c r="IM7" t="s">
        <v>3242</v>
      </c>
      <c r="IN7" s="6">
        <v>45966</v>
      </c>
      <c r="IO7">
        <v>5</v>
      </c>
      <c r="IP7">
        <v>240174</v>
      </c>
      <c r="IQ7">
        <v>10656931</v>
      </c>
      <c r="IR7" t="s">
        <v>3243</v>
      </c>
      <c r="IU7" t="s">
        <v>5380</v>
      </c>
      <c r="IV7">
        <v>-2.4245362661989844E-14</v>
      </c>
      <c r="IX7">
        <v>-2.4245362661989844E-14</v>
      </c>
      <c r="IY7" t="s">
        <v>1594</v>
      </c>
      <c r="IZ7">
        <v>2024</v>
      </c>
      <c r="JA7" t="s">
        <v>5381</v>
      </c>
      <c r="JB7" s="6">
        <v>45747</v>
      </c>
      <c r="JC7">
        <v>5</v>
      </c>
      <c r="JD7">
        <v>-2.4245362661989844E-14</v>
      </c>
      <c r="JE7">
        <v>59357181</v>
      </c>
      <c r="JF7" t="s">
        <v>5382</v>
      </c>
      <c r="JK7" t="s">
        <v>2317</v>
      </c>
      <c r="JL7" t="s">
        <v>1598</v>
      </c>
      <c r="JM7">
        <v>0.52091699999999996</v>
      </c>
      <c r="JN7">
        <v>1.395983</v>
      </c>
      <c r="JO7" t="s">
        <v>1603</v>
      </c>
      <c r="JP7">
        <v>2025</v>
      </c>
      <c r="JQ7" t="s">
        <v>2318</v>
      </c>
      <c r="JR7" s="6">
        <v>45863</v>
      </c>
      <c r="JS7">
        <v>5</v>
      </c>
      <c r="JT7">
        <v>8585296</v>
      </c>
      <c r="JU7">
        <v>10832677</v>
      </c>
      <c r="JV7" t="s">
        <v>2319</v>
      </c>
      <c r="JY7" t="s">
        <v>2746</v>
      </c>
      <c r="JZ7">
        <v>-2.4245362661989844E-14</v>
      </c>
      <c r="KB7">
        <v>-2.4245362661989844E-14</v>
      </c>
      <c r="KC7" t="s">
        <v>1594</v>
      </c>
      <c r="KD7">
        <v>2025</v>
      </c>
      <c r="KE7" t="s">
        <v>2747</v>
      </c>
      <c r="KF7" s="6">
        <v>45975</v>
      </c>
      <c r="KG7">
        <v>5</v>
      </c>
      <c r="KH7">
        <v>-2.4245362661989844E-14</v>
      </c>
      <c r="KI7">
        <v>100131</v>
      </c>
      <c r="KJ7" t="s">
        <v>2748</v>
      </c>
      <c r="MG7" t="s">
        <v>182</v>
      </c>
      <c r="MH7">
        <v>-2.4245362661989844E-14</v>
      </c>
      <c r="MJ7">
        <v>-2.4245362661989844E-14</v>
      </c>
      <c r="MK7" t="s">
        <v>1594</v>
      </c>
      <c r="ML7">
        <v>2025</v>
      </c>
      <c r="MM7" t="s">
        <v>4255</v>
      </c>
      <c r="MN7" s="6">
        <v>46007</v>
      </c>
      <c r="MO7">
        <v>3</v>
      </c>
      <c r="MP7">
        <v>-2.4245362661989844E-14</v>
      </c>
      <c r="MQ7">
        <v>107071</v>
      </c>
      <c r="MR7" t="s">
        <v>4257</v>
      </c>
      <c r="MW7" t="s">
        <v>2559</v>
      </c>
      <c r="MX7" t="s">
        <v>1598</v>
      </c>
      <c r="MY7">
        <v>0.23526900000000001</v>
      </c>
      <c r="MZ7">
        <v>0.58521900000000004</v>
      </c>
      <c r="NA7" t="s">
        <v>1599</v>
      </c>
      <c r="NB7">
        <v>2025</v>
      </c>
      <c r="NC7" t="s">
        <v>2560</v>
      </c>
      <c r="ND7" s="6">
        <v>45867</v>
      </c>
      <c r="NE7">
        <v>5</v>
      </c>
      <c r="NF7">
        <v>18416856</v>
      </c>
      <c r="NG7">
        <v>117092</v>
      </c>
      <c r="NH7" t="s">
        <v>2561</v>
      </c>
      <c r="NK7" t="s">
        <v>3698</v>
      </c>
      <c r="NL7">
        <v>-2.4245362661989844E-14</v>
      </c>
      <c r="NN7">
        <v>-2.4245362661989844E-14</v>
      </c>
      <c r="NO7" t="s">
        <v>1594</v>
      </c>
      <c r="NP7">
        <v>2023</v>
      </c>
      <c r="NQ7" t="s">
        <v>3699</v>
      </c>
      <c r="NR7" s="6">
        <v>45135</v>
      </c>
      <c r="NS7">
        <v>5</v>
      </c>
      <c r="NT7">
        <v>-2.4245362661989844E-14</v>
      </c>
      <c r="NU7">
        <v>103017</v>
      </c>
      <c r="NV7" t="s">
        <v>3700</v>
      </c>
      <c r="OA7" t="s">
        <v>72</v>
      </c>
      <c r="OB7" t="s">
        <v>1598</v>
      </c>
      <c r="OC7">
        <v>3.3501690000000002</v>
      </c>
      <c r="OD7">
        <v>0.82735300000000001</v>
      </c>
      <c r="OE7" t="s">
        <v>1606</v>
      </c>
      <c r="OF7">
        <v>2025</v>
      </c>
      <c r="OG7" t="s">
        <v>2670</v>
      </c>
      <c r="OH7" s="6">
        <v>45883</v>
      </c>
      <c r="OI7">
        <v>5</v>
      </c>
      <c r="OJ7">
        <v>705914112</v>
      </c>
      <c r="OK7">
        <v>101215</v>
      </c>
      <c r="OL7" t="s">
        <v>1868</v>
      </c>
      <c r="OO7" t="s">
        <v>1901</v>
      </c>
      <c r="OP7">
        <v>-2.4245362661989844E-14</v>
      </c>
      <c r="OR7">
        <v>-2.4245362661989844E-14</v>
      </c>
      <c r="OS7" t="s">
        <v>1594</v>
      </c>
      <c r="OT7">
        <v>2025</v>
      </c>
      <c r="OU7" t="s">
        <v>3588</v>
      </c>
      <c r="OV7" s="6">
        <v>45828</v>
      </c>
      <c r="OW7">
        <v>5</v>
      </c>
      <c r="OX7">
        <v>-2.4245362661989844E-14</v>
      </c>
      <c r="OY7">
        <v>31261592</v>
      </c>
      <c r="OZ7" t="s">
        <v>1902</v>
      </c>
      <c r="PE7" t="s">
        <v>3327</v>
      </c>
      <c r="PF7" t="s">
        <v>1598</v>
      </c>
      <c r="PG7">
        <v>9.3821600000000007</v>
      </c>
      <c r="PH7">
        <v>3.6491760000000002</v>
      </c>
      <c r="PI7" t="s">
        <v>1603</v>
      </c>
      <c r="PJ7">
        <v>2025</v>
      </c>
      <c r="PK7" t="s">
        <v>3328</v>
      </c>
      <c r="PL7" s="6">
        <v>45813</v>
      </c>
      <c r="PM7">
        <v>5</v>
      </c>
      <c r="PN7">
        <v>87817016</v>
      </c>
      <c r="PO7">
        <v>302946</v>
      </c>
      <c r="PP7" t="s">
        <v>3329</v>
      </c>
      <c r="PS7" t="s">
        <v>2585</v>
      </c>
      <c r="PT7">
        <v>5.2839460000000003</v>
      </c>
      <c r="PU7" t="s">
        <v>1634</v>
      </c>
      <c r="PV7">
        <v>5.2405989999999996</v>
      </c>
      <c r="PW7" t="s">
        <v>1664</v>
      </c>
      <c r="PX7">
        <v>2026</v>
      </c>
      <c r="PY7" t="s">
        <v>2583</v>
      </c>
      <c r="PZ7" s="6">
        <v>46063</v>
      </c>
      <c r="QA7">
        <v>5</v>
      </c>
      <c r="QB7">
        <v>282415872</v>
      </c>
      <c r="QC7">
        <v>100995</v>
      </c>
      <c r="QD7" t="s">
        <v>2586</v>
      </c>
      <c r="SQ7" t="s">
        <v>5405</v>
      </c>
      <c r="SR7" t="s">
        <v>1598</v>
      </c>
      <c r="SS7">
        <v>0.92923999999999995</v>
      </c>
      <c r="ST7">
        <v>0.75884799999999997</v>
      </c>
      <c r="SU7" t="s">
        <v>1664</v>
      </c>
      <c r="SV7">
        <v>2025</v>
      </c>
      <c r="SW7" t="s">
        <v>6037</v>
      </c>
      <c r="SX7" s="6">
        <v>45947</v>
      </c>
      <c r="SY7">
        <v>5</v>
      </c>
      <c r="SZ7">
        <v>6854677.79</v>
      </c>
      <c r="TA7">
        <v>116941</v>
      </c>
      <c r="TB7" t="s">
        <v>5407</v>
      </c>
      <c r="TE7" t="s">
        <v>5949</v>
      </c>
      <c r="TF7">
        <v>2.8794179999999998</v>
      </c>
      <c r="TG7" t="s">
        <v>1598</v>
      </c>
      <c r="TH7">
        <v>3.1030700000000002</v>
      </c>
      <c r="TI7" t="s">
        <v>1664</v>
      </c>
      <c r="TJ7">
        <v>2026</v>
      </c>
      <c r="TK7" t="s">
        <v>5950</v>
      </c>
      <c r="TL7" s="6">
        <v>45936</v>
      </c>
      <c r="TM7">
        <v>5</v>
      </c>
      <c r="TN7">
        <v>62402736</v>
      </c>
      <c r="TO7">
        <v>100862</v>
      </c>
      <c r="TP7" t="s">
        <v>5951</v>
      </c>
      <c r="TU7" t="s">
        <v>4538</v>
      </c>
      <c r="TW7">
        <v>-2.4245362661989844E-14</v>
      </c>
      <c r="TX7">
        <v>-2.4245362661989844E-14</v>
      </c>
      <c r="TY7" t="s">
        <v>1792</v>
      </c>
      <c r="TZ7">
        <v>2024</v>
      </c>
      <c r="UA7" t="s">
        <v>4539</v>
      </c>
      <c r="UB7" s="6">
        <v>45525</v>
      </c>
      <c r="UC7">
        <v>5</v>
      </c>
      <c r="UD7">
        <v>-2.4245362661989844E-14</v>
      </c>
      <c r="UE7">
        <v>1459353</v>
      </c>
      <c r="UF7" t="s">
        <v>4540</v>
      </c>
      <c r="UI7" t="s">
        <v>4416</v>
      </c>
      <c r="UJ7">
        <v>-2.4245362661989844E-14</v>
      </c>
      <c r="UL7">
        <v>-2.4245362661989844E-14</v>
      </c>
      <c r="UM7" t="s">
        <v>1594</v>
      </c>
      <c r="UN7">
        <v>2022</v>
      </c>
      <c r="UO7" t="s">
        <v>4417</v>
      </c>
      <c r="UP7" s="6">
        <v>45062</v>
      </c>
      <c r="UQ7">
        <v>5</v>
      </c>
      <c r="UR7">
        <v>-2.4245362661989844E-14</v>
      </c>
      <c r="US7">
        <v>7593741</v>
      </c>
      <c r="UT7" t="s">
        <v>4418</v>
      </c>
      <c r="UY7" t="s">
        <v>2383</v>
      </c>
      <c r="UZ7" t="s">
        <v>1634</v>
      </c>
      <c r="VA7">
        <v>13.01698</v>
      </c>
      <c r="VB7">
        <v>13.663121</v>
      </c>
      <c r="VC7" t="s">
        <v>1599</v>
      </c>
      <c r="VD7">
        <v>2025</v>
      </c>
      <c r="VE7" t="s">
        <v>2384</v>
      </c>
      <c r="VF7" s="6">
        <v>46029</v>
      </c>
      <c r="VG7">
        <v>5</v>
      </c>
      <c r="VH7">
        <v>769456564.02999997</v>
      </c>
      <c r="VI7">
        <v>115705</v>
      </c>
      <c r="VJ7" t="s">
        <v>2385</v>
      </c>
      <c r="VM7" t="s">
        <v>1645</v>
      </c>
      <c r="VN7">
        <v>3.6669E-2</v>
      </c>
      <c r="VO7" t="s">
        <v>1598</v>
      </c>
      <c r="VP7">
        <v>1.85477</v>
      </c>
      <c r="VQ7" t="s">
        <v>1599</v>
      </c>
      <c r="VR7">
        <v>2025</v>
      </c>
      <c r="VS7" t="s">
        <v>1897</v>
      </c>
      <c r="VT7" s="6">
        <v>45840</v>
      </c>
      <c r="VU7">
        <v>5</v>
      </c>
      <c r="VV7">
        <v>11214774</v>
      </c>
      <c r="VW7">
        <v>136424</v>
      </c>
      <c r="VX7" t="s">
        <v>1647</v>
      </c>
    </row>
    <row r="8" spans="1:600" x14ac:dyDescent="0.25">
      <c r="A8" t="s">
        <v>3602</v>
      </c>
      <c r="B8" t="s">
        <v>1598</v>
      </c>
      <c r="C8">
        <v>0.89916700000000005</v>
      </c>
      <c r="D8">
        <v>0.87856100000000004</v>
      </c>
      <c r="E8" t="s">
        <v>1606</v>
      </c>
      <c r="F8">
        <v>2025</v>
      </c>
      <c r="G8" t="s">
        <v>3603</v>
      </c>
      <c r="H8" s="6">
        <v>46076</v>
      </c>
      <c r="I8">
        <v>5</v>
      </c>
      <c r="J8">
        <v>18909482</v>
      </c>
      <c r="K8">
        <v>187274</v>
      </c>
      <c r="L8" t="s">
        <v>3604</v>
      </c>
      <c r="O8" t="s">
        <v>2713</v>
      </c>
      <c r="P8">
        <v>2.40829</v>
      </c>
      <c r="Q8" t="s">
        <v>1598</v>
      </c>
      <c r="R8">
        <v>0.50631099999999996</v>
      </c>
      <c r="S8" t="s">
        <v>1664</v>
      </c>
      <c r="T8">
        <v>2026</v>
      </c>
      <c r="U8" t="s">
        <v>2710</v>
      </c>
      <c r="V8" s="6">
        <v>46020</v>
      </c>
      <c r="W8">
        <v>5</v>
      </c>
      <c r="X8">
        <v>69917472</v>
      </c>
      <c r="Y8">
        <v>46386935</v>
      </c>
      <c r="Z8" t="s">
        <v>2714</v>
      </c>
      <c r="EU8" t="s">
        <v>1878</v>
      </c>
      <c r="EV8" t="s">
        <v>1598</v>
      </c>
      <c r="EW8">
        <v>8.8672269999999997</v>
      </c>
      <c r="EX8">
        <v>1.980351</v>
      </c>
      <c r="EY8" t="s">
        <v>1664</v>
      </c>
      <c r="EZ8">
        <v>2025</v>
      </c>
      <c r="FA8" t="s">
        <v>2634</v>
      </c>
      <c r="FB8" s="6">
        <v>45922</v>
      </c>
      <c r="FC8">
        <v>5</v>
      </c>
      <c r="FD8">
        <v>135574848</v>
      </c>
      <c r="FE8">
        <v>11937231</v>
      </c>
      <c r="FF8" t="s">
        <v>1880</v>
      </c>
      <c r="FI8" t="s">
        <v>1082</v>
      </c>
      <c r="FJ8">
        <v>3.2472560000000001</v>
      </c>
      <c r="FK8" t="s">
        <v>1598</v>
      </c>
      <c r="FL8">
        <v>2.573108</v>
      </c>
      <c r="FM8" t="s">
        <v>1664</v>
      </c>
      <c r="FN8">
        <v>2025</v>
      </c>
      <c r="FO8" t="s">
        <v>1958</v>
      </c>
      <c r="FP8" s="6">
        <v>45888</v>
      </c>
      <c r="FQ8">
        <v>5</v>
      </c>
      <c r="FR8">
        <v>357945024</v>
      </c>
      <c r="FS8">
        <v>10451815</v>
      </c>
      <c r="FT8" t="s">
        <v>1959</v>
      </c>
      <c r="FY8" t="s">
        <v>3021</v>
      </c>
      <c r="GA8">
        <v>-2.4245362661989844E-14</v>
      </c>
      <c r="GB8">
        <v>-2.4245362661989844E-14</v>
      </c>
      <c r="GC8" t="s">
        <v>1603</v>
      </c>
      <c r="GD8">
        <v>2024</v>
      </c>
      <c r="GE8" t="s">
        <v>3022</v>
      </c>
      <c r="GF8" s="6">
        <v>45430</v>
      </c>
      <c r="GG8">
        <v>5</v>
      </c>
      <c r="GH8">
        <v>-2.4245362661989844E-14</v>
      </c>
      <c r="GI8">
        <v>100602</v>
      </c>
      <c r="GJ8" t="s">
        <v>3023</v>
      </c>
      <c r="GM8" t="s">
        <v>2511</v>
      </c>
      <c r="GN8">
        <v>-2.4245362661989844E-14</v>
      </c>
      <c r="GP8">
        <v>-2.4245362661989844E-14</v>
      </c>
      <c r="GQ8" t="s">
        <v>1594</v>
      </c>
      <c r="GR8">
        <v>2024</v>
      </c>
      <c r="GS8" t="s">
        <v>2507</v>
      </c>
      <c r="GT8" s="6">
        <v>45588</v>
      </c>
      <c r="GU8">
        <v>5</v>
      </c>
      <c r="GV8">
        <v>-2.4245362661989844E-14</v>
      </c>
      <c r="GW8">
        <v>100382</v>
      </c>
      <c r="GX8" t="s">
        <v>2512</v>
      </c>
      <c r="HC8" t="s">
        <v>79</v>
      </c>
      <c r="HD8" t="s">
        <v>1598</v>
      </c>
      <c r="HE8">
        <v>0.787219</v>
      </c>
      <c r="HF8">
        <v>3.9592429999999998</v>
      </c>
      <c r="HG8" t="s">
        <v>1599</v>
      </c>
      <c r="HH8">
        <v>2025</v>
      </c>
      <c r="HI8" t="s">
        <v>2126</v>
      </c>
      <c r="HJ8" s="6">
        <v>45966</v>
      </c>
      <c r="HK8">
        <v>5</v>
      </c>
      <c r="HL8">
        <v>136000000</v>
      </c>
      <c r="HM8">
        <v>100978</v>
      </c>
      <c r="HN8" t="s">
        <v>2127</v>
      </c>
      <c r="HQ8" t="s">
        <v>31</v>
      </c>
      <c r="HR8">
        <v>2.3733979999999999</v>
      </c>
      <c r="HS8" t="s">
        <v>1598</v>
      </c>
      <c r="HT8">
        <v>0.47723100000000002</v>
      </c>
      <c r="HU8" t="s">
        <v>1664</v>
      </c>
      <c r="HV8">
        <v>2025</v>
      </c>
      <c r="HW8" t="s">
        <v>1768</v>
      </c>
      <c r="HX8" s="6">
        <v>45929</v>
      </c>
      <c r="HY8">
        <v>5</v>
      </c>
      <c r="HZ8">
        <v>291192192</v>
      </c>
      <c r="IA8">
        <v>60401289</v>
      </c>
      <c r="IB8" t="s">
        <v>1769</v>
      </c>
      <c r="IG8" t="s">
        <v>5411</v>
      </c>
      <c r="IH8" t="s">
        <v>1598</v>
      </c>
      <c r="II8">
        <v>4.228E-3</v>
      </c>
      <c r="IJ8">
        <v>0.118398</v>
      </c>
      <c r="IK8" t="s">
        <v>1664</v>
      </c>
      <c r="IL8">
        <v>2025</v>
      </c>
      <c r="IM8" t="s">
        <v>5412</v>
      </c>
      <c r="IN8" s="6">
        <v>45880</v>
      </c>
      <c r="IO8">
        <v>5</v>
      </c>
      <c r="IP8">
        <v>232957.71</v>
      </c>
      <c r="IQ8">
        <v>117565</v>
      </c>
      <c r="IR8" t="s">
        <v>5413</v>
      </c>
      <c r="IU8" t="s">
        <v>368</v>
      </c>
      <c r="IV8">
        <v>-2.4245362661989844E-14</v>
      </c>
      <c r="IX8">
        <v>-2.4245362661989844E-14</v>
      </c>
      <c r="IY8" t="s">
        <v>1594</v>
      </c>
      <c r="IZ8">
        <v>2024</v>
      </c>
      <c r="JA8" t="s">
        <v>5383</v>
      </c>
      <c r="JB8" s="6">
        <v>45484</v>
      </c>
      <c r="JC8">
        <v>5</v>
      </c>
      <c r="JD8">
        <v>-2.4245362661989844E-14</v>
      </c>
      <c r="JE8">
        <v>100377</v>
      </c>
      <c r="JF8" t="s">
        <v>5384</v>
      </c>
      <c r="JK8" t="s">
        <v>3238</v>
      </c>
      <c r="JL8" t="s">
        <v>1634</v>
      </c>
      <c r="JM8">
        <v>0.78628900000000002</v>
      </c>
      <c r="JN8">
        <v>0.41281200000000001</v>
      </c>
      <c r="JO8" t="s">
        <v>1664</v>
      </c>
      <c r="JP8">
        <v>2026</v>
      </c>
      <c r="JQ8" t="s">
        <v>3239</v>
      </c>
      <c r="JR8" s="6">
        <v>45980</v>
      </c>
      <c r="JS8">
        <v>5</v>
      </c>
      <c r="JT8">
        <v>3939825.84</v>
      </c>
      <c r="JU8">
        <v>223067</v>
      </c>
      <c r="JV8" t="s">
        <v>3240</v>
      </c>
      <c r="JY8" t="s">
        <v>2749</v>
      </c>
      <c r="JZ8">
        <v>-2.4245362661989844E-14</v>
      </c>
      <c r="KB8">
        <v>-2.4245362661989844E-14</v>
      </c>
      <c r="KC8" t="s">
        <v>1594</v>
      </c>
      <c r="KD8">
        <v>2023</v>
      </c>
      <c r="KE8" t="s">
        <v>2750</v>
      </c>
      <c r="KF8" s="6">
        <v>45383</v>
      </c>
      <c r="KG8">
        <v>5</v>
      </c>
      <c r="KH8">
        <v>-2.4245362661989844E-14</v>
      </c>
      <c r="KI8">
        <v>25953572</v>
      </c>
      <c r="KJ8" t="s">
        <v>2751</v>
      </c>
      <c r="MW8" t="s">
        <v>2185</v>
      </c>
      <c r="MX8" t="s">
        <v>1598</v>
      </c>
      <c r="MY8">
        <v>1.69564</v>
      </c>
      <c r="MZ8">
        <v>0.41697800000000002</v>
      </c>
      <c r="NA8" t="s">
        <v>1599</v>
      </c>
      <c r="NB8">
        <v>2025</v>
      </c>
      <c r="NC8" t="s">
        <v>2186</v>
      </c>
      <c r="ND8" s="6">
        <v>46001</v>
      </c>
      <c r="NE8">
        <v>5</v>
      </c>
      <c r="NF8">
        <v>12763693</v>
      </c>
      <c r="NG8">
        <v>1182195</v>
      </c>
      <c r="NH8" t="s">
        <v>2187</v>
      </c>
      <c r="NK8" t="s">
        <v>3701</v>
      </c>
      <c r="NL8">
        <v>-2.4245362661989844E-14</v>
      </c>
      <c r="NN8">
        <v>-2.4245362661989844E-14</v>
      </c>
      <c r="NO8" t="s">
        <v>1594</v>
      </c>
      <c r="NP8">
        <v>2022</v>
      </c>
      <c r="NQ8" t="s">
        <v>3702</v>
      </c>
      <c r="NR8" s="6">
        <v>44887</v>
      </c>
      <c r="NS8">
        <v>5</v>
      </c>
      <c r="NT8">
        <v>-2.4245362661989844E-14</v>
      </c>
      <c r="NU8">
        <v>104917</v>
      </c>
      <c r="NV8" t="s">
        <v>3703</v>
      </c>
      <c r="OA8" t="s">
        <v>240</v>
      </c>
      <c r="OB8" t="s">
        <v>1598</v>
      </c>
      <c r="OC8">
        <v>1.8476189999999999</v>
      </c>
      <c r="OD8">
        <v>0.497726</v>
      </c>
      <c r="OE8" t="s">
        <v>1599</v>
      </c>
      <c r="OF8">
        <v>2025</v>
      </c>
      <c r="OG8" t="s">
        <v>2219</v>
      </c>
      <c r="OH8" s="6">
        <v>46018</v>
      </c>
      <c r="OI8">
        <v>5</v>
      </c>
      <c r="OJ8">
        <v>443299232</v>
      </c>
      <c r="OK8">
        <v>100828</v>
      </c>
      <c r="OL8" t="s">
        <v>1865</v>
      </c>
      <c r="OO8" t="s">
        <v>3589</v>
      </c>
      <c r="OP8">
        <v>-2.4245362661989844E-14</v>
      </c>
      <c r="OR8">
        <v>-2.4245362661989844E-14</v>
      </c>
      <c r="OS8" t="s">
        <v>1594</v>
      </c>
      <c r="OT8">
        <v>2023</v>
      </c>
      <c r="OU8" t="s">
        <v>3588</v>
      </c>
      <c r="OV8" s="6">
        <v>44964</v>
      </c>
      <c r="OW8">
        <v>5</v>
      </c>
      <c r="OX8">
        <v>-2.4245362661989844E-14</v>
      </c>
      <c r="OY8">
        <v>33578464</v>
      </c>
      <c r="OZ8" t="s">
        <v>3590</v>
      </c>
      <c r="PE8" t="s">
        <v>2975</v>
      </c>
      <c r="PF8" t="s">
        <v>1598</v>
      </c>
      <c r="PG8">
        <v>2.7363550000000001</v>
      </c>
      <c r="PH8">
        <v>3.311461</v>
      </c>
      <c r="PI8" t="s">
        <v>1599</v>
      </c>
      <c r="PJ8">
        <v>2025</v>
      </c>
      <c r="PK8" t="s">
        <v>2976</v>
      </c>
      <c r="PL8" s="6">
        <v>46013</v>
      </c>
      <c r="PM8">
        <v>5</v>
      </c>
      <c r="PN8">
        <v>87399176</v>
      </c>
      <c r="PO8">
        <v>349266</v>
      </c>
      <c r="PP8" t="s">
        <v>2977</v>
      </c>
      <c r="PS8" t="s">
        <v>2587</v>
      </c>
      <c r="PT8">
        <v>3.558392</v>
      </c>
      <c r="PU8" t="s">
        <v>1634</v>
      </c>
      <c r="PV8">
        <v>5.2405980000000003</v>
      </c>
      <c r="PW8" t="s">
        <v>1664</v>
      </c>
      <c r="PX8">
        <v>2026</v>
      </c>
      <c r="PY8" t="s">
        <v>2583</v>
      </c>
      <c r="PZ8" s="6">
        <v>46063</v>
      </c>
      <c r="QA8">
        <v>5</v>
      </c>
      <c r="QB8">
        <v>190188608</v>
      </c>
      <c r="QC8">
        <v>193974</v>
      </c>
      <c r="QD8" t="s">
        <v>2588</v>
      </c>
      <c r="SQ8" t="s">
        <v>5145</v>
      </c>
      <c r="SR8" t="s">
        <v>1685</v>
      </c>
      <c r="SS8">
        <v>1.7485999999999999</v>
      </c>
      <c r="ST8">
        <v>0.30034</v>
      </c>
      <c r="SU8" t="s">
        <v>1594</v>
      </c>
      <c r="SV8">
        <v>2024</v>
      </c>
      <c r="SW8" t="s">
        <v>5146</v>
      </c>
      <c r="SX8" s="6">
        <v>45716</v>
      </c>
      <c r="SY8">
        <v>5</v>
      </c>
      <c r="SZ8">
        <v>3356974.73</v>
      </c>
      <c r="TA8">
        <v>29175351</v>
      </c>
      <c r="TB8" t="s">
        <v>5147</v>
      </c>
      <c r="TE8" t="s">
        <v>5952</v>
      </c>
      <c r="TF8">
        <v>2.2231939999999999</v>
      </c>
      <c r="TG8" t="s">
        <v>1598</v>
      </c>
      <c r="TH8">
        <v>2.6004659999999999</v>
      </c>
      <c r="TI8" t="s">
        <v>1603</v>
      </c>
      <c r="TJ8">
        <v>2026</v>
      </c>
      <c r="TK8" t="s">
        <v>4927</v>
      </c>
      <c r="TL8" s="6">
        <v>45874</v>
      </c>
      <c r="TM8">
        <v>5</v>
      </c>
      <c r="TN8">
        <v>44099276</v>
      </c>
      <c r="TO8">
        <v>26327793</v>
      </c>
      <c r="TP8" t="s">
        <v>5953</v>
      </c>
      <c r="TU8" t="s">
        <v>4541</v>
      </c>
      <c r="TW8">
        <v>-2.4245362661989844E-14</v>
      </c>
      <c r="TX8">
        <v>-2.4245362661989844E-14</v>
      </c>
      <c r="TY8" t="s">
        <v>1664</v>
      </c>
      <c r="TZ8">
        <v>2023</v>
      </c>
      <c r="UA8" t="s">
        <v>4542</v>
      </c>
      <c r="UB8" s="6">
        <v>45146</v>
      </c>
      <c r="UC8">
        <v>5</v>
      </c>
      <c r="UD8">
        <v>-2.4245362661989844E-14</v>
      </c>
      <c r="UE8">
        <v>107156</v>
      </c>
      <c r="UF8" t="s">
        <v>4543</v>
      </c>
      <c r="UI8" t="s">
        <v>531</v>
      </c>
      <c r="UJ8">
        <v>-2.4245362661989844E-14</v>
      </c>
      <c r="UL8">
        <v>-2.4245362661989844E-14</v>
      </c>
      <c r="UM8" t="s">
        <v>1594</v>
      </c>
      <c r="UN8">
        <v>2026</v>
      </c>
      <c r="UO8" t="s">
        <v>4419</v>
      </c>
      <c r="UP8" s="6">
        <v>46049</v>
      </c>
      <c r="UQ8">
        <v>5</v>
      </c>
      <c r="UR8">
        <v>-2.4245362661989844E-14</v>
      </c>
      <c r="US8">
        <v>69491275</v>
      </c>
      <c r="UT8" t="s">
        <v>1780</v>
      </c>
      <c r="UY8" t="s">
        <v>428</v>
      </c>
      <c r="UZ8" t="s">
        <v>1598</v>
      </c>
      <c r="VA8">
        <v>17</v>
      </c>
      <c r="VB8">
        <v>3.5607669999999998</v>
      </c>
      <c r="VC8" t="s">
        <v>1594</v>
      </c>
      <c r="VD8">
        <v>2025</v>
      </c>
      <c r="VE8" t="s">
        <v>2379</v>
      </c>
      <c r="VF8" s="6">
        <v>46077</v>
      </c>
      <c r="VG8">
        <v>5</v>
      </c>
      <c r="VH8">
        <v>452395488</v>
      </c>
      <c r="VI8">
        <v>210870</v>
      </c>
      <c r="VJ8" t="s">
        <v>2380</v>
      </c>
      <c r="VM8" t="s">
        <v>2589</v>
      </c>
      <c r="VN8">
        <v>1.3672E-2</v>
      </c>
      <c r="VO8" t="s">
        <v>1598</v>
      </c>
      <c r="VP8">
        <v>7.3932999999999999E-2</v>
      </c>
      <c r="VQ8" t="s">
        <v>1664</v>
      </c>
      <c r="VR8">
        <v>2026</v>
      </c>
      <c r="VS8" t="s">
        <v>2590</v>
      </c>
      <c r="VT8" s="6">
        <v>46063</v>
      </c>
      <c r="VU8">
        <v>5</v>
      </c>
      <c r="VV8">
        <v>4181589</v>
      </c>
      <c r="VW8">
        <v>100142</v>
      </c>
      <c r="VX8" t="s">
        <v>2591</v>
      </c>
    </row>
    <row r="9" spans="1:600" x14ac:dyDescent="0.25">
      <c r="A9" t="s">
        <v>3373</v>
      </c>
      <c r="B9" t="s">
        <v>1685</v>
      </c>
      <c r="C9">
        <v>0.119411</v>
      </c>
      <c r="D9">
        <v>1.4986539999999999</v>
      </c>
      <c r="E9" t="s">
        <v>1664</v>
      </c>
      <c r="F9">
        <v>2026</v>
      </c>
      <c r="G9" t="s">
        <v>3374</v>
      </c>
      <c r="H9" s="6">
        <v>46022</v>
      </c>
      <c r="I9">
        <v>5</v>
      </c>
      <c r="J9">
        <v>5598707.7800000003</v>
      </c>
      <c r="K9">
        <v>174545</v>
      </c>
      <c r="L9" t="s">
        <v>3375</v>
      </c>
      <c r="O9" t="s">
        <v>1943</v>
      </c>
      <c r="P9">
        <v>2.1785049999999999</v>
      </c>
      <c r="Q9" t="s">
        <v>1598</v>
      </c>
      <c r="R9">
        <v>0.108095</v>
      </c>
      <c r="S9" t="s">
        <v>1664</v>
      </c>
      <c r="T9">
        <v>2026</v>
      </c>
      <c r="U9" t="s">
        <v>2710</v>
      </c>
      <c r="V9" s="6">
        <v>46020</v>
      </c>
      <c r="W9">
        <v>5</v>
      </c>
      <c r="X9">
        <v>63246356</v>
      </c>
      <c r="Y9">
        <v>101758</v>
      </c>
      <c r="Z9" t="s">
        <v>1944</v>
      </c>
      <c r="EU9" t="s">
        <v>2635</v>
      </c>
      <c r="EV9" t="s">
        <v>1598</v>
      </c>
      <c r="EW9">
        <v>9.9027270000000005</v>
      </c>
      <c r="EX9">
        <v>1.5774429999999999</v>
      </c>
      <c r="EY9" t="s">
        <v>1664</v>
      </c>
      <c r="EZ9">
        <v>2025</v>
      </c>
      <c r="FA9" t="s">
        <v>2636</v>
      </c>
      <c r="FB9" s="6">
        <v>45904</v>
      </c>
      <c r="FC9">
        <v>5</v>
      </c>
      <c r="FD9">
        <v>107991712</v>
      </c>
      <c r="FE9">
        <v>187877</v>
      </c>
      <c r="FF9" t="s">
        <v>2637</v>
      </c>
      <c r="FI9" t="s">
        <v>1116</v>
      </c>
      <c r="FJ9">
        <v>3.0622020000000001</v>
      </c>
      <c r="FK9" t="s">
        <v>1598</v>
      </c>
      <c r="FL9">
        <v>2.546176</v>
      </c>
      <c r="FM9" t="s">
        <v>1664</v>
      </c>
      <c r="FN9">
        <v>2025</v>
      </c>
      <c r="FO9" t="s">
        <v>1958</v>
      </c>
      <c r="FP9" s="6">
        <v>45888</v>
      </c>
      <c r="FQ9">
        <v>5</v>
      </c>
      <c r="FR9">
        <v>337546528</v>
      </c>
      <c r="FS9">
        <v>100090</v>
      </c>
      <c r="FT9" t="s">
        <v>1960</v>
      </c>
      <c r="FY9" t="s">
        <v>3024</v>
      </c>
      <c r="GA9">
        <v>-2.4245362661989844E-14</v>
      </c>
      <c r="GB9">
        <v>-2.4245362661989844E-14</v>
      </c>
      <c r="GC9" t="s">
        <v>1603</v>
      </c>
      <c r="GD9">
        <v>2025</v>
      </c>
      <c r="GE9" t="s">
        <v>3025</v>
      </c>
      <c r="GF9" s="6">
        <v>45784</v>
      </c>
      <c r="GG9">
        <v>5</v>
      </c>
      <c r="GH9">
        <v>-2.4245362661989844E-14</v>
      </c>
      <c r="GI9">
        <v>69762655</v>
      </c>
      <c r="GJ9" t="s">
        <v>3026</v>
      </c>
      <c r="GM9" t="s">
        <v>334</v>
      </c>
      <c r="GN9">
        <v>-2.4245362661989844E-14</v>
      </c>
      <c r="GP9">
        <v>-2.4245362661989844E-14</v>
      </c>
      <c r="GQ9" t="s">
        <v>1594</v>
      </c>
      <c r="GR9">
        <v>2026</v>
      </c>
      <c r="GS9" t="s">
        <v>2507</v>
      </c>
      <c r="GT9" s="6">
        <v>46056</v>
      </c>
      <c r="GU9">
        <v>5</v>
      </c>
      <c r="GV9">
        <v>-2.4245362661989844E-14</v>
      </c>
      <c r="GW9">
        <v>101170</v>
      </c>
      <c r="GX9" t="s">
        <v>2513</v>
      </c>
      <c r="HC9" t="s">
        <v>240</v>
      </c>
      <c r="HD9" t="s">
        <v>2128</v>
      </c>
      <c r="HE9">
        <v>0.29407699999999998</v>
      </c>
      <c r="HF9">
        <v>2.7836400000000001</v>
      </c>
      <c r="HG9" t="s">
        <v>1594</v>
      </c>
      <c r="HH9">
        <v>2025</v>
      </c>
      <c r="HI9" t="s">
        <v>1765</v>
      </c>
      <c r="HJ9" s="6">
        <v>46064</v>
      </c>
      <c r="HK9">
        <v>5</v>
      </c>
      <c r="HL9">
        <v>69250000</v>
      </c>
      <c r="HM9">
        <v>100828</v>
      </c>
      <c r="HN9" t="s">
        <v>1865</v>
      </c>
      <c r="HQ9" t="s">
        <v>306</v>
      </c>
      <c r="HR9">
        <v>1.0236080000000001</v>
      </c>
      <c r="HS9" t="s">
        <v>1598</v>
      </c>
      <c r="HT9">
        <v>0.137097</v>
      </c>
      <c r="HU9" t="s">
        <v>1664</v>
      </c>
      <c r="HV9">
        <v>2025</v>
      </c>
      <c r="HW9" t="s">
        <v>1768</v>
      </c>
      <c r="HX9" s="6">
        <v>45929</v>
      </c>
      <c r="HY9">
        <v>5</v>
      </c>
      <c r="HZ9">
        <v>125586464</v>
      </c>
      <c r="IA9">
        <v>101548</v>
      </c>
      <c r="IB9" t="s">
        <v>1770</v>
      </c>
      <c r="IG9" t="s">
        <v>493</v>
      </c>
      <c r="IH9" t="s">
        <v>1598</v>
      </c>
      <c r="II9">
        <v>4.3499999999999997E-3</v>
      </c>
      <c r="IJ9">
        <v>8.4422999999999998E-2</v>
      </c>
      <c r="IK9" t="s">
        <v>1606</v>
      </c>
      <c r="IL9">
        <v>2025</v>
      </c>
      <c r="IM9" t="s">
        <v>2093</v>
      </c>
      <c r="IN9" s="6">
        <v>46071</v>
      </c>
      <c r="IO9">
        <v>5</v>
      </c>
      <c r="IP9">
        <v>171188</v>
      </c>
      <c r="IQ9">
        <v>100499</v>
      </c>
      <c r="IR9" t="s">
        <v>2094</v>
      </c>
      <c r="IU9" t="s">
        <v>5385</v>
      </c>
      <c r="IV9">
        <v>-2.4245362661989844E-14</v>
      </c>
      <c r="IX9">
        <v>-2.4245362661989844E-14</v>
      </c>
      <c r="IY9" t="s">
        <v>1594</v>
      </c>
      <c r="IZ9">
        <v>2022</v>
      </c>
      <c r="JA9" t="s">
        <v>5386</v>
      </c>
      <c r="JB9" s="6">
        <v>44810</v>
      </c>
      <c r="JC9">
        <v>5</v>
      </c>
      <c r="JD9">
        <v>-2.4245362661989844E-14</v>
      </c>
      <c r="JE9">
        <v>104988</v>
      </c>
      <c r="JF9" t="s">
        <v>5387</v>
      </c>
      <c r="JK9" t="s">
        <v>3241</v>
      </c>
      <c r="JL9" t="s">
        <v>1634</v>
      </c>
      <c r="JM9">
        <v>0.192249</v>
      </c>
      <c r="JN9">
        <v>0.209595</v>
      </c>
      <c r="JO9" t="s">
        <v>1599</v>
      </c>
      <c r="JP9">
        <v>2025</v>
      </c>
      <c r="JQ9" t="s">
        <v>3242</v>
      </c>
      <c r="JR9" s="6">
        <v>45966</v>
      </c>
      <c r="JS9">
        <v>5</v>
      </c>
      <c r="JT9">
        <v>1999534</v>
      </c>
      <c r="JU9">
        <v>10656931</v>
      </c>
      <c r="JV9" t="s">
        <v>3243</v>
      </c>
      <c r="JY9" t="s">
        <v>2752</v>
      </c>
      <c r="JZ9">
        <v>-2.4245362661989844E-14</v>
      </c>
      <c r="KB9">
        <v>-2.4245362661989844E-14</v>
      </c>
      <c r="KC9" t="s">
        <v>1594</v>
      </c>
      <c r="KD9">
        <v>2024</v>
      </c>
      <c r="KE9" t="s">
        <v>2753</v>
      </c>
      <c r="KF9" s="6">
        <v>45714</v>
      </c>
      <c r="KG9">
        <v>5</v>
      </c>
      <c r="KH9">
        <v>-2.4245362661989844E-14</v>
      </c>
      <c r="KI9">
        <v>102894</v>
      </c>
      <c r="KJ9" t="s">
        <v>2754</v>
      </c>
      <c r="MW9" t="s">
        <v>3891</v>
      </c>
      <c r="MX9" t="s">
        <v>1598</v>
      </c>
      <c r="MY9">
        <v>1.749268</v>
      </c>
      <c r="MZ9">
        <v>0.29281299999999999</v>
      </c>
      <c r="NA9" t="s">
        <v>1664</v>
      </c>
      <c r="NB9">
        <v>2025</v>
      </c>
      <c r="NC9" t="s">
        <v>3892</v>
      </c>
      <c r="ND9" s="6">
        <v>45867</v>
      </c>
      <c r="NE9">
        <v>5</v>
      </c>
      <c r="NF9">
        <v>9701879.8399999999</v>
      </c>
      <c r="NG9">
        <v>157487</v>
      </c>
      <c r="NH9" t="s">
        <v>3893</v>
      </c>
      <c r="NK9" t="s">
        <v>3704</v>
      </c>
      <c r="NL9">
        <v>-2.4245362661989844E-14</v>
      </c>
      <c r="NN9">
        <v>-2.4245362661989844E-14</v>
      </c>
      <c r="NO9" t="s">
        <v>1594</v>
      </c>
      <c r="NP9">
        <v>2025</v>
      </c>
      <c r="NQ9" t="s">
        <v>3705</v>
      </c>
      <c r="NR9" s="6">
        <v>45834</v>
      </c>
      <c r="NS9">
        <v>5</v>
      </c>
      <c r="NT9">
        <v>-2.4245362661989844E-14</v>
      </c>
      <c r="NU9">
        <v>11745327</v>
      </c>
      <c r="NV9" t="s">
        <v>3706</v>
      </c>
      <c r="OA9" t="s">
        <v>4153</v>
      </c>
      <c r="OB9" t="s">
        <v>1598</v>
      </c>
      <c r="OC9">
        <v>3.2864840000000002</v>
      </c>
      <c r="OD9">
        <v>0.48448999999999998</v>
      </c>
      <c r="OE9" t="s">
        <v>1599</v>
      </c>
      <c r="OF9">
        <v>2025</v>
      </c>
      <c r="OG9" t="s">
        <v>4154</v>
      </c>
      <c r="OH9" s="6">
        <v>45981</v>
      </c>
      <c r="OI9">
        <v>5</v>
      </c>
      <c r="OJ9">
        <v>431591971.77999997</v>
      </c>
      <c r="OK9">
        <v>115414</v>
      </c>
      <c r="OL9" t="s">
        <v>4155</v>
      </c>
      <c r="OO9" t="s">
        <v>2727</v>
      </c>
      <c r="OP9">
        <v>-2.4245362661989844E-14</v>
      </c>
      <c r="OR9">
        <v>-2.4245362661989844E-14</v>
      </c>
      <c r="OS9" t="s">
        <v>1594</v>
      </c>
      <c r="OT9">
        <v>2025</v>
      </c>
      <c r="OU9" t="s">
        <v>3587</v>
      </c>
      <c r="OV9" s="6">
        <v>46063</v>
      </c>
      <c r="OW9">
        <v>5</v>
      </c>
      <c r="OX9">
        <v>-2.4245362661989844E-14</v>
      </c>
      <c r="OY9">
        <v>17483390</v>
      </c>
      <c r="OZ9" t="s">
        <v>2729</v>
      </c>
      <c r="PE9" t="s">
        <v>3330</v>
      </c>
      <c r="PF9" t="s">
        <v>1598</v>
      </c>
      <c r="PG9">
        <v>15.031205</v>
      </c>
      <c r="PH9">
        <v>1.6576139999999999</v>
      </c>
      <c r="PI9" t="s">
        <v>1664</v>
      </c>
      <c r="PJ9">
        <v>2025</v>
      </c>
      <c r="PK9" t="s">
        <v>3331</v>
      </c>
      <c r="PL9" s="6">
        <v>45882</v>
      </c>
      <c r="PM9">
        <v>5</v>
      </c>
      <c r="PN9">
        <v>42839852.200000003</v>
      </c>
      <c r="PO9">
        <v>49328078</v>
      </c>
      <c r="PP9" t="s">
        <v>3332</v>
      </c>
      <c r="PS9" t="s">
        <v>275</v>
      </c>
      <c r="PT9">
        <v>2.5447000000000002</v>
      </c>
      <c r="PU9" t="s">
        <v>1634</v>
      </c>
      <c r="PV9">
        <v>3.8993380000000002</v>
      </c>
      <c r="PW9" t="s">
        <v>1664</v>
      </c>
      <c r="PX9">
        <v>2026</v>
      </c>
      <c r="PY9" t="s">
        <v>2583</v>
      </c>
      <c r="PZ9" s="6">
        <v>46063</v>
      </c>
      <c r="QA9">
        <v>5</v>
      </c>
      <c r="QB9">
        <v>136008896</v>
      </c>
      <c r="QC9">
        <v>101729</v>
      </c>
      <c r="QD9" t="s">
        <v>2229</v>
      </c>
      <c r="SQ9" t="s">
        <v>6038</v>
      </c>
      <c r="SR9" t="s">
        <v>1685</v>
      </c>
      <c r="SS9">
        <v>2.4589099999999999</v>
      </c>
      <c r="ST9">
        <v>0.289325</v>
      </c>
      <c r="SU9" t="s">
        <v>1594</v>
      </c>
      <c r="SV9">
        <v>2024</v>
      </c>
      <c r="SW9" t="s">
        <v>6039</v>
      </c>
      <c r="SX9" s="6">
        <v>45709</v>
      </c>
      <c r="SY9">
        <v>5</v>
      </c>
      <c r="SZ9">
        <v>3233854</v>
      </c>
      <c r="TA9">
        <v>108536</v>
      </c>
      <c r="TB9" t="s">
        <v>6040</v>
      </c>
      <c r="TE9" t="s">
        <v>303</v>
      </c>
      <c r="TF9">
        <v>2.1554739999999999</v>
      </c>
      <c r="TG9" t="s">
        <v>1598</v>
      </c>
      <c r="TH9">
        <v>5.2909999999999999E-2</v>
      </c>
      <c r="TI9" t="s">
        <v>1603</v>
      </c>
      <c r="TJ9">
        <v>2026</v>
      </c>
      <c r="TK9" t="s">
        <v>4927</v>
      </c>
      <c r="TL9" s="6">
        <v>45874</v>
      </c>
      <c r="TM9">
        <v>5</v>
      </c>
      <c r="TN9">
        <v>42755984</v>
      </c>
      <c r="TO9">
        <v>216952</v>
      </c>
      <c r="TP9" t="s">
        <v>1631</v>
      </c>
      <c r="TU9" t="s">
        <v>1354</v>
      </c>
      <c r="TW9">
        <v>-2.4245362661989844E-14</v>
      </c>
      <c r="TX9">
        <v>-2.4245362661989844E-14</v>
      </c>
      <c r="TY9" t="s">
        <v>1594</v>
      </c>
      <c r="TZ9">
        <v>2021</v>
      </c>
      <c r="UA9" t="s">
        <v>2150</v>
      </c>
      <c r="UB9" s="6">
        <v>44693</v>
      </c>
      <c r="UC9">
        <v>5</v>
      </c>
      <c r="UD9">
        <v>-2.4245362661989844E-14</v>
      </c>
      <c r="UE9">
        <v>313098</v>
      </c>
      <c r="UF9" t="s">
        <v>2151</v>
      </c>
      <c r="UI9" t="s">
        <v>4420</v>
      </c>
      <c r="UJ9">
        <v>-2.4245362661989844E-14</v>
      </c>
      <c r="UL9">
        <v>-2.4245362661989844E-14</v>
      </c>
      <c r="UM9" t="s">
        <v>1792</v>
      </c>
      <c r="UN9">
        <v>2025</v>
      </c>
      <c r="UO9" t="s">
        <v>4421</v>
      </c>
      <c r="UP9" s="6">
        <v>45895</v>
      </c>
      <c r="UQ9">
        <v>5</v>
      </c>
      <c r="UR9">
        <v>-2.4245362661989844E-14</v>
      </c>
      <c r="US9">
        <v>50035601</v>
      </c>
      <c r="UT9" t="s">
        <v>4422</v>
      </c>
      <c r="UY9" t="s">
        <v>3184</v>
      </c>
      <c r="UZ9" t="s">
        <v>1634</v>
      </c>
      <c r="VA9">
        <v>24.9</v>
      </c>
      <c r="VB9">
        <v>7.4053610000000001</v>
      </c>
      <c r="VC9" t="s">
        <v>1599</v>
      </c>
      <c r="VD9">
        <v>2026</v>
      </c>
      <c r="VE9" t="s">
        <v>3185</v>
      </c>
      <c r="VF9" s="6">
        <v>45981</v>
      </c>
      <c r="VG9">
        <v>5</v>
      </c>
      <c r="VH9">
        <v>361900000</v>
      </c>
      <c r="VI9">
        <v>100487</v>
      </c>
      <c r="VJ9" t="s">
        <v>3186</v>
      </c>
      <c r="VM9" t="s">
        <v>2592</v>
      </c>
      <c r="VN9">
        <v>7.0479999999999996E-3</v>
      </c>
      <c r="VO9" t="s">
        <v>1598</v>
      </c>
      <c r="VP9">
        <v>0.37631900000000001</v>
      </c>
      <c r="VQ9" t="s">
        <v>1606</v>
      </c>
      <c r="VR9">
        <v>2024</v>
      </c>
      <c r="VS9" t="s">
        <v>2593</v>
      </c>
      <c r="VT9" s="6">
        <v>45742</v>
      </c>
      <c r="VU9">
        <v>5</v>
      </c>
      <c r="VV9">
        <v>2163480.08</v>
      </c>
      <c r="VW9">
        <v>153672</v>
      </c>
      <c r="VX9" t="s">
        <v>2594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1187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1188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1189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1190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1191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1192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1193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1194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1195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1196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1197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1198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1199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1200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1201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1202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1203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1204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1205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110</v>
      </c>
      <c r="AE2" s="3" t="s">
        <v>279</v>
      </c>
      <c r="BI2" s="3" t="s">
        <v>238</v>
      </c>
      <c r="CM2" s="3" t="s">
        <v>651</v>
      </c>
      <c r="DQ2" s="3" t="s">
        <v>961</v>
      </c>
      <c r="EU2" s="3" t="s">
        <v>1140</v>
      </c>
      <c r="FY2" s="3" t="s">
        <v>1206</v>
      </c>
      <c r="HC2" s="3" t="s">
        <v>118</v>
      </c>
      <c r="IG2" s="3" t="s">
        <v>171</v>
      </c>
      <c r="JK2" s="3" t="s">
        <v>82</v>
      </c>
      <c r="KO2" s="3" t="s">
        <v>1207</v>
      </c>
      <c r="LS2" s="3" t="s">
        <v>1208</v>
      </c>
      <c r="MW2" s="3" t="s">
        <v>1209</v>
      </c>
      <c r="OA2" s="3" t="s">
        <v>835</v>
      </c>
      <c r="PE2" s="3" t="s">
        <v>691</v>
      </c>
      <c r="QI2" s="3" t="s">
        <v>497</v>
      </c>
      <c r="RM2" s="3" t="s">
        <v>1210</v>
      </c>
      <c r="SQ2" s="3" t="s">
        <v>143</v>
      </c>
      <c r="TU2" s="3" t="s">
        <v>959</v>
      </c>
      <c r="UY2" s="3" t="s">
        <v>1211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_xll.BDS("BRK/A US Equity","SUPPLY_CHAIN_SUPPLIERS_ALL_DATA","cols=12;rows=5")</f>
        <v>HSY US Equity</v>
      </c>
      <c r="B5" t="s">
        <v>1598</v>
      </c>
      <c r="C5">
        <v>27</v>
      </c>
      <c r="D5">
        <v>1.2151259999999999</v>
      </c>
      <c r="E5" t="s">
        <v>1594</v>
      </c>
      <c r="F5">
        <v>2025</v>
      </c>
      <c r="G5" t="s">
        <v>3395</v>
      </c>
      <c r="H5" s="6">
        <v>46070</v>
      </c>
      <c r="I5">
        <v>5</v>
      </c>
      <c r="J5">
        <v>789248896</v>
      </c>
      <c r="K5">
        <v>100731</v>
      </c>
      <c r="L5" t="s">
        <v>3396</v>
      </c>
      <c r="O5" t="str">
        <f>_xll.BDS("BRK/A US Equity","SUPPLY_CHAIN_CUSTOMERS_ALL_DATA","cols=12;rows=5")</f>
        <v>WMT US Equity</v>
      </c>
      <c r="P5">
        <v>2.1167449999999999</v>
      </c>
      <c r="Q5" t="s">
        <v>1598</v>
      </c>
      <c r="R5">
        <v>1.7547349999999999</v>
      </c>
      <c r="S5" t="s">
        <v>1594</v>
      </c>
      <c r="T5">
        <v>2024</v>
      </c>
      <c r="U5" t="s">
        <v>2944</v>
      </c>
      <c r="V5" s="6">
        <v>45712</v>
      </c>
      <c r="W5">
        <v>5</v>
      </c>
      <c r="X5">
        <v>2244977664</v>
      </c>
      <c r="Y5">
        <v>101616</v>
      </c>
      <c r="Z5" t="s">
        <v>1666</v>
      </c>
      <c r="AE5" t="str">
        <f>_xll.BDS("DHR US Equity","SUPPLY_CHAIN_SUPPLIERS_ALL_DATA","cols=12;rows=5")</f>
        <v>FLEX US Equity</v>
      </c>
      <c r="AF5" t="s">
        <v>1598</v>
      </c>
      <c r="AG5">
        <v>1.165869</v>
      </c>
      <c r="AH5">
        <v>2.8864939999999999</v>
      </c>
      <c r="AI5" t="s">
        <v>1599</v>
      </c>
      <c r="AJ5">
        <v>2025</v>
      </c>
      <c r="AK5" t="s">
        <v>2557</v>
      </c>
      <c r="AL5" s="6">
        <v>45763</v>
      </c>
      <c r="AM5">
        <v>5</v>
      </c>
      <c r="AN5">
        <v>76434368</v>
      </c>
      <c r="AO5">
        <v>136547</v>
      </c>
      <c r="AP5" t="s">
        <v>2558</v>
      </c>
      <c r="AS5" t="str">
        <f>_xll.BDS("DHR US Equity","SUPPLY_CHAIN_CUSTOMERS_ALL_DATA","cols=12;rows=5")</f>
        <v>CDW US Equity</v>
      </c>
      <c r="AT5">
        <v>0.25350099999999998</v>
      </c>
      <c r="AU5" t="s">
        <v>1598</v>
      </c>
      <c r="AV5">
        <v>0.35698299999999999</v>
      </c>
      <c r="AW5" t="s">
        <v>1603</v>
      </c>
      <c r="AX5">
        <v>2025</v>
      </c>
      <c r="AY5" t="s">
        <v>1680</v>
      </c>
      <c r="AZ5" s="6">
        <v>45820</v>
      </c>
      <c r="BA5">
        <v>5</v>
      </c>
      <c r="BB5">
        <v>14553483</v>
      </c>
      <c r="BC5">
        <v>12129192</v>
      </c>
      <c r="BD5" t="s">
        <v>1681</v>
      </c>
      <c r="BI5" t="str">
        <f>_xll.BDS("O US Equity","SUPPLY_CHAIN_SUPPLIERS_ALL_DATA")</f>
        <v>#N/A N/A</v>
      </c>
      <c r="BW5" t="str">
        <f>_xll.BDS("O US Equity","SUPPLY_CHAIN_CUSTOMERS_ALL_DATA","cols=12;rows=5")</f>
        <v>3382 JP Equity</v>
      </c>
      <c r="BX5">
        <v>3.3005909999999998</v>
      </c>
      <c r="BY5" t="s">
        <v>1685</v>
      </c>
      <c r="BZ5">
        <v>0.96436999999999995</v>
      </c>
      <c r="CA5" t="s">
        <v>1594</v>
      </c>
      <c r="CB5">
        <v>2024</v>
      </c>
      <c r="CC5" t="s">
        <v>2353</v>
      </c>
      <c r="CD5" s="6">
        <v>45713</v>
      </c>
      <c r="CE5">
        <v>5</v>
      </c>
      <c r="CF5">
        <v>43494708</v>
      </c>
      <c r="CG5">
        <v>9917432</v>
      </c>
      <c r="CH5" t="s">
        <v>2493</v>
      </c>
      <c r="CM5" t="str">
        <f>_xll.BDS("DVN US Equity","SUPPLY_CHAIN_SUPPLIERS_ALL_DATA","cols=12;rows=5")</f>
        <v>AROC US Equity</v>
      </c>
      <c r="CN5" t="s">
        <v>1634</v>
      </c>
      <c r="CO5">
        <v>4.2080089999999997</v>
      </c>
      <c r="CP5">
        <v>1.658752</v>
      </c>
      <c r="CQ5" t="s">
        <v>1664</v>
      </c>
      <c r="CR5">
        <v>2025</v>
      </c>
      <c r="CS5" t="s">
        <v>2067</v>
      </c>
      <c r="CT5" s="6">
        <v>45929</v>
      </c>
      <c r="CU5">
        <v>5</v>
      </c>
      <c r="CV5">
        <v>16123071</v>
      </c>
      <c r="CW5">
        <v>13070762</v>
      </c>
      <c r="CX5" t="s">
        <v>2068</v>
      </c>
      <c r="DA5" t="str">
        <f>_xll.BDS("DVN US Equity","SUPPLY_CHAIN_CUSTOMERS_ALL_DATA","cols=12;rows=1")</f>
        <v>CNA LN Equity</v>
      </c>
      <c r="DB5">
        <v>-2.4245362661989844E-14</v>
      </c>
      <c r="DD5">
        <v>-2.4245362661989844E-14</v>
      </c>
      <c r="DE5" t="s">
        <v>1594</v>
      </c>
      <c r="DF5">
        <v>2025</v>
      </c>
      <c r="DG5" t="s">
        <v>1754</v>
      </c>
      <c r="DH5" s="6">
        <v>45884</v>
      </c>
      <c r="DI5">
        <v>1</v>
      </c>
      <c r="DJ5">
        <v>-2.4245362661989844E-14</v>
      </c>
      <c r="DK5">
        <v>216204</v>
      </c>
      <c r="DL5" t="s">
        <v>1755</v>
      </c>
      <c r="DQ5" t="str">
        <f>_xll.BDS("FHN US Equity","SUPPLY_CHAIN_SUPPLIERS_ALL_DATA","cols=12;rows=3")</f>
        <v>GBG LN Equity</v>
      </c>
      <c r="DS5">
        <v>-2.4245362661989844E-14</v>
      </c>
      <c r="DT5">
        <v>-2.4245362661989844E-14</v>
      </c>
      <c r="DU5" t="s">
        <v>1792</v>
      </c>
      <c r="DV5">
        <v>2023</v>
      </c>
      <c r="DW5" t="s">
        <v>5198</v>
      </c>
      <c r="DX5" s="6">
        <v>45012</v>
      </c>
      <c r="DY5">
        <v>3</v>
      </c>
      <c r="DZ5">
        <v>-2.4245362661989844E-14</v>
      </c>
      <c r="EA5">
        <v>182003</v>
      </c>
      <c r="EB5" t="s">
        <v>5199</v>
      </c>
      <c r="EE5" t="str">
        <f>_xll.BDS("FHN US Equity","SUPPLY_CHAIN_CUSTOMERS_ALL_DATA")</f>
        <v>#N/A N/A</v>
      </c>
      <c r="EU5" t="str">
        <f>_xll.BDS("AM US Equity","SUPPLY_CHAIN_SUPPLIERS_ALL_DATA","cols=12;rows=1")</f>
        <v>AR US Equity</v>
      </c>
      <c r="EW5">
        <v>-2.4245362661989844E-14</v>
      </c>
      <c r="EX5">
        <v>-2.4245362661989844E-14</v>
      </c>
      <c r="EY5" t="s">
        <v>1594</v>
      </c>
      <c r="EZ5">
        <v>2022</v>
      </c>
      <c r="FA5" t="s">
        <v>3835</v>
      </c>
      <c r="FB5" s="6">
        <v>44973</v>
      </c>
      <c r="FC5">
        <v>1</v>
      </c>
      <c r="FD5">
        <v>-2.4245362661989844E-14</v>
      </c>
      <c r="FE5">
        <v>17312199</v>
      </c>
      <c r="FF5" t="s">
        <v>2552</v>
      </c>
      <c r="FI5" t="str">
        <f>_xll.BDS("AM US Equity","SUPPLY_CHAIN_CUSTOMERS_ALL_DATA","cols=12;rows=1")</f>
        <v>AR US Equity</v>
      </c>
      <c r="FJ5">
        <v>71.354889</v>
      </c>
      <c r="FK5" t="s">
        <v>1598</v>
      </c>
      <c r="FL5">
        <v>21.692126999999999</v>
      </c>
      <c r="FM5" t="s">
        <v>1594</v>
      </c>
      <c r="FN5">
        <v>2025</v>
      </c>
      <c r="FO5" t="s">
        <v>4738</v>
      </c>
      <c r="FP5" s="6">
        <v>46064</v>
      </c>
      <c r="FQ5">
        <v>1</v>
      </c>
      <c r="FR5">
        <v>212000000</v>
      </c>
      <c r="FS5">
        <v>17312199</v>
      </c>
      <c r="FT5" t="s">
        <v>2552</v>
      </c>
      <c r="FY5" t="str">
        <f>_xll.BDS("TGNA US Equity","SUPPLY_CHAIN_SUPPLIERS_ALL_DATA","cols=12;rows=5")</f>
        <v>0159586D US Equity</v>
      </c>
      <c r="GA5">
        <v>-2.4245362661989844E-14</v>
      </c>
      <c r="GB5">
        <v>-2.4245362661989844E-14</v>
      </c>
      <c r="GC5" t="s">
        <v>1594</v>
      </c>
      <c r="GD5">
        <v>2025</v>
      </c>
      <c r="GE5" t="s">
        <v>4472</v>
      </c>
      <c r="GF5" s="6">
        <v>45764</v>
      </c>
      <c r="GG5">
        <v>5</v>
      </c>
      <c r="GH5">
        <v>-2.4245362661989844E-14</v>
      </c>
      <c r="GI5">
        <v>29079631</v>
      </c>
      <c r="GJ5" t="s">
        <v>4473</v>
      </c>
      <c r="GM5" t="str">
        <f>_xll.BDS("TGNA US Equity","SUPPLY_CHAIN_CUSTOMERS_ALL_DATA","cols=12;rows=5")</f>
        <v>210062Z SJ Equity</v>
      </c>
      <c r="GN5">
        <v>-2.4245362661989844E-14</v>
      </c>
      <c r="GP5">
        <v>-2.4245362661989844E-14</v>
      </c>
      <c r="GQ5" t="s">
        <v>1664</v>
      </c>
      <c r="GR5">
        <v>2024</v>
      </c>
      <c r="GS5" t="s">
        <v>3531</v>
      </c>
      <c r="GT5" s="6">
        <v>45523</v>
      </c>
      <c r="GU5">
        <v>5</v>
      </c>
      <c r="GV5">
        <v>-2.4245362661989844E-14</v>
      </c>
      <c r="GW5">
        <v>8159806</v>
      </c>
      <c r="GX5" t="s">
        <v>3532</v>
      </c>
      <c r="HC5" t="str">
        <f>_xll.BDS("WFC US Equity","SUPPLY_CHAIN_SUPPLIERS_ALL_DATA","cols=12;rows=5")</f>
        <v>ADBE US Equity</v>
      </c>
      <c r="HD5" t="s">
        <v>1685</v>
      </c>
      <c r="HE5">
        <v>0.357321</v>
      </c>
      <c r="HF5">
        <v>0.15107200000000001</v>
      </c>
      <c r="HG5" t="s">
        <v>1664</v>
      </c>
      <c r="HH5">
        <v>2025</v>
      </c>
      <c r="HI5" t="s">
        <v>2052</v>
      </c>
      <c r="HJ5" s="6">
        <v>45838</v>
      </c>
      <c r="HK5">
        <v>5</v>
      </c>
      <c r="HL5">
        <v>20985462</v>
      </c>
      <c r="HM5">
        <v>101689</v>
      </c>
      <c r="HN5" t="s">
        <v>2053</v>
      </c>
      <c r="HQ5" t="str">
        <f>_xll.BDS("WFC US Equity","SUPPLY_CHAIN_CUSTOMERS_ALL_DATA","cols=12;rows=5")</f>
        <v>CDW US Equity</v>
      </c>
      <c r="HR5">
        <v>4.1894000000000001E-2</v>
      </c>
      <c r="HS5" t="s">
        <v>1598</v>
      </c>
      <c r="HT5">
        <v>0.304456</v>
      </c>
      <c r="HU5" t="s">
        <v>1603</v>
      </c>
      <c r="HV5">
        <v>2025</v>
      </c>
      <c r="HW5" t="s">
        <v>1680</v>
      </c>
      <c r="HX5" s="6">
        <v>45820</v>
      </c>
      <c r="HY5">
        <v>5</v>
      </c>
      <c r="HZ5">
        <v>12412062</v>
      </c>
      <c r="IA5">
        <v>12129192</v>
      </c>
      <c r="IB5" t="s">
        <v>1681</v>
      </c>
      <c r="IG5" t="str">
        <f>_xll.BDS("CRM US Equity","SUPPLY_CHAIN_SUPPLIERS_ALL_DATA","cols=12;rows=5")</f>
        <v>BXP US Equity</v>
      </c>
      <c r="IH5" t="s">
        <v>1685</v>
      </c>
      <c r="II5">
        <v>3.2392069999999999</v>
      </c>
      <c r="IJ5">
        <v>0.72514800000000001</v>
      </c>
      <c r="IK5" t="s">
        <v>1599</v>
      </c>
      <c r="IL5">
        <v>2025</v>
      </c>
      <c r="IM5" t="s">
        <v>3371</v>
      </c>
      <c r="IN5" s="6">
        <v>45996</v>
      </c>
      <c r="IO5">
        <v>5</v>
      </c>
      <c r="IP5">
        <v>28230014</v>
      </c>
      <c r="IQ5">
        <v>225275</v>
      </c>
      <c r="IR5" t="s">
        <v>3372</v>
      </c>
      <c r="IU5" t="str">
        <f>_xll.BDS("CRM US Equity","SUPPLY_CHAIN_CUSTOMERS_ALL_DATA","cols=12;rows=5")</f>
        <v>SNX US Equity</v>
      </c>
      <c r="IV5">
        <v>1.073215</v>
      </c>
      <c r="IW5" t="s">
        <v>1598</v>
      </c>
      <c r="IX5">
        <v>0.68029200000000001</v>
      </c>
      <c r="IY5" t="s">
        <v>1606</v>
      </c>
      <c r="IZ5">
        <v>2025</v>
      </c>
      <c r="JA5" t="s">
        <v>1701</v>
      </c>
      <c r="JB5" s="6">
        <v>46056</v>
      </c>
      <c r="JC5">
        <v>5</v>
      </c>
      <c r="JD5">
        <v>110101112</v>
      </c>
      <c r="JE5">
        <v>1499717</v>
      </c>
      <c r="JF5" t="s">
        <v>1702</v>
      </c>
      <c r="JK5" t="str">
        <f>_xll.BDS("CVX US Equity","SUPPLY_CHAIN_SUPPLIERS_ALL_DATA","cols=12;rows=5")</f>
        <v>RIG US Equity</v>
      </c>
      <c r="JL5" t="s">
        <v>1634</v>
      </c>
      <c r="JM5">
        <v>14.893827999999999</v>
      </c>
      <c r="JN5">
        <v>3.5820059999999998</v>
      </c>
      <c r="JO5" t="s">
        <v>1606</v>
      </c>
      <c r="JP5">
        <v>2025</v>
      </c>
      <c r="JQ5" t="s">
        <v>4441</v>
      </c>
      <c r="JR5" s="6">
        <v>46090</v>
      </c>
      <c r="JS5">
        <v>5</v>
      </c>
      <c r="JT5">
        <v>155342624</v>
      </c>
      <c r="JU5">
        <v>119077</v>
      </c>
      <c r="JV5" t="s">
        <v>4442</v>
      </c>
      <c r="JY5" t="str">
        <f>_xll.BDS("CVX US Equity","SUPPLY_CHAIN_CUSTOMERS_ALL_DATA","cols=12;rows=5")</f>
        <v>UGPA3 BZ Equity</v>
      </c>
      <c r="JZ5">
        <v>8.6980000000000002E-2</v>
      </c>
      <c r="KA5" t="s">
        <v>1598</v>
      </c>
      <c r="KB5">
        <v>0.76061900000000005</v>
      </c>
      <c r="KC5" t="s">
        <v>1594</v>
      </c>
      <c r="KD5">
        <v>2024</v>
      </c>
      <c r="KE5" t="s">
        <v>3563</v>
      </c>
      <c r="KF5" s="6">
        <v>45770</v>
      </c>
      <c r="KG5">
        <v>5</v>
      </c>
      <c r="KH5">
        <v>43856224.539999999</v>
      </c>
      <c r="KI5">
        <v>825248</v>
      </c>
      <c r="KJ5" t="s">
        <v>3564</v>
      </c>
      <c r="KO5" t="str">
        <f>_xll.BDS("HSH US Equity","SUPPLY_CHAIN_SUPPLIERS_ALL_DATA")</f>
        <v>#N/A N/A</v>
      </c>
      <c r="LC5" t="str">
        <f>_xll.BDS("HSH US Equity","SUPPLY_CHAIN_CUSTOMERS_ALL_DATA")</f>
        <v>#N/A N/A</v>
      </c>
      <c r="LS5" t="str">
        <f>_xll.BDS("DAL US Equity","SUPPLY_CHAIN_SUPPLIERS_ALL_DATA","cols=12;rows=5")</f>
        <v>AIR FP Equity</v>
      </c>
      <c r="LT5" t="s">
        <v>1634</v>
      </c>
      <c r="LU5">
        <v>5.2670899999999996</v>
      </c>
      <c r="LV5">
        <v>79.364188999999996</v>
      </c>
      <c r="LW5" t="s">
        <v>1664</v>
      </c>
      <c r="LX5">
        <v>2025</v>
      </c>
      <c r="LY5" t="s">
        <v>2161</v>
      </c>
      <c r="LZ5" s="6">
        <v>45874</v>
      </c>
      <c r="MA5">
        <v>5</v>
      </c>
      <c r="MB5">
        <v>959129959.07000005</v>
      </c>
      <c r="MC5">
        <v>876285</v>
      </c>
      <c r="MD5" t="s">
        <v>1734</v>
      </c>
      <c r="MG5" t="str">
        <f>_xll.BDS("DAL US Equity","SUPPLY_CHAIN_CUSTOMERS_ALL_DATA","cols=12;rows=5")</f>
        <v>LTM CI Equity</v>
      </c>
      <c r="MH5">
        <v>0.613568</v>
      </c>
      <c r="MI5" t="s">
        <v>1685</v>
      </c>
      <c r="MJ5">
        <v>26.822562999999999</v>
      </c>
      <c r="MK5" t="s">
        <v>1594</v>
      </c>
      <c r="ML5">
        <v>2025</v>
      </c>
      <c r="MM5" t="s">
        <v>1686</v>
      </c>
      <c r="MN5" s="6">
        <v>46056</v>
      </c>
      <c r="MO5">
        <v>5</v>
      </c>
      <c r="MP5">
        <v>97195250</v>
      </c>
      <c r="MQ5">
        <v>163441</v>
      </c>
      <c r="MR5" t="s">
        <v>1687</v>
      </c>
      <c r="MW5" t="str">
        <f>_xll.BDS("PROXQ US Equity","SUPPLY_CHAIN_SUPPLIERS_ALL_DATA")</f>
        <v>#N/A N/A</v>
      </c>
      <c r="NK5" t="str">
        <f>_xll.BDS("PROXQ US Equity","SUPPLY_CHAIN_CUSTOMERS_ALL_DATA","cols=12;rows=1")</f>
        <v>CNXN US Equity</v>
      </c>
      <c r="NL5">
        <v>-2.4245362661989844E-14</v>
      </c>
      <c r="NN5">
        <v>-2.4245362661989844E-14</v>
      </c>
      <c r="NO5" t="s">
        <v>1603</v>
      </c>
      <c r="NP5">
        <v>2025</v>
      </c>
      <c r="NQ5" t="s">
        <v>5125</v>
      </c>
      <c r="NR5" s="6">
        <v>45799</v>
      </c>
      <c r="NS5">
        <v>1</v>
      </c>
      <c r="NT5">
        <v>-2.4245362661989844E-14</v>
      </c>
      <c r="NU5">
        <v>313021</v>
      </c>
      <c r="NV5" t="s">
        <v>2860</v>
      </c>
      <c r="OA5" t="str">
        <f>_xll.BDS("EMN US Equity","SUPPLY_CHAIN_SUPPLIERS_ALL_DATA","cols=12;rows=5")</f>
        <v>AI FP Equity</v>
      </c>
      <c r="OB5" t="s">
        <v>1598</v>
      </c>
      <c r="OC5">
        <v>0.110859</v>
      </c>
      <c r="OD5">
        <v>0.48419400000000001</v>
      </c>
      <c r="OE5" t="s">
        <v>1664</v>
      </c>
      <c r="OF5">
        <v>2025</v>
      </c>
      <c r="OG5" t="s">
        <v>2290</v>
      </c>
      <c r="OH5" s="6">
        <v>45910</v>
      </c>
      <c r="OI5">
        <v>5</v>
      </c>
      <c r="OJ5">
        <v>8620046.4000000004</v>
      </c>
      <c r="OK5">
        <v>115230</v>
      </c>
      <c r="OL5" t="s">
        <v>2291</v>
      </c>
      <c r="OO5" t="str">
        <f>_xll.BDS("EMN US Equity","SUPPLY_CHAIN_CUSTOMERS_ALL_DATA","cols=12;rows=5")</f>
        <v>JNJ US Equity</v>
      </c>
      <c r="OP5">
        <v>2.321053</v>
      </c>
      <c r="OQ5" t="s">
        <v>1598</v>
      </c>
      <c r="OR5">
        <v>0.69984400000000002</v>
      </c>
      <c r="OS5" t="s">
        <v>1599</v>
      </c>
      <c r="OT5">
        <v>2025</v>
      </c>
      <c r="OU5" t="s">
        <v>1864</v>
      </c>
      <c r="OV5" s="6">
        <v>46018</v>
      </c>
      <c r="OW5">
        <v>5</v>
      </c>
      <c r="OX5">
        <v>51109588</v>
      </c>
      <c r="OY5">
        <v>100828</v>
      </c>
      <c r="OZ5" t="s">
        <v>1865</v>
      </c>
      <c r="PE5" t="str">
        <f>_xll.BDS("AA US Equity","SUPPLY_CHAIN_SUPPLIERS_ALL_DATA","cols=12;rows=5")</f>
        <v>MAADEN AB Equity</v>
      </c>
      <c r="PF5" t="s">
        <v>1598</v>
      </c>
      <c r="PG5">
        <v>4.2572039999999998</v>
      </c>
      <c r="PH5">
        <v>3.644434</v>
      </c>
      <c r="PI5" t="s">
        <v>1594</v>
      </c>
      <c r="PJ5">
        <v>2024</v>
      </c>
      <c r="PK5" t="s">
        <v>2615</v>
      </c>
      <c r="PL5" s="6">
        <v>45729</v>
      </c>
      <c r="PM5">
        <v>5</v>
      </c>
      <c r="PN5">
        <v>91511433.980000004</v>
      </c>
      <c r="PO5">
        <v>948635</v>
      </c>
      <c r="PP5" t="s">
        <v>2616</v>
      </c>
      <c r="PS5" t="str">
        <f>_xll.BDS("AA US Equity","SUPPLY_CHAIN_CUSTOMERS_ALL_DATA","cols=12;rows=5")</f>
        <v>MAADEN AB Equity</v>
      </c>
      <c r="PT5">
        <v>1.3594E-2</v>
      </c>
      <c r="PU5" t="s">
        <v>1598</v>
      </c>
      <c r="PV5">
        <v>2.6039E-2</v>
      </c>
      <c r="PW5" t="s">
        <v>1594</v>
      </c>
      <c r="PX5">
        <v>2024</v>
      </c>
      <c r="PY5" t="s">
        <v>2615</v>
      </c>
      <c r="PZ5" s="6">
        <v>45729</v>
      </c>
      <c r="QA5">
        <v>5</v>
      </c>
      <c r="QB5">
        <v>404250.67</v>
      </c>
      <c r="QC5">
        <v>948635</v>
      </c>
      <c r="QD5" t="s">
        <v>2616</v>
      </c>
      <c r="QI5" t="str">
        <f>_xll.BDS("CELG US Equity","SUPPLY_CHAIN_SUPPLIERS_ALL_DATA","cols=12;rows=1")</f>
        <v>FE US Equity</v>
      </c>
      <c r="QK5">
        <v>-2.4245362661989844E-14</v>
      </c>
      <c r="QL5">
        <v>-2.4245362661989844E-14</v>
      </c>
      <c r="QM5" t="s">
        <v>1594</v>
      </c>
      <c r="QN5">
        <v>2021</v>
      </c>
      <c r="QO5" t="s">
        <v>3048</v>
      </c>
      <c r="QP5" s="6">
        <v>44693</v>
      </c>
      <c r="QQ5">
        <v>1</v>
      </c>
      <c r="QR5">
        <v>-2.4245362661989844E-14</v>
      </c>
      <c r="QS5">
        <v>302916</v>
      </c>
      <c r="QT5" t="s">
        <v>3049</v>
      </c>
      <c r="QW5" t="str">
        <f>_xll.BDS("CELG US Equity","SUPPLY_CHAIN_CUSTOMERS_ALL_DATA")</f>
        <v>#N/A N/A</v>
      </c>
      <c r="RM5" t="str">
        <f>_xll.BDS("PFGC US Equity","SUPPLY_CHAIN_SUPPLIERS_ALL_DATA","cols=12;rows=5")</f>
        <v>TSN US Equity</v>
      </c>
      <c r="RN5" t="s">
        <v>1598</v>
      </c>
      <c r="RO5">
        <v>5.1722729999999997</v>
      </c>
      <c r="RP5">
        <v>4.6149529999999999</v>
      </c>
      <c r="RQ5" t="s">
        <v>1599</v>
      </c>
      <c r="RR5">
        <v>2025</v>
      </c>
      <c r="RS5" t="s">
        <v>1941</v>
      </c>
      <c r="RT5" s="6">
        <v>45946</v>
      </c>
      <c r="RU5">
        <v>5</v>
      </c>
      <c r="RV5">
        <v>689321728</v>
      </c>
      <c r="RW5">
        <v>101779</v>
      </c>
      <c r="RX5" t="s">
        <v>3786</v>
      </c>
      <c r="SA5" t="str">
        <f>_xll.BDS("PFGC US Equity","SUPPLY_CHAIN_CUSTOMERS_ALL_DATA","cols=12;rows=5")</f>
        <v>ARMK US Equity</v>
      </c>
      <c r="SB5">
        <v>3.8995820000000001</v>
      </c>
      <c r="SC5" t="s">
        <v>1598</v>
      </c>
      <c r="SD5">
        <v>14.374471</v>
      </c>
      <c r="SE5" t="s">
        <v>1603</v>
      </c>
      <c r="SF5">
        <v>2026</v>
      </c>
      <c r="SG5" t="s">
        <v>3711</v>
      </c>
      <c r="SH5" s="6">
        <v>45996</v>
      </c>
      <c r="SI5">
        <v>5</v>
      </c>
      <c r="SJ5">
        <v>665888704</v>
      </c>
      <c r="SK5">
        <v>13061296</v>
      </c>
      <c r="SL5" t="s">
        <v>2533</v>
      </c>
      <c r="SQ5" t="str">
        <f>_xll.BDS("ORCL US Equity","SUPPLY_CHAIN_SUPPLIERS_ALL_DATA","cols=12;rows=5")</f>
        <v>NVDA US Equity</v>
      </c>
      <c r="SR5" t="s">
        <v>1634</v>
      </c>
      <c r="SS5">
        <v>1.9751799999999999</v>
      </c>
      <c r="ST5">
        <v>11.182838</v>
      </c>
      <c r="SU5" t="s">
        <v>1606</v>
      </c>
      <c r="SV5">
        <v>2026</v>
      </c>
      <c r="SW5" t="s">
        <v>2004</v>
      </c>
      <c r="SX5" s="6">
        <v>46087</v>
      </c>
      <c r="SY5">
        <v>5</v>
      </c>
      <c r="SZ5">
        <v>1345630848</v>
      </c>
      <c r="TA5">
        <v>313657</v>
      </c>
      <c r="TB5" t="s">
        <v>2005</v>
      </c>
      <c r="TE5" t="str">
        <f>_xll.BDS("ORCL US Equity","SUPPLY_CHAIN_CUSTOMERS_ALL_DATA","cols=12;rows=5")</f>
        <v>ACN US Equity</v>
      </c>
      <c r="TF5">
        <v>1.9061380000000001</v>
      </c>
      <c r="TG5" t="s">
        <v>1598</v>
      </c>
      <c r="TH5">
        <v>2.7725070000000001</v>
      </c>
      <c r="TI5" t="s">
        <v>1606</v>
      </c>
      <c r="TJ5">
        <v>2025</v>
      </c>
      <c r="TK5" t="s">
        <v>2251</v>
      </c>
      <c r="TL5" s="6">
        <v>45848</v>
      </c>
      <c r="TM5">
        <v>5</v>
      </c>
      <c r="TN5">
        <v>303133120</v>
      </c>
      <c r="TO5">
        <v>300787</v>
      </c>
      <c r="TP5" t="s">
        <v>2252</v>
      </c>
      <c r="TU5" t="str">
        <f>_xll.BDS("COR US Equity","SUPPLY_CHAIN_SUPPLIERS_ALL_DATA","cols=12;rows=5")</f>
        <v>LLY US Equity</v>
      </c>
      <c r="TV5" t="s">
        <v>1598</v>
      </c>
      <c r="TW5">
        <v>22.163627999999999</v>
      </c>
      <c r="TX5">
        <v>4.8294360000000003</v>
      </c>
      <c r="TY5" t="s">
        <v>1599</v>
      </c>
      <c r="TZ5">
        <v>2025</v>
      </c>
      <c r="UA5" t="s">
        <v>1859</v>
      </c>
      <c r="UB5" s="6">
        <v>46041</v>
      </c>
      <c r="UC5">
        <v>5</v>
      </c>
      <c r="UD5">
        <v>3900975616</v>
      </c>
      <c r="UE5">
        <v>100894</v>
      </c>
      <c r="UF5" t="s">
        <v>2218</v>
      </c>
      <c r="UI5" t="str">
        <f>_xll.BDS("COR US Equity","SUPPLY_CHAIN_CUSTOMERS_ALL_DATA","cols=12;rows=5")</f>
        <v>WBA US Equity</v>
      </c>
      <c r="UJ5">
        <v>26.14452</v>
      </c>
      <c r="UK5" t="s">
        <v>1598</v>
      </c>
      <c r="UL5">
        <v>60.735835999999999</v>
      </c>
      <c r="UM5" t="s">
        <v>1599</v>
      </c>
      <c r="UN5">
        <v>2025</v>
      </c>
      <c r="UO5" t="s">
        <v>1829</v>
      </c>
      <c r="UP5" s="6">
        <v>45834</v>
      </c>
      <c r="UQ5">
        <v>5</v>
      </c>
      <c r="UR5">
        <v>19727000000</v>
      </c>
      <c r="US5">
        <v>101617</v>
      </c>
      <c r="UT5" t="s">
        <v>1830</v>
      </c>
      <c r="UY5" t="str">
        <f>_xll.BDS("BLDR US Equity","SUPPLY_CHAIN_SUPPLIERS_ALL_DATA","cols=12;rows=5")</f>
        <v>LPX US Equity</v>
      </c>
      <c r="UZ5" t="s">
        <v>1598</v>
      </c>
      <c r="VA5">
        <v>2.6209859999999998</v>
      </c>
      <c r="VB5">
        <v>0.63380700000000001</v>
      </c>
      <c r="VC5" t="s">
        <v>1599</v>
      </c>
      <c r="VD5">
        <v>2025</v>
      </c>
      <c r="VE5" t="s">
        <v>2142</v>
      </c>
      <c r="VF5" s="6">
        <v>45975</v>
      </c>
      <c r="VG5">
        <v>5</v>
      </c>
      <c r="VH5">
        <v>17377136</v>
      </c>
      <c r="VI5">
        <v>100915</v>
      </c>
      <c r="VJ5" t="s">
        <v>2143</v>
      </c>
      <c r="VM5" t="str">
        <f>_xll.BDS("BLDR US Equity","SUPPLY_CHAIN_CUSTOMERS_ALL_DATA","cols=12;rows=5")</f>
        <v>616150Z US Equity</v>
      </c>
      <c r="VN5">
        <v>-2.4245362661989844E-14</v>
      </c>
      <c r="VP5">
        <v>-2.4245362661989844E-14</v>
      </c>
      <c r="VQ5" t="s">
        <v>1594</v>
      </c>
      <c r="VR5">
        <v>2022</v>
      </c>
      <c r="VS5" t="s">
        <v>1712</v>
      </c>
      <c r="VT5" s="6">
        <v>44985</v>
      </c>
      <c r="VU5">
        <v>5</v>
      </c>
      <c r="VV5">
        <v>-2.4245362661989844E-14</v>
      </c>
      <c r="VW5">
        <v>9388329</v>
      </c>
      <c r="VX5" t="s">
        <v>1713</v>
      </c>
    </row>
    <row r="6" spans="1:600" x14ac:dyDescent="0.25">
      <c r="A6" t="s">
        <v>3397</v>
      </c>
      <c r="B6" t="s">
        <v>1634</v>
      </c>
      <c r="C6">
        <v>6.6028770000000003</v>
      </c>
      <c r="D6">
        <v>5.0506979999999997</v>
      </c>
      <c r="E6" t="s">
        <v>1664</v>
      </c>
      <c r="F6">
        <v>2025</v>
      </c>
      <c r="G6" t="s">
        <v>3398</v>
      </c>
      <c r="H6" s="6">
        <v>45915</v>
      </c>
      <c r="I6">
        <v>5</v>
      </c>
      <c r="J6">
        <v>245362912</v>
      </c>
      <c r="K6">
        <v>101464</v>
      </c>
      <c r="L6" t="s">
        <v>3399</v>
      </c>
      <c r="O6" t="s">
        <v>2492</v>
      </c>
      <c r="P6">
        <v>1.615089</v>
      </c>
      <c r="Q6" t="s">
        <v>1598</v>
      </c>
      <c r="R6">
        <v>12.136977999999999</v>
      </c>
      <c r="S6" t="s">
        <v>1594</v>
      </c>
      <c r="T6">
        <v>2024</v>
      </c>
      <c r="U6" t="s">
        <v>2944</v>
      </c>
      <c r="V6" s="6">
        <v>45712</v>
      </c>
      <c r="W6">
        <v>5</v>
      </c>
      <c r="X6">
        <v>1712931072</v>
      </c>
      <c r="Y6">
        <v>9917432</v>
      </c>
      <c r="Z6" t="s">
        <v>2493</v>
      </c>
      <c r="AE6" t="s">
        <v>2559</v>
      </c>
      <c r="AF6" t="s">
        <v>1598</v>
      </c>
      <c r="AG6">
        <v>0.147895</v>
      </c>
      <c r="AH6">
        <v>0.47978500000000002</v>
      </c>
      <c r="AI6" t="s">
        <v>1599</v>
      </c>
      <c r="AJ6">
        <v>2025</v>
      </c>
      <c r="AK6" t="s">
        <v>2560</v>
      </c>
      <c r="AL6" s="6">
        <v>45867</v>
      </c>
      <c r="AM6">
        <v>5</v>
      </c>
      <c r="AN6">
        <v>11577221</v>
      </c>
      <c r="AO6">
        <v>117092</v>
      </c>
      <c r="AP6" t="s">
        <v>2561</v>
      </c>
      <c r="AS6" t="s">
        <v>1700</v>
      </c>
      <c r="AT6">
        <v>0.22051499999999999</v>
      </c>
      <c r="AU6" t="s">
        <v>1598</v>
      </c>
      <c r="AV6">
        <v>9.3169000000000002E-2</v>
      </c>
      <c r="AW6" t="s">
        <v>1606</v>
      </c>
      <c r="AX6">
        <v>2025</v>
      </c>
      <c r="AY6" t="s">
        <v>1701</v>
      </c>
      <c r="AZ6" s="6">
        <v>46056</v>
      </c>
      <c r="BA6">
        <v>5</v>
      </c>
      <c r="BB6">
        <v>15078834</v>
      </c>
      <c r="BC6">
        <v>1499717</v>
      </c>
      <c r="BD6" t="s">
        <v>1702</v>
      </c>
      <c r="BW6" t="s">
        <v>1828</v>
      </c>
      <c r="BX6">
        <v>3.1119859999999999</v>
      </c>
      <c r="BY6" t="s">
        <v>1685</v>
      </c>
      <c r="BZ6">
        <v>0.58008800000000005</v>
      </c>
      <c r="CA6" t="s">
        <v>1594</v>
      </c>
      <c r="CB6">
        <v>2024</v>
      </c>
      <c r="CC6" t="s">
        <v>2353</v>
      </c>
      <c r="CD6" s="6">
        <v>45713</v>
      </c>
      <c r="CE6">
        <v>5</v>
      </c>
      <c r="CF6">
        <v>41009298</v>
      </c>
      <c r="CG6">
        <v>101617</v>
      </c>
      <c r="CH6" t="s">
        <v>1830</v>
      </c>
      <c r="CM6" t="s">
        <v>2069</v>
      </c>
      <c r="CN6" t="s">
        <v>1634</v>
      </c>
      <c r="CO6">
        <v>0.66700099999999996</v>
      </c>
      <c r="CP6">
        <v>0.67727700000000002</v>
      </c>
      <c r="CQ6" t="s">
        <v>1599</v>
      </c>
      <c r="CR6">
        <v>2025</v>
      </c>
      <c r="CS6" t="s">
        <v>2070</v>
      </c>
      <c r="CT6" s="6">
        <v>45979</v>
      </c>
      <c r="CU6">
        <v>5</v>
      </c>
      <c r="CV6">
        <v>7227891.7699999996</v>
      </c>
      <c r="CW6">
        <v>115557</v>
      </c>
      <c r="CX6" t="s">
        <v>2071</v>
      </c>
      <c r="DQ6" t="s">
        <v>2054</v>
      </c>
      <c r="DS6">
        <v>-2.4245362661989844E-14</v>
      </c>
      <c r="DT6">
        <v>-2.4245362661989844E-14</v>
      </c>
      <c r="DU6" t="s">
        <v>1594</v>
      </c>
      <c r="DV6">
        <v>2023</v>
      </c>
      <c r="DW6" t="s">
        <v>5200</v>
      </c>
      <c r="DX6" s="6">
        <v>45350</v>
      </c>
      <c r="DY6">
        <v>3</v>
      </c>
      <c r="DZ6">
        <v>-2.4245362661989844E-14</v>
      </c>
      <c r="EA6">
        <v>35300053</v>
      </c>
      <c r="EB6" t="s">
        <v>2056</v>
      </c>
      <c r="FY6" t="s">
        <v>4474</v>
      </c>
      <c r="GA6">
        <v>-2.4245362661989844E-14</v>
      </c>
      <c r="GB6">
        <v>-2.4245362661989844E-14</v>
      </c>
      <c r="GC6" t="s">
        <v>1594</v>
      </c>
      <c r="GD6">
        <v>2025</v>
      </c>
      <c r="GE6" t="s">
        <v>4472</v>
      </c>
      <c r="GF6" s="6">
        <v>45764</v>
      </c>
      <c r="GG6">
        <v>5</v>
      </c>
      <c r="GH6">
        <v>-2.4245362661989844E-14</v>
      </c>
      <c r="GI6">
        <v>937954</v>
      </c>
      <c r="GJ6" t="s">
        <v>4475</v>
      </c>
      <c r="GM6" t="s">
        <v>3512</v>
      </c>
      <c r="GN6">
        <v>-2.4245362661989844E-14</v>
      </c>
      <c r="GP6">
        <v>-2.4245362661989844E-14</v>
      </c>
      <c r="GQ6" t="s">
        <v>1594</v>
      </c>
      <c r="GR6">
        <v>2024</v>
      </c>
      <c r="GS6" t="s">
        <v>3533</v>
      </c>
      <c r="GT6" s="6">
        <v>45715</v>
      </c>
      <c r="GU6">
        <v>5</v>
      </c>
      <c r="GV6">
        <v>-2.4245362661989844E-14</v>
      </c>
      <c r="GW6">
        <v>15994790</v>
      </c>
      <c r="GX6" t="s">
        <v>3513</v>
      </c>
      <c r="HC6" t="s">
        <v>2057</v>
      </c>
      <c r="HD6" t="s">
        <v>1685</v>
      </c>
      <c r="HE6">
        <v>5.2993949999999996</v>
      </c>
      <c r="HF6">
        <v>7.1481000000000003E-2</v>
      </c>
      <c r="HG6" t="s">
        <v>1603</v>
      </c>
      <c r="HH6">
        <v>2026</v>
      </c>
      <c r="HI6" t="s">
        <v>2058</v>
      </c>
      <c r="HJ6" s="6">
        <v>45898</v>
      </c>
      <c r="HK6">
        <v>5</v>
      </c>
      <c r="HL6">
        <v>9563900.9100000001</v>
      </c>
      <c r="HM6">
        <v>178651</v>
      </c>
      <c r="HN6" t="s">
        <v>2059</v>
      </c>
      <c r="HQ6" t="s">
        <v>5519</v>
      </c>
      <c r="HR6">
        <v>-2.4245362661989844E-14</v>
      </c>
      <c r="HT6">
        <v>-2.4245362661989844E-14</v>
      </c>
      <c r="HU6" t="s">
        <v>1594</v>
      </c>
      <c r="HV6">
        <v>2024</v>
      </c>
      <c r="HW6" t="s">
        <v>5520</v>
      </c>
      <c r="HX6" s="6">
        <v>45756</v>
      </c>
      <c r="HY6">
        <v>5</v>
      </c>
      <c r="HZ6">
        <v>-2.4245362661989844E-14</v>
      </c>
      <c r="IA6">
        <v>23063237</v>
      </c>
      <c r="IB6" t="s">
        <v>5521</v>
      </c>
      <c r="IG6" t="s">
        <v>2003</v>
      </c>
      <c r="IH6" t="s">
        <v>1634</v>
      </c>
      <c r="II6">
        <v>4.1180000000000001E-2</v>
      </c>
      <c r="IJ6">
        <v>13.423301</v>
      </c>
      <c r="IK6" t="s">
        <v>1606</v>
      </c>
      <c r="IL6">
        <v>2026</v>
      </c>
      <c r="IM6" t="s">
        <v>2004</v>
      </c>
      <c r="IN6" s="6">
        <v>46087</v>
      </c>
      <c r="IO6">
        <v>5</v>
      </c>
      <c r="IP6">
        <v>28054700</v>
      </c>
      <c r="IQ6">
        <v>313657</v>
      </c>
      <c r="IR6" t="s">
        <v>2005</v>
      </c>
      <c r="IU6" t="s">
        <v>117</v>
      </c>
      <c r="IV6">
        <v>0.84484700000000001</v>
      </c>
      <c r="IW6" t="s">
        <v>1598</v>
      </c>
      <c r="IX6">
        <v>1.296859</v>
      </c>
      <c r="IY6" t="s">
        <v>1603</v>
      </c>
      <c r="IZ6">
        <v>2025</v>
      </c>
      <c r="JA6" t="s">
        <v>1744</v>
      </c>
      <c r="JB6" s="6">
        <v>45797</v>
      </c>
      <c r="JC6">
        <v>5</v>
      </c>
      <c r="JD6">
        <v>84425520</v>
      </c>
      <c r="JE6">
        <v>100801</v>
      </c>
      <c r="JF6" t="s">
        <v>1745</v>
      </c>
      <c r="JK6" t="s">
        <v>3360</v>
      </c>
      <c r="JL6" t="s">
        <v>1634</v>
      </c>
      <c r="JM6">
        <v>3.5035419999999999</v>
      </c>
      <c r="JN6">
        <v>2.537461</v>
      </c>
      <c r="JO6" t="s">
        <v>1599</v>
      </c>
      <c r="JP6">
        <v>2025</v>
      </c>
      <c r="JQ6" t="s">
        <v>3361</v>
      </c>
      <c r="JR6" s="6">
        <v>45971</v>
      </c>
      <c r="JS6">
        <v>5</v>
      </c>
      <c r="JT6">
        <v>104340384</v>
      </c>
      <c r="JU6">
        <v>7912227</v>
      </c>
      <c r="JV6" t="s">
        <v>3362</v>
      </c>
      <c r="JY6" t="s">
        <v>3565</v>
      </c>
      <c r="JZ6">
        <v>1.7881000000000001E-2</v>
      </c>
      <c r="KA6" t="s">
        <v>1598</v>
      </c>
      <c r="KB6">
        <v>0.27887899999999999</v>
      </c>
      <c r="KC6" t="s">
        <v>1664</v>
      </c>
      <c r="KD6">
        <v>2025</v>
      </c>
      <c r="KE6" t="s">
        <v>3566</v>
      </c>
      <c r="KF6" s="6">
        <v>45882</v>
      </c>
      <c r="KG6">
        <v>5</v>
      </c>
      <c r="KH6">
        <v>8645070.5399999991</v>
      </c>
      <c r="KI6">
        <v>115777</v>
      </c>
      <c r="KJ6" t="s">
        <v>3567</v>
      </c>
      <c r="LS6" t="s">
        <v>745</v>
      </c>
      <c r="LT6" t="s">
        <v>1598</v>
      </c>
      <c r="LU6">
        <v>3.0208680000000001</v>
      </c>
      <c r="LV6">
        <v>2.2892220000000001</v>
      </c>
      <c r="LW6" t="s">
        <v>1664</v>
      </c>
      <c r="LX6">
        <v>2025</v>
      </c>
      <c r="LY6" t="s">
        <v>1958</v>
      </c>
      <c r="LZ6" s="6">
        <v>45888</v>
      </c>
      <c r="MA6">
        <v>5</v>
      </c>
      <c r="MB6">
        <v>332990272</v>
      </c>
      <c r="MC6">
        <v>100632</v>
      </c>
      <c r="MD6" t="s">
        <v>2162</v>
      </c>
      <c r="MG6" t="s">
        <v>1688</v>
      </c>
      <c r="MH6">
        <v>-2.4245362661989844E-14</v>
      </c>
      <c r="MJ6">
        <v>-2.4245362661989844E-14</v>
      </c>
      <c r="MK6" t="s">
        <v>1651</v>
      </c>
      <c r="ML6">
        <v>2022</v>
      </c>
      <c r="MM6" t="s">
        <v>1689</v>
      </c>
      <c r="MN6" s="6">
        <v>44879</v>
      </c>
      <c r="MO6">
        <v>5</v>
      </c>
      <c r="MP6">
        <v>-2.4245362661989844E-14</v>
      </c>
      <c r="MQ6">
        <v>866559</v>
      </c>
      <c r="MR6" t="s">
        <v>1690</v>
      </c>
      <c r="OA6" t="s">
        <v>2022</v>
      </c>
      <c r="OB6" t="s">
        <v>1598</v>
      </c>
      <c r="OC6">
        <v>0.23335</v>
      </c>
      <c r="OD6">
        <v>0.39701999999999998</v>
      </c>
      <c r="OE6" t="s">
        <v>1664</v>
      </c>
      <c r="OF6">
        <v>2025</v>
      </c>
      <c r="OG6" t="s">
        <v>2023</v>
      </c>
      <c r="OH6" s="6">
        <v>45778</v>
      </c>
      <c r="OI6">
        <v>5</v>
      </c>
      <c r="OJ6">
        <v>6840655</v>
      </c>
      <c r="OK6">
        <v>100019</v>
      </c>
      <c r="OL6" t="s">
        <v>2024</v>
      </c>
      <c r="OO6" t="s">
        <v>1866</v>
      </c>
      <c r="OP6">
        <v>2.0834760000000001</v>
      </c>
      <c r="OQ6" t="s">
        <v>1598</v>
      </c>
      <c r="OR6">
        <v>0.33438400000000001</v>
      </c>
      <c r="OS6" t="s">
        <v>1599</v>
      </c>
      <c r="OT6">
        <v>2025</v>
      </c>
      <c r="OU6" t="s">
        <v>1864</v>
      </c>
      <c r="OV6" s="6">
        <v>46018</v>
      </c>
      <c r="OW6">
        <v>5</v>
      </c>
      <c r="OX6">
        <v>45878144</v>
      </c>
      <c r="OY6">
        <v>112571</v>
      </c>
      <c r="OZ6" t="s">
        <v>1867</v>
      </c>
      <c r="PE6" t="s">
        <v>3177</v>
      </c>
      <c r="PF6" t="s">
        <v>1598</v>
      </c>
      <c r="PG6">
        <v>2.854762</v>
      </c>
      <c r="PH6">
        <v>0.41643999999999998</v>
      </c>
      <c r="PI6" t="s">
        <v>1664</v>
      </c>
      <c r="PJ6">
        <v>2025</v>
      </c>
      <c r="PK6" t="s">
        <v>3178</v>
      </c>
      <c r="PL6" s="6">
        <v>45902</v>
      </c>
      <c r="PM6">
        <v>5</v>
      </c>
      <c r="PN6">
        <v>11043989</v>
      </c>
      <c r="PO6">
        <v>47762945</v>
      </c>
      <c r="PP6" t="s">
        <v>3179</v>
      </c>
      <c r="PS6" t="s">
        <v>2617</v>
      </c>
      <c r="PT6">
        <v>-2.4245362661989844E-14</v>
      </c>
      <c r="PV6">
        <v>-2.4245362661989844E-14</v>
      </c>
      <c r="PW6" t="s">
        <v>1594</v>
      </c>
      <c r="PX6">
        <v>2022</v>
      </c>
      <c r="PY6" t="s">
        <v>2618</v>
      </c>
      <c r="PZ6" s="6">
        <v>44665</v>
      </c>
      <c r="QA6">
        <v>5</v>
      </c>
      <c r="QB6">
        <v>-2.4245362661989844E-14</v>
      </c>
      <c r="QC6">
        <v>32508551</v>
      </c>
      <c r="QD6" t="s">
        <v>2619</v>
      </c>
      <c r="RM6" t="s">
        <v>3787</v>
      </c>
      <c r="RN6" t="s">
        <v>1598</v>
      </c>
      <c r="RO6">
        <v>1.9315359999999999</v>
      </c>
      <c r="RP6">
        <v>0.83556699999999995</v>
      </c>
      <c r="RQ6" t="s">
        <v>1599</v>
      </c>
      <c r="RR6">
        <v>2025</v>
      </c>
      <c r="RS6" t="s">
        <v>3788</v>
      </c>
      <c r="RT6" s="6">
        <v>45960</v>
      </c>
      <c r="RU6">
        <v>5</v>
      </c>
      <c r="RV6">
        <v>124806200</v>
      </c>
      <c r="RW6">
        <v>35299353</v>
      </c>
      <c r="RX6" t="s">
        <v>3789</v>
      </c>
      <c r="SA6" t="s">
        <v>303</v>
      </c>
      <c r="SB6">
        <v>1.3041579999999999</v>
      </c>
      <c r="SC6" t="s">
        <v>1598</v>
      </c>
      <c r="SD6">
        <v>0.25115199999999999</v>
      </c>
      <c r="SE6" t="s">
        <v>1603</v>
      </c>
      <c r="SF6">
        <v>2026</v>
      </c>
      <c r="SG6" t="s">
        <v>3711</v>
      </c>
      <c r="SH6" s="6">
        <v>45996</v>
      </c>
      <c r="SI6">
        <v>5</v>
      </c>
      <c r="SJ6">
        <v>222696720</v>
      </c>
      <c r="SK6">
        <v>216952</v>
      </c>
      <c r="SL6" t="s">
        <v>1631</v>
      </c>
      <c r="SQ6" t="s">
        <v>114</v>
      </c>
      <c r="SR6" t="s">
        <v>1634</v>
      </c>
      <c r="SS6">
        <v>3.5808580000000001</v>
      </c>
      <c r="ST6">
        <v>3.236755</v>
      </c>
      <c r="SU6" t="s">
        <v>1664</v>
      </c>
      <c r="SV6">
        <v>2025</v>
      </c>
      <c r="SW6" t="s">
        <v>3353</v>
      </c>
      <c r="SX6" s="6">
        <v>45947</v>
      </c>
      <c r="SY6">
        <v>5</v>
      </c>
      <c r="SZ6">
        <v>275188928</v>
      </c>
      <c r="TA6">
        <v>100010</v>
      </c>
      <c r="TB6" t="s">
        <v>1996</v>
      </c>
      <c r="TE6" t="s">
        <v>303</v>
      </c>
      <c r="TF6">
        <v>1.3419890000000001</v>
      </c>
      <c r="TG6" t="s">
        <v>1598</v>
      </c>
      <c r="TH6">
        <v>0.27725100000000003</v>
      </c>
      <c r="TI6" t="s">
        <v>1606</v>
      </c>
      <c r="TJ6">
        <v>2025</v>
      </c>
      <c r="TK6" t="s">
        <v>2251</v>
      </c>
      <c r="TL6" s="6">
        <v>45848</v>
      </c>
      <c r="TM6">
        <v>5</v>
      </c>
      <c r="TN6">
        <v>213416512</v>
      </c>
      <c r="TO6">
        <v>216952</v>
      </c>
      <c r="TP6" t="s">
        <v>1631</v>
      </c>
      <c r="TU6" t="s">
        <v>240</v>
      </c>
      <c r="TV6" t="s">
        <v>1598</v>
      </c>
      <c r="TW6">
        <v>15.549336</v>
      </c>
      <c r="TX6">
        <v>4.6186980000000002</v>
      </c>
      <c r="TY6" t="s">
        <v>1599</v>
      </c>
      <c r="TZ6">
        <v>2025</v>
      </c>
      <c r="UA6" t="s">
        <v>2219</v>
      </c>
      <c r="UB6" s="6">
        <v>46018</v>
      </c>
      <c r="UC6">
        <v>5</v>
      </c>
      <c r="UD6">
        <v>3730752256</v>
      </c>
      <c r="UE6">
        <v>100828</v>
      </c>
      <c r="UF6" t="s">
        <v>1865</v>
      </c>
      <c r="UI6" t="s">
        <v>31</v>
      </c>
      <c r="UJ6">
        <v>13</v>
      </c>
      <c r="UK6" t="s">
        <v>1598</v>
      </c>
      <c r="UL6">
        <v>17.228079000000001</v>
      </c>
      <c r="UM6" t="s">
        <v>1594</v>
      </c>
      <c r="UN6">
        <v>2025</v>
      </c>
      <c r="UO6" t="s">
        <v>1831</v>
      </c>
      <c r="UP6" s="6">
        <v>45986</v>
      </c>
      <c r="UQ6">
        <v>5</v>
      </c>
      <c r="UR6">
        <v>10443316224</v>
      </c>
      <c r="US6">
        <v>60401289</v>
      </c>
      <c r="UT6" t="s">
        <v>1769</v>
      </c>
      <c r="UY6" t="s">
        <v>2144</v>
      </c>
      <c r="UZ6" t="s">
        <v>1598</v>
      </c>
      <c r="VA6">
        <v>0.45648100000000003</v>
      </c>
      <c r="VB6">
        <v>0.13933799999999999</v>
      </c>
      <c r="VC6" t="s">
        <v>1603</v>
      </c>
      <c r="VD6">
        <v>2025</v>
      </c>
      <c r="VE6" t="s">
        <v>2145</v>
      </c>
      <c r="VF6" s="6">
        <v>45863</v>
      </c>
      <c r="VG6">
        <v>5</v>
      </c>
      <c r="VH6">
        <v>3542320</v>
      </c>
      <c r="VI6">
        <v>20237539</v>
      </c>
      <c r="VJ6" t="s">
        <v>2146</v>
      </c>
      <c r="VM6" t="s">
        <v>1714</v>
      </c>
      <c r="VN6">
        <v>-2.4245362661989844E-14</v>
      </c>
      <c r="VP6">
        <v>-2.4245362661989844E-14</v>
      </c>
      <c r="VQ6" t="s">
        <v>1594</v>
      </c>
      <c r="VR6">
        <v>2024</v>
      </c>
      <c r="VS6" t="s">
        <v>1715</v>
      </c>
      <c r="VT6" s="6">
        <v>45708</v>
      </c>
      <c r="VU6">
        <v>5</v>
      </c>
      <c r="VV6">
        <v>-2.4245362661989844E-14</v>
      </c>
      <c r="VW6">
        <v>69383442</v>
      </c>
      <c r="VX6" t="s">
        <v>1716</v>
      </c>
    </row>
    <row r="7" spans="1:600" x14ac:dyDescent="0.25">
      <c r="A7" t="s">
        <v>3400</v>
      </c>
      <c r="B7" t="s">
        <v>1598</v>
      </c>
      <c r="C7">
        <v>18</v>
      </c>
      <c r="D7">
        <v>0.28558099999999997</v>
      </c>
      <c r="E7" t="s">
        <v>1594</v>
      </c>
      <c r="F7">
        <v>2025</v>
      </c>
      <c r="G7" t="s">
        <v>3401</v>
      </c>
      <c r="H7" s="6">
        <v>46079</v>
      </c>
      <c r="I7">
        <v>5</v>
      </c>
      <c r="J7">
        <v>185490768</v>
      </c>
      <c r="K7">
        <v>103442</v>
      </c>
      <c r="L7" t="s">
        <v>3402</v>
      </c>
      <c r="O7" t="s">
        <v>2945</v>
      </c>
      <c r="P7">
        <v>1.5294399999999999</v>
      </c>
      <c r="R7">
        <v>-2.4245362661989844E-14</v>
      </c>
      <c r="S7" t="s">
        <v>1594</v>
      </c>
      <c r="T7">
        <v>2024</v>
      </c>
      <c r="U7" t="s">
        <v>2944</v>
      </c>
      <c r="V7" s="6">
        <v>45712</v>
      </c>
      <c r="W7">
        <v>5</v>
      </c>
      <c r="X7">
        <v>1622093696</v>
      </c>
      <c r="Y7">
        <v>302359</v>
      </c>
      <c r="Z7" t="s">
        <v>2946</v>
      </c>
      <c r="AE7" t="s">
        <v>205</v>
      </c>
      <c r="AF7" t="s">
        <v>1598</v>
      </c>
      <c r="AG7">
        <v>0.32230900000000001</v>
      </c>
      <c r="AH7">
        <v>0.38473400000000002</v>
      </c>
      <c r="AI7" t="s">
        <v>1599</v>
      </c>
      <c r="AJ7">
        <v>2025</v>
      </c>
      <c r="AK7" t="s">
        <v>2562</v>
      </c>
      <c r="AL7" s="6">
        <v>45891</v>
      </c>
      <c r="AM7">
        <v>5</v>
      </c>
      <c r="AN7">
        <v>9283621</v>
      </c>
      <c r="AO7">
        <v>100097</v>
      </c>
      <c r="AP7" t="s">
        <v>2563</v>
      </c>
      <c r="AS7" t="s">
        <v>1703</v>
      </c>
      <c r="AT7">
        <v>8.1423999999999996E-2</v>
      </c>
      <c r="AU7" t="s">
        <v>1598</v>
      </c>
      <c r="AV7">
        <v>0.194387</v>
      </c>
      <c r="AW7" t="s">
        <v>1599</v>
      </c>
      <c r="AX7">
        <v>2025</v>
      </c>
      <c r="AY7" t="s">
        <v>1704</v>
      </c>
      <c r="AZ7" s="6">
        <v>45694</v>
      </c>
      <c r="BA7">
        <v>5</v>
      </c>
      <c r="BB7">
        <v>5430637.3600000003</v>
      </c>
      <c r="BC7">
        <v>111827</v>
      </c>
      <c r="BD7" t="s">
        <v>1705</v>
      </c>
      <c r="BW7" t="s">
        <v>2494</v>
      </c>
      <c r="BX7">
        <v>3.1119859999999999</v>
      </c>
      <c r="BY7" t="s">
        <v>1685</v>
      </c>
      <c r="BZ7">
        <v>1.6578219999999999</v>
      </c>
      <c r="CA7" t="s">
        <v>1594</v>
      </c>
      <c r="CB7">
        <v>2024</v>
      </c>
      <c r="CC7" t="s">
        <v>2353</v>
      </c>
      <c r="CD7" s="6">
        <v>45713</v>
      </c>
      <c r="CE7">
        <v>5</v>
      </c>
      <c r="CF7">
        <v>41009298</v>
      </c>
      <c r="CG7">
        <v>16887350</v>
      </c>
      <c r="CH7" t="s">
        <v>2495</v>
      </c>
      <c r="CM7" t="s">
        <v>2072</v>
      </c>
      <c r="CN7" t="s">
        <v>1598</v>
      </c>
      <c r="CO7">
        <v>0.93894500000000003</v>
      </c>
      <c r="CP7">
        <v>0.184472</v>
      </c>
      <c r="CQ7" t="s">
        <v>1599</v>
      </c>
      <c r="CR7">
        <v>2025</v>
      </c>
      <c r="CS7" t="s">
        <v>2073</v>
      </c>
      <c r="CT7" s="6">
        <v>46027</v>
      </c>
      <c r="CU7">
        <v>5</v>
      </c>
      <c r="CV7">
        <v>5952911</v>
      </c>
      <c r="CW7">
        <v>36965288</v>
      </c>
      <c r="CX7" t="s">
        <v>2074</v>
      </c>
      <c r="DQ7" t="s">
        <v>5201</v>
      </c>
      <c r="DS7">
        <v>-2.4245362661989844E-14</v>
      </c>
      <c r="DT7">
        <v>-2.4245362661989844E-14</v>
      </c>
      <c r="DU7" t="s">
        <v>1594</v>
      </c>
      <c r="DV7">
        <v>2023</v>
      </c>
      <c r="DW7" t="s">
        <v>5202</v>
      </c>
      <c r="DX7" s="6">
        <v>45013</v>
      </c>
      <c r="DY7">
        <v>3</v>
      </c>
      <c r="DZ7">
        <v>-2.4245362661989844E-14</v>
      </c>
      <c r="EA7">
        <v>69921002</v>
      </c>
      <c r="EB7" t="s">
        <v>5203</v>
      </c>
      <c r="FY7" t="s">
        <v>4476</v>
      </c>
      <c r="GA7">
        <v>-2.4245362661989844E-14</v>
      </c>
      <c r="GB7">
        <v>-2.4245362661989844E-14</v>
      </c>
      <c r="GC7" t="s">
        <v>1594</v>
      </c>
      <c r="GD7">
        <v>2025</v>
      </c>
      <c r="GE7" t="s">
        <v>4472</v>
      </c>
      <c r="GF7" s="6">
        <v>45922</v>
      </c>
      <c r="GG7">
        <v>5</v>
      </c>
      <c r="GH7">
        <v>-2.4245362661989844E-14</v>
      </c>
      <c r="GI7">
        <v>43143263</v>
      </c>
      <c r="GJ7" t="s">
        <v>4477</v>
      </c>
      <c r="GM7" t="s">
        <v>3534</v>
      </c>
      <c r="GN7">
        <v>-2.4245362661989844E-14</v>
      </c>
      <c r="GP7">
        <v>-2.4245362661989844E-14</v>
      </c>
      <c r="GQ7" t="s">
        <v>1664</v>
      </c>
      <c r="GR7">
        <v>2024</v>
      </c>
      <c r="GS7" t="s">
        <v>3531</v>
      </c>
      <c r="GT7" s="6">
        <v>45523</v>
      </c>
      <c r="GU7">
        <v>5</v>
      </c>
      <c r="GV7">
        <v>-2.4245362661989844E-14</v>
      </c>
      <c r="GW7">
        <v>186972</v>
      </c>
      <c r="GX7" t="s">
        <v>3535</v>
      </c>
      <c r="HC7" t="s">
        <v>656</v>
      </c>
      <c r="HD7" t="s">
        <v>1685</v>
      </c>
      <c r="HE7">
        <v>0.56072500000000003</v>
      </c>
      <c r="HF7">
        <v>1.5883999999999999E-2</v>
      </c>
      <c r="HG7" t="s">
        <v>1594</v>
      </c>
      <c r="HH7">
        <v>2025</v>
      </c>
      <c r="HI7" t="s">
        <v>4166</v>
      </c>
      <c r="HJ7" s="6">
        <v>46066</v>
      </c>
      <c r="HK7">
        <v>5</v>
      </c>
      <c r="HL7">
        <v>2177750</v>
      </c>
      <c r="HM7">
        <v>126273</v>
      </c>
      <c r="HN7" t="s">
        <v>4167</v>
      </c>
      <c r="HQ7" t="s">
        <v>2858</v>
      </c>
      <c r="HR7">
        <v>-2.4245362661989844E-14</v>
      </c>
      <c r="HT7">
        <v>-2.4245362661989844E-14</v>
      </c>
      <c r="HU7" t="s">
        <v>1603</v>
      </c>
      <c r="HV7">
        <v>2025</v>
      </c>
      <c r="HW7" t="s">
        <v>5125</v>
      </c>
      <c r="HX7" s="6">
        <v>45799</v>
      </c>
      <c r="HY7">
        <v>5</v>
      </c>
      <c r="HZ7">
        <v>-2.4245362661989844E-14</v>
      </c>
      <c r="IA7">
        <v>313021</v>
      </c>
      <c r="IB7" t="s">
        <v>2860</v>
      </c>
      <c r="IG7" t="s">
        <v>117</v>
      </c>
      <c r="IH7" t="s">
        <v>1598</v>
      </c>
      <c r="II7">
        <v>0.16295799999999999</v>
      </c>
      <c r="IJ7">
        <v>1.068819</v>
      </c>
      <c r="IK7" t="s">
        <v>1603</v>
      </c>
      <c r="IL7">
        <v>2025</v>
      </c>
      <c r="IM7" t="s">
        <v>1744</v>
      </c>
      <c r="IN7" s="6">
        <v>45797</v>
      </c>
      <c r="IO7">
        <v>5</v>
      </c>
      <c r="IP7">
        <v>23695724</v>
      </c>
      <c r="IQ7">
        <v>100801</v>
      </c>
      <c r="IR7" t="s">
        <v>1745</v>
      </c>
      <c r="IU7" t="s">
        <v>2796</v>
      </c>
      <c r="IV7">
        <v>0.41590500000000002</v>
      </c>
      <c r="IW7" t="s">
        <v>1598</v>
      </c>
      <c r="IX7">
        <v>0.224246</v>
      </c>
      <c r="IY7" t="s">
        <v>1603</v>
      </c>
      <c r="IZ7">
        <v>2026</v>
      </c>
      <c r="JA7" t="s">
        <v>2797</v>
      </c>
      <c r="JB7" s="6">
        <v>45973</v>
      </c>
      <c r="JC7">
        <v>5</v>
      </c>
      <c r="JD7">
        <v>42314193.82</v>
      </c>
      <c r="JE7">
        <v>16857643</v>
      </c>
      <c r="JF7" t="s">
        <v>2798</v>
      </c>
      <c r="JK7" t="s">
        <v>4636</v>
      </c>
      <c r="JL7" t="s">
        <v>1598</v>
      </c>
      <c r="JM7">
        <v>13</v>
      </c>
      <c r="JN7">
        <v>0.25396000000000002</v>
      </c>
      <c r="JO7" t="s">
        <v>1594</v>
      </c>
      <c r="JP7">
        <v>2024</v>
      </c>
      <c r="JQ7" t="s">
        <v>4637</v>
      </c>
      <c r="JR7" s="6">
        <v>45715</v>
      </c>
      <c r="JS7">
        <v>5</v>
      </c>
      <c r="JT7">
        <v>98048960</v>
      </c>
      <c r="JU7">
        <v>101024</v>
      </c>
      <c r="JV7" t="s">
        <v>4638</v>
      </c>
      <c r="JY7" t="s">
        <v>3568</v>
      </c>
      <c r="JZ7">
        <v>1.465E-2</v>
      </c>
      <c r="KA7" t="s">
        <v>1598</v>
      </c>
      <c r="KB7">
        <v>56.435763999999999</v>
      </c>
      <c r="KC7" t="s">
        <v>1594</v>
      </c>
      <c r="KD7">
        <v>2024</v>
      </c>
      <c r="KE7" t="s">
        <v>3569</v>
      </c>
      <c r="KF7" s="6">
        <v>45782</v>
      </c>
      <c r="KG7">
        <v>5</v>
      </c>
      <c r="KH7">
        <v>6975801.29</v>
      </c>
      <c r="KI7">
        <v>193841</v>
      </c>
      <c r="KJ7" t="s">
        <v>3570</v>
      </c>
      <c r="LS7" t="s">
        <v>22</v>
      </c>
      <c r="LT7" t="s">
        <v>1598</v>
      </c>
      <c r="LU7">
        <v>1.1748590000000001</v>
      </c>
      <c r="LV7">
        <v>1.743066</v>
      </c>
      <c r="LW7" t="s">
        <v>1664</v>
      </c>
      <c r="LX7">
        <v>2025</v>
      </c>
      <c r="LY7" t="s">
        <v>2129</v>
      </c>
      <c r="LZ7" s="6">
        <v>45895</v>
      </c>
      <c r="MA7">
        <v>5</v>
      </c>
      <c r="MB7">
        <v>253546320</v>
      </c>
      <c r="MC7">
        <v>101555</v>
      </c>
      <c r="MD7" t="s">
        <v>2130</v>
      </c>
      <c r="MG7" t="s">
        <v>1691</v>
      </c>
      <c r="MH7">
        <v>-2.4245362661989844E-14</v>
      </c>
      <c r="MJ7">
        <v>-2.4245362661989844E-14</v>
      </c>
      <c r="MK7" t="s">
        <v>1594</v>
      </c>
      <c r="ML7">
        <v>2023</v>
      </c>
      <c r="MM7" t="s">
        <v>1692</v>
      </c>
      <c r="MN7" s="6">
        <v>45441</v>
      </c>
      <c r="MO7">
        <v>5</v>
      </c>
      <c r="MP7">
        <v>-2.4245362661989844E-14</v>
      </c>
      <c r="MQ7">
        <v>47181884</v>
      </c>
      <c r="MR7" t="s">
        <v>1693</v>
      </c>
      <c r="OA7" t="s">
        <v>2292</v>
      </c>
      <c r="OB7" t="s">
        <v>1598</v>
      </c>
      <c r="OC7">
        <v>2.1453500000000001</v>
      </c>
      <c r="OD7">
        <v>0.15345800000000001</v>
      </c>
      <c r="OE7" t="s">
        <v>1792</v>
      </c>
      <c r="OF7">
        <v>2025</v>
      </c>
      <c r="OG7" t="s">
        <v>2293</v>
      </c>
      <c r="OH7" s="6">
        <v>46002</v>
      </c>
      <c r="OI7">
        <v>5</v>
      </c>
      <c r="OJ7">
        <v>2657961.7200000002</v>
      </c>
      <c r="OK7">
        <v>23632129</v>
      </c>
      <c r="OL7" t="s">
        <v>2294</v>
      </c>
      <c r="OO7" t="s">
        <v>1732</v>
      </c>
      <c r="OP7">
        <v>1.9821549999999999</v>
      </c>
      <c r="OQ7" t="s">
        <v>1598</v>
      </c>
      <c r="OR7">
        <v>0.25070100000000001</v>
      </c>
      <c r="OS7" t="s">
        <v>1599</v>
      </c>
      <c r="OT7">
        <v>2025</v>
      </c>
      <c r="OU7" t="s">
        <v>1864</v>
      </c>
      <c r="OV7" s="6">
        <v>46018</v>
      </c>
      <c r="OW7">
        <v>5</v>
      </c>
      <c r="OX7">
        <v>43647052</v>
      </c>
      <c r="OY7">
        <v>876285</v>
      </c>
      <c r="OZ7" t="s">
        <v>1734</v>
      </c>
      <c r="PE7" t="s">
        <v>3180</v>
      </c>
      <c r="PF7" t="s">
        <v>1598</v>
      </c>
      <c r="PG7">
        <v>1.885923</v>
      </c>
      <c r="PH7">
        <v>0.25189800000000001</v>
      </c>
      <c r="PI7" t="s">
        <v>1599</v>
      </c>
      <c r="PJ7">
        <v>2025</v>
      </c>
      <c r="PK7" t="s">
        <v>3181</v>
      </c>
      <c r="PL7" s="6">
        <v>46010</v>
      </c>
      <c r="PM7">
        <v>5</v>
      </c>
      <c r="PN7">
        <v>6788644</v>
      </c>
      <c r="PO7">
        <v>12189467</v>
      </c>
      <c r="PP7" t="s">
        <v>3182</v>
      </c>
      <c r="PS7" t="s">
        <v>2620</v>
      </c>
      <c r="PT7">
        <v>-2.4245362661989844E-14</v>
      </c>
      <c r="PV7">
        <v>-2.4245362661989844E-14</v>
      </c>
      <c r="PW7" t="s">
        <v>1594</v>
      </c>
      <c r="PX7">
        <v>2023</v>
      </c>
      <c r="PY7" t="s">
        <v>2618</v>
      </c>
      <c r="PZ7" s="6">
        <v>45061</v>
      </c>
      <c r="QA7">
        <v>5</v>
      </c>
      <c r="QB7">
        <v>-2.4245362661989844E-14</v>
      </c>
      <c r="QC7">
        <v>35869103</v>
      </c>
      <c r="QD7" t="s">
        <v>2621</v>
      </c>
      <c r="RM7" t="s">
        <v>3790</v>
      </c>
      <c r="RN7" t="s">
        <v>1598</v>
      </c>
      <c r="RO7">
        <v>3.1884250000000001</v>
      </c>
      <c r="RP7">
        <v>0.63098200000000004</v>
      </c>
      <c r="RQ7" t="s">
        <v>1606</v>
      </c>
      <c r="RR7">
        <v>2025</v>
      </c>
      <c r="RS7" t="s">
        <v>3791</v>
      </c>
      <c r="RT7" s="6">
        <v>45996</v>
      </c>
      <c r="RU7">
        <v>5</v>
      </c>
      <c r="RV7">
        <v>95021416</v>
      </c>
      <c r="RW7">
        <v>100753</v>
      </c>
      <c r="RX7" t="s">
        <v>3792</v>
      </c>
      <c r="SA7" t="s">
        <v>3712</v>
      </c>
      <c r="SB7">
        <v>1.096365</v>
      </c>
      <c r="SC7" t="s">
        <v>1598</v>
      </c>
      <c r="SD7">
        <v>14.811249</v>
      </c>
      <c r="SE7" t="s">
        <v>1603</v>
      </c>
      <c r="SF7">
        <v>2026</v>
      </c>
      <c r="SG7" t="s">
        <v>3711</v>
      </c>
      <c r="SH7" s="6">
        <v>45996</v>
      </c>
      <c r="SI7">
        <v>5</v>
      </c>
      <c r="SJ7">
        <v>187214192</v>
      </c>
      <c r="SK7">
        <v>42299569</v>
      </c>
      <c r="SL7" t="s">
        <v>3713</v>
      </c>
      <c r="SQ7" t="s">
        <v>211</v>
      </c>
      <c r="SR7" t="s">
        <v>1634</v>
      </c>
      <c r="SS7">
        <v>0.91127400000000003</v>
      </c>
      <c r="ST7">
        <v>1.364298</v>
      </c>
      <c r="SU7" t="s">
        <v>1606</v>
      </c>
      <c r="SV7">
        <v>2025</v>
      </c>
      <c r="SW7" t="s">
        <v>2691</v>
      </c>
      <c r="SX7" s="6">
        <v>46010</v>
      </c>
      <c r="SY7">
        <v>5</v>
      </c>
      <c r="SZ7">
        <v>164166016</v>
      </c>
      <c r="TA7">
        <v>59907412</v>
      </c>
      <c r="TB7" t="s">
        <v>3354</v>
      </c>
      <c r="TE7" t="s">
        <v>1700</v>
      </c>
      <c r="TF7">
        <v>1.0301469999999999</v>
      </c>
      <c r="TG7" t="s">
        <v>1598</v>
      </c>
      <c r="TH7">
        <v>1.0221020000000001</v>
      </c>
      <c r="TI7" t="s">
        <v>1606</v>
      </c>
      <c r="TJ7">
        <v>2025</v>
      </c>
      <c r="TK7" t="s">
        <v>1701</v>
      </c>
      <c r="TL7" s="6">
        <v>46056</v>
      </c>
      <c r="TM7">
        <v>5</v>
      </c>
      <c r="TN7">
        <v>165420976</v>
      </c>
      <c r="TO7">
        <v>1499717</v>
      </c>
      <c r="TP7" t="s">
        <v>1702</v>
      </c>
      <c r="TU7" t="s">
        <v>25</v>
      </c>
      <c r="TV7" t="s">
        <v>1598</v>
      </c>
      <c r="TW7">
        <v>22.158524</v>
      </c>
      <c r="TX7">
        <v>4.4440090000000003</v>
      </c>
      <c r="TY7" t="s">
        <v>1606</v>
      </c>
      <c r="TZ7">
        <v>2025</v>
      </c>
      <c r="UA7" t="s">
        <v>2220</v>
      </c>
      <c r="UB7" s="6">
        <v>46077</v>
      </c>
      <c r="UC7">
        <v>5</v>
      </c>
      <c r="UD7">
        <v>3682303488</v>
      </c>
      <c r="UE7">
        <v>28046509</v>
      </c>
      <c r="UF7" t="s">
        <v>2221</v>
      </c>
      <c r="UI7" t="s">
        <v>1832</v>
      </c>
      <c r="UJ7">
        <v>5</v>
      </c>
      <c r="UL7">
        <v>-2.4245362661989844E-14</v>
      </c>
      <c r="UM7" t="s">
        <v>1599</v>
      </c>
      <c r="UN7">
        <v>2025</v>
      </c>
      <c r="UO7" t="s">
        <v>1833</v>
      </c>
      <c r="UP7" s="6">
        <v>45954</v>
      </c>
      <c r="UQ7">
        <v>5</v>
      </c>
      <c r="UR7">
        <v>4033176576</v>
      </c>
      <c r="US7">
        <v>42053322</v>
      </c>
      <c r="UT7" t="s">
        <v>1834</v>
      </c>
      <c r="UY7" t="s">
        <v>2147</v>
      </c>
      <c r="VA7">
        <v>-2.4245362661989844E-14</v>
      </c>
      <c r="VB7">
        <v>-2.4245362661989844E-14</v>
      </c>
      <c r="VC7" t="s">
        <v>1594</v>
      </c>
      <c r="VD7">
        <v>2024</v>
      </c>
      <c r="VE7" t="s">
        <v>2148</v>
      </c>
      <c r="VF7" s="6">
        <v>45730</v>
      </c>
      <c r="VG7">
        <v>5</v>
      </c>
      <c r="VH7">
        <v>-2.4245362661989844E-14</v>
      </c>
      <c r="VI7">
        <v>8762015</v>
      </c>
      <c r="VJ7" t="s">
        <v>2149</v>
      </c>
      <c r="VM7" t="s">
        <v>1717</v>
      </c>
      <c r="VN7">
        <v>-2.4245362661989844E-14</v>
      </c>
      <c r="VP7">
        <v>-2.4245362661989844E-14</v>
      </c>
      <c r="VQ7" t="s">
        <v>1594</v>
      </c>
      <c r="VR7">
        <v>2025</v>
      </c>
      <c r="VS7" t="s">
        <v>1718</v>
      </c>
      <c r="VT7" s="6">
        <v>46070</v>
      </c>
      <c r="VU7">
        <v>5</v>
      </c>
      <c r="VV7">
        <v>-2.4245362661989844E-14</v>
      </c>
      <c r="VW7">
        <v>103445</v>
      </c>
      <c r="VX7" t="s">
        <v>1719</v>
      </c>
    </row>
    <row r="8" spans="1:600" x14ac:dyDescent="0.25">
      <c r="A8" t="s">
        <v>3403</v>
      </c>
      <c r="B8" t="s">
        <v>1598</v>
      </c>
      <c r="C8">
        <v>4.630776</v>
      </c>
      <c r="D8">
        <v>0.19183800000000001</v>
      </c>
      <c r="E8" t="s">
        <v>1599</v>
      </c>
      <c r="F8">
        <v>2025</v>
      </c>
      <c r="G8" t="s">
        <v>3404</v>
      </c>
      <c r="H8" s="6">
        <v>45952</v>
      </c>
      <c r="I8">
        <v>5</v>
      </c>
      <c r="J8">
        <v>125308800</v>
      </c>
      <c r="K8">
        <v>171010</v>
      </c>
      <c r="L8" t="s">
        <v>3405</v>
      </c>
      <c r="O8" t="s">
        <v>872</v>
      </c>
      <c r="P8">
        <v>0.34598400000000001</v>
      </c>
      <c r="Q8" t="s">
        <v>1598</v>
      </c>
      <c r="R8">
        <v>1.684086</v>
      </c>
      <c r="S8" t="s">
        <v>1664</v>
      </c>
      <c r="T8">
        <v>2025</v>
      </c>
      <c r="U8" t="s">
        <v>2179</v>
      </c>
      <c r="V8" s="6">
        <v>45873</v>
      </c>
      <c r="W8">
        <v>5</v>
      </c>
      <c r="X8">
        <v>342105216</v>
      </c>
      <c r="Y8">
        <v>100211</v>
      </c>
      <c r="Z8" t="s">
        <v>1632</v>
      </c>
      <c r="AE8" t="s">
        <v>2564</v>
      </c>
      <c r="AF8" t="s">
        <v>1598</v>
      </c>
      <c r="AG8">
        <v>1.1725810000000001</v>
      </c>
      <c r="AH8">
        <v>0.15703400000000001</v>
      </c>
      <c r="AI8" t="s">
        <v>1603</v>
      </c>
      <c r="AJ8">
        <v>2026</v>
      </c>
      <c r="AK8" t="s">
        <v>2565</v>
      </c>
      <c r="AL8" s="6">
        <v>46051</v>
      </c>
      <c r="AM8">
        <v>5</v>
      </c>
      <c r="AN8">
        <v>4510016</v>
      </c>
      <c r="AO8">
        <v>225757</v>
      </c>
      <c r="AP8" t="s">
        <v>2566</v>
      </c>
      <c r="AS8" t="s">
        <v>1706</v>
      </c>
      <c r="AT8">
        <v>6.6940000000000003E-3</v>
      </c>
      <c r="AU8" t="s">
        <v>1598</v>
      </c>
      <c r="AV8">
        <v>5.5948409999999997</v>
      </c>
      <c r="AW8" t="s">
        <v>1594</v>
      </c>
      <c r="AX8">
        <v>2024</v>
      </c>
      <c r="AY8" t="s">
        <v>1707</v>
      </c>
      <c r="AZ8" s="6">
        <v>45819</v>
      </c>
      <c r="BA8">
        <v>5</v>
      </c>
      <c r="BB8">
        <v>402911.11</v>
      </c>
      <c r="BC8">
        <v>15291339</v>
      </c>
      <c r="BD8" t="s">
        <v>1708</v>
      </c>
      <c r="BW8" t="s">
        <v>435</v>
      </c>
      <c r="BX8">
        <v>2.829078</v>
      </c>
      <c r="BY8" t="s">
        <v>1685</v>
      </c>
      <c r="BZ8">
        <v>1.5595559999999999</v>
      </c>
      <c r="CA8" t="s">
        <v>1594</v>
      </c>
      <c r="CB8">
        <v>2024</v>
      </c>
      <c r="CC8" t="s">
        <v>2353</v>
      </c>
      <c r="CD8" s="6">
        <v>45713</v>
      </c>
      <c r="CE8">
        <v>5</v>
      </c>
      <c r="CF8">
        <v>37281180</v>
      </c>
      <c r="CG8">
        <v>159765</v>
      </c>
      <c r="CH8" t="s">
        <v>2496</v>
      </c>
      <c r="CM8" t="s">
        <v>2075</v>
      </c>
      <c r="CN8" t="s">
        <v>1598</v>
      </c>
      <c r="CO8">
        <v>0.81212200000000001</v>
      </c>
      <c r="CP8">
        <v>3.9961000000000003E-2</v>
      </c>
      <c r="CQ8" t="s">
        <v>1594</v>
      </c>
      <c r="CR8">
        <v>2024</v>
      </c>
      <c r="CS8" t="s">
        <v>2076</v>
      </c>
      <c r="CT8" s="6">
        <v>45722</v>
      </c>
      <c r="CU8">
        <v>5</v>
      </c>
      <c r="CV8">
        <v>1125000</v>
      </c>
      <c r="CW8">
        <v>34755071</v>
      </c>
      <c r="CX8" t="s">
        <v>2077</v>
      </c>
      <c r="FY8" t="s">
        <v>4478</v>
      </c>
      <c r="GA8">
        <v>-2.4245362661989844E-14</v>
      </c>
      <c r="GB8">
        <v>-2.4245362661989844E-14</v>
      </c>
      <c r="GC8" t="s">
        <v>1594</v>
      </c>
      <c r="GD8">
        <v>2024</v>
      </c>
      <c r="GE8" t="s">
        <v>4472</v>
      </c>
      <c r="GF8" s="6">
        <v>45541</v>
      </c>
      <c r="GG8">
        <v>5</v>
      </c>
      <c r="GH8">
        <v>-2.4245362661989844E-14</v>
      </c>
      <c r="GI8">
        <v>915047</v>
      </c>
      <c r="GJ8" t="s">
        <v>4479</v>
      </c>
      <c r="GM8" t="s">
        <v>3536</v>
      </c>
      <c r="GN8">
        <v>-2.4245362661989844E-14</v>
      </c>
      <c r="GP8">
        <v>-2.4245362661989844E-14</v>
      </c>
      <c r="GQ8" t="s">
        <v>1594</v>
      </c>
      <c r="GR8">
        <v>2024</v>
      </c>
      <c r="GS8" t="s">
        <v>3537</v>
      </c>
      <c r="GT8" s="6">
        <v>45728</v>
      </c>
      <c r="GU8">
        <v>5</v>
      </c>
      <c r="GV8">
        <v>-2.4245362661989844E-14</v>
      </c>
      <c r="GW8">
        <v>8710768</v>
      </c>
      <c r="GX8" t="s">
        <v>3538</v>
      </c>
      <c r="HC8" t="s">
        <v>992</v>
      </c>
      <c r="HD8" t="s">
        <v>1685</v>
      </c>
      <c r="HE8">
        <v>0.78817400000000004</v>
      </c>
      <c r="HF8">
        <v>1.4283000000000001E-2</v>
      </c>
      <c r="HG8" t="s">
        <v>1594</v>
      </c>
      <c r="HH8">
        <v>2025</v>
      </c>
      <c r="HI8" t="s">
        <v>4168</v>
      </c>
      <c r="HJ8" s="6">
        <v>46058</v>
      </c>
      <c r="HK8">
        <v>5</v>
      </c>
      <c r="HL8">
        <v>1958250</v>
      </c>
      <c r="HM8">
        <v>106045</v>
      </c>
      <c r="HN8" t="s">
        <v>2847</v>
      </c>
      <c r="HQ8" t="s">
        <v>5522</v>
      </c>
      <c r="HR8">
        <v>-2.4245362661989844E-14</v>
      </c>
      <c r="HT8">
        <v>-2.4245362661989844E-14</v>
      </c>
      <c r="HU8" t="s">
        <v>1594</v>
      </c>
      <c r="HV8">
        <v>2022</v>
      </c>
      <c r="HW8" t="s">
        <v>5523</v>
      </c>
      <c r="HX8" s="6">
        <v>44986</v>
      </c>
      <c r="HY8">
        <v>5</v>
      </c>
      <c r="HZ8">
        <v>-2.4245362661989844E-14</v>
      </c>
      <c r="IA8">
        <v>394590</v>
      </c>
      <c r="IB8" t="s">
        <v>5524</v>
      </c>
      <c r="IG8" t="s">
        <v>3112</v>
      </c>
      <c r="IH8" t="s">
        <v>1685</v>
      </c>
      <c r="II8">
        <v>0.25859599999999999</v>
      </c>
      <c r="IJ8">
        <v>0.50587199999999999</v>
      </c>
      <c r="IK8" t="s">
        <v>1599</v>
      </c>
      <c r="IL8">
        <v>2026</v>
      </c>
      <c r="IM8" t="s">
        <v>3113</v>
      </c>
      <c r="IN8" s="6">
        <v>46058</v>
      </c>
      <c r="IO8">
        <v>5</v>
      </c>
      <c r="IP8">
        <v>19471469.66</v>
      </c>
      <c r="IQ8">
        <v>7259059</v>
      </c>
      <c r="IR8" t="s">
        <v>3114</v>
      </c>
      <c r="IU8" t="s">
        <v>1679</v>
      </c>
      <c r="IV8">
        <v>0.111719</v>
      </c>
      <c r="IW8" t="s">
        <v>1598</v>
      </c>
      <c r="IX8">
        <v>0.26934900000000001</v>
      </c>
      <c r="IY8" t="s">
        <v>1603</v>
      </c>
      <c r="IZ8">
        <v>2025</v>
      </c>
      <c r="JA8" t="s">
        <v>1680</v>
      </c>
      <c r="JB8" s="6">
        <v>45820</v>
      </c>
      <c r="JC8">
        <v>5</v>
      </c>
      <c r="JD8">
        <v>10980820</v>
      </c>
      <c r="JE8">
        <v>12129192</v>
      </c>
      <c r="JF8" t="s">
        <v>1681</v>
      </c>
      <c r="JK8" t="s">
        <v>247</v>
      </c>
      <c r="JL8" t="s">
        <v>1634</v>
      </c>
      <c r="JM8">
        <v>0.69574199999999997</v>
      </c>
      <c r="JN8">
        <v>1.510599</v>
      </c>
      <c r="JO8" t="s">
        <v>1599</v>
      </c>
      <c r="JP8">
        <v>2025</v>
      </c>
      <c r="JQ8" t="s">
        <v>1809</v>
      </c>
      <c r="JR8" s="6">
        <v>45985</v>
      </c>
      <c r="JS8">
        <v>5</v>
      </c>
      <c r="JT8">
        <v>62115848</v>
      </c>
      <c r="JU8">
        <v>101318</v>
      </c>
      <c r="JV8" t="s">
        <v>3724</v>
      </c>
      <c r="JY8" t="s">
        <v>3571</v>
      </c>
      <c r="JZ8">
        <v>1.655E-3</v>
      </c>
      <c r="KA8" t="s">
        <v>1598</v>
      </c>
      <c r="KB8">
        <v>0.59815600000000002</v>
      </c>
      <c r="KC8" t="s">
        <v>1651</v>
      </c>
      <c r="KD8">
        <v>2025</v>
      </c>
      <c r="KE8" t="s">
        <v>3572</v>
      </c>
      <c r="KF8" s="6">
        <v>45958</v>
      </c>
      <c r="KG8">
        <v>5</v>
      </c>
      <c r="KH8">
        <v>766849.86</v>
      </c>
      <c r="KI8">
        <v>153668</v>
      </c>
      <c r="KJ8" t="s">
        <v>3573</v>
      </c>
      <c r="LS8" t="s">
        <v>2134</v>
      </c>
      <c r="LT8" t="s">
        <v>1598</v>
      </c>
      <c r="LU8">
        <v>3.1768040000000002</v>
      </c>
      <c r="LV8">
        <v>1.3835219999999999</v>
      </c>
      <c r="LW8" t="s">
        <v>1664</v>
      </c>
      <c r="LX8">
        <v>2025</v>
      </c>
      <c r="LY8" t="s">
        <v>2135</v>
      </c>
      <c r="LZ8" s="6">
        <v>45873</v>
      </c>
      <c r="MA8">
        <v>5</v>
      </c>
      <c r="MB8">
        <v>201206876.37</v>
      </c>
      <c r="MC8">
        <v>112185</v>
      </c>
      <c r="MD8" t="s">
        <v>2136</v>
      </c>
      <c r="MG8" t="s">
        <v>1694</v>
      </c>
      <c r="MH8">
        <v>-2.4245362661989844E-14</v>
      </c>
      <c r="MJ8">
        <v>-2.4245362661989844E-14</v>
      </c>
      <c r="MK8" t="s">
        <v>1594</v>
      </c>
      <c r="ML8">
        <v>2022</v>
      </c>
      <c r="MM8" t="s">
        <v>1695</v>
      </c>
      <c r="MN8" s="6">
        <v>44760</v>
      </c>
      <c r="MO8">
        <v>5</v>
      </c>
      <c r="MP8">
        <v>-2.4245362661989844E-14</v>
      </c>
      <c r="MQ8">
        <v>22229076</v>
      </c>
      <c r="MR8" t="s">
        <v>1696</v>
      </c>
      <c r="OA8" t="s">
        <v>2295</v>
      </c>
      <c r="OB8" t="s">
        <v>1598</v>
      </c>
      <c r="OC8">
        <v>0.46399000000000001</v>
      </c>
      <c r="OD8">
        <v>6.2393999999999998E-2</v>
      </c>
      <c r="OE8" t="s">
        <v>1594</v>
      </c>
      <c r="OF8">
        <v>2024</v>
      </c>
      <c r="OG8" t="s">
        <v>2296</v>
      </c>
      <c r="OH8" s="6">
        <v>45709</v>
      </c>
      <c r="OI8">
        <v>5</v>
      </c>
      <c r="OJ8">
        <v>1106249.5</v>
      </c>
      <c r="OK8">
        <v>102469</v>
      </c>
      <c r="OL8" t="s">
        <v>2297</v>
      </c>
      <c r="OO8" t="s">
        <v>72</v>
      </c>
      <c r="OP8">
        <v>1.490785</v>
      </c>
      <c r="OQ8" t="s">
        <v>1598</v>
      </c>
      <c r="OR8">
        <v>0.31898799999999999</v>
      </c>
      <c r="OS8" t="s">
        <v>1599</v>
      </c>
      <c r="OT8">
        <v>2025</v>
      </c>
      <c r="OU8" t="s">
        <v>1864</v>
      </c>
      <c r="OV8" s="6">
        <v>46018</v>
      </c>
      <c r="OW8">
        <v>5</v>
      </c>
      <c r="OX8">
        <v>32827086</v>
      </c>
      <c r="OY8">
        <v>101215</v>
      </c>
      <c r="OZ8" t="s">
        <v>1868</v>
      </c>
      <c r="PE8" t="s">
        <v>493</v>
      </c>
      <c r="PF8" t="s">
        <v>1598</v>
      </c>
      <c r="PG8">
        <v>0.14258699999999999</v>
      </c>
      <c r="PH8">
        <v>0.19661200000000001</v>
      </c>
      <c r="PI8" t="s">
        <v>1606</v>
      </c>
      <c r="PJ8">
        <v>2025</v>
      </c>
      <c r="PK8" t="s">
        <v>2093</v>
      </c>
      <c r="PL8" s="6">
        <v>46071</v>
      </c>
      <c r="PM8">
        <v>5</v>
      </c>
      <c r="PN8">
        <v>5611298</v>
      </c>
      <c r="PO8">
        <v>100499</v>
      </c>
      <c r="PP8" t="s">
        <v>2094</v>
      </c>
      <c r="PS8" t="s">
        <v>2622</v>
      </c>
      <c r="PT8">
        <v>-2.4245362661989844E-14</v>
      </c>
      <c r="PV8">
        <v>-2.4245362661989844E-14</v>
      </c>
      <c r="PW8" t="s">
        <v>1651</v>
      </c>
      <c r="PX8">
        <v>2025</v>
      </c>
      <c r="PY8" t="s">
        <v>2623</v>
      </c>
      <c r="PZ8" s="6">
        <v>45975</v>
      </c>
      <c r="QA8">
        <v>5</v>
      </c>
      <c r="QB8">
        <v>-2.4245362661989844E-14</v>
      </c>
      <c r="QC8">
        <v>33634105</v>
      </c>
      <c r="QD8" t="s">
        <v>2624</v>
      </c>
      <c r="RM8" t="s">
        <v>3394</v>
      </c>
      <c r="RN8" t="s">
        <v>1598</v>
      </c>
      <c r="RO8">
        <v>2.5138630000000002</v>
      </c>
      <c r="RP8">
        <v>0.53107700000000002</v>
      </c>
      <c r="RQ8" t="s">
        <v>1599</v>
      </c>
      <c r="RR8">
        <v>2025</v>
      </c>
      <c r="RS8" t="s">
        <v>3793</v>
      </c>
      <c r="RT8" s="6">
        <v>46007</v>
      </c>
      <c r="RU8">
        <v>5</v>
      </c>
      <c r="RV8">
        <v>79976488</v>
      </c>
      <c r="RW8">
        <v>100731</v>
      </c>
      <c r="RX8" t="s">
        <v>3396</v>
      </c>
      <c r="SA8" t="s">
        <v>3714</v>
      </c>
      <c r="SB8">
        <v>1.0812619999999999</v>
      </c>
      <c r="SC8" t="s">
        <v>1598</v>
      </c>
      <c r="SD8">
        <v>10.788403000000001</v>
      </c>
      <c r="SE8" t="s">
        <v>1603</v>
      </c>
      <c r="SF8">
        <v>2026</v>
      </c>
      <c r="SG8" t="s">
        <v>3711</v>
      </c>
      <c r="SH8" s="6">
        <v>45996</v>
      </c>
      <c r="SI8">
        <v>5</v>
      </c>
      <c r="SJ8">
        <v>184635216</v>
      </c>
      <c r="SK8">
        <v>69344989</v>
      </c>
      <c r="SL8" t="s">
        <v>3715</v>
      </c>
      <c r="SQ8" t="s">
        <v>1997</v>
      </c>
      <c r="SR8" t="s">
        <v>1634</v>
      </c>
      <c r="SS8">
        <v>6.234559</v>
      </c>
      <c r="ST8">
        <v>1.5138720000000001</v>
      </c>
      <c r="SU8" t="s">
        <v>1664</v>
      </c>
      <c r="SV8">
        <v>2025</v>
      </c>
      <c r="SW8" t="s">
        <v>3355</v>
      </c>
      <c r="SX8" s="6">
        <v>45897</v>
      </c>
      <c r="SY8">
        <v>5</v>
      </c>
      <c r="SZ8">
        <v>137459552</v>
      </c>
      <c r="TA8">
        <v>16532368</v>
      </c>
      <c r="TB8" t="s">
        <v>1999</v>
      </c>
      <c r="TE8" t="s">
        <v>32</v>
      </c>
      <c r="TF8">
        <v>0.69902799999999998</v>
      </c>
      <c r="TG8" t="s">
        <v>1598</v>
      </c>
      <c r="TH8">
        <v>0.138625</v>
      </c>
      <c r="TI8" t="s">
        <v>1606</v>
      </c>
      <c r="TJ8">
        <v>2025</v>
      </c>
      <c r="TK8" t="s">
        <v>2251</v>
      </c>
      <c r="TL8" s="6">
        <v>45848</v>
      </c>
      <c r="TM8">
        <v>5</v>
      </c>
      <c r="TN8">
        <v>111166424</v>
      </c>
      <c r="TO8">
        <v>100976</v>
      </c>
      <c r="TP8" t="s">
        <v>1820</v>
      </c>
      <c r="TU8" t="s">
        <v>23</v>
      </c>
      <c r="TV8" t="s">
        <v>1598</v>
      </c>
      <c r="TW8">
        <v>29</v>
      </c>
      <c r="TX8">
        <v>4.4540850000000001</v>
      </c>
      <c r="TY8" t="s">
        <v>1594</v>
      </c>
      <c r="TZ8">
        <v>2025</v>
      </c>
      <c r="UA8" t="s">
        <v>1765</v>
      </c>
      <c r="UB8" s="6">
        <v>46064</v>
      </c>
      <c r="UC8">
        <v>5</v>
      </c>
      <c r="UD8">
        <v>3494064896</v>
      </c>
      <c r="UE8">
        <v>100225</v>
      </c>
      <c r="UF8" t="s">
        <v>2222</v>
      </c>
      <c r="UI8" t="s">
        <v>1615</v>
      </c>
      <c r="UJ8">
        <v>1.1000000000000001</v>
      </c>
      <c r="UL8">
        <v>-2.4245362661989844E-14</v>
      </c>
      <c r="UM8" t="s">
        <v>1599</v>
      </c>
      <c r="UN8">
        <v>2025</v>
      </c>
      <c r="UO8" t="s">
        <v>1833</v>
      </c>
      <c r="UP8" s="6">
        <v>45954</v>
      </c>
      <c r="UQ8">
        <v>5</v>
      </c>
      <c r="UR8">
        <v>887298880</v>
      </c>
      <c r="US8">
        <v>962205</v>
      </c>
      <c r="UT8" t="s">
        <v>1617</v>
      </c>
      <c r="UY8" t="s">
        <v>1354</v>
      </c>
      <c r="VA8">
        <v>-2.4245362661989844E-14</v>
      </c>
      <c r="VB8">
        <v>-2.4245362661989844E-14</v>
      </c>
      <c r="VC8" t="s">
        <v>1594</v>
      </c>
      <c r="VD8">
        <v>2021</v>
      </c>
      <c r="VE8" t="s">
        <v>2150</v>
      </c>
      <c r="VF8" s="6">
        <v>44693</v>
      </c>
      <c r="VG8">
        <v>5</v>
      </c>
      <c r="VH8">
        <v>-2.4245362661989844E-14</v>
      </c>
      <c r="VI8">
        <v>313098</v>
      </c>
      <c r="VJ8" t="s">
        <v>2151</v>
      </c>
      <c r="VM8" t="s">
        <v>1720</v>
      </c>
      <c r="VN8">
        <v>-2.4245362661989844E-14</v>
      </c>
      <c r="VP8">
        <v>-2.4245362661989844E-14</v>
      </c>
      <c r="VQ8" t="s">
        <v>1594</v>
      </c>
      <c r="VR8">
        <v>2023</v>
      </c>
      <c r="VS8" t="s">
        <v>1721</v>
      </c>
      <c r="VT8" s="6">
        <v>45401</v>
      </c>
      <c r="VU8">
        <v>5</v>
      </c>
      <c r="VV8">
        <v>-2.4245362661989844E-14</v>
      </c>
      <c r="VW8">
        <v>100842</v>
      </c>
      <c r="VX8" t="s">
        <v>1722</v>
      </c>
    </row>
    <row r="9" spans="1:600" x14ac:dyDescent="0.25">
      <c r="A9" t="s">
        <v>2383</v>
      </c>
      <c r="B9" t="s">
        <v>1634</v>
      </c>
      <c r="C9">
        <v>1.650523</v>
      </c>
      <c r="D9">
        <v>1.7462089999999999</v>
      </c>
      <c r="E9" t="s">
        <v>1599</v>
      </c>
      <c r="F9">
        <v>2025</v>
      </c>
      <c r="G9" t="s">
        <v>2384</v>
      </c>
      <c r="H9" s="6">
        <v>46029</v>
      </c>
      <c r="I9">
        <v>5</v>
      </c>
      <c r="J9">
        <v>97565313.560000002</v>
      </c>
      <c r="K9">
        <v>115705</v>
      </c>
      <c r="L9" t="s">
        <v>2385</v>
      </c>
      <c r="O9" t="s">
        <v>22</v>
      </c>
      <c r="P9">
        <v>0.19926099999999999</v>
      </c>
      <c r="Q9" t="s">
        <v>1598</v>
      </c>
      <c r="R9">
        <v>1.1451750000000001</v>
      </c>
      <c r="S9" t="s">
        <v>1664</v>
      </c>
      <c r="T9">
        <v>2025</v>
      </c>
      <c r="U9" t="s">
        <v>2129</v>
      </c>
      <c r="V9" s="6">
        <v>45895</v>
      </c>
      <c r="W9">
        <v>5</v>
      </c>
      <c r="X9">
        <v>197027360</v>
      </c>
      <c r="Y9">
        <v>101555</v>
      </c>
      <c r="Z9" t="s">
        <v>2130</v>
      </c>
      <c r="AE9" t="s">
        <v>1084</v>
      </c>
      <c r="AF9" t="s">
        <v>1685</v>
      </c>
      <c r="AG9">
        <v>5.9742000000000003E-2</v>
      </c>
      <c r="AH9">
        <v>0.18884000000000001</v>
      </c>
      <c r="AI9" t="s">
        <v>1664</v>
      </c>
      <c r="AJ9">
        <v>2025</v>
      </c>
      <c r="AK9" t="s">
        <v>2052</v>
      </c>
      <c r="AL9" s="6">
        <v>45838</v>
      </c>
      <c r="AM9">
        <v>5</v>
      </c>
      <c r="AN9">
        <v>3508648</v>
      </c>
      <c r="AO9">
        <v>101689</v>
      </c>
      <c r="AP9" t="s">
        <v>2053</v>
      </c>
      <c r="AS9" t="s">
        <v>1709</v>
      </c>
      <c r="AT9">
        <v>5.1640000000000002E-3</v>
      </c>
      <c r="AU9" t="s">
        <v>1598</v>
      </c>
      <c r="AV9">
        <v>5.0558560000000003</v>
      </c>
      <c r="AW9" t="s">
        <v>1594</v>
      </c>
      <c r="AX9">
        <v>2024</v>
      </c>
      <c r="AY9" t="s">
        <v>1710</v>
      </c>
      <c r="AZ9" s="6">
        <v>45814</v>
      </c>
      <c r="BA9">
        <v>5</v>
      </c>
      <c r="BB9">
        <v>310853.61</v>
      </c>
      <c r="BC9">
        <v>36034450</v>
      </c>
      <c r="BD9" t="s">
        <v>1711</v>
      </c>
      <c r="BW9" t="s">
        <v>2497</v>
      </c>
      <c r="BX9">
        <v>1.9803550000000001</v>
      </c>
      <c r="BY9" t="s">
        <v>1685</v>
      </c>
      <c r="BZ9">
        <v>2.206064</v>
      </c>
      <c r="CA9" t="s">
        <v>1594</v>
      </c>
      <c r="CB9">
        <v>2024</v>
      </c>
      <c r="CC9" t="s">
        <v>2353</v>
      </c>
      <c r="CD9" s="6">
        <v>45713</v>
      </c>
      <c r="CE9">
        <v>5</v>
      </c>
      <c r="CF9">
        <v>26096826</v>
      </c>
      <c r="CG9">
        <v>57509219</v>
      </c>
      <c r="CH9" t="s">
        <v>2498</v>
      </c>
      <c r="CM9" t="s">
        <v>2078</v>
      </c>
      <c r="CN9" t="s">
        <v>1598</v>
      </c>
      <c r="CO9">
        <v>7.6275999999999997E-2</v>
      </c>
      <c r="CP9">
        <v>2.5603000000000001E-2</v>
      </c>
      <c r="CQ9" t="s">
        <v>1606</v>
      </c>
      <c r="CR9">
        <v>2025</v>
      </c>
      <c r="CS9" t="s">
        <v>2079</v>
      </c>
      <c r="CT9" s="6">
        <v>46079</v>
      </c>
      <c r="CU9">
        <v>5</v>
      </c>
      <c r="CV9">
        <v>803949</v>
      </c>
      <c r="CW9">
        <v>49689146</v>
      </c>
      <c r="CX9" t="s">
        <v>2080</v>
      </c>
      <c r="FY9" t="s">
        <v>4480</v>
      </c>
      <c r="GA9">
        <v>-2.4245362661989844E-14</v>
      </c>
      <c r="GB9">
        <v>-2.4245362661989844E-14</v>
      </c>
      <c r="GC9" t="s">
        <v>1594</v>
      </c>
      <c r="GD9">
        <v>2024</v>
      </c>
      <c r="GE9" t="s">
        <v>4472</v>
      </c>
      <c r="GF9" s="6">
        <v>45485</v>
      </c>
      <c r="GG9">
        <v>5</v>
      </c>
      <c r="GH9">
        <v>-2.4245362661989844E-14</v>
      </c>
      <c r="GI9">
        <v>64934086</v>
      </c>
      <c r="GJ9" t="s">
        <v>4481</v>
      </c>
      <c r="GM9" t="s">
        <v>776</v>
      </c>
      <c r="GN9">
        <v>-2.4245362661989844E-14</v>
      </c>
      <c r="GP9">
        <v>-2.4245362661989844E-14</v>
      </c>
      <c r="GQ9" t="s">
        <v>1594</v>
      </c>
      <c r="GR9">
        <v>2023</v>
      </c>
      <c r="GS9" t="s">
        <v>3539</v>
      </c>
      <c r="GT9" s="6">
        <v>45352</v>
      </c>
      <c r="GU9">
        <v>5</v>
      </c>
      <c r="GV9">
        <v>-2.4245362661989844E-14</v>
      </c>
      <c r="GW9">
        <v>101712</v>
      </c>
      <c r="GX9" t="s">
        <v>2809</v>
      </c>
      <c r="HC9" t="s">
        <v>2280</v>
      </c>
      <c r="HD9" t="s">
        <v>1685</v>
      </c>
      <c r="HE9">
        <v>0.777281</v>
      </c>
      <c r="HF9">
        <v>1.0723999999999999E-2</v>
      </c>
      <c r="HG9" t="s">
        <v>1594</v>
      </c>
      <c r="HH9">
        <v>2024</v>
      </c>
      <c r="HI9" t="s">
        <v>2281</v>
      </c>
      <c r="HJ9" s="6">
        <v>45694</v>
      </c>
      <c r="HK9">
        <v>5</v>
      </c>
      <c r="HL9">
        <v>1463750</v>
      </c>
      <c r="HM9">
        <v>106543</v>
      </c>
      <c r="HN9" t="s">
        <v>2282</v>
      </c>
      <c r="HQ9" t="s">
        <v>5525</v>
      </c>
      <c r="HR9">
        <v>-2.4245362661989844E-14</v>
      </c>
      <c r="HT9">
        <v>-2.4245362661989844E-14</v>
      </c>
      <c r="HU9" t="s">
        <v>1594</v>
      </c>
      <c r="HV9">
        <v>2023</v>
      </c>
      <c r="HW9" t="s">
        <v>5526</v>
      </c>
      <c r="HX9" s="6">
        <v>45175</v>
      </c>
      <c r="HY9">
        <v>5</v>
      </c>
      <c r="HZ9">
        <v>-2.4245362661989844E-14</v>
      </c>
      <c r="IA9">
        <v>100555</v>
      </c>
      <c r="IB9" t="s">
        <v>5527</v>
      </c>
      <c r="IG9" t="s">
        <v>3373</v>
      </c>
      <c r="IH9" t="s">
        <v>1685</v>
      </c>
      <c r="II9">
        <v>0.23294300000000001</v>
      </c>
      <c r="IJ9">
        <v>0.27798299999999998</v>
      </c>
      <c r="IK9" t="s">
        <v>1664</v>
      </c>
      <c r="IL9">
        <v>2026</v>
      </c>
      <c r="IM9" t="s">
        <v>3374</v>
      </c>
      <c r="IN9" s="6">
        <v>46022</v>
      </c>
      <c r="IO9">
        <v>5</v>
      </c>
      <c r="IP9">
        <v>10921772.949999999</v>
      </c>
      <c r="IQ9">
        <v>174545</v>
      </c>
      <c r="IR9" t="s">
        <v>3375</v>
      </c>
      <c r="IU9" t="s">
        <v>1786</v>
      </c>
      <c r="IV9">
        <v>7.2431999999999996E-2</v>
      </c>
      <c r="IW9" t="s">
        <v>1598</v>
      </c>
      <c r="IX9">
        <v>0.31743900000000003</v>
      </c>
      <c r="IY9" t="s">
        <v>1664</v>
      </c>
      <c r="IZ9">
        <v>2025</v>
      </c>
      <c r="JA9" t="s">
        <v>1787</v>
      </c>
      <c r="JB9" s="6">
        <v>46008</v>
      </c>
      <c r="JC9">
        <v>5</v>
      </c>
      <c r="JD9">
        <v>7382431.75</v>
      </c>
      <c r="JE9">
        <v>349049</v>
      </c>
      <c r="JF9" t="s">
        <v>1788</v>
      </c>
      <c r="JK9" t="s">
        <v>5126</v>
      </c>
      <c r="JL9" t="s">
        <v>1598</v>
      </c>
      <c r="JM9">
        <v>28</v>
      </c>
      <c r="JN9">
        <v>0.140787</v>
      </c>
      <c r="JO9" t="s">
        <v>1594</v>
      </c>
      <c r="JP9">
        <v>2024</v>
      </c>
      <c r="JQ9" t="s">
        <v>5127</v>
      </c>
      <c r="JR9" s="6">
        <v>45729</v>
      </c>
      <c r="JS9">
        <v>5</v>
      </c>
      <c r="JT9">
        <v>54355072</v>
      </c>
      <c r="JU9">
        <v>54325602</v>
      </c>
      <c r="JV9" t="s">
        <v>5128</v>
      </c>
      <c r="JY9" t="s">
        <v>3574</v>
      </c>
      <c r="JZ9">
        <v>-2.4245362661989844E-14</v>
      </c>
      <c r="KB9">
        <v>-2.4245362661989844E-14</v>
      </c>
      <c r="KC9" t="s">
        <v>1651</v>
      </c>
      <c r="KD9">
        <v>2023</v>
      </c>
      <c r="KE9" t="s">
        <v>3575</v>
      </c>
      <c r="KF9" s="6">
        <v>45244</v>
      </c>
      <c r="KG9">
        <v>5</v>
      </c>
      <c r="KH9">
        <v>-2.4245362661989844E-14</v>
      </c>
      <c r="KI9">
        <v>129148</v>
      </c>
      <c r="KJ9" t="s">
        <v>3576</v>
      </c>
      <c r="LS9" t="s">
        <v>905</v>
      </c>
      <c r="LT9" t="s">
        <v>1598</v>
      </c>
      <c r="LU9">
        <v>3.8456359999999998</v>
      </c>
      <c r="LV9">
        <v>0.56642899999999996</v>
      </c>
      <c r="LW9" t="s">
        <v>1606</v>
      </c>
      <c r="LX9">
        <v>2025</v>
      </c>
      <c r="LY9" t="s">
        <v>2163</v>
      </c>
      <c r="LZ9" s="6">
        <v>45986</v>
      </c>
      <c r="MA9">
        <v>5</v>
      </c>
      <c r="MB9">
        <v>84902032</v>
      </c>
      <c r="MC9">
        <v>10399376</v>
      </c>
      <c r="MD9" t="s">
        <v>2164</v>
      </c>
      <c r="MG9" t="s">
        <v>1697</v>
      </c>
      <c r="MH9">
        <v>-2.4245362661989844E-14</v>
      </c>
      <c r="MJ9">
        <v>-2.4245362661989844E-14</v>
      </c>
      <c r="MK9" t="s">
        <v>1594</v>
      </c>
      <c r="ML9">
        <v>2021</v>
      </c>
      <c r="MM9" t="s">
        <v>1698</v>
      </c>
      <c r="MN9" s="6">
        <v>44683</v>
      </c>
      <c r="MO9">
        <v>5</v>
      </c>
      <c r="MP9">
        <v>-2.4245362661989844E-14</v>
      </c>
      <c r="MQ9">
        <v>24338392</v>
      </c>
      <c r="MR9" t="s">
        <v>1699</v>
      </c>
      <c r="OA9" t="s">
        <v>2298</v>
      </c>
      <c r="OB9" t="s">
        <v>1598</v>
      </c>
      <c r="OC9">
        <v>2.4084999999999999E-2</v>
      </c>
      <c r="OD9">
        <v>4.8836999999999998E-2</v>
      </c>
      <c r="OE9" t="s">
        <v>1599</v>
      </c>
      <c r="OF9">
        <v>2025</v>
      </c>
      <c r="OG9" t="s">
        <v>2299</v>
      </c>
      <c r="OH9" s="6">
        <v>45993</v>
      </c>
      <c r="OI9">
        <v>5</v>
      </c>
      <c r="OJ9">
        <v>863929</v>
      </c>
      <c r="OK9">
        <v>100415</v>
      </c>
      <c r="OL9" t="s">
        <v>2300</v>
      </c>
      <c r="OO9" t="s">
        <v>173</v>
      </c>
      <c r="OP9">
        <v>1.3051170000000001</v>
      </c>
      <c r="OQ9" t="s">
        <v>1598</v>
      </c>
      <c r="OR9">
        <v>0.246114</v>
      </c>
      <c r="OS9" t="s">
        <v>1599</v>
      </c>
      <c r="OT9">
        <v>2025</v>
      </c>
      <c r="OU9" t="s">
        <v>1864</v>
      </c>
      <c r="OV9" s="6">
        <v>46018</v>
      </c>
      <c r="OW9">
        <v>5</v>
      </c>
      <c r="OX9">
        <v>28738676</v>
      </c>
      <c r="OY9">
        <v>100732</v>
      </c>
      <c r="OZ9" t="s">
        <v>1869</v>
      </c>
      <c r="PE9" t="s">
        <v>2088</v>
      </c>
      <c r="PF9" t="s">
        <v>1598</v>
      </c>
      <c r="PG9">
        <v>0.14130899999999999</v>
      </c>
      <c r="PH9">
        <v>0.17785999999999999</v>
      </c>
      <c r="PI9" t="s">
        <v>1603</v>
      </c>
      <c r="PJ9">
        <v>2025</v>
      </c>
      <c r="PK9" t="s">
        <v>2089</v>
      </c>
      <c r="PL9" s="6">
        <v>45849</v>
      </c>
      <c r="PM9">
        <v>5</v>
      </c>
      <c r="PN9">
        <v>4336195.59</v>
      </c>
      <c r="PO9">
        <v>179551</v>
      </c>
      <c r="PP9" t="s">
        <v>2090</v>
      </c>
      <c r="PS9" t="s">
        <v>2625</v>
      </c>
      <c r="PT9">
        <v>-2.4245362661989844E-14</v>
      </c>
      <c r="PV9">
        <v>-2.4245362661989844E-14</v>
      </c>
      <c r="PW9" t="s">
        <v>1594</v>
      </c>
      <c r="PX9">
        <v>2021</v>
      </c>
      <c r="PY9" t="s">
        <v>2626</v>
      </c>
      <c r="PZ9" s="6">
        <v>44701</v>
      </c>
      <c r="QA9">
        <v>5</v>
      </c>
      <c r="QB9">
        <v>-2.4245362661989844E-14</v>
      </c>
      <c r="QC9">
        <v>384698</v>
      </c>
      <c r="QD9" t="s">
        <v>2627</v>
      </c>
      <c r="RM9" t="s">
        <v>3794</v>
      </c>
      <c r="RN9" t="s">
        <v>1598</v>
      </c>
      <c r="RO9">
        <v>1.828994</v>
      </c>
      <c r="RP9">
        <v>0.46359400000000001</v>
      </c>
      <c r="RQ9" t="s">
        <v>1664</v>
      </c>
      <c r="RR9">
        <v>2025</v>
      </c>
      <c r="RS9" t="s">
        <v>3795</v>
      </c>
      <c r="RT9" s="6">
        <v>45923</v>
      </c>
      <c r="RU9">
        <v>5</v>
      </c>
      <c r="RV9">
        <v>69245712</v>
      </c>
      <c r="RW9">
        <v>106780</v>
      </c>
      <c r="RX9" t="s">
        <v>3796</v>
      </c>
      <c r="SA9" t="s">
        <v>3716</v>
      </c>
      <c r="SB9">
        <v>0.524061</v>
      </c>
      <c r="SC9" t="s">
        <v>1598</v>
      </c>
      <c r="SD9">
        <v>3.6958709999999999</v>
      </c>
      <c r="SE9" t="s">
        <v>1603</v>
      </c>
      <c r="SF9">
        <v>2026</v>
      </c>
      <c r="SG9" t="s">
        <v>3711</v>
      </c>
      <c r="SH9" s="6">
        <v>45996</v>
      </c>
      <c r="SI9">
        <v>5</v>
      </c>
      <c r="SJ9">
        <v>89488128</v>
      </c>
      <c r="SK9">
        <v>170165</v>
      </c>
      <c r="SL9" t="s">
        <v>3717</v>
      </c>
      <c r="SQ9" t="s">
        <v>276</v>
      </c>
      <c r="SR9" t="s">
        <v>1634</v>
      </c>
      <c r="SS9">
        <v>3.6037650000000001</v>
      </c>
      <c r="ST9">
        <v>0.90356199999999998</v>
      </c>
      <c r="SU9" t="s">
        <v>1664</v>
      </c>
      <c r="SV9">
        <v>2026</v>
      </c>
      <c r="SW9" t="s">
        <v>3356</v>
      </c>
      <c r="SX9" s="6">
        <v>46059</v>
      </c>
      <c r="SY9">
        <v>5</v>
      </c>
      <c r="SZ9">
        <v>108725592</v>
      </c>
      <c r="TA9">
        <v>101643</v>
      </c>
      <c r="TB9" t="s">
        <v>3357</v>
      </c>
      <c r="TE9" t="s">
        <v>306</v>
      </c>
      <c r="TF9">
        <v>0.66108800000000001</v>
      </c>
      <c r="TG9" t="s">
        <v>1598</v>
      </c>
      <c r="TH9">
        <v>0.122531</v>
      </c>
      <c r="TI9" t="s">
        <v>1606</v>
      </c>
      <c r="TJ9">
        <v>2025</v>
      </c>
      <c r="TK9" t="s">
        <v>2251</v>
      </c>
      <c r="TL9" s="6">
        <v>45848</v>
      </c>
      <c r="TM9">
        <v>5</v>
      </c>
      <c r="TN9">
        <v>105132824</v>
      </c>
      <c r="TO9">
        <v>101548</v>
      </c>
      <c r="TP9" t="s">
        <v>1770</v>
      </c>
      <c r="TU9" t="s">
        <v>2223</v>
      </c>
      <c r="TV9" t="s">
        <v>1598</v>
      </c>
      <c r="TW9">
        <v>23.000834000000001</v>
      </c>
      <c r="TX9">
        <v>3.3423889999999998</v>
      </c>
      <c r="TY9" t="s">
        <v>1599</v>
      </c>
      <c r="TZ9">
        <v>2025</v>
      </c>
      <c r="UA9" t="s">
        <v>2224</v>
      </c>
      <c r="UB9" s="6">
        <v>46049</v>
      </c>
      <c r="UC9">
        <v>5</v>
      </c>
      <c r="UD9">
        <v>2700220003.8200002</v>
      </c>
      <c r="UE9">
        <v>101095</v>
      </c>
      <c r="UF9" t="s">
        <v>2225</v>
      </c>
      <c r="UI9" t="s">
        <v>1835</v>
      </c>
      <c r="UJ9">
        <v>0.60507999999999995</v>
      </c>
      <c r="UK9" t="s">
        <v>1598</v>
      </c>
      <c r="UL9">
        <v>13.46205</v>
      </c>
      <c r="UM9" t="s">
        <v>1599</v>
      </c>
      <c r="UN9">
        <v>2025</v>
      </c>
      <c r="UO9" t="s">
        <v>1833</v>
      </c>
      <c r="UP9" s="6">
        <v>45954</v>
      </c>
      <c r="UQ9">
        <v>5</v>
      </c>
      <c r="UR9">
        <v>488078912</v>
      </c>
      <c r="US9">
        <v>154455</v>
      </c>
      <c r="UT9" t="s">
        <v>1836</v>
      </c>
      <c r="UY9" t="s">
        <v>2152</v>
      </c>
      <c r="VA9">
        <v>-2.4245362661989844E-14</v>
      </c>
      <c r="VB9">
        <v>-2.4245362661989844E-14</v>
      </c>
      <c r="VC9" t="s">
        <v>1594</v>
      </c>
      <c r="VD9">
        <v>2021</v>
      </c>
      <c r="VE9" t="s">
        <v>2153</v>
      </c>
      <c r="VF9" s="6">
        <v>44693</v>
      </c>
      <c r="VG9">
        <v>5</v>
      </c>
      <c r="VH9">
        <v>-2.4245362661989844E-14</v>
      </c>
      <c r="VI9">
        <v>100060</v>
      </c>
      <c r="VJ9" t="s">
        <v>2154</v>
      </c>
      <c r="VM9" t="s">
        <v>431</v>
      </c>
      <c r="VN9">
        <v>-2.4245362661989844E-14</v>
      </c>
      <c r="VP9">
        <v>-2.4245362661989844E-14</v>
      </c>
      <c r="VQ9" t="s">
        <v>1594</v>
      </c>
      <c r="VR9">
        <v>2025</v>
      </c>
      <c r="VS9" t="s">
        <v>1718</v>
      </c>
      <c r="VT9" s="6">
        <v>46070</v>
      </c>
      <c r="VU9">
        <v>5</v>
      </c>
      <c r="VV9">
        <v>-2.4245362661989844E-14</v>
      </c>
      <c r="VW9">
        <v>100887</v>
      </c>
      <c r="VX9" t="s">
        <v>1723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1213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1214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1215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1216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1217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1218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1219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1220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1221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1222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1223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1224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1225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1226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1227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1228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1229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1230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1231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1232</v>
      </c>
      <c r="AE2" s="3" t="s">
        <v>1233</v>
      </c>
      <c r="BI2" s="3" t="s">
        <v>173</v>
      </c>
      <c r="CM2" s="3" t="s">
        <v>1234</v>
      </c>
      <c r="DQ2" s="3" t="s">
        <v>654</v>
      </c>
      <c r="EU2" s="3" t="s">
        <v>78</v>
      </c>
      <c r="FY2" s="3" t="s">
        <v>78</v>
      </c>
      <c r="HC2" s="3" t="s">
        <v>1235</v>
      </c>
      <c r="IG2" s="3" t="s">
        <v>1236</v>
      </c>
      <c r="JK2" s="3" t="s">
        <v>556</v>
      </c>
      <c r="KO2" s="3" t="s">
        <v>533</v>
      </c>
      <c r="LS2" s="3" t="s">
        <v>617</v>
      </c>
      <c r="MW2" s="3" t="s">
        <v>1237</v>
      </c>
      <c r="OA2" s="3" t="s">
        <v>1238</v>
      </c>
      <c r="PE2" s="3" t="s">
        <v>1239</v>
      </c>
      <c r="QI2" s="3" t="s">
        <v>1240</v>
      </c>
      <c r="RM2" s="3" t="s">
        <v>1241</v>
      </c>
      <c r="SQ2" s="3" t="s">
        <v>1077</v>
      </c>
      <c r="TU2" s="3" t="s">
        <v>1181</v>
      </c>
      <c r="UY2" s="3" t="s">
        <v>1242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_xll.BDS("SNV US Equity","SUPPLY_CHAIN_SUPPLIERS_ALL_DATA","cols=12;rows=1")</f>
        <v>VYX US Equity</v>
      </c>
      <c r="C5">
        <v>-2.4245362661989844E-14</v>
      </c>
      <c r="D5">
        <v>-2.4245362661989844E-14</v>
      </c>
      <c r="E5" t="s">
        <v>1664</v>
      </c>
      <c r="F5">
        <v>2023</v>
      </c>
      <c r="G5" t="s">
        <v>2529</v>
      </c>
      <c r="H5" s="6">
        <v>45174</v>
      </c>
      <c r="I5">
        <v>1</v>
      </c>
      <c r="J5">
        <v>-2.4245362661989844E-14</v>
      </c>
      <c r="K5">
        <v>202476</v>
      </c>
      <c r="L5" t="s">
        <v>2530</v>
      </c>
      <c r="O5" t="str">
        <f>_xll.BDS("SNV US Equity","SUPPLY_CHAIN_CUSTOMERS_ALL_DATA")</f>
        <v>#N/A N/A</v>
      </c>
      <c r="AE5" t="str">
        <f>_xll.BDS("9876567D US Equity","SUPPLY_CHAIN_SUPPLIERS_ALL_DATA")</f>
        <v>#N/A N/A</v>
      </c>
      <c r="AS5" t="str">
        <f>_xll.BDS("9876567D US Equity","SUPPLY_CHAIN_CUSTOMERS_ALL_DATA")</f>
        <v>#N/A N/A</v>
      </c>
      <c r="BI5" t="str">
        <f>_xll.BDS("HPQ US Equity","SUPPLY_CHAIN_SUPPLIERS_ALL_DATA","cols=12;rows=5")</f>
        <v>2356 TT Equity</v>
      </c>
      <c r="BJ5" t="s">
        <v>1598</v>
      </c>
      <c r="BK5">
        <v>36.343342</v>
      </c>
      <c r="BL5">
        <v>18.051394999999999</v>
      </c>
      <c r="BM5" t="s">
        <v>1599</v>
      </c>
      <c r="BN5">
        <v>2025</v>
      </c>
      <c r="BO5" t="s">
        <v>2226</v>
      </c>
      <c r="BP5" s="6">
        <v>46035</v>
      </c>
      <c r="BQ5">
        <v>5</v>
      </c>
      <c r="BR5">
        <v>2141270971.6500001</v>
      </c>
      <c r="BS5">
        <v>193712</v>
      </c>
      <c r="BT5" t="s">
        <v>2227</v>
      </c>
      <c r="BW5" t="str">
        <f>_xll.BDS("HPQ US Equity","SUPPLY_CHAIN_CUSTOMERS_ALL_DATA","cols=12;rows=5")</f>
        <v>SNX US Equity</v>
      </c>
      <c r="BX5">
        <v>12</v>
      </c>
      <c r="BY5" t="s">
        <v>1598</v>
      </c>
      <c r="BZ5">
        <v>11.690618000000001</v>
      </c>
      <c r="CA5" t="s">
        <v>1594</v>
      </c>
      <c r="CB5">
        <v>2025</v>
      </c>
      <c r="CC5" t="s">
        <v>1781</v>
      </c>
      <c r="CD5" s="6">
        <v>46001</v>
      </c>
      <c r="CE5">
        <v>5</v>
      </c>
      <c r="CF5">
        <v>1658850048</v>
      </c>
      <c r="CG5">
        <v>1499717</v>
      </c>
      <c r="CH5" t="s">
        <v>1702</v>
      </c>
      <c r="CM5" t="str">
        <f>_xll.BDS("ENDPQ US Equity","SUPPLY_CHAIN_SUPPLIERS_ALL_DATA","cols=12;rows=5")</f>
        <v>0177858D US Equity</v>
      </c>
      <c r="CO5">
        <v>-2.4245362661989844E-14</v>
      </c>
      <c r="CP5">
        <v>-2.4245362661989844E-14</v>
      </c>
      <c r="CQ5" t="s">
        <v>1599</v>
      </c>
      <c r="CR5">
        <v>2022</v>
      </c>
      <c r="CS5" t="s">
        <v>1619</v>
      </c>
      <c r="CT5" s="6">
        <v>44789</v>
      </c>
      <c r="CU5">
        <v>5</v>
      </c>
      <c r="CV5">
        <v>-2.4245362661989844E-14</v>
      </c>
      <c r="CW5">
        <v>15116708</v>
      </c>
      <c r="CX5" t="s">
        <v>2107</v>
      </c>
      <c r="DA5" t="str">
        <f>_xll.BDS("ENDPQ US Equity","SUPPLY_CHAIN_CUSTOMERS_ALL_DATA","cols=12;rows=5")</f>
        <v>0219682Z US Equity</v>
      </c>
      <c r="DB5">
        <v>-2.4245362661989844E-14</v>
      </c>
      <c r="DD5">
        <v>-2.4245362661989844E-14</v>
      </c>
      <c r="DE5" t="s">
        <v>1594</v>
      </c>
      <c r="DF5">
        <v>2023</v>
      </c>
      <c r="DG5" t="s">
        <v>1616</v>
      </c>
      <c r="DH5" s="6">
        <v>45357</v>
      </c>
      <c r="DI5">
        <v>5</v>
      </c>
      <c r="DJ5">
        <v>-2.4245362661989844E-14</v>
      </c>
      <c r="DK5">
        <v>962205</v>
      </c>
      <c r="DL5" t="s">
        <v>1617</v>
      </c>
      <c r="DQ5" t="str">
        <f>_xll.BDS("CG US Equity","SUPPLY_CHAIN_SUPPLIERS_ALL_DATA","cols=12;rows=5")</f>
        <v>SLG US Equity</v>
      </c>
      <c r="DR5" t="s">
        <v>1685</v>
      </c>
      <c r="DS5">
        <v>2.3414929999999998</v>
      </c>
      <c r="DT5">
        <v>0.61569499999999999</v>
      </c>
      <c r="DU5" t="s">
        <v>1594</v>
      </c>
      <c r="DV5">
        <v>2024</v>
      </c>
      <c r="DW5" t="s">
        <v>2278</v>
      </c>
      <c r="DX5" s="6">
        <v>45706</v>
      </c>
      <c r="DY5">
        <v>5</v>
      </c>
      <c r="DZ5">
        <v>5187999</v>
      </c>
      <c r="EA5">
        <v>231753</v>
      </c>
      <c r="EB5" t="s">
        <v>2279</v>
      </c>
      <c r="EE5" t="str">
        <f>_xll.BDS("CG US Equity","SUPPLY_CHAIN_CUSTOMERS_ALL_DATA","cols=12;rows=5")</f>
        <v>POOL US Equity</v>
      </c>
      <c r="EF5">
        <v>8.2254889999999996</v>
      </c>
      <c r="EG5" t="s">
        <v>1598</v>
      </c>
      <c r="EH5">
        <v>12</v>
      </c>
      <c r="EI5" t="s">
        <v>1594</v>
      </c>
      <c r="EJ5">
        <v>2024</v>
      </c>
      <c r="EK5" t="s">
        <v>1870</v>
      </c>
      <c r="EL5" s="6">
        <v>45715</v>
      </c>
      <c r="EM5">
        <v>5</v>
      </c>
      <c r="EN5">
        <v>112068176</v>
      </c>
      <c r="EO5">
        <v>171077</v>
      </c>
      <c r="EP5" t="s">
        <v>1871</v>
      </c>
      <c r="EU5" t="str">
        <f>_xll.BDS("nan Equity","SUPPLY_CHAIN_SUPPLIERS_ALL_DATA")</f>
        <v>#N/A N/A</v>
      </c>
      <c r="FI5" t="str">
        <f>_xll.BDS("nan Equity","SUPPLY_CHAIN_CUSTOMERS_ALL_DATA")</f>
        <v>#N/A N/A</v>
      </c>
      <c r="FY5" t="str">
        <f>_xll.BDS("nan Equity","SUPPLY_CHAIN_SUPPLIERS_ALL_DATA")</f>
        <v>#N/A N/A</v>
      </c>
      <c r="GM5" t="str">
        <f>_xll.BDS("nan Equity","SUPPLY_CHAIN_CUSTOMERS_ALL_DATA")</f>
        <v>#N/A N/A</v>
      </c>
      <c r="HC5" t="str">
        <f>_xll.BDS("3867693Z US Equity","SUPPLY_CHAIN_SUPPLIERS_ALL_DATA")</f>
        <v>#N/A N/A</v>
      </c>
      <c r="HQ5" t="str">
        <f>_xll.BDS("3867693Z US Equity","SUPPLY_CHAIN_CUSTOMERS_ALL_DATA")</f>
        <v>#N/A N/A</v>
      </c>
      <c r="IG5" t="str">
        <f>_xll.BDS("JEF US Equity","SUPPLY_CHAIN_SUPPLIERS_ALL_DATA","cols=12;rows=5")</f>
        <v>000063 CH Equity</v>
      </c>
      <c r="II5">
        <v>-2.4245362661989844E-14</v>
      </c>
      <c r="IJ5">
        <v>-2.4245362661989844E-14</v>
      </c>
      <c r="IK5" t="s">
        <v>1594</v>
      </c>
      <c r="IL5">
        <v>2025</v>
      </c>
      <c r="IM5" t="s">
        <v>5429</v>
      </c>
      <c r="IN5" s="6">
        <v>45904</v>
      </c>
      <c r="IO5">
        <v>5</v>
      </c>
      <c r="IP5">
        <v>-2.4245362661989844E-14</v>
      </c>
      <c r="IQ5">
        <v>304299</v>
      </c>
      <c r="IR5" t="s">
        <v>4254</v>
      </c>
      <c r="IU5" t="str">
        <f>_xll.BDS("JEF US Equity","SUPPLY_CHAIN_CUSTOMERS_ALL_DATA")</f>
        <v>#N/A N/A</v>
      </c>
      <c r="JK5" t="str">
        <f>_xll.BDS("OVV US Equity","SUPPLY_CHAIN_SUPPLIERS_ALL_DATA","cols=12;rows=5")</f>
        <v>VK FP Equity</v>
      </c>
      <c r="JL5" t="s">
        <v>1634</v>
      </c>
      <c r="JM5">
        <v>0.44927699999999998</v>
      </c>
      <c r="JN5">
        <v>0.89478599999999997</v>
      </c>
      <c r="JO5" t="s">
        <v>1599</v>
      </c>
      <c r="JP5">
        <v>2025</v>
      </c>
      <c r="JQ5" t="s">
        <v>2070</v>
      </c>
      <c r="JR5" s="6">
        <v>45979</v>
      </c>
      <c r="JS5">
        <v>5</v>
      </c>
      <c r="JT5">
        <v>4868545.92</v>
      </c>
      <c r="JU5">
        <v>115557</v>
      </c>
      <c r="JV5" t="s">
        <v>2071</v>
      </c>
      <c r="JY5" t="str">
        <f>_xll.BDS("OVV US Equity","SUPPLY_CHAIN_CUSTOMERS_ALL_DATA","cols=12;rows=1")</f>
        <v>9888092Z US Equity</v>
      </c>
      <c r="JZ5">
        <v>-2.4245362661989844E-14</v>
      </c>
      <c r="KB5">
        <v>-2.4245362661989844E-14</v>
      </c>
      <c r="KC5" t="s">
        <v>1594</v>
      </c>
      <c r="KD5">
        <v>2022</v>
      </c>
      <c r="KE5" t="s">
        <v>5800</v>
      </c>
      <c r="KF5" s="6">
        <v>44985</v>
      </c>
      <c r="KG5">
        <v>1</v>
      </c>
      <c r="KH5">
        <v>-2.4245362661989844E-14</v>
      </c>
      <c r="KI5">
        <v>17234565</v>
      </c>
      <c r="KJ5" t="s">
        <v>4101</v>
      </c>
      <c r="KO5" t="str">
        <f>_xll.BDS("COHR US Equity","SUPPLY_CHAIN_SUPPLIERS_ALL_DATA","cols=12;rows=5")</f>
        <v>AVGO US Equity</v>
      </c>
      <c r="KP5" t="s">
        <v>1598</v>
      </c>
      <c r="KQ5">
        <v>5.4529000000000001E-2</v>
      </c>
      <c r="KR5">
        <v>0.98020499999999999</v>
      </c>
      <c r="KS5" t="s">
        <v>1606</v>
      </c>
      <c r="KT5">
        <v>2025</v>
      </c>
      <c r="KU5" t="s">
        <v>2691</v>
      </c>
      <c r="KV5" s="6">
        <v>46010</v>
      </c>
      <c r="KW5">
        <v>5</v>
      </c>
      <c r="KX5">
        <v>9823399</v>
      </c>
      <c r="KY5">
        <v>59907412</v>
      </c>
      <c r="KZ5" t="s">
        <v>3354</v>
      </c>
      <c r="LC5" t="str">
        <f>_xll.BDS("COHR US Equity","SUPPLY_CHAIN_CUSTOMERS_ALL_DATA","cols=12;rows=5")</f>
        <v>HPE US Equity</v>
      </c>
      <c r="LD5">
        <v>7.2540740000000001</v>
      </c>
      <c r="LE5" t="s">
        <v>1598</v>
      </c>
      <c r="LF5">
        <v>1.774689</v>
      </c>
      <c r="LG5" t="s">
        <v>1603</v>
      </c>
      <c r="LH5">
        <v>2026</v>
      </c>
      <c r="LI5" t="s">
        <v>4252</v>
      </c>
      <c r="LJ5" s="6">
        <v>45967</v>
      </c>
      <c r="LK5">
        <v>5</v>
      </c>
      <c r="LL5">
        <v>114715928</v>
      </c>
      <c r="LM5">
        <v>42602315</v>
      </c>
      <c r="LN5" t="s">
        <v>3111</v>
      </c>
      <c r="LS5" t="str">
        <f>_xll.BDS("CSCO US Equity","SUPPLY_CHAIN_SUPPLIERS_ALL_DATA","cols=12;rows=5")</f>
        <v>NVDA US Equity</v>
      </c>
      <c r="LT5" t="s">
        <v>1598</v>
      </c>
      <c r="LU5">
        <v>0.44414500000000001</v>
      </c>
      <c r="LV5">
        <v>5.627351</v>
      </c>
      <c r="LW5" t="s">
        <v>1606</v>
      </c>
      <c r="LX5">
        <v>2026</v>
      </c>
      <c r="LY5" t="s">
        <v>2004</v>
      </c>
      <c r="LZ5" s="6">
        <v>46087</v>
      </c>
      <c r="MA5">
        <v>5</v>
      </c>
      <c r="MB5">
        <v>302582656</v>
      </c>
      <c r="MC5">
        <v>313657</v>
      </c>
      <c r="MD5" t="s">
        <v>2005</v>
      </c>
      <c r="MG5" t="str">
        <f>_xll.BDS("CSCO US Equity","SUPPLY_CHAIN_CUSTOMERS_ALL_DATA","cols=12;rows=5")</f>
        <v>SNX US Equity</v>
      </c>
      <c r="MH5">
        <v>3.3352200000000001</v>
      </c>
      <c r="MI5" t="s">
        <v>1598</v>
      </c>
      <c r="MJ5">
        <v>3.067034</v>
      </c>
      <c r="MK5" t="s">
        <v>1606</v>
      </c>
      <c r="ML5">
        <v>2025</v>
      </c>
      <c r="MM5" t="s">
        <v>1701</v>
      </c>
      <c r="MN5" s="6">
        <v>46056</v>
      </c>
      <c r="MO5">
        <v>5</v>
      </c>
      <c r="MP5">
        <v>496380736</v>
      </c>
      <c r="MQ5">
        <v>1499717</v>
      </c>
      <c r="MR5" t="s">
        <v>1702</v>
      </c>
      <c r="MW5" t="str">
        <f>_xll.BDS("EXDSQ US Equity","SUPPLY_CHAIN_SUPPLIERS_ALL_DATA")</f>
        <v>#N/A N/A</v>
      </c>
      <c r="NK5" t="str">
        <f>_xll.BDS("EXDSQ US Equity","SUPPLY_CHAIN_CUSTOMERS_ALL_DATA")</f>
        <v>#N/A N/A</v>
      </c>
      <c r="OA5" t="str">
        <f>_xll.BDS("FLG US Equity","SUPPLY_CHAIN_SUPPLIERS_ALL_DATA","cols=12;rows=5")</f>
        <v>CXM US Equity</v>
      </c>
      <c r="OC5">
        <v>-2.4245362661989844E-14</v>
      </c>
      <c r="OD5">
        <v>-2.4245362661989844E-14</v>
      </c>
      <c r="OE5" t="s">
        <v>1664</v>
      </c>
      <c r="OF5">
        <v>2026</v>
      </c>
      <c r="OG5" t="s">
        <v>5140</v>
      </c>
      <c r="OH5" s="6">
        <v>45902</v>
      </c>
      <c r="OI5">
        <v>5</v>
      </c>
      <c r="OJ5">
        <v>-2.4245362661989844E-14</v>
      </c>
      <c r="OK5">
        <v>34392121</v>
      </c>
      <c r="OL5" t="s">
        <v>5141</v>
      </c>
      <c r="OO5" t="str">
        <f>_xll.BDS("FLG US Equity","SUPPLY_CHAIN_CUSTOMERS_ALL_DATA")</f>
        <v>#N/A N/A</v>
      </c>
      <c r="PE5" t="str">
        <f>_xll.BDS("MLM US Equity","SUPPLY_CHAIN_SUPPLIERS_ALL_DATA","cols=12;rows=5")</f>
        <v>RAIL US Equity</v>
      </c>
      <c r="PF5" t="s">
        <v>1634</v>
      </c>
      <c r="PG5">
        <v>2.530459</v>
      </c>
      <c r="PH5">
        <v>1.0457419999999999</v>
      </c>
      <c r="PI5" t="s">
        <v>1603</v>
      </c>
      <c r="PJ5">
        <v>2025</v>
      </c>
      <c r="PK5" t="s">
        <v>3063</v>
      </c>
      <c r="PL5" s="6">
        <v>45840</v>
      </c>
      <c r="PM5">
        <v>5</v>
      </c>
      <c r="PN5">
        <v>2436579</v>
      </c>
      <c r="PO5">
        <v>9371099</v>
      </c>
      <c r="PP5" t="s">
        <v>3064</v>
      </c>
      <c r="PS5" t="str">
        <f>_xll.BDS("MLM US Equity","SUPPLY_CHAIN_CUSTOMERS_ALL_DATA","cols=12;rows=3")</f>
        <v>FTEK US Equity</v>
      </c>
      <c r="PT5">
        <v>-2.4245362661989844E-14</v>
      </c>
      <c r="PV5">
        <v>-2.4245362661989844E-14</v>
      </c>
      <c r="PW5" t="s">
        <v>1594</v>
      </c>
      <c r="PX5">
        <v>2024</v>
      </c>
      <c r="PY5" t="s">
        <v>2460</v>
      </c>
      <c r="PZ5" s="6">
        <v>45720</v>
      </c>
      <c r="QA5">
        <v>3</v>
      </c>
      <c r="QB5">
        <v>-2.4245362661989844E-14</v>
      </c>
      <c r="QC5">
        <v>119994</v>
      </c>
      <c r="QD5" t="s">
        <v>2461</v>
      </c>
      <c r="QI5" t="str">
        <f>_xll.BDS("1074528D US Equity","SUPPLY_CHAIN_SUPPLIERS_ALL_DATA")</f>
        <v>#N/A N/A</v>
      </c>
      <c r="QW5" t="str">
        <f>_xll.BDS("1074528D US Equity","SUPPLY_CHAIN_CUSTOMERS_ALL_DATA")</f>
        <v>#N/A N/A</v>
      </c>
      <c r="RM5" t="str">
        <f>_xll.BDS("1927294D US Equity","SUPPLY_CHAIN_SUPPLIERS_ALL_DATA","cols=12;rows=1")</f>
        <v>FE US Equity</v>
      </c>
      <c r="RO5">
        <v>-2.4245362661989844E-14</v>
      </c>
      <c r="RP5">
        <v>-2.4245362661989844E-14</v>
      </c>
      <c r="RQ5" t="s">
        <v>1594</v>
      </c>
      <c r="RR5">
        <v>2021</v>
      </c>
      <c r="RS5" t="s">
        <v>3048</v>
      </c>
      <c r="RT5" s="6">
        <v>44693</v>
      </c>
      <c r="RU5">
        <v>1</v>
      </c>
      <c r="RV5">
        <v>-2.4245362661989844E-14</v>
      </c>
      <c r="RW5">
        <v>302916</v>
      </c>
      <c r="RX5" t="s">
        <v>3049</v>
      </c>
      <c r="SA5" t="str">
        <f>_xll.BDS("1927294D US Equity","SUPPLY_CHAIN_CUSTOMERS_ALL_DATA")</f>
        <v>#N/A N/A</v>
      </c>
      <c r="SQ5" t="str">
        <f>_xll.BDS("HFC US Equity","SUPPLY_CHAIN_SUPPLIERS_ALL_DATA")</f>
        <v>#N/A N/A</v>
      </c>
      <c r="TE5" t="str">
        <f>_xll.BDS("HFC US Equity","SUPPLY_CHAIN_CUSTOMERS_ALL_DATA")</f>
        <v>#N/A N/A</v>
      </c>
      <c r="TU5" t="str">
        <f>_xll.BDS("9990822D US Equity","SUPPLY_CHAIN_SUPPLIERS_ALL_DATA","cols=12;rows=1")</f>
        <v>AMZN US Equity</v>
      </c>
      <c r="TW5">
        <v>-2.4245362661989844E-14</v>
      </c>
      <c r="TX5">
        <v>-2.4245362661989844E-14</v>
      </c>
      <c r="TY5" t="s">
        <v>1594</v>
      </c>
      <c r="TZ5">
        <v>2025</v>
      </c>
      <c r="UA5" t="s">
        <v>4215</v>
      </c>
      <c r="UB5" s="6">
        <v>45993</v>
      </c>
      <c r="UC5">
        <v>1</v>
      </c>
      <c r="UD5">
        <v>-2.4245362661989844E-14</v>
      </c>
      <c r="UE5">
        <v>216952</v>
      </c>
      <c r="UF5" t="s">
        <v>1631</v>
      </c>
      <c r="UI5" t="str">
        <f>_xll.BDS("9990822D US Equity","SUPPLY_CHAIN_CUSTOMERS_ALL_DATA","cols=12;rows=3")</f>
        <v>0759608D US Equity</v>
      </c>
      <c r="UJ5">
        <v>-2.4245362661989844E-14</v>
      </c>
      <c r="UL5">
        <v>-2.4245362661989844E-14</v>
      </c>
      <c r="UM5" t="s">
        <v>1594</v>
      </c>
      <c r="UN5">
        <v>2023</v>
      </c>
      <c r="UO5" t="s">
        <v>4255</v>
      </c>
      <c r="UP5" s="6">
        <v>44972</v>
      </c>
      <c r="UQ5">
        <v>3</v>
      </c>
      <c r="UR5">
        <v>-2.4245362661989844E-14</v>
      </c>
      <c r="US5">
        <v>22120244</v>
      </c>
      <c r="UT5" t="s">
        <v>4256</v>
      </c>
      <c r="UY5" t="str">
        <f>_xll.BDS("GT US Equity","SUPPLY_CHAIN_SUPPLIERS_ALL_DATA","cols=12;rows=5")</f>
        <v>OEC US Equity</v>
      </c>
      <c r="UZ5" t="s">
        <v>1598</v>
      </c>
      <c r="VA5">
        <v>4.6367330000000004</v>
      </c>
      <c r="VB5">
        <v>0.51909499999999997</v>
      </c>
      <c r="VC5" t="s">
        <v>1599</v>
      </c>
      <c r="VD5">
        <v>2024</v>
      </c>
      <c r="VE5" t="s">
        <v>4169</v>
      </c>
      <c r="VF5" s="6">
        <v>45693</v>
      </c>
      <c r="VG5">
        <v>5</v>
      </c>
      <c r="VH5">
        <v>21486620</v>
      </c>
      <c r="VI5">
        <v>40770179</v>
      </c>
      <c r="VJ5" t="s">
        <v>4170</v>
      </c>
      <c r="VM5" t="str">
        <f>_xll.BDS("GT US Equity","SUPPLY_CHAIN_CUSTOMERS_ALL_DATA","cols=12;rows=5")</f>
        <v>F US Equity</v>
      </c>
      <c r="VN5">
        <v>2.0588649999999999</v>
      </c>
      <c r="VO5" t="s">
        <v>1598</v>
      </c>
      <c r="VP5">
        <v>0.218193</v>
      </c>
      <c r="VQ5" t="s">
        <v>1606</v>
      </c>
      <c r="VR5">
        <v>2025</v>
      </c>
      <c r="VS5" t="s">
        <v>6303</v>
      </c>
      <c r="VT5" s="6">
        <v>46066</v>
      </c>
      <c r="VU5">
        <v>5</v>
      </c>
      <c r="VV5">
        <v>101234392</v>
      </c>
      <c r="VW5">
        <v>100602</v>
      </c>
      <c r="VX5" t="s">
        <v>3023</v>
      </c>
    </row>
    <row r="6" spans="1:600" x14ac:dyDescent="0.25">
      <c r="BI6" t="s">
        <v>275</v>
      </c>
      <c r="BJ6" t="s">
        <v>1598</v>
      </c>
      <c r="BK6">
        <v>12.003353000000001</v>
      </c>
      <c r="BL6">
        <v>14.056165999999999</v>
      </c>
      <c r="BM6" t="s">
        <v>1606</v>
      </c>
      <c r="BN6">
        <v>2025</v>
      </c>
      <c r="BO6" t="s">
        <v>2228</v>
      </c>
      <c r="BP6" s="6">
        <v>46048</v>
      </c>
      <c r="BQ6">
        <v>5</v>
      </c>
      <c r="BR6">
        <v>1641338496</v>
      </c>
      <c r="BS6">
        <v>101729</v>
      </c>
      <c r="BT6" t="s">
        <v>2229</v>
      </c>
      <c r="BW6" t="s">
        <v>1774</v>
      </c>
      <c r="BX6">
        <v>1.5894710000000001</v>
      </c>
      <c r="BY6" t="s">
        <v>1598</v>
      </c>
      <c r="BZ6">
        <v>2.6168589999999998</v>
      </c>
      <c r="CA6" t="s">
        <v>1664</v>
      </c>
      <c r="CB6">
        <v>2026</v>
      </c>
      <c r="CC6" t="s">
        <v>1782</v>
      </c>
      <c r="CD6" s="6">
        <v>45932</v>
      </c>
      <c r="CE6">
        <v>5</v>
      </c>
      <c r="CF6">
        <v>221445152</v>
      </c>
      <c r="CG6">
        <v>100197</v>
      </c>
      <c r="CH6" t="s">
        <v>1775</v>
      </c>
      <c r="CM6" t="s">
        <v>2108</v>
      </c>
      <c r="CO6">
        <v>-2.4245362661989844E-14</v>
      </c>
      <c r="CP6">
        <v>-2.4245362661989844E-14</v>
      </c>
      <c r="CQ6" t="s">
        <v>1594</v>
      </c>
      <c r="CR6">
        <v>2021</v>
      </c>
      <c r="CS6" t="s">
        <v>2109</v>
      </c>
      <c r="CT6" s="6">
        <v>44641</v>
      </c>
      <c r="CU6">
        <v>5</v>
      </c>
      <c r="CV6">
        <v>-2.4245362661989844E-14</v>
      </c>
      <c r="CW6">
        <v>227699</v>
      </c>
      <c r="CX6" t="s">
        <v>2110</v>
      </c>
      <c r="DA6" t="s">
        <v>1618</v>
      </c>
      <c r="DB6">
        <v>-2.4245362661989844E-14</v>
      </c>
      <c r="DD6">
        <v>-2.4245362661989844E-14</v>
      </c>
      <c r="DE6" t="s">
        <v>1599</v>
      </c>
      <c r="DF6">
        <v>2022</v>
      </c>
      <c r="DG6" t="s">
        <v>1619</v>
      </c>
      <c r="DH6" s="6">
        <v>44789</v>
      </c>
      <c r="DI6">
        <v>5</v>
      </c>
      <c r="DJ6">
        <v>-2.4245362661989844E-14</v>
      </c>
      <c r="DK6">
        <v>17074135</v>
      </c>
      <c r="DL6" t="s">
        <v>1620</v>
      </c>
      <c r="DQ6" t="s">
        <v>2280</v>
      </c>
      <c r="DR6" t="s">
        <v>1685</v>
      </c>
      <c r="DS6">
        <v>0.89158300000000001</v>
      </c>
      <c r="DT6">
        <v>0.19925799999999999</v>
      </c>
      <c r="DU6" t="s">
        <v>1594</v>
      </c>
      <c r="DV6">
        <v>2024</v>
      </c>
      <c r="DW6" t="s">
        <v>2281</v>
      </c>
      <c r="DX6" s="6">
        <v>45694</v>
      </c>
      <c r="DY6">
        <v>5</v>
      </c>
      <c r="DZ6">
        <v>1679000.25</v>
      </c>
      <c r="EA6">
        <v>106543</v>
      </c>
      <c r="EB6" t="s">
        <v>2282</v>
      </c>
      <c r="EE6" t="s">
        <v>1872</v>
      </c>
      <c r="EF6">
        <v>0.112706</v>
      </c>
      <c r="EG6" t="s">
        <v>1598</v>
      </c>
      <c r="EH6">
        <v>3.4763000000000002E-2</v>
      </c>
      <c r="EI6" t="s">
        <v>1603</v>
      </c>
      <c r="EJ6">
        <v>2025</v>
      </c>
      <c r="EK6" t="s">
        <v>1873</v>
      </c>
      <c r="EL6" s="6">
        <v>45852</v>
      </c>
      <c r="EM6">
        <v>5</v>
      </c>
      <c r="EN6">
        <v>1103394.56</v>
      </c>
      <c r="EO6">
        <v>14866501</v>
      </c>
      <c r="EP6" t="s">
        <v>1874</v>
      </c>
      <c r="IG6" t="s">
        <v>3129</v>
      </c>
      <c r="II6">
        <v>-2.4245362661989844E-14</v>
      </c>
      <c r="IJ6">
        <v>-2.4245362661989844E-14</v>
      </c>
      <c r="IK6" t="s">
        <v>1594</v>
      </c>
      <c r="IL6">
        <v>2026</v>
      </c>
      <c r="IM6" t="s">
        <v>3130</v>
      </c>
      <c r="IN6" s="6">
        <v>46042</v>
      </c>
      <c r="IO6">
        <v>5</v>
      </c>
      <c r="IP6">
        <v>-2.4245362661989844E-14</v>
      </c>
      <c r="IQ6">
        <v>9095890</v>
      </c>
      <c r="IR6" t="s">
        <v>3131</v>
      </c>
      <c r="JK6" t="s">
        <v>4443</v>
      </c>
      <c r="JL6" t="s">
        <v>1685</v>
      </c>
      <c r="JM6">
        <v>1.9</v>
      </c>
      <c r="JN6">
        <v>3.3853520000000001</v>
      </c>
      <c r="JO6" t="s">
        <v>1594</v>
      </c>
      <c r="JP6">
        <v>2024</v>
      </c>
      <c r="JQ6" t="s">
        <v>4444</v>
      </c>
      <c r="JR6" s="6">
        <v>45700</v>
      </c>
      <c r="JS6">
        <v>5</v>
      </c>
      <c r="JT6">
        <v>2833054.77</v>
      </c>
      <c r="JU6">
        <v>202552</v>
      </c>
      <c r="JV6" t="s">
        <v>4445</v>
      </c>
      <c r="KO6" t="s">
        <v>4497</v>
      </c>
      <c r="KP6" t="s">
        <v>1598</v>
      </c>
      <c r="KQ6">
        <v>8.1725010000000005</v>
      </c>
      <c r="KR6">
        <v>0.91561800000000004</v>
      </c>
      <c r="KS6" t="s">
        <v>1603</v>
      </c>
      <c r="KT6">
        <v>2025</v>
      </c>
      <c r="KU6" t="s">
        <v>4498</v>
      </c>
      <c r="KV6" s="6">
        <v>45861</v>
      </c>
      <c r="KW6">
        <v>5</v>
      </c>
      <c r="KX6">
        <v>8883813.5099999998</v>
      </c>
      <c r="KY6">
        <v>14336256</v>
      </c>
      <c r="KZ6" t="s">
        <v>4499</v>
      </c>
      <c r="LC6" t="s">
        <v>617</v>
      </c>
      <c r="LD6">
        <v>6.8054249999999996</v>
      </c>
      <c r="LE6" t="s">
        <v>1598</v>
      </c>
      <c r="LF6">
        <v>2.1361849999999998</v>
      </c>
      <c r="LG6" t="s">
        <v>1603</v>
      </c>
      <c r="LH6">
        <v>2026</v>
      </c>
      <c r="LI6" t="s">
        <v>4252</v>
      </c>
      <c r="LJ6" s="6">
        <v>45967</v>
      </c>
      <c r="LK6">
        <v>5</v>
      </c>
      <c r="LL6">
        <v>107620992</v>
      </c>
      <c r="LM6">
        <v>69423747</v>
      </c>
      <c r="LN6" t="s">
        <v>3228</v>
      </c>
      <c r="LS6" t="s">
        <v>3655</v>
      </c>
      <c r="LT6" t="s">
        <v>1598</v>
      </c>
      <c r="LU6">
        <v>0.347161</v>
      </c>
      <c r="LV6">
        <v>4.1422239999999997</v>
      </c>
      <c r="LW6" t="s">
        <v>1664</v>
      </c>
      <c r="LX6">
        <v>2025</v>
      </c>
      <c r="LY6" t="s">
        <v>3656</v>
      </c>
      <c r="LZ6" s="6">
        <v>45889</v>
      </c>
      <c r="MA6">
        <v>5</v>
      </c>
      <c r="MB6">
        <v>201928052.13999999</v>
      </c>
      <c r="MC6">
        <v>119133</v>
      </c>
      <c r="MD6" t="s">
        <v>3657</v>
      </c>
      <c r="MG6" t="s">
        <v>178</v>
      </c>
      <c r="MH6">
        <v>2.8732120000000001</v>
      </c>
      <c r="MI6" t="s">
        <v>1634</v>
      </c>
      <c r="MJ6">
        <v>2.4006630000000002</v>
      </c>
      <c r="MK6" t="s">
        <v>1664</v>
      </c>
      <c r="ML6">
        <v>2025</v>
      </c>
      <c r="MM6" t="s">
        <v>3227</v>
      </c>
      <c r="MN6" s="6">
        <v>45783</v>
      </c>
      <c r="MO6">
        <v>5</v>
      </c>
      <c r="MP6">
        <v>401991104</v>
      </c>
      <c r="MQ6">
        <v>101743</v>
      </c>
      <c r="MR6" t="s">
        <v>1736</v>
      </c>
      <c r="OA6" t="s">
        <v>5142</v>
      </c>
      <c r="OC6">
        <v>-2.4245362661989844E-14</v>
      </c>
      <c r="OD6">
        <v>-2.4245362661989844E-14</v>
      </c>
      <c r="OE6" t="s">
        <v>1594</v>
      </c>
      <c r="OF6">
        <v>2023</v>
      </c>
      <c r="OG6" t="s">
        <v>5143</v>
      </c>
      <c r="OH6" s="6">
        <v>45350</v>
      </c>
      <c r="OI6">
        <v>5</v>
      </c>
      <c r="OJ6">
        <v>-2.4245362661989844E-14</v>
      </c>
      <c r="OK6">
        <v>33628170</v>
      </c>
      <c r="OL6" t="s">
        <v>5144</v>
      </c>
      <c r="PE6" t="s">
        <v>3065</v>
      </c>
      <c r="PF6" t="s">
        <v>1685</v>
      </c>
      <c r="PG6">
        <v>0.55935199999999996</v>
      </c>
      <c r="PH6">
        <v>0.99756599999999995</v>
      </c>
      <c r="PI6" t="s">
        <v>1594</v>
      </c>
      <c r="PJ6">
        <v>2025</v>
      </c>
      <c r="PK6" t="s">
        <v>3066</v>
      </c>
      <c r="PL6" s="6">
        <v>46063</v>
      </c>
      <c r="PM6">
        <v>5</v>
      </c>
      <c r="PN6">
        <v>1127250</v>
      </c>
      <c r="PO6">
        <v>143096</v>
      </c>
      <c r="PP6" t="s">
        <v>3067</v>
      </c>
      <c r="PS6" t="s">
        <v>2075</v>
      </c>
      <c r="PT6">
        <v>-2.4245362661989844E-14</v>
      </c>
      <c r="PV6">
        <v>-2.4245362661989844E-14</v>
      </c>
      <c r="PW6" t="s">
        <v>1606</v>
      </c>
      <c r="PX6">
        <v>2025</v>
      </c>
      <c r="PY6" t="s">
        <v>2462</v>
      </c>
      <c r="PZ6" s="6">
        <v>46054</v>
      </c>
      <c r="QA6">
        <v>3</v>
      </c>
      <c r="QB6">
        <v>-2.4245362661989844E-14</v>
      </c>
      <c r="QC6">
        <v>34755071</v>
      </c>
      <c r="QD6" t="s">
        <v>2077</v>
      </c>
      <c r="UI6" t="s">
        <v>2381</v>
      </c>
      <c r="UJ6">
        <v>-2.4245362661989844E-14</v>
      </c>
      <c r="UL6">
        <v>-2.4245362661989844E-14</v>
      </c>
      <c r="UM6" t="s">
        <v>1594</v>
      </c>
      <c r="UN6">
        <v>2023</v>
      </c>
      <c r="UO6" t="s">
        <v>4255</v>
      </c>
      <c r="UP6" s="6">
        <v>44943</v>
      </c>
      <c r="UQ6">
        <v>3</v>
      </c>
      <c r="UR6">
        <v>-2.4245362661989844E-14</v>
      </c>
      <c r="US6">
        <v>46946968</v>
      </c>
      <c r="UT6" t="s">
        <v>2382</v>
      </c>
      <c r="UY6" t="s">
        <v>4171</v>
      </c>
      <c r="UZ6" t="s">
        <v>1598</v>
      </c>
      <c r="VA6">
        <v>1.5247299999999999</v>
      </c>
      <c r="VB6">
        <v>0.45772800000000002</v>
      </c>
      <c r="VC6" t="s">
        <v>1599</v>
      </c>
      <c r="VD6">
        <v>2025</v>
      </c>
      <c r="VE6" t="s">
        <v>4172</v>
      </c>
      <c r="VF6" s="6">
        <v>46038</v>
      </c>
      <c r="VG6">
        <v>5</v>
      </c>
      <c r="VH6">
        <v>17401491.879999999</v>
      </c>
      <c r="VI6">
        <v>117294</v>
      </c>
      <c r="VJ6" t="s">
        <v>4173</v>
      </c>
      <c r="VM6" t="s">
        <v>2654</v>
      </c>
      <c r="VN6">
        <v>1.691748</v>
      </c>
      <c r="VO6" t="s">
        <v>1598</v>
      </c>
      <c r="VP6">
        <v>0.222833</v>
      </c>
      <c r="VQ6" t="s">
        <v>1606</v>
      </c>
      <c r="VR6">
        <v>2025</v>
      </c>
      <c r="VS6" t="s">
        <v>6303</v>
      </c>
      <c r="VT6" s="6">
        <v>46066</v>
      </c>
      <c r="VU6">
        <v>5</v>
      </c>
      <c r="VV6">
        <v>83183248</v>
      </c>
      <c r="VW6">
        <v>41633927</v>
      </c>
      <c r="VX6" t="s">
        <v>2655</v>
      </c>
    </row>
    <row r="7" spans="1:600" x14ac:dyDescent="0.25">
      <c r="BI7" t="s">
        <v>2230</v>
      </c>
      <c r="BJ7" t="s">
        <v>1598</v>
      </c>
      <c r="BK7">
        <v>6.8536460000000003</v>
      </c>
      <c r="BL7">
        <v>9.6768190000000001</v>
      </c>
      <c r="BM7" t="s">
        <v>1603</v>
      </c>
      <c r="BN7">
        <v>2025</v>
      </c>
      <c r="BO7" t="s">
        <v>2231</v>
      </c>
      <c r="BP7" s="6">
        <v>45812</v>
      </c>
      <c r="BQ7">
        <v>5</v>
      </c>
      <c r="BR7">
        <v>1011895282.72</v>
      </c>
      <c r="BS7">
        <v>330541</v>
      </c>
      <c r="BT7" t="s">
        <v>2232</v>
      </c>
      <c r="BW7" t="s">
        <v>1783</v>
      </c>
      <c r="BX7">
        <v>1.3641749999999999</v>
      </c>
      <c r="BY7" t="s">
        <v>1598</v>
      </c>
      <c r="BZ7">
        <v>0.69426200000000005</v>
      </c>
      <c r="CA7" t="s">
        <v>1603</v>
      </c>
      <c r="CB7">
        <v>2025</v>
      </c>
      <c r="CC7" t="s">
        <v>1784</v>
      </c>
      <c r="CD7" s="6">
        <v>45797</v>
      </c>
      <c r="CE7">
        <v>5</v>
      </c>
      <c r="CF7">
        <v>183924678.06999999</v>
      </c>
      <c r="CG7">
        <v>223340</v>
      </c>
      <c r="CH7" t="s">
        <v>1785</v>
      </c>
      <c r="CM7" t="s">
        <v>2111</v>
      </c>
      <c r="CO7">
        <v>-2.4245362661989844E-14</v>
      </c>
      <c r="CP7">
        <v>-2.4245362661989844E-14</v>
      </c>
      <c r="CQ7" t="s">
        <v>1599</v>
      </c>
      <c r="CR7">
        <v>2022</v>
      </c>
      <c r="CS7" t="s">
        <v>1619</v>
      </c>
      <c r="CT7" s="6">
        <v>44789</v>
      </c>
      <c r="CU7">
        <v>5</v>
      </c>
      <c r="CV7">
        <v>-2.4245362661989844E-14</v>
      </c>
      <c r="CW7">
        <v>33866804</v>
      </c>
      <c r="CX7" t="s">
        <v>2112</v>
      </c>
      <c r="DA7" t="s">
        <v>1621</v>
      </c>
      <c r="DB7">
        <v>-2.4245362661989844E-14</v>
      </c>
      <c r="DD7">
        <v>-2.4245362661989844E-14</v>
      </c>
      <c r="DE7" t="s">
        <v>1594</v>
      </c>
      <c r="DF7">
        <v>2023</v>
      </c>
      <c r="DG7" t="s">
        <v>1616</v>
      </c>
      <c r="DH7" s="6">
        <v>45357</v>
      </c>
      <c r="DI7">
        <v>5</v>
      </c>
      <c r="DJ7">
        <v>-2.4245362661989844E-14</v>
      </c>
      <c r="DK7">
        <v>218252</v>
      </c>
      <c r="DL7" t="s">
        <v>1622</v>
      </c>
      <c r="DQ7" t="s">
        <v>2283</v>
      </c>
      <c r="DR7" t="s">
        <v>1598</v>
      </c>
      <c r="DS7">
        <v>10.91</v>
      </c>
      <c r="DT7">
        <v>0.11763700000000001</v>
      </c>
      <c r="DU7" t="s">
        <v>1594</v>
      </c>
      <c r="DV7">
        <v>2025</v>
      </c>
      <c r="DW7" t="s">
        <v>2284</v>
      </c>
      <c r="DX7" s="6">
        <v>45895</v>
      </c>
      <c r="DY7">
        <v>5</v>
      </c>
      <c r="DZ7">
        <v>1168969.1100000001</v>
      </c>
      <c r="EA7">
        <v>59709175</v>
      </c>
      <c r="EB7" t="s">
        <v>2285</v>
      </c>
      <c r="EE7" t="s">
        <v>1875</v>
      </c>
      <c r="EF7">
        <v>5.6222000000000001E-2</v>
      </c>
      <c r="EG7" t="s">
        <v>1598</v>
      </c>
      <c r="EH7">
        <v>4.2040000000000003E-3</v>
      </c>
      <c r="EI7" t="s">
        <v>1603</v>
      </c>
      <c r="EJ7">
        <v>2026</v>
      </c>
      <c r="EK7" t="s">
        <v>1876</v>
      </c>
      <c r="EL7" s="6">
        <v>45898</v>
      </c>
      <c r="EM7">
        <v>5</v>
      </c>
      <c r="EN7">
        <v>892021.61</v>
      </c>
      <c r="EO7">
        <v>112370</v>
      </c>
      <c r="EP7" t="s">
        <v>1877</v>
      </c>
      <c r="IG7" t="s">
        <v>5430</v>
      </c>
      <c r="II7">
        <v>-2.4245362661989844E-14</v>
      </c>
      <c r="IJ7">
        <v>-2.4245362661989844E-14</v>
      </c>
      <c r="IK7" t="s">
        <v>1664</v>
      </c>
      <c r="IL7">
        <v>2026</v>
      </c>
      <c r="IM7" t="s">
        <v>5431</v>
      </c>
      <c r="IN7" s="6">
        <v>45966</v>
      </c>
      <c r="IO7">
        <v>5</v>
      </c>
      <c r="IP7">
        <v>-2.4245362661989844E-14</v>
      </c>
      <c r="IQ7">
        <v>63052670</v>
      </c>
      <c r="IR7" t="s">
        <v>5432</v>
      </c>
      <c r="JK7" t="s">
        <v>2072</v>
      </c>
      <c r="JL7" t="s">
        <v>1598</v>
      </c>
      <c r="JM7">
        <v>0.398061</v>
      </c>
      <c r="JN7">
        <v>0.161053</v>
      </c>
      <c r="JO7" t="s">
        <v>1599</v>
      </c>
      <c r="JP7">
        <v>2025</v>
      </c>
      <c r="JQ7" t="s">
        <v>2073</v>
      </c>
      <c r="JR7" s="6">
        <v>46027</v>
      </c>
      <c r="JS7">
        <v>5</v>
      </c>
      <c r="JT7">
        <v>2523707</v>
      </c>
      <c r="JU7">
        <v>36965288</v>
      </c>
      <c r="JV7" t="s">
        <v>2074</v>
      </c>
      <c r="KO7" t="s">
        <v>4500</v>
      </c>
      <c r="KP7" t="s">
        <v>1598</v>
      </c>
      <c r="KQ7">
        <v>1.799021</v>
      </c>
      <c r="KR7">
        <v>0.71026599999999995</v>
      </c>
      <c r="KS7" t="s">
        <v>1664</v>
      </c>
      <c r="KT7">
        <v>2025</v>
      </c>
      <c r="KU7" t="s">
        <v>4501</v>
      </c>
      <c r="KV7" s="6">
        <v>46014</v>
      </c>
      <c r="KW7">
        <v>5</v>
      </c>
      <c r="KX7">
        <v>7118132</v>
      </c>
      <c r="KY7">
        <v>159009</v>
      </c>
      <c r="KZ7" t="s">
        <v>4502</v>
      </c>
      <c r="LC7" t="s">
        <v>3675</v>
      </c>
      <c r="LD7">
        <v>6.5266529999999996</v>
      </c>
      <c r="LE7" t="s">
        <v>1598</v>
      </c>
      <c r="LF7">
        <v>0.424236</v>
      </c>
      <c r="LG7" t="s">
        <v>1603</v>
      </c>
      <c r="LH7">
        <v>2026</v>
      </c>
      <c r="LI7" t="s">
        <v>4252</v>
      </c>
      <c r="LJ7" s="6">
        <v>45967</v>
      </c>
      <c r="LK7">
        <v>5</v>
      </c>
      <c r="LL7">
        <v>103212488</v>
      </c>
      <c r="LM7">
        <v>50985605</v>
      </c>
      <c r="LN7" t="s">
        <v>3676</v>
      </c>
      <c r="LS7" t="s">
        <v>2582</v>
      </c>
      <c r="LT7" t="s">
        <v>1598</v>
      </c>
      <c r="LU7">
        <v>0.664825</v>
      </c>
      <c r="LV7">
        <v>3.6327410000000002</v>
      </c>
      <c r="LW7" t="s">
        <v>1606</v>
      </c>
      <c r="LX7">
        <v>2024</v>
      </c>
      <c r="LY7" t="s">
        <v>3144</v>
      </c>
      <c r="LZ7" s="6">
        <v>45741</v>
      </c>
      <c r="MA7">
        <v>5</v>
      </c>
      <c r="MB7">
        <v>178478249.27000001</v>
      </c>
      <c r="MC7">
        <v>153737</v>
      </c>
      <c r="MD7" t="s">
        <v>2584</v>
      </c>
      <c r="MG7" t="s">
        <v>2376</v>
      </c>
      <c r="MH7">
        <v>2.64514</v>
      </c>
      <c r="MI7" t="s">
        <v>1598</v>
      </c>
      <c r="MJ7">
        <v>1.094911</v>
      </c>
      <c r="MK7" t="s">
        <v>1664</v>
      </c>
      <c r="ML7">
        <v>2025</v>
      </c>
      <c r="MM7" t="s">
        <v>3227</v>
      </c>
      <c r="MN7" s="6">
        <v>45783</v>
      </c>
      <c r="MO7">
        <v>5</v>
      </c>
      <c r="MP7">
        <v>370081536</v>
      </c>
      <c r="MQ7">
        <v>117929</v>
      </c>
      <c r="MR7" t="s">
        <v>2378</v>
      </c>
      <c r="OA7" t="s">
        <v>5145</v>
      </c>
      <c r="OC7">
        <v>-2.4245362661989844E-14</v>
      </c>
      <c r="OD7">
        <v>-2.4245362661989844E-14</v>
      </c>
      <c r="OE7" t="s">
        <v>1594</v>
      </c>
      <c r="OF7">
        <v>2024</v>
      </c>
      <c r="OG7" t="s">
        <v>5146</v>
      </c>
      <c r="OH7" s="6">
        <v>45716</v>
      </c>
      <c r="OI7">
        <v>5</v>
      </c>
      <c r="OJ7">
        <v>-2.4245362661989844E-14</v>
      </c>
      <c r="OK7">
        <v>29175351</v>
      </c>
      <c r="OL7" t="s">
        <v>5147</v>
      </c>
      <c r="PE7" t="s">
        <v>1354</v>
      </c>
      <c r="PG7">
        <v>-2.4245362661989844E-14</v>
      </c>
      <c r="PH7">
        <v>-2.4245362661989844E-14</v>
      </c>
      <c r="PI7" t="s">
        <v>1594</v>
      </c>
      <c r="PJ7">
        <v>2021</v>
      </c>
      <c r="PK7" t="s">
        <v>2150</v>
      </c>
      <c r="PL7" s="6">
        <v>44693</v>
      </c>
      <c r="PM7">
        <v>5</v>
      </c>
      <c r="PN7">
        <v>-2.4245362661989844E-14</v>
      </c>
      <c r="PO7">
        <v>313098</v>
      </c>
      <c r="PP7" t="s">
        <v>2151</v>
      </c>
      <c r="PS7" t="s">
        <v>2463</v>
      </c>
      <c r="PT7">
        <v>-2.4245362661989844E-14</v>
      </c>
      <c r="PV7">
        <v>-2.4245362661989844E-14</v>
      </c>
      <c r="PW7" t="s">
        <v>1599</v>
      </c>
      <c r="PX7">
        <v>2023</v>
      </c>
      <c r="PY7" t="s">
        <v>2464</v>
      </c>
      <c r="PZ7" s="6">
        <v>45129</v>
      </c>
      <c r="QA7">
        <v>3</v>
      </c>
      <c r="QB7">
        <v>-2.4245362661989844E-14</v>
      </c>
      <c r="QC7">
        <v>14162860</v>
      </c>
      <c r="QD7" t="s">
        <v>2465</v>
      </c>
      <c r="UI7" t="s">
        <v>182</v>
      </c>
      <c r="UJ7">
        <v>-2.4245362661989844E-14</v>
      </c>
      <c r="UL7">
        <v>-2.4245362661989844E-14</v>
      </c>
      <c r="UM7" t="s">
        <v>1594</v>
      </c>
      <c r="UN7">
        <v>2025</v>
      </c>
      <c r="UO7" t="s">
        <v>4255</v>
      </c>
      <c r="UP7" s="6">
        <v>46007</v>
      </c>
      <c r="UQ7">
        <v>3</v>
      </c>
      <c r="UR7">
        <v>-2.4245362661989844E-14</v>
      </c>
      <c r="US7">
        <v>107071</v>
      </c>
      <c r="UT7" t="s">
        <v>4257</v>
      </c>
      <c r="UY7" t="s">
        <v>4174</v>
      </c>
      <c r="UZ7" t="s">
        <v>1598</v>
      </c>
      <c r="VA7">
        <v>28.835066000000001</v>
      </c>
      <c r="VB7">
        <v>0.33840999999999999</v>
      </c>
      <c r="VC7" t="s">
        <v>1594</v>
      </c>
      <c r="VD7">
        <v>2024</v>
      </c>
      <c r="VE7" t="s">
        <v>4175</v>
      </c>
      <c r="VF7" s="6">
        <v>45776</v>
      </c>
      <c r="VG7">
        <v>5</v>
      </c>
      <c r="VH7">
        <v>12668362</v>
      </c>
      <c r="VI7">
        <v>117546</v>
      </c>
      <c r="VJ7" t="s">
        <v>4176</v>
      </c>
      <c r="VM7" t="s">
        <v>4405</v>
      </c>
      <c r="VN7">
        <v>1.6367370000000001</v>
      </c>
      <c r="VO7" t="s">
        <v>1598</v>
      </c>
      <c r="VP7">
        <v>0.20229800000000001</v>
      </c>
      <c r="VQ7" t="s">
        <v>1606</v>
      </c>
      <c r="VR7">
        <v>2025</v>
      </c>
      <c r="VS7" t="s">
        <v>6303</v>
      </c>
      <c r="VT7" s="6">
        <v>46066</v>
      </c>
      <c r="VU7">
        <v>5</v>
      </c>
      <c r="VV7">
        <v>80478360</v>
      </c>
      <c r="VW7">
        <v>16632863</v>
      </c>
      <c r="VX7" t="s">
        <v>4407</v>
      </c>
    </row>
    <row r="8" spans="1:600" x14ac:dyDescent="0.25">
      <c r="BI8" t="s">
        <v>2233</v>
      </c>
      <c r="BJ8" t="s">
        <v>1598</v>
      </c>
      <c r="BK8">
        <v>4.2738360000000002</v>
      </c>
      <c r="BL8">
        <v>6.6693020000000001</v>
      </c>
      <c r="BM8" t="s">
        <v>1599</v>
      </c>
      <c r="BN8">
        <v>2025</v>
      </c>
      <c r="BO8" t="s">
        <v>2234</v>
      </c>
      <c r="BP8" s="6">
        <v>46087</v>
      </c>
      <c r="BQ8">
        <v>5</v>
      </c>
      <c r="BR8">
        <v>811049598.16999996</v>
      </c>
      <c r="BS8">
        <v>7975354</v>
      </c>
      <c r="BT8" t="s">
        <v>2235</v>
      </c>
      <c r="BW8" t="s">
        <v>1679</v>
      </c>
      <c r="BX8">
        <v>0.59423499999999996</v>
      </c>
      <c r="BY8" t="s">
        <v>1598</v>
      </c>
      <c r="BZ8">
        <v>1.9269499999999999</v>
      </c>
      <c r="CA8" t="s">
        <v>1603</v>
      </c>
      <c r="CB8">
        <v>2025</v>
      </c>
      <c r="CC8" t="s">
        <v>1680</v>
      </c>
      <c r="CD8" s="6">
        <v>45820</v>
      </c>
      <c r="CE8">
        <v>5</v>
      </c>
      <c r="CF8">
        <v>78557896</v>
      </c>
      <c r="CG8">
        <v>12129192</v>
      </c>
      <c r="CH8" t="s">
        <v>1681</v>
      </c>
      <c r="CM8" t="s">
        <v>2113</v>
      </c>
      <c r="CO8">
        <v>-2.4245362661989844E-14</v>
      </c>
      <c r="CP8">
        <v>-2.4245362661989844E-14</v>
      </c>
      <c r="CQ8" t="s">
        <v>1599</v>
      </c>
      <c r="CR8">
        <v>2023</v>
      </c>
      <c r="CS8" t="s">
        <v>2114</v>
      </c>
      <c r="CT8" s="6">
        <v>45236</v>
      </c>
      <c r="CU8">
        <v>5</v>
      </c>
      <c r="CV8">
        <v>-2.4245362661989844E-14</v>
      </c>
      <c r="CW8">
        <v>62555598</v>
      </c>
      <c r="CX8" t="s">
        <v>2115</v>
      </c>
      <c r="DA8" t="s">
        <v>1623</v>
      </c>
      <c r="DB8">
        <v>-2.4245362661989844E-14</v>
      </c>
      <c r="DD8">
        <v>-2.4245362661989844E-14</v>
      </c>
      <c r="DE8" t="s">
        <v>1594</v>
      </c>
      <c r="DF8">
        <v>2025</v>
      </c>
      <c r="DG8" t="s">
        <v>1624</v>
      </c>
      <c r="DH8" s="6">
        <v>45832</v>
      </c>
      <c r="DI8">
        <v>5</v>
      </c>
      <c r="DJ8">
        <v>-2.4245362661989844E-14</v>
      </c>
      <c r="DK8">
        <v>114396</v>
      </c>
      <c r="DL8" t="s">
        <v>1625</v>
      </c>
      <c r="DQ8" t="s">
        <v>2286</v>
      </c>
      <c r="DR8" t="s">
        <v>1685</v>
      </c>
      <c r="DS8">
        <v>1.061577</v>
      </c>
      <c r="DT8">
        <v>0.111747</v>
      </c>
      <c r="DU8" t="s">
        <v>1594</v>
      </c>
      <c r="DV8">
        <v>2024</v>
      </c>
      <c r="DW8" t="s">
        <v>2287</v>
      </c>
      <c r="DX8" s="6">
        <v>45715</v>
      </c>
      <c r="DY8">
        <v>5</v>
      </c>
      <c r="DZ8">
        <v>941885.68</v>
      </c>
      <c r="EA8">
        <v>111471</v>
      </c>
      <c r="EB8" t="s">
        <v>2288</v>
      </c>
      <c r="EE8" t="s">
        <v>1878</v>
      </c>
      <c r="EF8">
        <v>4.8826000000000001E-2</v>
      </c>
      <c r="EG8" t="s">
        <v>1685</v>
      </c>
      <c r="EH8">
        <v>0.96890200000000004</v>
      </c>
      <c r="EI8" t="s">
        <v>1594</v>
      </c>
      <c r="EJ8">
        <v>2025</v>
      </c>
      <c r="EK8" t="s">
        <v>1879</v>
      </c>
      <c r="EL8" s="6">
        <v>46079</v>
      </c>
      <c r="EM8">
        <v>5</v>
      </c>
      <c r="EN8">
        <v>599999.75</v>
      </c>
      <c r="EO8">
        <v>11937231</v>
      </c>
      <c r="EP8" t="s">
        <v>1880</v>
      </c>
      <c r="IG8" t="s">
        <v>5433</v>
      </c>
      <c r="II8">
        <v>-2.4245362661989844E-14</v>
      </c>
      <c r="IJ8">
        <v>-2.4245362661989844E-14</v>
      </c>
      <c r="IK8" t="s">
        <v>1599</v>
      </c>
      <c r="IL8">
        <v>2025</v>
      </c>
      <c r="IM8" t="s">
        <v>5434</v>
      </c>
      <c r="IN8" s="6">
        <v>45971</v>
      </c>
      <c r="IO8">
        <v>5</v>
      </c>
      <c r="IP8">
        <v>-2.4245362661989844E-14</v>
      </c>
      <c r="IQ8">
        <v>45683508</v>
      </c>
      <c r="IR8" t="s">
        <v>5435</v>
      </c>
      <c r="JK8" t="s">
        <v>992</v>
      </c>
      <c r="JL8" t="s">
        <v>1685</v>
      </c>
      <c r="JM8">
        <v>0.86172899999999997</v>
      </c>
      <c r="JN8">
        <v>2.5873110000000001</v>
      </c>
      <c r="JO8" t="s">
        <v>1594</v>
      </c>
      <c r="JP8">
        <v>2025</v>
      </c>
      <c r="JQ8" t="s">
        <v>4168</v>
      </c>
      <c r="JR8" s="6">
        <v>46058</v>
      </c>
      <c r="JS8">
        <v>5</v>
      </c>
      <c r="JT8">
        <v>2141000.25</v>
      </c>
      <c r="JU8">
        <v>106045</v>
      </c>
      <c r="JV8" t="s">
        <v>2847</v>
      </c>
      <c r="KO8" t="s">
        <v>3817</v>
      </c>
      <c r="KP8" t="s">
        <v>1634</v>
      </c>
      <c r="KQ8">
        <v>0.18715000000000001</v>
      </c>
      <c r="KR8">
        <v>4.0173759999999996</v>
      </c>
      <c r="KS8" t="s">
        <v>1664</v>
      </c>
      <c r="KT8">
        <v>2026</v>
      </c>
      <c r="KU8" t="s">
        <v>3818</v>
      </c>
      <c r="KV8" s="6">
        <v>46063</v>
      </c>
      <c r="KW8">
        <v>5</v>
      </c>
      <c r="KX8">
        <v>6170609</v>
      </c>
      <c r="KY8">
        <v>101732</v>
      </c>
      <c r="KZ8" t="s">
        <v>3819</v>
      </c>
      <c r="LC8" t="s">
        <v>3622</v>
      </c>
      <c r="LD8">
        <v>3.9732440000000002</v>
      </c>
      <c r="LE8" t="s">
        <v>1598</v>
      </c>
      <c r="LF8">
        <v>1.978315</v>
      </c>
      <c r="LG8" t="s">
        <v>1603</v>
      </c>
      <c r="LH8">
        <v>2026</v>
      </c>
      <c r="LI8" t="s">
        <v>4252</v>
      </c>
      <c r="LJ8" s="6">
        <v>45967</v>
      </c>
      <c r="LK8">
        <v>5</v>
      </c>
      <c r="LL8">
        <v>62832880</v>
      </c>
      <c r="LM8">
        <v>115790</v>
      </c>
      <c r="LN8" t="s">
        <v>3623</v>
      </c>
      <c r="LS8" t="s">
        <v>2556</v>
      </c>
      <c r="LT8" t="s">
        <v>1598</v>
      </c>
      <c r="LU8">
        <v>2.6461350000000001</v>
      </c>
      <c r="LV8">
        <v>3.5549309999999998</v>
      </c>
      <c r="LW8" t="s">
        <v>1599</v>
      </c>
      <c r="LX8">
        <v>2025</v>
      </c>
      <c r="LY8" t="s">
        <v>2557</v>
      </c>
      <c r="LZ8" s="6">
        <v>45763</v>
      </c>
      <c r="MA8">
        <v>5</v>
      </c>
      <c r="MB8">
        <v>173480608</v>
      </c>
      <c r="MC8">
        <v>136547</v>
      </c>
      <c r="MD8" t="s">
        <v>2558</v>
      </c>
      <c r="MG8" t="s">
        <v>303</v>
      </c>
      <c r="MH8">
        <v>2.5842719999999999</v>
      </c>
      <c r="MI8" t="s">
        <v>1634</v>
      </c>
      <c r="MJ8">
        <v>1.4451639999999999</v>
      </c>
      <c r="MK8" t="s">
        <v>1664</v>
      </c>
      <c r="ML8">
        <v>2025</v>
      </c>
      <c r="MM8" t="s">
        <v>3227</v>
      </c>
      <c r="MN8" s="6">
        <v>45783</v>
      </c>
      <c r="MO8">
        <v>5</v>
      </c>
      <c r="MP8">
        <v>361565504</v>
      </c>
      <c r="MQ8">
        <v>216952</v>
      </c>
      <c r="MR8" t="s">
        <v>1631</v>
      </c>
      <c r="OA8" t="s">
        <v>106</v>
      </c>
      <c r="OC8">
        <v>-2.4245362661989844E-14</v>
      </c>
      <c r="OD8">
        <v>-2.4245362661989844E-14</v>
      </c>
      <c r="OE8" t="s">
        <v>1651</v>
      </c>
      <c r="OF8">
        <v>2023</v>
      </c>
      <c r="OG8" t="s">
        <v>2174</v>
      </c>
      <c r="OH8" s="6">
        <v>45245</v>
      </c>
      <c r="OI8">
        <v>5</v>
      </c>
      <c r="OJ8">
        <v>-2.4245362661989844E-14</v>
      </c>
      <c r="OK8">
        <v>103882</v>
      </c>
      <c r="OL8" t="s">
        <v>2175</v>
      </c>
      <c r="PE8" t="s">
        <v>2152</v>
      </c>
      <c r="PG8">
        <v>-2.4245362661989844E-14</v>
      </c>
      <c r="PH8">
        <v>-2.4245362661989844E-14</v>
      </c>
      <c r="PI8" t="s">
        <v>1594</v>
      </c>
      <c r="PJ8">
        <v>2021</v>
      </c>
      <c r="PK8" t="s">
        <v>2153</v>
      </c>
      <c r="PL8" s="6">
        <v>44693</v>
      </c>
      <c r="PM8">
        <v>5</v>
      </c>
      <c r="PN8">
        <v>-2.4245362661989844E-14</v>
      </c>
      <c r="PO8">
        <v>100060</v>
      </c>
      <c r="PP8" t="s">
        <v>2154</v>
      </c>
      <c r="UY8" t="s">
        <v>4177</v>
      </c>
      <c r="UZ8" t="s">
        <v>1598</v>
      </c>
      <c r="VA8">
        <v>1.4973999999999999E-2</v>
      </c>
      <c r="VB8">
        <v>3.8457999999999999E-2</v>
      </c>
      <c r="VC8" t="s">
        <v>1664</v>
      </c>
      <c r="VD8">
        <v>2025</v>
      </c>
      <c r="VE8" t="s">
        <v>4178</v>
      </c>
      <c r="VF8" s="6">
        <v>45943</v>
      </c>
      <c r="VG8">
        <v>5</v>
      </c>
      <c r="VH8">
        <v>1591886</v>
      </c>
      <c r="VI8">
        <v>109806</v>
      </c>
      <c r="VJ8" t="s">
        <v>4179</v>
      </c>
      <c r="VM8" t="s">
        <v>5357</v>
      </c>
      <c r="VN8">
        <v>1.375772</v>
      </c>
      <c r="VO8" t="s">
        <v>1598</v>
      </c>
      <c r="VP8">
        <v>8.2630999999999996E-2</v>
      </c>
      <c r="VQ8" t="s">
        <v>1606</v>
      </c>
      <c r="VR8">
        <v>2025</v>
      </c>
      <c r="VS8" t="s">
        <v>6303</v>
      </c>
      <c r="VT8" s="6">
        <v>46066</v>
      </c>
      <c r="VU8">
        <v>5</v>
      </c>
      <c r="VV8">
        <v>67646712</v>
      </c>
      <c r="VW8">
        <v>115757</v>
      </c>
      <c r="VX8" t="s">
        <v>5358</v>
      </c>
    </row>
    <row r="9" spans="1:600" x14ac:dyDescent="0.25">
      <c r="BI9" t="s">
        <v>2236</v>
      </c>
      <c r="BJ9" t="s">
        <v>1598</v>
      </c>
      <c r="BK9">
        <v>10.5</v>
      </c>
      <c r="BL9">
        <v>7.349405</v>
      </c>
      <c r="BM9" t="s">
        <v>1594</v>
      </c>
      <c r="BN9">
        <v>2024</v>
      </c>
      <c r="BO9" t="s">
        <v>2237</v>
      </c>
      <c r="BP9" s="6">
        <v>45744</v>
      </c>
      <c r="BQ9">
        <v>5</v>
      </c>
      <c r="BR9">
        <v>778954139.5</v>
      </c>
      <c r="BS9">
        <v>113389</v>
      </c>
      <c r="BT9" t="s">
        <v>2238</v>
      </c>
      <c r="BW9" t="s">
        <v>1786</v>
      </c>
      <c r="BX9">
        <v>0.56558799999999998</v>
      </c>
      <c r="BY9" t="s">
        <v>1598</v>
      </c>
      <c r="BZ9">
        <v>3.5370110000000001</v>
      </c>
      <c r="CA9" t="s">
        <v>1664</v>
      </c>
      <c r="CB9">
        <v>2025</v>
      </c>
      <c r="CC9" t="s">
        <v>1787</v>
      </c>
      <c r="CD9" s="6">
        <v>46008</v>
      </c>
      <c r="CE9">
        <v>5</v>
      </c>
      <c r="CF9">
        <v>82257509.170000002</v>
      </c>
      <c r="CG9">
        <v>349049</v>
      </c>
      <c r="CH9" t="s">
        <v>1788</v>
      </c>
      <c r="CM9" t="s">
        <v>2116</v>
      </c>
      <c r="CO9">
        <v>-2.4245362661989844E-14</v>
      </c>
      <c r="CP9">
        <v>-2.4245362661989844E-14</v>
      </c>
      <c r="CQ9" t="s">
        <v>1594</v>
      </c>
      <c r="CR9">
        <v>2023</v>
      </c>
      <c r="CS9" t="s">
        <v>2117</v>
      </c>
      <c r="CT9" s="6">
        <v>45042</v>
      </c>
      <c r="CU9">
        <v>5</v>
      </c>
      <c r="CV9">
        <v>-2.4245362661989844E-14</v>
      </c>
      <c r="CW9">
        <v>66992559</v>
      </c>
      <c r="CX9" t="s">
        <v>2118</v>
      </c>
      <c r="DA9" t="s">
        <v>618</v>
      </c>
      <c r="DB9">
        <v>-2.4245362661989844E-14</v>
      </c>
      <c r="DD9">
        <v>-2.4245362661989844E-14</v>
      </c>
      <c r="DE9" t="s">
        <v>1594</v>
      </c>
      <c r="DF9">
        <v>2023</v>
      </c>
      <c r="DG9" t="s">
        <v>1616</v>
      </c>
      <c r="DH9" s="6">
        <v>45357</v>
      </c>
      <c r="DI9">
        <v>5</v>
      </c>
      <c r="DJ9">
        <v>-2.4245362661989844E-14</v>
      </c>
      <c r="DK9">
        <v>102782</v>
      </c>
      <c r="DL9" t="s">
        <v>1626</v>
      </c>
      <c r="DQ9" t="s">
        <v>2009</v>
      </c>
      <c r="DR9" t="s">
        <v>1598</v>
      </c>
      <c r="DS9">
        <v>2.7688999999999998E-2</v>
      </c>
      <c r="DT9">
        <v>6.7176E-2</v>
      </c>
      <c r="DU9" t="s">
        <v>1599</v>
      </c>
      <c r="DV9">
        <v>2025</v>
      </c>
      <c r="DW9" t="s">
        <v>2010</v>
      </c>
      <c r="DX9" s="6">
        <v>45974</v>
      </c>
      <c r="DY9">
        <v>5</v>
      </c>
      <c r="DZ9">
        <v>679247.66</v>
      </c>
      <c r="EA9">
        <v>193571</v>
      </c>
      <c r="EB9" t="s">
        <v>2011</v>
      </c>
      <c r="EE9" t="s">
        <v>1679</v>
      </c>
      <c r="EF9">
        <v>4.4743999999999999E-2</v>
      </c>
      <c r="EG9" t="s">
        <v>1598</v>
      </c>
      <c r="EH9">
        <v>1.0747E-2</v>
      </c>
      <c r="EI9" t="s">
        <v>1603</v>
      </c>
      <c r="EJ9">
        <v>2025</v>
      </c>
      <c r="EK9" t="s">
        <v>1680</v>
      </c>
      <c r="EL9" s="6">
        <v>45820</v>
      </c>
      <c r="EM9">
        <v>5</v>
      </c>
      <c r="EN9">
        <v>438134</v>
      </c>
      <c r="EO9">
        <v>12129192</v>
      </c>
      <c r="EP9" t="s">
        <v>1681</v>
      </c>
      <c r="IG9" t="s">
        <v>5436</v>
      </c>
      <c r="II9">
        <v>-2.4245362661989844E-14</v>
      </c>
      <c r="IJ9">
        <v>-2.4245362661989844E-14</v>
      </c>
      <c r="IK9" t="s">
        <v>1594</v>
      </c>
      <c r="IL9">
        <v>2023</v>
      </c>
      <c r="IM9" t="s">
        <v>5437</v>
      </c>
      <c r="IN9" s="6">
        <v>45377</v>
      </c>
      <c r="IO9">
        <v>5</v>
      </c>
      <c r="IP9">
        <v>-2.4245362661989844E-14</v>
      </c>
      <c r="IQ9">
        <v>46286147</v>
      </c>
      <c r="IR9" t="s">
        <v>5438</v>
      </c>
      <c r="JK9" t="s">
        <v>5341</v>
      </c>
      <c r="JM9">
        <v>-2.4245362661989844E-14</v>
      </c>
      <c r="JN9">
        <v>-2.4245362661989844E-14</v>
      </c>
      <c r="JO9" t="s">
        <v>1599</v>
      </c>
      <c r="JP9">
        <v>2024</v>
      </c>
      <c r="JQ9" t="s">
        <v>5342</v>
      </c>
      <c r="JR9" s="6">
        <v>45498</v>
      </c>
      <c r="JS9">
        <v>5</v>
      </c>
      <c r="JT9">
        <v>-2.4245362661989844E-14</v>
      </c>
      <c r="JU9">
        <v>100729</v>
      </c>
      <c r="JV9" t="s">
        <v>5343</v>
      </c>
      <c r="KO9" t="s">
        <v>3969</v>
      </c>
      <c r="KP9" t="s">
        <v>1598</v>
      </c>
      <c r="KQ9">
        <v>0.18715399999999999</v>
      </c>
      <c r="KR9">
        <v>0.29530099999999998</v>
      </c>
      <c r="KS9" t="s">
        <v>1599</v>
      </c>
      <c r="KT9">
        <v>2025</v>
      </c>
      <c r="KU9" t="s">
        <v>3970</v>
      </c>
      <c r="KV9" s="6">
        <v>45968</v>
      </c>
      <c r="KW9">
        <v>5</v>
      </c>
      <c r="KX9">
        <v>2959991.03</v>
      </c>
      <c r="KY9">
        <v>127005</v>
      </c>
      <c r="KZ9" t="s">
        <v>3971</v>
      </c>
      <c r="LC9" t="s">
        <v>4253</v>
      </c>
      <c r="LD9">
        <v>3.4842870000000001</v>
      </c>
      <c r="LE9" t="s">
        <v>1598</v>
      </c>
      <c r="LF9">
        <v>1.836141</v>
      </c>
      <c r="LG9" t="s">
        <v>1603</v>
      </c>
      <c r="LH9">
        <v>2026</v>
      </c>
      <c r="LI9" t="s">
        <v>4252</v>
      </c>
      <c r="LJ9" s="6">
        <v>45967</v>
      </c>
      <c r="LK9">
        <v>5</v>
      </c>
      <c r="LL9">
        <v>55100516</v>
      </c>
      <c r="LM9">
        <v>304299</v>
      </c>
      <c r="LN9" t="s">
        <v>4254</v>
      </c>
      <c r="LS9" t="s">
        <v>4008</v>
      </c>
      <c r="LT9" t="s">
        <v>1598</v>
      </c>
      <c r="LU9">
        <v>18.200001</v>
      </c>
      <c r="LV9">
        <v>3.1899000000000002</v>
      </c>
      <c r="LW9" t="s">
        <v>1594</v>
      </c>
      <c r="LX9">
        <v>2025</v>
      </c>
      <c r="LY9" t="s">
        <v>4009</v>
      </c>
      <c r="LZ9" s="6">
        <v>45888</v>
      </c>
      <c r="MA9">
        <v>5</v>
      </c>
      <c r="MB9">
        <v>155579376</v>
      </c>
      <c r="MC9">
        <v>9858567</v>
      </c>
      <c r="MD9" t="s">
        <v>4010</v>
      </c>
      <c r="MG9" t="s">
        <v>21</v>
      </c>
      <c r="MH9">
        <v>1.966375</v>
      </c>
      <c r="MI9" t="s">
        <v>1634</v>
      </c>
      <c r="MJ9">
        <v>5.4308940000000003</v>
      </c>
      <c r="MK9" t="s">
        <v>1664</v>
      </c>
      <c r="ML9">
        <v>2025</v>
      </c>
      <c r="MM9" t="s">
        <v>3227</v>
      </c>
      <c r="MN9" s="6">
        <v>45783</v>
      </c>
      <c r="MO9">
        <v>5</v>
      </c>
      <c r="MP9">
        <v>275115520</v>
      </c>
      <c r="MQ9">
        <v>101376</v>
      </c>
      <c r="MR9" t="s">
        <v>3621</v>
      </c>
      <c r="OA9" t="s">
        <v>3024</v>
      </c>
      <c r="OC9">
        <v>-2.4245362661989844E-14</v>
      </c>
      <c r="OD9">
        <v>-2.4245362661989844E-14</v>
      </c>
      <c r="OE9" t="s">
        <v>1599</v>
      </c>
      <c r="OF9">
        <v>2023</v>
      </c>
      <c r="OG9" t="s">
        <v>5148</v>
      </c>
      <c r="OH9" s="6">
        <v>45231</v>
      </c>
      <c r="OI9">
        <v>5</v>
      </c>
      <c r="OJ9">
        <v>-2.4245362661989844E-14</v>
      </c>
      <c r="OK9">
        <v>69762655</v>
      </c>
      <c r="OL9" t="s">
        <v>3026</v>
      </c>
      <c r="PE9" t="s">
        <v>810</v>
      </c>
      <c r="PG9">
        <v>-2.4245362661989844E-14</v>
      </c>
      <c r="PH9">
        <v>-2.4245362661989844E-14</v>
      </c>
      <c r="PI9" t="s">
        <v>1594</v>
      </c>
      <c r="PJ9">
        <v>2021</v>
      </c>
      <c r="PK9" t="s">
        <v>2346</v>
      </c>
      <c r="PL9" s="6">
        <v>44693</v>
      </c>
      <c r="PM9">
        <v>5</v>
      </c>
      <c r="PN9">
        <v>-2.4245362661989844E-14</v>
      </c>
      <c r="PO9">
        <v>101690</v>
      </c>
      <c r="PP9" t="s">
        <v>2347</v>
      </c>
      <c r="UY9" t="s">
        <v>4180</v>
      </c>
      <c r="UZ9" t="s">
        <v>1598</v>
      </c>
      <c r="VA9">
        <v>1.582025</v>
      </c>
      <c r="VB9">
        <v>3.2591000000000002E-2</v>
      </c>
      <c r="VC9" t="s">
        <v>1594</v>
      </c>
      <c r="VD9">
        <v>2025</v>
      </c>
      <c r="VE9" t="s">
        <v>4181</v>
      </c>
      <c r="VF9" s="6">
        <v>45840</v>
      </c>
      <c r="VG9">
        <v>5</v>
      </c>
      <c r="VH9">
        <v>1220327.3899999999</v>
      </c>
      <c r="VI9">
        <v>169710</v>
      </c>
      <c r="VJ9" t="s">
        <v>4182</v>
      </c>
      <c r="VM9" t="s">
        <v>4833</v>
      </c>
      <c r="VN9">
        <v>1.3474440000000001</v>
      </c>
      <c r="VO9" t="s">
        <v>1598</v>
      </c>
      <c r="VP9">
        <v>0.20458299999999999</v>
      </c>
      <c r="VQ9" t="s">
        <v>1606</v>
      </c>
      <c r="VR9">
        <v>2025</v>
      </c>
      <c r="VS9" t="s">
        <v>6303</v>
      </c>
      <c r="VT9" s="6">
        <v>46066</v>
      </c>
      <c r="VU9">
        <v>5</v>
      </c>
      <c r="VV9">
        <v>66253820</v>
      </c>
      <c r="VW9">
        <v>115682</v>
      </c>
      <c r="VX9" t="s">
        <v>4834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1244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1245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1246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1247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1248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1249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1250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1251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1252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1253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1254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1255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1256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1257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1258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1259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1260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1261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1262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78</v>
      </c>
      <c r="AE2" s="3" t="s">
        <v>306</v>
      </c>
      <c r="BI2" s="3" t="s">
        <v>714</v>
      </c>
      <c r="CM2" s="3" t="s">
        <v>280</v>
      </c>
      <c r="DQ2" s="3" t="s">
        <v>392</v>
      </c>
      <c r="EU2" s="3" t="s">
        <v>181</v>
      </c>
      <c r="FY2" s="3" t="s">
        <v>78</v>
      </c>
      <c r="HC2" s="3" t="s">
        <v>1263</v>
      </c>
      <c r="IG2" s="3" t="s">
        <v>1264</v>
      </c>
      <c r="JK2" s="3" t="s">
        <v>1265</v>
      </c>
      <c r="KO2" s="3" t="s">
        <v>1266</v>
      </c>
      <c r="LS2" s="3" t="s">
        <v>1267</v>
      </c>
      <c r="MW2" s="3" t="s">
        <v>1268</v>
      </c>
      <c r="OA2" s="3" t="s">
        <v>689</v>
      </c>
      <c r="PE2" s="3" t="s">
        <v>1269</v>
      </c>
      <c r="QI2" s="3" t="s">
        <v>959</v>
      </c>
      <c r="RM2" s="3" t="s">
        <v>1270</v>
      </c>
      <c r="SQ2" s="3" t="s">
        <v>173</v>
      </c>
      <c r="TU2" s="3" t="s">
        <v>1271</v>
      </c>
      <c r="UY2" s="3" t="s">
        <v>1272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_xll.BDS("nan Equity","SUPPLY_CHAIN_SUPPLIERS_ALL_DATA")</f>
        <v>#N/A N/A</v>
      </c>
      <c r="O5" t="str">
        <f>_xll.BDS("nan Equity","SUPPLY_CHAIN_CUSTOMERS_ALL_DATA")</f>
        <v>#N/A N/A</v>
      </c>
      <c r="AE5" t="str">
        <f>_xll.BDS("UNH US Equity","SUPPLY_CHAIN_SUPPLIERS_ALL_DATA","cols=12;rows=5")</f>
        <v>VRTX US Equity</v>
      </c>
      <c r="AF5" t="s">
        <v>1598</v>
      </c>
      <c r="AG5">
        <v>9.6255240000000004</v>
      </c>
      <c r="AH5">
        <v>0.32416699999999998</v>
      </c>
      <c r="AI5" t="s">
        <v>1606</v>
      </c>
      <c r="AJ5">
        <v>2025</v>
      </c>
      <c r="AK5" t="s">
        <v>2965</v>
      </c>
      <c r="AL5" s="6">
        <v>46077</v>
      </c>
      <c r="AM5">
        <v>5</v>
      </c>
      <c r="AN5">
        <v>307054208</v>
      </c>
      <c r="AO5">
        <v>107741</v>
      </c>
      <c r="AP5" t="s">
        <v>2966</v>
      </c>
      <c r="AS5" t="str">
        <f>_xll.BDS("UNH US Equity","SUPPLY_CHAIN_CUSTOMERS_ALL_DATA","cols=12;rows=5")</f>
        <v>9877893Z US Equity</v>
      </c>
      <c r="AT5">
        <v>40</v>
      </c>
      <c r="AV5">
        <v>-2.4245362661989844E-14</v>
      </c>
      <c r="AW5" t="s">
        <v>1594</v>
      </c>
      <c r="AX5">
        <v>2024</v>
      </c>
      <c r="AY5" t="s">
        <v>2840</v>
      </c>
      <c r="AZ5" s="6">
        <v>45715</v>
      </c>
      <c r="BA5">
        <v>5</v>
      </c>
      <c r="BB5">
        <v>40027799552</v>
      </c>
      <c r="BC5">
        <v>17483390</v>
      </c>
      <c r="BD5" t="s">
        <v>2729</v>
      </c>
      <c r="BI5" t="str">
        <f>_xll.BDS("SSNC US Equity","SUPPLY_CHAIN_SUPPLIERS_ALL_DATA","cols=12;rows=5")</f>
        <v>D-U CN Equity</v>
      </c>
      <c r="BJ5" t="s">
        <v>1685</v>
      </c>
      <c r="BK5">
        <v>4.0999999999999996</v>
      </c>
      <c r="BL5">
        <v>0.51905900000000005</v>
      </c>
      <c r="BM5" t="s">
        <v>1599</v>
      </c>
      <c r="BN5">
        <v>2025</v>
      </c>
      <c r="BO5" t="s">
        <v>3003</v>
      </c>
      <c r="BP5" s="6">
        <v>45967</v>
      </c>
      <c r="BQ5">
        <v>5</v>
      </c>
      <c r="BR5">
        <v>1367986.04</v>
      </c>
      <c r="BS5">
        <v>179603</v>
      </c>
      <c r="BT5" t="s">
        <v>3004</v>
      </c>
      <c r="BW5" t="str">
        <f>_xll.BDS("SSNC US Equity","SUPPLY_CHAIN_CUSTOMERS_ALL_DATA","cols=12;rows=5")</f>
        <v>AYX US Equity</v>
      </c>
      <c r="BX5">
        <v>-2.4245362661989844E-14</v>
      </c>
      <c r="BZ5">
        <v>-2.4245362661989844E-14</v>
      </c>
      <c r="CA5" t="s">
        <v>1594</v>
      </c>
      <c r="CB5">
        <v>2022</v>
      </c>
      <c r="CC5" t="s">
        <v>2479</v>
      </c>
      <c r="CD5" s="6">
        <v>44967</v>
      </c>
      <c r="CE5">
        <v>5</v>
      </c>
      <c r="CF5">
        <v>-2.4245362661989844E-14</v>
      </c>
      <c r="CG5">
        <v>20343647</v>
      </c>
      <c r="CH5" t="s">
        <v>2480</v>
      </c>
      <c r="CM5" t="str">
        <f>_xll.BDS("NOC US Equity","SUPPLY_CHAIN_SUPPLIERS_ALL_DATA","cols=12;rows=5")</f>
        <v>RTX US Equity</v>
      </c>
      <c r="CN5" t="s">
        <v>1598</v>
      </c>
      <c r="CO5">
        <v>0.51138700000000004</v>
      </c>
      <c r="CP5">
        <v>1.351197</v>
      </c>
      <c r="CQ5" t="s">
        <v>1664</v>
      </c>
      <c r="CR5">
        <v>2025</v>
      </c>
      <c r="CS5" t="s">
        <v>2129</v>
      </c>
      <c r="CT5" s="6">
        <v>45895</v>
      </c>
      <c r="CU5">
        <v>5</v>
      </c>
      <c r="CV5">
        <v>110362432</v>
      </c>
      <c r="CW5">
        <v>101555</v>
      </c>
      <c r="CX5" t="s">
        <v>2130</v>
      </c>
      <c r="DA5" t="str">
        <f>_xll.BDS("NOC US Equity","SUPPLY_CHAIN_CUSTOMERS_ALL_DATA","cols=12;rows=5")</f>
        <v>3352Z US Equity</v>
      </c>
      <c r="DB5">
        <v>84</v>
      </c>
      <c r="DD5">
        <v>-2.4245362661989844E-14</v>
      </c>
      <c r="DE5" t="s">
        <v>1594</v>
      </c>
      <c r="DF5">
        <v>2025</v>
      </c>
      <c r="DG5" t="s">
        <v>1627</v>
      </c>
      <c r="DH5" s="6">
        <v>46049</v>
      </c>
      <c r="DI5">
        <v>5</v>
      </c>
      <c r="DJ5">
        <v>8795750000</v>
      </c>
      <c r="DK5">
        <v>218252</v>
      </c>
      <c r="DL5" t="s">
        <v>1622</v>
      </c>
      <c r="DQ5" t="str">
        <f>_xll.BDS("355488Q US Equity","SUPPLY_CHAIN_SUPPLIERS_ALL_DATA")</f>
        <v>#N/A N/A</v>
      </c>
      <c r="EE5" t="str">
        <f>_xll.BDS("355488Q US Equity","SUPPLY_CHAIN_CUSTOMERS_ALL_DATA")</f>
        <v>#N/A N/A</v>
      </c>
      <c r="EU5" t="str">
        <f>_xll.BDS("FCX US Equity","SUPPLY_CHAIN_SUPPLIERS_ALL_DATA","cols=12;rows=5")</f>
        <v>5711 JP Equity</v>
      </c>
      <c r="EV5" t="s">
        <v>1598</v>
      </c>
      <c r="EW5">
        <v>2.2275749999999999</v>
      </c>
      <c r="EX5">
        <v>1.311104</v>
      </c>
      <c r="EY5" t="s">
        <v>1599</v>
      </c>
      <c r="EZ5">
        <v>2025</v>
      </c>
      <c r="FA5" t="s">
        <v>5334</v>
      </c>
      <c r="FB5" s="6">
        <v>46009</v>
      </c>
      <c r="FC5">
        <v>5</v>
      </c>
      <c r="FD5">
        <v>63326324</v>
      </c>
      <c r="FE5">
        <v>114158</v>
      </c>
      <c r="FF5" t="s">
        <v>5071</v>
      </c>
      <c r="FI5" t="str">
        <f>_xll.BDS("FCX US Equity","SUPPLY_CHAIN_CUSTOMERS_ALL_DATA","cols=12;rows=5")</f>
        <v>5711 JP Equity</v>
      </c>
      <c r="FJ5">
        <v>6.5599069999999999</v>
      </c>
      <c r="FK5" t="s">
        <v>1598</v>
      </c>
      <c r="FL5">
        <v>15.883946</v>
      </c>
      <c r="FM5" t="s">
        <v>1594</v>
      </c>
      <c r="FN5">
        <v>2025</v>
      </c>
      <c r="FO5" t="s">
        <v>5070</v>
      </c>
      <c r="FP5" s="6">
        <v>46066</v>
      </c>
      <c r="FQ5">
        <v>5</v>
      </c>
      <c r="FR5">
        <v>425000000</v>
      </c>
      <c r="FS5">
        <v>114158</v>
      </c>
      <c r="FT5" t="s">
        <v>5071</v>
      </c>
      <c r="FY5" t="str">
        <f>_xll.BDS("nan Equity","SUPPLY_CHAIN_SUPPLIERS_ALL_DATA")</f>
        <v>#N/A N/A</v>
      </c>
      <c r="GM5" t="str">
        <f>_xll.BDS("nan Equity","SUPPLY_CHAIN_CUSTOMERS_ALL_DATA")</f>
        <v>#N/A N/A</v>
      </c>
      <c r="HC5" t="str">
        <f>_xll.BDS("URS US Equity","SUPPLY_CHAIN_SUPPLIERS_ALL_DATA")</f>
        <v>#N/A N/A</v>
      </c>
      <c r="HQ5" t="str">
        <f>_xll.BDS("URS US Equity","SUPPLY_CHAIN_CUSTOMERS_ALL_DATA")</f>
        <v>#N/A N/A</v>
      </c>
      <c r="IG5" t="str">
        <f>_xll.BDS("OEI US Equity","SUPPLY_CHAIN_SUPPLIERS_ALL_DATA")</f>
        <v>#N/A N/A</v>
      </c>
      <c r="IU5" t="str">
        <f>_xll.BDS("OEI US Equity","SUPPLY_CHAIN_CUSTOMERS_ALL_DATA")</f>
        <v>#N/A N/A</v>
      </c>
      <c r="JK5" t="str">
        <f>_xll.BDS("NCC US Equity","SUPPLY_CHAIN_SUPPLIERS_ALL_DATA")</f>
        <v>#N/A N/A</v>
      </c>
      <c r="JY5" t="str">
        <f>_xll.BDS("NCC US Equity","SUPPLY_CHAIN_CUSTOMERS_ALL_DATA")</f>
        <v>#N/A N/A</v>
      </c>
      <c r="KO5" t="str">
        <f>_xll.BDS("PK US Equity","SUPPLY_CHAIN_SUPPLIERS_ALL_DATA","cols=12;rows=5")</f>
        <v>AMS SM Equity</v>
      </c>
      <c r="KP5" t="s">
        <v>1598</v>
      </c>
      <c r="KQ5">
        <v>2.8539999999999999E-2</v>
      </c>
      <c r="KR5">
        <v>0.31631300000000001</v>
      </c>
      <c r="KS5" t="s">
        <v>1664</v>
      </c>
      <c r="KT5">
        <v>2025</v>
      </c>
      <c r="KU5" t="s">
        <v>2988</v>
      </c>
      <c r="KV5" s="6">
        <v>45910</v>
      </c>
      <c r="KW5">
        <v>5</v>
      </c>
      <c r="KX5">
        <v>499575.64</v>
      </c>
      <c r="KY5">
        <v>18686622</v>
      </c>
      <c r="KZ5" t="s">
        <v>2989</v>
      </c>
      <c r="LC5" t="str">
        <f>_xll.BDS("PK US Equity","SUPPLY_CHAIN_CUSTOMERS_ALL_DATA")</f>
        <v>#N/A N/A</v>
      </c>
      <c r="LS5" t="str">
        <f>_xll.BDS("ANDX US Equity","SUPPLY_CHAIN_SUPPLIERS_ALL_DATA")</f>
        <v>#N/A N/A</v>
      </c>
      <c r="MG5" t="str">
        <f>_xll.BDS("ANDX US Equity","SUPPLY_CHAIN_CUSTOMERS_ALL_DATA")</f>
        <v>#N/A N/A</v>
      </c>
      <c r="MW5" t="str">
        <f>_xll.BDS("TEG US Equity","SUPPLY_CHAIN_SUPPLIERS_ALL_DATA")</f>
        <v>#N/A N/A</v>
      </c>
      <c r="NK5" t="str">
        <f>_xll.BDS("TEG US Equity","SUPPLY_CHAIN_CUSTOMERS_ALL_DATA")</f>
        <v>#N/A N/A</v>
      </c>
      <c r="OA5" t="str">
        <f>_xll.BDS("9210611D US Equity","SUPPLY_CHAIN_SUPPLIERS_ALL_DATA","cols=12;rows=5")</f>
        <v>0006325D US Equity</v>
      </c>
      <c r="OC5">
        <v>-2.4245362661989844E-14</v>
      </c>
      <c r="OD5">
        <v>-2.4245362661989844E-14</v>
      </c>
      <c r="OE5" t="s">
        <v>1594</v>
      </c>
      <c r="OF5">
        <v>2023</v>
      </c>
      <c r="OG5" t="s">
        <v>1918</v>
      </c>
      <c r="OH5" s="6">
        <v>45323</v>
      </c>
      <c r="OI5">
        <v>5</v>
      </c>
      <c r="OJ5">
        <v>-2.4245362661989844E-14</v>
      </c>
      <c r="OK5">
        <v>17795045</v>
      </c>
      <c r="OL5" t="s">
        <v>2253</v>
      </c>
      <c r="OO5" t="str">
        <f>_xll.BDS("9210611D US Equity","SUPPLY_CHAIN_CUSTOMERS_ALL_DATA","cols=12;rows=5")</f>
        <v>0115249D GR Equity</v>
      </c>
      <c r="OP5">
        <v>-2.4245362661989844E-14</v>
      </c>
      <c r="OR5">
        <v>-2.4245362661989844E-14</v>
      </c>
      <c r="OS5" t="s">
        <v>1599</v>
      </c>
      <c r="OT5">
        <v>2022</v>
      </c>
      <c r="OU5" t="s">
        <v>1911</v>
      </c>
      <c r="OV5" s="6">
        <v>44882</v>
      </c>
      <c r="OW5">
        <v>5</v>
      </c>
      <c r="OX5">
        <v>-2.4245362661989844E-14</v>
      </c>
      <c r="OY5">
        <v>28677573</v>
      </c>
      <c r="OZ5" t="s">
        <v>1912</v>
      </c>
      <c r="PE5" t="str">
        <f>_xll.BDS("HC US Equity","SUPPLY_CHAIN_SUPPLIERS_ALL_DATA")</f>
        <v>#N/A N/A</v>
      </c>
      <c r="PS5" t="str">
        <f>_xll.BDS("HC US Equity","SUPPLY_CHAIN_CUSTOMERS_ALL_DATA")</f>
        <v>#N/A N/A</v>
      </c>
      <c r="QI5" t="str">
        <f>_xll.BDS("COR US Equity","SUPPLY_CHAIN_SUPPLIERS_ALL_DATA","cols=12;rows=5")</f>
        <v>LLY US Equity</v>
      </c>
      <c r="QJ5" t="s">
        <v>1598</v>
      </c>
      <c r="QK5">
        <v>22.163627999999999</v>
      </c>
      <c r="QL5">
        <v>4.8294360000000003</v>
      </c>
      <c r="QM5" t="s">
        <v>1599</v>
      </c>
      <c r="QN5">
        <v>2025</v>
      </c>
      <c r="QO5" t="s">
        <v>1859</v>
      </c>
      <c r="QP5" s="6">
        <v>46041</v>
      </c>
      <c r="QQ5">
        <v>5</v>
      </c>
      <c r="QR5">
        <v>3900975616</v>
      </c>
      <c r="QS5">
        <v>100894</v>
      </c>
      <c r="QT5" t="s">
        <v>2218</v>
      </c>
      <c r="QW5" t="str">
        <f>_xll.BDS("COR US Equity","SUPPLY_CHAIN_CUSTOMERS_ALL_DATA","cols=12;rows=5")</f>
        <v>WBA US Equity</v>
      </c>
      <c r="QX5">
        <v>26.14452</v>
      </c>
      <c r="QY5" t="s">
        <v>1598</v>
      </c>
      <c r="QZ5">
        <v>60.735835999999999</v>
      </c>
      <c r="RA5" t="s">
        <v>1599</v>
      </c>
      <c r="RB5">
        <v>2025</v>
      </c>
      <c r="RC5" t="s">
        <v>1829</v>
      </c>
      <c r="RD5" s="6">
        <v>45834</v>
      </c>
      <c r="RE5">
        <v>5</v>
      </c>
      <c r="RF5">
        <v>19727000000</v>
      </c>
      <c r="RG5">
        <v>101617</v>
      </c>
      <c r="RH5" t="s">
        <v>1830</v>
      </c>
      <c r="RM5" t="str">
        <f>_xll.BDS("MDP US Equity","SUPPLY_CHAIN_SUPPLIERS_ALL_DATA")</f>
        <v>#N/A N/A</v>
      </c>
      <c r="SA5" t="str">
        <f>_xll.BDS("MDP US Equity","SUPPLY_CHAIN_CUSTOMERS_ALL_DATA")</f>
        <v>#N/A N/A</v>
      </c>
      <c r="SQ5" t="str">
        <f>_xll.BDS("HPQ US Equity","SUPPLY_CHAIN_SUPPLIERS_ALL_DATA","cols=12;rows=5")</f>
        <v>2356 TT Equity</v>
      </c>
      <c r="SR5" t="s">
        <v>1598</v>
      </c>
      <c r="SS5">
        <v>36.343342</v>
      </c>
      <c r="ST5">
        <v>18.051394999999999</v>
      </c>
      <c r="SU5" t="s">
        <v>1599</v>
      </c>
      <c r="SV5">
        <v>2025</v>
      </c>
      <c r="SW5" t="s">
        <v>2226</v>
      </c>
      <c r="SX5" s="6">
        <v>46035</v>
      </c>
      <c r="SY5">
        <v>5</v>
      </c>
      <c r="SZ5">
        <v>2141270971.6500001</v>
      </c>
      <c r="TA5">
        <v>193712</v>
      </c>
      <c r="TB5" t="s">
        <v>2227</v>
      </c>
      <c r="TE5" t="str">
        <f>_xll.BDS("HPQ US Equity","SUPPLY_CHAIN_CUSTOMERS_ALL_DATA","cols=12;rows=5")</f>
        <v>SNX US Equity</v>
      </c>
      <c r="TF5">
        <v>12</v>
      </c>
      <c r="TG5" t="s">
        <v>1598</v>
      </c>
      <c r="TH5">
        <v>11.690618000000001</v>
      </c>
      <c r="TI5" t="s">
        <v>1594</v>
      </c>
      <c r="TJ5">
        <v>2025</v>
      </c>
      <c r="TK5" t="s">
        <v>1781</v>
      </c>
      <c r="TL5" s="6">
        <v>46001</v>
      </c>
      <c r="TM5">
        <v>5</v>
      </c>
      <c r="TN5">
        <v>1658850048</v>
      </c>
      <c r="TO5">
        <v>1499717</v>
      </c>
      <c r="TP5" t="s">
        <v>1702</v>
      </c>
      <c r="TU5" t="str">
        <f>_xll.BDS("9995522D US Equity","SUPPLY_CHAIN_SUPPLIERS_ALL_DATA","cols=12;rows=5")</f>
        <v>300464 CH Equity</v>
      </c>
      <c r="TW5">
        <v>-2.4245362661989844E-14</v>
      </c>
      <c r="TX5">
        <v>-2.4245362661989844E-14</v>
      </c>
      <c r="TY5" t="s">
        <v>1792</v>
      </c>
      <c r="TZ5">
        <v>2022</v>
      </c>
      <c r="UA5" t="s">
        <v>3259</v>
      </c>
      <c r="UB5" s="6">
        <v>44802</v>
      </c>
      <c r="UC5">
        <v>5</v>
      </c>
      <c r="UD5">
        <v>-2.4245362661989844E-14</v>
      </c>
      <c r="UE5">
        <v>40231171</v>
      </c>
      <c r="UF5" t="s">
        <v>3260</v>
      </c>
      <c r="UI5" t="str">
        <f>_xll.BDS("9995522D US Equity","SUPPLY_CHAIN_CUSTOMERS_ALL_DATA","cols=12;rows=1")</f>
        <v>0883189D US Equity</v>
      </c>
      <c r="UJ5">
        <v>-2.4245362661989844E-14</v>
      </c>
      <c r="UL5">
        <v>-2.4245362661989844E-14</v>
      </c>
      <c r="UM5" t="s">
        <v>1594</v>
      </c>
      <c r="UN5">
        <v>2025</v>
      </c>
      <c r="UO5" t="s">
        <v>2950</v>
      </c>
      <c r="UP5" s="6">
        <v>45894</v>
      </c>
      <c r="UQ5">
        <v>1</v>
      </c>
      <c r="UR5">
        <v>-2.4245362661989844E-14</v>
      </c>
      <c r="US5">
        <v>25193478</v>
      </c>
      <c r="UT5" t="s">
        <v>2951</v>
      </c>
      <c r="UY5" t="str">
        <f>_xll.BDS("ONB US Equity","SUPPLY_CHAIN_SUPPLIERS_ALL_DATA","cols=12;rows=3")</f>
        <v>FCPT US Equity</v>
      </c>
      <c r="VA5">
        <v>-2.4245362661989844E-14</v>
      </c>
      <c r="VB5">
        <v>-2.4245362661989844E-14</v>
      </c>
      <c r="VC5" t="s">
        <v>1594</v>
      </c>
      <c r="VD5">
        <v>2023</v>
      </c>
      <c r="VE5" t="s">
        <v>2172</v>
      </c>
      <c r="VF5" s="6">
        <v>45337</v>
      </c>
      <c r="VG5">
        <v>3</v>
      </c>
      <c r="VH5">
        <v>-2.4245362661989844E-14</v>
      </c>
      <c r="VI5">
        <v>46177523</v>
      </c>
      <c r="VJ5" t="s">
        <v>2173</v>
      </c>
      <c r="VM5" t="str">
        <f>_xll.BDS("ONB US Equity","SUPPLY_CHAIN_CUSTOMERS_ALL_DATA")</f>
        <v>#N/A N/A</v>
      </c>
    </row>
    <row r="6" spans="1:600" x14ac:dyDescent="0.25">
      <c r="AE6" t="s">
        <v>2361</v>
      </c>
      <c r="AF6" t="s">
        <v>1598</v>
      </c>
      <c r="AG6">
        <v>12.627013</v>
      </c>
      <c r="AH6">
        <v>0.18209500000000001</v>
      </c>
      <c r="AI6" t="s">
        <v>1599</v>
      </c>
      <c r="AJ6">
        <v>2025</v>
      </c>
      <c r="AK6" t="s">
        <v>3406</v>
      </c>
      <c r="AL6" s="6">
        <v>46050</v>
      </c>
      <c r="AM6">
        <v>5</v>
      </c>
      <c r="AN6">
        <v>172482464</v>
      </c>
      <c r="AO6">
        <v>126255</v>
      </c>
      <c r="AP6" t="s">
        <v>2363</v>
      </c>
      <c r="AS6" t="s">
        <v>1621</v>
      </c>
      <c r="AT6">
        <v>-2.4245362661989844E-14</v>
      </c>
      <c r="AV6">
        <v>-2.4245362661989844E-14</v>
      </c>
      <c r="AW6" t="s">
        <v>1594</v>
      </c>
      <c r="AX6">
        <v>2024</v>
      </c>
      <c r="AY6" t="s">
        <v>2840</v>
      </c>
      <c r="AZ6" s="6">
        <v>45715</v>
      </c>
      <c r="BA6">
        <v>5</v>
      </c>
      <c r="BB6">
        <v>-2.4245362661989844E-14</v>
      </c>
      <c r="BC6">
        <v>218252</v>
      </c>
      <c r="BD6" t="s">
        <v>1622</v>
      </c>
      <c r="BI6" t="s">
        <v>3005</v>
      </c>
      <c r="BK6">
        <v>-2.4245362661989844E-14</v>
      </c>
      <c r="BL6">
        <v>-2.4245362661989844E-14</v>
      </c>
      <c r="BM6" t="s">
        <v>1603</v>
      </c>
      <c r="BN6">
        <v>2026</v>
      </c>
      <c r="BO6" t="s">
        <v>3006</v>
      </c>
      <c r="BP6" s="6">
        <v>45862</v>
      </c>
      <c r="BQ6">
        <v>5</v>
      </c>
      <c r="BR6">
        <v>-2.4245362661989844E-14</v>
      </c>
      <c r="BS6">
        <v>68511165</v>
      </c>
      <c r="BT6" t="s">
        <v>3007</v>
      </c>
      <c r="BW6" t="s">
        <v>2481</v>
      </c>
      <c r="BX6">
        <v>-2.4245362661989844E-14</v>
      </c>
      <c r="BZ6">
        <v>-2.4245362661989844E-14</v>
      </c>
      <c r="CA6" t="s">
        <v>1594</v>
      </c>
      <c r="CB6">
        <v>2024</v>
      </c>
      <c r="CC6" t="s">
        <v>2482</v>
      </c>
      <c r="CD6" s="6">
        <v>45544</v>
      </c>
      <c r="CE6">
        <v>5</v>
      </c>
      <c r="CF6">
        <v>-2.4245362661989844E-14</v>
      </c>
      <c r="CG6">
        <v>101650</v>
      </c>
      <c r="CH6" t="s">
        <v>2483</v>
      </c>
      <c r="CM6" t="s">
        <v>2182</v>
      </c>
      <c r="CN6" t="s">
        <v>1598</v>
      </c>
      <c r="CO6">
        <v>2.205819</v>
      </c>
      <c r="CP6">
        <v>0.66992200000000002</v>
      </c>
      <c r="CQ6" t="s">
        <v>1664</v>
      </c>
      <c r="CR6">
        <v>2026</v>
      </c>
      <c r="CS6" t="s">
        <v>2183</v>
      </c>
      <c r="CT6" s="6">
        <v>46017</v>
      </c>
      <c r="CU6">
        <v>5</v>
      </c>
      <c r="CV6">
        <v>56247939.43</v>
      </c>
      <c r="CW6">
        <v>113796</v>
      </c>
      <c r="CX6" t="s">
        <v>2184</v>
      </c>
      <c r="DA6" t="s">
        <v>1628</v>
      </c>
      <c r="DB6">
        <v>1.0381830000000001</v>
      </c>
      <c r="DC6" t="s">
        <v>1598</v>
      </c>
      <c r="DD6">
        <v>0.65061599999999997</v>
      </c>
      <c r="DE6" t="s">
        <v>1599</v>
      </c>
      <c r="DF6">
        <v>2025</v>
      </c>
      <c r="DG6" t="s">
        <v>1629</v>
      </c>
      <c r="DH6" s="6">
        <v>45964</v>
      </c>
      <c r="DI6">
        <v>5</v>
      </c>
      <c r="DJ6">
        <v>106499408</v>
      </c>
      <c r="DK6">
        <v>156923</v>
      </c>
      <c r="DL6" t="s">
        <v>1630</v>
      </c>
      <c r="EU6" t="s">
        <v>5335</v>
      </c>
      <c r="EV6" t="s">
        <v>1598</v>
      </c>
      <c r="EW6">
        <v>3.2912219999999999</v>
      </c>
      <c r="EX6">
        <v>0.54136600000000001</v>
      </c>
      <c r="EY6" t="s">
        <v>1599</v>
      </c>
      <c r="EZ6">
        <v>2025</v>
      </c>
      <c r="FA6" t="s">
        <v>5334</v>
      </c>
      <c r="FB6" s="6">
        <v>46009</v>
      </c>
      <c r="FC6">
        <v>5</v>
      </c>
      <c r="FD6">
        <v>26147978</v>
      </c>
      <c r="FE6">
        <v>223412</v>
      </c>
      <c r="FF6" t="s">
        <v>5336</v>
      </c>
      <c r="FI6" t="s">
        <v>2081</v>
      </c>
      <c r="FJ6">
        <v>-2.4245362661989844E-14</v>
      </c>
      <c r="FL6">
        <v>-2.4245362661989844E-14</v>
      </c>
      <c r="FM6" t="s">
        <v>1792</v>
      </c>
      <c r="FN6">
        <v>2022</v>
      </c>
      <c r="FO6" t="s">
        <v>5072</v>
      </c>
      <c r="FP6" s="6">
        <v>44802</v>
      </c>
      <c r="FQ6">
        <v>5</v>
      </c>
      <c r="FR6">
        <v>-2.4245362661989844E-14</v>
      </c>
      <c r="FS6">
        <v>116630</v>
      </c>
      <c r="FT6" t="s">
        <v>2083</v>
      </c>
      <c r="KO6" t="s">
        <v>2990</v>
      </c>
      <c r="KP6" t="s">
        <v>1685</v>
      </c>
      <c r="KQ6">
        <v>1.7382000000000002E-2</v>
      </c>
      <c r="KR6">
        <v>0.19725599999999999</v>
      </c>
      <c r="KS6" t="s">
        <v>1664</v>
      </c>
      <c r="KT6">
        <v>2025</v>
      </c>
      <c r="KU6" t="s">
        <v>2991</v>
      </c>
      <c r="KV6" s="6">
        <v>45922</v>
      </c>
      <c r="KW6">
        <v>5</v>
      </c>
      <c r="KX6">
        <v>311539.64</v>
      </c>
      <c r="KY6">
        <v>153999</v>
      </c>
      <c r="KZ6" t="s">
        <v>2992</v>
      </c>
      <c r="OA6" t="s">
        <v>2254</v>
      </c>
      <c r="OC6">
        <v>-2.4245362661989844E-14</v>
      </c>
      <c r="OD6">
        <v>-2.4245362661989844E-14</v>
      </c>
      <c r="OE6" t="s">
        <v>1594</v>
      </c>
      <c r="OF6">
        <v>2022</v>
      </c>
      <c r="OG6" t="s">
        <v>2255</v>
      </c>
      <c r="OH6" s="6">
        <v>44728</v>
      </c>
      <c r="OI6">
        <v>5</v>
      </c>
      <c r="OJ6">
        <v>-2.4245362661989844E-14</v>
      </c>
      <c r="OK6">
        <v>28958686</v>
      </c>
      <c r="OL6" t="s">
        <v>2256</v>
      </c>
      <c r="OO6" t="s">
        <v>1913</v>
      </c>
      <c r="OP6">
        <v>-2.4245362661989844E-14</v>
      </c>
      <c r="OR6">
        <v>-2.4245362661989844E-14</v>
      </c>
      <c r="OS6" t="s">
        <v>1599</v>
      </c>
      <c r="OT6">
        <v>2022</v>
      </c>
      <c r="OU6" t="s">
        <v>1911</v>
      </c>
      <c r="OV6" s="6">
        <v>44882</v>
      </c>
      <c r="OW6">
        <v>5</v>
      </c>
      <c r="OX6">
        <v>-2.4245362661989844E-14</v>
      </c>
      <c r="OY6">
        <v>60773971</v>
      </c>
      <c r="OZ6" t="s">
        <v>1914</v>
      </c>
      <c r="QI6" t="s">
        <v>240</v>
      </c>
      <c r="QJ6" t="s">
        <v>1598</v>
      </c>
      <c r="QK6">
        <v>15.549336</v>
      </c>
      <c r="QL6">
        <v>4.6186980000000002</v>
      </c>
      <c r="QM6" t="s">
        <v>1599</v>
      </c>
      <c r="QN6">
        <v>2025</v>
      </c>
      <c r="QO6" t="s">
        <v>2219</v>
      </c>
      <c r="QP6" s="6">
        <v>46018</v>
      </c>
      <c r="QQ6">
        <v>5</v>
      </c>
      <c r="QR6">
        <v>3730752256</v>
      </c>
      <c r="QS6">
        <v>100828</v>
      </c>
      <c r="QT6" t="s">
        <v>1865</v>
      </c>
      <c r="QW6" t="s">
        <v>31</v>
      </c>
      <c r="QX6">
        <v>13</v>
      </c>
      <c r="QY6" t="s">
        <v>1598</v>
      </c>
      <c r="QZ6">
        <v>17.228079000000001</v>
      </c>
      <c r="RA6" t="s">
        <v>1594</v>
      </c>
      <c r="RB6">
        <v>2025</v>
      </c>
      <c r="RC6" t="s">
        <v>1831</v>
      </c>
      <c r="RD6" s="6">
        <v>45986</v>
      </c>
      <c r="RE6">
        <v>5</v>
      </c>
      <c r="RF6">
        <v>10443316224</v>
      </c>
      <c r="RG6">
        <v>60401289</v>
      </c>
      <c r="RH6" t="s">
        <v>1769</v>
      </c>
      <c r="SQ6" t="s">
        <v>275</v>
      </c>
      <c r="SR6" t="s">
        <v>1598</v>
      </c>
      <c r="SS6">
        <v>12.003353000000001</v>
      </c>
      <c r="ST6">
        <v>14.056165999999999</v>
      </c>
      <c r="SU6" t="s">
        <v>1606</v>
      </c>
      <c r="SV6">
        <v>2025</v>
      </c>
      <c r="SW6" t="s">
        <v>2228</v>
      </c>
      <c r="SX6" s="6">
        <v>46048</v>
      </c>
      <c r="SY6">
        <v>5</v>
      </c>
      <c r="SZ6">
        <v>1641338496</v>
      </c>
      <c r="TA6">
        <v>101729</v>
      </c>
      <c r="TB6" t="s">
        <v>2229</v>
      </c>
      <c r="TE6" t="s">
        <v>1774</v>
      </c>
      <c r="TF6">
        <v>1.5894710000000001</v>
      </c>
      <c r="TG6" t="s">
        <v>1598</v>
      </c>
      <c r="TH6">
        <v>2.6168589999999998</v>
      </c>
      <c r="TI6" t="s">
        <v>1664</v>
      </c>
      <c r="TJ6">
        <v>2026</v>
      </c>
      <c r="TK6" t="s">
        <v>1782</v>
      </c>
      <c r="TL6" s="6">
        <v>45932</v>
      </c>
      <c r="TM6">
        <v>5</v>
      </c>
      <c r="TN6">
        <v>221445152</v>
      </c>
      <c r="TO6">
        <v>100197</v>
      </c>
      <c r="TP6" t="s">
        <v>1775</v>
      </c>
      <c r="TU6" t="s">
        <v>3261</v>
      </c>
      <c r="TW6">
        <v>-2.4245362661989844E-14</v>
      </c>
      <c r="TX6">
        <v>-2.4245362661989844E-14</v>
      </c>
      <c r="TY6" t="s">
        <v>1594</v>
      </c>
      <c r="TZ6">
        <v>2024</v>
      </c>
      <c r="UA6" t="s">
        <v>3262</v>
      </c>
      <c r="UB6" s="6">
        <v>45698</v>
      </c>
      <c r="UC6">
        <v>5</v>
      </c>
      <c r="UD6">
        <v>-2.4245362661989844E-14</v>
      </c>
      <c r="UE6">
        <v>24112045</v>
      </c>
      <c r="UF6" t="s">
        <v>3263</v>
      </c>
      <c r="UY6" t="s">
        <v>2525</v>
      </c>
      <c r="VA6">
        <v>-2.4245362661989844E-14</v>
      </c>
      <c r="VB6">
        <v>-2.4245362661989844E-14</v>
      </c>
      <c r="VC6" t="s">
        <v>1603</v>
      </c>
      <c r="VD6">
        <v>2023</v>
      </c>
      <c r="VE6" t="s">
        <v>2526</v>
      </c>
      <c r="VF6" s="6">
        <v>45020</v>
      </c>
      <c r="VG6">
        <v>3</v>
      </c>
      <c r="VH6">
        <v>-2.4245362661989844E-14</v>
      </c>
      <c r="VI6">
        <v>106252</v>
      </c>
      <c r="VJ6" t="s">
        <v>2527</v>
      </c>
    </row>
    <row r="7" spans="1:600" x14ac:dyDescent="0.25">
      <c r="AE7" t="s">
        <v>3407</v>
      </c>
      <c r="AF7" t="s">
        <v>1598</v>
      </c>
      <c r="AG7">
        <v>1.035563</v>
      </c>
      <c r="AH7">
        <v>0.169491</v>
      </c>
      <c r="AI7" t="s">
        <v>1599</v>
      </c>
      <c r="AJ7">
        <v>2025</v>
      </c>
      <c r="AK7" t="s">
        <v>3408</v>
      </c>
      <c r="AL7" s="6">
        <v>46080</v>
      </c>
      <c r="AM7">
        <v>5</v>
      </c>
      <c r="AN7">
        <v>160543328</v>
      </c>
      <c r="AO7">
        <v>111093</v>
      </c>
      <c r="AP7" t="s">
        <v>3409</v>
      </c>
      <c r="AS7" t="s">
        <v>117</v>
      </c>
      <c r="AT7">
        <v>-2.4245362661989844E-14</v>
      </c>
      <c r="AV7">
        <v>-2.4245362661989844E-14</v>
      </c>
      <c r="AW7" t="s">
        <v>1594</v>
      </c>
      <c r="AX7">
        <v>2023</v>
      </c>
      <c r="AY7" t="s">
        <v>2841</v>
      </c>
      <c r="AZ7" s="6">
        <v>45398</v>
      </c>
      <c r="BA7">
        <v>5</v>
      </c>
      <c r="BB7">
        <v>-2.4245362661989844E-14</v>
      </c>
      <c r="BC7">
        <v>100801</v>
      </c>
      <c r="BD7" t="s">
        <v>1745</v>
      </c>
      <c r="BI7" t="s">
        <v>3008</v>
      </c>
      <c r="BK7">
        <v>-2.4245362661989844E-14</v>
      </c>
      <c r="BL7">
        <v>-2.4245362661989844E-14</v>
      </c>
      <c r="BM7" t="s">
        <v>1594</v>
      </c>
      <c r="BN7">
        <v>2023</v>
      </c>
      <c r="BO7" t="s">
        <v>2482</v>
      </c>
      <c r="BP7" s="6">
        <v>45035</v>
      </c>
      <c r="BQ7">
        <v>5</v>
      </c>
      <c r="BR7">
        <v>-2.4245362661989844E-14</v>
      </c>
      <c r="BS7">
        <v>67873882</v>
      </c>
      <c r="BT7" t="s">
        <v>3009</v>
      </c>
      <c r="BW7" t="s">
        <v>2484</v>
      </c>
      <c r="BX7">
        <v>-2.4245362661989844E-14</v>
      </c>
      <c r="BZ7">
        <v>-2.4245362661989844E-14</v>
      </c>
      <c r="CA7" t="s">
        <v>1594</v>
      </c>
      <c r="CB7">
        <v>2025</v>
      </c>
      <c r="CC7" t="s">
        <v>2482</v>
      </c>
      <c r="CD7" s="6">
        <v>45756</v>
      </c>
      <c r="CE7">
        <v>5</v>
      </c>
      <c r="CF7">
        <v>-2.4245362661989844E-14</v>
      </c>
      <c r="CG7">
        <v>107412</v>
      </c>
      <c r="CH7" t="s">
        <v>2485</v>
      </c>
      <c r="CM7" t="s">
        <v>2185</v>
      </c>
      <c r="CN7" t="s">
        <v>1598</v>
      </c>
      <c r="CO7">
        <v>6.9616020000000001</v>
      </c>
      <c r="CP7">
        <v>0.64157799999999998</v>
      </c>
      <c r="CQ7" t="s">
        <v>1599</v>
      </c>
      <c r="CR7">
        <v>2025</v>
      </c>
      <c r="CS7" t="s">
        <v>2186</v>
      </c>
      <c r="CT7" s="6">
        <v>46001</v>
      </c>
      <c r="CU7">
        <v>5</v>
      </c>
      <c r="CV7">
        <v>52402484</v>
      </c>
      <c r="CW7">
        <v>1182195</v>
      </c>
      <c r="CX7" t="s">
        <v>2187</v>
      </c>
      <c r="DA7" t="s">
        <v>303</v>
      </c>
      <c r="DB7">
        <v>0.57939300000000005</v>
      </c>
      <c r="DC7" t="s">
        <v>1598</v>
      </c>
      <c r="DD7">
        <v>6.7030000000000006E-2</v>
      </c>
      <c r="DE7" t="s">
        <v>1599</v>
      </c>
      <c r="DF7">
        <v>2025</v>
      </c>
      <c r="DG7" t="s">
        <v>1629</v>
      </c>
      <c r="DH7" s="6">
        <v>45964</v>
      </c>
      <c r="DI7">
        <v>5</v>
      </c>
      <c r="DJ7">
        <v>59435584</v>
      </c>
      <c r="DK7">
        <v>216952</v>
      </c>
      <c r="DL7" t="s">
        <v>1631</v>
      </c>
      <c r="EU7" t="s">
        <v>5337</v>
      </c>
      <c r="EV7" t="s">
        <v>1598</v>
      </c>
      <c r="EW7">
        <v>0.54734099999999997</v>
      </c>
      <c r="EX7">
        <v>0.52038600000000002</v>
      </c>
      <c r="EY7" t="s">
        <v>1599</v>
      </c>
      <c r="EZ7">
        <v>2025</v>
      </c>
      <c r="FA7" t="s">
        <v>5334</v>
      </c>
      <c r="FB7" s="6">
        <v>46009</v>
      </c>
      <c r="FC7">
        <v>5</v>
      </c>
      <c r="FD7">
        <v>25134644</v>
      </c>
      <c r="FE7">
        <v>117567</v>
      </c>
      <c r="FF7" t="s">
        <v>5338</v>
      </c>
      <c r="FI7" t="s">
        <v>5073</v>
      </c>
      <c r="FJ7">
        <v>-2.4245362661989844E-14</v>
      </c>
      <c r="FL7">
        <v>-2.4245362661989844E-14</v>
      </c>
      <c r="FM7" t="s">
        <v>1594</v>
      </c>
      <c r="FN7">
        <v>2024</v>
      </c>
      <c r="FO7" t="s">
        <v>5074</v>
      </c>
      <c r="FP7" s="6">
        <v>45777</v>
      </c>
      <c r="FQ7">
        <v>5</v>
      </c>
      <c r="FR7">
        <v>-2.4245362661989844E-14</v>
      </c>
      <c r="FS7">
        <v>154157</v>
      </c>
      <c r="FT7" t="s">
        <v>5075</v>
      </c>
      <c r="KO7" t="s">
        <v>2993</v>
      </c>
      <c r="KQ7">
        <v>-2.4245362661989844E-14</v>
      </c>
      <c r="KR7">
        <v>-2.4245362661989844E-14</v>
      </c>
      <c r="KS7" t="s">
        <v>1651</v>
      </c>
      <c r="KT7">
        <v>2024</v>
      </c>
      <c r="KU7" t="s">
        <v>2994</v>
      </c>
      <c r="KV7" s="6">
        <v>45610</v>
      </c>
      <c r="KW7">
        <v>5</v>
      </c>
      <c r="KX7">
        <v>-2.4245362661989844E-14</v>
      </c>
      <c r="KY7">
        <v>815810</v>
      </c>
      <c r="KZ7" t="s">
        <v>2995</v>
      </c>
      <c r="OA7" t="s">
        <v>2257</v>
      </c>
      <c r="OC7">
        <v>-2.4245362661989844E-14</v>
      </c>
      <c r="OD7">
        <v>-2.4245362661989844E-14</v>
      </c>
      <c r="OE7" t="s">
        <v>1594</v>
      </c>
      <c r="OF7">
        <v>2023</v>
      </c>
      <c r="OG7" t="s">
        <v>2258</v>
      </c>
      <c r="OH7" s="6">
        <v>45027</v>
      </c>
      <c r="OI7">
        <v>5</v>
      </c>
      <c r="OJ7">
        <v>-2.4245362661989844E-14</v>
      </c>
      <c r="OK7">
        <v>23846136</v>
      </c>
      <c r="OL7" t="s">
        <v>2259</v>
      </c>
      <c r="OO7" t="s">
        <v>1915</v>
      </c>
      <c r="OP7">
        <v>-2.4245362661989844E-14</v>
      </c>
      <c r="OR7">
        <v>-2.4245362661989844E-14</v>
      </c>
      <c r="OS7" t="s">
        <v>1599</v>
      </c>
      <c r="OT7">
        <v>2022</v>
      </c>
      <c r="OU7" t="s">
        <v>1911</v>
      </c>
      <c r="OV7" s="6">
        <v>44882</v>
      </c>
      <c r="OW7">
        <v>5</v>
      </c>
      <c r="OX7">
        <v>-2.4245362661989844E-14</v>
      </c>
      <c r="OY7">
        <v>34729407</v>
      </c>
      <c r="OZ7" t="s">
        <v>1916</v>
      </c>
      <c r="QI7" t="s">
        <v>25</v>
      </c>
      <c r="QJ7" t="s">
        <v>1598</v>
      </c>
      <c r="QK7">
        <v>22.158524</v>
      </c>
      <c r="QL7">
        <v>4.4440090000000003</v>
      </c>
      <c r="QM7" t="s">
        <v>1606</v>
      </c>
      <c r="QN7">
        <v>2025</v>
      </c>
      <c r="QO7" t="s">
        <v>2220</v>
      </c>
      <c r="QP7" s="6">
        <v>46077</v>
      </c>
      <c r="QQ7">
        <v>5</v>
      </c>
      <c r="QR7">
        <v>3682303488</v>
      </c>
      <c r="QS7">
        <v>28046509</v>
      </c>
      <c r="QT7" t="s">
        <v>2221</v>
      </c>
      <c r="QW7" t="s">
        <v>1832</v>
      </c>
      <c r="QX7">
        <v>5</v>
      </c>
      <c r="QZ7">
        <v>-2.4245362661989844E-14</v>
      </c>
      <c r="RA7" t="s">
        <v>1599</v>
      </c>
      <c r="RB7">
        <v>2025</v>
      </c>
      <c r="RC7" t="s">
        <v>1833</v>
      </c>
      <c r="RD7" s="6">
        <v>45954</v>
      </c>
      <c r="RE7">
        <v>5</v>
      </c>
      <c r="RF7">
        <v>4033176576</v>
      </c>
      <c r="RG7">
        <v>42053322</v>
      </c>
      <c r="RH7" t="s">
        <v>1834</v>
      </c>
      <c r="SQ7" t="s">
        <v>2230</v>
      </c>
      <c r="SR7" t="s">
        <v>1598</v>
      </c>
      <c r="SS7">
        <v>6.8536460000000003</v>
      </c>
      <c r="ST7">
        <v>9.6768190000000001</v>
      </c>
      <c r="SU7" t="s">
        <v>1603</v>
      </c>
      <c r="SV7">
        <v>2025</v>
      </c>
      <c r="SW7" t="s">
        <v>2231</v>
      </c>
      <c r="SX7" s="6">
        <v>45812</v>
      </c>
      <c r="SY7">
        <v>5</v>
      </c>
      <c r="SZ7">
        <v>1011895282.72</v>
      </c>
      <c r="TA7">
        <v>330541</v>
      </c>
      <c r="TB7" t="s">
        <v>2232</v>
      </c>
      <c r="TE7" t="s">
        <v>1783</v>
      </c>
      <c r="TF7">
        <v>1.3641749999999999</v>
      </c>
      <c r="TG7" t="s">
        <v>1598</v>
      </c>
      <c r="TH7">
        <v>0.69426200000000005</v>
      </c>
      <c r="TI7" t="s">
        <v>1603</v>
      </c>
      <c r="TJ7">
        <v>2025</v>
      </c>
      <c r="TK7" t="s">
        <v>1784</v>
      </c>
      <c r="TL7" s="6">
        <v>45797</v>
      </c>
      <c r="TM7">
        <v>5</v>
      </c>
      <c r="TN7">
        <v>183924678.06999999</v>
      </c>
      <c r="TO7">
        <v>223340</v>
      </c>
      <c r="TP7" t="s">
        <v>1785</v>
      </c>
      <c r="TU7" t="s">
        <v>367</v>
      </c>
      <c r="TW7">
        <v>-2.4245362661989844E-14</v>
      </c>
      <c r="TX7">
        <v>-2.4245362661989844E-14</v>
      </c>
      <c r="TY7" t="s">
        <v>1594</v>
      </c>
      <c r="TZ7">
        <v>2021</v>
      </c>
      <c r="UA7" t="s">
        <v>3048</v>
      </c>
      <c r="UB7" s="6">
        <v>44693</v>
      </c>
      <c r="UC7">
        <v>5</v>
      </c>
      <c r="UD7">
        <v>-2.4245362661989844E-14</v>
      </c>
      <c r="UE7">
        <v>302916</v>
      </c>
      <c r="UF7" t="s">
        <v>3049</v>
      </c>
      <c r="UY7" t="s">
        <v>2528</v>
      </c>
      <c r="VA7">
        <v>-2.4245362661989844E-14</v>
      </c>
      <c r="VB7">
        <v>-2.4245362661989844E-14</v>
      </c>
      <c r="VC7" t="s">
        <v>1664</v>
      </c>
      <c r="VD7">
        <v>2023</v>
      </c>
      <c r="VE7" t="s">
        <v>2529</v>
      </c>
      <c r="VF7" s="6">
        <v>45174</v>
      </c>
      <c r="VG7">
        <v>3</v>
      </c>
      <c r="VH7">
        <v>-2.4245362661989844E-14</v>
      </c>
      <c r="VI7">
        <v>202476</v>
      </c>
      <c r="VJ7" t="s">
        <v>2530</v>
      </c>
    </row>
    <row r="8" spans="1:600" x14ac:dyDescent="0.25">
      <c r="AE8" t="s">
        <v>2223</v>
      </c>
      <c r="AF8" t="s">
        <v>1598</v>
      </c>
      <c r="AG8">
        <v>1.2087429999999999</v>
      </c>
      <c r="AH8">
        <v>0.14913000000000001</v>
      </c>
      <c r="AI8" t="s">
        <v>1599</v>
      </c>
      <c r="AJ8">
        <v>2025</v>
      </c>
      <c r="AK8" t="s">
        <v>2224</v>
      </c>
      <c r="AL8" s="6">
        <v>46049</v>
      </c>
      <c r="AM8">
        <v>5</v>
      </c>
      <c r="AN8">
        <v>141902324.31</v>
      </c>
      <c r="AO8">
        <v>101095</v>
      </c>
      <c r="AP8" t="s">
        <v>2225</v>
      </c>
      <c r="AS8" t="s">
        <v>1663</v>
      </c>
      <c r="AT8">
        <v>-2.4245362661989844E-14</v>
      </c>
      <c r="AV8">
        <v>-2.4245362661989844E-14</v>
      </c>
      <c r="AW8" t="s">
        <v>1594</v>
      </c>
      <c r="AX8">
        <v>2024</v>
      </c>
      <c r="AY8" t="s">
        <v>2842</v>
      </c>
      <c r="AZ8" s="6">
        <v>45367</v>
      </c>
      <c r="BA8">
        <v>5</v>
      </c>
      <c r="BB8">
        <v>-2.4245362661989844E-14</v>
      </c>
      <c r="BC8">
        <v>101616</v>
      </c>
      <c r="BD8" t="s">
        <v>1666</v>
      </c>
      <c r="BI8" t="s">
        <v>460</v>
      </c>
      <c r="BK8">
        <v>-2.4245362661989844E-14</v>
      </c>
      <c r="BL8">
        <v>-2.4245362661989844E-14</v>
      </c>
      <c r="BM8" t="s">
        <v>1594</v>
      </c>
      <c r="BN8">
        <v>2021</v>
      </c>
      <c r="BO8" t="s">
        <v>3010</v>
      </c>
      <c r="BP8" s="6">
        <v>44693</v>
      </c>
      <c r="BQ8">
        <v>5</v>
      </c>
      <c r="BR8">
        <v>-2.4245362661989844E-14</v>
      </c>
      <c r="BS8">
        <v>54282724</v>
      </c>
      <c r="BT8" t="s">
        <v>3011</v>
      </c>
      <c r="BW8" t="s">
        <v>2486</v>
      </c>
      <c r="BX8">
        <v>-2.4245362661989844E-14</v>
      </c>
      <c r="BZ8">
        <v>-2.4245362661989844E-14</v>
      </c>
      <c r="CA8" t="s">
        <v>1594</v>
      </c>
      <c r="CB8">
        <v>2023</v>
      </c>
      <c r="CC8" t="s">
        <v>2487</v>
      </c>
      <c r="CD8" s="6">
        <v>45027</v>
      </c>
      <c r="CE8">
        <v>5</v>
      </c>
      <c r="CF8">
        <v>-2.4245362661989844E-14</v>
      </c>
      <c r="CG8">
        <v>1096220</v>
      </c>
      <c r="CH8" t="s">
        <v>2488</v>
      </c>
      <c r="CM8" t="s">
        <v>2188</v>
      </c>
      <c r="CN8" t="s">
        <v>1598</v>
      </c>
      <c r="CO8">
        <v>2.2395689999999999</v>
      </c>
      <c r="CP8">
        <v>0.51293900000000003</v>
      </c>
      <c r="CQ8" t="s">
        <v>1664</v>
      </c>
      <c r="CR8">
        <v>2025</v>
      </c>
      <c r="CS8" t="s">
        <v>2189</v>
      </c>
      <c r="CT8" s="6">
        <v>45859</v>
      </c>
      <c r="CU8">
        <v>5</v>
      </c>
      <c r="CV8">
        <v>45819367.549999997</v>
      </c>
      <c r="CW8">
        <v>328221</v>
      </c>
      <c r="CX8" t="s">
        <v>2190</v>
      </c>
      <c r="DA8" t="s">
        <v>872</v>
      </c>
      <c r="DB8">
        <v>0.42797499999999999</v>
      </c>
      <c r="DC8" t="s">
        <v>1598</v>
      </c>
      <c r="DD8">
        <v>0.17119400000000001</v>
      </c>
      <c r="DE8" t="s">
        <v>1599</v>
      </c>
      <c r="DF8">
        <v>2025</v>
      </c>
      <c r="DG8" t="s">
        <v>1629</v>
      </c>
      <c r="DH8" s="6">
        <v>45964</v>
      </c>
      <c r="DI8">
        <v>5</v>
      </c>
      <c r="DJ8">
        <v>43902744</v>
      </c>
      <c r="DK8">
        <v>100211</v>
      </c>
      <c r="DL8" t="s">
        <v>1632</v>
      </c>
      <c r="EU8" t="s">
        <v>5339</v>
      </c>
      <c r="EV8" t="s">
        <v>1598</v>
      </c>
      <c r="EW8">
        <v>4.5196880000000004</v>
      </c>
      <c r="EX8">
        <v>0.25710499999999997</v>
      </c>
      <c r="EY8" t="s">
        <v>1599</v>
      </c>
      <c r="EZ8">
        <v>2025</v>
      </c>
      <c r="FA8" t="s">
        <v>5334</v>
      </c>
      <c r="FB8" s="6">
        <v>46009</v>
      </c>
      <c r="FC8">
        <v>5</v>
      </c>
      <c r="FD8">
        <v>12418171</v>
      </c>
      <c r="FE8">
        <v>28305618</v>
      </c>
      <c r="FF8" t="s">
        <v>5340</v>
      </c>
      <c r="FI8" t="s">
        <v>5076</v>
      </c>
      <c r="FJ8">
        <v>-2.4245362661989844E-14</v>
      </c>
      <c r="FL8">
        <v>-2.4245362661989844E-14</v>
      </c>
      <c r="FM8" t="s">
        <v>1594</v>
      </c>
      <c r="FN8">
        <v>2024</v>
      </c>
      <c r="FO8" t="s">
        <v>5077</v>
      </c>
      <c r="FP8" s="6">
        <v>45709</v>
      </c>
      <c r="FQ8">
        <v>5</v>
      </c>
      <c r="FR8">
        <v>-2.4245362661989844E-14</v>
      </c>
      <c r="FS8">
        <v>7022586</v>
      </c>
      <c r="FT8" t="s">
        <v>5078</v>
      </c>
      <c r="KO8" t="s">
        <v>2996</v>
      </c>
      <c r="KQ8">
        <v>-2.4245362661989844E-14</v>
      </c>
      <c r="KR8">
        <v>-2.4245362661989844E-14</v>
      </c>
      <c r="KS8" t="s">
        <v>1792</v>
      </c>
      <c r="KT8">
        <v>2024</v>
      </c>
      <c r="KU8" t="s">
        <v>2997</v>
      </c>
      <c r="KV8" s="6">
        <v>45525</v>
      </c>
      <c r="KW8">
        <v>5</v>
      </c>
      <c r="KX8">
        <v>-2.4245362661989844E-14</v>
      </c>
      <c r="KY8">
        <v>40367348</v>
      </c>
      <c r="KZ8" t="s">
        <v>2998</v>
      </c>
      <c r="OA8" t="s">
        <v>2260</v>
      </c>
      <c r="OC8">
        <v>-2.4245362661989844E-14</v>
      </c>
      <c r="OD8">
        <v>-2.4245362661989844E-14</v>
      </c>
      <c r="OE8" t="s">
        <v>1594</v>
      </c>
      <c r="OF8">
        <v>2023</v>
      </c>
      <c r="OG8" t="s">
        <v>1918</v>
      </c>
      <c r="OH8" s="6">
        <v>45323</v>
      </c>
      <c r="OI8">
        <v>5</v>
      </c>
      <c r="OJ8">
        <v>-2.4245362661989844E-14</v>
      </c>
      <c r="OK8">
        <v>29343402</v>
      </c>
      <c r="OL8" t="s">
        <v>2261</v>
      </c>
      <c r="OO8" t="s">
        <v>1917</v>
      </c>
      <c r="OP8">
        <v>-2.4245362661989844E-14</v>
      </c>
      <c r="OR8">
        <v>-2.4245362661989844E-14</v>
      </c>
      <c r="OS8" t="s">
        <v>1594</v>
      </c>
      <c r="OT8">
        <v>2023</v>
      </c>
      <c r="OU8" t="s">
        <v>1918</v>
      </c>
      <c r="OV8" s="6">
        <v>45323</v>
      </c>
      <c r="OW8">
        <v>5</v>
      </c>
      <c r="OX8">
        <v>-2.4245362661989844E-14</v>
      </c>
      <c r="OY8">
        <v>101695</v>
      </c>
      <c r="OZ8" t="s">
        <v>1919</v>
      </c>
      <c r="QI8" t="s">
        <v>23</v>
      </c>
      <c r="QJ8" t="s">
        <v>1598</v>
      </c>
      <c r="QK8">
        <v>29</v>
      </c>
      <c r="QL8">
        <v>4.4540850000000001</v>
      </c>
      <c r="QM8" t="s">
        <v>1594</v>
      </c>
      <c r="QN8">
        <v>2025</v>
      </c>
      <c r="QO8" t="s">
        <v>1765</v>
      </c>
      <c r="QP8" s="6">
        <v>46064</v>
      </c>
      <c r="QQ8">
        <v>5</v>
      </c>
      <c r="QR8">
        <v>3494064896</v>
      </c>
      <c r="QS8">
        <v>100225</v>
      </c>
      <c r="QT8" t="s">
        <v>2222</v>
      </c>
      <c r="QW8" t="s">
        <v>1615</v>
      </c>
      <c r="QX8">
        <v>1.1000000000000001</v>
      </c>
      <c r="QZ8">
        <v>-2.4245362661989844E-14</v>
      </c>
      <c r="RA8" t="s">
        <v>1599</v>
      </c>
      <c r="RB8">
        <v>2025</v>
      </c>
      <c r="RC8" t="s">
        <v>1833</v>
      </c>
      <c r="RD8" s="6">
        <v>45954</v>
      </c>
      <c r="RE8">
        <v>5</v>
      </c>
      <c r="RF8">
        <v>887298880</v>
      </c>
      <c r="RG8">
        <v>962205</v>
      </c>
      <c r="RH8" t="s">
        <v>1617</v>
      </c>
      <c r="SQ8" t="s">
        <v>2233</v>
      </c>
      <c r="SR8" t="s">
        <v>1598</v>
      </c>
      <c r="SS8">
        <v>4.2738360000000002</v>
      </c>
      <c r="ST8">
        <v>6.6693020000000001</v>
      </c>
      <c r="SU8" t="s">
        <v>1599</v>
      </c>
      <c r="SV8">
        <v>2025</v>
      </c>
      <c r="SW8" t="s">
        <v>2234</v>
      </c>
      <c r="SX8" s="6">
        <v>46087</v>
      </c>
      <c r="SY8">
        <v>5</v>
      </c>
      <c r="SZ8">
        <v>811049598.16999996</v>
      </c>
      <c r="TA8">
        <v>7975354</v>
      </c>
      <c r="TB8" t="s">
        <v>2235</v>
      </c>
      <c r="TE8" t="s">
        <v>1679</v>
      </c>
      <c r="TF8">
        <v>0.59423499999999996</v>
      </c>
      <c r="TG8" t="s">
        <v>1598</v>
      </c>
      <c r="TH8">
        <v>1.9269499999999999</v>
      </c>
      <c r="TI8" t="s">
        <v>1603</v>
      </c>
      <c r="TJ8">
        <v>2025</v>
      </c>
      <c r="TK8" t="s">
        <v>1680</v>
      </c>
      <c r="TL8" s="6">
        <v>45820</v>
      </c>
      <c r="TM8">
        <v>5</v>
      </c>
      <c r="TN8">
        <v>78557896</v>
      </c>
      <c r="TO8">
        <v>12129192</v>
      </c>
      <c r="TP8" t="s">
        <v>1681</v>
      </c>
      <c r="TU8" t="s">
        <v>3264</v>
      </c>
      <c r="TW8">
        <v>-2.4245362661989844E-14</v>
      </c>
      <c r="TX8">
        <v>-2.4245362661989844E-14</v>
      </c>
      <c r="TY8" t="s">
        <v>1594</v>
      </c>
      <c r="TZ8">
        <v>2025</v>
      </c>
      <c r="UA8" t="s">
        <v>3265</v>
      </c>
      <c r="UB8" s="6">
        <v>46066</v>
      </c>
      <c r="UC8">
        <v>5</v>
      </c>
      <c r="UD8">
        <v>-2.4245362661989844E-14</v>
      </c>
      <c r="UE8">
        <v>1184415</v>
      </c>
      <c r="UF8" t="s">
        <v>3266</v>
      </c>
    </row>
    <row r="9" spans="1:600" x14ac:dyDescent="0.25">
      <c r="AE9" t="s">
        <v>23</v>
      </c>
      <c r="AF9" t="s">
        <v>1598</v>
      </c>
      <c r="AG9">
        <v>1.0236080000000001</v>
      </c>
      <c r="AH9">
        <v>0.137097</v>
      </c>
      <c r="AI9" t="s">
        <v>1664</v>
      </c>
      <c r="AJ9">
        <v>2025</v>
      </c>
      <c r="AK9" t="s">
        <v>1768</v>
      </c>
      <c r="AL9" s="6">
        <v>45929</v>
      </c>
      <c r="AM9">
        <v>5</v>
      </c>
      <c r="AN9">
        <v>125586464</v>
      </c>
      <c r="AO9">
        <v>100225</v>
      </c>
      <c r="AP9" t="s">
        <v>2222</v>
      </c>
      <c r="AS9" t="s">
        <v>2843</v>
      </c>
      <c r="AT9">
        <v>-2.4245362661989844E-14</v>
      </c>
      <c r="AV9">
        <v>-2.4245362661989844E-14</v>
      </c>
      <c r="AW9" t="s">
        <v>1594</v>
      </c>
      <c r="AX9">
        <v>2024</v>
      </c>
      <c r="AY9" t="s">
        <v>2844</v>
      </c>
      <c r="AZ9" s="6">
        <v>45435</v>
      </c>
      <c r="BA9">
        <v>5</v>
      </c>
      <c r="BB9">
        <v>-2.4245362661989844E-14</v>
      </c>
      <c r="BC9">
        <v>1028866</v>
      </c>
      <c r="BD9" t="s">
        <v>2845</v>
      </c>
      <c r="BI9" t="s">
        <v>3012</v>
      </c>
      <c r="BK9">
        <v>-2.4245362661989844E-14</v>
      </c>
      <c r="BL9">
        <v>-2.4245362661989844E-14</v>
      </c>
      <c r="BM9" t="s">
        <v>1594</v>
      </c>
      <c r="BN9">
        <v>2024</v>
      </c>
      <c r="BO9" t="s">
        <v>2482</v>
      </c>
      <c r="BP9" s="6">
        <v>45330</v>
      </c>
      <c r="BQ9">
        <v>5</v>
      </c>
      <c r="BR9">
        <v>-2.4245362661989844E-14</v>
      </c>
      <c r="BS9">
        <v>49422174</v>
      </c>
      <c r="BT9" t="s">
        <v>3013</v>
      </c>
      <c r="BW9" t="s">
        <v>2489</v>
      </c>
      <c r="BX9">
        <v>-2.4245362661989844E-14</v>
      </c>
      <c r="BZ9">
        <v>-2.4245362661989844E-14</v>
      </c>
      <c r="CA9" t="s">
        <v>1594</v>
      </c>
      <c r="CB9">
        <v>2022</v>
      </c>
      <c r="CC9" t="s">
        <v>2490</v>
      </c>
      <c r="CD9" s="6">
        <v>44734</v>
      </c>
      <c r="CE9">
        <v>5</v>
      </c>
      <c r="CF9">
        <v>-2.4245362661989844E-14</v>
      </c>
      <c r="CG9">
        <v>11011052</v>
      </c>
      <c r="CH9" t="s">
        <v>2491</v>
      </c>
      <c r="CM9" t="s">
        <v>2191</v>
      </c>
      <c r="CN9" t="s">
        <v>1598</v>
      </c>
      <c r="CO9">
        <v>0.59006199999999998</v>
      </c>
      <c r="CP9">
        <v>0.53252200000000005</v>
      </c>
      <c r="CQ9" t="s">
        <v>1664</v>
      </c>
      <c r="CR9">
        <v>2025</v>
      </c>
      <c r="CS9" t="s">
        <v>2192</v>
      </c>
      <c r="CT9" s="6">
        <v>45875</v>
      </c>
      <c r="CU9">
        <v>5</v>
      </c>
      <c r="CV9">
        <v>45441434.649999999</v>
      </c>
      <c r="CW9">
        <v>111270</v>
      </c>
      <c r="CX9" t="s">
        <v>2193</v>
      </c>
      <c r="DA9" t="s">
        <v>1633</v>
      </c>
      <c r="DB9">
        <v>0.26823999999999998</v>
      </c>
      <c r="DC9" t="s">
        <v>1634</v>
      </c>
      <c r="DD9">
        <v>-2.4245362661989844E-14</v>
      </c>
      <c r="DE9" t="s">
        <v>1594</v>
      </c>
      <c r="DF9">
        <v>2025</v>
      </c>
      <c r="DG9" t="s">
        <v>1635</v>
      </c>
      <c r="DH9" s="6">
        <v>45925</v>
      </c>
      <c r="DI9">
        <v>5</v>
      </c>
      <c r="DJ9">
        <v>26796000</v>
      </c>
      <c r="DK9">
        <v>340053</v>
      </c>
      <c r="DL9" t="s">
        <v>1636</v>
      </c>
      <c r="EU9" t="s">
        <v>5076</v>
      </c>
      <c r="EV9" t="s">
        <v>1598</v>
      </c>
      <c r="EW9">
        <v>0.93358799999999997</v>
      </c>
      <c r="EX9">
        <v>0.24143200000000001</v>
      </c>
      <c r="EY9" t="s">
        <v>1603</v>
      </c>
      <c r="EZ9">
        <v>2025</v>
      </c>
      <c r="FA9" t="s">
        <v>5334</v>
      </c>
      <c r="FB9" s="6">
        <v>45859</v>
      </c>
      <c r="FC9">
        <v>5</v>
      </c>
      <c r="FD9">
        <v>10193259</v>
      </c>
      <c r="FE9">
        <v>7022586</v>
      </c>
      <c r="FF9" t="s">
        <v>5078</v>
      </c>
      <c r="FI9" t="s">
        <v>5079</v>
      </c>
      <c r="FJ9">
        <v>-2.4245362661989844E-14</v>
      </c>
      <c r="FL9">
        <v>-2.4245362661989844E-14</v>
      </c>
      <c r="FM9" t="s">
        <v>1651</v>
      </c>
      <c r="FN9">
        <v>2023</v>
      </c>
      <c r="FO9" t="s">
        <v>5080</v>
      </c>
      <c r="FP9" s="6">
        <v>45230</v>
      </c>
      <c r="FQ9">
        <v>5</v>
      </c>
      <c r="FR9">
        <v>-2.4245362661989844E-14</v>
      </c>
      <c r="FS9">
        <v>128416</v>
      </c>
      <c r="FT9" t="s">
        <v>5081</v>
      </c>
      <c r="KO9" t="s">
        <v>2999</v>
      </c>
      <c r="KQ9">
        <v>-2.4245362661989844E-14</v>
      </c>
      <c r="KR9">
        <v>-2.4245362661989844E-14</v>
      </c>
      <c r="KS9" t="s">
        <v>1594</v>
      </c>
      <c r="KT9">
        <v>2025</v>
      </c>
      <c r="KU9" t="s">
        <v>3000</v>
      </c>
      <c r="KV9" s="6">
        <v>45800</v>
      </c>
      <c r="KW9">
        <v>5</v>
      </c>
      <c r="KX9">
        <v>-2.4245362661989844E-14</v>
      </c>
      <c r="KY9">
        <v>106119</v>
      </c>
      <c r="KZ9" t="s">
        <v>3001</v>
      </c>
      <c r="OA9" t="s">
        <v>2262</v>
      </c>
      <c r="OC9">
        <v>-2.4245362661989844E-14</v>
      </c>
      <c r="OD9">
        <v>-2.4245362661989844E-14</v>
      </c>
      <c r="OE9" t="s">
        <v>1594</v>
      </c>
      <c r="OF9">
        <v>2023</v>
      </c>
      <c r="OG9" t="s">
        <v>2263</v>
      </c>
      <c r="OH9" s="6">
        <v>45181</v>
      </c>
      <c r="OI9">
        <v>5</v>
      </c>
      <c r="OJ9">
        <v>-2.4245362661989844E-14</v>
      </c>
      <c r="OK9">
        <v>52215903</v>
      </c>
      <c r="OL9" t="s">
        <v>2264</v>
      </c>
      <c r="OO9" t="s">
        <v>303</v>
      </c>
      <c r="OP9">
        <v>-2.4245362661989844E-14</v>
      </c>
      <c r="OR9">
        <v>-2.4245362661989844E-14</v>
      </c>
      <c r="OS9" t="s">
        <v>1594</v>
      </c>
      <c r="OT9">
        <v>2023</v>
      </c>
      <c r="OU9" t="s">
        <v>1918</v>
      </c>
      <c r="OV9" s="6">
        <v>45323</v>
      </c>
      <c r="OW9">
        <v>5</v>
      </c>
      <c r="OX9">
        <v>-2.4245362661989844E-14</v>
      </c>
      <c r="OY9">
        <v>216952</v>
      </c>
      <c r="OZ9" t="s">
        <v>1631</v>
      </c>
      <c r="QI9" t="s">
        <v>2223</v>
      </c>
      <c r="QJ9" t="s">
        <v>1598</v>
      </c>
      <c r="QK9">
        <v>23.000834000000001</v>
      </c>
      <c r="QL9">
        <v>3.3423889999999998</v>
      </c>
      <c r="QM9" t="s">
        <v>1599</v>
      </c>
      <c r="QN9">
        <v>2025</v>
      </c>
      <c r="QO9" t="s">
        <v>2224</v>
      </c>
      <c r="QP9" s="6">
        <v>46049</v>
      </c>
      <c r="QQ9">
        <v>5</v>
      </c>
      <c r="QR9">
        <v>2700220003.8200002</v>
      </c>
      <c r="QS9">
        <v>101095</v>
      </c>
      <c r="QT9" t="s">
        <v>2225</v>
      </c>
      <c r="QW9" t="s">
        <v>1835</v>
      </c>
      <c r="QX9">
        <v>0.60507999999999995</v>
      </c>
      <c r="QY9" t="s">
        <v>1598</v>
      </c>
      <c r="QZ9">
        <v>13.46205</v>
      </c>
      <c r="RA9" t="s">
        <v>1599</v>
      </c>
      <c r="RB9">
        <v>2025</v>
      </c>
      <c r="RC9" t="s">
        <v>1833</v>
      </c>
      <c r="RD9" s="6">
        <v>45954</v>
      </c>
      <c r="RE9">
        <v>5</v>
      </c>
      <c r="RF9">
        <v>488078912</v>
      </c>
      <c r="RG9">
        <v>154455</v>
      </c>
      <c r="RH9" t="s">
        <v>1836</v>
      </c>
      <c r="SQ9" t="s">
        <v>2236</v>
      </c>
      <c r="SR9" t="s">
        <v>1598</v>
      </c>
      <c r="SS9">
        <v>10.5</v>
      </c>
      <c r="ST9">
        <v>7.349405</v>
      </c>
      <c r="SU9" t="s">
        <v>1594</v>
      </c>
      <c r="SV9">
        <v>2024</v>
      </c>
      <c r="SW9" t="s">
        <v>2237</v>
      </c>
      <c r="SX9" s="6">
        <v>45744</v>
      </c>
      <c r="SY9">
        <v>5</v>
      </c>
      <c r="SZ9">
        <v>778954139.5</v>
      </c>
      <c r="TA9">
        <v>113389</v>
      </c>
      <c r="TB9" t="s">
        <v>2238</v>
      </c>
      <c r="TE9" t="s">
        <v>1786</v>
      </c>
      <c r="TF9">
        <v>0.56558799999999998</v>
      </c>
      <c r="TG9" t="s">
        <v>1598</v>
      </c>
      <c r="TH9">
        <v>3.5370110000000001</v>
      </c>
      <c r="TI9" t="s">
        <v>1664</v>
      </c>
      <c r="TJ9">
        <v>2025</v>
      </c>
      <c r="TK9" t="s">
        <v>1787</v>
      </c>
      <c r="TL9" s="6">
        <v>46008</v>
      </c>
      <c r="TM9">
        <v>5</v>
      </c>
      <c r="TN9">
        <v>82257509.170000002</v>
      </c>
      <c r="TO9">
        <v>349049</v>
      </c>
      <c r="TP9" t="s">
        <v>1788</v>
      </c>
      <c r="TU9" t="s">
        <v>212</v>
      </c>
      <c r="TW9">
        <v>-2.4245362661989844E-14</v>
      </c>
      <c r="TX9">
        <v>-2.4245362661989844E-14</v>
      </c>
      <c r="TY9" t="s">
        <v>1594</v>
      </c>
      <c r="TZ9">
        <v>2025</v>
      </c>
      <c r="UA9" t="s">
        <v>3267</v>
      </c>
      <c r="UB9" s="6">
        <v>46066</v>
      </c>
      <c r="UC9">
        <v>5</v>
      </c>
      <c r="UD9">
        <v>-2.4245362661989844E-14</v>
      </c>
      <c r="UE9">
        <v>101065</v>
      </c>
      <c r="UF9" t="s">
        <v>3268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1274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1275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1276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1277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1278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1279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1280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1281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1282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1283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1284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1285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1286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1287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1288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1289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1290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1291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1292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113</v>
      </c>
      <c r="AE2" s="3" t="s">
        <v>1293</v>
      </c>
      <c r="BI2" s="3" t="s">
        <v>1294</v>
      </c>
      <c r="CM2" s="3" t="s">
        <v>1295</v>
      </c>
      <c r="DQ2" s="3" t="s">
        <v>78</v>
      </c>
      <c r="EU2" s="3" t="s">
        <v>311</v>
      </c>
      <c r="FY2" s="3" t="s">
        <v>1296</v>
      </c>
      <c r="HC2" s="3" t="s">
        <v>1297</v>
      </c>
      <c r="IG2" s="3" t="s">
        <v>532</v>
      </c>
      <c r="JK2" s="3" t="s">
        <v>306</v>
      </c>
      <c r="KO2" s="3" t="s">
        <v>1298</v>
      </c>
      <c r="LS2" s="3" t="s">
        <v>171</v>
      </c>
      <c r="MW2" s="3" t="s">
        <v>1299</v>
      </c>
      <c r="OA2" s="3" t="s">
        <v>555</v>
      </c>
      <c r="PE2" s="3" t="s">
        <v>304</v>
      </c>
      <c r="QI2" s="3" t="s">
        <v>147</v>
      </c>
      <c r="RM2" s="3" t="s">
        <v>1300</v>
      </c>
      <c r="SQ2" s="3" t="s">
        <v>140</v>
      </c>
      <c r="TU2" s="3" t="s">
        <v>1301</v>
      </c>
      <c r="UY2" s="3" t="s">
        <v>534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_xll.BDS("BX US Equity","SUPPLY_CHAIN_SUPPLIERS_ALL_DATA","cols=12;rows=5")</f>
        <v>ORCL US Equity</v>
      </c>
      <c r="B5" t="s">
        <v>1598</v>
      </c>
      <c r="C5">
        <v>3.7003000000000001E-2</v>
      </c>
      <c r="D5">
        <v>0.33128000000000002</v>
      </c>
      <c r="E5" t="s">
        <v>1606</v>
      </c>
      <c r="F5">
        <v>2025</v>
      </c>
      <c r="G5" t="s">
        <v>2251</v>
      </c>
      <c r="H5" s="6">
        <v>45848</v>
      </c>
      <c r="I5">
        <v>5</v>
      </c>
      <c r="J5">
        <v>5884587</v>
      </c>
      <c r="K5">
        <v>101752</v>
      </c>
      <c r="L5" t="s">
        <v>2265</v>
      </c>
      <c r="O5" t="str">
        <f>_xll.BDS("BX US Equity","SUPPLY_CHAIN_CUSTOMERS_ALL_DATA","cols=12;rows=5")</f>
        <v>002284 CH Equity</v>
      </c>
      <c r="P5">
        <v>-2.4245362661989844E-14</v>
      </c>
      <c r="R5">
        <v>-2.4245362661989844E-14</v>
      </c>
      <c r="S5" t="s">
        <v>1594</v>
      </c>
      <c r="T5">
        <v>2024</v>
      </c>
      <c r="U5" t="s">
        <v>1789</v>
      </c>
      <c r="V5" s="6">
        <v>45744</v>
      </c>
      <c r="W5">
        <v>5</v>
      </c>
      <c r="X5">
        <v>-2.4245362661989844E-14</v>
      </c>
      <c r="Y5">
        <v>15069854</v>
      </c>
      <c r="Z5" t="s">
        <v>1790</v>
      </c>
      <c r="AE5" t="str">
        <f>_xll.BDS("COV US Equity","SUPPLY_CHAIN_SUPPLIERS_ALL_DATA")</f>
        <v>#N/A N/A</v>
      </c>
      <c r="AS5" t="str">
        <f>_xll.BDS("COV US Equity","SUPPLY_CHAIN_CUSTOMERS_ALL_DATA")</f>
        <v>#N/A N/A</v>
      </c>
      <c r="BI5" t="str">
        <f>_xll.BDS("PZL US Equity","SUPPLY_CHAIN_SUPPLIERS_ALL_DATA")</f>
        <v>#N/A N/A</v>
      </c>
      <c r="BW5" t="str">
        <f>_xll.BDS("PZL US Equity","SUPPLY_CHAIN_CUSTOMERS_ALL_DATA")</f>
        <v>#N/A N/A</v>
      </c>
      <c r="CM5" t="str">
        <f>_xll.BDS("KKR US Equity","SUPPLY_CHAIN_SUPPLIERS_ALL_DATA","cols=12;rows=5")</f>
        <v>INFO IN Equity</v>
      </c>
      <c r="CN5" t="s">
        <v>1685</v>
      </c>
      <c r="CO5">
        <v>1.5951679999999999</v>
      </c>
      <c r="CP5">
        <v>1.509646</v>
      </c>
      <c r="CQ5" t="s">
        <v>1664</v>
      </c>
      <c r="CR5">
        <v>2026</v>
      </c>
      <c r="CS5" t="s">
        <v>3374</v>
      </c>
      <c r="CT5" s="6">
        <v>46022</v>
      </c>
      <c r="CU5">
        <v>5</v>
      </c>
      <c r="CV5">
        <v>74791100.25</v>
      </c>
      <c r="CW5">
        <v>174545</v>
      </c>
      <c r="CX5" t="s">
        <v>3375</v>
      </c>
      <c r="DA5" t="str">
        <f>_xll.BDS("KKR US Equity","SUPPLY_CHAIN_CUSTOMERS_ALL_DATA","cols=12;rows=5")</f>
        <v>TSCO LN Equity</v>
      </c>
      <c r="DB5">
        <v>0.70941200000000004</v>
      </c>
      <c r="DC5" t="s">
        <v>1598</v>
      </c>
      <c r="DD5">
        <v>0.228687</v>
      </c>
      <c r="DE5" t="s">
        <v>1603</v>
      </c>
      <c r="DF5">
        <v>2026</v>
      </c>
      <c r="DG5" t="s">
        <v>1876</v>
      </c>
      <c r="DH5" s="6">
        <v>45898</v>
      </c>
      <c r="DI5">
        <v>5</v>
      </c>
      <c r="DJ5">
        <v>48523721.899999999</v>
      </c>
      <c r="DK5">
        <v>112370</v>
      </c>
      <c r="DL5" t="s">
        <v>1877</v>
      </c>
      <c r="DQ5" t="str">
        <f>_xll.BDS("nan Equity","SUPPLY_CHAIN_SUPPLIERS_ALL_DATA")</f>
        <v>#N/A N/A</v>
      </c>
      <c r="EE5" t="str">
        <f>_xll.BDS("nan Equity","SUPPLY_CHAIN_CUSTOMERS_ALL_DATA")</f>
        <v>#N/A N/A</v>
      </c>
      <c r="EU5" t="str">
        <f>_xll.BDS("KR US Equity","SUPPLY_CHAIN_SUPPLIERS_ALL_DATA","cols=12;rows=5")</f>
        <v>CAH US Equity</v>
      </c>
      <c r="EV5" t="s">
        <v>1598</v>
      </c>
      <c r="EW5">
        <v>3.1469290000000001</v>
      </c>
      <c r="EX5">
        <v>7.2451629999999998</v>
      </c>
      <c r="EY5" t="s">
        <v>1606</v>
      </c>
      <c r="EZ5">
        <v>2025</v>
      </c>
      <c r="FA5" t="s">
        <v>1822</v>
      </c>
      <c r="FB5" s="6">
        <v>45954</v>
      </c>
      <c r="FC5">
        <v>5</v>
      </c>
      <c r="FD5">
        <v>1893160960</v>
      </c>
      <c r="FE5">
        <v>102782</v>
      </c>
      <c r="FF5" t="s">
        <v>1626</v>
      </c>
      <c r="FI5" t="str">
        <f>_xll.BDS("KR US Equity","SUPPLY_CHAIN_CUSTOMERS_ALL_DATA","cols=12;rows=1")</f>
        <v>TTD US Equity</v>
      </c>
      <c r="FJ5">
        <v>-2.4245362661989844E-14</v>
      </c>
      <c r="FL5">
        <v>-2.4245362661989844E-14</v>
      </c>
      <c r="FM5" t="s">
        <v>1599</v>
      </c>
      <c r="FN5">
        <v>2025</v>
      </c>
      <c r="FO5" t="s">
        <v>3529</v>
      </c>
      <c r="FP5" s="6">
        <v>45971</v>
      </c>
      <c r="FQ5">
        <v>1</v>
      </c>
      <c r="FR5">
        <v>-2.4245362661989844E-14</v>
      </c>
      <c r="FS5">
        <v>39234675</v>
      </c>
      <c r="FT5" t="s">
        <v>3530</v>
      </c>
      <c r="FY5" t="str">
        <f>_xll.BDS("MHS US Equity","SUPPLY_CHAIN_SUPPLIERS_ALL_DATA")</f>
        <v>#N/A N/A</v>
      </c>
      <c r="GM5" t="str">
        <f>_xll.BDS("MHS US Equity","SUPPLY_CHAIN_CUSTOMERS_ALL_DATA")</f>
        <v>#N/A N/A</v>
      </c>
      <c r="HC5" t="str">
        <f>_xll.BDS("RLJ US Equity","SUPPLY_CHAIN_SUPPLIERS_ALL_DATA","cols=12;rows=1")</f>
        <v>HLT US Equity</v>
      </c>
      <c r="HE5">
        <v>-2.4245362661989844E-14</v>
      </c>
      <c r="HF5">
        <v>-2.4245362661989844E-14</v>
      </c>
      <c r="HG5" t="s">
        <v>1594</v>
      </c>
      <c r="HH5">
        <v>2024</v>
      </c>
      <c r="HI5" t="s">
        <v>2166</v>
      </c>
      <c r="HJ5" s="6">
        <v>45307</v>
      </c>
      <c r="HK5">
        <v>1</v>
      </c>
      <c r="HL5">
        <v>-2.4245362661989844E-14</v>
      </c>
      <c r="HM5">
        <v>36850308</v>
      </c>
      <c r="HN5" t="s">
        <v>2167</v>
      </c>
      <c r="HQ5" t="str">
        <f>_xll.BDS("RLJ US Equity","SUPPLY_CHAIN_CUSTOMERS_ALL_DATA")</f>
        <v>#N/A N/A</v>
      </c>
      <c r="IG5" t="str">
        <f>_xll.BDS("LVLT US Equity","SUPPLY_CHAIN_SUPPLIERS_ALL_DATA")</f>
        <v>#N/A N/A</v>
      </c>
      <c r="IU5" t="str">
        <f>_xll.BDS("LVLT US Equity","SUPPLY_CHAIN_CUSTOMERS_ALL_DATA")</f>
        <v>#N/A N/A</v>
      </c>
      <c r="JK5" t="str">
        <f>_xll.BDS("UNH US Equity","SUPPLY_CHAIN_SUPPLIERS_ALL_DATA","cols=12;rows=5")</f>
        <v>VRTX US Equity</v>
      </c>
      <c r="JL5" t="s">
        <v>1598</v>
      </c>
      <c r="JM5">
        <v>9.6255240000000004</v>
      </c>
      <c r="JN5">
        <v>0.32416699999999998</v>
      </c>
      <c r="JO5" t="s">
        <v>1606</v>
      </c>
      <c r="JP5">
        <v>2025</v>
      </c>
      <c r="JQ5" t="s">
        <v>2965</v>
      </c>
      <c r="JR5" s="6">
        <v>46077</v>
      </c>
      <c r="JS5">
        <v>5</v>
      </c>
      <c r="JT5">
        <v>307054208</v>
      </c>
      <c r="JU5">
        <v>107741</v>
      </c>
      <c r="JV5" t="s">
        <v>2966</v>
      </c>
      <c r="JY5" t="str">
        <f>_xll.BDS("UNH US Equity","SUPPLY_CHAIN_CUSTOMERS_ALL_DATA","cols=12;rows=5")</f>
        <v>9877893Z US Equity</v>
      </c>
      <c r="JZ5">
        <v>40</v>
      </c>
      <c r="KB5">
        <v>-2.4245362661989844E-14</v>
      </c>
      <c r="KC5" t="s">
        <v>1594</v>
      </c>
      <c r="KD5">
        <v>2024</v>
      </c>
      <c r="KE5" t="s">
        <v>2840</v>
      </c>
      <c r="KF5" s="6">
        <v>45715</v>
      </c>
      <c r="KG5">
        <v>5</v>
      </c>
      <c r="KH5">
        <v>40027799552</v>
      </c>
      <c r="KI5">
        <v>17483390</v>
      </c>
      <c r="KJ5" t="s">
        <v>2729</v>
      </c>
      <c r="KO5" t="str">
        <f>_xll.BDS("1811934D US Equity","SUPPLY_CHAIN_SUPPLIERS_ALL_DATA")</f>
        <v>#N/A N/A</v>
      </c>
      <c r="LC5" t="str">
        <f>_xll.BDS("1811934D US Equity","SUPPLY_CHAIN_CUSTOMERS_ALL_DATA")</f>
        <v>#N/A N/A</v>
      </c>
      <c r="LS5" t="str">
        <f>_xll.BDS("CRM US Equity","SUPPLY_CHAIN_SUPPLIERS_ALL_DATA","cols=12;rows=5")</f>
        <v>BXP US Equity</v>
      </c>
      <c r="LT5" t="s">
        <v>1685</v>
      </c>
      <c r="LU5">
        <v>3.2392069999999999</v>
      </c>
      <c r="LV5">
        <v>0.72514800000000001</v>
      </c>
      <c r="LW5" t="s">
        <v>1599</v>
      </c>
      <c r="LX5">
        <v>2025</v>
      </c>
      <c r="LY5" t="s">
        <v>3371</v>
      </c>
      <c r="LZ5" s="6">
        <v>45996</v>
      </c>
      <c r="MA5">
        <v>5</v>
      </c>
      <c r="MB5">
        <v>28230014</v>
      </c>
      <c r="MC5">
        <v>225275</v>
      </c>
      <c r="MD5" t="s">
        <v>3372</v>
      </c>
      <c r="MG5" t="str">
        <f>_xll.BDS("CRM US Equity","SUPPLY_CHAIN_CUSTOMERS_ALL_DATA","cols=12;rows=5")</f>
        <v>SNX US Equity</v>
      </c>
      <c r="MH5">
        <v>1.073215</v>
      </c>
      <c r="MI5" t="s">
        <v>1598</v>
      </c>
      <c r="MJ5">
        <v>0.68029200000000001</v>
      </c>
      <c r="MK5" t="s">
        <v>1606</v>
      </c>
      <c r="ML5">
        <v>2025</v>
      </c>
      <c r="MM5" t="s">
        <v>1701</v>
      </c>
      <c r="MN5" s="6">
        <v>46056</v>
      </c>
      <c r="MO5">
        <v>5</v>
      </c>
      <c r="MP5">
        <v>110101112</v>
      </c>
      <c r="MQ5">
        <v>1499717</v>
      </c>
      <c r="MR5" t="s">
        <v>1702</v>
      </c>
      <c r="MW5" t="str">
        <f>_xll.BDS("WHR US Equity","SUPPLY_CHAIN_SUPPLIERS_ALL_DATA","cols=12;rows=5")</f>
        <v>600983 CH Equity</v>
      </c>
      <c r="MX5" t="s">
        <v>1598</v>
      </c>
      <c r="MY5">
        <v>73.519997000000004</v>
      </c>
      <c r="MZ5">
        <v>2.8165939999999998</v>
      </c>
      <c r="NA5" t="s">
        <v>1594</v>
      </c>
      <c r="NB5">
        <v>2024</v>
      </c>
      <c r="NC5" t="s">
        <v>3827</v>
      </c>
      <c r="ND5" s="6">
        <v>45771</v>
      </c>
      <c r="NE5">
        <v>5</v>
      </c>
      <c r="NF5">
        <v>93164284.230000004</v>
      </c>
      <c r="NG5">
        <v>9038860</v>
      </c>
      <c r="NH5" t="s">
        <v>3828</v>
      </c>
      <c r="NK5" t="str">
        <f>_xll.BDS("WHR US Equity","SUPPLY_CHAIN_CUSTOMERS_ALL_DATA","cols=12;rows=5")</f>
        <v>LOW US Equity</v>
      </c>
      <c r="NL5">
        <v>15</v>
      </c>
      <c r="NM5" t="s">
        <v>1598</v>
      </c>
      <c r="NN5">
        <v>4.1615580000000003</v>
      </c>
      <c r="NO5" t="s">
        <v>1594</v>
      </c>
      <c r="NP5">
        <v>2025</v>
      </c>
      <c r="NQ5" t="s">
        <v>3673</v>
      </c>
      <c r="NR5" s="6">
        <v>46064</v>
      </c>
      <c r="NS5">
        <v>5</v>
      </c>
      <c r="NT5">
        <v>582150016</v>
      </c>
      <c r="NU5">
        <v>100916</v>
      </c>
      <c r="NV5" t="s">
        <v>1741</v>
      </c>
      <c r="OA5" t="str">
        <f>_xll.BDS("LLY US Equity","SUPPLY_CHAIN_SUPPLIERS_ALL_DATA","cols=12;rows=5")</f>
        <v>RIGL US Equity</v>
      </c>
      <c r="OB5" t="s">
        <v>1598</v>
      </c>
      <c r="OC5">
        <v>39</v>
      </c>
      <c r="OD5">
        <v>1.782985</v>
      </c>
      <c r="OE5" t="s">
        <v>1664</v>
      </c>
      <c r="OF5">
        <v>2025</v>
      </c>
      <c r="OG5" t="s">
        <v>2359</v>
      </c>
      <c r="OH5" s="6">
        <v>45874</v>
      </c>
      <c r="OI5">
        <v>5</v>
      </c>
      <c r="OJ5">
        <v>39657152</v>
      </c>
      <c r="OK5">
        <v>1176875</v>
      </c>
      <c r="OL5" t="s">
        <v>2360</v>
      </c>
      <c r="OO5" t="str">
        <f>_xll.BDS("LLY US Equity","SUPPLY_CHAIN_CUSTOMERS_ALL_DATA","cols=12;rows=5")</f>
        <v>MCK US Equity</v>
      </c>
      <c r="OP5">
        <v>23.281113000000001</v>
      </c>
      <c r="OQ5" t="s">
        <v>1598</v>
      </c>
      <c r="OR5">
        <v>5.5350809999999999</v>
      </c>
      <c r="OS5" t="s">
        <v>1599</v>
      </c>
      <c r="OT5">
        <v>2025</v>
      </c>
      <c r="OU5" t="s">
        <v>1859</v>
      </c>
      <c r="OV5" s="6">
        <v>46041</v>
      </c>
      <c r="OW5">
        <v>5</v>
      </c>
      <c r="OX5">
        <v>4097661952</v>
      </c>
      <c r="OY5">
        <v>154936</v>
      </c>
      <c r="OZ5" t="s">
        <v>1766</v>
      </c>
      <c r="PE5" t="str">
        <f>_xll.BDS("CNC US Equity","SUPPLY_CHAIN_SUPPLIERS_ALL_DATA","cols=12;rows=5")</f>
        <v>CI US Equity</v>
      </c>
      <c r="PF5" t="s">
        <v>1598</v>
      </c>
      <c r="PG5">
        <v>0.82464999999999999</v>
      </c>
      <c r="PH5">
        <v>1.4172499999999999</v>
      </c>
      <c r="PI5" t="s">
        <v>1606</v>
      </c>
      <c r="PJ5">
        <v>2025</v>
      </c>
      <c r="PK5" t="s">
        <v>2450</v>
      </c>
      <c r="PL5" s="6">
        <v>46070</v>
      </c>
      <c r="PM5">
        <v>5</v>
      </c>
      <c r="PN5">
        <v>597640128</v>
      </c>
      <c r="PO5">
        <v>60401289</v>
      </c>
      <c r="PP5" t="s">
        <v>1769</v>
      </c>
      <c r="PS5" t="str">
        <f>_xll.BDS("CNC US Equity","SUPPLY_CHAIN_CUSTOMERS_ALL_DATA","cols=12;rows=5")</f>
        <v>STONY1 US Equity</v>
      </c>
      <c r="PT5">
        <v>7.37</v>
      </c>
      <c r="PV5">
        <v>-2.4245362661989844E-14</v>
      </c>
      <c r="PW5" t="s">
        <v>1603</v>
      </c>
      <c r="PX5">
        <v>2025</v>
      </c>
      <c r="PY5" t="s">
        <v>2450</v>
      </c>
      <c r="PZ5" s="6">
        <v>45839</v>
      </c>
      <c r="QA5">
        <v>5</v>
      </c>
      <c r="QB5">
        <v>3435894016</v>
      </c>
      <c r="QC5">
        <v>171854</v>
      </c>
      <c r="QD5" t="s">
        <v>2451</v>
      </c>
      <c r="QI5" t="str">
        <f>_xll.BDS("TFC US Equity","SUPPLY_CHAIN_SUPPLIERS_ALL_DATA","cols=12;rows=5")</f>
        <v>ADBE US Equity</v>
      </c>
      <c r="QJ5" t="s">
        <v>1685</v>
      </c>
      <c r="QK5">
        <v>9.3438999999999994E-2</v>
      </c>
      <c r="QL5">
        <v>0.18883900000000001</v>
      </c>
      <c r="QM5" t="s">
        <v>1664</v>
      </c>
      <c r="QN5">
        <v>2025</v>
      </c>
      <c r="QO5" t="s">
        <v>2052</v>
      </c>
      <c r="QP5" s="6">
        <v>45838</v>
      </c>
      <c r="QQ5">
        <v>5</v>
      </c>
      <c r="QR5">
        <v>5487672</v>
      </c>
      <c r="QS5">
        <v>101689</v>
      </c>
      <c r="QT5" t="s">
        <v>2053</v>
      </c>
      <c r="QW5" t="str">
        <f>_xll.BDS("TFC US Equity","SUPPLY_CHAIN_CUSTOMERS_ALL_DATA","cols=12;rows=1")</f>
        <v>RENG IN Equity</v>
      </c>
      <c r="QX5">
        <v>-2.4245362661989844E-14</v>
      </c>
      <c r="QZ5">
        <v>-2.4245362661989844E-14</v>
      </c>
      <c r="RA5" t="s">
        <v>1594</v>
      </c>
      <c r="RB5">
        <v>2025</v>
      </c>
      <c r="RC5" t="s">
        <v>1673</v>
      </c>
      <c r="RD5" s="6">
        <v>45901</v>
      </c>
      <c r="RE5">
        <v>1</v>
      </c>
      <c r="RF5">
        <v>-2.4245362661989844E-14</v>
      </c>
      <c r="RG5">
        <v>182734</v>
      </c>
      <c r="RH5" t="s">
        <v>1674</v>
      </c>
      <c r="RM5" t="str">
        <f>_xll.BDS("CPE US Equity","SUPPLY_CHAIN_SUPPLIERS_ALL_DATA","cols=12;rows=5")</f>
        <v>600777 CH Equity</v>
      </c>
      <c r="RO5">
        <v>-2.4245362661989844E-14</v>
      </c>
      <c r="RP5">
        <v>-2.4245362661989844E-14</v>
      </c>
      <c r="RQ5" t="s">
        <v>1594</v>
      </c>
      <c r="RR5">
        <v>2022</v>
      </c>
      <c r="RS5" t="s">
        <v>5494</v>
      </c>
      <c r="RT5" s="6">
        <v>45044</v>
      </c>
      <c r="RU5">
        <v>5</v>
      </c>
      <c r="RV5">
        <v>-2.4245362661989844E-14</v>
      </c>
      <c r="RW5">
        <v>193849</v>
      </c>
      <c r="RX5" t="s">
        <v>3899</v>
      </c>
      <c r="SA5" t="str">
        <f>_xll.BDS("CPE US Equity","SUPPLY_CHAIN_CUSTOMERS_ALL_DATA","cols=12;rows=5")</f>
        <v>0707471D US Equity</v>
      </c>
      <c r="SB5">
        <v>-2.4245362661989844E-14</v>
      </c>
      <c r="SD5">
        <v>-2.4245362661989844E-14</v>
      </c>
      <c r="SE5" t="s">
        <v>1594</v>
      </c>
      <c r="SF5">
        <v>2023</v>
      </c>
      <c r="SG5" t="s">
        <v>4658</v>
      </c>
      <c r="SH5" s="6">
        <v>45348</v>
      </c>
      <c r="SI5">
        <v>5</v>
      </c>
      <c r="SJ5">
        <v>-2.4245362661989844E-14</v>
      </c>
      <c r="SK5">
        <v>946936</v>
      </c>
      <c r="SL5" t="s">
        <v>4659</v>
      </c>
      <c r="SQ5" t="str">
        <f>_xll.BDS("SCHW US Equity","SUPPLY_CHAIN_SUPPLIERS_ALL_DATA","cols=12;rows=5")</f>
        <v>ADBE US Equity</v>
      </c>
      <c r="SR5" t="s">
        <v>1685</v>
      </c>
      <c r="SS5">
        <v>0.101092</v>
      </c>
      <c r="ST5">
        <v>0.18884000000000001</v>
      </c>
      <c r="SU5" t="s">
        <v>1664</v>
      </c>
      <c r="SV5">
        <v>2025</v>
      </c>
      <c r="SW5" t="s">
        <v>2052</v>
      </c>
      <c r="SX5" s="6">
        <v>45838</v>
      </c>
      <c r="SY5">
        <v>5</v>
      </c>
      <c r="SZ5">
        <v>5937133</v>
      </c>
      <c r="TA5">
        <v>101689</v>
      </c>
      <c r="TB5" t="s">
        <v>2053</v>
      </c>
      <c r="TE5" t="str">
        <f>_xll.BDS("SCHW US Equity","SUPPLY_CHAIN_CUSTOMERS_ALL_DATA","cols=12;rows=1")</f>
        <v>CNDT US Equity</v>
      </c>
      <c r="TF5">
        <v>-2.4245362661989844E-14</v>
      </c>
      <c r="TH5">
        <v>-2.4245362661989844E-14</v>
      </c>
      <c r="TI5" t="s">
        <v>1594</v>
      </c>
      <c r="TJ5">
        <v>2023</v>
      </c>
      <c r="TK5" t="s">
        <v>5359</v>
      </c>
      <c r="TL5" s="6">
        <v>45133</v>
      </c>
      <c r="TM5">
        <v>1</v>
      </c>
      <c r="TN5">
        <v>-2.4245362661989844E-14</v>
      </c>
      <c r="TO5">
        <v>48777406</v>
      </c>
      <c r="TP5" t="s">
        <v>5360</v>
      </c>
      <c r="TU5" t="str">
        <f>_xll.BDS("PAA US Equity","SUPPLY_CHAIN_SUPPLIERS_ALL_DATA","cols=12;rows=5")</f>
        <v>CSX US Equity</v>
      </c>
      <c r="TV5" t="s">
        <v>1598</v>
      </c>
      <c r="TW5">
        <v>0.43035299999999999</v>
      </c>
      <c r="TX5">
        <v>0.14197299999999999</v>
      </c>
      <c r="TY5" t="s">
        <v>1599</v>
      </c>
      <c r="TZ5">
        <v>2025</v>
      </c>
      <c r="UA5" t="s">
        <v>2299</v>
      </c>
      <c r="UB5" s="6">
        <v>45993</v>
      </c>
      <c r="UC5">
        <v>5</v>
      </c>
      <c r="UD5">
        <v>15436762</v>
      </c>
      <c r="UE5">
        <v>100415</v>
      </c>
      <c r="UF5" t="s">
        <v>2300</v>
      </c>
      <c r="UI5" t="str">
        <f>_xll.BDS("PAA US Equity","SUPPLY_CHAIN_CUSTOMERS_ALL_DATA","cols=12;rows=4")</f>
        <v>XOM US Equity</v>
      </c>
      <c r="UJ5">
        <v>30</v>
      </c>
      <c r="UK5" t="s">
        <v>1598</v>
      </c>
      <c r="UL5">
        <v>5.2016150000000003</v>
      </c>
      <c r="UM5" t="s">
        <v>1594</v>
      </c>
      <c r="UN5">
        <v>2024</v>
      </c>
      <c r="UO5" t="s">
        <v>4334</v>
      </c>
      <c r="UP5" s="6">
        <v>45716</v>
      </c>
      <c r="UQ5">
        <v>4</v>
      </c>
      <c r="UR5">
        <v>3755474944</v>
      </c>
      <c r="US5">
        <v>100546</v>
      </c>
      <c r="UT5" t="s">
        <v>4326</v>
      </c>
      <c r="UY5" t="str">
        <f>_xll.BDS("NOV US Equity","SUPPLY_CHAIN_SUPPLIERS_ALL_DATA","cols=12;rows=5")</f>
        <v>OERL SW Equity</v>
      </c>
      <c r="UZ5" t="s">
        <v>1598</v>
      </c>
      <c r="VA5">
        <v>0.48962800000000001</v>
      </c>
      <c r="VB5">
        <v>0.18532199999999999</v>
      </c>
      <c r="VC5" t="s">
        <v>1606</v>
      </c>
      <c r="VD5">
        <v>2024</v>
      </c>
      <c r="VE5" t="s">
        <v>3311</v>
      </c>
      <c r="VF5" s="6">
        <v>45719</v>
      </c>
      <c r="VG5">
        <v>5</v>
      </c>
      <c r="VH5">
        <v>3366520.82</v>
      </c>
      <c r="VI5">
        <v>117826</v>
      </c>
      <c r="VJ5" t="s">
        <v>3312</v>
      </c>
      <c r="VM5" t="str">
        <f>_xll.BDS("NOV US Equity","SUPPLY_CHAIN_CUSTOMERS_ALL_DATA","cols=12;rows=5")</f>
        <v>329180 KS Equity</v>
      </c>
      <c r="VN5">
        <v>-2.4245362661989844E-14</v>
      </c>
      <c r="VP5">
        <v>-2.4245362661989844E-14</v>
      </c>
      <c r="VQ5" t="s">
        <v>1651</v>
      </c>
      <c r="VR5">
        <v>2022</v>
      </c>
      <c r="VS5" t="s">
        <v>2761</v>
      </c>
      <c r="VT5" s="6">
        <v>44879</v>
      </c>
      <c r="VU5">
        <v>5</v>
      </c>
      <c r="VV5">
        <v>-2.4245362661989844E-14</v>
      </c>
      <c r="VW5">
        <v>65893902</v>
      </c>
      <c r="VX5" t="s">
        <v>2762</v>
      </c>
    </row>
    <row r="6" spans="1:600" x14ac:dyDescent="0.25">
      <c r="A6" t="s">
        <v>2266</v>
      </c>
      <c r="B6" t="s">
        <v>1685</v>
      </c>
      <c r="C6">
        <v>0.597939</v>
      </c>
      <c r="D6">
        <v>5.9714000000000003E-2</v>
      </c>
      <c r="E6" t="s">
        <v>1594</v>
      </c>
      <c r="F6">
        <v>2024</v>
      </c>
      <c r="G6" t="s">
        <v>2267</v>
      </c>
      <c r="H6" s="6">
        <v>45694</v>
      </c>
      <c r="I6">
        <v>5</v>
      </c>
      <c r="J6">
        <v>957052.25</v>
      </c>
      <c r="K6">
        <v>103579</v>
      </c>
      <c r="L6" t="s">
        <v>2268</v>
      </c>
      <c r="O6" t="s">
        <v>1791</v>
      </c>
      <c r="P6">
        <v>-2.4245362661989844E-14</v>
      </c>
      <c r="R6">
        <v>-2.4245362661989844E-14</v>
      </c>
      <c r="S6" t="s">
        <v>1792</v>
      </c>
      <c r="T6">
        <v>2025</v>
      </c>
      <c r="U6" t="s">
        <v>1793</v>
      </c>
      <c r="V6" s="6">
        <v>45894</v>
      </c>
      <c r="W6">
        <v>5</v>
      </c>
      <c r="X6">
        <v>-2.4245362661989844E-14</v>
      </c>
      <c r="Y6">
        <v>15149577</v>
      </c>
      <c r="Z6" t="s">
        <v>1794</v>
      </c>
      <c r="CM6" t="s">
        <v>3851</v>
      </c>
      <c r="CN6" t="s">
        <v>1598</v>
      </c>
      <c r="CO6">
        <v>1.0099320000000001</v>
      </c>
      <c r="CP6">
        <v>0.601661</v>
      </c>
      <c r="CQ6" t="s">
        <v>1599</v>
      </c>
      <c r="CR6">
        <v>2025</v>
      </c>
      <c r="CS6" t="s">
        <v>3852</v>
      </c>
      <c r="CT6" s="6">
        <v>46018</v>
      </c>
      <c r="CU6">
        <v>5</v>
      </c>
      <c r="CV6">
        <v>29795520</v>
      </c>
      <c r="CW6">
        <v>100412</v>
      </c>
      <c r="CX6" t="s">
        <v>3853</v>
      </c>
      <c r="DA6" t="s">
        <v>1679</v>
      </c>
      <c r="DB6">
        <v>0.313112</v>
      </c>
      <c r="DC6" t="s">
        <v>1598</v>
      </c>
      <c r="DD6">
        <v>0.40371899999999999</v>
      </c>
      <c r="DE6" t="s">
        <v>1603</v>
      </c>
      <c r="DF6">
        <v>2025</v>
      </c>
      <c r="DG6" t="s">
        <v>1680</v>
      </c>
      <c r="DH6" s="6">
        <v>45820</v>
      </c>
      <c r="DI6">
        <v>5</v>
      </c>
      <c r="DJ6">
        <v>16458816</v>
      </c>
      <c r="DK6">
        <v>12129192</v>
      </c>
      <c r="DL6" t="s">
        <v>1681</v>
      </c>
      <c r="EU6" t="s">
        <v>270</v>
      </c>
      <c r="EV6" t="s">
        <v>1598</v>
      </c>
      <c r="EW6">
        <v>5.077191</v>
      </c>
      <c r="EX6">
        <v>3.3744339999999999</v>
      </c>
      <c r="EY6" t="s">
        <v>1664</v>
      </c>
      <c r="EZ6">
        <v>2025</v>
      </c>
      <c r="FA6" t="s">
        <v>2827</v>
      </c>
      <c r="FB6" s="6">
        <v>45855</v>
      </c>
      <c r="FC6">
        <v>5</v>
      </c>
      <c r="FD6">
        <v>1165900800</v>
      </c>
      <c r="FE6">
        <v>101158</v>
      </c>
      <c r="FF6" t="s">
        <v>4424</v>
      </c>
      <c r="JK6" t="s">
        <v>2361</v>
      </c>
      <c r="JL6" t="s">
        <v>1598</v>
      </c>
      <c r="JM6">
        <v>12.627013</v>
      </c>
      <c r="JN6">
        <v>0.18209500000000001</v>
      </c>
      <c r="JO6" t="s">
        <v>1599</v>
      </c>
      <c r="JP6">
        <v>2025</v>
      </c>
      <c r="JQ6" t="s">
        <v>3406</v>
      </c>
      <c r="JR6" s="6">
        <v>46050</v>
      </c>
      <c r="JS6">
        <v>5</v>
      </c>
      <c r="JT6">
        <v>172482464</v>
      </c>
      <c r="JU6">
        <v>126255</v>
      </c>
      <c r="JV6" t="s">
        <v>2363</v>
      </c>
      <c r="JY6" t="s">
        <v>1621</v>
      </c>
      <c r="JZ6">
        <v>-2.4245362661989844E-14</v>
      </c>
      <c r="KB6">
        <v>-2.4245362661989844E-14</v>
      </c>
      <c r="KC6" t="s">
        <v>1594</v>
      </c>
      <c r="KD6">
        <v>2024</v>
      </c>
      <c r="KE6" t="s">
        <v>2840</v>
      </c>
      <c r="KF6" s="6">
        <v>45715</v>
      </c>
      <c r="KG6">
        <v>5</v>
      </c>
      <c r="KH6">
        <v>-2.4245362661989844E-14</v>
      </c>
      <c r="KI6">
        <v>218252</v>
      </c>
      <c r="KJ6" t="s">
        <v>1622</v>
      </c>
      <c r="LS6" t="s">
        <v>2003</v>
      </c>
      <c r="LT6" t="s">
        <v>1634</v>
      </c>
      <c r="LU6">
        <v>4.1180000000000001E-2</v>
      </c>
      <c r="LV6">
        <v>13.423301</v>
      </c>
      <c r="LW6" t="s">
        <v>1606</v>
      </c>
      <c r="LX6">
        <v>2026</v>
      </c>
      <c r="LY6" t="s">
        <v>2004</v>
      </c>
      <c r="LZ6" s="6">
        <v>46087</v>
      </c>
      <c r="MA6">
        <v>5</v>
      </c>
      <c r="MB6">
        <v>28054700</v>
      </c>
      <c r="MC6">
        <v>313657</v>
      </c>
      <c r="MD6" t="s">
        <v>2005</v>
      </c>
      <c r="MG6" t="s">
        <v>117</v>
      </c>
      <c r="MH6">
        <v>0.84484700000000001</v>
      </c>
      <c r="MI6" t="s">
        <v>1598</v>
      </c>
      <c r="MJ6">
        <v>1.296859</v>
      </c>
      <c r="MK6" t="s">
        <v>1603</v>
      </c>
      <c r="ML6">
        <v>2025</v>
      </c>
      <c r="MM6" t="s">
        <v>1744</v>
      </c>
      <c r="MN6" s="6">
        <v>45797</v>
      </c>
      <c r="MO6">
        <v>5</v>
      </c>
      <c r="MP6">
        <v>84425520</v>
      </c>
      <c r="MQ6">
        <v>100801</v>
      </c>
      <c r="MR6" t="s">
        <v>1745</v>
      </c>
      <c r="MW6" t="s">
        <v>2559</v>
      </c>
      <c r="MX6" t="s">
        <v>1598</v>
      </c>
      <c r="MY6">
        <v>1.018543</v>
      </c>
      <c r="MZ6">
        <v>2.5207570000000001</v>
      </c>
      <c r="NA6" t="s">
        <v>1599</v>
      </c>
      <c r="NB6">
        <v>2025</v>
      </c>
      <c r="NC6" t="s">
        <v>2560</v>
      </c>
      <c r="ND6" s="6">
        <v>45867</v>
      </c>
      <c r="NE6">
        <v>5</v>
      </c>
      <c r="NF6">
        <v>79731544</v>
      </c>
      <c r="NG6">
        <v>117092</v>
      </c>
      <c r="NH6" t="s">
        <v>2561</v>
      </c>
      <c r="NK6" t="s">
        <v>365</v>
      </c>
      <c r="NL6">
        <v>9.3258969999999994</v>
      </c>
      <c r="NM6" t="s">
        <v>1598</v>
      </c>
      <c r="NN6">
        <v>1.279277</v>
      </c>
      <c r="NO6" t="s">
        <v>1603</v>
      </c>
      <c r="NP6">
        <v>2025</v>
      </c>
      <c r="NQ6" t="s">
        <v>3674</v>
      </c>
      <c r="NR6" s="6">
        <v>45849</v>
      </c>
      <c r="NS6">
        <v>5</v>
      </c>
      <c r="NT6">
        <v>337690720</v>
      </c>
      <c r="NU6">
        <v>100743</v>
      </c>
      <c r="NV6" t="s">
        <v>1904</v>
      </c>
      <c r="OA6" t="s">
        <v>2361</v>
      </c>
      <c r="OB6" t="s">
        <v>1598</v>
      </c>
      <c r="OC6">
        <v>2.8125499999999999</v>
      </c>
      <c r="OD6">
        <v>1.308325</v>
      </c>
      <c r="OE6" t="s">
        <v>1594</v>
      </c>
      <c r="OF6">
        <v>2025</v>
      </c>
      <c r="OG6" t="s">
        <v>2362</v>
      </c>
      <c r="OH6" s="6">
        <v>46063</v>
      </c>
      <c r="OI6">
        <v>5</v>
      </c>
      <c r="OJ6">
        <v>36150000</v>
      </c>
      <c r="OK6">
        <v>126255</v>
      </c>
      <c r="OL6" t="s">
        <v>2363</v>
      </c>
      <c r="OO6" t="s">
        <v>959</v>
      </c>
      <c r="OP6">
        <v>22.163627999999999</v>
      </c>
      <c r="OQ6" t="s">
        <v>1598</v>
      </c>
      <c r="OR6">
        <v>4.8294360000000003</v>
      </c>
      <c r="OS6" t="s">
        <v>1599</v>
      </c>
      <c r="OT6">
        <v>2025</v>
      </c>
      <c r="OU6" t="s">
        <v>1859</v>
      </c>
      <c r="OV6" s="6">
        <v>46041</v>
      </c>
      <c r="OW6">
        <v>5</v>
      </c>
      <c r="OX6">
        <v>3900975616</v>
      </c>
      <c r="OY6">
        <v>156969</v>
      </c>
      <c r="OZ6" t="s">
        <v>1767</v>
      </c>
      <c r="PE6" t="s">
        <v>2964</v>
      </c>
      <c r="PF6" t="s">
        <v>1598</v>
      </c>
      <c r="PG6">
        <v>4.3933309999999999</v>
      </c>
      <c r="PH6">
        <v>0.332347</v>
      </c>
      <c r="PI6" t="s">
        <v>1606</v>
      </c>
      <c r="PJ6">
        <v>2025</v>
      </c>
      <c r="PK6" t="s">
        <v>2965</v>
      </c>
      <c r="PL6" s="6">
        <v>46077</v>
      </c>
      <c r="PM6">
        <v>5</v>
      </c>
      <c r="PN6">
        <v>140147264</v>
      </c>
      <c r="PO6">
        <v>107741</v>
      </c>
      <c r="PP6" t="s">
        <v>2966</v>
      </c>
      <c r="PS6" t="s">
        <v>2452</v>
      </c>
      <c r="PT6">
        <v>6.22</v>
      </c>
      <c r="PV6">
        <v>-2.4245362661989844E-14</v>
      </c>
      <c r="PW6" t="s">
        <v>1603</v>
      </c>
      <c r="PX6">
        <v>2025</v>
      </c>
      <c r="PY6" t="s">
        <v>2450</v>
      </c>
      <c r="PZ6" s="6">
        <v>45839</v>
      </c>
      <c r="QA6">
        <v>5</v>
      </c>
      <c r="QB6">
        <v>2899763968</v>
      </c>
      <c r="QC6">
        <v>952397</v>
      </c>
      <c r="QD6" t="s">
        <v>2453</v>
      </c>
      <c r="QI6" t="s">
        <v>2054</v>
      </c>
      <c r="QJ6" t="s">
        <v>1685</v>
      </c>
      <c r="QK6">
        <v>1.151538</v>
      </c>
      <c r="QL6">
        <v>7.7191999999999997E-2</v>
      </c>
      <c r="QM6" t="s">
        <v>1594</v>
      </c>
      <c r="QN6">
        <v>2024</v>
      </c>
      <c r="QO6" t="s">
        <v>2055</v>
      </c>
      <c r="QP6" s="6">
        <v>45716</v>
      </c>
      <c r="QQ6">
        <v>5</v>
      </c>
      <c r="QR6">
        <v>2317499</v>
      </c>
      <c r="QS6">
        <v>35300053</v>
      </c>
      <c r="QT6" t="s">
        <v>2056</v>
      </c>
      <c r="RM6" t="s">
        <v>2852</v>
      </c>
      <c r="RO6">
        <v>-2.4245362661989844E-14</v>
      </c>
      <c r="RP6">
        <v>-2.4245362661989844E-14</v>
      </c>
      <c r="RQ6" t="s">
        <v>1599</v>
      </c>
      <c r="RR6">
        <v>2023</v>
      </c>
      <c r="RS6" t="s">
        <v>2853</v>
      </c>
      <c r="RT6" s="6">
        <v>45152</v>
      </c>
      <c r="RU6">
        <v>5</v>
      </c>
      <c r="RV6">
        <v>-2.4245362661989844E-14</v>
      </c>
      <c r="RW6">
        <v>69818423</v>
      </c>
      <c r="RX6" t="s">
        <v>2854</v>
      </c>
      <c r="SA6" t="s">
        <v>4660</v>
      </c>
      <c r="SB6">
        <v>-2.4245362661989844E-14</v>
      </c>
      <c r="SD6">
        <v>-2.4245362661989844E-14</v>
      </c>
      <c r="SE6" t="s">
        <v>1594</v>
      </c>
      <c r="SF6">
        <v>2023</v>
      </c>
      <c r="SG6" t="s">
        <v>4658</v>
      </c>
      <c r="SH6" s="6">
        <v>45348</v>
      </c>
      <c r="SI6">
        <v>5</v>
      </c>
      <c r="SJ6">
        <v>-2.4245362661989844E-14</v>
      </c>
      <c r="SK6">
        <v>8956044</v>
      </c>
      <c r="SL6" t="s">
        <v>4661</v>
      </c>
      <c r="SQ6" t="s">
        <v>3466</v>
      </c>
      <c r="SS6">
        <v>-2.4245362661989844E-14</v>
      </c>
      <c r="ST6">
        <v>-2.4245362661989844E-14</v>
      </c>
      <c r="SU6" t="s">
        <v>1603</v>
      </c>
      <c r="SV6">
        <v>2024</v>
      </c>
      <c r="SW6" t="s">
        <v>3467</v>
      </c>
      <c r="SX6" s="6">
        <v>45421</v>
      </c>
      <c r="SY6">
        <v>5</v>
      </c>
      <c r="SZ6">
        <v>-2.4245362661989844E-14</v>
      </c>
      <c r="TA6">
        <v>65608618</v>
      </c>
      <c r="TB6" t="s">
        <v>3468</v>
      </c>
      <c r="TU6" t="s">
        <v>2072</v>
      </c>
      <c r="TV6" t="s">
        <v>1598</v>
      </c>
      <c r="TW6">
        <v>1.794009</v>
      </c>
      <c r="TX6">
        <v>0.10460800000000001</v>
      </c>
      <c r="TY6" t="s">
        <v>1599</v>
      </c>
      <c r="TZ6">
        <v>2025</v>
      </c>
      <c r="UA6" t="s">
        <v>2073</v>
      </c>
      <c r="UB6" s="6">
        <v>46027</v>
      </c>
      <c r="UC6">
        <v>5</v>
      </c>
      <c r="UD6">
        <v>11374017</v>
      </c>
      <c r="UE6">
        <v>36965288</v>
      </c>
      <c r="UF6" t="s">
        <v>2074</v>
      </c>
      <c r="UI6" t="s">
        <v>1813</v>
      </c>
      <c r="UJ6">
        <v>-2.4245362661989844E-14</v>
      </c>
      <c r="UL6">
        <v>-2.4245362661989844E-14</v>
      </c>
      <c r="UM6" t="s">
        <v>1594</v>
      </c>
      <c r="UN6">
        <v>2023</v>
      </c>
      <c r="UO6" t="s">
        <v>4335</v>
      </c>
      <c r="UP6" s="6">
        <v>45351</v>
      </c>
      <c r="UQ6">
        <v>4</v>
      </c>
      <c r="UR6">
        <v>-2.4245362661989844E-14</v>
      </c>
      <c r="US6">
        <v>100228</v>
      </c>
      <c r="UT6" t="s">
        <v>1814</v>
      </c>
      <c r="UY6" t="s">
        <v>2072</v>
      </c>
      <c r="UZ6" t="s">
        <v>1598</v>
      </c>
      <c r="VA6">
        <v>0.52293800000000001</v>
      </c>
      <c r="VB6">
        <v>0.187949</v>
      </c>
      <c r="VC6" t="s">
        <v>1599</v>
      </c>
      <c r="VD6">
        <v>2025</v>
      </c>
      <c r="VE6" t="s">
        <v>2073</v>
      </c>
      <c r="VF6" s="6">
        <v>46027</v>
      </c>
      <c r="VG6">
        <v>5</v>
      </c>
      <c r="VH6">
        <v>3315427</v>
      </c>
      <c r="VI6">
        <v>36965288</v>
      </c>
      <c r="VJ6" t="s">
        <v>2074</v>
      </c>
      <c r="VM6" t="s">
        <v>2763</v>
      </c>
      <c r="VN6">
        <v>-2.4245362661989844E-14</v>
      </c>
      <c r="VP6">
        <v>-2.4245362661989844E-14</v>
      </c>
      <c r="VQ6" t="s">
        <v>1594</v>
      </c>
      <c r="VR6">
        <v>2023</v>
      </c>
      <c r="VS6" t="s">
        <v>2764</v>
      </c>
      <c r="VT6" s="6">
        <v>45028</v>
      </c>
      <c r="VU6">
        <v>5</v>
      </c>
      <c r="VV6">
        <v>-2.4245362661989844E-14</v>
      </c>
      <c r="VW6">
        <v>21481240</v>
      </c>
      <c r="VX6" t="s">
        <v>2765</v>
      </c>
    </row>
    <row r="7" spans="1:600" x14ac:dyDescent="0.25">
      <c r="A7" t="s">
        <v>2269</v>
      </c>
      <c r="B7" t="s">
        <v>1598</v>
      </c>
      <c r="C7">
        <v>7.4065000000000006E-2</v>
      </c>
      <c r="D7">
        <v>2.879E-3</v>
      </c>
      <c r="E7" t="s">
        <v>1594</v>
      </c>
      <c r="F7">
        <v>2024</v>
      </c>
      <c r="G7" t="s">
        <v>2270</v>
      </c>
      <c r="H7" s="6">
        <v>45758</v>
      </c>
      <c r="I7">
        <v>5</v>
      </c>
      <c r="J7">
        <v>46697.46</v>
      </c>
      <c r="K7">
        <v>130878</v>
      </c>
      <c r="L7" t="s">
        <v>2271</v>
      </c>
      <c r="O7" t="s">
        <v>1795</v>
      </c>
      <c r="P7">
        <v>-2.4245362661989844E-14</v>
      </c>
      <c r="R7">
        <v>-2.4245362661989844E-14</v>
      </c>
      <c r="S7" t="s">
        <v>1664</v>
      </c>
      <c r="T7">
        <v>2024</v>
      </c>
      <c r="U7" t="s">
        <v>1796</v>
      </c>
      <c r="V7" s="6">
        <v>45433</v>
      </c>
      <c r="W7">
        <v>5</v>
      </c>
      <c r="X7">
        <v>-2.4245362661989844E-14</v>
      </c>
      <c r="Y7">
        <v>27196144</v>
      </c>
      <c r="Z7" t="s">
        <v>1797</v>
      </c>
      <c r="CM7" t="s">
        <v>4258</v>
      </c>
      <c r="CN7" t="s">
        <v>1685</v>
      </c>
      <c r="CO7">
        <v>2.7171280000000002</v>
      </c>
      <c r="CP7">
        <v>0.14618900000000001</v>
      </c>
      <c r="CQ7" t="s">
        <v>1594</v>
      </c>
      <c r="CR7">
        <v>2024</v>
      </c>
      <c r="CS7" t="s">
        <v>4259</v>
      </c>
      <c r="CT7" s="6">
        <v>45736</v>
      </c>
      <c r="CU7">
        <v>5</v>
      </c>
      <c r="CV7">
        <v>7572601.0800000001</v>
      </c>
      <c r="CW7">
        <v>157483</v>
      </c>
      <c r="CX7" t="s">
        <v>4260</v>
      </c>
      <c r="DA7" t="s">
        <v>6297</v>
      </c>
      <c r="DB7">
        <v>4.6843999999999997E-2</v>
      </c>
      <c r="DC7" t="s">
        <v>1598</v>
      </c>
      <c r="DD7">
        <v>0.26196999999999998</v>
      </c>
      <c r="DE7" t="s">
        <v>1594</v>
      </c>
      <c r="DF7">
        <v>2025</v>
      </c>
      <c r="DG7" t="s">
        <v>6298</v>
      </c>
      <c r="DH7" s="6">
        <v>45850</v>
      </c>
      <c r="DI7">
        <v>5</v>
      </c>
      <c r="DJ7">
        <v>2776938.8</v>
      </c>
      <c r="DK7">
        <v>174504</v>
      </c>
      <c r="DL7" t="s">
        <v>6299</v>
      </c>
      <c r="EU7" t="s">
        <v>1866</v>
      </c>
      <c r="EV7" t="s">
        <v>1598</v>
      </c>
      <c r="EW7">
        <v>2.850114</v>
      </c>
      <c r="EX7">
        <v>2.1460170000000001</v>
      </c>
      <c r="EY7" t="s">
        <v>1664</v>
      </c>
      <c r="EZ7">
        <v>2025</v>
      </c>
      <c r="FA7" t="s">
        <v>5617</v>
      </c>
      <c r="FB7" s="6">
        <v>45896</v>
      </c>
      <c r="FC7">
        <v>5</v>
      </c>
      <c r="FD7">
        <v>765744836.12</v>
      </c>
      <c r="FE7">
        <v>112571</v>
      </c>
      <c r="FF7" t="s">
        <v>1867</v>
      </c>
      <c r="JK7" t="s">
        <v>3407</v>
      </c>
      <c r="JL7" t="s">
        <v>1598</v>
      </c>
      <c r="JM7">
        <v>1.035563</v>
      </c>
      <c r="JN7">
        <v>0.169491</v>
      </c>
      <c r="JO7" t="s">
        <v>1599</v>
      </c>
      <c r="JP7">
        <v>2025</v>
      </c>
      <c r="JQ7" t="s">
        <v>3408</v>
      </c>
      <c r="JR7" s="6">
        <v>46080</v>
      </c>
      <c r="JS7">
        <v>5</v>
      </c>
      <c r="JT7">
        <v>160543328</v>
      </c>
      <c r="JU7">
        <v>111093</v>
      </c>
      <c r="JV7" t="s">
        <v>3409</v>
      </c>
      <c r="JY7" t="s">
        <v>117</v>
      </c>
      <c r="JZ7">
        <v>-2.4245362661989844E-14</v>
      </c>
      <c r="KB7">
        <v>-2.4245362661989844E-14</v>
      </c>
      <c r="KC7" t="s">
        <v>1594</v>
      </c>
      <c r="KD7">
        <v>2023</v>
      </c>
      <c r="KE7" t="s">
        <v>2841</v>
      </c>
      <c r="KF7" s="6">
        <v>45398</v>
      </c>
      <c r="KG7">
        <v>5</v>
      </c>
      <c r="KH7">
        <v>-2.4245362661989844E-14</v>
      </c>
      <c r="KI7">
        <v>100801</v>
      </c>
      <c r="KJ7" t="s">
        <v>1745</v>
      </c>
      <c r="LS7" t="s">
        <v>117</v>
      </c>
      <c r="LT7" t="s">
        <v>1598</v>
      </c>
      <c r="LU7">
        <v>0.16295799999999999</v>
      </c>
      <c r="LV7">
        <v>1.068819</v>
      </c>
      <c r="LW7" t="s">
        <v>1603</v>
      </c>
      <c r="LX7">
        <v>2025</v>
      </c>
      <c r="LY7" t="s">
        <v>1744</v>
      </c>
      <c r="LZ7" s="6">
        <v>45797</v>
      </c>
      <c r="MA7">
        <v>5</v>
      </c>
      <c r="MB7">
        <v>23695724</v>
      </c>
      <c r="MC7">
        <v>100801</v>
      </c>
      <c r="MD7" t="s">
        <v>1745</v>
      </c>
      <c r="MG7" t="s">
        <v>2796</v>
      </c>
      <c r="MH7">
        <v>0.41590500000000002</v>
      </c>
      <c r="MI7" t="s">
        <v>1598</v>
      </c>
      <c r="MJ7">
        <v>0.224246</v>
      </c>
      <c r="MK7" t="s">
        <v>1603</v>
      </c>
      <c r="ML7">
        <v>2026</v>
      </c>
      <c r="MM7" t="s">
        <v>2797</v>
      </c>
      <c r="MN7" s="6">
        <v>45973</v>
      </c>
      <c r="MO7">
        <v>5</v>
      </c>
      <c r="MP7">
        <v>42314193.82</v>
      </c>
      <c r="MQ7">
        <v>16857643</v>
      </c>
      <c r="MR7" t="s">
        <v>2798</v>
      </c>
      <c r="MW7" t="s">
        <v>3829</v>
      </c>
      <c r="MX7" t="s">
        <v>1598</v>
      </c>
      <c r="MY7">
        <v>0.32259199999999999</v>
      </c>
      <c r="MZ7">
        <v>1.5920780000000001</v>
      </c>
      <c r="NA7" t="s">
        <v>1664</v>
      </c>
      <c r="NB7">
        <v>2025</v>
      </c>
      <c r="NC7" t="s">
        <v>3830</v>
      </c>
      <c r="ND7" s="6">
        <v>45940</v>
      </c>
      <c r="NE7">
        <v>5</v>
      </c>
      <c r="NF7">
        <v>50357416</v>
      </c>
      <c r="NG7">
        <v>225547</v>
      </c>
      <c r="NH7" t="s">
        <v>3831</v>
      </c>
      <c r="NK7" t="s">
        <v>1774</v>
      </c>
      <c r="NL7">
        <v>4.6741029999999997</v>
      </c>
      <c r="NM7" t="s">
        <v>1598</v>
      </c>
      <c r="NN7">
        <v>2.0000499999999999</v>
      </c>
      <c r="NO7" t="s">
        <v>1603</v>
      </c>
      <c r="NP7">
        <v>2025</v>
      </c>
      <c r="NQ7" t="s">
        <v>3674</v>
      </c>
      <c r="NR7" s="6">
        <v>45849</v>
      </c>
      <c r="NS7">
        <v>5</v>
      </c>
      <c r="NT7">
        <v>169249264</v>
      </c>
      <c r="NU7">
        <v>100197</v>
      </c>
      <c r="NV7" t="s">
        <v>1775</v>
      </c>
      <c r="OA7" t="s">
        <v>2364</v>
      </c>
      <c r="OB7" t="s">
        <v>1598</v>
      </c>
      <c r="OC7">
        <v>13.694044</v>
      </c>
      <c r="OD7">
        <v>1.0251479999999999</v>
      </c>
      <c r="OE7" t="s">
        <v>1594</v>
      </c>
      <c r="OF7">
        <v>2024</v>
      </c>
      <c r="OG7" t="s">
        <v>2365</v>
      </c>
      <c r="OH7" s="6">
        <v>45735</v>
      </c>
      <c r="OI7">
        <v>5</v>
      </c>
      <c r="OJ7">
        <v>21575000</v>
      </c>
      <c r="OK7">
        <v>10664510</v>
      </c>
      <c r="OL7" t="s">
        <v>2366</v>
      </c>
      <c r="OO7" t="s">
        <v>618</v>
      </c>
      <c r="OP7">
        <v>19.020800000000001</v>
      </c>
      <c r="OQ7" t="s">
        <v>1598</v>
      </c>
      <c r="OR7">
        <v>5.4268320000000001</v>
      </c>
      <c r="OS7" t="s">
        <v>1599</v>
      </c>
      <c r="OT7">
        <v>2025</v>
      </c>
      <c r="OU7" t="s">
        <v>1859</v>
      </c>
      <c r="OV7" s="6">
        <v>46041</v>
      </c>
      <c r="OW7">
        <v>5</v>
      </c>
      <c r="OX7">
        <v>3347812864</v>
      </c>
      <c r="OY7">
        <v>102782</v>
      </c>
      <c r="OZ7" t="s">
        <v>1626</v>
      </c>
      <c r="PE7" t="s">
        <v>2967</v>
      </c>
      <c r="PF7" t="s">
        <v>1685</v>
      </c>
      <c r="PG7">
        <v>20.650155999999999</v>
      </c>
      <c r="PH7">
        <v>1.6579189999999999</v>
      </c>
      <c r="PI7" t="s">
        <v>1594</v>
      </c>
      <c r="PJ7">
        <v>2024</v>
      </c>
      <c r="PK7" t="s">
        <v>2968</v>
      </c>
      <c r="PL7" s="6">
        <v>45719</v>
      </c>
      <c r="PM7">
        <v>5</v>
      </c>
      <c r="PN7">
        <v>51395504</v>
      </c>
      <c r="PO7">
        <v>8992842</v>
      </c>
      <c r="PP7" t="s">
        <v>2969</v>
      </c>
      <c r="PS7" t="s">
        <v>2454</v>
      </c>
      <c r="PT7">
        <v>5.44</v>
      </c>
      <c r="PV7">
        <v>-2.4245362661989844E-14</v>
      </c>
      <c r="PW7" t="s">
        <v>1603</v>
      </c>
      <c r="PX7">
        <v>2025</v>
      </c>
      <c r="PY7" t="s">
        <v>2450</v>
      </c>
      <c r="PZ7" s="6">
        <v>45839</v>
      </c>
      <c r="QA7">
        <v>5</v>
      </c>
      <c r="QB7">
        <v>2536128000</v>
      </c>
      <c r="QC7">
        <v>201826</v>
      </c>
      <c r="QD7" t="s">
        <v>2455</v>
      </c>
      <c r="QI7" t="s">
        <v>2057</v>
      </c>
      <c r="QJ7" t="s">
        <v>1685</v>
      </c>
      <c r="QK7">
        <v>0.492811</v>
      </c>
      <c r="QL7">
        <v>2.9784000000000001E-2</v>
      </c>
      <c r="QM7" t="s">
        <v>1603</v>
      </c>
      <c r="QN7">
        <v>2026</v>
      </c>
      <c r="QO7" t="s">
        <v>2058</v>
      </c>
      <c r="QP7" s="6">
        <v>45898</v>
      </c>
      <c r="QQ7">
        <v>5</v>
      </c>
      <c r="QR7">
        <v>889383.69</v>
      </c>
      <c r="QS7">
        <v>178651</v>
      </c>
      <c r="QT7" t="s">
        <v>2059</v>
      </c>
      <c r="RM7" t="s">
        <v>5454</v>
      </c>
      <c r="RO7">
        <v>-2.4245362661989844E-14</v>
      </c>
      <c r="RP7">
        <v>-2.4245362661989844E-14</v>
      </c>
      <c r="RQ7" t="s">
        <v>1606</v>
      </c>
      <c r="RR7">
        <v>2022</v>
      </c>
      <c r="RS7" t="s">
        <v>5455</v>
      </c>
      <c r="RT7" s="6">
        <v>44985</v>
      </c>
      <c r="RU7">
        <v>5</v>
      </c>
      <c r="RV7">
        <v>-2.4245362661989844E-14</v>
      </c>
      <c r="RW7">
        <v>53071268</v>
      </c>
      <c r="RX7" t="s">
        <v>5456</v>
      </c>
      <c r="SA7" t="s">
        <v>4099</v>
      </c>
      <c r="SB7">
        <v>-2.4245362661989844E-14</v>
      </c>
      <c r="SD7">
        <v>-2.4245362661989844E-14</v>
      </c>
      <c r="SE7" t="s">
        <v>1594</v>
      </c>
      <c r="SF7">
        <v>2023</v>
      </c>
      <c r="SG7" t="s">
        <v>4658</v>
      </c>
      <c r="SH7" s="6">
        <v>45348</v>
      </c>
      <c r="SI7">
        <v>5</v>
      </c>
      <c r="SJ7">
        <v>-2.4245362661989844E-14</v>
      </c>
      <c r="SK7">
        <v>17234565</v>
      </c>
      <c r="SL7" t="s">
        <v>4101</v>
      </c>
      <c r="SQ7" t="s">
        <v>5246</v>
      </c>
      <c r="SS7">
        <v>-2.4245362661989844E-14</v>
      </c>
      <c r="ST7">
        <v>-2.4245362661989844E-14</v>
      </c>
      <c r="SU7" t="s">
        <v>1606</v>
      </c>
      <c r="SV7">
        <v>2023</v>
      </c>
      <c r="SW7" t="s">
        <v>5247</v>
      </c>
      <c r="SX7" s="6">
        <v>45329</v>
      </c>
      <c r="SY7">
        <v>5</v>
      </c>
      <c r="SZ7">
        <v>-2.4245362661989844E-14</v>
      </c>
      <c r="TA7">
        <v>11213545</v>
      </c>
      <c r="TB7" t="s">
        <v>5248</v>
      </c>
      <c r="TU7" t="s">
        <v>2320</v>
      </c>
      <c r="TV7" t="s">
        <v>1634</v>
      </c>
      <c r="TW7">
        <v>4.4597999999999999E-2</v>
      </c>
      <c r="TX7">
        <v>1.8397060000000001</v>
      </c>
      <c r="TY7" t="s">
        <v>1599</v>
      </c>
      <c r="TZ7">
        <v>2025</v>
      </c>
      <c r="UA7" t="s">
        <v>2321</v>
      </c>
      <c r="UB7" s="6">
        <v>45975</v>
      </c>
      <c r="UC7">
        <v>5</v>
      </c>
      <c r="UD7">
        <v>3403455</v>
      </c>
      <c r="UE7">
        <v>305366</v>
      </c>
      <c r="UF7" t="s">
        <v>2322</v>
      </c>
      <c r="UI7" t="s">
        <v>4336</v>
      </c>
      <c r="UJ7">
        <v>-2.4245362661989844E-14</v>
      </c>
      <c r="UL7">
        <v>-2.4245362661989844E-14</v>
      </c>
      <c r="UM7" t="s">
        <v>1594</v>
      </c>
      <c r="UN7">
        <v>2024</v>
      </c>
      <c r="UO7" t="s">
        <v>4337</v>
      </c>
      <c r="UP7" s="6">
        <v>45719</v>
      </c>
      <c r="UQ7">
        <v>4</v>
      </c>
      <c r="UR7">
        <v>-2.4245362661989844E-14</v>
      </c>
      <c r="US7">
        <v>35560520</v>
      </c>
      <c r="UT7" t="s">
        <v>4338</v>
      </c>
      <c r="UY7" t="s">
        <v>3313</v>
      </c>
      <c r="UZ7" t="s">
        <v>1598</v>
      </c>
      <c r="VA7">
        <v>0.26110299999999997</v>
      </c>
      <c r="VB7">
        <v>6.7391999999999994E-2</v>
      </c>
      <c r="VC7" t="s">
        <v>1664</v>
      </c>
      <c r="VD7">
        <v>2026</v>
      </c>
      <c r="VE7" t="s">
        <v>3314</v>
      </c>
      <c r="VF7" s="6">
        <v>45966</v>
      </c>
      <c r="VG7">
        <v>5</v>
      </c>
      <c r="VH7">
        <v>1188802</v>
      </c>
      <c r="VI7">
        <v>9777162</v>
      </c>
      <c r="VJ7" t="s">
        <v>3315</v>
      </c>
      <c r="VM7" t="s">
        <v>2766</v>
      </c>
      <c r="VN7">
        <v>-2.4245362661989844E-14</v>
      </c>
      <c r="VP7">
        <v>-2.4245362661989844E-14</v>
      </c>
      <c r="VQ7" t="s">
        <v>1594</v>
      </c>
      <c r="VR7">
        <v>2022</v>
      </c>
      <c r="VS7" t="s">
        <v>2767</v>
      </c>
      <c r="VT7" s="6">
        <v>45174</v>
      </c>
      <c r="VU7">
        <v>5</v>
      </c>
      <c r="VV7">
        <v>-2.4245362661989844E-14</v>
      </c>
      <c r="VW7">
        <v>70808467</v>
      </c>
      <c r="VX7" t="s">
        <v>2768</v>
      </c>
    </row>
    <row r="8" spans="1:600" x14ac:dyDescent="0.25">
      <c r="A8" t="s">
        <v>2272</v>
      </c>
      <c r="B8" t="s">
        <v>1634</v>
      </c>
      <c r="C8">
        <v>2.0240000000000002E-3</v>
      </c>
      <c r="D8">
        <v>2.6168E-2</v>
      </c>
      <c r="E8" t="s">
        <v>1599</v>
      </c>
      <c r="F8">
        <v>2025</v>
      </c>
      <c r="G8" t="s">
        <v>2273</v>
      </c>
      <c r="H8" s="6">
        <v>45964</v>
      </c>
      <c r="I8">
        <v>5</v>
      </c>
      <c r="J8">
        <v>10506</v>
      </c>
      <c r="K8">
        <v>16546862</v>
      </c>
      <c r="L8" t="s">
        <v>2274</v>
      </c>
      <c r="O8" t="s">
        <v>1798</v>
      </c>
      <c r="P8">
        <v>-2.4245362661989844E-14</v>
      </c>
      <c r="R8">
        <v>-2.4245362661989844E-14</v>
      </c>
      <c r="S8" t="s">
        <v>1594</v>
      </c>
      <c r="T8">
        <v>2024</v>
      </c>
      <c r="U8" t="s">
        <v>1799</v>
      </c>
      <c r="V8" s="6">
        <v>45771</v>
      </c>
      <c r="W8">
        <v>5</v>
      </c>
      <c r="X8">
        <v>-2.4245362661989844E-14</v>
      </c>
      <c r="Y8">
        <v>135686</v>
      </c>
      <c r="Z8" t="s">
        <v>1800</v>
      </c>
      <c r="CM8" t="s">
        <v>3622</v>
      </c>
      <c r="CN8" t="s">
        <v>1634</v>
      </c>
      <c r="CO8">
        <v>0.14343700000000001</v>
      </c>
      <c r="CP8">
        <v>10.974895</v>
      </c>
      <c r="CQ8" t="s">
        <v>1664</v>
      </c>
      <c r="CR8">
        <v>2025</v>
      </c>
      <c r="CS8" t="s">
        <v>4261</v>
      </c>
      <c r="CT8" s="6">
        <v>45933</v>
      </c>
      <c r="CU8">
        <v>5</v>
      </c>
      <c r="CV8">
        <v>7389848.1100000003</v>
      </c>
      <c r="CW8">
        <v>115790</v>
      </c>
      <c r="CX8" t="s">
        <v>3623</v>
      </c>
      <c r="DA8" t="s">
        <v>6300</v>
      </c>
      <c r="DB8">
        <v>3.6148E-2</v>
      </c>
      <c r="DC8" t="s">
        <v>1598</v>
      </c>
      <c r="DD8">
        <v>0.30626199999999998</v>
      </c>
      <c r="DE8" t="s">
        <v>1594</v>
      </c>
      <c r="DF8">
        <v>2024</v>
      </c>
      <c r="DG8" t="s">
        <v>6301</v>
      </c>
      <c r="DH8" s="6">
        <v>45733</v>
      </c>
      <c r="DI8">
        <v>5</v>
      </c>
      <c r="DJ8">
        <v>2705598.03</v>
      </c>
      <c r="DK8">
        <v>136340</v>
      </c>
      <c r="DL8" t="s">
        <v>6302</v>
      </c>
      <c r="EU8" t="s">
        <v>72</v>
      </c>
      <c r="EV8" t="s">
        <v>1598</v>
      </c>
      <c r="EW8">
        <v>2.936461</v>
      </c>
      <c r="EX8">
        <v>1.790807</v>
      </c>
      <c r="EY8" t="s">
        <v>1606</v>
      </c>
      <c r="EZ8">
        <v>2025</v>
      </c>
      <c r="FA8" t="s">
        <v>2670</v>
      </c>
      <c r="FB8" s="6">
        <v>45883</v>
      </c>
      <c r="FC8">
        <v>5</v>
      </c>
      <c r="FD8">
        <v>618741696</v>
      </c>
      <c r="FE8">
        <v>101215</v>
      </c>
      <c r="FF8" t="s">
        <v>1868</v>
      </c>
      <c r="JK8" t="s">
        <v>2223</v>
      </c>
      <c r="JL8" t="s">
        <v>1598</v>
      </c>
      <c r="JM8">
        <v>1.2087429999999999</v>
      </c>
      <c r="JN8">
        <v>0.14913000000000001</v>
      </c>
      <c r="JO8" t="s">
        <v>1599</v>
      </c>
      <c r="JP8">
        <v>2025</v>
      </c>
      <c r="JQ8" t="s">
        <v>2224</v>
      </c>
      <c r="JR8" s="6">
        <v>46049</v>
      </c>
      <c r="JS8">
        <v>5</v>
      </c>
      <c r="JT8">
        <v>141902324.31</v>
      </c>
      <c r="JU8">
        <v>101095</v>
      </c>
      <c r="JV8" t="s">
        <v>2225</v>
      </c>
      <c r="JY8" t="s">
        <v>1663</v>
      </c>
      <c r="JZ8">
        <v>-2.4245362661989844E-14</v>
      </c>
      <c r="KB8">
        <v>-2.4245362661989844E-14</v>
      </c>
      <c r="KC8" t="s">
        <v>1594</v>
      </c>
      <c r="KD8">
        <v>2024</v>
      </c>
      <c r="KE8" t="s">
        <v>2842</v>
      </c>
      <c r="KF8" s="6">
        <v>45367</v>
      </c>
      <c r="KG8">
        <v>5</v>
      </c>
      <c r="KH8">
        <v>-2.4245362661989844E-14</v>
      </c>
      <c r="KI8">
        <v>101616</v>
      </c>
      <c r="KJ8" t="s">
        <v>1666</v>
      </c>
      <c r="LS8" t="s">
        <v>3112</v>
      </c>
      <c r="LT8" t="s">
        <v>1685</v>
      </c>
      <c r="LU8">
        <v>0.25859599999999999</v>
      </c>
      <c r="LV8">
        <v>0.50587199999999999</v>
      </c>
      <c r="LW8" t="s">
        <v>1599</v>
      </c>
      <c r="LX8">
        <v>2026</v>
      </c>
      <c r="LY8" t="s">
        <v>3113</v>
      </c>
      <c r="LZ8" s="6">
        <v>46058</v>
      </c>
      <c r="MA8">
        <v>5</v>
      </c>
      <c r="MB8">
        <v>19471469.66</v>
      </c>
      <c r="MC8">
        <v>7259059</v>
      </c>
      <c r="MD8" t="s">
        <v>3114</v>
      </c>
      <c r="MG8" t="s">
        <v>1679</v>
      </c>
      <c r="MH8">
        <v>0.111719</v>
      </c>
      <c r="MI8" t="s">
        <v>1598</v>
      </c>
      <c r="MJ8">
        <v>0.26934900000000001</v>
      </c>
      <c r="MK8" t="s">
        <v>1603</v>
      </c>
      <c r="ML8">
        <v>2025</v>
      </c>
      <c r="MM8" t="s">
        <v>1680</v>
      </c>
      <c r="MN8" s="6">
        <v>45820</v>
      </c>
      <c r="MO8">
        <v>5</v>
      </c>
      <c r="MP8">
        <v>10980820</v>
      </c>
      <c r="MQ8">
        <v>12129192</v>
      </c>
      <c r="MR8" t="s">
        <v>1681</v>
      </c>
      <c r="MW8" t="s">
        <v>2556</v>
      </c>
      <c r="MX8" t="s">
        <v>1598</v>
      </c>
      <c r="MY8">
        <v>0.68493599999999999</v>
      </c>
      <c r="MZ8">
        <v>1.2959419999999999</v>
      </c>
      <c r="NA8" t="s">
        <v>1599</v>
      </c>
      <c r="NB8">
        <v>2025</v>
      </c>
      <c r="NC8" t="s">
        <v>2557</v>
      </c>
      <c r="ND8" s="6">
        <v>45763</v>
      </c>
      <c r="NE8">
        <v>5</v>
      </c>
      <c r="NF8">
        <v>44904404</v>
      </c>
      <c r="NG8">
        <v>136547</v>
      </c>
      <c r="NH8" t="s">
        <v>2558</v>
      </c>
      <c r="NK8" t="s">
        <v>1663</v>
      </c>
      <c r="NL8">
        <v>3.0597310000000002</v>
      </c>
      <c r="NM8" t="s">
        <v>1598</v>
      </c>
      <c r="NN8">
        <v>8.9131000000000002E-2</v>
      </c>
      <c r="NO8" t="s">
        <v>1603</v>
      </c>
      <c r="NP8">
        <v>2025</v>
      </c>
      <c r="NQ8" t="s">
        <v>3674</v>
      </c>
      <c r="NR8" s="6">
        <v>45849</v>
      </c>
      <c r="NS8">
        <v>5</v>
      </c>
      <c r="NT8">
        <v>110792864</v>
      </c>
      <c r="NU8">
        <v>101616</v>
      </c>
      <c r="NV8" t="s">
        <v>1666</v>
      </c>
      <c r="OA8" t="s">
        <v>2367</v>
      </c>
      <c r="OB8" t="s">
        <v>2128</v>
      </c>
      <c r="OC8">
        <v>2.0662310000000002</v>
      </c>
      <c r="OD8">
        <v>0.63925799999999999</v>
      </c>
      <c r="OE8" t="s">
        <v>1664</v>
      </c>
      <c r="OF8">
        <v>2025</v>
      </c>
      <c r="OG8" t="s">
        <v>2368</v>
      </c>
      <c r="OH8" s="6">
        <v>45921</v>
      </c>
      <c r="OI8">
        <v>5</v>
      </c>
      <c r="OJ8">
        <v>21326292</v>
      </c>
      <c r="OK8">
        <v>963610</v>
      </c>
      <c r="OL8" t="s">
        <v>2369</v>
      </c>
      <c r="OO8" t="s">
        <v>1860</v>
      </c>
      <c r="OP8">
        <v>5.4489999999999998</v>
      </c>
      <c r="OR8">
        <v>-2.4245362661989844E-14</v>
      </c>
      <c r="OS8" t="s">
        <v>1599</v>
      </c>
      <c r="OT8">
        <v>2025</v>
      </c>
      <c r="OU8" t="s">
        <v>1859</v>
      </c>
      <c r="OV8" s="6">
        <v>46041</v>
      </c>
      <c r="OW8">
        <v>5</v>
      </c>
      <c r="OX8">
        <v>959067584</v>
      </c>
      <c r="OY8">
        <v>199844</v>
      </c>
      <c r="OZ8" t="s">
        <v>1861</v>
      </c>
      <c r="PE8" t="s">
        <v>620</v>
      </c>
      <c r="PF8" t="s">
        <v>1598</v>
      </c>
      <c r="PG8">
        <v>0.34321200000000002</v>
      </c>
      <c r="PH8">
        <v>2.3015999999999998E-2</v>
      </c>
      <c r="PI8" t="s">
        <v>1664</v>
      </c>
      <c r="PJ8">
        <v>2025</v>
      </c>
      <c r="PK8" t="s">
        <v>2970</v>
      </c>
      <c r="PL8" s="6">
        <v>45891</v>
      </c>
      <c r="PM8">
        <v>5</v>
      </c>
      <c r="PN8">
        <v>9079673</v>
      </c>
      <c r="PO8">
        <v>104597</v>
      </c>
      <c r="PP8" t="s">
        <v>2971</v>
      </c>
      <c r="PS8" t="s">
        <v>2456</v>
      </c>
      <c r="PT8">
        <v>4.78</v>
      </c>
      <c r="PV8">
        <v>-2.4245362661989844E-14</v>
      </c>
      <c r="PW8" t="s">
        <v>1603</v>
      </c>
      <c r="PX8">
        <v>2025</v>
      </c>
      <c r="PY8" t="s">
        <v>2450</v>
      </c>
      <c r="PZ8" s="6">
        <v>45839</v>
      </c>
      <c r="QA8">
        <v>5</v>
      </c>
      <c r="QB8">
        <v>2228435968</v>
      </c>
      <c r="QC8">
        <v>209530</v>
      </c>
      <c r="QD8" t="s">
        <v>2457</v>
      </c>
      <c r="QI8" t="s">
        <v>2060</v>
      </c>
      <c r="QK8">
        <v>0.44397199999999998</v>
      </c>
      <c r="QL8">
        <v>-2.4245362661989844E-14</v>
      </c>
      <c r="QM8" t="s">
        <v>1606</v>
      </c>
      <c r="QN8">
        <v>2024</v>
      </c>
      <c r="QO8" t="s">
        <v>2061</v>
      </c>
      <c r="QP8" s="6">
        <v>45699</v>
      </c>
      <c r="QQ8">
        <v>5</v>
      </c>
      <c r="QR8">
        <v>316250</v>
      </c>
      <c r="QS8">
        <v>10086577</v>
      </c>
      <c r="QT8" t="s">
        <v>2062</v>
      </c>
      <c r="RM8" t="s">
        <v>5495</v>
      </c>
      <c r="RO8">
        <v>-2.4245362661989844E-14</v>
      </c>
      <c r="RP8">
        <v>-2.4245362661989844E-14</v>
      </c>
      <c r="RQ8" t="s">
        <v>1599</v>
      </c>
      <c r="RR8">
        <v>2023</v>
      </c>
      <c r="RS8" t="s">
        <v>5496</v>
      </c>
      <c r="RT8" s="6">
        <v>45245</v>
      </c>
      <c r="RU8">
        <v>5</v>
      </c>
      <c r="RV8">
        <v>-2.4245362661989844E-14</v>
      </c>
      <c r="RW8">
        <v>11957636</v>
      </c>
      <c r="RX8" t="s">
        <v>5497</v>
      </c>
      <c r="SA8" t="s">
        <v>1813</v>
      </c>
      <c r="SB8">
        <v>-2.4245362661989844E-14</v>
      </c>
      <c r="SD8">
        <v>-2.4245362661989844E-14</v>
      </c>
      <c r="SE8" t="s">
        <v>1594</v>
      </c>
      <c r="SF8">
        <v>2023</v>
      </c>
      <c r="SG8" t="s">
        <v>4658</v>
      </c>
      <c r="SH8" s="6">
        <v>45348</v>
      </c>
      <c r="SI8">
        <v>5</v>
      </c>
      <c r="SJ8">
        <v>-2.4245362661989844E-14</v>
      </c>
      <c r="SK8">
        <v>100228</v>
      </c>
      <c r="SL8" t="s">
        <v>1814</v>
      </c>
      <c r="SQ8" t="s">
        <v>3024</v>
      </c>
      <c r="SS8">
        <v>-2.4245362661989844E-14</v>
      </c>
      <c r="ST8">
        <v>-2.4245362661989844E-14</v>
      </c>
      <c r="SU8" t="s">
        <v>1599</v>
      </c>
      <c r="SV8">
        <v>2023</v>
      </c>
      <c r="SW8" t="s">
        <v>5148</v>
      </c>
      <c r="SX8" s="6">
        <v>45231</v>
      </c>
      <c r="SY8">
        <v>5</v>
      </c>
      <c r="SZ8">
        <v>-2.4245362661989844E-14</v>
      </c>
      <c r="TA8">
        <v>69762655</v>
      </c>
      <c r="TB8" t="s">
        <v>3026</v>
      </c>
      <c r="TU8" t="s">
        <v>3238</v>
      </c>
      <c r="TV8" t="s">
        <v>1634</v>
      </c>
      <c r="TW8">
        <v>0.152477</v>
      </c>
      <c r="TX8">
        <v>0.41281099999999998</v>
      </c>
      <c r="TY8" t="s">
        <v>1664</v>
      </c>
      <c r="TZ8">
        <v>2026</v>
      </c>
      <c r="UA8" t="s">
        <v>3239</v>
      </c>
      <c r="UB8" s="6">
        <v>45980</v>
      </c>
      <c r="UC8">
        <v>5</v>
      </c>
      <c r="UD8">
        <v>764010.23</v>
      </c>
      <c r="UE8">
        <v>223067</v>
      </c>
      <c r="UF8" t="s">
        <v>3240</v>
      </c>
      <c r="UI8" t="s">
        <v>437</v>
      </c>
      <c r="UJ8">
        <v>-2.4245362661989844E-14</v>
      </c>
      <c r="UL8">
        <v>-2.4245362661989844E-14</v>
      </c>
      <c r="UM8" t="s">
        <v>1594</v>
      </c>
      <c r="UN8">
        <v>2022</v>
      </c>
      <c r="UO8" t="s">
        <v>4339</v>
      </c>
      <c r="UP8" s="6">
        <v>44985</v>
      </c>
      <c r="UQ8">
        <v>4</v>
      </c>
      <c r="UR8">
        <v>-2.4245362661989844E-14</v>
      </c>
      <c r="US8">
        <v>348091</v>
      </c>
      <c r="UT8" t="s">
        <v>2928</v>
      </c>
      <c r="UY8" t="s">
        <v>3316</v>
      </c>
      <c r="UZ8" t="s">
        <v>1598</v>
      </c>
      <c r="VA8">
        <v>9.0144000000000002E-2</v>
      </c>
      <c r="VB8">
        <v>1.3390000000000001E-2</v>
      </c>
      <c r="VC8" t="s">
        <v>1664</v>
      </c>
      <c r="VD8">
        <v>2026</v>
      </c>
      <c r="VE8" t="s">
        <v>3317</v>
      </c>
      <c r="VF8" s="6">
        <v>46035</v>
      </c>
      <c r="VG8">
        <v>5</v>
      </c>
      <c r="VH8">
        <v>236200</v>
      </c>
      <c r="VI8">
        <v>105325</v>
      </c>
      <c r="VJ8" t="s">
        <v>3318</v>
      </c>
      <c r="VM8" t="s">
        <v>2769</v>
      </c>
      <c r="VN8">
        <v>-2.4245362661989844E-14</v>
      </c>
      <c r="VP8">
        <v>-2.4245362661989844E-14</v>
      </c>
      <c r="VQ8" t="s">
        <v>1594</v>
      </c>
      <c r="VR8">
        <v>2023</v>
      </c>
      <c r="VS8" t="s">
        <v>2770</v>
      </c>
      <c r="VT8" s="6">
        <v>45377</v>
      </c>
      <c r="VU8">
        <v>5</v>
      </c>
      <c r="VV8">
        <v>-2.4245362661989844E-14</v>
      </c>
      <c r="VW8">
        <v>24248093</v>
      </c>
      <c r="VX8" t="s">
        <v>2771</v>
      </c>
    </row>
    <row r="9" spans="1:600" x14ac:dyDescent="0.25">
      <c r="A9" t="s">
        <v>2275</v>
      </c>
      <c r="B9" t="s">
        <v>1598</v>
      </c>
      <c r="C9">
        <v>1.2467000000000001E-2</v>
      </c>
      <c r="D9">
        <v>4.5800000000000002E-4</v>
      </c>
      <c r="E9" t="s">
        <v>1664</v>
      </c>
      <c r="F9">
        <v>2025</v>
      </c>
      <c r="G9" t="s">
        <v>2276</v>
      </c>
      <c r="H9" s="6">
        <v>45744</v>
      </c>
      <c r="I9">
        <v>5</v>
      </c>
      <c r="J9">
        <v>6232.4</v>
      </c>
      <c r="K9">
        <v>28653435</v>
      </c>
      <c r="L9" t="s">
        <v>2277</v>
      </c>
      <c r="O9" t="s">
        <v>1801</v>
      </c>
      <c r="P9">
        <v>-2.4245362661989844E-14</v>
      </c>
      <c r="R9">
        <v>-2.4245362661989844E-14</v>
      </c>
      <c r="S9" t="s">
        <v>1594</v>
      </c>
      <c r="T9">
        <v>2022</v>
      </c>
      <c r="U9" t="s">
        <v>1802</v>
      </c>
      <c r="V9" s="6">
        <v>45083</v>
      </c>
      <c r="W9">
        <v>5</v>
      </c>
      <c r="X9">
        <v>-2.4245362661989844E-14</v>
      </c>
      <c r="Y9">
        <v>34532225</v>
      </c>
      <c r="Z9" t="s">
        <v>1803</v>
      </c>
      <c r="CM9" t="s">
        <v>4262</v>
      </c>
      <c r="CN9" t="s">
        <v>1598</v>
      </c>
      <c r="CO9">
        <v>1.2</v>
      </c>
      <c r="CP9">
        <v>0.14873600000000001</v>
      </c>
      <c r="CQ9" t="s">
        <v>1792</v>
      </c>
      <c r="CR9">
        <v>2026</v>
      </c>
      <c r="CS9" t="s">
        <v>4263</v>
      </c>
      <c r="CT9" s="6">
        <v>45982</v>
      </c>
      <c r="CU9">
        <v>5</v>
      </c>
      <c r="CV9">
        <v>6193390.1799999997</v>
      </c>
      <c r="CW9">
        <v>148792</v>
      </c>
      <c r="CX9" t="s">
        <v>4264</v>
      </c>
      <c r="DA9" t="s">
        <v>1786</v>
      </c>
      <c r="DB9">
        <v>3.1955999999999998E-2</v>
      </c>
      <c r="DC9" t="s">
        <v>1598</v>
      </c>
      <c r="DD9">
        <v>0.108095</v>
      </c>
      <c r="DE9" t="s">
        <v>1664</v>
      </c>
      <c r="DF9">
        <v>2025</v>
      </c>
      <c r="DG9" t="s">
        <v>1787</v>
      </c>
      <c r="DH9" s="6">
        <v>46008</v>
      </c>
      <c r="DI9">
        <v>5</v>
      </c>
      <c r="DJ9">
        <v>2513880.9</v>
      </c>
      <c r="DK9">
        <v>349049</v>
      </c>
      <c r="DL9" t="s">
        <v>1788</v>
      </c>
      <c r="EU9" t="s">
        <v>465</v>
      </c>
      <c r="EV9" t="s">
        <v>1598</v>
      </c>
      <c r="EW9">
        <v>2.775217</v>
      </c>
      <c r="EX9">
        <v>1.415462</v>
      </c>
      <c r="EY9" t="s">
        <v>1599</v>
      </c>
      <c r="EZ9">
        <v>2025</v>
      </c>
      <c r="FA9" t="s">
        <v>1941</v>
      </c>
      <c r="FB9" s="6">
        <v>45946</v>
      </c>
      <c r="FC9">
        <v>5</v>
      </c>
      <c r="FD9">
        <v>369860096</v>
      </c>
      <c r="FE9">
        <v>101779</v>
      </c>
      <c r="FF9" t="s">
        <v>3786</v>
      </c>
      <c r="JK9" t="s">
        <v>23</v>
      </c>
      <c r="JL9" t="s">
        <v>1598</v>
      </c>
      <c r="JM9">
        <v>1.0236080000000001</v>
      </c>
      <c r="JN9">
        <v>0.137097</v>
      </c>
      <c r="JO9" t="s">
        <v>1664</v>
      </c>
      <c r="JP9">
        <v>2025</v>
      </c>
      <c r="JQ9" t="s">
        <v>1768</v>
      </c>
      <c r="JR9" s="6">
        <v>45929</v>
      </c>
      <c r="JS9">
        <v>5</v>
      </c>
      <c r="JT9">
        <v>125586464</v>
      </c>
      <c r="JU9">
        <v>100225</v>
      </c>
      <c r="JV9" t="s">
        <v>2222</v>
      </c>
      <c r="JY9" t="s">
        <v>2843</v>
      </c>
      <c r="JZ9">
        <v>-2.4245362661989844E-14</v>
      </c>
      <c r="KB9">
        <v>-2.4245362661989844E-14</v>
      </c>
      <c r="KC9" t="s">
        <v>1594</v>
      </c>
      <c r="KD9">
        <v>2024</v>
      </c>
      <c r="KE9" t="s">
        <v>2844</v>
      </c>
      <c r="KF9" s="6">
        <v>45435</v>
      </c>
      <c r="KG9">
        <v>5</v>
      </c>
      <c r="KH9">
        <v>-2.4245362661989844E-14</v>
      </c>
      <c r="KI9">
        <v>1028866</v>
      </c>
      <c r="KJ9" t="s">
        <v>2845</v>
      </c>
      <c r="LS9" t="s">
        <v>3373</v>
      </c>
      <c r="LT9" t="s">
        <v>1685</v>
      </c>
      <c r="LU9">
        <v>0.23294300000000001</v>
      </c>
      <c r="LV9">
        <v>0.27798299999999998</v>
      </c>
      <c r="LW9" t="s">
        <v>1664</v>
      </c>
      <c r="LX9">
        <v>2026</v>
      </c>
      <c r="LY9" t="s">
        <v>3374</v>
      </c>
      <c r="LZ9" s="6">
        <v>46022</v>
      </c>
      <c r="MA9">
        <v>5</v>
      </c>
      <c r="MB9">
        <v>10921772.949999999</v>
      </c>
      <c r="MC9">
        <v>174545</v>
      </c>
      <c r="MD9" t="s">
        <v>3375</v>
      </c>
      <c r="MG9" t="s">
        <v>1786</v>
      </c>
      <c r="MH9">
        <v>7.2431999999999996E-2</v>
      </c>
      <c r="MI9" t="s">
        <v>1598</v>
      </c>
      <c r="MJ9">
        <v>0.31743900000000003</v>
      </c>
      <c r="MK9" t="s">
        <v>1664</v>
      </c>
      <c r="ML9">
        <v>2025</v>
      </c>
      <c r="MM9" t="s">
        <v>1787</v>
      </c>
      <c r="MN9" s="6">
        <v>46008</v>
      </c>
      <c r="MO9">
        <v>5</v>
      </c>
      <c r="MP9">
        <v>7382431.75</v>
      </c>
      <c r="MQ9">
        <v>349049</v>
      </c>
      <c r="MR9" t="s">
        <v>1788</v>
      </c>
      <c r="MW9" t="s">
        <v>3832</v>
      </c>
      <c r="MX9" t="s">
        <v>1598</v>
      </c>
      <c r="MY9">
        <v>1.871607</v>
      </c>
      <c r="MZ9">
        <v>0.67310199999999998</v>
      </c>
      <c r="NA9" t="s">
        <v>1603</v>
      </c>
      <c r="NB9">
        <v>2026</v>
      </c>
      <c r="NC9" t="s">
        <v>3833</v>
      </c>
      <c r="ND9" s="6">
        <v>45903</v>
      </c>
      <c r="NE9">
        <v>5</v>
      </c>
      <c r="NF9">
        <v>21291042.600000001</v>
      </c>
      <c r="NG9">
        <v>8433051</v>
      </c>
      <c r="NH9" t="s">
        <v>3834</v>
      </c>
      <c r="NK9" t="s">
        <v>1943</v>
      </c>
      <c r="NL9">
        <v>1.88245</v>
      </c>
      <c r="NM9" t="s">
        <v>1598</v>
      </c>
      <c r="NN9">
        <v>0.123943</v>
      </c>
      <c r="NO9" t="s">
        <v>1603</v>
      </c>
      <c r="NP9">
        <v>2025</v>
      </c>
      <c r="NQ9" t="s">
        <v>3674</v>
      </c>
      <c r="NR9" s="6">
        <v>45849</v>
      </c>
      <c r="NS9">
        <v>5</v>
      </c>
      <c r="NT9">
        <v>68163512</v>
      </c>
      <c r="NU9">
        <v>101758</v>
      </c>
      <c r="NV9" t="s">
        <v>1944</v>
      </c>
      <c r="OA9" t="s">
        <v>2370</v>
      </c>
      <c r="OB9" t="s">
        <v>1685</v>
      </c>
      <c r="OC9">
        <v>2.8060939999999999</v>
      </c>
      <c r="OD9">
        <v>0.76549599999999995</v>
      </c>
      <c r="OE9" t="s">
        <v>1594</v>
      </c>
      <c r="OF9">
        <v>2025</v>
      </c>
      <c r="OG9" t="s">
        <v>2371</v>
      </c>
      <c r="OH9" s="6">
        <v>46048</v>
      </c>
      <c r="OI9">
        <v>5</v>
      </c>
      <c r="OJ9">
        <v>21232000</v>
      </c>
      <c r="OK9">
        <v>216867</v>
      </c>
      <c r="OL9" t="s">
        <v>2372</v>
      </c>
      <c r="OO9" t="s">
        <v>1862</v>
      </c>
      <c r="OP9">
        <v>0.28446199999999999</v>
      </c>
      <c r="OQ9" t="s">
        <v>1598</v>
      </c>
      <c r="OR9">
        <v>0.82704999999999995</v>
      </c>
      <c r="OS9" t="s">
        <v>1599</v>
      </c>
      <c r="OT9">
        <v>2025</v>
      </c>
      <c r="OU9" t="s">
        <v>1859</v>
      </c>
      <c r="OV9" s="6">
        <v>46041</v>
      </c>
      <c r="OW9">
        <v>5</v>
      </c>
      <c r="OX9">
        <v>50067588</v>
      </c>
      <c r="OY9">
        <v>169936</v>
      </c>
      <c r="OZ9" t="s">
        <v>1863</v>
      </c>
      <c r="PE9" t="s">
        <v>2972</v>
      </c>
      <c r="PF9" t="s">
        <v>1598</v>
      </c>
      <c r="PG9">
        <v>0.222939</v>
      </c>
      <c r="PH9">
        <v>2.0771999999999999E-2</v>
      </c>
      <c r="PI9" t="s">
        <v>1664</v>
      </c>
      <c r="PJ9">
        <v>2025</v>
      </c>
      <c r="PK9" t="s">
        <v>2973</v>
      </c>
      <c r="PL9" s="6">
        <v>45929</v>
      </c>
      <c r="PM9">
        <v>5</v>
      </c>
      <c r="PN9">
        <v>8194346</v>
      </c>
      <c r="PO9">
        <v>106470</v>
      </c>
      <c r="PP9" t="s">
        <v>2974</v>
      </c>
      <c r="PS9" t="s">
        <v>2458</v>
      </c>
      <c r="PT9">
        <v>4.74</v>
      </c>
      <c r="PV9">
        <v>-2.4245362661989844E-14</v>
      </c>
      <c r="PW9" t="s">
        <v>1603</v>
      </c>
      <c r="PX9">
        <v>2025</v>
      </c>
      <c r="PY9" t="s">
        <v>2450</v>
      </c>
      <c r="PZ9" s="6">
        <v>45839</v>
      </c>
      <c r="QA9">
        <v>5</v>
      </c>
      <c r="QB9">
        <v>2209787904</v>
      </c>
      <c r="QC9">
        <v>1060118</v>
      </c>
      <c r="QD9" t="s">
        <v>2459</v>
      </c>
      <c r="QI9" t="s">
        <v>2063</v>
      </c>
      <c r="QK9">
        <v>-2.4245362661989844E-14</v>
      </c>
      <c r="QL9">
        <v>-2.4245362661989844E-14</v>
      </c>
      <c r="QM9" t="s">
        <v>1651</v>
      </c>
      <c r="QN9">
        <v>2025</v>
      </c>
      <c r="QO9" t="s">
        <v>2064</v>
      </c>
      <c r="QP9" s="6">
        <v>45974</v>
      </c>
      <c r="QQ9">
        <v>5</v>
      </c>
      <c r="QR9">
        <v>-2.4245362661989844E-14</v>
      </c>
      <c r="QS9">
        <v>118099</v>
      </c>
      <c r="QT9" t="s">
        <v>2065</v>
      </c>
      <c r="RM9" t="s">
        <v>5498</v>
      </c>
      <c r="RO9">
        <v>-2.4245362661989844E-14</v>
      </c>
      <c r="RP9">
        <v>-2.4245362661989844E-14</v>
      </c>
      <c r="RQ9" t="s">
        <v>1594</v>
      </c>
      <c r="RR9">
        <v>2023</v>
      </c>
      <c r="RS9" t="s">
        <v>5499</v>
      </c>
      <c r="RT9" s="6">
        <v>45351</v>
      </c>
      <c r="RU9">
        <v>5</v>
      </c>
      <c r="RV9">
        <v>-2.4245362661989844E-14</v>
      </c>
      <c r="RW9">
        <v>70754986</v>
      </c>
      <c r="RX9" t="s">
        <v>5500</v>
      </c>
      <c r="SA9" t="s">
        <v>74</v>
      </c>
      <c r="SB9">
        <v>-2.4245362661989844E-14</v>
      </c>
      <c r="SD9">
        <v>-2.4245362661989844E-14</v>
      </c>
      <c r="SE9" t="s">
        <v>1594</v>
      </c>
      <c r="SF9">
        <v>2023</v>
      </c>
      <c r="SG9" t="s">
        <v>4658</v>
      </c>
      <c r="SH9" s="6">
        <v>45348</v>
      </c>
      <c r="SI9">
        <v>5</v>
      </c>
      <c r="SJ9">
        <v>-2.4245362661989844E-14</v>
      </c>
      <c r="SK9">
        <v>101106</v>
      </c>
      <c r="SL9" t="s">
        <v>2407</v>
      </c>
      <c r="SQ9" t="s">
        <v>5249</v>
      </c>
      <c r="SS9">
        <v>-2.4245362661989844E-14</v>
      </c>
      <c r="ST9">
        <v>-2.4245362661989844E-14</v>
      </c>
      <c r="SU9" t="s">
        <v>1599</v>
      </c>
      <c r="SV9">
        <v>2025</v>
      </c>
      <c r="SW9" t="s">
        <v>5250</v>
      </c>
      <c r="SX9" s="6">
        <v>45971</v>
      </c>
      <c r="SY9">
        <v>5</v>
      </c>
      <c r="SZ9">
        <v>-2.4245362661989844E-14</v>
      </c>
      <c r="TA9">
        <v>835670</v>
      </c>
      <c r="TB9" t="s">
        <v>5251</v>
      </c>
      <c r="TU9" t="s">
        <v>4456</v>
      </c>
      <c r="TW9">
        <v>-2.4245362661989844E-14</v>
      </c>
      <c r="TX9">
        <v>-2.4245362661989844E-14</v>
      </c>
      <c r="TY9" t="s">
        <v>1594</v>
      </c>
      <c r="TZ9">
        <v>2021</v>
      </c>
      <c r="UA9" t="s">
        <v>4457</v>
      </c>
      <c r="UB9" s="6">
        <v>44637</v>
      </c>
      <c r="UC9">
        <v>5</v>
      </c>
      <c r="UD9">
        <v>-2.4245362661989844E-14</v>
      </c>
      <c r="UE9">
        <v>118011</v>
      </c>
      <c r="UF9" t="s">
        <v>4458</v>
      </c>
      <c r="UY9" t="s">
        <v>3319</v>
      </c>
      <c r="UZ9" t="s">
        <v>1598</v>
      </c>
      <c r="VA9">
        <v>3.5172000000000002E-2</v>
      </c>
      <c r="VB9">
        <v>2.8899999999999998E-4</v>
      </c>
      <c r="VC9" t="s">
        <v>1606</v>
      </c>
      <c r="VD9">
        <v>2024</v>
      </c>
      <c r="VE9" t="s">
        <v>3320</v>
      </c>
      <c r="VF9" s="6">
        <v>45770</v>
      </c>
      <c r="VG9">
        <v>5</v>
      </c>
      <c r="VH9">
        <v>5248</v>
      </c>
      <c r="VI9">
        <v>1176738</v>
      </c>
      <c r="VJ9" t="s">
        <v>3321</v>
      </c>
      <c r="VM9" t="s">
        <v>2072</v>
      </c>
      <c r="VN9">
        <v>-2.4245362661989844E-14</v>
      </c>
      <c r="VP9">
        <v>-2.4245362661989844E-14</v>
      </c>
      <c r="VQ9" t="s">
        <v>1594</v>
      </c>
      <c r="VR9">
        <v>2024</v>
      </c>
      <c r="VS9" t="s">
        <v>2772</v>
      </c>
      <c r="VT9" s="6">
        <v>45726</v>
      </c>
      <c r="VU9">
        <v>5</v>
      </c>
      <c r="VV9">
        <v>-2.4245362661989844E-14</v>
      </c>
      <c r="VW9">
        <v>36965288</v>
      </c>
      <c r="VX9" t="s">
        <v>2074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1303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1304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1305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1306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1307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1308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1309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1310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1311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1312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1313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1314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1315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1316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1317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1318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1319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1320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1321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30</v>
      </c>
      <c r="AE2" s="3" t="s">
        <v>589</v>
      </c>
      <c r="BI2" s="3" t="s">
        <v>1322</v>
      </c>
      <c r="CM2" s="3" t="s">
        <v>34</v>
      </c>
      <c r="DQ2" s="3" t="s">
        <v>79</v>
      </c>
      <c r="EU2" s="3" t="s">
        <v>1323</v>
      </c>
      <c r="FY2" s="3" t="s">
        <v>1324</v>
      </c>
      <c r="HC2" s="3" t="s">
        <v>110</v>
      </c>
      <c r="IG2" s="3" t="s">
        <v>274</v>
      </c>
      <c r="JK2" s="3" t="s">
        <v>1325</v>
      </c>
      <c r="KO2" s="3" t="s">
        <v>1326</v>
      </c>
      <c r="LS2" s="3" t="s">
        <v>1327</v>
      </c>
      <c r="MW2" s="3" t="s">
        <v>1328</v>
      </c>
      <c r="OA2" s="3" t="s">
        <v>78</v>
      </c>
      <c r="PE2" s="3" t="s">
        <v>1329</v>
      </c>
      <c r="QI2" s="3" t="s">
        <v>175</v>
      </c>
      <c r="RM2" s="3" t="s">
        <v>1330</v>
      </c>
      <c r="SQ2" s="3" t="s">
        <v>1331</v>
      </c>
      <c r="TU2" s="3" t="s">
        <v>1332</v>
      </c>
      <c r="UY2" s="3" t="s">
        <v>1333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_xll.BDS("C US Equity","SUPPLY_CHAIN_SUPPLIERS_ALL_DATA","cols=12;rows=5")</f>
        <v>ORCL US Equity</v>
      </c>
      <c r="B5" t="s">
        <v>1598</v>
      </c>
      <c r="C5">
        <v>0.204793</v>
      </c>
      <c r="D5">
        <v>0.242594</v>
      </c>
      <c r="E5" t="s">
        <v>1606</v>
      </c>
      <c r="F5">
        <v>2025</v>
      </c>
      <c r="G5" t="s">
        <v>2251</v>
      </c>
      <c r="H5" s="6">
        <v>45848</v>
      </c>
      <c r="I5">
        <v>5</v>
      </c>
      <c r="J5">
        <v>32568232</v>
      </c>
      <c r="K5">
        <v>101752</v>
      </c>
      <c r="L5" t="s">
        <v>2265</v>
      </c>
      <c r="O5" t="str">
        <f>_xll.BDS("C US Equity","SUPPLY_CHAIN_CUSTOMERS_ALL_DATA","cols=12;rows=5")</f>
        <v>ANTO LN Equity</v>
      </c>
      <c r="P5">
        <v>1.76E-4</v>
      </c>
      <c r="Q5" t="s">
        <v>1598</v>
      </c>
      <c r="R5">
        <v>7.3010000000000002E-3</v>
      </c>
      <c r="S5" t="s">
        <v>1594</v>
      </c>
      <c r="T5">
        <v>2024</v>
      </c>
      <c r="U5" t="s">
        <v>3662</v>
      </c>
      <c r="V5" s="6">
        <v>45743</v>
      </c>
      <c r="W5">
        <v>5</v>
      </c>
      <c r="X5">
        <v>74999.5</v>
      </c>
      <c r="Y5">
        <v>111100</v>
      </c>
      <c r="Z5" t="s">
        <v>3663</v>
      </c>
      <c r="AE5" t="str">
        <f>_xll.BDS("EOP US Equity","SUPPLY_CHAIN_SUPPLIERS_ALL_DATA")</f>
        <v>#N/A N/A</v>
      </c>
      <c r="AS5" t="str">
        <f>_xll.BDS("EOP US Equity","SUPPLY_CHAIN_CUSTOMERS_ALL_DATA")</f>
        <v>#N/A N/A</v>
      </c>
      <c r="BI5" t="str">
        <f>_xll.BDS("MSCC US Equity","SUPPLY_CHAIN_SUPPLIERS_ALL_DATA","cols=12;rows=1")</f>
        <v>FE US Equity</v>
      </c>
      <c r="BK5">
        <v>-2.4245362661989844E-14</v>
      </c>
      <c r="BL5">
        <v>-2.4245362661989844E-14</v>
      </c>
      <c r="BM5" t="s">
        <v>1594</v>
      </c>
      <c r="BN5">
        <v>2021</v>
      </c>
      <c r="BO5" t="s">
        <v>3048</v>
      </c>
      <c r="BP5" s="6">
        <v>44693</v>
      </c>
      <c r="BQ5">
        <v>1</v>
      </c>
      <c r="BR5">
        <v>-2.4245362661989844E-14</v>
      </c>
      <c r="BS5">
        <v>302916</v>
      </c>
      <c r="BT5" t="s">
        <v>3049</v>
      </c>
      <c r="BW5" t="str">
        <f>_xll.BDS("MSCC US Equity","SUPPLY_CHAIN_CUSTOMERS_ALL_DATA")</f>
        <v>#N/A N/A</v>
      </c>
      <c r="CM5" t="str">
        <f>_xll.BDS("DD US Equity","SUPPLY_CHAIN_SUPPLIERS_ALL_DATA","cols=12;rows=5")</f>
        <v>900909 CH Equity</v>
      </c>
      <c r="CN5" t="s">
        <v>1598</v>
      </c>
      <c r="CO5">
        <v>0.65608200000000005</v>
      </c>
      <c r="CP5">
        <v>0.55485600000000002</v>
      </c>
      <c r="CQ5" t="s">
        <v>1792</v>
      </c>
      <c r="CR5">
        <v>2025</v>
      </c>
      <c r="CS5" t="s">
        <v>2082</v>
      </c>
      <c r="CT5" s="6">
        <v>45894</v>
      </c>
      <c r="CU5">
        <v>5</v>
      </c>
      <c r="CV5">
        <v>10942894</v>
      </c>
      <c r="CW5">
        <v>116630</v>
      </c>
      <c r="CX5" t="s">
        <v>2083</v>
      </c>
      <c r="DA5" t="str">
        <f>_xll.BDS("DD US Equity","SUPPLY_CHAIN_CUSTOMERS_ALL_DATA","cols=12;rows=5")</f>
        <v>AIR FP Equity</v>
      </c>
      <c r="DB5">
        <v>3.8555679999999999</v>
      </c>
      <c r="DC5" t="s">
        <v>1598</v>
      </c>
      <c r="DD5">
        <v>0.80846600000000002</v>
      </c>
      <c r="DE5" t="s">
        <v>1664</v>
      </c>
      <c r="DF5">
        <v>2025</v>
      </c>
      <c r="DG5" t="s">
        <v>1733</v>
      </c>
      <c r="DH5" s="6">
        <v>45947</v>
      </c>
      <c r="DI5">
        <v>5</v>
      </c>
      <c r="DJ5">
        <v>125575848</v>
      </c>
      <c r="DK5">
        <v>876285</v>
      </c>
      <c r="DL5" t="s">
        <v>1734</v>
      </c>
      <c r="DQ5" t="str">
        <f>_xll.BDS("MRK US Equity","SUPPLY_CHAIN_SUPPLIERS_ALL_DATA","cols=12;rows=5")</f>
        <v>AZN LN Equity</v>
      </c>
      <c r="DR5" t="s">
        <v>1598</v>
      </c>
      <c r="DS5">
        <v>1.1917120000000001</v>
      </c>
      <c r="DT5">
        <v>4.272983</v>
      </c>
      <c r="DU5" t="s">
        <v>1594</v>
      </c>
      <c r="DV5">
        <v>2025</v>
      </c>
      <c r="DW5" t="s">
        <v>4869</v>
      </c>
      <c r="DX5" s="6">
        <v>46077</v>
      </c>
      <c r="DY5">
        <v>5</v>
      </c>
      <c r="DZ5">
        <v>175000000</v>
      </c>
      <c r="EA5">
        <v>111093</v>
      </c>
      <c r="EB5" t="s">
        <v>3409</v>
      </c>
      <c r="EE5" t="str">
        <f>_xll.BDS("MRK US Equity","SUPPLY_CHAIN_CUSTOMERS_ALL_DATA","cols=12;rows=5")</f>
        <v>COR US Equity</v>
      </c>
      <c r="EF5">
        <v>9.6931790000000007</v>
      </c>
      <c r="EG5" t="s">
        <v>1598</v>
      </c>
      <c r="EH5">
        <v>2.073159</v>
      </c>
      <c r="EI5" t="s">
        <v>1599</v>
      </c>
      <c r="EJ5">
        <v>2025</v>
      </c>
      <c r="EK5" t="s">
        <v>5050</v>
      </c>
      <c r="EL5" s="6">
        <v>45985</v>
      </c>
      <c r="EM5">
        <v>5</v>
      </c>
      <c r="EN5">
        <v>1674593664</v>
      </c>
      <c r="EO5">
        <v>156969</v>
      </c>
      <c r="EP5" t="s">
        <v>1767</v>
      </c>
      <c r="EU5" t="str">
        <f>_xll.BDS("BKNG US Equity","SUPPLY_CHAIN_SUPPLIERS_ALL_DATA","cols=12;rows=5")</f>
        <v>TRIP US Equity</v>
      </c>
      <c r="EV5" t="s">
        <v>1685</v>
      </c>
      <c r="EW5">
        <v>8.7482140000000008</v>
      </c>
      <c r="EX5">
        <v>1.9793860000000001</v>
      </c>
      <c r="EY5" t="s">
        <v>1664</v>
      </c>
      <c r="EZ5">
        <v>2025</v>
      </c>
      <c r="FA5" t="s">
        <v>4813</v>
      </c>
      <c r="FB5" s="6">
        <v>45896</v>
      </c>
      <c r="FC5">
        <v>5</v>
      </c>
      <c r="FD5">
        <v>46278052</v>
      </c>
      <c r="FE5">
        <v>12130356</v>
      </c>
      <c r="FF5" t="s">
        <v>4814</v>
      </c>
      <c r="FI5" t="str">
        <f>_xll.BDS("BKNG US Equity","SUPPLY_CHAIN_CUSTOMERS_ALL_DATA","cols=12;rows=5")</f>
        <v>259206Z SL Equity</v>
      </c>
      <c r="FJ5">
        <v>-2.4245362661989844E-14</v>
      </c>
      <c r="FL5">
        <v>-2.4245362661989844E-14</v>
      </c>
      <c r="FM5" t="s">
        <v>1594</v>
      </c>
      <c r="FN5">
        <v>2022</v>
      </c>
      <c r="FO5" t="s">
        <v>4667</v>
      </c>
      <c r="FP5" s="6">
        <v>44680</v>
      </c>
      <c r="FQ5">
        <v>5</v>
      </c>
      <c r="FR5">
        <v>-2.4245362661989844E-14</v>
      </c>
      <c r="FS5">
        <v>1422388</v>
      </c>
      <c r="FT5" t="s">
        <v>4668</v>
      </c>
      <c r="FY5" t="str">
        <f>_xll.BDS("SAIC US Equity","SUPPLY_CHAIN_SUPPLIERS_ALL_DATA","cols=12;rows=5")</f>
        <v>ST US Equity</v>
      </c>
      <c r="FZ5" t="s">
        <v>1598</v>
      </c>
      <c r="GA5">
        <v>0.335148</v>
      </c>
      <c r="GB5">
        <v>0.189552</v>
      </c>
      <c r="GC5" t="s">
        <v>1664</v>
      </c>
      <c r="GD5">
        <v>2025</v>
      </c>
      <c r="GE5" t="s">
        <v>4459</v>
      </c>
      <c r="GF5" s="6">
        <v>45869</v>
      </c>
      <c r="GG5">
        <v>5</v>
      </c>
      <c r="GH5">
        <v>3161733</v>
      </c>
      <c r="GI5">
        <v>58355493</v>
      </c>
      <c r="GJ5" t="s">
        <v>4460</v>
      </c>
      <c r="GM5" t="str">
        <f>_xll.BDS("SAIC US Equity","SUPPLY_CHAIN_CUSTOMERS_ALL_DATA","cols=12;rows=5")</f>
        <v>3352Z US Equity</v>
      </c>
      <c r="GN5">
        <v>97.588425000000001</v>
      </c>
      <c r="GP5">
        <v>-2.4245362661989844E-14</v>
      </c>
      <c r="GQ5" t="s">
        <v>1599</v>
      </c>
      <c r="GR5">
        <v>2026</v>
      </c>
      <c r="GS5" t="s">
        <v>4372</v>
      </c>
      <c r="GT5" s="6">
        <v>45995</v>
      </c>
      <c r="GU5">
        <v>5</v>
      </c>
      <c r="GV5">
        <v>1821000000</v>
      </c>
      <c r="GW5">
        <v>218252</v>
      </c>
      <c r="GX5" t="s">
        <v>1622</v>
      </c>
      <c r="HC5" t="str">
        <f>_xll.BDS("BRK/A US Equity","SUPPLY_CHAIN_SUPPLIERS_ALL_DATA","cols=12;rows=5")</f>
        <v>HSY US Equity</v>
      </c>
      <c r="HD5" t="s">
        <v>1598</v>
      </c>
      <c r="HE5">
        <v>27</v>
      </c>
      <c r="HF5">
        <v>1.2151259999999999</v>
      </c>
      <c r="HG5" t="s">
        <v>1594</v>
      </c>
      <c r="HH5">
        <v>2025</v>
      </c>
      <c r="HI5" t="s">
        <v>3395</v>
      </c>
      <c r="HJ5" s="6">
        <v>46070</v>
      </c>
      <c r="HK5">
        <v>5</v>
      </c>
      <c r="HL5">
        <v>789248896</v>
      </c>
      <c r="HM5">
        <v>100731</v>
      </c>
      <c r="HN5" t="s">
        <v>3396</v>
      </c>
      <c r="HQ5" t="str">
        <f>_xll.BDS("BRK/A US Equity","SUPPLY_CHAIN_CUSTOMERS_ALL_DATA","cols=12;rows=5")</f>
        <v>WMT US Equity</v>
      </c>
      <c r="HR5">
        <v>2.1167449999999999</v>
      </c>
      <c r="HS5" t="s">
        <v>1598</v>
      </c>
      <c r="HT5">
        <v>1.7547349999999999</v>
      </c>
      <c r="HU5" t="s">
        <v>1594</v>
      </c>
      <c r="HV5">
        <v>2024</v>
      </c>
      <c r="HW5" t="s">
        <v>2944</v>
      </c>
      <c r="HX5" s="6">
        <v>45712</v>
      </c>
      <c r="HY5">
        <v>5</v>
      </c>
      <c r="HZ5">
        <v>2244977664</v>
      </c>
      <c r="IA5">
        <v>101616</v>
      </c>
      <c r="IB5" t="s">
        <v>1666</v>
      </c>
      <c r="IG5" t="str">
        <f>_xll.BDS("D US Equity","SUPPLY_CHAIN_SUPPLIERS_ALL_DATA","cols=12;rows=5")</f>
        <v>PWR US Equity</v>
      </c>
      <c r="IH5" t="s">
        <v>1634</v>
      </c>
      <c r="II5">
        <v>3.1101740000000002</v>
      </c>
      <c r="IJ5">
        <v>7.8050009999999999</v>
      </c>
      <c r="IK5" t="s">
        <v>1599</v>
      </c>
      <c r="IL5">
        <v>2025</v>
      </c>
      <c r="IM5" t="s">
        <v>2321</v>
      </c>
      <c r="IN5" s="6">
        <v>45975</v>
      </c>
      <c r="IO5">
        <v>5</v>
      </c>
      <c r="IP5">
        <v>237350064</v>
      </c>
      <c r="IQ5">
        <v>305366</v>
      </c>
      <c r="IR5" t="s">
        <v>2322</v>
      </c>
      <c r="IU5" t="str">
        <f>_xll.BDS("D US Equity","SUPPLY_CHAIN_CUSTOMERS_ALL_DATA","cols=12;rows=5")</f>
        <v>000039 CH Equity</v>
      </c>
      <c r="IV5">
        <v>-2.4245362661989844E-14</v>
      </c>
      <c r="IX5">
        <v>-2.4245362661989844E-14</v>
      </c>
      <c r="IY5" t="s">
        <v>1594</v>
      </c>
      <c r="IZ5">
        <v>2021</v>
      </c>
      <c r="JA5" t="s">
        <v>3689</v>
      </c>
      <c r="JB5" s="6">
        <v>44693</v>
      </c>
      <c r="JC5">
        <v>5</v>
      </c>
      <c r="JD5">
        <v>-2.4245362661989844E-14</v>
      </c>
      <c r="JE5">
        <v>135744</v>
      </c>
      <c r="JF5" t="s">
        <v>3690</v>
      </c>
      <c r="JK5" t="str">
        <f>_xll.BDS("0574018D US Equity","SUPPLY_CHAIN_SUPPLIERS_ALL_DATA")</f>
        <v>#N/A N/A</v>
      </c>
      <c r="JY5" t="str">
        <f>_xll.BDS("0574018D US Equity","SUPPLY_CHAIN_CUSTOMERS_ALL_DATA")</f>
        <v>#N/A N/A</v>
      </c>
      <c r="KO5" t="str">
        <f>_xll.BDS("SAFE US Equity","SUPPLY_CHAIN_SUPPLIERS_ALL_DATA")</f>
        <v>#N/A N/A</v>
      </c>
      <c r="LC5" t="str">
        <f>_xll.BDS("SAFE US Equity","SUPPLY_CHAIN_CUSTOMERS_ALL_DATA")</f>
        <v>#N/A N/A</v>
      </c>
      <c r="LS5" t="str">
        <f>_xll.BDS("MMP US Equity","SUPPLY_CHAIN_SUPPLIERS_ALL_DATA")</f>
        <v>#N/A N/A</v>
      </c>
      <c r="MG5" t="str">
        <f>_xll.BDS("MMP US Equity","SUPPLY_CHAIN_CUSTOMERS_ALL_DATA","cols=12;rows=1")</f>
        <v>DINO US Equity</v>
      </c>
      <c r="MH5">
        <v>-2.4245362661989844E-14</v>
      </c>
      <c r="MJ5">
        <v>-2.4245362661989844E-14</v>
      </c>
      <c r="MK5" t="s">
        <v>1594</v>
      </c>
      <c r="ML5">
        <v>2022</v>
      </c>
      <c r="MM5" t="s">
        <v>1595</v>
      </c>
      <c r="MN5" s="6">
        <v>44985</v>
      </c>
      <c r="MO5">
        <v>1</v>
      </c>
      <c r="MP5">
        <v>-2.4245362661989844E-14</v>
      </c>
      <c r="MQ5">
        <v>69792617</v>
      </c>
      <c r="MR5" t="s">
        <v>1596</v>
      </c>
      <c r="MW5" t="str">
        <f>_xll.BDS("TPR US Equity","SUPPLY_CHAIN_SUPPLIERS_ALL_DATA","cols=12;rows=5")</f>
        <v>TCS IN Equity</v>
      </c>
      <c r="MX5" t="s">
        <v>1685</v>
      </c>
      <c r="MY5">
        <v>0.60056200000000004</v>
      </c>
      <c r="MZ5">
        <v>4.7492099999999997</v>
      </c>
      <c r="NA5" t="s">
        <v>1599</v>
      </c>
      <c r="NB5">
        <v>2026</v>
      </c>
      <c r="NC5" t="s">
        <v>3113</v>
      </c>
      <c r="ND5" s="6">
        <v>46058</v>
      </c>
      <c r="NE5">
        <v>5</v>
      </c>
      <c r="NF5">
        <v>45220437.950000003</v>
      </c>
      <c r="NG5">
        <v>7259059</v>
      </c>
      <c r="NH5" t="s">
        <v>3114</v>
      </c>
      <c r="NK5" t="str">
        <f>_xll.BDS("TPR US Equity","SUPPLY_CHAIN_CUSTOMERS_ALL_DATA","cols=12;rows=5")</f>
        <v>M US Equity</v>
      </c>
      <c r="NL5">
        <v>1.920304</v>
      </c>
      <c r="NM5" t="s">
        <v>1598</v>
      </c>
      <c r="NN5">
        <v>1.0886990000000001</v>
      </c>
      <c r="NO5" t="s">
        <v>1599</v>
      </c>
      <c r="NP5">
        <v>2025</v>
      </c>
      <c r="NQ5" t="s">
        <v>4598</v>
      </c>
      <c r="NR5" s="6">
        <v>45812</v>
      </c>
      <c r="NS5">
        <v>5</v>
      </c>
      <c r="NT5">
        <v>30429136</v>
      </c>
      <c r="NU5">
        <v>100562</v>
      </c>
      <c r="NV5" t="s">
        <v>4599</v>
      </c>
      <c r="OA5" t="str">
        <f>_xll.BDS("nan Equity","SUPPLY_CHAIN_SUPPLIERS_ALL_DATA")</f>
        <v>#N/A N/A</v>
      </c>
      <c r="OO5" t="str">
        <f>_xll.BDS("nan Equity","SUPPLY_CHAIN_CUSTOMERS_ALL_DATA")</f>
        <v>#N/A N/A</v>
      </c>
      <c r="PE5" t="str">
        <f>_xll.BDS("PSX US Equity","SUPPLY_CHAIN_SUPPLIERS_ALL_DATA","cols=12;rows=5")</f>
        <v>CHRD US Equity</v>
      </c>
      <c r="PF5" t="s">
        <v>1598</v>
      </c>
      <c r="PG5">
        <v>19</v>
      </c>
      <c r="PH5">
        <v>0.75211099999999997</v>
      </c>
      <c r="PI5" t="s">
        <v>1594</v>
      </c>
      <c r="PJ5">
        <v>2024</v>
      </c>
      <c r="PK5" t="s">
        <v>4634</v>
      </c>
      <c r="PL5" s="6">
        <v>45715</v>
      </c>
      <c r="PM5">
        <v>5</v>
      </c>
      <c r="PN5">
        <v>249426400</v>
      </c>
      <c r="PO5">
        <v>18193340</v>
      </c>
      <c r="PP5" t="s">
        <v>4635</v>
      </c>
      <c r="PS5" t="str">
        <f>_xll.BDS("PSX US Equity","SUPPLY_CHAIN_CUSTOMERS_ALL_DATA","cols=12;rows=5")</f>
        <v>006120 KS Equity</v>
      </c>
      <c r="PT5">
        <v>-2.4245362661989844E-14</v>
      </c>
      <c r="PV5">
        <v>-2.4245362661989844E-14</v>
      </c>
      <c r="PW5" t="s">
        <v>1594</v>
      </c>
      <c r="PX5">
        <v>2024</v>
      </c>
      <c r="PY5" t="s">
        <v>4274</v>
      </c>
      <c r="PZ5" s="6">
        <v>45734</v>
      </c>
      <c r="QA5">
        <v>5</v>
      </c>
      <c r="QB5">
        <v>-2.4245362661989844E-14</v>
      </c>
      <c r="QC5">
        <v>118029</v>
      </c>
      <c r="QD5" t="s">
        <v>4275</v>
      </c>
      <c r="QI5" t="str">
        <f>_xll.BDS("748957Q US Equity","SUPPLY_CHAIN_SUPPLIERS_ALL_DATA")</f>
        <v>#N/A N/A</v>
      </c>
      <c r="QW5" t="str">
        <f>_xll.BDS("748957Q US Equity","SUPPLY_CHAIN_CUSTOMERS_ALL_DATA")</f>
        <v>#N/A N/A</v>
      </c>
      <c r="RM5" t="str">
        <f>_xll.BDS("667517Q US Equity","SUPPLY_CHAIN_SUPPLIERS_ALL_DATA")</f>
        <v>#N/A N/A</v>
      </c>
      <c r="SA5" t="str">
        <f>_xll.BDS("667517Q US Equity","SUPPLY_CHAIN_CUSTOMERS_ALL_DATA")</f>
        <v>#N/A N/A</v>
      </c>
      <c r="SQ5" t="str">
        <f>_xll.BDS("PE US Equity","SUPPLY_CHAIN_SUPPLIERS_ALL_DATA")</f>
        <v>#N/A N/A</v>
      </c>
      <c r="TE5" t="str">
        <f>_xll.BDS("PE US Equity","SUPPLY_CHAIN_CUSTOMERS_ALL_DATA")</f>
        <v>#N/A N/A</v>
      </c>
      <c r="TU5" t="str">
        <f>_xll.BDS("SPXC US Equity","SUPPLY_CHAIN_SUPPLIERS_ALL_DATA","cols=12;rows=5")</f>
        <v>CRS US Equity</v>
      </c>
      <c r="TV5" t="s">
        <v>1598</v>
      </c>
      <c r="TW5">
        <v>2.6832000000000002E-2</v>
      </c>
      <c r="TX5">
        <v>5.9658999999999997E-2</v>
      </c>
      <c r="TY5" t="s">
        <v>1606</v>
      </c>
      <c r="TZ5">
        <v>2025</v>
      </c>
      <c r="UA5" t="s">
        <v>3595</v>
      </c>
      <c r="UB5" s="6">
        <v>45884</v>
      </c>
      <c r="UC5">
        <v>5</v>
      </c>
      <c r="UD5">
        <v>192996</v>
      </c>
      <c r="UE5">
        <v>100277</v>
      </c>
      <c r="UF5" t="s">
        <v>3596</v>
      </c>
      <c r="UI5" t="str">
        <f>_xll.BDS("SPXC US Equity","SUPPLY_CHAIN_CUSTOMERS_ALL_DATA","cols=12;rows=5")</f>
        <v>002564 CH Equity</v>
      </c>
      <c r="UJ5">
        <v>-2.4245362661989844E-14</v>
      </c>
      <c r="UL5">
        <v>-2.4245362661989844E-14</v>
      </c>
      <c r="UM5" t="s">
        <v>1594</v>
      </c>
      <c r="UN5">
        <v>2022</v>
      </c>
      <c r="UO5" t="s">
        <v>2390</v>
      </c>
      <c r="UP5" s="6">
        <v>45105</v>
      </c>
      <c r="UQ5">
        <v>5</v>
      </c>
      <c r="UR5">
        <v>-2.4245362661989844E-14</v>
      </c>
      <c r="US5">
        <v>21808713</v>
      </c>
      <c r="UT5" t="s">
        <v>2391</v>
      </c>
      <c r="UY5" t="str">
        <f>_xll.BDS("CBRE US Equity","SUPPLY_CHAIN_SUPPLIERS_ALL_DATA","cols=12;rows=5")</f>
        <v>ECL US Equity</v>
      </c>
      <c r="UZ5" t="s">
        <v>1598</v>
      </c>
      <c r="VA5">
        <v>0.28094799999999998</v>
      </c>
      <c r="VB5">
        <v>0.116701</v>
      </c>
      <c r="VC5" t="s">
        <v>1606</v>
      </c>
      <c r="VD5">
        <v>2025</v>
      </c>
      <c r="VE5" t="s">
        <v>2093</v>
      </c>
      <c r="VF5" s="6">
        <v>46071</v>
      </c>
      <c r="VG5">
        <v>5</v>
      </c>
      <c r="VH5">
        <v>11056287</v>
      </c>
      <c r="VI5">
        <v>100499</v>
      </c>
      <c r="VJ5" t="s">
        <v>2094</v>
      </c>
      <c r="VM5" t="str">
        <f>_xll.BDS("CBRE US Equity","SUPPLY_CHAIN_CUSTOMERS_ALL_DATA","cols=12;rows=5")</f>
        <v>8206440Z LN Equity</v>
      </c>
      <c r="VN5">
        <v>0.40730499999999997</v>
      </c>
      <c r="VO5" t="s">
        <v>1685</v>
      </c>
      <c r="VP5">
        <v>-2.4245362661989844E-14</v>
      </c>
      <c r="VQ5" t="s">
        <v>1594</v>
      </c>
      <c r="VR5">
        <v>2025</v>
      </c>
      <c r="VS5" t="s">
        <v>1635</v>
      </c>
      <c r="VT5" s="6">
        <v>45925</v>
      </c>
      <c r="VU5">
        <v>5</v>
      </c>
      <c r="VV5">
        <v>38280000</v>
      </c>
      <c r="VW5">
        <v>340053</v>
      </c>
      <c r="VX5" t="s">
        <v>1636</v>
      </c>
    </row>
    <row r="6" spans="1:600" x14ac:dyDescent="0.25">
      <c r="A6" t="s">
        <v>1084</v>
      </c>
      <c r="B6" t="s">
        <v>1685</v>
      </c>
      <c r="C6">
        <v>0.1295</v>
      </c>
      <c r="D6">
        <v>5.6652000000000001E-2</v>
      </c>
      <c r="E6" t="s">
        <v>1664</v>
      </c>
      <c r="F6">
        <v>2025</v>
      </c>
      <c r="G6" t="s">
        <v>2052</v>
      </c>
      <c r="H6" s="6">
        <v>45838</v>
      </c>
      <c r="I6">
        <v>5</v>
      </c>
      <c r="J6">
        <v>7605535</v>
      </c>
      <c r="K6">
        <v>101689</v>
      </c>
      <c r="L6" t="s">
        <v>2053</v>
      </c>
      <c r="O6" t="s">
        <v>3664</v>
      </c>
      <c r="P6">
        <v>-2.4245362661989844E-14</v>
      </c>
      <c r="R6">
        <v>-2.4245362661989844E-14</v>
      </c>
      <c r="S6" t="s">
        <v>1594</v>
      </c>
      <c r="T6">
        <v>2023</v>
      </c>
      <c r="U6" t="s">
        <v>3665</v>
      </c>
      <c r="V6" s="6">
        <v>45198</v>
      </c>
      <c r="W6">
        <v>5</v>
      </c>
      <c r="X6">
        <v>-2.4245362661989844E-14</v>
      </c>
      <c r="Y6">
        <v>61660379</v>
      </c>
      <c r="Z6" t="s">
        <v>3666</v>
      </c>
      <c r="CM6" t="s">
        <v>2084</v>
      </c>
      <c r="CN6" t="s">
        <v>1598</v>
      </c>
      <c r="CO6">
        <v>4.6310560000000001</v>
      </c>
      <c r="CP6">
        <v>0.48797499999999999</v>
      </c>
      <c r="CQ6" t="s">
        <v>1664</v>
      </c>
      <c r="CR6">
        <v>2025</v>
      </c>
      <c r="CS6" t="s">
        <v>1733</v>
      </c>
      <c r="CT6" s="6">
        <v>45947</v>
      </c>
      <c r="CU6">
        <v>5</v>
      </c>
      <c r="CV6">
        <v>9959570</v>
      </c>
      <c r="CW6">
        <v>157222</v>
      </c>
      <c r="CX6" t="s">
        <v>2085</v>
      </c>
      <c r="DA6" t="s">
        <v>178</v>
      </c>
      <c r="DB6">
        <v>1.606857</v>
      </c>
      <c r="DC6" t="s">
        <v>1598</v>
      </c>
      <c r="DD6">
        <v>0.22476499999999999</v>
      </c>
      <c r="DE6" t="s">
        <v>1599</v>
      </c>
      <c r="DF6">
        <v>2025</v>
      </c>
      <c r="DG6" t="s">
        <v>1735</v>
      </c>
      <c r="DH6" s="6">
        <v>45843</v>
      </c>
      <c r="DI6">
        <v>5</v>
      </c>
      <c r="DJ6">
        <v>49266240</v>
      </c>
      <c r="DK6">
        <v>101743</v>
      </c>
      <c r="DL6" t="s">
        <v>1736</v>
      </c>
      <c r="DQ6" t="s">
        <v>240</v>
      </c>
      <c r="DR6" t="s">
        <v>1598</v>
      </c>
      <c r="DS6">
        <v>0.57338800000000001</v>
      </c>
      <c r="DT6">
        <v>3.5686900000000001</v>
      </c>
      <c r="DU6" t="s">
        <v>1599</v>
      </c>
      <c r="DV6">
        <v>2025</v>
      </c>
      <c r="DW6" t="s">
        <v>2219</v>
      </c>
      <c r="DX6" s="6">
        <v>46018</v>
      </c>
      <c r="DY6">
        <v>5</v>
      </c>
      <c r="DZ6">
        <v>137572976</v>
      </c>
      <c r="EA6">
        <v>100828</v>
      </c>
      <c r="EB6" t="s">
        <v>1865</v>
      </c>
      <c r="EE6" t="s">
        <v>277</v>
      </c>
      <c r="EF6">
        <v>9.6462509999999995</v>
      </c>
      <c r="EG6" t="s">
        <v>1598</v>
      </c>
      <c r="EH6">
        <v>2.2510729999999999</v>
      </c>
      <c r="EI6" t="s">
        <v>1599</v>
      </c>
      <c r="EJ6">
        <v>2025</v>
      </c>
      <c r="EK6" t="s">
        <v>5050</v>
      </c>
      <c r="EL6" s="6">
        <v>45985</v>
      </c>
      <c r="EM6">
        <v>5</v>
      </c>
      <c r="EN6">
        <v>1666486272</v>
      </c>
      <c r="EO6">
        <v>154936</v>
      </c>
      <c r="EP6" t="s">
        <v>1766</v>
      </c>
      <c r="EU6" t="s">
        <v>4399</v>
      </c>
      <c r="EV6" t="s">
        <v>1598</v>
      </c>
      <c r="EW6">
        <v>2.0749399999999998</v>
      </c>
      <c r="EX6">
        <v>0.39631499999999997</v>
      </c>
      <c r="EY6" t="s">
        <v>1606</v>
      </c>
      <c r="EZ6">
        <v>2024</v>
      </c>
      <c r="FA6" t="s">
        <v>4815</v>
      </c>
      <c r="FB6" s="6">
        <v>45771</v>
      </c>
      <c r="FC6">
        <v>5</v>
      </c>
      <c r="FD6">
        <v>14830094</v>
      </c>
      <c r="FE6">
        <v>38748702</v>
      </c>
      <c r="FF6" t="s">
        <v>4401</v>
      </c>
      <c r="FI6" t="s">
        <v>4669</v>
      </c>
      <c r="FJ6">
        <v>-2.4245362661989844E-14</v>
      </c>
      <c r="FL6">
        <v>-2.4245362661989844E-14</v>
      </c>
      <c r="FM6" t="s">
        <v>1594</v>
      </c>
      <c r="FN6">
        <v>2024</v>
      </c>
      <c r="FO6" t="s">
        <v>4670</v>
      </c>
      <c r="FP6" s="6">
        <v>45787</v>
      </c>
      <c r="FQ6">
        <v>5</v>
      </c>
      <c r="FR6">
        <v>-2.4245362661989844E-14</v>
      </c>
      <c r="FS6">
        <v>22394869</v>
      </c>
      <c r="FT6" t="s">
        <v>4671</v>
      </c>
      <c r="FY6" t="s">
        <v>964</v>
      </c>
      <c r="FZ6" t="s">
        <v>1685</v>
      </c>
      <c r="GA6">
        <v>1.3</v>
      </c>
      <c r="GB6">
        <v>1.6724570000000001</v>
      </c>
      <c r="GC6" t="s">
        <v>1664</v>
      </c>
      <c r="GD6">
        <v>2025</v>
      </c>
      <c r="GE6" t="s">
        <v>3155</v>
      </c>
      <c r="GF6" s="6">
        <v>45868</v>
      </c>
      <c r="GG6">
        <v>5</v>
      </c>
      <c r="GH6">
        <v>1488487</v>
      </c>
      <c r="GI6">
        <v>15671511</v>
      </c>
      <c r="GJ6" t="s">
        <v>3139</v>
      </c>
      <c r="GM6" t="s">
        <v>4373</v>
      </c>
      <c r="GN6">
        <v>-2.4245362661989844E-14</v>
      </c>
      <c r="GP6">
        <v>-2.4245362661989844E-14</v>
      </c>
      <c r="GQ6" t="s">
        <v>1594</v>
      </c>
      <c r="GR6">
        <v>2023</v>
      </c>
      <c r="GS6" t="s">
        <v>4374</v>
      </c>
      <c r="GT6" s="6">
        <v>45028</v>
      </c>
      <c r="GU6">
        <v>5</v>
      </c>
      <c r="GV6">
        <v>-2.4245362661989844E-14</v>
      </c>
      <c r="GW6">
        <v>20648392</v>
      </c>
      <c r="GX6" t="s">
        <v>4375</v>
      </c>
      <c r="HC6" t="s">
        <v>3397</v>
      </c>
      <c r="HD6" t="s">
        <v>1634</v>
      </c>
      <c r="HE6">
        <v>6.6028770000000003</v>
      </c>
      <c r="HF6">
        <v>5.0506979999999997</v>
      </c>
      <c r="HG6" t="s">
        <v>1664</v>
      </c>
      <c r="HH6">
        <v>2025</v>
      </c>
      <c r="HI6" t="s">
        <v>3398</v>
      </c>
      <c r="HJ6" s="6">
        <v>45915</v>
      </c>
      <c r="HK6">
        <v>5</v>
      </c>
      <c r="HL6">
        <v>245362912</v>
      </c>
      <c r="HM6">
        <v>101464</v>
      </c>
      <c r="HN6" t="s">
        <v>3399</v>
      </c>
      <c r="HQ6" t="s">
        <v>2492</v>
      </c>
      <c r="HR6">
        <v>1.615089</v>
      </c>
      <c r="HS6" t="s">
        <v>1598</v>
      </c>
      <c r="HT6">
        <v>12.136977999999999</v>
      </c>
      <c r="HU6" t="s">
        <v>1594</v>
      </c>
      <c r="HV6">
        <v>2024</v>
      </c>
      <c r="HW6" t="s">
        <v>2944</v>
      </c>
      <c r="HX6" s="6">
        <v>45712</v>
      </c>
      <c r="HY6">
        <v>5</v>
      </c>
      <c r="HZ6">
        <v>1712931072</v>
      </c>
      <c r="IA6">
        <v>9917432</v>
      </c>
      <c r="IB6" t="s">
        <v>2493</v>
      </c>
      <c r="IG6" t="s">
        <v>3820</v>
      </c>
      <c r="IH6" t="s">
        <v>1598</v>
      </c>
      <c r="II6">
        <v>2.5734720000000002</v>
      </c>
      <c r="IJ6">
        <v>6.5550290000000002</v>
      </c>
      <c r="IK6" t="s">
        <v>1603</v>
      </c>
      <c r="IL6">
        <v>2025</v>
      </c>
      <c r="IM6" t="s">
        <v>3821</v>
      </c>
      <c r="IN6" s="6">
        <v>45849</v>
      </c>
      <c r="IO6">
        <v>5</v>
      </c>
      <c r="IP6">
        <v>73285224</v>
      </c>
      <c r="IQ6">
        <v>102595</v>
      </c>
      <c r="IR6" t="s">
        <v>3822</v>
      </c>
      <c r="IU6" t="s">
        <v>1848</v>
      </c>
      <c r="IV6">
        <v>-2.4245362661989844E-14</v>
      </c>
      <c r="IX6">
        <v>-2.4245362661989844E-14</v>
      </c>
      <c r="IY6" t="s">
        <v>1594</v>
      </c>
      <c r="IZ6">
        <v>2021</v>
      </c>
      <c r="JA6" t="s">
        <v>3689</v>
      </c>
      <c r="JB6" s="6">
        <v>44693</v>
      </c>
      <c r="JC6">
        <v>5</v>
      </c>
      <c r="JD6">
        <v>-2.4245362661989844E-14</v>
      </c>
      <c r="JE6">
        <v>9288162</v>
      </c>
      <c r="JF6" t="s">
        <v>1850</v>
      </c>
      <c r="MW6" t="s">
        <v>590</v>
      </c>
      <c r="MX6" t="s">
        <v>1685</v>
      </c>
      <c r="MY6">
        <v>1.573588</v>
      </c>
      <c r="MZ6">
        <v>2.417144</v>
      </c>
      <c r="NA6" t="s">
        <v>1594</v>
      </c>
      <c r="NB6">
        <v>2024</v>
      </c>
      <c r="NC6" t="s">
        <v>4722</v>
      </c>
      <c r="ND6" s="6">
        <v>45693</v>
      </c>
      <c r="NE6">
        <v>5</v>
      </c>
      <c r="NF6">
        <v>23461406.75</v>
      </c>
      <c r="NG6">
        <v>126551</v>
      </c>
      <c r="NH6" t="s">
        <v>6138</v>
      </c>
      <c r="NK6" t="s">
        <v>4600</v>
      </c>
      <c r="NL6">
        <v>1.8095699999999999</v>
      </c>
      <c r="NM6" t="s">
        <v>1598</v>
      </c>
      <c r="NN6">
        <v>1.087801</v>
      </c>
      <c r="NO6" t="s">
        <v>1599</v>
      </c>
      <c r="NP6">
        <v>2025</v>
      </c>
      <c r="NQ6" t="s">
        <v>4598</v>
      </c>
      <c r="NR6" s="6">
        <v>45812</v>
      </c>
      <c r="NS6">
        <v>5</v>
      </c>
      <c r="NT6">
        <v>28674446</v>
      </c>
      <c r="NU6">
        <v>101749</v>
      </c>
      <c r="NV6" t="s">
        <v>4601</v>
      </c>
      <c r="PE6" t="s">
        <v>4636</v>
      </c>
      <c r="PF6" t="s">
        <v>1598</v>
      </c>
      <c r="PG6">
        <v>10</v>
      </c>
      <c r="PH6">
        <v>0.22742599999999999</v>
      </c>
      <c r="PI6" t="s">
        <v>1594</v>
      </c>
      <c r="PJ6">
        <v>2024</v>
      </c>
      <c r="PK6" t="s">
        <v>4637</v>
      </c>
      <c r="PL6" s="6">
        <v>45715</v>
      </c>
      <c r="PM6">
        <v>5</v>
      </c>
      <c r="PN6">
        <v>75422272</v>
      </c>
      <c r="PO6">
        <v>101024</v>
      </c>
      <c r="PP6" t="s">
        <v>4638</v>
      </c>
      <c r="PS6" t="s">
        <v>4276</v>
      </c>
      <c r="PT6">
        <v>-2.4245362661989844E-14</v>
      </c>
      <c r="PV6">
        <v>-2.4245362661989844E-14</v>
      </c>
      <c r="PW6" t="s">
        <v>1594</v>
      </c>
      <c r="PX6">
        <v>2024</v>
      </c>
      <c r="PY6" t="s">
        <v>4277</v>
      </c>
      <c r="PZ6" s="6">
        <v>45728</v>
      </c>
      <c r="QA6">
        <v>5</v>
      </c>
      <c r="QB6">
        <v>-2.4245362661989844E-14</v>
      </c>
      <c r="QC6">
        <v>223582</v>
      </c>
      <c r="QD6" t="s">
        <v>4278</v>
      </c>
      <c r="TU6" t="s">
        <v>2057</v>
      </c>
      <c r="TV6" t="s">
        <v>1685</v>
      </c>
      <c r="TW6">
        <v>1.9358E-2</v>
      </c>
      <c r="TX6">
        <v>2.9807E-2</v>
      </c>
      <c r="TY6" t="s">
        <v>1603</v>
      </c>
      <c r="TZ6">
        <v>2026</v>
      </c>
      <c r="UA6" t="s">
        <v>2058</v>
      </c>
      <c r="UB6" s="6">
        <v>45898</v>
      </c>
      <c r="UC6">
        <v>5</v>
      </c>
      <c r="UD6">
        <v>34935.69</v>
      </c>
      <c r="UE6">
        <v>178651</v>
      </c>
      <c r="UF6" t="s">
        <v>2059</v>
      </c>
      <c r="UI6" t="s">
        <v>2392</v>
      </c>
      <c r="UJ6">
        <v>-2.4245362661989844E-14</v>
      </c>
      <c r="UL6">
        <v>-2.4245362661989844E-14</v>
      </c>
      <c r="UM6" t="s">
        <v>1594</v>
      </c>
      <c r="UN6">
        <v>2023</v>
      </c>
      <c r="UO6" t="s">
        <v>2393</v>
      </c>
      <c r="UP6" s="6">
        <v>45384</v>
      </c>
      <c r="UQ6">
        <v>5</v>
      </c>
      <c r="UR6">
        <v>-2.4245362661989844E-14</v>
      </c>
      <c r="US6">
        <v>21163905</v>
      </c>
      <c r="UT6" t="s">
        <v>2394</v>
      </c>
      <c r="UY6" t="s">
        <v>2095</v>
      </c>
      <c r="UZ6" t="s">
        <v>1685</v>
      </c>
      <c r="VA6">
        <v>2.1</v>
      </c>
      <c r="VB6">
        <v>9.1852000000000003E-2</v>
      </c>
      <c r="VC6" t="s">
        <v>1594</v>
      </c>
      <c r="VD6">
        <v>2024</v>
      </c>
      <c r="VE6" t="s">
        <v>2096</v>
      </c>
      <c r="VF6" s="6">
        <v>45722</v>
      </c>
      <c r="VG6">
        <v>5</v>
      </c>
      <c r="VH6">
        <v>1151221.8700000001</v>
      </c>
      <c r="VI6">
        <v>8674508</v>
      </c>
      <c r="VJ6" t="s">
        <v>2097</v>
      </c>
      <c r="VM6" t="s">
        <v>117</v>
      </c>
      <c r="VN6">
        <v>0.16972000000000001</v>
      </c>
      <c r="VO6" t="s">
        <v>1598</v>
      </c>
      <c r="VP6">
        <v>0.232289</v>
      </c>
      <c r="VQ6" t="s">
        <v>1603</v>
      </c>
      <c r="VR6">
        <v>2025</v>
      </c>
      <c r="VS6" t="s">
        <v>1744</v>
      </c>
      <c r="VT6" s="6">
        <v>45797</v>
      </c>
      <c r="VU6">
        <v>5</v>
      </c>
      <c r="VV6">
        <v>15122014</v>
      </c>
      <c r="VW6">
        <v>100801</v>
      </c>
      <c r="VX6" t="s">
        <v>1745</v>
      </c>
    </row>
    <row r="7" spans="1:600" x14ac:dyDescent="0.25">
      <c r="A7" t="s">
        <v>3333</v>
      </c>
      <c r="B7" t="s">
        <v>1685</v>
      </c>
      <c r="C7">
        <v>0.91660699999999995</v>
      </c>
      <c r="D7">
        <v>2.2012E-2</v>
      </c>
      <c r="E7" t="s">
        <v>1606</v>
      </c>
      <c r="F7">
        <v>2024</v>
      </c>
      <c r="G7" t="s">
        <v>3334</v>
      </c>
      <c r="H7" s="6">
        <v>45776</v>
      </c>
      <c r="I7">
        <v>5</v>
      </c>
      <c r="J7">
        <v>2902454</v>
      </c>
      <c r="K7">
        <v>171490</v>
      </c>
      <c r="L7" t="s">
        <v>3335</v>
      </c>
      <c r="O7" t="s">
        <v>3667</v>
      </c>
      <c r="P7">
        <v>-2.4245362661989844E-14</v>
      </c>
      <c r="R7">
        <v>-2.4245362661989844E-14</v>
      </c>
      <c r="S7" t="s">
        <v>1594</v>
      </c>
      <c r="T7">
        <v>2023</v>
      </c>
      <c r="U7" t="s">
        <v>3665</v>
      </c>
      <c r="V7" s="6">
        <v>45188</v>
      </c>
      <c r="W7">
        <v>5</v>
      </c>
      <c r="X7">
        <v>-2.4245362661989844E-14</v>
      </c>
      <c r="Y7">
        <v>71227770</v>
      </c>
      <c r="Z7" t="s">
        <v>3668</v>
      </c>
      <c r="CM7" t="s">
        <v>2086</v>
      </c>
      <c r="CN7" t="s">
        <v>1598</v>
      </c>
      <c r="CO7">
        <v>1.022999</v>
      </c>
      <c r="CP7">
        <v>0.223414</v>
      </c>
      <c r="CQ7" t="s">
        <v>1664</v>
      </c>
      <c r="CR7">
        <v>2025</v>
      </c>
      <c r="CS7" t="s">
        <v>1733</v>
      </c>
      <c r="CT7" s="6">
        <v>45947</v>
      </c>
      <c r="CU7">
        <v>5</v>
      </c>
      <c r="CV7">
        <v>4559880</v>
      </c>
      <c r="CW7">
        <v>17048425</v>
      </c>
      <c r="CX7" t="s">
        <v>2087</v>
      </c>
      <c r="DA7" t="s">
        <v>341</v>
      </c>
      <c r="DB7">
        <v>0.88662700000000005</v>
      </c>
      <c r="DC7" t="s">
        <v>1598</v>
      </c>
      <c r="DD7">
        <v>0.85050899999999996</v>
      </c>
      <c r="DE7" t="s">
        <v>1664</v>
      </c>
      <c r="DF7">
        <v>2025</v>
      </c>
      <c r="DG7" t="s">
        <v>1737</v>
      </c>
      <c r="DH7" s="6">
        <v>45869</v>
      </c>
      <c r="DI7">
        <v>5</v>
      </c>
      <c r="DJ7">
        <v>27183968</v>
      </c>
      <c r="DK7">
        <v>101341</v>
      </c>
      <c r="DL7" t="s">
        <v>1738</v>
      </c>
      <c r="DQ7" t="s">
        <v>4870</v>
      </c>
      <c r="DR7" t="s">
        <v>1598</v>
      </c>
      <c r="DS7">
        <v>6.0908949999999997</v>
      </c>
      <c r="DT7">
        <v>2.5669719999999998</v>
      </c>
      <c r="DU7" t="s">
        <v>1594</v>
      </c>
      <c r="DV7">
        <v>2024</v>
      </c>
      <c r="DW7" t="s">
        <v>4871</v>
      </c>
      <c r="DX7" s="6">
        <v>45713</v>
      </c>
      <c r="DY7">
        <v>5</v>
      </c>
      <c r="DZ7">
        <v>97500000</v>
      </c>
      <c r="EA7">
        <v>69483676</v>
      </c>
      <c r="EB7" t="s">
        <v>4872</v>
      </c>
      <c r="EE7" t="s">
        <v>618</v>
      </c>
      <c r="EF7">
        <v>7.5766629999999999</v>
      </c>
      <c r="EG7" t="s">
        <v>1598</v>
      </c>
      <c r="EH7">
        <v>2.12181</v>
      </c>
      <c r="EI7" t="s">
        <v>1599</v>
      </c>
      <c r="EJ7">
        <v>2025</v>
      </c>
      <c r="EK7" t="s">
        <v>5050</v>
      </c>
      <c r="EL7" s="6">
        <v>45985</v>
      </c>
      <c r="EM7">
        <v>5</v>
      </c>
      <c r="EN7">
        <v>1308944256</v>
      </c>
      <c r="EO7">
        <v>102782</v>
      </c>
      <c r="EP7" t="s">
        <v>1626</v>
      </c>
      <c r="EU7" t="s">
        <v>1416</v>
      </c>
      <c r="EV7" t="s">
        <v>1598</v>
      </c>
      <c r="EW7">
        <v>0.20621400000000001</v>
      </c>
      <c r="EX7">
        <v>5.6577000000000002E-2</v>
      </c>
      <c r="EY7" t="s">
        <v>1603</v>
      </c>
      <c r="EZ7">
        <v>2025</v>
      </c>
      <c r="FA7" t="s">
        <v>2012</v>
      </c>
      <c r="FB7" s="6">
        <v>45834</v>
      </c>
      <c r="FC7">
        <v>5</v>
      </c>
      <c r="FD7">
        <v>2093359</v>
      </c>
      <c r="FE7">
        <v>393374</v>
      </c>
      <c r="FF7" t="s">
        <v>2013</v>
      </c>
      <c r="FI7" t="s">
        <v>4672</v>
      </c>
      <c r="FJ7">
        <v>-2.4245362661989844E-14</v>
      </c>
      <c r="FL7">
        <v>-2.4245362661989844E-14</v>
      </c>
      <c r="FM7" t="s">
        <v>2469</v>
      </c>
      <c r="FN7">
        <v>2024</v>
      </c>
      <c r="FO7" t="s">
        <v>4673</v>
      </c>
      <c r="FP7" s="6">
        <v>45540</v>
      </c>
      <c r="FQ7">
        <v>5</v>
      </c>
      <c r="FR7">
        <v>-2.4245362661989844E-14</v>
      </c>
      <c r="FS7">
        <v>71914875</v>
      </c>
      <c r="FT7" t="s">
        <v>4674</v>
      </c>
      <c r="FY7" t="s">
        <v>4461</v>
      </c>
      <c r="FZ7" t="s">
        <v>1685</v>
      </c>
      <c r="GA7">
        <v>0.57499199999999995</v>
      </c>
      <c r="GB7">
        <v>0.87660199999999999</v>
      </c>
      <c r="GC7" t="s">
        <v>1594</v>
      </c>
      <c r="GD7">
        <v>2024</v>
      </c>
      <c r="GE7" t="s">
        <v>4462</v>
      </c>
      <c r="GF7" s="6">
        <v>45706</v>
      </c>
      <c r="GG7">
        <v>5</v>
      </c>
      <c r="GH7">
        <v>786750</v>
      </c>
      <c r="GI7">
        <v>51562074</v>
      </c>
      <c r="GJ7" t="s">
        <v>4463</v>
      </c>
      <c r="GM7" t="s">
        <v>4376</v>
      </c>
      <c r="GN7">
        <v>-2.4245362661989844E-14</v>
      </c>
      <c r="GP7">
        <v>-2.4245362661989844E-14</v>
      </c>
      <c r="GQ7" t="s">
        <v>1594</v>
      </c>
      <c r="GR7">
        <v>2023</v>
      </c>
      <c r="GS7" t="s">
        <v>4377</v>
      </c>
      <c r="GT7" s="6">
        <v>45302</v>
      </c>
      <c r="GU7">
        <v>5</v>
      </c>
      <c r="GV7">
        <v>-2.4245362661989844E-14</v>
      </c>
      <c r="GW7">
        <v>28228226</v>
      </c>
      <c r="GX7" t="s">
        <v>4378</v>
      </c>
      <c r="HC7" t="s">
        <v>3400</v>
      </c>
      <c r="HD7" t="s">
        <v>1598</v>
      </c>
      <c r="HE7">
        <v>18</v>
      </c>
      <c r="HF7">
        <v>0.28558099999999997</v>
      </c>
      <c r="HG7" t="s">
        <v>1594</v>
      </c>
      <c r="HH7">
        <v>2025</v>
      </c>
      <c r="HI7" t="s">
        <v>3401</v>
      </c>
      <c r="HJ7" s="6">
        <v>46079</v>
      </c>
      <c r="HK7">
        <v>5</v>
      </c>
      <c r="HL7">
        <v>185490768</v>
      </c>
      <c r="HM7">
        <v>103442</v>
      </c>
      <c r="HN7" t="s">
        <v>3402</v>
      </c>
      <c r="HQ7" t="s">
        <v>2945</v>
      </c>
      <c r="HR7">
        <v>1.5294399999999999</v>
      </c>
      <c r="HT7">
        <v>-2.4245362661989844E-14</v>
      </c>
      <c r="HU7" t="s">
        <v>1594</v>
      </c>
      <c r="HV7">
        <v>2024</v>
      </c>
      <c r="HW7" t="s">
        <v>2944</v>
      </c>
      <c r="HX7" s="6">
        <v>45712</v>
      </c>
      <c r="HY7">
        <v>5</v>
      </c>
      <c r="HZ7">
        <v>1622093696</v>
      </c>
      <c r="IA7">
        <v>302359</v>
      </c>
      <c r="IB7" t="s">
        <v>2946</v>
      </c>
      <c r="IG7" t="s">
        <v>3823</v>
      </c>
      <c r="IH7" t="s">
        <v>1634</v>
      </c>
      <c r="II7">
        <v>0.95882900000000004</v>
      </c>
      <c r="IJ7">
        <v>1.568192</v>
      </c>
      <c r="IK7" t="s">
        <v>1599</v>
      </c>
      <c r="IL7">
        <v>2025</v>
      </c>
      <c r="IM7" t="s">
        <v>3824</v>
      </c>
      <c r="IN7" s="6">
        <v>46013</v>
      </c>
      <c r="IO7">
        <v>5</v>
      </c>
      <c r="IP7">
        <v>47697634.200000003</v>
      </c>
      <c r="IQ7">
        <v>11796370</v>
      </c>
      <c r="IR7" t="s">
        <v>3825</v>
      </c>
      <c r="IU7" t="s">
        <v>3691</v>
      </c>
      <c r="IV7">
        <v>-2.4245362661989844E-14</v>
      </c>
      <c r="IX7">
        <v>-2.4245362661989844E-14</v>
      </c>
      <c r="IY7" t="s">
        <v>1594</v>
      </c>
      <c r="IZ7">
        <v>2021</v>
      </c>
      <c r="JA7" t="s">
        <v>3689</v>
      </c>
      <c r="JB7" s="6">
        <v>44693</v>
      </c>
      <c r="JC7">
        <v>5</v>
      </c>
      <c r="JD7">
        <v>-2.4245362661989844E-14</v>
      </c>
      <c r="JE7">
        <v>129208</v>
      </c>
      <c r="JF7" t="s">
        <v>3692</v>
      </c>
      <c r="MW7" t="s">
        <v>4121</v>
      </c>
      <c r="MX7" t="s">
        <v>1598</v>
      </c>
      <c r="MY7">
        <v>3.116962</v>
      </c>
      <c r="MZ7">
        <v>2.9794990000000001</v>
      </c>
      <c r="NA7" t="s">
        <v>1599</v>
      </c>
      <c r="NB7">
        <v>2025</v>
      </c>
      <c r="NC7" t="s">
        <v>4122</v>
      </c>
      <c r="ND7" s="6">
        <v>46058</v>
      </c>
      <c r="NE7">
        <v>5</v>
      </c>
      <c r="NF7">
        <v>12040154</v>
      </c>
      <c r="NG7">
        <v>12116527</v>
      </c>
      <c r="NH7" t="s">
        <v>4123</v>
      </c>
      <c r="NK7" t="s">
        <v>4602</v>
      </c>
      <c r="NL7">
        <v>0.99903799999999998</v>
      </c>
      <c r="NM7" t="s">
        <v>1598</v>
      </c>
      <c r="NN7">
        <v>0.59192800000000001</v>
      </c>
      <c r="NO7" t="s">
        <v>1599</v>
      </c>
      <c r="NP7">
        <v>2025</v>
      </c>
      <c r="NQ7" t="s">
        <v>4598</v>
      </c>
      <c r="NR7" s="6">
        <v>45812</v>
      </c>
      <c r="NS7">
        <v>5</v>
      </c>
      <c r="NT7">
        <v>15830756</v>
      </c>
      <c r="NU7">
        <v>115359</v>
      </c>
      <c r="NV7" t="s">
        <v>4603</v>
      </c>
      <c r="PE7" t="s">
        <v>4639</v>
      </c>
      <c r="PF7" t="s">
        <v>1598</v>
      </c>
      <c r="PG7">
        <v>11</v>
      </c>
      <c r="PH7">
        <v>0.220832</v>
      </c>
      <c r="PI7" t="s">
        <v>1594</v>
      </c>
      <c r="PJ7">
        <v>2024</v>
      </c>
      <c r="PK7" t="s">
        <v>4640</v>
      </c>
      <c r="PL7" s="6">
        <v>45729</v>
      </c>
      <c r="PM7">
        <v>5</v>
      </c>
      <c r="PN7">
        <v>73564549.950000003</v>
      </c>
      <c r="PO7">
        <v>20377295</v>
      </c>
      <c r="PP7" t="s">
        <v>4641</v>
      </c>
      <c r="PS7" t="s">
        <v>4279</v>
      </c>
      <c r="PT7">
        <v>-2.4245362661989844E-14</v>
      </c>
      <c r="PV7">
        <v>-2.4245362661989844E-14</v>
      </c>
      <c r="PW7" t="s">
        <v>1792</v>
      </c>
      <c r="PX7">
        <v>2025</v>
      </c>
      <c r="PY7" t="s">
        <v>4280</v>
      </c>
      <c r="PZ7" s="6">
        <v>45895</v>
      </c>
      <c r="QA7">
        <v>5</v>
      </c>
      <c r="QB7">
        <v>-2.4245362661989844E-14</v>
      </c>
      <c r="QC7">
        <v>18302805</v>
      </c>
      <c r="QD7" t="s">
        <v>4281</v>
      </c>
      <c r="TU7" t="s">
        <v>2389</v>
      </c>
      <c r="TW7">
        <v>-2.4245362661989844E-14</v>
      </c>
      <c r="TX7">
        <v>-2.4245362661989844E-14</v>
      </c>
      <c r="TY7" t="s">
        <v>1594</v>
      </c>
      <c r="TZ7">
        <v>2024</v>
      </c>
      <c r="UA7" t="s">
        <v>3597</v>
      </c>
      <c r="UB7" s="6">
        <v>45771</v>
      </c>
      <c r="UC7">
        <v>5</v>
      </c>
      <c r="UD7">
        <v>-2.4245362661989844E-14</v>
      </c>
      <c r="UE7">
        <v>21808713</v>
      </c>
      <c r="UF7" t="s">
        <v>2391</v>
      </c>
      <c r="UI7" t="s">
        <v>2395</v>
      </c>
      <c r="UJ7">
        <v>-2.4245362661989844E-14</v>
      </c>
      <c r="UL7">
        <v>-2.4245362661989844E-14</v>
      </c>
      <c r="UM7" t="s">
        <v>1594</v>
      </c>
      <c r="UN7">
        <v>2024</v>
      </c>
      <c r="UO7" t="s">
        <v>2396</v>
      </c>
      <c r="UP7" s="6">
        <v>45772</v>
      </c>
      <c r="UQ7">
        <v>5</v>
      </c>
      <c r="UR7">
        <v>-2.4245362661989844E-14</v>
      </c>
      <c r="US7">
        <v>135870</v>
      </c>
      <c r="UT7" t="s">
        <v>2397</v>
      </c>
      <c r="UY7" t="s">
        <v>2098</v>
      </c>
      <c r="UZ7" t="s">
        <v>1685</v>
      </c>
      <c r="VA7">
        <v>0.10968700000000001</v>
      </c>
      <c r="VB7">
        <v>3.2883000000000003E-2</v>
      </c>
      <c r="VC7" t="s">
        <v>1603</v>
      </c>
      <c r="VD7">
        <v>2026</v>
      </c>
      <c r="VE7" t="s">
        <v>2099</v>
      </c>
      <c r="VF7" s="6">
        <v>45944</v>
      </c>
      <c r="VG7">
        <v>5</v>
      </c>
      <c r="VH7">
        <v>419277.77</v>
      </c>
      <c r="VI7">
        <v>14882485</v>
      </c>
      <c r="VJ7" t="s">
        <v>2100</v>
      </c>
      <c r="VM7" t="s">
        <v>1746</v>
      </c>
      <c r="VN7">
        <v>1.227E-3</v>
      </c>
      <c r="VO7" t="s">
        <v>1685</v>
      </c>
      <c r="VP7">
        <v>4.014913</v>
      </c>
      <c r="VQ7" t="s">
        <v>1594</v>
      </c>
      <c r="VR7">
        <v>2025</v>
      </c>
      <c r="VS7" t="s">
        <v>1747</v>
      </c>
      <c r="VT7" s="6">
        <v>45824</v>
      </c>
      <c r="VU7">
        <v>5</v>
      </c>
      <c r="VV7">
        <v>112738.5</v>
      </c>
      <c r="VW7">
        <v>328062</v>
      </c>
      <c r="VX7" t="s">
        <v>1748</v>
      </c>
    </row>
    <row r="8" spans="1:600" x14ac:dyDescent="0.25">
      <c r="A8" t="s">
        <v>3836</v>
      </c>
      <c r="B8" t="s">
        <v>1598</v>
      </c>
      <c r="C8">
        <v>1.0791219999999999</v>
      </c>
      <c r="D8">
        <v>2.0365000000000001E-2</v>
      </c>
      <c r="E8" t="s">
        <v>1606</v>
      </c>
      <c r="F8">
        <v>2024</v>
      </c>
      <c r="G8" t="s">
        <v>3837</v>
      </c>
      <c r="H8" s="6">
        <v>45709</v>
      </c>
      <c r="I8">
        <v>5</v>
      </c>
      <c r="J8">
        <v>2698409</v>
      </c>
      <c r="K8">
        <v>1713474</v>
      </c>
      <c r="L8" t="s">
        <v>3838</v>
      </c>
      <c r="O8" t="s">
        <v>1117</v>
      </c>
      <c r="P8">
        <v>-2.4245362661989844E-14</v>
      </c>
      <c r="R8">
        <v>-2.4245362661989844E-14</v>
      </c>
      <c r="S8" t="s">
        <v>1594</v>
      </c>
      <c r="T8">
        <v>2024</v>
      </c>
      <c r="U8" t="s">
        <v>3669</v>
      </c>
      <c r="V8" s="6">
        <v>45320</v>
      </c>
      <c r="W8">
        <v>5</v>
      </c>
      <c r="X8">
        <v>-2.4245362661989844E-14</v>
      </c>
      <c r="Y8">
        <v>100460</v>
      </c>
      <c r="Z8" t="s">
        <v>3670</v>
      </c>
      <c r="CM8" t="s">
        <v>2088</v>
      </c>
      <c r="CN8" t="s">
        <v>1598</v>
      </c>
      <c r="CO8">
        <v>0.124469</v>
      </c>
      <c r="CP8">
        <v>0.198931</v>
      </c>
      <c r="CQ8" t="s">
        <v>1603</v>
      </c>
      <c r="CR8">
        <v>2025</v>
      </c>
      <c r="CS8" t="s">
        <v>2089</v>
      </c>
      <c r="CT8" s="6">
        <v>45849</v>
      </c>
      <c r="CU8">
        <v>5</v>
      </c>
      <c r="CV8">
        <v>3819444.94</v>
      </c>
      <c r="CW8">
        <v>179551</v>
      </c>
      <c r="CX8" t="s">
        <v>2090</v>
      </c>
      <c r="DA8" t="s">
        <v>1739</v>
      </c>
      <c r="DB8">
        <v>0.82311599999999996</v>
      </c>
      <c r="DC8" t="s">
        <v>1598</v>
      </c>
      <c r="DD8">
        <v>0.16905600000000001</v>
      </c>
      <c r="DE8" t="s">
        <v>1664</v>
      </c>
      <c r="DF8">
        <v>2026</v>
      </c>
      <c r="DG8" t="s">
        <v>1740</v>
      </c>
      <c r="DH8" s="6">
        <v>45940</v>
      </c>
      <c r="DI8">
        <v>5</v>
      </c>
      <c r="DJ8">
        <v>26808900</v>
      </c>
      <c r="DK8">
        <v>100916</v>
      </c>
      <c r="DL8" t="s">
        <v>1741</v>
      </c>
      <c r="DQ8" t="s">
        <v>4873</v>
      </c>
      <c r="DR8" t="s">
        <v>2128</v>
      </c>
      <c r="DS8">
        <v>-2.4245362661989844E-14</v>
      </c>
      <c r="DT8">
        <v>1.9000570000000001</v>
      </c>
      <c r="DU8" t="s">
        <v>1594</v>
      </c>
      <c r="DV8">
        <v>2025</v>
      </c>
      <c r="DW8" t="s">
        <v>4869</v>
      </c>
      <c r="DX8" s="6">
        <v>46077</v>
      </c>
      <c r="DY8">
        <v>5</v>
      </c>
      <c r="DZ8">
        <v>75000000</v>
      </c>
      <c r="EA8">
        <v>71999429</v>
      </c>
      <c r="EB8" t="s">
        <v>4874</v>
      </c>
      <c r="EE8" t="s">
        <v>23</v>
      </c>
      <c r="EF8">
        <v>0.787219</v>
      </c>
      <c r="EG8" t="s">
        <v>1598</v>
      </c>
      <c r="EH8">
        <v>3.9592429999999998</v>
      </c>
      <c r="EI8" t="s">
        <v>1599</v>
      </c>
      <c r="EJ8">
        <v>2025</v>
      </c>
      <c r="EK8" t="s">
        <v>2126</v>
      </c>
      <c r="EL8" s="6">
        <v>45966</v>
      </c>
      <c r="EM8">
        <v>5</v>
      </c>
      <c r="EN8">
        <v>136000000</v>
      </c>
      <c r="EO8">
        <v>100225</v>
      </c>
      <c r="EP8" t="s">
        <v>2222</v>
      </c>
      <c r="EU8" t="s">
        <v>2987</v>
      </c>
      <c r="EV8" t="s">
        <v>1598</v>
      </c>
      <c r="EW8">
        <v>5.2839999999999996E-3</v>
      </c>
      <c r="EX8">
        <v>2.0349999999999999E-3</v>
      </c>
      <c r="EY8" t="s">
        <v>1664</v>
      </c>
      <c r="EZ8">
        <v>2025</v>
      </c>
      <c r="FA8" t="s">
        <v>2988</v>
      </c>
      <c r="FB8" s="6">
        <v>45910</v>
      </c>
      <c r="FC8">
        <v>5</v>
      </c>
      <c r="FD8">
        <v>92493.15</v>
      </c>
      <c r="FE8">
        <v>18686622</v>
      </c>
      <c r="FF8" t="s">
        <v>2989</v>
      </c>
      <c r="FI8" t="s">
        <v>2987</v>
      </c>
      <c r="FJ8">
        <v>-2.4245362661989844E-14</v>
      </c>
      <c r="FL8">
        <v>-2.4245362661989844E-14</v>
      </c>
      <c r="FM8" t="s">
        <v>1594</v>
      </c>
      <c r="FN8">
        <v>2024</v>
      </c>
      <c r="FO8" t="s">
        <v>4675</v>
      </c>
      <c r="FP8" s="6">
        <v>45716</v>
      </c>
      <c r="FQ8">
        <v>5</v>
      </c>
      <c r="FR8">
        <v>-2.4245362661989844E-14</v>
      </c>
      <c r="FS8">
        <v>18686622</v>
      </c>
      <c r="FT8" t="s">
        <v>2989</v>
      </c>
      <c r="FY8" t="s">
        <v>4464</v>
      </c>
      <c r="FZ8" t="s">
        <v>1598</v>
      </c>
      <c r="GA8">
        <v>0.58394900000000005</v>
      </c>
      <c r="GB8">
        <v>2.0202000000000001E-2</v>
      </c>
      <c r="GC8" t="s">
        <v>1599</v>
      </c>
      <c r="GD8">
        <v>2026</v>
      </c>
      <c r="GE8" t="s">
        <v>4465</v>
      </c>
      <c r="GF8" s="6">
        <v>46078</v>
      </c>
      <c r="GG8">
        <v>5</v>
      </c>
      <c r="GH8">
        <v>331105</v>
      </c>
      <c r="GI8">
        <v>104151</v>
      </c>
      <c r="GJ8" t="s">
        <v>4466</v>
      </c>
      <c r="GM8" t="s">
        <v>3454</v>
      </c>
      <c r="GN8">
        <v>-2.4245362661989844E-14</v>
      </c>
      <c r="GP8">
        <v>-2.4245362661989844E-14</v>
      </c>
      <c r="GQ8" t="s">
        <v>1594</v>
      </c>
      <c r="GR8">
        <v>2025</v>
      </c>
      <c r="GS8" t="s">
        <v>4379</v>
      </c>
      <c r="GT8" s="6">
        <v>45733</v>
      </c>
      <c r="GU8">
        <v>5</v>
      </c>
      <c r="GV8">
        <v>-2.4245362661989844E-14</v>
      </c>
      <c r="GW8">
        <v>17530883</v>
      </c>
      <c r="GX8" t="s">
        <v>3455</v>
      </c>
      <c r="HC8" t="s">
        <v>3403</v>
      </c>
      <c r="HD8" t="s">
        <v>1598</v>
      </c>
      <c r="HE8">
        <v>4.630776</v>
      </c>
      <c r="HF8">
        <v>0.19183800000000001</v>
      </c>
      <c r="HG8" t="s">
        <v>1599</v>
      </c>
      <c r="HH8">
        <v>2025</v>
      </c>
      <c r="HI8" t="s">
        <v>3404</v>
      </c>
      <c r="HJ8" s="6">
        <v>45952</v>
      </c>
      <c r="HK8">
        <v>5</v>
      </c>
      <c r="HL8">
        <v>125308800</v>
      </c>
      <c r="HM8">
        <v>171010</v>
      </c>
      <c r="HN8" t="s">
        <v>3405</v>
      </c>
      <c r="HQ8" t="s">
        <v>872</v>
      </c>
      <c r="HR8">
        <v>0.34598400000000001</v>
      </c>
      <c r="HS8" t="s">
        <v>1598</v>
      </c>
      <c r="HT8">
        <v>1.684086</v>
      </c>
      <c r="HU8" t="s">
        <v>1664</v>
      </c>
      <c r="HV8">
        <v>2025</v>
      </c>
      <c r="HW8" t="s">
        <v>2179</v>
      </c>
      <c r="HX8" s="6">
        <v>45873</v>
      </c>
      <c r="HY8">
        <v>5</v>
      </c>
      <c r="HZ8">
        <v>342105216</v>
      </c>
      <c r="IA8">
        <v>100211</v>
      </c>
      <c r="IB8" t="s">
        <v>1632</v>
      </c>
      <c r="IG8" t="s">
        <v>3184</v>
      </c>
      <c r="IH8" t="s">
        <v>1634</v>
      </c>
      <c r="II8">
        <v>0.77759999999999996</v>
      </c>
      <c r="IJ8">
        <v>0.35574</v>
      </c>
      <c r="IK8" t="s">
        <v>1664</v>
      </c>
      <c r="IL8">
        <v>2026</v>
      </c>
      <c r="IM8" t="s">
        <v>3826</v>
      </c>
      <c r="IN8" s="6">
        <v>45894</v>
      </c>
      <c r="IO8">
        <v>5</v>
      </c>
      <c r="IP8">
        <v>10714893</v>
      </c>
      <c r="IQ8">
        <v>100487</v>
      </c>
      <c r="IR8" t="s">
        <v>3186</v>
      </c>
      <c r="IU8" t="s">
        <v>2063</v>
      </c>
      <c r="IV8">
        <v>-2.4245362661989844E-14</v>
      </c>
      <c r="IX8">
        <v>-2.4245362661989844E-14</v>
      </c>
      <c r="IY8" t="s">
        <v>1594</v>
      </c>
      <c r="IZ8">
        <v>2021</v>
      </c>
      <c r="JA8" t="s">
        <v>3689</v>
      </c>
      <c r="JB8" s="6">
        <v>44693</v>
      </c>
      <c r="JC8">
        <v>5</v>
      </c>
      <c r="JD8">
        <v>-2.4245362661989844E-14</v>
      </c>
      <c r="JE8">
        <v>118099</v>
      </c>
      <c r="JF8" t="s">
        <v>2065</v>
      </c>
      <c r="MW8" t="s">
        <v>4431</v>
      </c>
      <c r="MX8" t="s">
        <v>1598</v>
      </c>
      <c r="MY8">
        <v>0.202627</v>
      </c>
      <c r="MZ8">
        <v>1.520772</v>
      </c>
      <c r="NA8" t="s">
        <v>1603</v>
      </c>
      <c r="NB8">
        <v>2025</v>
      </c>
      <c r="NC8" t="s">
        <v>4432</v>
      </c>
      <c r="ND8" s="6">
        <v>45834</v>
      </c>
      <c r="NE8">
        <v>5</v>
      </c>
      <c r="NF8">
        <v>5760686</v>
      </c>
      <c r="NG8">
        <v>100803</v>
      </c>
      <c r="NH8" t="s">
        <v>4433</v>
      </c>
      <c r="NK8" t="s">
        <v>4604</v>
      </c>
      <c r="NL8">
        <v>0.73656500000000003</v>
      </c>
      <c r="NM8" t="s">
        <v>1598</v>
      </c>
      <c r="NN8">
        <v>0.75654600000000005</v>
      </c>
      <c r="NO8" t="s">
        <v>1599</v>
      </c>
      <c r="NP8">
        <v>2025</v>
      </c>
      <c r="NQ8" t="s">
        <v>4598</v>
      </c>
      <c r="NR8" s="6">
        <v>45812</v>
      </c>
      <c r="NS8">
        <v>5</v>
      </c>
      <c r="NT8">
        <v>11671609</v>
      </c>
      <c r="NU8">
        <v>356319</v>
      </c>
      <c r="NV8" t="s">
        <v>4605</v>
      </c>
      <c r="PE8" t="s">
        <v>3624</v>
      </c>
      <c r="PF8" t="s">
        <v>1598</v>
      </c>
      <c r="PG8">
        <v>61</v>
      </c>
      <c r="PH8">
        <v>0.16845299999999999</v>
      </c>
      <c r="PI8" t="s">
        <v>1594</v>
      </c>
      <c r="PJ8">
        <v>2024</v>
      </c>
      <c r="PK8" t="s">
        <v>3625</v>
      </c>
      <c r="PL8" s="6">
        <v>45721</v>
      </c>
      <c r="PM8">
        <v>5</v>
      </c>
      <c r="PN8">
        <v>55864928</v>
      </c>
      <c r="PO8">
        <v>11637014</v>
      </c>
      <c r="PP8" t="s">
        <v>3626</v>
      </c>
      <c r="PS8" t="s">
        <v>4282</v>
      </c>
      <c r="PT8">
        <v>-2.4245362661989844E-14</v>
      </c>
      <c r="PV8">
        <v>-2.4245362661989844E-14</v>
      </c>
      <c r="PW8" t="s">
        <v>1594</v>
      </c>
      <c r="PX8">
        <v>2022</v>
      </c>
      <c r="PY8" t="s">
        <v>4283</v>
      </c>
      <c r="PZ8" s="6">
        <v>45042</v>
      </c>
      <c r="QA8">
        <v>5</v>
      </c>
      <c r="QB8">
        <v>-2.4245362661989844E-14</v>
      </c>
      <c r="QC8">
        <v>328364</v>
      </c>
      <c r="QD8" t="s">
        <v>4284</v>
      </c>
      <c r="TU8" t="s">
        <v>2063</v>
      </c>
      <c r="TW8">
        <v>-2.4245362661989844E-14</v>
      </c>
      <c r="TX8">
        <v>-2.4245362661989844E-14</v>
      </c>
      <c r="TY8" t="s">
        <v>1594</v>
      </c>
      <c r="TZ8">
        <v>2023</v>
      </c>
      <c r="UA8" t="s">
        <v>3598</v>
      </c>
      <c r="UB8" s="6">
        <v>45358</v>
      </c>
      <c r="UC8">
        <v>5</v>
      </c>
      <c r="UD8">
        <v>-2.4245362661989844E-14</v>
      </c>
      <c r="UE8">
        <v>118099</v>
      </c>
      <c r="UF8" t="s">
        <v>2065</v>
      </c>
      <c r="UI8" t="s">
        <v>2398</v>
      </c>
      <c r="UJ8">
        <v>-2.4245362661989844E-14</v>
      </c>
      <c r="UL8">
        <v>-2.4245362661989844E-14</v>
      </c>
      <c r="UM8" t="s">
        <v>1594</v>
      </c>
      <c r="UN8">
        <v>2024</v>
      </c>
      <c r="UO8" t="s">
        <v>2399</v>
      </c>
      <c r="UP8" s="6">
        <v>45349</v>
      </c>
      <c r="UQ8">
        <v>5</v>
      </c>
      <c r="UR8">
        <v>-2.4245362661989844E-14</v>
      </c>
      <c r="US8">
        <v>100181</v>
      </c>
      <c r="UT8" t="s">
        <v>2400</v>
      </c>
      <c r="UY8" t="s">
        <v>2101</v>
      </c>
      <c r="UZ8" t="s">
        <v>1685</v>
      </c>
      <c r="VA8">
        <v>2</v>
      </c>
      <c r="VB8">
        <v>1.7500000000000002E-2</v>
      </c>
      <c r="VC8" t="s">
        <v>1594</v>
      </c>
      <c r="VD8">
        <v>2024</v>
      </c>
      <c r="VE8" t="s">
        <v>2102</v>
      </c>
      <c r="VF8" s="6">
        <v>45789</v>
      </c>
      <c r="VG8">
        <v>5</v>
      </c>
      <c r="VH8">
        <v>224597.91</v>
      </c>
      <c r="VI8">
        <v>13422138</v>
      </c>
      <c r="VJ8" t="s">
        <v>2103</v>
      </c>
      <c r="VM8" t="s">
        <v>1749</v>
      </c>
      <c r="VN8">
        <v>-2.4245362661989844E-14</v>
      </c>
      <c r="VP8">
        <v>-2.4245362661989844E-14</v>
      </c>
      <c r="VQ8" t="s">
        <v>1594</v>
      </c>
      <c r="VR8">
        <v>2025</v>
      </c>
      <c r="VS8" t="s">
        <v>1750</v>
      </c>
      <c r="VT8" s="6">
        <v>45922</v>
      </c>
      <c r="VU8">
        <v>5</v>
      </c>
      <c r="VV8">
        <v>-2.4245362661989844E-14</v>
      </c>
      <c r="VW8">
        <v>33591795</v>
      </c>
      <c r="VX8" t="s">
        <v>1751</v>
      </c>
    </row>
    <row r="9" spans="1:600" x14ac:dyDescent="0.25">
      <c r="A9" t="s">
        <v>3839</v>
      </c>
      <c r="B9" t="s">
        <v>1685</v>
      </c>
      <c r="C9">
        <v>0.89682700000000004</v>
      </c>
      <c r="D9">
        <v>1.9151000000000001E-2</v>
      </c>
      <c r="E9" t="s">
        <v>1594</v>
      </c>
      <c r="F9">
        <v>2025</v>
      </c>
      <c r="G9" t="s">
        <v>3840</v>
      </c>
      <c r="H9" s="6">
        <v>46058</v>
      </c>
      <c r="I9">
        <v>5</v>
      </c>
      <c r="J9">
        <v>2640312.86</v>
      </c>
      <c r="K9">
        <v>7890735</v>
      </c>
      <c r="L9" t="s">
        <v>3841</v>
      </c>
      <c r="O9" t="s">
        <v>3671</v>
      </c>
      <c r="P9">
        <v>-2.4245362661989844E-14</v>
      </c>
      <c r="R9">
        <v>-2.4245362661989844E-14</v>
      </c>
      <c r="S9" t="s">
        <v>1594</v>
      </c>
      <c r="T9">
        <v>2023</v>
      </c>
      <c r="U9" t="s">
        <v>3665</v>
      </c>
      <c r="V9" s="6">
        <v>45187</v>
      </c>
      <c r="W9">
        <v>5</v>
      </c>
      <c r="X9">
        <v>-2.4245362661989844E-14</v>
      </c>
      <c r="Y9">
        <v>136124</v>
      </c>
      <c r="Z9" t="s">
        <v>3672</v>
      </c>
      <c r="CM9" t="s">
        <v>2091</v>
      </c>
      <c r="CN9" t="s">
        <v>1598</v>
      </c>
      <c r="CO9">
        <v>7.3293999999999998E-2</v>
      </c>
      <c r="CP9">
        <v>0.120736</v>
      </c>
      <c r="CQ9" t="s">
        <v>1664</v>
      </c>
      <c r="CR9">
        <v>2025</v>
      </c>
      <c r="CS9" t="s">
        <v>1733</v>
      </c>
      <c r="CT9" s="6">
        <v>45947</v>
      </c>
      <c r="CU9">
        <v>5</v>
      </c>
      <c r="CV9">
        <v>2464222</v>
      </c>
      <c r="CW9">
        <v>182691</v>
      </c>
      <c r="CX9" t="s">
        <v>2092</v>
      </c>
      <c r="DA9" t="s">
        <v>1742</v>
      </c>
      <c r="DB9">
        <v>0.75997400000000004</v>
      </c>
      <c r="DC9" t="s">
        <v>1598</v>
      </c>
      <c r="DD9">
        <v>0.60341699999999998</v>
      </c>
      <c r="DE9" t="s">
        <v>1664</v>
      </c>
      <c r="DF9">
        <v>2025</v>
      </c>
      <c r="DG9" t="s">
        <v>1733</v>
      </c>
      <c r="DH9" s="6">
        <v>45947</v>
      </c>
      <c r="DI9">
        <v>5</v>
      </c>
      <c r="DJ9">
        <v>24752352</v>
      </c>
      <c r="DK9">
        <v>115688</v>
      </c>
      <c r="DL9" t="s">
        <v>1743</v>
      </c>
      <c r="DQ9" t="s">
        <v>3208</v>
      </c>
      <c r="DR9" t="s">
        <v>1685</v>
      </c>
      <c r="DS9">
        <v>1.6404799999999999</v>
      </c>
      <c r="DT9">
        <v>2.2485889999999999</v>
      </c>
      <c r="DU9" t="s">
        <v>1606</v>
      </c>
      <c r="DV9">
        <v>2025</v>
      </c>
      <c r="DW9" t="s">
        <v>3209</v>
      </c>
      <c r="DX9" s="6">
        <v>45796</v>
      </c>
      <c r="DY9">
        <v>5</v>
      </c>
      <c r="DZ9">
        <v>57397160.810000002</v>
      </c>
      <c r="EA9">
        <v>995671</v>
      </c>
      <c r="EB9" t="s">
        <v>3210</v>
      </c>
      <c r="EE9" t="s">
        <v>4870</v>
      </c>
      <c r="EF9">
        <v>0.61089599999999999</v>
      </c>
      <c r="EG9" t="s">
        <v>1598</v>
      </c>
      <c r="EH9">
        <v>14.583333</v>
      </c>
      <c r="EI9" t="s">
        <v>1594</v>
      </c>
      <c r="EJ9">
        <v>2024</v>
      </c>
      <c r="EK9" t="s">
        <v>4871</v>
      </c>
      <c r="EL9" s="6">
        <v>45713</v>
      </c>
      <c r="EM9">
        <v>5</v>
      </c>
      <c r="EN9">
        <v>98000000</v>
      </c>
      <c r="EO9">
        <v>69483676</v>
      </c>
      <c r="EP9" t="s">
        <v>4872</v>
      </c>
      <c r="EU9" t="s">
        <v>4816</v>
      </c>
      <c r="EW9">
        <v>-2.4245362661989844E-14</v>
      </c>
      <c r="EX9">
        <v>-2.4245362661989844E-14</v>
      </c>
      <c r="EY9" t="s">
        <v>1606</v>
      </c>
      <c r="EZ9">
        <v>2023</v>
      </c>
      <c r="FA9" t="s">
        <v>4817</v>
      </c>
      <c r="FB9" s="6">
        <v>45351</v>
      </c>
      <c r="FC9">
        <v>5</v>
      </c>
      <c r="FD9">
        <v>-2.4245362661989844E-14</v>
      </c>
      <c r="FE9">
        <v>1479929</v>
      </c>
      <c r="FF9" t="s">
        <v>4818</v>
      </c>
      <c r="FI9" t="s">
        <v>4676</v>
      </c>
      <c r="FJ9">
        <v>-2.4245362661989844E-14</v>
      </c>
      <c r="FL9">
        <v>-2.4245362661989844E-14</v>
      </c>
      <c r="FM9" t="s">
        <v>1594</v>
      </c>
      <c r="FN9">
        <v>2023</v>
      </c>
      <c r="FO9" t="s">
        <v>4677</v>
      </c>
      <c r="FP9" s="6">
        <v>45497</v>
      </c>
      <c r="FQ9">
        <v>5</v>
      </c>
      <c r="FR9">
        <v>-2.4245362661989844E-14</v>
      </c>
      <c r="FS9">
        <v>163303</v>
      </c>
      <c r="FT9" t="s">
        <v>4678</v>
      </c>
      <c r="FY9" t="s">
        <v>4467</v>
      </c>
      <c r="FZ9" t="s">
        <v>1685</v>
      </c>
      <c r="GA9">
        <v>5.4021E-2</v>
      </c>
      <c r="GB9">
        <v>1.5510000000000001E-3</v>
      </c>
      <c r="GC9" t="s">
        <v>1594</v>
      </c>
      <c r="GD9">
        <v>2024</v>
      </c>
      <c r="GE9" t="s">
        <v>4468</v>
      </c>
      <c r="GF9" s="6">
        <v>45741</v>
      </c>
      <c r="GG9">
        <v>5</v>
      </c>
      <c r="GH9">
        <v>1314.75</v>
      </c>
      <c r="GI9">
        <v>50021857</v>
      </c>
      <c r="GJ9" t="s">
        <v>4469</v>
      </c>
      <c r="GM9" t="s">
        <v>4380</v>
      </c>
      <c r="GN9">
        <v>-2.4245362661989844E-14</v>
      </c>
      <c r="GP9">
        <v>-2.4245362661989844E-14</v>
      </c>
      <c r="GQ9" t="s">
        <v>1599</v>
      </c>
      <c r="GR9">
        <v>2026</v>
      </c>
      <c r="GS9" t="s">
        <v>4372</v>
      </c>
      <c r="GT9" s="6">
        <v>45995</v>
      </c>
      <c r="GU9">
        <v>5</v>
      </c>
      <c r="GV9">
        <v>-2.4245362661989844E-14</v>
      </c>
      <c r="GW9">
        <v>1133577</v>
      </c>
      <c r="GX9" t="s">
        <v>4381</v>
      </c>
      <c r="HC9" t="s">
        <v>2383</v>
      </c>
      <c r="HD9" t="s">
        <v>1634</v>
      </c>
      <c r="HE9">
        <v>1.650523</v>
      </c>
      <c r="HF9">
        <v>1.7462089999999999</v>
      </c>
      <c r="HG9" t="s">
        <v>1599</v>
      </c>
      <c r="HH9">
        <v>2025</v>
      </c>
      <c r="HI9" t="s">
        <v>2384</v>
      </c>
      <c r="HJ9" s="6">
        <v>46029</v>
      </c>
      <c r="HK9">
        <v>5</v>
      </c>
      <c r="HL9">
        <v>97565313.560000002</v>
      </c>
      <c r="HM9">
        <v>115705</v>
      </c>
      <c r="HN9" t="s">
        <v>2385</v>
      </c>
      <c r="HQ9" t="s">
        <v>22</v>
      </c>
      <c r="HR9">
        <v>0.19926099999999999</v>
      </c>
      <c r="HS9" t="s">
        <v>1598</v>
      </c>
      <c r="HT9">
        <v>1.1451750000000001</v>
      </c>
      <c r="HU9" t="s">
        <v>1664</v>
      </c>
      <c r="HV9">
        <v>2025</v>
      </c>
      <c r="HW9" t="s">
        <v>2129</v>
      </c>
      <c r="HX9" s="6">
        <v>45895</v>
      </c>
      <c r="HY9">
        <v>5</v>
      </c>
      <c r="HZ9">
        <v>197027360</v>
      </c>
      <c r="IA9">
        <v>101555</v>
      </c>
      <c r="IB9" t="s">
        <v>2130</v>
      </c>
      <c r="IG9" t="s">
        <v>2317</v>
      </c>
      <c r="IH9" t="s">
        <v>1598</v>
      </c>
      <c r="II9">
        <v>0.60481300000000005</v>
      </c>
      <c r="IJ9">
        <v>0.89159200000000005</v>
      </c>
      <c r="IK9" t="s">
        <v>1603</v>
      </c>
      <c r="IL9">
        <v>2025</v>
      </c>
      <c r="IM9" t="s">
        <v>2318</v>
      </c>
      <c r="IN9" s="6">
        <v>45863</v>
      </c>
      <c r="IO9">
        <v>5</v>
      </c>
      <c r="IP9">
        <v>9967996</v>
      </c>
      <c r="IQ9">
        <v>10832677</v>
      </c>
      <c r="IR9" t="s">
        <v>2319</v>
      </c>
      <c r="IU9" t="s">
        <v>2376</v>
      </c>
      <c r="IV9">
        <v>-2.4245362661989844E-14</v>
      </c>
      <c r="IX9">
        <v>-2.4245362661989844E-14</v>
      </c>
      <c r="IY9" t="s">
        <v>1594</v>
      </c>
      <c r="IZ9">
        <v>2021</v>
      </c>
      <c r="JA9" t="s">
        <v>3689</v>
      </c>
      <c r="JB9" s="6">
        <v>44693</v>
      </c>
      <c r="JC9">
        <v>5</v>
      </c>
      <c r="JD9">
        <v>-2.4245362661989844E-14</v>
      </c>
      <c r="JE9">
        <v>117929</v>
      </c>
      <c r="JF9" t="s">
        <v>2378</v>
      </c>
      <c r="MW9" t="s">
        <v>6038</v>
      </c>
      <c r="MX9" t="s">
        <v>1685</v>
      </c>
      <c r="MY9">
        <v>3.026351</v>
      </c>
      <c r="MZ9">
        <v>0.41005799999999998</v>
      </c>
      <c r="NA9" t="s">
        <v>1594</v>
      </c>
      <c r="NB9">
        <v>2024</v>
      </c>
      <c r="NC9" t="s">
        <v>6039</v>
      </c>
      <c r="ND9" s="6">
        <v>45709</v>
      </c>
      <c r="NE9">
        <v>5</v>
      </c>
      <c r="NF9">
        <v>3980128</v>
      </c>
      <c r="NG9">
        <v>108536</v>
      </c>
      <c r="NH9" t="s">
        <v>6040</v>
      </c>
      <c r="NK9" t="s">
        <v>1117</v>
      </c>
      <c r="NL9">
        <v>0.57986800000000005</v>
      </c>
      <c r="NM9" t="s">
        <v>1598</v>
      </c>
      <c r="NN9">
        <v>1.0713060000000001</v>
      </c>
      <c r="NO9" t="s">
        <v>1599</v>
      </c>
      <c r="NP9">
        <v>2025</v>
      </c>
      <c r="NQ9" t="s">
        <v>4598</v>
      </c>
      <c r="NR9" s="6">
        <v>45812</v>
      </c>
      <c r="NS9">
        <v>5</v>
      </c>
      <c r="NT9">
        <v>9188588</v>
      </c>
      <c r="NU9">
        <v>100460</v>
      </c>
      <c r="NV9" t="s">
        <v>3670</v>
      </c>
      <c r="PE9" t="s">
        <v>2088</v>
      </c>
      <c r="PF9" t="s">
        <v>1598</v>
      </c>
      <c r="PG9">
        <v>1.7320880000000001</v>
      </c>
      <c r="PH9">
        <v>0.18664600000000001</v>
      </c>
      <c r="PI9" t="s">
        <v>1603</v>
      </c>
      <c r="PJ9">
        <v>2025</v>
      </c>
      <c r="PK9" t="s">
        <v>2089</v>
      </c>
      <c r="PL9" s="6">
        <v>45849</v>
      </c>
      <c r="PM9">
        <v>5</v>
      </c>
      <c r="PN9">
        <v>53150701.030000001</v>
      </c>
      <c r="PO9">
        <v>179551</v>
      </c>
      <c r="PP9" t="s">
        <v>2090</v>
      </c>
      <c r="PS9" t="s">
        <v>4209</v>
      </c>
      <c r="PT9">
        <v>-2.4245362661989844E-14</v>
      </c>
      <c r="PV9">
        <v>-2.4245362661989844E-14</v>
      </c>
      <c r="PW9" t="s">
        <v>1594</v>
      </c>
      <c r="PX9">
        <v>2025</v>
      </c>
      <c r="PY9" t="s">
        <v>4285</v>
      </c>
      <c r="PZ9" s="6">
        <v>45769</v>
      </c>
      <c r="QA9">
        <v>5</v>
      </c>
      <c r="QB9">
        <v>-2.4245362661989844E-14</v>
      </c>
      <c r="QC9">
        <v>100747</v>
      </c>
      <c r="QD9" t="s">
        <v>4211</v>
      </c>
      <c r="TU9" t="s">
        <v>2152</v>
      </c>
      <c r="TW9">
        <v>-2.4245362661989844E-14</v>
      </c>
      <c r="TX9">
        <v>-2.4245362661989844E-14</v>
      </c>
      <c r="TY9" t="s">
        <v>1594</v>
      </c>
      <c r="TZ9">
        <v>2021</v>
      </c>
      <c r="UA9" t="s">
        <v>2153</v>
      </c>
      <c r="UB9" s="6">
        <v>44693</v>
      </c>
      <c r="UC9">
        <v>5</v>
      </c>
      <c r="UD9">
        <v>-2.4245362661989844E-14</v>
      </c>
      <c r="UE9">
        <v>100060</v>
      </c>
      <c r="UF9" t="s">
        <v>2154</v>
      </c>
      <c r="UI9" t="s">
        <v>2401</v>
      </c>
      <c r="UJ9">
        <v>-2.4245362661989844E-14</v>
      </c>
      <c r="UL9">
        <v>-2.4245362661989844E-14</v>
      </c>
      <c r="UM9" t="s">
        <v>1594</v>
      </c>
      <c r="UN9">
        <v>2025</v>
      </c>
      <c r="UO9" t="s">
        <v>2402</v>
      </c>
      <c r="UP9" s="6">
        <v>46072</v>
      </c>
      <c r="UQ9">
        <v>5</v>
      </c>
      <c r="UR9">
        <v>-2.4245362661989844E-14</v>
      </c>
      <c r="US9">
        <v>233062</v>
      </c>
      <c r="UT9" t="s">
        <v>2403</v>
      </c>
      <c r="UY9" t="s">
        <v>2104</v>
      </c>
      <c r="VA9">
        <v>-2.4245362661989844E-14</v>
      </c>
      <c r="VB9">
        <v>-2.4245362661989844E-14</v>
      </c>
      <c r="VC9" t="s">
        <v>1594</v>
      </c>
      <c r="VD9">
        <v>2021</v>
      </c>
      <c r="VE9" t="s">
        <v>2105</v>
      </c>
      <c r="VF9" s="6">
        <v>44637</v>
      </c>
      <c r="VG9">
        <v>5</v>
      </c>
      <c r="VH9">
        <v>-2.4245362661989844E-14</v>
      </c>
      <c r="VI9">
        <v>117749</v>
      </c>
      <c r="VJ9" t="s">
        <v>2106</v>
      </c>
      <c r="VM9" t="s">
        <v>1752</v>
      </c>
      <c r="VN9">
        <v>-2.4245362661989844E-14</v>
      </c>
      <c r="VP9">
        <v>-2.4245362661989844E-14</v>
      </c>
      <c r="VQ9" t="s">
        <v>1594</v>
      </c>
      <c r="VR9">
        <v>2025</v>
      </c>
      <c r="VS9" t="s">
        <v>1750</v>
      </c>
      <c r="VT9" s="6">
        <v>46002</v>
      </c>
      <c r="VU9">
        <v>5</v>
      </c>
      <c r="VV9">
        <v>-2.4245362661989844E-14</v>
      </c>
      <c r="VW9">
        <v>69903967</v>
      </c>
      <c r="VX9" t="s">
        <v>1753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1335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1336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1337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1338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1339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1340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1341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1342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1343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1344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1345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1346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1347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1348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1349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1350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1351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1352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1353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35</v>
      </c>
      <c r="AE2" s="3" t="s">
        <v>559</v>
      </c>
      <c r="BI2" s="3" t="s">
        <v>240</v>
      </c>
      <c r="CM2" s="3" t="s">
        <v>1354</v>
      </c>
      <c r="DQ2" s="3" t="s">
        <v>1355</v>
      </c>
      <c r="EU2" s="3" t="s">
        <v>1356</v>
      </c>
      <c r="FY2" s="3" t="s">
        <v>1357</v>
      </c>
      <c r="HC2" s="3" t="s">
        <v>1358</v>
      </c>
      <c r="IG2" s="3" t="s">
        <v>1359</v>
      </c>
      <c r="JK2" s="3" t="s">
        <v>1360</v>
      </c>
      <c r="KO2" s="3" t="s">
        <v>1361</v>
      </c>
      <c r="LS2" s="3" t="s">
        <v>1044</v>
      </c>
      <c r="MW2" s="3" t="s">
        <v>275</v>
      </c>
      <c r="OA2" s="3" t="s">
        <v>1362</v>
      </c>
      <c r="PE2" s="3" t="s">
        <v>780</v>
      </c>
      <c r="QI2" s="3" t="s">
        <v>1363</v>
      </c>
      <c r="RM2" s="3" t="s">
        <v>1364</v>
      </c>
      <c r="SQ2" s="3" t="s">
        <v>309</v>
      </c>
      <c r="TU2" s="3" t="s">
        <v>617</v>
      </c>
      <c r="UY2" s="3" t="s">
        <v>617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_xll.BDS("AGN US Equity","SUPPLY_CHAIN_SUPPLIERS_ALL_DATA","cols=12;rows=5")</f>
        <v>AEE US Equity</v>
      </c>
      <c r="C5">
        <v>-2.4245362661989844E-14</v>
      </c>
      <c r="D5">
        <v>-2.4245362661989844E-14</v>
      </c>
      <c r="E5" t="s">
        <v>1594</v>
      </c>
      <c r="F5">
        <v>2021</v>
      </c>
      <c r="G5" t="s">
        <v>2150</v>
      </c>
      <c r="H5" s="6">
        <v>44693</v>
      </c>
      <c r="I5">
        <v>5</v>
      </c>
      <c r="J5">
        <v>-2.4245362661989844E-14</v>
      </c>
      <c r="K5">
        <v>313098</v>
      </c>
      <c r="L5" t="s">
        <v>2151</v>
      </c>
      <c r="O5" t="str">
        <f>_xll.BDS("AGN US Equity","SUPPLY_CHAIN_CUSTOMERS_ALL_DATA","cols=12;rows=1")</f>
        <v>4569 JP Equity</v>
      </c>
      <c r="P5">
        <v>-2.4245362661989844E-14</v>
      </c>
      <c r="R5">
        <v>-2.4245362661989844E-14</v>
      </c>
      <c r="S5" t="s">
        <v>1594</v>
      </c>
      <c r="T5">
        <v>2022</v>
      </c>
      <c r="U5" t="s">
        <v>4037</v>
      </c>
      <c r="V5" s="6">
        <v>44736</v>
      </c>
      <c r="W5">
        <v>1</v>
      </c>
      <c r="X5">
        <v>-2.4245362661989844E-14</v>
      </c>
      <c r="Y5">
        <v>10499395</v>
      </c>
      <c r="Z5" t="s">
        <v>4038</v>
      </c>
      <c r="AE5" t="str">
        <f>_xll.BDS("VTR US Equity","SUPPLY_CHAIN_SUPPLIERS_ALL_DATA")</f>
        <v>#N/A N/A</v>
      </c>
      <c r="AS5" t="str">
        <f>_xll.BDS("VTR US Equity","SUPPLY_CHAIN_CUSTOMERS_ALL_DATA","cols=12;rows=3")</f>
        <v>BKD US Equity</v>
      </c>
      <c r="AT5">
        <v>3.1</v>
      </c>
      <c r="AU5" t="s">
        <v>1685</v>
      </c>
      <c r="AV5">
        <v>82.137343999999999</v>
      </c>
      <c r="AW5" t="s">
        <v>1594</v>
      </c>
      <c r="AX5">
        <v>2024</v>
      </c>
      <c r="AY5" t="s">
        <v>4434</v>
      </c>
      <c r="AZ5" s="6">
        <v>45701</v>
      </c>
      <c r="BA5">
        <v>3</v>
      </c>
      <c r="BB5">
        <v>38163060</v>
      </c>
      <c r="BC5">
        <v>9938236</v>
      </c>
      <c r="BD5" t="s">
        <v>4655</v>
      </c>
      <c r="BI5" t="str">
        <f>_xll.BDS("JNJ US Equity","SUPPLY_CHAIN_SUPPLIERS_ALL_DATA","cols=12;rows=5")</f>
        <v>GMAB DC Equity</v>
      </c>
      <c r="BJ5" t="s">
        <v>2128</v>
      </c>
      <c r="BK5">
        <v>66.998047</v>
      </c>
      <c r="BL5">
        <v>11.040321</v>
      </c>
      <c r="BM5" t="s">
        <v>1594</v>
      </c>
      <c r="BN5">
        <v>2024</v>
      </c>
      <c r="BO5" t="s">
        <v>3382</v>
      </c>
      <c r="BP5" s="6">
        <v>45701</v>
      </c>
      <c r="BQ5">
        <v>5</v>
      </c>
      <c r="BR5">
        <v>522920364.22000003</v>
      </c>
      <c r="BS5">
        <v>1405715</v>
      </c>
      <c r="BT5" t="s">
        <v>3383</v>
      </c>
      <c r="BW5" t="str">
        <f>_xll.BDS("JNJ US Equity","SUPPLY_CHAIN_CUSTOMERS_ALL_DATA","cols=12;rows=5")</f>
        <v>MCK US Equity</v>
      </c>
      <c r="BX5">
        <v>20.476745999999999</v>
      </c>
      <c r="BY5" t="s">
        <v>1598</v>
      </c>
      <c r="BZ5">
        <v>6.636412</v>
      </c>
      <c r="CA5" t="s">
        <v>1599</v>
      </c>
      <c r="CB5">
        <v>2025</v>
      </c>
      <c r="CC5" t="s">
        <v>2219</v>
      </c>
      <c r="CD5" s="6">
        <v>46018</v>
      </c>
      <c r="CE5">
        <v>5</v>
      </c>
      <c r="CF5">
        <v>4912985600</v>
      </c>
      <c r="CG5">
        <v>154936</v>
      </c>
      <c r="CH5" t="s">
        <v>1766</v>
      </c>
      <c r="CM5" t="str">
        <f>_xll.BDS("AEE US Equity","SUPPLY_CHAIN_SUPPLIERS_ALL_DATA","cols=12;rows=5")</f>
        <v>PWR US Equity</v>
      </c>
      <c r="CN5" t="s">
        <v>1634</v>
      </c>
      <c r="CO5">
        <v>1.1546019999999999</v>
      </c>
      <c r="CP5">
        <v>8.8733520000000006</v>
      </c>
      <c r="CQ5" t="s">
        <v>1599</v>
      </c>
      <c r="CR5">
        <v>2025</v>
      </c>
      <c r="CS5" t="s">
        <v>2321</v>
      </c>
      <c r="CT5" s="6">
        <v>45975</v>
      </c>
      <c r="CU5">
        <v>5</v>
      </c>
      <c r="CV5">
        <v>88112392</v>
      </c>
      <c r="CW5">
        <v>305366</v>
      </c>
      <c r="CX5" t="s">
        <v>2322</v>
      </c>
      <c r="DA5" t="str">
        <f>_xll.BDS("AEE US Equity","SUPPLY_CHAIN_CUSTOMERS_ALL_DATA","cols=12;rows=5")</f>
        <v>0196596D US Equity</v>
      </c>
      <c r="DB5">
        <v>-2.4245362661989844E-14</v>
      </c>
      <c r="DD5">
        <v>-2.4245362661989844E-14</v>
      </c>
      <c r="DE5" t="s">
        <v>1594</v>
      </c>
      <c r="DF5">
        <v>2021</v>
      </c>
      <c r="DG5" t="s">
        <v>2150</v>
      </c>
      <c r="DH5" s="6">
        <v>44693</v>
      </c>
      <c r="DI5">
        <v>5</v>
      </c>
      <c r="DJ5">
        <v>-2.4245362661989844E-14</v>
      </c>
      <c r="DK5">
        <v>24782038</v>
      </c>
      <c r="DL5" t="s">
        <v>4127</v>
      </c>
      <c r="DQ5" t="str">
        <f>_xll.BDS("LEARQ US Equity","SUPPLY_CHAIN_SUPPLIERS_ALL_DATA")</f>
        <v>#N/A N/A</v>
      </c>
      <c r="EE5" t="str">
        <f>_xll.BDS("LEARQ US Equity","SUPPLY_CHAIN_CUSTOMERS_ALL_DATA")</f>
        <v>#N/A N/A</v>
      </c>
      <c r="EU5" t="str">
        <f>_xll.BDS("MXIM US Equity","SUPPLY_CHAIN_SUPPLIERS_ALL_DATA")</f>
        <v>#N/A N/A</v>
      </c>
      <c r="FI5" t="str">
        <f>_xll.BDS("MXIM US Equity","SUPPLY_CHAIN_CUSTOMERS_ALL_DATA")</f>
        <v>#N/A N/A</v>
      </c>
      <c r="FY5" t="str">
        <f>_xll.BDS("EQM US Equity","SUPPLY_CHAIN_SUPPLIERS_ALL_DATA")</f>
        <v>#N/A N/A</v>
      </c>
      <c r="GM5" t="str">
        <f>_xll.BDS("EQM US Equity","SUPPLY_CHAIN_CUSTOMERS_ALL_DATA")</f>
        <v>#N/A N/A</v>
      </c>
      <c r="HC5" t="str">
        <f>_xll.BDS("GPT US Equity","SUPPLY_CHAIN_SUPPLIERS_ALL_DATA")</f>
        <v>#N/A N/A</v>
      </c>
      <c r="HQ5" t="str">
        <f>_xll.BDS("GPT US Equity","SUPPLY_CHAIN_CUSTOMERS_ALL_DATA")</f>
        <v>#N/A N/A</v>
      </c>
      <c r="IG5" t="str">
        <f>_xll.BDS("2649Q US Equity","SUPPLY_CHAIN_SUPPLIERS_ALL_DATA")</f>
        <v>#N/A N/A</v>
      </c>
      <c r="IU5" t="str">
        <f>_xll.BDS("2649Q US Equity","SUPPLY_CHAIN_CUSTOMERS_ALL_DATA")</f>
        <v>#N/A N/A</v>
      </c>
      <c r="JK5" t="str">
        <f>_xll.BDS("ZG US Equity","SUPPLY_CHAIN_SUPPLIERS_ALL_DATA","cols=12;rows=4")</f>
        <v>214320 KS Equity</v>
      </c>
      <c r="JM5">
        <v>-2.4245362661989844E-14</v>
      </c>
      <c r="JN5">
        <v>-2.4245362661989844E-14</v>
      </c>
      <c r="JO5" t="s">
        <v>1599</v>
      </c>
      <c r="JP5">
        <v>2025</v>
      </c>
      <c r="JQ5" t="s">
        <v>5388</v>
      </c>
      <c r="JR5" s="6">
        <v>45978</v>
      </c>
      <c r="JS5">
        <v>4</v>
      </c>
      <c r="JT5">
        <v>-2.4245362661989844E-14</v>
      </c>
      <c r="JU5">
        <v>19068988</v>
      </c>
      <c r="JV5" t="s">
        <v>5389</v>
      </c>
      <c r="JY5" t="str">
        <f>_xll.BDS("ZG US Equity","SUPPLY_CHAIN_CUSTOMERS_ALL_DATA","cols=12;rows=2")</f>
        <v>BRK/A US Equity</v>
      </c>
      <c r="JZ5">
        <v>-2.4245362661989844E-14</v>
      </c>
      <c r="KB5">
        <v>-2.4245362661989844E-14</v>
      </c>
      <c r="KC5" t="s">
        <v>1594</v>
      </c>
      <c r="KD5">
        <v>2025</v>
      </c>
      <c r="KE5" t="s">
        <v>5222</v>
      </c>
      <c r="KF5" s="6">
        <v>45895</v>
      </c>
      <c r="KG5">
        <v>2</v>
      </c>
      <c r="KH5">
        <v>-2.4245362661989844E-14</v>
      </c>
      <c r="KI5">
        <v>100193</v>
      </c>
      <c r="KJ5" t="s">
        <v>3708</v>
      </c>
      <c r="KO5" t="str">
        <f>_xll.BDS("ROVI US Equity","SUPPLY_CHAIN_SUPPLIERS_ALL_DATA")</f>
        <v>#N/A N/A</v>
      </c>
      <c r="LC5" t="str">
        <f>_xll.BDS("ROVI US Equity","SUPPLY_CHAIN_CUSTOMERS_ALL_DATA")</f>
        <v>#N/A N/A</v>
      </c>
      <c r="LS5" t="str">
        <f>_xll.BDS("1837572D US Equity","SUPPLY_CHAIN_SUPPLIERS_ALL_DATA")</f>
        <v>#N/A N/A</v>
      </c>
      <c r="MG5" t="str">
        <f>_xll.BDS("1837572D US Equity","SUPPLY_CHAIN_CUSTOMERS_ALL_DATA")</f>
        <v>#N/A N/A</v>
      </c>
      <c r="MW5" t="str">
        <f>_xll.BDS("INTC US Equity","SUPPLY_CHAIN_SUPPLIERS_ALL_DATA","cols=12;rows=5")</f>
        <v>ASML NA Equity</v>
      </c>
      <c r="MX5" t="s">
        <v>1634</v>
      </c>
      <c r="MY5">
        <v>9.5417889999999996</v>
      </c>
      <c r="MZ5">
        <v>34.554512000000003</v>
      </c>
      <c r="NA5" t="s">
        <v>1664</v>
      </c>
      <c r="NB5">
        <v>2025</v>
      </c>
      <c r="NC5" t="s">
        <v>3855</v>
      </c>
      <c r="ND5" s="6">
        <v>45979</v>
      </c>
      <c r="NE5">
        <v>5</v>
      </c>
      <c r="NF5">
        <v>812256358.32000005</v>
      </c>
      <c r="NG5">
        <v>163205</v>
      </c>
      <c r="NH5" t="s">
        <v>3856</v>
      </c>
      <c r="NK5" t="str">
        <f>_xll.BDS("INTC US Equity","SUPPLY_CHAIN_CUSTOMERS_ALL_DATA","cols=12;rows=5")</f>
        <v>DELL US Equity</v>
      </c>
      <c r="NL5">
        <v>19.035398000000001</v>
      </c>
      <c r="NM5" t="s">
        <v>1598</v>
      </c>
      <c r="NN5">
        <v>12.156269</v>
      </c>
      <c r="NO5" t="s">
        <v>1606</v>
      </c>
      <c r="NP5">
        <v>2025</v>
      </c>
      <c r="NQ5" t="s">
        <v>2228</v>
      </c>
      <c r="NR5" s="6">
        <v>46048</v>
      </c>
      <c r="NS5">
        <v>5</v>
      </c>
      <c r="NT5">
        <v>2602900224</v>
      </c>
      <c r="NU5">
        <v>50985605</v>
      </c>
      <c r="NV5" t="s">
        <v>3676</v>
      </c>
      <c r="OA5" t="str">
        <f>_xll.BDS("QVCGA US Equity","SUPPLY_CHAIN_SUPPLIERS_ALL_DATA","cols=12;rows=5")</f>
        <v>GRMN US Equity</v>
      </c>
      <c r="OB5" t="s">
        <v>1598</v>
      </c>
      <c r="OC5">
        <v>0.68698300000000001</v>
      </c>
      <c r="OD5">
        <v>0.87663500000000005</v>
      </c>
      <c r="OE5" t="s">
        <v>1664</v>
      </c>
      <c r="OF5">
        <v>2025</v>
      </c>
      <c r="OG5" t="s">
        <v>4148</v>
      </c>
      <c r="OH5" s="6">
        <v>45903</v>
      </c>
      <c r="OI5">
        <v>5</v>
      </c>
      <c r="OJ5">
        <v>12465746</v>
      </c>
      <c r="OK5">
        <v>1184444</v>
      </c>
      <c r="OL5" t="s">
        <v>4149</v>
      </c>
      <c r="OO5" t="str">
        <f>_xll.BDS("QVCGA US Equity","SUPPLY_CHAIN_CUSTOMERS_ALL_DATA","cols=12;rows=5")</f>
        <v>066570 KS Equity</v>
      </c>
      <c r="OP5">
        <v>0.13600400000000001</v>
      </c>
      <c r="OQ5" t="s">
        <v>1685</v>
      </c>
      <c r="OR5">
        <v>9.8379999999999995E-2</v>
      </c>
      <c r="OS5" t="s">
        <v>1599</v>
      </c>
      <c r="OT5">
        <v>2025</v>
      </c>
      <c r="OU5" t="s">
        <v>1600</v>
      </c>
      <c r="OV5" s="6">
        <v>46014</v>
      </c>
      <c r="OW5">
        <v>5</v>
      </c>
      <c r="OX5">
        <v>3011041.38</v>
      </c>
      <c r="OY5">
        <v>7583418</v>
      </c>
      <c r="OZ5" t="s">
        <v>1601</v>
      </c>
      <c r="PE5" t="str">
        <f>_xll.BDS("1235274D US Equity","SUPPLY_CHAIN_SUPPLIERS_ALL_DATA")</f>
        <v>#N/A N/A</v>
      </c>
      <c r="PS5" t="str">
        <f>_xll.BDS("1235274D US Equity","SUPPLY_CHAIN_CUSTOMERS_ALL_DATA")</f>
        <v>#N/A N/A</v>
      </c>
      <c r="QI5" t="str">
        <f>_xll.BDS("HEROQ US Equity","SUPPLY_CHAIN_SUPPLIERS_ALL_DATA","cols=12;rows=4")</f>
        <v>CNP US Equity</v>
      </c>
      <c r="QK5">
        <v>-2.4245362661989844E-14</v>
      </c>
      <c r="QL5">
        <v>-2.4245362661989844E-14</v>
      </c>
      <c r="QM5" t="s">
        <v>1594</v>
      </c>
      <c r="QN5">
        <v>2021</v>
      </c>
      <c r="QO5" t="s">
        <v>2033</v>
      </c>
      <c r="QP5" s="6">
        <v>44693</v>
      </c>
      <c r="QQ5">
        <v>4</v>
      </c>
      <c r="QR5">
        <v>-2.4245362661989844E-14</v>
      </c>
      <c r="QS5">
        <v>100760</v>
      </c>
      <c r="QT5" t="s">
        <v>2155</v>
      </c>
      <c r="QW5" t="str">
        <f>_xll.BDS("HEROQ US Equity","SUPPLY_CHAIN_CUSTOMERS_ALL_DATA")</f>
        <v>#N/A N/A</v>
      </c>
      <c r="RM5" t="str">
        <f>_xll.BDS("1465949D US Equity","SUPPLY_CHAIN_SUPPLIERS_ALL_DATA")</f>
        <v>#N/A N/A</v>
      </c>
      <c r="SA5" t="str">
        <f>_xll.BDS("1465949D US Equity","SUPPLY_CHAIN_CUSTOMERS_ALL_DATA")</f>
        <v>#N/A N/A</v>
      </c>
      <c r="SQ5" t="str">
        <f>_xll.BDS("RSG US Equity","SUPPLY_CHAIN_SUPPLIERS_ALL_DATA","cols=12;rows=5")</f>
        <v>ORCL US Equity</v>
      </c>
      <c r="SR5" t="s">
        <v>1598</v>
      </c>
      <c r="SS5">
        <v>3.5824000000000002E-2</v>
      </c>
      <c r="ST5">
        <v>0.246201</v>
      </c>
      <c r="SU5" t="s">
        <v>1606</v>
      </c>
      <c r="SV5">
        <v>2025</v>
      </c>
      <c r="SW5" t="s">
        <v>2251</v>
      </c>
      <c r="SX5" s="6">
        <v>45848</v>
      </c>
      <c r="SY5">
        <v>5</v>
      </c>
      <c r="SZ5">
        <v>5697091</v>
      </c>
      <c r="TA5">
        <v>101752</v>
      </c>
      <c r="TB5" t="s">
        <v>2265</v>
      </c>
      <c r="TE5" t="str">
        <f>_xll.BDS("RSG US Equity","SUPPLY_CHAIN_CUSTOMERS_ALL_DATA","cols=12;rows=2")</f>
        <v>0992020D US Equity</v>
      </c>
      <c r="TF5">
        <v>-2.4245362661989844E-14</v>
      </c>
      <c r="TH5">
        <v>-2.4245362661989844E-14</v>
      </c>
      <c r="TI5" t="s">
        <v>1594</v>
      </c>
      <c r="TJ5">
        <v>2024</v>
      </c>
      <c r="TK5" t="s">
        <v>4680</v>
      </c>
      <c r="TL5" s="6">
        <v>45363</v>
      </c>
      <c r="TM5">
        <v>2</v>
      </c>
      <c r="TN5">
        <v>-2.4245362661989844E-14</v>
      </c>
      <c r="TO5">
        <v>40519068</v>
      </c>
      <c r="TP5" t="s">
        <v>4681</v>
      </c>
      <c r="TU5" t="str">
        <f>_xll.BDS("CSCO US Equity","SUPPLY_CHAIN_SUPPLIERS_ALL_DATA","cols=12;rows=5")</f>
        <v>NVDA US Equity</v>
      </c>
      <c r="TV5" t="s">
        <v>1598</v>
      </c>
      <c r="TW5">
        <v>0.44414500000000001</v>
      </c>
      <c r="TX5">
        <v>5.627351</v>
      </c>
      <c r="TY5" t="s">
        <v>1606</v>
      </c>
      <c r="TZ5">
        <v>2026</v>
      </c>
      <c r="UA5" t="s">
        <v>2004</v>
      </c>
      <c r="UB5" s="6">
        <v>46087</v>
      </c>
      <c r="UC5">
        <v>5</v>
      </c>
      <c r="UD5">
        <v>302582656</v>
      </c>
      <c r="UE5">
        <v>313657</v>
      </c>
      <c r="UF5" t="s">
        <v>2005</v>
      </c>
      <c r="UI5" t="str">
        <f>_xll.BDS("CSCO US Equity","SUPPLY_CHAIN_CUSTOMERS_ALL_DATA","cols=12;rows=5")</f>
        <v>SNX US Equity</v>
      </c>
      <c r="UJ5">
        <v>3.3352200000000001</v>
      </c>
      <c r="UK5" t="s">
        <v>1598</v>
      </c>
      <c r="UL5">
        <v>3.067034</v>
      </c>
      <c r="UM5" t="s">
        <v>1606</v>
      </c>
      <c r="UN5">
        <v>2025</v>
      </c>
      <c r="UO5" t="s">
        <v>1701</v>
      </c>
      <c r="UP5" s="6">
        <v>46056</v>
      </c>
      <c r="UQ5">
        <v>5</v>
      </c>
      <c r="UR5">
        <v>496380736</v>
      </c>
      <c r="US5">
        <v>1499717</v>
      </c>
      <c r="UT5" t="s">
        <v>1702</v>
      </c>
      <c r="UY5" t="str">
        <f>_xll.BDS("CSCO US Equity","SUPPLY_CHAIN_SUPPLIERS_ALL_DATA","cols=12;rows=5")</f>
        <v>NVDA US Equity</v>
      </c>
      <c r="UZ5" t="s">
        <v>1598</v>
      </c>
      <c r="VA5">
        <v>0.44414500000000001</v>
      </c>
      <c r="VB5">
        <v>5.627351</v>
      </c>
      <c r="VC5" t="s">
        <v>1606</v>
      </c>
      <c r="VD5">
        <v>2026</v>
      </c>
      <c r="VE5" t="s">
        <v>2004</v>
      </c>
      <c r="VF5" s="6">
        <v>46087</v>
      </c>
      <c r="VG5">
        <v>5</v>
      </c>
      <c r="VH5">
        <v>302582656</v>
      </c>
      <c r="VI5">
        <v>313657</v>
      </c>
      <c r="VJ5" t="s">
        <v>2005</v>
      </c>
      <c r="VM5" t="str">
        <f>_xll.BDS("CSCO US Equity","SUPPLY_CHAIN_CUSTOMERS_ALL_DATA","cols=12;rows=5")</f>
        <v>SNX US Equity</v>
      </c>
      <c r="VN5">
        <v>3.3352200000000001</v>
      </c>
      <c r="VO5" t="s">
        <v>1598</v>
      </c>
      <c r="VP5">
        <v>3.067034</v>
      </c>
      <c r="VQ5" t="s">
        <v>1606</v>
      </c>
      <c r="VR5">
        <v>2025</v>
      </c>
      <c r="VS5" t="s">
        <v>1701</v>
      </c>
      <c r="VT5" s="6">
        <v>46056</v>
      </c>
      <c r="VU5">
        <v>5</v>
      </c>
      <c r="VV5">
        <v>496380736</v>
      </c>
      <c r="VW5">
        <v>1499717</v>
      </c>
      <c r="VX5" t="s">
        <v>1702</v>
      </c>
    </row>
    <row r="6" spans="1:600" x14ac:dyDescent="0.25">
      <c r="A6" t="s">
        <v>2152</v>
      </c>
      <c r="C6">
        <v>-2.4245362661989844E-14</v>
      </c>
      <c r="D6">
        <v>-2.4245362661989844E-14</v>
      </c>
      <c r="E6" t="s">
        <v>1594</v>
      </c>
      <c r="F6">
        <v>2021</v>
      </c>
      <c r="G6" t="s">
        <v>2153</v>
      </c>
      <c r="H6" s="6">
        <v>44693</v>
      </c>
      <c r="I6">
        <v>5</v>
      </c>
      <c r="J6">
        <v>-2.4245362661989844E-14</v>
      </c>
      <c r="K6">
        <v>100060</v>
      </c>
      <c r="L6" t="s">
        <v>2154</v>
      </c>
      <c r="AS6" t="s">
        <v>531</v>
      </c>
      <c r="AT6">
        <v>2.8</v>
      </c>
      <c r="AU6" t="s">
        <v>1685</v>
      </c>
      <c r="AV6">
        <v>0.73512200000000005</v>
      </c>
      <c r="AW6" t="s">
        <v>1594</v>
      </c>
      <c r="AX6">
        <v>2024</v>
      </c>
      <c r="AY6" t="s">
        <v>4434</v>
      </c>
      <c r="AZ6" s="6">
        <v>45701</v>
      </c>
      <c r="BA6">
        <v>3</v>
      </c>
      <c r="BB6">
        <v>34469864</v>
      </c>
      <c r="BC6">
        <v>69491275</v>
      </c>
      <c r="BD6" t="s">
        <v>1780</v>
      </c>
      <c r="BI6" t="s">
        <v>2559</v>
      </c>
      <c r="BJ6" t="s">
        <v>1598</v>
      </c>
      <c r="BK6">
        <v>6.6266720000000001</v>
      </c>
      <c r="BL6">
        <v>6.8004179999999996</v>
      </c>
      <c r="BM6" t="s">
        <v>1599</v>
      </c>
      <c r="BN6">
        <v>2025</v>
      </c>
      <c r="BO6" t="s">
        <v>2560</v>
      </c>
      <c r="BP6" s="6">
        <v>45867</v>
      </c>
      <c r="BQ6">
        <v>5</v>
      </c>
      <c r="BR6">
        <v>518735872</v>
      </c>
      <c r="BS6">
        <v>117092</v>
      </c>
      <c r="BT6" t="s">
        <v>2561</v>
      </c>
      <c r="BW6" t="s">
        <v>959</v>
      </c>
      <c r="BX6">
        <v>15.549336</v>
      </c>
      <c r="BY6" t="s">
        <v>1598</v>
      </c>
      <c r="BZ6">
        <v>4.6186980000000002</v>
      </c>
      <c r="CA6" t="s">
        <v>1599</v>
      </c>
      <c r="CB6">
        <v>2025</v>
      </c>
      <c r="CC6" t="s">
        <v>2219</v>
      </c>
      <c r="CD6" s="6">
        <v>46018</v>
      </c>
      <c r="CE6">
        <v>5</v>
      </c>
      <c r="CF6">
        <v>3730752256</v>
      </c>
      <c r="CG6">
        <v>156969</v>
      </c>
      <c r="CH6" t="s">
        <v>1767</v>
      </c>
      <c r="CM6" t="s">
        <v>2383</v>
      </c>
      <c r="CN6" t="s">
        <v>1634</v>
      </c>
      <c r="CO6">
        <v>0.86806700000000003</v>
      </c>
      <c r="CP6">
        <v>5.1663009999999998</v>
      </c>
      <c r="CQ6" t="s">
        <v>1599</v>
      </c>
      <c r="CR6">
        <v>2025</v>
      </c>
      <c r="CS6" t="s">
        <v>2384</v>
      </c>
      <c r="CT6" s="6">
        <v>46029</v>
      </c>
      <c r="CU6">
        <v>5</v>
      </c>
      <c r="CV6">
        <v>51312964.100000001</v>
      </c>
      <c r="CW6">
        <v>115705</v>
      </c>
      <c r="CX6" t="s">
        <v>2385</v>
      </c>
      <c r="DA6" t="s">
        <v>4128</v>
      </c>
      <c r="DB6">
        <v>-2.4245362661989844E-14</v>
      </c>
      <c r="DD6">
        <v>-2.4245362661989844E-14</v>
      </c>
      <c r="DE6" t="s">
        <v>1594</v>
      </c>
      <c r="DF6">
        <v>2021</v>
      </c>
      <c r="DG6" t="s">
        <v>2150</v>
      </c>
      <c r="DH6" s="6">
        <v>44693</v>
      </c>
      <c r="DI6">
        <v>5</v>
      </c>
      <c r="DJ6">
        <v>-2.4245362661989844E-14</v>
      </c>
      <c r="DK6">
        <v>961545</v>
      </c>
      <c r="DL6" t="s">
        <v>4129</v>
      </c>
      <c r="JK6" t="s">
        <v>3370</v>
      </c>
      <c r="JM6">
        <v>-2.4245362661989844E-14</v>
      </c>
      <c r="JN6">
        <v>-2.4245362661989844E-14</v>
      </c>
      <c r="JO6" t="s">
        <v>1664</v>
      </c>
      <c r="JP6">
        <v>2025</v>
      </c>
      <c r="JQ6" t="s">
        <v>3524</v>
      </c>
      <c r="JR6" s="6">
        <v>45931</v>
      </c>
      <c r="JS6">
        <v>4</v>
      </c>
      <c r="JT6">
        <v>-2.4245362661989844E-14</v>
      </c>
      <c r="JU6">
        <v>225275</v>
      </c>
      <c r="JV6" t="s">
        <v>3372</v>
      </c>
      <c r="JY6" t="s">
        <v>5223</v>
      </c>
      <c r="JZ6">
        <v>-2.4245362661989844E-14</v>
      </c>
      <c r="KB6">
        <v>-2.4245362661989844E-14</v>
      </c>
      <c r="KC6" t="s">
        <v>1594</v>
      </c>
      <c r="KD6">
        <v>2025</v>
      </c>
      <c r="KE6" t="s">
        <v>5222</v>
      </c>
      <c r="KF6" s="6">
        <v>45699</v>
      </c>
      <c r="KG6">
        <v>2</v>
      </c>
      <c r="KH6">
        <v>-2.4245362661989844E-14</v>
      </c>
      <c r="KI6">
        <v>19558182</v>
      </c>
      <c r="KJ6" t="s">
        <v>5224</v>
      </c>
      <c r="MW6" t="s">
        <v>2582</v>
      </c>
      <c r="MX6" t="s">
        <v>1598</v>
      </c>
      <c r="MY6">
        <v>2.9053209999999998</v>
      </c>
      <c r="MZ6">
        <v>8.9932630000000007</v>
      </c>
      <c r="NA6" t="s">
        <v>1606</v>
      </c>
      <c r="NB6">
        <v>2024</v>
      </c>
      <c r="NC6" t="s">
        <v>3144</v>
      </c>
      <c r="ND6" s="6">
        <v>45741</v>
      </c>
      <c r="NE6">
        <v>5</v>
      </c>
      <c r="NF6">
        <v>779959532.52999997</v>
      </c>
      <c r="NG6">
        <v>153737</v>
      </c>
      <c r="NH6" t="s">
        <v>2584</v>
      </c>
      <c r="NK6" t="s">
        <v>173</v>
      </c>
      <c r="NL6">
        <v>12.003353000000001</v>
      </c>
      <c r="NM6" t="s">
        <v>1598</v>
      </c>
      <c r="NN6">
        <v>14.056165999999999</v>
      </c>
      <c r="NO6" t="s">
        <v>1606</v>
      </c>
      <c r="NP6">
        <v>2025</v>
      </c>
      <c r="NQ6" t="s">
        <v>2228</v>
      </c>
      <c r="NR6" s="6">
        <v>46048</v>
      </c>
      <c r="NS6">
        <v>5</v>
      </c>
      <c r="NT6">
        <v>1641338496</v>
      </c>
      <c r="NU6">
        <v>100732</v>
      </c>
      <c r="NV6" t="s">
        <v>1869</v>
      </c>
      <c r="OA6" t="s">
        <v>4150</v>
      </c>
      <c r="OB6" t="s">
        <v>1598</v>
      </c>
      <c r="OC6">
        <v>46.131107</v>
      </c>
      <c r="OD6">
        <v>0.57050800000000002</v>
      </c>
      <c r="OE6" t="s">
        <v>1594</v>
      </c>
      <c r="OF6">
        <v>2025</v>
      </c>
      <c r="OG6" t="s">
        <v>4151</v>
      </c>
      <c r="OH6" s="6">
        <v>45953</v>
      </c>
      <c r="OI6">
        <v>5</v>
      </c>
      <c r="OJ6">
        <v>8926402.5199999996</v>
      </c>
      <c r="OK6">
        <v>28987796</v>
      </c>
      <c r="OL6" t="s">
        <v>4152</v>
      </c>
      <c r="OO6" t="s">
        <v>3506</v>
      </c>
      <c r="OP6">
        <v>-2.4245362661989844E-14</v>
      </c>
      <c r="OR6">
        <v>-2.4245362661989844E-14</v>
      </c>
      <c r="OS6" t="s">
        <v>1594</v>
      </c>
      <c r="OT6">
        <v>2024</v>
      </c>
      <c r="OU6" t="s">
        <v>3507</v>
      </c>
      <c r="OV6" s="6">
        <v>45715</v>
      </c>
      <c r="OW6">
        <v>5</v>
      </c>
      <c r="OX6">
        <v>-2.4245362661989844E-14</v>
      </c>
      <c r="OY6">
        <v>115545</v>
      </c>
      <c r="OZ6" t="s">
        <v>3508</v>
      </c>
      <c r="QI6" t="s">
        <v>1989</v>
      </c>
      <c r="QK6">
        <v>-2.4245362661989844E-14</v>
      </c>
      <c r="QL6">
        <v>-2.4245362661989844E-14</v>
      </c>
      <c r="QM6" t="s">
        <v>1594</v>
      </c>
      <c r="QN6">
        <v>2021</v>
      </c>
      <c r="QO6" t="s">
        <v>2156</v>
      </c>
      <c r="QP6" s="6">
        <v>44693</v>
      </c>
      <c r="QQ6">
        <v>4</v>
      </c>
      <c r="QR6">
        <v>-2.4245362661989844E-14</v>
      </c>
      <c r="QS6">
        <v>100532</v>
      </c>
      <c r="QT6" t="s">
        <v>1990</v>
      </c>
      <c r="SQ6" t="s">
        <v>3732</v>
      </c>
      <c r="SR6" t="s">
        <v>1634</v>
      </c>
      <c r="SS6">
        <v>0.31543399999999999</v>
      </c>
      <c r="ST6">
        <v>1.152458</v>
      </c>
      <c r="SU6" t="s">
        <v>1664</v>
      </c>
      <c r="SV6">
        <v>2025</v>
      </c>
      <c r="SW6" t="s">
        <v>3733</v>
      </c>
      <c r="SX6" s="6">
        <v>45912</v>
      </c>
      <c r="SY6">
        <v>5</v>
      </c>
      <c r="SZ6">
        <v>4690504</v>
      </c>
      <c r="TA6">
        <v>101455</v>
      </c>
      <c r="TB6" t="s">
        <v>3734</v>
      </c>
      <c r="TE6" t="s">
        <v>4682</v>
      </c>
      <c r="TF6">
        <v>-2.4245362661989844E-14</v>
      </c>
      <c r="TH6">
        <v>-2.4245362661989844E-14</v>
      </c>
      <c r="TI6" t="s">
        <v>1606</v>
      </c>
      <c r="TJ6">
        <v>2024</v>
      </c>
      <c r="TK6" t="s">
        <v>4683</v>
      </c>
      <c r="TL6" s="6">
        <v>45739</v>
      </c>
      <c r="TM6">
        <v>2</v>
      </c>
      <c r="TN6">
        <v>-2.4245362661989844E-14</v>
      </c>
      <c r="TO6">
        <v>68879506</v>
      </c>
      <c r="TP6" t="s">
        <v>4684</v>
      </c>
      <c r="TU6" t="s">
        <v>3655</v>
      </c>
      <c r="TV6" t="s">
        <v>1598</v>
      </c>
      <c r="TW6">
        <v>0.347161</v>
      </c>
      <c r="TX6">
        <v>4.1422239999999997</v>
      </c>
      <c r="TY6" t="s">
        <v>1664</v>
      </c>
      <c r="TZ6">
        <v>2025</v>
      </c>
      <c r="UA6" t="s">
        <v>3656</v>
      </c>
      <c r="UB6" s="6">
        <v>45889</v>
      </c>
      <c r="UC6">
        <v>5</v>
      </c>
      <c r="UD6">
        <v>201928052.13999999</v>
      </c>
      <c r="UE6">
        <v>119133</v>
      </c>
      <c r="UF6" t="s">
        <v>3657</v>
      </c>
      <c r="UI6" t="s">
        <v>178</v>
      </c>
      <c r="UJ6">
        <v>2.8732120000000001</v>
      </c>
      <c r="UK6" t="s">
        <v>1634</v>
      </c>
      <c r="UL6">
        <v>2.4006630000000002</v>
      </c>
      <c r="UM6" t="s">
        <v>1664</v>
      </c>
      <c r="UN6">
        <v>2025</v>
      </c>
      <c r="UO6" t="s">
        <v>3227</v>
      </c>
      <c r="UP6" s="6">
        <v>45783</v>
      </c>
      <c r="UQ6">
        <v>5</v>
      </c>
      <c r="UR6">
        <v>401991104</v>
      </c>
      <c r="US6">
        <v>101743</v>
      </c>
      <c r="UT6" t="s">
        <v>1736</v>
      </c>
      <c r="UY6" t="s">
        <v>3655</v>
      </c>
      <c r="UZ6" t="s">
        <v>1598</v>
      </c>
      <c r="VA6">
        <v>0.347161</v>
      </c>
      <c r="VB6">
        <v>4.1422239999999997</v>
      </c>
      <c r="VC6" t="s">
        <v>1664</v>
      </c>
      <c r="VD6">
        <v>2025</v>
      </c>
      <c r="VE6" t="s">
        <v>3656</v>
      </c>
      <c r="VF6" s="6">
        <v>45889</v>
      </c>
      <c r="VG6">
        <v>5</v>
      </c>
      <c r="VH6">
        <v>201928052.13999999</v>
      </c>
      <c r="VI6">
        <v>119133</v>
      </c>
      <c r="VJ6" t="s">
        <v>3657</v>
      </c>
      <c r="VM6" t="s">
        <v>178</v>
      </c>
      <c r="VN6">
        <v>2.8732120000000001</v>
      </c>
      <c r="VO6" t="s">
        <v>1634</v>
      </c>
      <c r="VP6">
        <v>2.4006630000000002</v>
      </c>
      <c r="VQ6" t="s">
        <v>1664</v>
      </c>
      <c r="VR6">
        <v>2025</v>
      </c>
      <c r="VS6" t="s">
        <v>3227</v>
      </c>
      <c r="VT6" s="6">
        <v>45783</v>
      </c>
      <c r="VU6">
        <v>5</v>
      </c>
      <c r="VV6">
        <v>401991104</v>
      </c>
      <c r="VW6">
        <v>101743</v>
      </c>
      <c r="VX6" t="s">
        <v>1736</v>
      </c>
    </row>
    <row r="7" spans="1:600" x14ac:dyDescent="0.25">
      <c r="A7" t="s">
        <v>810</v>
      </c>
      <c r="C7">
        <v>-2.4245362661989844E-14</v>
      </c>
      <c r="D7">
        <v>-2.4245362661989844E-14</v>
      </c>
      <c r="E7" t="s">
        <v>1594</v>
      </c>
      <c r="F7">
        <v>2021</v>
      </c>
      <c r="G7" t="s">
        <v>2346</v>
      </c>
      <c r="H7" s="6">
        <v>44693</v>
      </c>
      <c r="I7">
        <v>5</v>
      </c>
      <c r="J7">
        <v>-2.4245362661989844E-14</v>
      </c>
      <c r="K7">
        <v>101690</v>
      </c>
      <c r="L7" t="s">
        <v>2347</v>
      </c>
      <c r="AS7" t="s">
        <v>4656</v>
      </c>
      <c r="AT7">
        <v>2.8</v>
      </c>
      <c r="AU7" t="s">
        <v>1685</v>
      </c>
      <c r="AV7">
        <v>2.6547749999999999</v>
      </c>
      <c r="AW7" t="s">
        <v>1594</v>
      </c>
      <c r="AX7">
        <v>2024</v>
      </c>
      <c r="AY7" t="s">
        <v>4434</v>
      </c>
      <c r="AZ7" s="6">
        <v>45701</v>
      </c>
      <c r="BA7">
        <v>3</v>
      </c>
      <c r="BB7">
        <v>34469864</v>
      </c>
      <c r="BC7">
        <v>50818234</v>
      </c>
      <c r="BD7" t="s">
        <v>4657</v>
      </c>
      <c r="BI7" t="s">
        <v>25</v>
      </c>
      <c r="BJ7" t="s">
        <v>1598</v>
      </c>
      <c r="BK7">
        <v>1.3419449999999999</v>
      </c>
      <c r="BL7">
        <v>2.7987500000000001</v>
      </c>
      <c r="BM7" t="s">
        <v>1606</v>
      </c>
      <c r="BN7">
        <v>2025</v>
      </c>
      <c r="BO7" t="s">
        <v>2220</v>
      </c>
      <c r="BP7" s="6">
        <v>46077</v>
      </c>
      <c r="BQ7">
        <v>5</v>
      </c>
      <c r="BR7">
        <v>223004416</v>
      </c>
      <c r="BS7">
        <v>28046509</v>
      </c>
      <c r="BT7" t="s">
        <v>2221</v>
      </c>
      <c r="BW7" t="s">
        <v>618</v>
      </c>
      <c r="BX7">
        <v>12.373919000000001</v>
      </c>
      <c r="BY7" t="s">
        <v>1598</v>
      </c>
      <c r="BZ7">
        <v>4.81257</v>
      </c>
      <c r="CA7" t="s">
        <v>1599</v>
      </c>
      <c r="CB7">
        <v>2025</v>
      </c>
      <c r="CC7" t="s">
        <v>2219</v>
      </c>
      <c r="CD7" s="6">
        <v>46018</v>
      </c>
      <c r="CE7">
        <v>5</v>
      </c>
      <c r="CF7">
        <v>2968874496</v>
      </c>
      <c r="CG7">
        <v>102782</v>
      </c>
      <c r="CH7" t="s">
        <v>1626</v>
      </c>
      <c r="CM7" t="s">
        <v>3823</v>
      </c>
      <c r="CN7" t="s">
        <v>1634</v>
      </c>
      <c r="CO7">
        <v>0.26214999999999999</v>
      </c>
      <c r="CP7">
        <v>1.3130310000000001</v>
      </c>
      <c r="CQ7" t="s">
        <v>1599</v>
      </c>
      <c r="CR7">
        <v>2025</v>
      </c>
      <c r="CS7" t="s">
        <v>3824</v>
      </c>
      <c r="CT7" s="6">
        <v>46013</v>
      </c>
      <c r="CU7">
        <v>5</v>
      </c>
      <c r="CV7">
        <v>13040839.609999999</v>
      </c>
      <c r="CW7">
        <v>11796370</v>
      </c>
      <c r="CX7" t="s">
        <v>3825</v>
      </c>
      <c r="DA7" t="s">
        <v>4130</v>
      </c>
      <c r="DB7">
        <v>-2.4245362661989844E-14</v>
      </c>
      <c r="DD7">
        <v>-2.4245362661989844E-14</v>
      </c>
      <c r="DE7" t="s">
        <v>1594</v>
      </c>
      <c r="DF7">
        <v>2021</v>
      </c>
      <c r="DG7" t="s">
        <v>2150</v>
      </c>
      <c r="DH7" s="6">
        <v>44693</v>
      </c>
      <c r="DI7">
        <v>5</v>
      </c>
      <c r="DJ7">
        <v>-2.4245362661989844E-14</v>
      </c>
      <c r="DK7">
        <v>33784843</v>
      </c>
      <c r="DL7" t="s">
        <v>4131</v>
      </c>
      <c r="JK7" t="s">
        <v>5390</v>
      </c>
      <c r="JM7">
        <v>-2.4245362661989844E-14</v>
      </c>
      <c r="JN7">
        <v>-2.4245362661989844E-14</v>
      </c>
      <c r="JO7" t="s">
        <v>1594</v>
      </c>
      <c r="JP7">
        <v>2024</v>
      </c>
      <c r="JQ7" t="s">
        <v>5391</v>
      </c>
      <c r="JR7" s="6">
        <v>45715</v>
      </c>
      <c r="JS7">
        <v>4</v>
      </c>
      <c r="JT7">
        <v>-2.4245362661989844E-14</v>
      </c>
      <c r="JU7">
        <v>110274</v>
      </c>
      <c r="JV7" t="s">
        <v>5392</v>
      </c>
      <c r="MW7" t="s">
        <v>2587</v>
      </c>
      <c r="MX7" t="s">
        <v>1598</v>
      </c>
      <c r="MY7">
        <v>1.4676359999999999</v>
      </c>
      <c r="MZ7">
        <v>2.8381699999999999</v>
      </c>
      <c r="NA7" t="s">
        <v>1599</v>
      </c>
      <c r="NB7">
        <v>2025</v>
      </c>
      <c r="NC7" t="s">
        <v>3857</v>
      </c>
      <c r="ND7" s="6">
        <v>46080</v>
      </c>
      <c r="NE7">
        <v>5</v>
      </c>
      <c r="NF7">
        <v>258849259.34</v>
      </c>
      <c r="NG7">
        <v>193974</v>
      </c>
      <c r="NH7" t="s">
        <v>2588</v>
      </c>
      <c r="NK7" t="s">
        <v>3659</v>
      </c>
      <c r="NL7">
        <v>12.001497000000001</v>
      </c>
      <c r="NM7" t="s">
        <v>1598</v>
      </c>
      <c r="NN7">
        <v>9.4830839999999998</v>
      </c>
      <c r="NO7" t="s">
        <v>1606</v>
      </c>
      <c r="NP7">
        <v>2025</v>
      </c>
      <c r="NQ7" t="s">
        <v>2228</v>
      </c>
      <c r="NR7" s="6">
        <v>46048</v>
      </c>
      <c r="NS7">
        <v>5</v>
      </c>
      <c r="NT7">
        <v>1641084672</v>
      </c>
      <c r="NU7">
        <v>130929</v>
      </c>
      <c r="NV7" t="s">
        <v>3661</v>
      </c>
      <c r="OA7" t="s">
        <v>4153</v>
      </c>
      <c r="OB7" t="s">
        <v>1598</v>
      </c>
      <c r="OC7">
        <v>3.7053000000000003E-2</v>
      </c>
      <c r="OD7">
        <v>0.33299200000000001</v>
      </c>
      <c r="OE7" t="s">
        <v>1599</v>
      </c>
      <c r="OF7">
        <v>2025</v>
      </c>
      <c r="OG7" t="s">
        <v>4154</v>
      </c>
      <c r="OH7" s="6">
        <v>45981</v>
      </c>
      <c r="OI7">
        <v>5</v>
      </c>
      <c r="OJ7">
        <v>4865922.1900000004</v>
      </c>
      <c r="OK7">
        <v>115414</v>
      </c>
      <c r="OL7" t="s">
        <v>4155</v>
      </c>
      <c r="OO7" t="s">
        <v>3509</v>
      </c>
      <c r="OP7">
        <v>-2.4245362661989844E-14</v>
      </c>
      <c r="OR7">
        <v>-2.4245362661989844E-14</v>
      </c>
      <c r="OS7" t="s">
        <v>1594</v>
      </c>
      <c r="OT7">
        <v>2022</v>
      </c>
      <c r="OU7" t="s">
        <v>3510</v>
      </c>
      <c r="OV7" s="6">
        <v>44986</v>
      </c>
      <c r="OW7">
        <v>5</v>
      </c>
      <c r="OX7">
        <v>-2.4245362661989844E-14</v>
      </c>
      <c r="OY7">
        <v>171027</v>
      </c>
      <c r="OZ7" t="s">
        <v>3511</v>
      </c>
      <c r="QI7" t="s">
        <v>2078</v>
      </c>
      <c r="QK7">
        <v>-2.4245362661989844E-14</v>
      </c>
      <c r="QL7">
        <v>-2.4245362661989844E-14</v>
      </c>
      <c r="QM7" t="s">
        <v>1594</v>
      </c>
      <c r="QN7">
        <v>2023</v>
      </c>
      <c r="QO7" t="s">
        <v>2157</v>
      </c>
      <c r="QP7" s="6">
        <v>45132</v>
      </c>
      <c r="QQ7">
        <v>4</v>
      </c>
      <c r="QR7">
        <v>-2.4245362661989844E-14</v>
      </c>
      <c r="QS7">
        <v>49689146</v>
      </c>
      <c r="QT7" t="s">
        <v>2080</v>
      </c>
      <c r="SQ7" t="s">
        <v>2095</v>
      </c>
      <c r="SR7" t="s">
        <v>1685</v>
      </c>
      <c r="SS7">
        <v>2.2000000000000002</v>
      </c>
      <c r="ST7">
        <v>0.28800100000000001</v>
      </c>
      <c r="SU7" t="s">
        <v>1594</v>
      </c>
      <c r="SV7">
        <v>2024</v>
      </c>
      <c r="SW7" t="s">
        <v>2096</v>
      </c>
      <c r="SX7" s="6">
        <v>45722</v>
      </c>
      <c r="SY7">
        <v>5</v>
      </c>
      <c r="SZ7">
        <v>1206041.96</v>
      </c>
      <c r="TA7">
        <v>8674508</v>
      </c>
      <c r="TB7" t="s">
        <v>2097</v>
      </c>
      <c r="TU7" t="s">
        <v>2582</v>
      </c>
      <c r="TV7" t="s">
        <v>1598</v>
      </c>
      <c r="TW7">
        <v>0.664825</v>
      </c>
      <c r="TX7">
        <v>3.6327410000000002</v>
      </c>
      <c r="TY7" t="s">
        <v>1606</v>
      </c>
      <c r="TZ7">
        <v>2024</v>
      </c>
      <c r="UA7" t="s">
        <v>3144</v>
      </c>
      <c r="UB7" s="6">
        <v>45741</v>
      </c>
      <c r="UC7">
        <v>5</v>
      </c>
      <c r="UD7">
        <v>178478249.27000001</v>
      </c>
      <c r="UE7">
        <v>153737</v>
      </c>
      <c r="UF7" t="s">
        <v>2584</v>
      </c>
      <c r="UI7" t="s">
        <v>2376</v>
      </c>
      <c r="UJ7">
        <v>2.64514</v>
      </c>
      <c r="UK7" t="s">
        <v>1598</v>
      </c>
      <c r="UL7">
        <v>1.094911</v>
      </c>
      <c r="UM7" t="s">
        <v>1664</v>
      </c>
      <c r="UN7">
        <v>2025</v>
      </c>
      <c r="UO7" t="s">
        <v>3227</v>
      </c>
      <c r="UP7" s="6">
        <v>45783</v>
      </c>
      <c r="UQ7">
        <v>5</v>
      </c>
      <c r="UR7">
        <v>370081536</v>
      </c>
      <c r="US7">
        <v>117929</v>
      </c>
      <c r="UT7" t="s">
        <v>2378</v>
      </c>
      <c r="UY7" t="s">
        <v>2582</v>
      </c>
      <c r="UZ7" t="s">
        <v>1598</v>
      </c>
      <c r="VA7">
        <v>0.664825</v>
      </c>
      <c r="VB7">
        <v>3.6327410000000002</v>
      </c>
      <c r="VC7" t="s">
        <v>1606</v>
      </c>
      <c r="VD7">
        <v>2024</v>
      </c>
      <c r="VE7" t="s">
        <v>3144</v>
      </c>
      <c r="VF7" s="6">
        <v>45741</v>
      </c>
      <c r="VG7">
        <v>5</v>
      </c>
      <c r="VH7">
        <v>178478249.27000001</v>
      </c>
      <c r="VI7">
        <v>153737</v>
      </c>
      <c r="VJ7" t="s">
        <v>2584</v>
      </c>
      <c r="VM7" t="s">
        <v>2376</v>
      </c>
      <c r="VN7">
        <v>2.64514</v>
      </c>
      <c r="VO7" t="s">
        <v>1598</v>
      </c>
      <c r="VP7">
        <v>1.094911</v>
      </c>
      <c r="VQ7" t="s">
        <v>1664</v>
      </c>
      <c r="VR7">
        <v>2025</v>
      </c>
      <c r="VS7" t="s">
        <v>3227</v>
      </c>
      <c r="VT7" s="6">
        <v>45783</v>
      </c>
      <c r="VU7">
        <v>5</v>
      </c>
      <c r="VV7">
        <v>370081536</v>
      </c>
      <c r="VW7">
        <v>117929</v>
      </c>
      <c r="VX7" t="s">
        <v>2378</v>
      </c>
    </row>
    <row r="8" spans="1:600" x14ac:dyDescent="0.25">
      <c r="A8" t="s">
        <v>110</v>
      </c>
      <c r="C8">
        <v>-2.4245362661989844E-14</v>
      </c>
      <c r="D8">
        <v>-2.4245362661989844E-14</v>
      </c>
      <c r="E8" t="s">
        <v>1594</v>
      </c>
      <c r="F8">
        <v>2021</v>
      </c>
      <c r="G8" t="s">
        <v>4239</v>
      </c>
      <c r="H8" s="6">
        <v>44693</v>
      </c>
      <c r="I8">
        <v>5</v>
      </c>
      <c r="J8">
        <v>-2.4245362661989844E-14</v>
      </c>
      <c r="K8">
        <v>100193</v>
      </c>
      <c r="L8" t="s">
        <v>3708</v>
      </c>
      <c r="BI8" t="s">
        <v>3384</v>
      </c>
      <c r="BJ8" t="s">
        <v>1598</v>
      </c>
      <c r="BK8">
        <v>49.056618</v>
      </c>
      <c r="BL8">
        <v>2.3797060000000001</v>
      </c>
      <c r="BM8" t="s">
        <v>1599</v>
      </c>
      <c r="BN8">
        <v>2025</v>
      </c>
      <c r="BO8" t="s">
        <v>3385</v>
      </c>
      <c r="BP8" s="6">
        <v>46050</v>
      </c>
      <c r="BQ8">
        <v>5</v>
      </c>
      <c r="BR8">
        <v>173789936</v>
      </c>
      <c r="BS8">
        <v>1753841</v>
      </c>
      <c r="BT8" t="s">
        <v>3386</v>
      </c>
      <c r="BW8" t="s">
        <v>31</v>
      </c>
      <c r="BX8">
        <v>2.966253</v>
      </c>
      <c r="BY8" t="s">
        <v>1598</v>
      </c>
      <c r="BZ8">
        <v>1.12304</v>
      </c>
      <c r="CA8" t="s">
        <v>1599</v>
      </c>
      <c r="CB8">
        <v>2025</v>
      </c>
      <c r="CC8" t="s">
        <v>2219</v>
      </c>
      <c r="CD8" s="6">
        <v>46018</v>
      </c>
      <c r="CE8">
        <v>5</v>
      </c>
      <c r="CF8">
        <v>711693056</v>
      </c>
      <c r="CG8">
        <v>60401289</v>
      </c>
      <c r="CH8" t="s">
        <v>1769</v>
      </c>
      <c r="CM8" t="s">
        <v>4286</v>
      </c>
      <c r="CN8" t="s">
        <v>1634</v>
      </c>
      <c r="CO8">
        <v>12.220196</v>
      </c>
      <c r="CP8">
        <v>1.5952000000000001E-2</v>
      </c>
      <c r="CQ8" t="s">
        <v>1594</v>
      </c>
      <c r="CR8">
        <v>2025</v>
      </c>
      <c r="CS8" t="s">
        <v>4287</v>
      </c>
      <c r="CT8" s="6">
        <v>45832</v>
      </c>
      <c r="CU8">
        <v>5</v>
      </c>
      <c r="CV8">
        <v>184250</v>
      </c>
      <c r="CW8">
        <v>32213005</v>
      </c>
      <c r="CX8" t="s">
        <v>4288</v>
      </c>
      <c r="DA8" t="s">
        <v>4132</v>
      </c>
      <c r="DB8">
        <v>-2.4245362661989844E-14</v>
      </c>
      <c r="DD8">
        <v>-2.4245362661989844E-14</v>
      </c>
      <c r="DE8" t="s">
        <v>1594</v>
      </c>
      <c r="DF8">
        <v>2026</v>
      </c>
      <c r="DG8" t="s">
        <v>4133</v>
      </c>
      <c r="DH8" s="6">
        <v>46045</v>
      </c>
      <c r="DI8">
        <v>5</v>
      </c>
      <c r="DJ8">
        <v>-2.4245362661989844E-14</v>
      </c>
      <c r="DK8">
        <v>1059985</v>
      </c>
      <c r="DL8" t="s">
        <v>4134</v>
      </c>
      <c r="JK8" t="s">
        <v>5393</v>
      </c>
      <c r="JM8">
        <v>-2.4245362661989844E-14</v>
      </c>
      <c r="JN8">
        <v>-2.4245362661989844E-14</v>
      </c>
      <c r="JO8" t="s">
        <v>1594</v>
      </c>
      <c r="JP8">
        <v>2023</v>
      </c>
      <c r="JQ8" t="s">
        <v>5394</v>
      </c>
      <c r="JR8" s="6">
        <v>45363</v>
      </c>
      <c r="JS8">
        <v>4</v>
      </c>
      <c r="JT8">
        <v>-2.4245362661989844E-14</v>
      </c>
      <c r="JU8">
        <v>68928535</v>
      </c>
      <c r="JV8" t="s">
        <v>5395</v>
      </c>
      <c r="MW8" t="s">
        <v>2376</v>
      </c>
      <c r="MX8" t="s">
        <v>1598</v>
      </c>
      <c r="MY8">
        <v>0.36901099999999998</v>
      </c>
      <c r="MZ8">
        <v>2.1074079999999999</v>
      </c>
      <c r="NA8" t="s">
        <v>1664</v>
      </c>
      <c r="NB8">
        <v>2025</v>
      </c>
      <c r="NC8" t="s">
        <v>2377</v>
      </c>
      <c r="ND8" s="6">
        <v>45952</v>
      </c>
      <c r="NE8">
        <v>5</v>
      </c>
      <c r="NF8">
        <v>196578595.78</v>
      </c>
      <c r="NG8">
        <v>117929</v>
      </c>
      <c r="NH8" t="s">
        <v>2378</v>
      </c>
      <c r="NK8" t="s">
        <v>3653</v>
      </c>
      <c r="NL8">
        <v>6.9003030000000001</v>
      </c>
      <c r="NM8" t="s">
        <v>1598</v>
      </c>
      <c r="NN8">
        <v>13.993990999999999</v>
      </c>
      <c r="NO8" t="s">
        <v>1594</v>
      </c>
      <c r="NP8">
        <v>2024</v>
      </c>
      <c r="NQ8" t="s">
        <v>3677</v>
      </c>
      <c r="NR8" s="6">
        <v>45786</v>
      </c>
      <c r="NS8">
        <v>5</v>
      </c>
      <c r="NT8">
        <v>924964005.08000004</v>
      </c>
      <c r="NU8">
        <v>9568853</v>
      </c>
      <c r="NV8" t="s">
        <v>3654</v>
      </c>
      <c r="OA8" t="s">
        <v>4156</v>
      </c>
      <c r="OB8" t="s">
        <v>1598</v>
      </c>
      <c r="OC8">
        <v>8.4625000000000006E-2</v>
      </c>
      <c r="OD8">
        <v>0.16813</v>
      </c>
      <c r="OE8" t="s">
        <v>1664</v>
      </c>
      <c r="OF8">
        <v>2025</v>
      </c>
      <c r="OG8" t="s">
        <v>4157</v>
      </c>
      <c r="OH8" s="6">
        <v>45756</v>
      </c>
      <c r="OI8">
        <v>5</v>
      </c>
      <c r="OJ8">
        <v>3302068</v>
      </c>
      <c r="OK8">
        <v>179046</v>
      </c>
      <c r="OL8" t="s">
        <v>4158</v>
      </c>
      <c r="OO8" t="s">
        <v>3512</v>
      </c>
      <c r="OP8">
        <v>-2.4245362661989844E-14</v>
      </c>
      <c r="OR8">
        <v>-2.4245362661989844E-14</v>
      </c>
      <c r="OS8" t="s">
        <v>1594</v>
      </c>
      <c r="OT8">
        <v>2024</v>
      </c>
      <c r="OU8" t="s">
        <v>3507</v>
      </c>
      <c r="OV8" s="6">
        <v>45715</v>
      </c>
      <c r="OW8">
        <v>5</v>
      </c>
      <c r="OX8">
        <v>-2.4245362661989844E-14</v>
      </c>
      <c r="OY8">
        <v>15994790</v>
      </c>
      <c r="OZ8" t="s">
        <v>3513</v>
      </c>
      <c r="QI8" t="s">
        <v>2158</v>
      </c>
      <c r="QK8">
        <v>-2.4245362661989844E-14</v>
      </c>
      <c r="QL8">
        <v>-2.4245362661989844E-14</v>
      </c>
      <c r="QM8" t="s">
        <v>1594</v>
      </c>
      <c r="QN8">
        <v>2022</v>
      </c>
      <c r="QO8" t="s">
        <v>2159</v>
      </c>
      <c r="QP8" s="6">
        <v>44967</v>
      </c>
      <c r="QQ8">
        <v>4</v>
      </c>
      <c r="QR8">
        <v>-2.4245362661989844E-14</v>
      </c>
      <c r="QS8">
        <v>117782</v>
      </c>
      <c r="QT8" t="s">
        <v>2160</v>
      </c>
      <c r="SQ8" t="s">
        <v>4062</v>
      </c>
      <c r="SR8" t="s">
        <v>1598</v>
      </c>
      <c r="SS8">
        <v>1.8533999999999998E-2</v>
      </c>
      <c r="ST8">
        <v>1.5062000000000001E-2</v>
      </c>
      <c r="SU8" t="s">
        <v>1606</v>
      </c>
      <c r="SV8">
        <v>2024</v>
      </c>
      <c r="SW8" t="s">
        <v>4063</v>
      </c>
      <c r="SX8" s="6">
        <v>45730</v>
      </c>
      <c r="SY8">
        <v>5</v>
      </c>
      <c r="SZ8">
        <v>349367.85</v>
      </c>
      <c r="TA8">
        <v>239787</v>
      </c>
      <c r="TB8" t="s">
        <v>4064</v>
      </c>
      <c r="TU8" t="s">
        <v>2556</v>
      </c>
      <c r="TV8" t="s">
        <v>1598</v>
      </c>
      <c r="TW8">
        <v>2.6461350000000001</v>
      </c>
      <c r="TX8">
        <v>3.5549309999999998</v>
      </c>
      <c r="TY8" t="s">
        <v>1599</v>
      </c>
      <c r="TZ8">
        <v>2025</v>
      </c>
      <c r="UA8" t="s">
        <v>2557</v>
      </c>
      <c r="UB8" s="6">
        <v>45763</v>
      </c>
      <c r="UC8">
        <v>5</v>
      </c>
      <c r="UD8">
        <v>173480608</v>
      </c>
      <c r="UE8">
        <v>136547</v>
      </c>
      <c r="UF8" t="s">
        <v>2558</v>
      </c>
      <c r="UI8" t="s">
        <v>303</v>
      </c>
      <c r="UJ8">
        <v>2.5842719999999999</v>
      </c>
      <c r="UK8" t="s">
        <v>1634</v>
      </c>
      <c r="UL8">
        <v>1.4451639999999999</v>
      </c>
      <c r="UM8" t="s">
        <v>1664</v>
      </c>
      <c r="UN8">
        <v>2025</v>
      </c>
      <c r="UO8" t="s">
        <v>3227</v>
      </c>
      <c r="UP8" s="6">
        <v>45783</v>
      </c>
      <c r="UQ8">
        <v>5</v>
      </c>
      <c r="UR8">
        <v>361565504</v>
      </c>
      <c r="US8">
        <v>216952</v>
      </c>
      <c r="UT8" t="s">
        <v>1631</v>
      </c>
      <c r="UY8" t="s">
        <v>2556</v>
      </c>
      <c r="UZ8" t="s">
        <v>1598</v>
      </c>
      <c r="VA8">
        <v>2.6461350000000001</v>
      </c>
      <c r="VB8">
        <v>3.5549309999999998</v>
      </c>
      <c r="VC8" t="s">
        <v>1599</v>
      </c>
      <c r="VD8">
        <v>2025</v>
      </c>
      <c r="VE8" t="s">
        <v>2557</v>
      </c>
      <c r="VF8" s="6">
        <v>45763</v>
      </c>
      <c r="VG8">
        <v>5</v>
      </c>
      <c r="VH8">
        <v>173480608</v>
      </c>
      <c r="VI8">
        <v>136547</v>
      </c>
      <c r="VJ8" t="s">
        <v>2558</v>
      </c>
      <c r="VM8" t="s">
        <v>303</v>
      </c>
      <c r="VN8">
        <v>2.5842719999999999</v>
      </c>
      <c r="VO8" t="s">
        <v>1634</v>
      </c>
      <c r="VP8">
        <v>1.4451639999999999</v>
      </c>
      <c r="VQ8" t="s">
        <v>1664</v>
      </c>
      <c r="VR8">
        <v>2025</v>
      </c>
      <c r="VS8" t="s">
        <v>3227</v>
      </c>
      <c r="VT8" s="6">
        <v>45783</v>
      </c>
      <c r="VU8">
        <v>5</v>
      </c>
      <c r="VV8">
        <v>361565504</v>
      </c>
      <c r="VW8">
        <v>216952</v>
      </c>
      <c r="VX8" t="s">
        <v>1631</v>
      </c>
    </row>
    <row r="9" spans="1:600" x14ac:dyDescent="0.25">
      <c r="A9" t="s">
        <v>172</v>
      </c>
      <c r="C9">
        <v>-2.4245362661989844E-14</v>
      </c>
      <c r="D9">
        <v>-2.4245362661989844E-14</v>
      </c>
      <c r="E9" t="s">
        <v>1594</v>
      </c>
      <c r="F9">
        <v>2021</v>
      </c>
      <c r="G9" t="s">
        <v>4240</v>
      </c>
      <c r="H9" s="6">
        <v>44693</v>
      </c>
      <c r="I9">
        <v>5</v>
      </c>
      <c r="J9">
        <v>-2.4245362661989844E-14</v>
      </c>
      <c r="K9">
        <v>100481</v>
      </c>
      <c r="L9" t="s">
        <v>4241</v>
      </c>
      <c r="BI9" t="s">
        <v>3387</v>
      </c>
      <c r="BJ9" t="s">
        <v>1598</v>
      </c>
      <c r="BK9">
        <v>1.017503</v>
      </c>
      <c r="BL9">
        <v>1.621964</v>
      </c>
      <c r="BM9" t="s">
        <v>1664</v>
      </c>
      <c r="BN9">
        <v>2025</v>
      </c>
      <c r="BO9" t="s">
        <v>3388</v>
      </c>
      <c r="BP9" s="6">
        <v>45929</v>
      </c>
      <c r="BQ9">
        <v>5</v>
      </c>
      <c r="BR9">
        <v>123835292.08</v>
      </c>
      <c r="BS9">
        <v>115679</v>
      </c>
      <c r="BT9" t="s">
        <v>3389</v>
      </c>
      <c r="BW9" t="s">
        <v>1669</v>
      </c>
      <c r="BX9">
        <v>2.108371</v>
      </c>
      <c r="BY9" t="s">
        <v>1598</v>
      </c>
      <c r="BZ9">
        <v>2.5571009999999998</v>
      </c>
      <c r="CA9" t="s">
        <v>1664</v>
      </c>
      <c r="CB9">
        <v>2025</v>
      </c>
      <c r="CC9" t="s">
        <v>1921</v>
      </c>
      <c r="CD9" s="6">
        <v>45919</v>
      </c>
      <c r="CE9">
        <v>5</v>
      </c>
      <c r="CF9">
        <v>501043244.87</v>
      </c>
      <c r="CG9">
        <v>115268</v>
      </c>
      <c r="CH9" t="s">
        <v>1670</v>
      </c>
      <c r="CM9" t="s">
        <v>4289</v>
      </c>
      <c r="CO9">
        <v>-2.4245362661989844E-14</v>
      </c>
      <c r="CP9">
        <v>-2.4245362661989844E-14</v>
      </c>
      <c r="CQ9" t="s">
        <v>1594</v>
      </c>
      <c r="CR9">
        <v>2024</v>
      </c>
      <c r="CS9" t="s">
        <v>4290</v>
      </c>
      <c r="CT9" s="6">
        <v>45706</v>
      </c>
      <c r="CU9">
        <v>5</v>
      </c>
      <c r="CV9">
        <v>-2.4245362661989844E-14</v>
      </c>
      <c r="CW9">
        <v>13394442</v>
      </c>
      <c r="CX9" t="s">
        <v>4291</v>
      </c>
      <c r="DA9" t="s">
        <v>4135</v>
      </c>
      <c r="DB9">
        <v>-2.4245362661989844E-14</v>
      </c>
      <c r="DD9">
        <v>-2.4245362661989844E-14</v>
      </c>
      <c r="DE9" t="s">
        <v>1594</v>
      </c>
      <c r="DF9">
        <v>2021</v>
      </c>
      <c r="DG9" t="s">
        <v>2150</v>
      </c>
      <c r="DH9" s="6">
        <v>44693</v>
      </c>
      <c r="DI9">
        <v>5</v>
      </c>
      <c r="DJ9">
        <v>-2.4245362661989844E-14</v>
      </c>
      <c r="DK9">
        <v>893114</v>
      </c>
      <c r="DL9" t="s">
        <v>4136</v>
      </c>
      <c r="MW9" t="s">
        <v>812</v>
      </c>
      <c r="MX9" t="s">
        <v>1634</v>
      </c>
      <c r="MY9">
        <v>2.5439250000000002</v>
      </c>
      <c r="MZ9">
        <v>5.2326030000000001</v>
      </c>
      <c r="NA9" t="s">
        <v>1599</v>
      </c>
      <c r="NB9">
        <v>2025</v>
      </c>
      <c r="NC9" t="s">
        <v>3858</v>
      </c>
      <c r="ND9" s="6">
        <v>45931</v>
      </c>
      <c r="NE9">
        <v>5</v>
      </c>
      <c r="NF9">
        <v>185757408</v>
      </c>
      <c r="NG9">
        <v>102032</v>
      </c>
      <c r="NH9" t="s">
        <v>3859</v>
      </c>
      <c r="NK9" t="s">
        <v>3678</v>
      </c>
      <c r="NL9">
        <v>3.0830000000000002</v>
      </c>
      <c r="NM9" t="s">
        <v>1598</v>
      </c>
      <c r="NN9">
        <v>9.6257199999999994</v>
      </c>
      <c r="NO9" t="s">
        <v>1664</v>
      </c>
      <c r="NP9">
        <v>2025</v>
      </c>
      <c r="NQ9" t="s">
        <v>3679</v>
      </c>
      <c r="NR9" s="6">
        <v>45958</v>
      </c>
      <c r="NS9">
        <v>5</v>
      </c>
      <c r="NT9">
        <v>416758099.12</v>
      </c>
      <c r="NU9">
        <v>1456094</v>
      </c>
      <c r="NV9" t="s">
        <v>3680</v>
      </c>
      <c r="OA9" t="s">
        <v>3675</v>
      </c>
      <c r="OB9" t="s">
        <v>1598</v>
      </c>
      <c r="OC9">
        <v>1.0145E-2</v>
      </c>
      <c r="OD9">
        <v>0.21243100000000001</v>
      </c>
      <c r="OE9" t="s">
        <v>1664</v>
      </c>
      <c r="OF9">
        <v>2026</v>
      </c>
      <c r="OG9" t="s">
        <v>4159</v>
      </c>
      <c r="OH9" s="6">
        <v>45919</v>
      </c>
      <c r="OI9">
        <v>5</v>
      </c>
      <c r="OJ9">
        <v>3020775</v>
      </c>
      <c r="OK9">
        <v>50985605</v>
      </c>
      <c r="OL9" t="s">
        <v>3676</v>
      </c>
      <c r="OO9" t="s">
        <v>962</v>
      </c>
      <c r="OP9">
        <v>-2.4245362661989844E-14</v>
      </c>
      <c r="OR9">
        <v>-2.4245362661989844E-14</v>
      </c>
      <c r="OS9" t="s">
        <v>1599</v>
      </c>
      <c r="OT9">
        <v>2024</v>
      </c>
      <c r="OU9" t="s">
        <v>3514</v>
      </c>
      <c r="OV9" s="6">
        <v>45611</v>
      </c>
      <c r="OW9">
        <v>5</v>
      </c>
      <c r="OX9">
        <v>-2.4245362661989844E-14</v>
      </c>
      <c r="OY9">
        <v>159776</v>
      </c>
      <c r="OZ9" t="s">
        <v>3515</v>
      </c>
      <c r="SQ9" t="s">
        <v>4779</v>
      </c>
      <c r="SR9" t="s">
        <v>1598</v>
      </c>
      <c r="SS9">
        <v>2.1493000000000002E-2</v>
      </c>
      <c r="ST9">
        <v>1.06E-3</v>
      </c>
      <c r="SU9" t="s">
        <v>1603</v>
      </c>
      <c r="SV9">
        <v>2025</v>
      </c>
      <c r="SW9" t="s">
        <v>4780</v>
      </c>
      <c r="SX9" s="6">
        <v>45805</v>
      </c>
      <c r="SY9">
        <v>5</v>
      </c>
      <c r="SZ9">
        <v>24518</v>
      </c>
      <c r="TA9">
        <v>116897</v>
      </c>
      <c r="TB9" t="s">
        <v>4781</v>
      </c>
      <c r="TU9" t="s">
        <v>4008</v>
      </c>
      <c r="TV9" t="s">
        <v>1598</v>
      </c>
      <c r="TW9">
        <v>18.200001</v>
      </c>
      <c r="TX9">
        <v>3.1899000000000002</v>
      </c>
      <c r="TY9" t="s">
        <v>1594</v>
      </c>
      <c r="TZ9">
        <v>2025</v>
      </c>
      <c r="UA9" t="s">
        <v>4009</v>
      </c>
      <c r="UB9" s="6">
        <v>45888</v>
      </c>
      <c r="UC9">
        <v>5</v>
      </c>
      <c r="UD9">
        <v>155579376</v>
      </c>
      <c r="UE9">
        <v>9858567</v>
      </c>
      <c r="UF9" t="s">
        <v>4010</v>
      </c>
      <c r="UI9" t="s">
        <v>21</v>
      </c>
      <c r="UJ9">
        <v>1.966375</v>
      </c>
      <c r="UK9" t="s">
        <v>1634</v>
      </c>
      <c r="UL9">
        <v>5.4308940000000003</v>
      </c>
      <c r="UM9" t="s">
        <v>1664</v>
      </c>
      <c r="UN9">
        <v>2025</v>
      </c>
      <c r="UO9" t="s">
        <v>3227</v>
      </c>
      <c r="UP9" s="6">
        <v>45783</v>
      </c>
      <c r="UQ9">
        <v>5</v>
      </c>
      <c r="UR9">
        <v>275115520</v>
      </c>
      <c r="US9">
        <v>101376</v>
      </c>
      <c r="UT9" t="s">
        <v>3621</v>
      </c>
      <c r="UY9" t="s">
        <v>4008</v>
      </c>
      <c r="UZ9" t="s">
        <v>1598</v>
      </c>
      <c r="VA9">
        <v>18.200001</v>
      </c>
      <c r="VB9">
        <v>3.1899000000000002</v>
      </c>
      <c r="VC9" t="s">
        <v>1594</v>
      </c>
      <c r="VD9">
        <v>2025</v>
      </c>
      <c r="VE9" t="s">
        <v>4009</v>
      </c>
      <c r="VF9" s="6">
        <v>45888</v>
      </c>
      <c r="VG9">
        <v>5</v>
      </c>
      <c r="VH9">
        <v>155579376</v>
      </c>
      <c r="VI9">
        <v>9858567</v>
      </c>
      <c r="VJ9" t="s">
        <v>4010</v>
      </c>
      <c r="VM9" t="s">
        <v>21</v>
      </c>
      <c r="VN9">
        <v>1.966375</v>
      </c>
      <c r="VO9" t="s">
        <v>1634</v>
      </c>
      <c r="VP9">
        <v>5.4308940000000003</v>
      </c>
      <c r="VQ9" t="s">
        <v>1664</v>
      </c>
      <c r="VR9">
        <v>2025</v>
      </c>
      <c r="VS9" t="s">
        <v>3227</v>
      </c>
      <c r="VT9" s="6">
        <v>45783</v>
      </c>
      <c r="VU9">
        <v>5</v>
      </c>
      <c r="VV9">
        <v>275115520</v>
      </c>
      <c r="VW9">
        <v>101376</v>
      </c>
      <c r="VX9" t="s">
        <v>3621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1366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1367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1368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1369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1370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1371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1372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1373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1374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1375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1376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1377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1378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1379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1380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1381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1382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1383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1384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588</v>
      </c>
      <c r="AE2" s="3" t="s">
        <v>1385</v>
      </c>
      <c r="BI2" s="3" t="s">
        <v>78</v>
      </c>
      <c r="CM2" s="3" t="s">
        <v>991</v>
      </c>
      <c r="DQ2" s="3" t="s">
        <v>992</v>
      </c>
      <c r="EU2" s="3" t="s">
        <v>1386</v>
      </c>
      <c r="FY2" s="3" t="s">
        <v>1387</v>
      </c>
      <c r="HC2" s="3" t="s">
        <v>1388</v>
      </c>
      <c r="IG2" s="3" t="s">
        <v>1389</v>
      </c>
      <c r="JK2" s="3" t="s">
        <v>1390</v>
      </c>
      <c r="KO2" s="3" t="s">
        <v>1391</v>
      </c>
      <c r="LS2" s="3" t="s">
        <v>1234</v>
      </c>
      <c r="MW2" s="3" t="s">
        <v>559</v>
      </c>
      <c r="OA2" s="3" t="s">
        <v>1392</v>
      </c>
      <c r="PE2" s="3" t="s">
        <v>1393</v>
      </c>
      <c r="QI2" s="3" t="s">
        <v>463</v>
      </c>
      <c r="RM2" s="3" t="s">
        <v>177</v>
      </c>
      <c r="SQ2" s="3" t="s">
        <v>1394</v>
      </c>
      <c r="TU2" s="3" t="s">
        <v>1395</v>
      </c>
      <c r="UY2" s="3" t="s">
        <v>425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_xll.BDS("LYO US Equity","SUPPLY_CHAIN_SUPPLIERS_ALL_DATA")</f>
        <v>#N/A N/A</v>
      </c>
      <c r="O5" t="str">
        <f>_xll.BDS("LYO US Equity","SUPPLY_CHAIN_CUSTOMERS_ALL_DATA")</f>
        <v>#N/A N/A</v>
      </c>
      <c r="AE5" t="str">
        <f>_xll.BDS("BFH US Equity","SUPPLY_CHAIN_SUPPLIERS_ALL_DATA","cols=12;rows=2")</f>
        <v>FSP US Equity</v>
      </c>
      <c r="AG5">
        <v>-2.4245362661989844E-14</v>
      </c>
      <c r="AH5">
        <v>-2.4245362661989844E-14</v>
      </c>
      <c r="AI5" t="s">
        <v>1594</v>
      </c>
      <c r="AJ5">
        <v>2022</v>
      </c>
      <c r="AK5" t="s">
        <v>6109</v>
      </c>
      <c r="AL5" s="6">
        <v>44972</v>
      </c>
      <c r="AM5">
        <v>2</v>
      </c>
      <c r="AN5">
        <v>-2.4245362661989844E-14</v>
      </c>
      <c r="AO5">
        <v>1749265</v>
      </c>
      <c r="AP5" t="s">
        <v>5291</v>
      </c>
      <c r="AS5" t="str">
        <f>_xll.BDS("BFH US Equity","SUPPLY_CHAIN_CUSTOMERS_ALL_DATA","cols=12;rows=5")</f>
        <v>HRCEY US Equity</v>
      </c>
      <c r="AT5">
        <v>-2.4245362661989844E-14</v>
      </c>
      <c r="AV5">
        <v>-2.4245362661989844E-14</v>
      </c>
      <c r="AW5" t="s">
        <v>1594</v>
      </c>
      <c r="AX5">
        <v>2024</v>
      </c>
      <c r="AY5" t="s">
        <v>3497</v>
      </c>
      <c r="AZ5" s="6">
        <v>45702</v>
      </c>
      <c r="BA5">
        <v>5</v>
      </c>
      <c r="BB5">
        <v>-2.4245362661989844E-14</v>
      </c>
      <c r="BC5">
        <v>861182</v>
      </c>
      <c r="BD5" t="s">
        <v>3498</v>
      </c>
      <c r="BI5" t="str">
        <f>_xll.BDS("nan Equity","SUPPLY_CHAIN_SUPPLIERS_ALL_DATA")</f>
        <v>#N/A N/A</v>
      </c>
      <c r="BW5" t="str">
        <f>_xll.BDS("nan Equity","SUPPLY_CHAIN_CUSTOMERS_ALL_DATA")</f>
        <v>#N/A N/A</v>
      </c>
      <c r="CM5" t="str">
        <f>_xll.BDS("1683997D US Equity","SUPPLY_CHAIN_SUPPLIERS_ALL_DATA")</f>
        <v>#N/A N/A</v>
      </c>
      <c r="DA5" t="str">
        <f>_xll.BDS("1683997D US Equity","SUPPLY_CHAIN_CUSTOMERS_ALL_DATA")</f>
        <v>#N/A N/A</v>
      </c>
      <c r="DQ5" t="str">
        <f>_xll.BDS("CUZ US Equity","SUPPLY_CHAIN_SUPPLIERS_ALL_DATA","cols=12;rows=1")</f>
        <v>PCOR US Equity</v>
      </c>
      <c r="DS5">
        <v>-2.4245362661989844E-14</v>
      </c>
      <c r="DT5">
        <v>-2.4245362661989844E-14</v>
      </c>
      <c r="DU5" t="s">
        <v>1599</v>
      </c>
      <c r="DV5">
        <v>2022</v>
      </c>
      <c r="DW5" t="s">
        <v>3884</v>
      </c>
      <c r="DX5" s="6">
        <v>44874</v>
      </c>
      <c r="DY5">
        <v>1</v>
      </c>
      <c r="DZ5">
        <v>-2.4245362661989844E-14</v>
      </c>
      <c r="EA5">
        <v>28127709</v>
      </c>
      <c r="EB5" t="s">
        <v>3885</v>
      </c>
      <c r="EE5" t="str">
        <f>_xll.BDS("CUZ US Equity","SUPPLY_CHAIN_CUSTOMERS_ALL_DATA","cols=12;rows=5")</f>
        <v>AMZN US Equity</v>
      </c>
      <c r="EF5">
        <v>8.0237189999999998</v>
      </c>
      <c r="EG5" t="s">
        <v>1685</v>
      </c>
      <c r="EH5">
        <v>0.13677500000000001</v>
      </c>
      <c r="EI5" t="s">
        <v>1594</v>
      </c>
      <c r="EJ5">
        <v>2025</v>
      </c>
      <c r="EK5" t="s">
        <v>4168</v>
      </c>
      <c r="EL5" s="6">
        <v>46058</v>
      </c>
      <c r="EM5">
        <v>5</v>
      </c>
      <c r="EN5">
        <v>19935250</v>
      </c>
      <c r="EO5">
        <v>216952</v>
      </c>
      <c r="EP5" t="s">
        <v>1631</v>
      </c>
      <c r="EU5" t="str">
        <f>_xll.BDS("BBEPQ US Equity","SUPPLY_CHAIN_SUPPLIERS_ALL_DATA")</f>
        <v>#N/A N/A</v>
      </c>
      <c r="FI5" t="str">
        <f>_xll.BDS("BBEPQ US Equity","SUPPLY_CHAIN_CUSTOMERS_ALL_DATA")</f>
        <v>#N/A N/A</v>
      </c>
      <c r="FY5" t="str">
        <f>_xll.BDS("PACW US Equity","SUPPLY_CHAIN_SUPPLIERS_ALL_DATA")</f>
        <v>#N/A N/A</v>
      </c>
      <c r="GM5" t="str">
        <f>_xll.BDS("PACW US Equity","SUPPLY_CHAIN_CUSTOMERS_ALL_DATA","cols=12;rows=1")</f>
        <v>SNX US Equity</v>
      </c>
      <c r="GN5">
        <v>-2.4245362661989844E-14</v>
      </c>
      <c r="GP5">
        <v>-2.4245362661989844E-14</v>
      </c>
      <c r="GQ5" t="s">
        <v>1594</v>
      </c>
      <c r="GR5">
        <v>2021</v>
      </c>
      <c r="GS5" t="s">
        <v>4265</v>
      </c>
      <c r="GT5" s="6">
        <v>44656</v>
      </c>
      <c r="GU5">
        <v>1</v>
      </c>
      <c r="GV5">
        <v>-2.4245362661989844E-14</v>
      </c>
      <c r="GW5">
        <v>1499717</v>
      </c>
      <c r="GX5" t="s">
        <v>1702</v>
      </c>
      <c r="HC5" t="str">
        <f>_xll.BDS("KNX US Equity","SUPPLY_CHAIN_SUPPLIERS_ALL_DATA","cols=12;rows=5")</f>
        <v>ORCL US Equity</v>
      </c>
      <c r="HD5" t="s">
        <v>1598</v>
      </c>
      <c r="HE5">
        <v>1.907E-2</v>
      </c>
      <c r="HF5">
        <v>0.20004</v>
      </c>
      <c r="HG5" t="s">
        <v>1606</v>
      </c>
      <c r="HH5">
        <v>2025</v>
      </c>
      <c r="HI5" t="s">
        <v>2251</v>
      </c>
      <c r="HJ5" s="6">
        <v>45848</v>
      </c>
      <c r="HK5">
        <v>5</v>
      </c>
      <c r="HL5">
        <v>3032702</v>
      </c>
      <c r="HM5">
        <v>101752</v>
      </c>
      <c r="HN5" t="s">
        <v>2265</v>
      </c>
      <c r="HQ5" t="str">
        <f>_xll.BDS("KNX US Equity","SUPPLY_CHAIN_CUSTOMERS_ALL_DATA","cols=12;rows=3")</f>
        <v>UPS US Equity</v>
      </c>
      <c r="HR5">
        <v>0.12145599999999999</v>
      </c>
      <c r="HS5" t="s">
        <v>1598</v>
      </c>
      <c r="HT5">
        <v>1.3466000000000001E-2</v>
      </c>
      <c r="HU5" t="s">
        <v>1599</v>
      </c>
      <c r="HV5">
        <v>2025</v>
      </c>
      <c r="HW5" t="s">
        <v>3068</v>
      </c>
      <c r="HX5" s="6">
        <v>46007</v>
      </c>
      <c r="HY5">
        <v>3</v>
      </c>
      <c r="HZ5">
        <v>2340525</v>
      </c>
      <c r="IA5">
        <v>143027</v>
      </c>
      <c r="IB5" t="s">
        <v>1908</v>
      </c>
      <c r="IG5" t="str">
        <f>_xll.BDS("ON US Equity","SUPPLY_CHAIN_SUPPLIERS_ALL_DATA","cols=12;rows=5")</f>
        <v>981 HK Equity</v>
      </c>
      <c r="IH5" t="s">
        <v>1598</v>
      </c>
      <c r="II5">
        <v>1.149251</v>
      </c>
      <c r="IJ5">
        <v>2.2420330000000002</v>
      </c>
      <c r="IK5" t="s">
        <v>1603</v>
      </c>
      <c r="IL5">
        <v>2025</v>
      </c>
      <c r="IM5" t="s">
        <v>3806</v>
      </c>
      <c r="IN5" s="6">
        <v>45846</v>
      </c>
      <c r="IO5">
        <v>5</v>
      </c>
      <c r="IP5">
        <v>25825980</v>
      </c>
      <c r="IQ5">
        <v>7039692</v>
      </c>
      <c r="IR5" t="s">
        <v>3807</v>
      </c>
      <c r="IU5" t="str">
        <f>_xll.BDS("ON US Equity","SUPPLY_CHAIN_CUSTOMERS_ALL_DATA","cols=12;rows=5")</f>
        <v>3036 TT Equity</v>
      </c>
      <c r="IV5">
        <v>10.876538999999999</v>
      </c>
      <c r="IW5" t="s">
        <v>1598</v>
      </c>
      <c r="IX5">
        <v>1.98163</v>
      </c>
      <c r="IY5" t="s">
        <v>1664</v>
      </c>
      <c r="IZ5">
        <v>2025</v>
      </c>
      <c r="JA5" t="s">
        <v>3652</v>
      </c>
      <c r="JB5" s="6">
        <v>45943</v>
      </c>
      <c r="JC5">
        <v>5</v>
      </c>
      <c r="JD5">
        <v>159743728</v>
      </c>
      <c r="JE5">
        <v>1459396</v>
      </c>
      <c r="JF5" t="s">
        <v>2692</v>
      </c>
      <c r="JK5" t="str">
        <f>_xll.BDS("DFODQ US Equity","SUPPLY_CHAIN_SUPPLIERS_ALL_DATA","cols=12;rows=5")</f>
        <v>AEE US Equity</v>
      </c>
      <c r="JM5">
        <v>-2.4245362661989844E-14</v>
      </c>
      <c r="JN5">
        <v>-2.4245362661989844E-14</v>
      </c>
      <c r="JO5" t="s">
        <v>1594</v>
      </c>
      <c r="JP5">
        <v>2021</v>
      </c>
      <c r="JQ5" t="s">
        <v>2150</v>
      </c>
      <c r="JR5" s="6">
        <v>44693</v>
      </c>
      <c r="JS5">
        <v>5</v>
      </c>
      <c r="JT5">
        <v>-2.4245362661989844E-14</v>
      </c>
      <c r="JU5">
        <v>313098</v>
      </c>
      <c r="JV5" t="s">
        <v>2151</v>
      </c>
      <c r="JY5" t="str">
        <f>_xll.BDS("DFODQ US Equity","SUPPLY_CHAIN_CUSTOMERS_ALL_DATA")</f>
        <v>#N/A N/A</v>
      </c>
      <c r="KO5" t="str">
        <f>_xll.BDS("AGR US Equity","SUPPLY_CHAIN_SUPPLIERS_ALL_DATA","cols=12;rows=5")</f>
        <v>3365854Z US Equity</v>
      </c>
      <c r="KQ5">
        <v>-2.4245362661989844E-14</v>
      </c>
      <c r="KR5">
        <v>-2.4245362661989844E-14</v>
      </c>
      <c r="KS5" t="s">
        <v>1594</v>
      </c>
      <c r="KT5">
        <v>2024</v>
      </c>
      <c r="KU5" t="s">
        <v>2421</v>
      </c>
      <c r="KV5" s="6">
        <v>45593</v>
      </c>
      <c r="KW5">
        <v>5</v>
      </c>
      <c r="KX5">
        <v>-2.4245362661989844E-14</v>
      </c>
      <c r="KY5">
        <v>16825198</v>
      </c>
      <c r="KZ5" t="s">
        <v>2935</v>
      </c>
      <c r="LC5" t="str">
        <f>_xll.BDS("AGR US Equity","SUPPLY_CHAIN_CUSTOMERS_ALL_DATA","cols=12;rows=5")</f>
        <v>1256Z NO Equity</v>
      </c>
      <c r="LD5">
        <v>-2.4245362661989844E-14</v>
      </c>
      <c r="LF5">
        <v>-2.4245362661989844E-14</v>
      </c>
      <c r="LG5" t="s">
        <v>1594</v>
      </c>
      <c r="LH5">
        <v>2024</v>
      </c>
      <c r="LI5" t="s">
        <v>2421</v>
      </c>
      <c r="LJ5" s="6">
        <v>45519</v>
      </c>
      <c r="LK5">
        <v>5</v>
      </c>
      <c r="LL5">
        <v>-2.4245362661989844E-14</v>
      </c>
      <c r="LM5">
        <v>173537</v>
      </c>
      <c r="LN5" t="s">
        <v>2422</v>
      </c>
      <c r="LS5" t="str">
        <f>_xll.BDS("ENDPQ US Equity","SUPPLY_CHAIN_SUPPLIERS_ALL_DATA","cols=12;rows=5")</f>
        <v>0177858D US Equity</v>
      </c>
      <c r="LU5">
        <v>-2.4245362661989844E-14</v>
      </c>
      <c r="LV5">
        <v>-2.4245362661989844E-14</v>
      </c>
      <c r="LW5" t="s">
        <v>1599</v>
      </c>
      <c r="LX5">
        <v>2022</v>
      </c>
      <c r="LY5" t="s">
        <v>1619</v>
      </c>
      <c r="LZ5" s="6">
        <v>44789</v>
      </c>
      <c r="MA5">
        <v>5</v>
      </c>
      <c r="MB5">
        <v>-2.4245362661989844E-14</v>
      </c>
      <c r="MC5">
        <v>15116708</v>
      </c>
      <c r="MD5" t="s">
        <v>2107</v>
      </c>
      <c r="MG5" t="str">
        <f>_xll.BDS("ENDPQ US Equity","SUPPLY_CHAIN_CUSTOMERS_ALL_DATA","cols=12;rows=5")</f>
        <v>0219682Z US Equity</v>
      </c>
      <c r="MH5">
        <v>-2.4245362661989844E-14</v>
      </c>
      <c r="MJ5">
        <v>-2.4245362661989844E-14</v>
      </c>
      <c r="MK5" t="s">
        <v>1594</v>
      </c>
      <c r="ML5">
        <v>2023</v>
      </c>
      <c r="MM5" t="s">
        <v>1616</v>
      </c>
      <c r="MN5" s="6">
        <v>45357</v>
      </c>
      <c r="MO5">
        <v>5</v>
      </c>
      <c r="MP5">
        <v>-2.4245362661989844E-14</v>
      </c>
      <c r="MQ5">
        <v>962205</v>
      </c>
      <c r="MR5" t="s">
        <v>1617</v>
      </c>
      <c r="MW5" t="str">
        <f>_xll.BDS("VTR US Equity","SUPPLY_CHAIN_SUPPLIERS_ALL_DATA")</f>
        <v>#N/A N/A</v>
      </c>
      <c r="NK5" t="str">
        <f>_xll.BDS("VTR US Equity","SUPPLY_CHAIN_CUSTOMERS_ALL_DATA","cols=12;rows=3")</f>
        <v>BKD US Equity</v>
      </c>
      <c r="NL5">
        <v>3.1</v>
      </c>
      <c r="NM5" t="s">
        <v>1685</v>
      </c>
      <c r="NN5">
        <v>82.137343999999999</v>
      </c>
      <c r="NO5" t="s">
        <v>1594</v>
      </c>
      <c r="NP5">
        <v>2024</v>
      </c>
      <c r="NQ5" t="s">
        <v>4434</v>
      </c>
      <c r="NR5" s="6">
        <v>45701</v>
      </c>
      <c r="NS5">
        <v>3</v>
      </c>
      <c r="NT5">
        <v>38163060</v>
      </c>
      <c r="NU5">
        <v>9938236</v>
      </c>
      <c r="NV5" t="s">
        <v>4655</v>
      </c>
      <c r="OA5" t="str">
        <f>_xll.BDS("IPG US Equity","SUPPLY_CHAIN_SUPPLIERS_ALL_DATA","cols=12;rows=5")</f>
        <v>VNO US Equity</v>
      </c>
      <c r="OB5" t="s">
        <v>1685</v>
      </c>
      <c r="OC5">
        <v>3.58318</v>
      </c>
      <c r="OD5">
        <v>49.085056000000002</v>
      </c>
      <c r="OE5" t="s">
        <v>1594</v>
      </c>
      <c r="OF5">
        <v>2024</v>
      </c>
      <c r="OG5" t="s">
        <v>5619</v>
      </c>
      <c r="OH5" s="6">
        <v>45699</v>
      </c>
      <c r="OI5">
        <v>5</v>
      </c>
      <c r="OJ5">
        <v>16014000</v>
      </c>
      <c r="OK5">
        <v>101608</v>
      </c>
      <c r="OL5" t="s">
        <v>5620</v>
      </c>
      <c r="OO5" t="str">
        <f>_xll.BDS("IPG US Equity","SUPPLY_CHAIN_CUSTOMERS_ALL_DATA","cols=12;rows=5")</f>
        <v>TVSL IN Equity</v>
      </c>
      <c r="OP5">
        <v>1.023E-3</v>
      </c>
      <c r="OQ5" t="s">
        <v>1598</v>
      </c>
      <c r="OR5">
        <v>2.3389999999999999E-3</v>
      </c>
      <c r="OS5" t="s">
        <v>1594</v>
      </c>
      <c r="OT5">
        <v>2025</v>
      </c>
      <c r="OU5" t="s">
        <v>5420</v>
      </c>
      <c r="OV5" s="6">
        <v>45864</v>
      </c>
      <c r="OW5">
        <v>5</v>
      </c>
      <c r="OX5">
        <v>26624.31</v>
      </c>
      <c r="OY5">
        <v>1459186</v>
      </c>
      <c r="OZ5" t="s">
        <v>5421</v>
      </c>
      <c r="PE5" t="str">
        <f>_xll.BDS("CLF US Equity","SUPPLY_CHAIN_SUPPLIERS_ALL_DATA","cols=12;rows=5")</f>
        <v>SXC US Equity</v>
      </c>
      <c r="PF5" t="s">
        <v>1598</v>
      </c>
      <c r="PG5">
        <v>63.900002000000001</v>
      </c>
      <c r="PH5">
        <v>6.4698960000000003</v>
      </c>
      <c r="PI5" t="s">
        <v>1594</v>
      </c>
      <c r="PJ5">
        <v>2024</v>
      </c>
      <c r="PK5" t="s">
        <v>2017</v>
      </c>
      <c r="PL5" s="6">
        <v>45709</v>
      </c>
      <c r="PM5">
        <v>5</v>
      </c>
      <c r="PN5">
        <v>309180160</v>
      </c>
      <c r="PO5">
        <v>15091983</v>
      </c>
      <c r="PP5" t="s">
        <v>2018</v>
      </c>
      <c r="PS5" t="str">
        <f>_xll.BDS("CLF US Equity","SUPPLY_CHAIN_CUSTOMERS_ALL_DATA","cols=12;rows=5")</f>
        <v>GM US Equity</v>
      </c>
      <c r="PT5">
        <v>7.8681479999999997</v>
      </c>
      <c r="PU5" t="s">
        <v>1598</v>
      </c>
      <c r="PV5">
        <v>1.0279400000000001</v>
      </c>
      <c r="PW5" t="s">
        <v>1664</v>
      </c>
      <c r="PX5">
        <v>2025</v>
      </c>
      <c r="PY5" t="s">
        <v>4406</v>
      </c>
      <c r="PZ5" s="6">
        <v>45944</v>
      </c>
      <c r="QA5">
        <v>5</v>
      </c>
      <c r="QB5">
        <v>388214432</v>
      </c>
      <c r="QC5">
        <v>16632863</v>
      </c>
      <c r="QD5" t="s">
        <v>4407</v>
      </c>
      <c r="QI5" t="str">
        <f>_xll.BDS("AMGN US Equity","SUPPLY_CHAIN_SUPPLIERS_ALL_DATA","cols=12;rows=5")</f>
        <v>AZN LN Equity</v>
      </c>
      <c r="QJ5" t="s">
        <v>1598</v>
      </c>
      <c r="QK5">
        <v>1.1178159999999999</v>
      </c>
      <c r="QL5">
        <v>5.8230849999999998</v>
      </c>
      <c r="QM5" t="s">
        <v>1599</v>
      </c>
      <c r="QN5">
        <v>2025</v>
      </c>
      <c r="QO5" t="s">
        <v>3408</v>
      </c>
      <c r="QP5" s="6">
        <v>46080</v>
      </c>
      <c r="QQ5">
        <v>5</v>
      </c>
      <c r="QR5">
        <v>173295008</v>
      </c>
      <c r="QS5">
        <v>111093</v>
      </c>
      <c r="QT5" t="s">
        <v>3409</v>
      </c>
      <c r="QW5" t="str">
        <f>_xll.BDS("AMGN US Equity","SUPPLY_CHAIN_CUSTOMERS_ALL_DATA","cols=12;rows=5")</f>
        <v>MCK US Equity</v>
      </c>
      <c r="QX5">
        <v>34</v>
      </c>
      <c r="QY5" t="s">
        <v>1598</v>
      </c>
      <c r="QZ5">
        <v>3.2555800000000001</v>
      </c>
      <c r="RA5" t="s">
        <v>1594</v>
      </c>
      <c r="RB5">
        <v>2025</v>
      </c>
      <c r="RC5" t="s">
        <v>4106</v>
      </c>
      <c r="RD5" s="6">
        <v>46066</v>
      </c>
      <c r="RE5">
        <v>5</v>
      </c>
      <c r="RF5">
        <v>3123834880</v>
      </c>
      <c r="RG5">
        <v>154936</v>
      </c>
      <c r="RH5" t="s">
        <v>1766</v>
      </c>
      <c r="RM5" t="str">
        <f>_xll.BDS("1255173D US Equity","SUPPLY_CHAIN_SUPPLIERS_ALL_DATA")</f>
        <v>#N/A N/A</v>
      </c>
      <c r="SA5" t="str">
        <f>_xll.BDS("1255173D US Equity","SUPPLY_CHAIN_CUSTOMERS_ALL_DATA")</f>
        <v>#N/A N/A</v>
      </c>
      <c r="SQ5" t="str">
        <f>_xll.BDS("OHI US Equity","SUPPLY_CHAIN_SUPPLIERS_ALL_DATA","cols=12;rows=1")</f>
        <v>CLINT SP Equity</v>
      </c>
      <c r="SS5">
        <v>-2.4245362661989844E-14</v>
      </c>
      <c r="ST5">
        <v>-2.4245362661989844E-14</v>
      </c>
      <c r="SU5" t="s">
        <v>1594</v>
      </c>
      <c r="SV5">
        <v>2024</v>
      </c>
      <c r="SW5" t="s">
        <v>5729</v>
      </c>
      <c r="SX5" s="6">
        <v>45743</v>
      </c>
      <c r="SY5">
        <v>1</v>
      </c>
      <c r="SZ5">
        <v>-2.4245362661989844E-14</v>
      </c>
      <c r="TA5">
        <v>12147335</v>
      </c>
      <c r="TB5" t="s">
        <v>5730</v>
      </c>
      <c r="TE5" t="str">
        <f>_xll.BDS("OHI US Equity","SUPPLY_CHAIN_CUSTOMERS_ALL_DATA","cols=12;rows=5")</f>
        <v>4921824Z US Equity</v>
      </c>
      <c r="TF5">
        <v>9.7909430000000004</v>
      </c>
      <c r="TH5">
        <v>-2.4245362661989844E-14</v>
      </c>
      <c r="TI5" t="s">
        <v>1594</v>
      </c>
      <c r="TJ5">
        <v>2024</v>
      </c>
      <c r="TK5" t="s">
        <v>3488</v>
      </c>
      <c r="TL5" s="6">
        <v>45693</v>
      </c>
      <c r="TM5">
        <v>5</v>
      </c>
      <c r="TN5">
        <v>25735250</v>
      </c>
      <c r="TO5">
        <v>21499481</v>
      </c>
      <c r="TP5" t="s">
        <v>3489</v>
      </c>
      <c r="TU5" t="str">
        <f>_xll.BDS("WINMQ US Equity","SUPPLY_CHAIN_SUPPLIERS_ALL_DATA","cols=12;rows=5")</f>
        <v>DY US Equity</v>
      </c>
      <c r="TW5">
        <v>2.4</v>
      </c>
      <c r="TX5">
        <v>-2.4245362661989844E-14</v>
      </c>
      <c r="TY5" t="s">
        <v>1606</v>
      </c>
      <c r="TZ5">
        <v>2025</v>
      </c>
      <c r="UA5" t="s">
        <v>3230</v>
      </c>
      <c r="UB5" s="6">
        <v>45717</v>
      </c>
      <c r="UC5">
        <v>5</v>
      </c>
      <c r="UD5">
        <v>26028624</v>
      </c>
      <c r="UE5">
        <v>100487</v>
      </c>
      <c r="UF5" t="s">
        <v>3186</v>
      </c>
      <c r="UI5" t="str">
        <f>_xll.BDS("WINMQ US Equity","SUPPLY_CHAIN_CUSTOMERS_ALL_DATA","cols=12;rows=2")</f>
        <v>SCSC US Equity</v>
      </c>
      <c r="UJ5">
        <v>-2.4245362661989844E-14</v>
      </c>
      <c r="UL5">
        <v>-2.4245362661989844E-14</v>
      </c>
      <c r="UM5" t="s">
        <v>1599</v>
      </c>
      <c r="UN5">
        <v>2024</v>
      </c>
      <c r="UO5" t="s">
        <v>2430</v>
      </c>
      <c r="UP5" s="6">
        <v>45422</v>
      </c>
      <c r="UQ5">
        <v>2</v>
      </c>
      <c r="UR5">
        <v>-2.4245362661989844E-14</v>
      </c>
      <c r="US5">
        <v>136424</v>
      </c>
      <c r="UT5" t="s">
        <v>1647</v>
      </c>
      <c r="UY5" t="str">
        <f>_xll.BDS("GD US Equity","SUPPLY_CHAIN_SUPPLIERS_ALL_DATA","cols=12;rows=5")</f>
        <v>RTX US Equity</v>
      </c>
      <c r="UZ5" t="s">
        <v>1598</v>
      </c>
      <c r="VA5">
        <v>0.86519299999999999</v>
      </c>
      <c r="VB5">
        <v>1.683351</v>
      </c>
      <c r="VC5" t="s">
        <v>1664</v>
      </c>
      <c r="VD5">
        <v>2025</v>
      </c>
      <c r="VE5" t="s">
        <v>2129</v>
      </c>
      <c r="VF5" s="6">
        <v>45895</v>
      </c>
      <c r="VG5">
        <v>5</v>
      </c>
      <c r="VH5">
        <v>186717296</v>
      </c>
      <c r="VI5">
        <v>101555</v>
      </c>
      <c r="VJ5" t="s">
        <v>2130</v>
      </c>
      <c r="VM5" t="str">
        <f>_xll.BDS("GD US Equity","SUPPLY_CHAIN_CUSTOMERS_ALL_DATA","cols=12;rows=5")</f>
        <v>3352Z US Equity</v>
      </c>
      <c r="VN5">
        <v>68.043769999999995</v>
      </c>
      <c r="VP5">
        <v>-2.4245362661989844E-14</v>
      </c>
      <c r="VQ5" t="s">
        <v>1594</v>
      </c>
      <c r="VR5">
        <v>2025</v>
      </c>
      <c r="VS5" t="s">
        <v>1675</v>
      </c>
      <c r="VT5" s="6">
        <v>46052</v>
      </c>
      <c r="VU5">
        <v>5</v>
      </c>
      <c r="VV5">
        <v>8939250000</v>
      </c>
      <c r="VW5">
        <v>218252</v>
      </c>
      <c r="VX5" t="s">
        <v>1622</v>
      </c>
    </row>
    <row r="6" spans="1:600" x14ac:dyDescent="0.25">
      <c r="AE6" t="s">
        <v>106</v>
      </c>
      <c r="AG6">
        <v>-2.4245362661989844E-14</v>
      </c>
      <c r="AH6">
        <v>-2.4245362661989844E-14</v>
      </c>
      <c r="AI6" t="s">
        <v>1651</v>
      </c>
      <c r="AJ6">
        <v>2023</v>
      </c>
      <c r="AK6" t="s">
        <v>2174</v>
      </c>
      <c r="AL6" s="6">
        <v>45245</v>
      </c>
      <c r="AM6">
        <v>2</v>
      </c>
      <c r="AN6">
        <v>-2.4245362661989844E-14</v>
      </c>
      <c r="AO6">
        <v>103882</v>
      </c>
      <c r="AP6" t="s">
        <v>2175</v>
      </c>
      <c r="AS6" t="s">
        <v>3499</v>
      </c>
      <c r="AT6">
        <v>-2.4245362661989844E-14</v>
      </c>
      <c r="AV6">
        <v>-2.4245362661989844E-14</v>
      </c>
      <c r="AW6" t="s">
        <v>1594</v>
      </c>
      <c r="AX6">
        <v>2024</v>
      </c>
      <c r="AY6" t="s">
        <v>3497</v>
      </c>
      <c r="AZ6" s="6">
        <v>45702</v>
      </c>
      <c r="BA6">
        <v>5</v>
      </c>
      <c r="BB6">
        <v>-2.4245362661989844E-14</v>
      </c>
      <c r="BC6">
        <v>69579252</v>
      </c>
      <c r="BD6" t="s">
        <v>3500</v>
      </c>
      <c r="EE6" t="s">
        <v>2381</v>
      </c>
      <c r="EF6">
        <v>5.5277839999999996</v>
      </c>
      <c r="EG6" t="s">
        <v>1685</v>
      </c>
      <c r="EH6">
        <v>0.109489</v>
      </c>
      <c r="EI6" t="s">
        <v>1594</v>
      </c>
      <c r="EJ6">
        <v>2025</v>
      </c>
      <c r="EK6" t="s">
        <v>4168</v>
      </c>
      <c r="EL6" s="6">
        <v>46058</v>
      </c>
      <c r="EM6">
        <v>5</v>
      </c>
      <c r="EN6">
        <v>13734000</v>
      </c>
      <c r="EO6">
        <v>46946968</v>
      </c>
      <c r="EP6" t="s">
        <v>2382</v>
      </c>
      <c r="HC6" t="s">
        <v>4327</v>
      </c>
      <c r="HD6" t="s">
        <v>1598</v>
      </c>
      <c r="HE6">
        <v>4.0467000000000003E-2</v>
      </c>
      <c r="HF6">
        <v>7.0597999999999994E-2</v>
      </c>
      <c r="HG6" t="s">
        <v>1603</v>
      </c>
      <c r="HH6">
        <v>2025</v>
      </c>
      <c r="HI6" t="s">
        <v>4328</v>
      </c>
      <c r="HJ6" s="6">
        <v>45849</v>
      </c>
      <c r="HK6">
        <v>5</v>
      </c>
      <c r="HL6">
        <v>1070294.42</v>
      </c>
      <c r="HM6">
        <v>1402263</v>
      </c>
      <c r="HN6" t="s">
        <v>4329</v>
      </c>
      <c r="HQ6" t="s">
        <v>993</v>
      </c>
      <c r="HR6">
        <v>-2.4245362661989844E-14</v>
      </c>
      <c r="HT6">
        <v>-2.4245362661989844E-14</v>
      </c>
      <c r="HU6" t="s">
        <v>1594</v>
      </c>
      <c r="HV6">
        <v>2023</v>
      </c>
      <c r="HW6" t="s">
        <v>4088</v>
      </c>
      <c r="HX6" s="6">
        <v>45197</v>
      </c>
      <c r="HY6">
        <v>3</v>
      </c>
      <c r="HZ6">
        <v>-2.4245362661989844E-14</v>
      </c>
      <c r="IA6">
        <v>100419</v>
      </c>
      <c r="IB6" t="s">
        <v>4089</v>
      </c>
      <c r="IG6" t="s">
        <v>3808</v>
      </c>
      <c r="IH6" t="s">
        <v>1598</v>
      </c>
      <c r="II6">
        <v>0.60310900000000001</v>
      </c>
      <c r="IJ6">
        <v>1.2434970000000001</v>
      </c>
      <c r="IK6" t="s">
        <v>1599</v>
      </c>
      <c r="IL6">
        <v>2025</v>
      </c>
      <c r="IM6" t="s">
        <v>3809</v>
      </c>
      <c r="IN6" s="6">
        <v>46035</v>
      </c>
      <c r="IO6">
        <v>5</v>
      </c>
      <c r="IP6">
        <v>11983583</v>
      </c>
      <c r="IQ6">
        <v>302680</v>
      </c>
      <c r="IR6" t="s">
        <v>3810</v>
      </c>
      <c r="IU6" t="s">
        <v>1891</v>
      </c>
      <c r="IV6">
        <v>9.0821310000000004</v>
      </c>
      <c r="IW6" t="s">
        <v>1598</v>
      </c>
      <c r="IX6">
        <v>1.98163</v>
      </c>
      <c r="IY6" t="s">
        <v>1664</v>
      </c>
      <c r="IZ6">
        <v>2025</v>
      </c>
      <c r="JA6" t="s">
        <v>3652</v>
      </c>
      <c r="JB6" s="6">
        <v>45943</v>
      </c>
      <c r="JC6">
        <v>5</v>
      </c>
      <c r="JD6">
        <v>133389256</v>
      </c>
      <c r="JE6">
        <v>100115</v>
      </c>
      <c r="JF6" t="s">
        <v>1893</v>
      </c>
      <c r="JK6" t="s">
        <v>2152</v>
      </c>
      <c r="JM6">
        <v>-2.4245362661989844E-14</v>
      </c>
      <c r="JN6">
        <v>-2.4245362661989844E-14</v>
      </c>
      <c r="JO6" t="s">
        <v>1594</v>
      </c>
      <c r="JP6">
        <v>2021</v>
      </c>
      <c r="JQ6" t="s">
        <v>2153</v>
      </c>
      <c r="JR6" s="6">
        <v>44693</v>
      </c>
      <c r="JS6">
        <v>5</v>
      </c>
      <c r="JT6">
        <v>-2.4245362661989844E-14</v>
      </c>
      <c r="JU6">
        <v>100060</v>
      </c>
      <c r="JV6" t="s">
        <v>2154</v>
      </c>
      <c r="KO6" t="s">
        <v>2936</v>
      </c>
      <c r="KQ6">
        <v>-2.4245362661989844E-14</v>
      </c>
      <c r="KR6">
        <v>-2.4245362661989844E-14</v>
      </c>
      <c r="KS6" t="s">
        <v>1594</v>
      </c>
      <c r="KT6">
        <v>2024</v>
      </c>
      <c r="KU6" t="s">
        <v>2421</v>
      </c>
      <c r="KV6" s="6">
        <v>45593</v>
      </c>
      <c r="KW6">
        <v>5</v>
      </c>
      <c r="KX6">
        <v>-2.4245362661989844E-14</v>
      </c>
      <c r="KY6">
        <v>8960270</v>
      </c>
      <c r="KZ6" t="s">
        <v>2937</v>
      </c>
      <c r="LC6" t="s">
        <v>2423</v>
      </c>
      <c r="LD6">
        <v>-2.4245362661989844E-14</v>
      </c>
      <c r="LF6">
        <v>-2.4245362661989844E-14</v>
      </c>
      <c r="LG6" t="s">
        <v>1594</v>
      </c>
      <c r="LH6">
        <v>2023</v>
      </c>
      <c r="LI6" t="s">
        <v>2424</v>
      </c>
      <c r="LJ6" s="6">
        <v>45344</v>
      </c>
      <c r="LK6">
        <v>5</v>
      </c>
      <c r="LL6">
        <v>-2.4245362661989844E-14</v>
      </c>
      <c r="LM6">
        <v>62907102</v>
      </c>
      <c r="LN6" t="s">
        <v>2425</v>
      </c>
      <c r="LS6" t="s">
        <v>2108</v>
      </c>
      <c r="LU6">
        <v>-2.4245362661989844E-14</v>
      </c>
      <c r="LV6">
        <v>-2.4245362661989844E-14</v>
      </c>
      <c r="LW6" t="s">
        <v>1594</v>
      </c>
      <c r="LX6">
        <v>2021</v>
      </c>
      <c r="LY6" t="s">
        <v>2109</v>
      </c>
      <c r="LZ6" s="6">
        <v>44641</v>
      </c>
      <c r="MA6">
        <v>5</v>
      </c>
      <c r="MB6">
        <v>-2.4245362661989844E-14</v>
      </c>
      <c r="MC6">
        <v>227699</v>
      </c>
      <c r="MD6" t="s">
        <v>2110</v>
      </c>
      <c r="MG6" t="s">
        <v>1618</v>
      </c>
      <c r="MH6">
        <v>-2.4245362661989844E-14</v>
      </c>
      <c r="MJ6">
        <v>-2.4245362661989844E-14</v>
      </c>
      <c r="MK6" t="s">
        <v>1599</v>
      </c>
      <c r="ML6">
        <v>2022</v>
      </c>
      <c r="MM6" t="s">
        <v>1619</v>
      </c>
      <c r="MN6" s="6">
        <v>44789</v>
      </c>
      <c r="MO6">
        <v>5</v>
      </c>
      <c r="MP6">
        <v>-2.4245362661989844E-14</v>
      </c>
      <c r="MQ6">
        <v>17074135</v>
      </c>
      <c r="MR6" t="s">
        <v>1620</v>
      </c>
      <c r="NK6" t="s">
        <v>531</v>
      </c>
      <c r="NL6">
        <v>2.8</v>
      </c>
      <c r="NM6" t="s">
        <v>1685</v>
      </c>
      <c r="NN6">
        <v>0.73512200000000005</v>
      </c>
      <c r="NO6" t="s">
        <v>1594</v>
      </c>
      <c r="NP6">
        <v>2024</v>
      </c>
      <c r="NQ6" t="s">
        <v>4434</v>
      </c>
      <c r="NR6" s="6">
        <v>45701</v>
      </c>
      <c r="NS6">
        <v>3</v>
      </c>
      <c r="NT6">
        <v>34469864</v>
      </c>
      <c r="NU6">
        <v>69491275</v>
      </c>
      <c r="NV6" t="s">
        <v>1780</v>
      </c>
      <c r="OA6" t="s">
        <v>3528</v>
      </c>
      <c r="OB6" t="s">
        <v>1685</v>
      </c>
      <c r="OC6">
        <v>0.13331100000000001</v>
      </c>
      <c r="OD6">
        <v>1.9940310000000001</v>
      </c>
      <c r="OE6" t="s">
        <v>1606</v>
      </c>
      <c r="OF6">
        <v>2024</v>
      </c>
      <c r="OG6" t="s">
        <v>5621</v>
      </c>
      <c r="OH6" s="6">
        <v>45882</v>
      </c>
      <c r="OI6">
        <v>5</v>
      </c>
      <c r="OJ6">
        <v>925230</v>
      </c>
      <c r="OK6">
        <v>39234675</v>
      </c>
      <c r="OL6" t="s">
        <v>3530</v>
      </c>
      <c r="OO6" t="s">
        <v>5422</v>
      </c>
      <c r="OP6">
        <v>1.0219999999999999E-3</v>
      </c>
      <c r="OQ6" t="s">
        <v>1598</v>
      </c>
      <c r="OR6">
        <v>2.2989999999999998E-3</v>
      </c>
      <c r="OS6" t="s">
        <v>1594</v>
      </c>
      <c r="OT6">
        <v>2025</v>
      </c>
      <c r="OU6" t="s">
        <v>5423</v>
      </c>
      <c r="OV6" s="6">
        <v>45864</v>
      </c>
      <c r="OW6">
        <v>5</v>
      </c>
      <c r="OX6">
        <v>26614.84</v>
      </c>
      <c r="OY6">
        <v>174406</v>
      </c>
      <c r="OZ6" t="s">
        <v>5424</v>
      </c>
      <c r="PE6" t="s">
        <v>2019</v>
      </c>
      <c r="PF6" t="s">
        <v>1598</v>
      </c>
      <c r="PG6">
        <v>2.9851580000000002</v>
      </c>
      <c r="PH6">
        <v>0.46196199999999998</v>
      </c>
      <c r="PI6" t="s">
        <v>1664</v>
      </c>
      <c r="PJ6">
        <v>2025</v>
      </c>
      <c r="PK6" t="s">
        <v>2020</v>
      </c>
      <c r="PL6" s="6">
        <v>45869</v>
      </c>
      <c r="PM6">
        <v>5</v>
      </c>
      <c r="PN6">
        <v>23749217.210000001</v>
      </c>
      <c r="PO6">
        <v>153771</v>
      </c>
      <c r="PP6" t="s">
        <v>2021</v>
      </c>
      <c r="PS6" t="s">
        <v>1612</v>
      </c>
      <c r="PT6">
        <v>4.826384</v>
      </c>
      <c r="PU6" t="s">
        <v>1598</v>
      </c>
      <c r="PV6">
        <v>0.34211900000000001</v>
      </c>
      <c r="PW6" t="s">
        <v>1664</v>
      </c>
      <c r="PX6">
        <v>2025</v>
      </c>
      <c r="PY6" t="s">
        <v>4406</v>
      </c>
      <c r="PZ6" s="6">
        <v>45944</v>
      </c>
      <c r="QA6">
        <v>5</v>
      </c>
      <c r="QB6">
        <v>238133792</v>
      </c>
      <c r="QC6">
        <v>115114</v>
      </c>
      <c r="QD6" t="s">
        <v>1614</v>
      </c>
      <c r="QI6" t="s">
        <v>3350</v>
      </c>
      <c r="QJ6" t="s">
        <v>1598</v>
      </c>
      <c r="QK6">
        <v>1.073509</v>
      </c>
      <c r="QL6">
        <v>1.223395</v>
      </c>
      <c r="QM6" t="s">
        <v>1664</v>
      </c>
      <c r="QN6">
        <v>2025</v>
      </c>
      <c r="QO6" t="s">
        <v>3351</v>
      </c>
      <c r="QP6" s="6">
        <v>45959</v>
      </c>
      <c r="QQ6">
        <v>5</v>
      </c>
      <c r="QR6">
        <v>36821796.350000001</v>
      </c>
      <c r="QS6">
        <v>113332</v>
      </c>
      <c r="QT6" t="s">
        <v>3352</v>
      </c>
      <c r="QW6" t="s">
        <v>959</v>
      </c>
      <c r="QX6">
        <v>27</v>
      </c>
      <c r="QY6" t="s">
        <v>1598</v>
      </c>
      <c r="QZ6">
        <v>3.1622810000000001</v>
      </c>
      <c r="RA6" t="s">
        <v>1594</v>
      </c>
      <c r="RB6">
        <v>2025</v>
      </c>
      <c r="RC6" t="s">
        <v>4106</v>
      </c>
      <c r="RD6" s="6">
        <v>46066</v>
      </c>
      <c r="RE6">
        <v>5</v>
      </c>
      <c r="RF6">
        <v>2480692480</v>
      </c>
      <c r="RG6">
        <v>156969</v>
      </c>
      <c r="RH6" t="s">
        <v>1767</v>
      </c>
      <c r="TE6" t="s">
        <v>3490</v>
      </c>
      <c r="TF6">
        <v>9.2623099999999994</v>
      </c>
      <c r="TH6">
        <v>-2.4245362661989844E-14</v>
      </c>
      <c r="TI6" t="s">
        <v>1594</v>
      </c>
      <c r="TJ6">
        <v>2024</v>
      </c>
      <c r="TK6" t="s">
        <v>3488</v>
      </c>
      <c r="TL6" s="6">
        <v>45693</v>
      </c>
      <c r="TM6">
        <v>5</v>
      </c>
      <c r="TN6">
        <v>24345750</v>
      </c>
      <c r="TO6">
        <v>28937485</v>
      </c>
      <c r="TP6" t="s">
        <v>3491</v>
      </c>
      <c r="TU6" t="s">
        <v>3553</v>
      </c>
      <c r="TW6">
        <v>-2.4245362661989844E-14</v>
      </c>
      <c r="TX6">
        <v>-2.4245362661989844E-14</v>
      </c>
      <c r="TY6" t="s">
        <v>1594</v>
      </c>
      <c r="TZ6">
        <v>2021</v>
      </c>
      <c r="UA6" t="s">
        <v>3554</v>
      </c>
      <c r="UB6" s="6">
        <v>44718</v>
      </c>
      <c r="UC6">
        <v>5</v>
      </c>
      <c r="UD6">
        <v>-2.4245362661989844E-14</v>
      </c>
      <c r="UE6">
        <v>885036</v>
      </c>
      <c r="UF6" t="s">
        <v>3555</v>
      </c>
      <c r="UI6" t="s">
        <v>1639</v>
      </c>
      <c r="UJ6">
        <v>-2.4245362661989844E-14</v>
      </c>
      <c r="UL6">
        <v>-2.4245362661989844E-14</v>
      </c>
      <c r="UM6" t="s">
        <v>1594</v>
      </c>
      <c r="UN6">
        <v>2022</v>
      </c>
      <c r="UO6" t="s">
        <v>1640</v>
      </c>
      <c r="UP6" s="6">
        <v>44993</v>
      </c>
      <c r="UQ6">
        <v>2</v>
      </c>
      <c r="UR6">
        <v>-2.4245362661989844E-14</v>
      </c>
      <c r="US6">
        <v>10092517</v>
      </c>
      <c r="UT6" t="s">
        <v>1641</v>
      </c>
      <c r="UY6" t="s">
        <v>2131</v>
      </c>
      <c r="UZ6" t="s">
        <v>1598</v>
      </c>
      <c r="VA6">
        <v>1.8061149999999999</v>
      </c>
      <c r="VB6">
        <v>1.370322</v>
      </c>
      <c r="VC6" t="s">
        <v>1664</v>
      </c>
      <c r="VD6">
        <v>2025</v>
      </c>
      <c r="VE6" t="s">
        <v>2132</v>
      </c>
      <c r="VF6" s="6">
        <v>45874</v>
      </c>
      <c r="VG6">
        <v>5</v>
      </c>
      <c r="VH6">
        <v>152133629.88</v>
      </c>
      <c r="VI6">
        <v>115519</v>
      </c>
      <c r="VJ6" t="s">
        <v>2133</v>
      </c>
      <c r="VM6" t="s">
        <v>1633</v>
      </c>
      <c r="VN6">
        <v>0.77161500000000005</v>
      </c>
      <c r="VO6" t="s">
        <v>1634</v>
      </c>
      <c r="VP6">
        <v>-2.4245362661989844E-14</v>
      </c>
      <c r="VQ6" t="s">
        <v>1594</v>
      </c>
      <c r="VR6">
        <v>2025</v>
      </c>
      <c r="VS6" t="s">
        <v>1635</v>
      </c>
      <c r="VT6" s="6">
        <v>45925</v>
      </c>
      <c r="VU6">
        <v>5</v>
      </c>
      <c r="VV6">
        <v>95700000</v>
      </c>
      <c r="VW6">
        <v>340053</v>
      </c>
      <c r="VX6" t="s">
        <v>1636</v>
      </c>
    </row>
    <row r="7" spans="1:600" x14ac:dyDescent="0.25">
      <c r="AS7" t="s">
        <v>531</v>
      </c>
      <c r="AT7">
        <v>-2.4245362661989844E-14</v>
      </c>
      <c r="AV7">
        <v>-2.4245362661989844E-14</v>
      </c>
      <c r="AW7" t="s">
        <v>1594</v>
      </c>
      <c r="AX7">
        <v>2022</v>
      </c>
      <c r="AY7" t="s">
        <v>3501</v>
      </c>
      <c r="AZ7" s="6">
        <v>44985</v>
      </c>
      <c r="BA7">
        <v>5</v>
      </c>
      <c r="BB7">
        <v>-2.4245362661989844E-14</v>
      </c>
      <c r="BC7">
        <v>69491275</v>
      </c>
      <c r="BD7" t="s">
        <v>1780</v>
      </c>
      <c r="EE7" t="s">
        <v>2528</v>
      </c>
      <c r="EF7">
        <v>4.2957650000000003</v>
      </c>
      <c r="EG7" t="s">
        <v>1685</v>
      </c>
      <c r="EH7">
        <v>9.4242830000000009</v>
      </c>
      <c r="EI7" t="s">
        <v>1594</v>
      </c>
      <c r="EJ7">
        <v>2025</v>
      </c>
      <c r="EK7" t="s">
        <v>4168</v>
      </c>
      <c r="EL7" s="6">
        <v>46058</v>
      </c>
      <c r="EM7">
        <v>5</v>
      </c>
      <c r="EN7">
        <v>10673000</v>
      </c>
      <c r="EO7">
        <v>202476</v>
      </c>
      <c r="EP7" t="s">
        <v>2530</v>
      </c>
      <c r="HC7" t="s">
        <v>4330</v>
      </c>
      <c r="HE7">
        <v>-2.4245362661989844E-14</v>
      </c>
      <c r="HF7">
        <v>-2.4245362661989844E-14</v>
      </c>
      <c r="HG7" t="s">
        <v>1599</v>
      </c>
      <c r="HH7">
        <v>2023</v>
      </c>
      <c r="HI7" t="s">
        <v>4331</v>
      </c>
      <c r="HJ7" s="6">
        <v>45246</v>
      </c>
      <c r="HK7">
        <v>5</v>
      </c>
      <c r="HL7">
        <v>-2.4245362661989844E-14</v>
      </c>
      <c r="HM7">
        <v>65056912</v>
      </c>
      <c r="HN7" t="s">
        <v>4332</v>
      </c>
      <c r="HQ7" t="s">
        <v>4090</v>
      </c>
      <c r="HR7">
        <v>-2.4245362661989844E-14</v>
      </c>
      <c r="HT7">
        <v>-2.4245362661989844E-14</v>
      </c>
      <c r="HU7" t="s">
        <v>1599</v>
      </c>
      <c r="HV7">
        <v>2025</v>
      </c>
      <c r="HW7" t="s">
        <v>4091</v>
      </c>
      <c r="HX7" s="6">
        <v>45648</v>
      </c>
      <c r="HY7">
        <v>3</v>
      </c>
      <c r="HZ7">
        <v>-2.4245362661989844E-14</v>
      </c>
      <c r="IA7">
        <v>37256111</v>
      </c>
      <c r="IB7" t="s">
        <v>4092</v>
      </c>
      <c r="IG7" t="s">
        <v>3811</v>
      </c>
      <c r="IH7" t="s">
        <v>1598</v>
      </c>
      <c r="II7">
        <v>0.11007599999999999</v>
      </c>
      <c r="IJ7">
        <v>0.50764399999999998</v>
      </c>
      <c r="IK7" t="s">
        <v>1664</v>
      </c>
      <c r="IL7">
        <v>2026</v>
      </c>
      <c r="IM7" t="s">
        <v>3812</v>
      </c>
      <c r="IN7" s="6">
        <v>45999</v>
      </c>
      <c r="IO7">
        <v>5</v>
      </c>
      <c r="IP7">
        <v>4898794.78</v>
      </c>
      <c r="IQ7">
        <v>114713</v>
      </c>
      <c r="IR7" t="s">
        <v>3813</v>
      </c>
      <c r="IU7" t="s">
        <v>2589</v>
      </c>
      <c r="IV7">
        <v>6.7787360000000003</v>
      </c>
      <c r="IW7" t="s">
        <v>1598</v>
      </c>
      <c r="IX7">
        <v>1.98163</v>
      </c>
      <c r="IY7" t="s">
        <v>1664</v>
      </c>
      <c r="IZ7">
        <v>2025</v>
      </c>
      <c r="JA7" t="s">
        <v>3652</v>
      </c>
      <c r="JB7" s="6">
        <v>45943</v>
      </c>
      <c r="JC7">
        <v>5</v>
      </c>
      <c r="JD7">
        <v>99559296</v>
      </c>
      <c r="JE7">
        <v>100142</v>
      </c>
      <c r="JF7" t="s">
        <v>2591</v>
      </c>
      <c r="JK7" t="s">
        <v>110</v>
      </c>
      <c r="JM7">
        <v>-2.4245362661989844E-14</v>
      </c>
      <c r="JN7">
        <v>-2.4245362661989844E-14</v>
      </c>
      <c r="JO7" t="s">
        <v>1594</v>
      </c>
      <c r="JP7">
        <v>2021</v>
      </c>
      <c r="JQ7" t="s">
        <v>4239</v>
      </c>
      <c r="JR7" s="6">
        <v>44693</v>
      </c>
      <c r="JS7">
        <v>5</v>
      </c>
      <c r="JT7">
        <v>-2.4245362661989844E-14</v>
      </c>
      <c r="JU7">
        <v>100193</v>
      </c>
      <c r="JV7" t="s">
        <v>3708</v>
      </c>
      <c r="KO7" t="s">
        <v>2938</v>
      </c>
      <c r="KQ7">
        <v>-2.4245362661989844E-14</v>
      </c>
      <c r="KR7">
        <v>-2.4245362661989844E-14</v>
      </c>
      <c r="KS7" t="s">
        <v>1594</v>
      </c>
      <c r="KT7">
        <v>2024</v>
      </c>
      <c r="KU7" t="s">
        <v>2421</v>
      </c>
      <c r="KV7" s="6">
        <v>45593</v>
      </c>
      <c r="KW7">
        <v>5</v>
      </c>
      <c r="KX7">
        <v>-2.4245362661989844E-14</v>
      </c>
      <c r="KY7">
        <v>21172241</v>
      </c>
      <c r="KZ7" t="s">
        <v>2939</v>
      </c>
      <c r="LC7" t="s">
        <v>2426</v>
      </c>
      <c r="LD7">
        <v>-2.4245362661989844E-14</v>
      </c>
      <c r="LF7">
        <v>-2.4245362661989844E-14</v>
      </c>
      <c r="LG7" t="s">
        <v>1594</v>
      </c>
      <c r="LH7">
        <v>2022</v>
      </c>
      <c r="LI7" t="s">
        <v>2421</v>
      </c>
      <c r="LJ7" s="6">
        <v>44700</v>
      </c>
      <c r="LK7">
        <v>5</v>
      </c>
      <c r="LL7">
        <v>-2.4245362661989844E-14</v>
      </c>
      <c r="LM7">
        <v>1042860</v>
      </c>
      <c r="LN7" t="s">
        <v>2427</v>
      </c>
      <c r="LS7" t="s">
        <v>2111</v>
      </c>
      <c r="LU7">
        <v>-2.4245362661989844E-14</v>
      </c>
      <c r="LV7">
        <v>-2.4245362661989844E-14</v>
      </c>
      <c r="LW7" t="s">
        <v>1599</v>
      </c>
      <c r="LX7">
        <v>2022</v>
      </c>
      <c r="LY7" t="s">
        <v>1619</v>
      </c>
      <c r="LZ7" s="6">
        <v>44789</v>
      </c>
      <c r="MA7">
        <v>5</v>
      </c>
      <c r="MB7">
        <v>-2.4245362661989844E-14</v>
      </c>
      <c r="MC7">
        <v>33866804</v>
      </c>
      <c r="MD7" t="s">
        <v>2112</v>
      </c>
      <c r="MG7" t="s">
        <v>1621</v>
      </c>
      <c r="MH7">
        <v>-2.4245362661989844E-14</v>
      </c>
      <c r="MJ7">
        <v>-2.4245362661989844E-14</v>
      </c>
      <c r="MK7" t="s">
        <v>1594</v>
      </c>
      <c r="ML7">
        <v>2023</v>
      </c>
      <c r="MM7" t="s">
        <v>1616</v>
      </c>
      <c r="MN7" s="6">
        <v>45357</v>
      </c>
      <c r="MO7">
        <v>5</v>
      </c>
      <c r="MP7">
        <v>-2.4245362661989844E-14</v>
      </c>
      <c r="MQ7">
        <v>218252</v>
      </c>
      <c r="MR7" t="s">
        <v>1622</v>
      </c>
      <c r="NK7" t="s">
        <v>4656</v>
      </c>
      <c r="NL7">
        <v>2.8</v>
      </c>
      <c r="NM7" t="s">
        <v>1685</v>
      </c>
      <c r="NN7">
        <v>2.6547749999999999</v>
      </c>
      <c r="NO7" t="s">
        <v>1594</v>
      </c>
      <c r="NP7">
        <v>2024</v>
      </c>
      <c r="NQ7" t="s">
        <v>4434</v>
      </c>
      <c r="NR7" s="6">
        <v>45701</v>
      </c>
      <c r="NS7">
        <v>3</v>
      </c>
      <c r="NT7">
        <v>34469864</v>
      </c>
      <c r="NU7">
        <v>50818234</v>
      </c>
      <c r="NV7" t="s">
        <v>4657</v>
      </c>
      <c r="OA7" t="s">
        <v>3540</v>
      </c>
      <c r="OB7" t="s">
        <v>1685</v>
      </c>
      <c r="OC7">
        <v>0.339231</v>
      </c>
      <c r="OD7">
        <v>1.270567</v>
      </c>
      <c r="OE7" t="s">
        <v>1792</v>
      </c>
      <c r="OF7">
        <v>2026</v>
      </c>
      <c r="OG7" t="s">
        <v>3541</v>
      </c>
      <c r="OH7" s="6">
        <v>45980</v>
      </c>
      <c r="OI7">
        <v>5</v>
      </c>
      <c r="OJ7">
        <v>591645.6</v>
      </c>
      <c r="OK7">
        <v>111277</v>
      </c>
      <c r="OL7" t="s">
        <v>3542</v>
      </c>
      <c r="OO7" t="s">
        <v>5425</v>
      </c>
      <c r="OP7">
        <v>-2.4245362661989844E-14</v>
      </c>
      <c r="OR7">
        <v>-2.4245362661989844E-14</v>
      </c>
      <c r="OS7" t="s">
        <v>1594</v>
      </c>
      <c r="OT7">
        <v>2024</v>
      </c>
      <c r="OU7" t="s">
        <v>5426</v>
      </c>
      <c r="OV7" s="6">
        <v>45404</v>
      </c>
      <c r="OW7">
        <v>5</v>
      </c>
      <c r="OX7">
        <v>-2.4245362661989844E-14</v>
      </c>
      <c r="OY7">
        <v>69857683</v>
      </c>
      <c r="OZ7" t="s">
        <v>5427</v>
      </c>
      <c r="PE7" t="s">
        <v>4531</v>
      </c>
      <c r="PF7" t="s">
        <v>1598</v>
      </c>
      <c r="PG7">
        <v>1.349858</v>
      </c>
      <c r="PH7">
        <v>0.17791799999999999</v>
      </c>
      <c r="PI7" t="s">
        <v>1664</v>
      </c>
      <c r="PJ7">
        <v>2025</v>
      </c>
      <c r="PK7" t="s">
        <v>4532</v>
      </c>
      <c r="PL7" s="6">
        <v>45967</v>
      </c>
      <c r="PM7">
        <v>5</v>
      </c>
      <c r="PN7">
        <v>8418866.5800000001</v>
      </c>
      <c r="PO7">
        <v>111410</v>
      </c>
      <c r="PP7" t="s">
        <v>4533</v>
      </c>
      <c r="PS7" t="s">
        <v>4209</v>
      </c>
      <c r="PT7">
        <v>2.8563429999999999</v>
      </c>
      <c r="PU7" t="s">
        <v>1598</v>
      </c>
      <c r="PV7">
        <v>0.47696300000000003</v>
      </c>
      <c r="PW7" t="s">
        <v>1664</v>
      </c>
      <c r="PX7">
        <v>2025</v>
      </c>
      <c r="PY7" t="s">
        <v>4406</v>
      </c>
      <c r="PZ7" s="6">
        <v>45944</v>
      </c>
      <c r="QA7">
        <v>5</v>
      </c>
      <c r="QB7">
        <v>140931968</v>
      </c>
      <c r="QC7">
        <v>100747</v>
      </c>
      <c r="QD7" t="s">
        <v>4211</v>
      </c>
      <c r="QI7" t="s">
        <v>3347</v>
      </c>
      <c r="QJ7" t="s">
        <v>1598</v>
      </c>
      <c r="QK7">
        <v>2.3738000000000001</v>
      </c>
      <c r="QL7">
        <v>0.71700799999999998</v>
      </c>
      <c r="QM7" t="s">
        <v>1599</v>
      </c>
      <c r="QN7">
        <v>2025</v>
      </c>
      <c r="QO7" t="s">
        <v>3348</v>
      </c>
      <c r="QP7" s="6">
        <v>46069</v>
      </c>
      <c r="QQ7">
        <v>5</v>
      </c>
      <c r="QR7">
        <v>21422836.649999999</v>
      </c>
      <c r="QS7">
        <v>153809</v>
      </c>
      <c r="QT7" t="s">
        <v>3349</v>
      </c>
      <c r="QW7" t="s">
        <v>618</v>
      </c>
      <c r="QX7">
        <v>16</v>
      </c>
      <c r="QY7" t="s">
        <v>1598</v>
      </c>
      <c r="QZ7">
        <v>2.4954839999999998</v>
      </c>
      <c r="RA7" t="s">
        <v>1594</v>
      </c>
      <c r="RB7">
        <v>2025</v>
      </c>
      <c r="RC7" t="s">
        <v>4106</v>
      </c>
      <c r="RD7" s="6">
        <v>46066</v>
      </c>
      <c r="RE7">
        <v>5</v>
      </c>
      <c r="RF7">
        <v>1470040064</v>
      </c>
      <c r="RG7">
        <v>102782</v>
      </c>
      <c r="RH7" t="s">
        <v>1626</v>
      </c>
      <c r="TE7" t="s">
        <v>3492</v>
      </c>
      <c r="TF7">
        <v>5.9038040000000001</v>
      </c>
      <c r="TH7">
        <v>-2.4245362661989844E-14</v>
      </c>
      <c r="TI7" t="s">
        <v>1594</v>
      </c>
      <c r="TJ7">
        <v>2024</v>
      </c>
      <c r="TK7" t="s">
        <v>3488</v>
      </c>
      <c r="TL7" s="6">
        <v>45693</v>
      </c>
      <c r="TM7">
        <v>5</v>
      </c>
      <c r="TN7">
        <v>15518000</v>
      </c>
      <c r="TO7">
        <v>27239616</v>
      </c>
      <c r="TP7" t="s">
        <v>3493</v>
      </c>
      <c r="TU7" t="s">
        <v>3556</v>
      </c>
      <c r="TW7">
        <v>-2.4245362661989844E-14</v>
      </c>
      <c r="TX7">
        <v>-2.4245362661989844E-14</v>
      </c>
      <c r="TY7" t="s">
        <v>1599</v>
      </c>
      <c r="TZ7">
        <v>2022</v>
      </c>
      <c r="UA7" t="s">
        <v>3557</v>
      </c>
      <c r="UB7" s="6">
        <v>44895</v>
      </c>
      <c r="UC7">
        <v>5</v>
      </c>
      <c r="UD7">
        <v>-2.4245362661989844E-14</v>
      </c>
      <c r="UE7">
        <v>69795062</v>
      </c>
      <c r="UF7" t="s">
        <v>3558</v>
      </c>
      <c r="UY7" t="s">
        <v>2134</v>
      </c>
      <c r="UZ7" t="s">
        <v>1598</v>
      </c>
      <c r="VA7">
        <v>2.19069</v>
      </c>
      <c r="VB7">
        <v>1.2499830000000001</v>
      </c>
      <c r="VC7" t="s">
        <v>1664</v>
      </c>
      <c r="VD7">
        <v>2025</v>
      </c>
      <c r="VE7" t="s">
        <v>2135</v>
      </c>
      <c r="VF7" s="6">
        <v>45873</v>
      </c>
      <c r="VG7">
        <v>5</v>
      </c>
      <c r="VH7">
        <v>138750110.75</v>
      </c>
      <c r="VI7">
        <v>112185</v>
      </c>
      <c r="VJ7" t="s">
        <v>2136</v>
      </c>
      <c r="VM7" t="s">
        <v>1676</v>
      </c>
      <c r="VN7">
        <v>0.3236</v>
      </c>
      <c r="VO7" t="s">
        <v>1598</v>
      </c>
      <c r="VP7">
        <v>1.6738</v>
      </c>
      <c r="VQ7" t="s">
        <v>1664</v>
      </c>
      <c r="VR7">
        <v>2025</v>
      </c>
      <c r="VS7" t="s">
        <v>1677</v>
      </c>
      <c r="VT7" s="6">
        <v>45902</v>
      </c>
      <c r="VU7">
        <v>5</v>
      </c>
      <c r="VV7">
        <v>42200676</v>
      </c>
      <c r="VW7">
        <v>24061601</v>
      </c>
      <c r="VX7" t="s">
        <v>1678</v>
      </c>
    </row>
    <row r="8" spans="1:600" x14ac:dyDescent="0.25">
      <c r="AS8" t="s">
        <v>3502</v>
      </c>
      <c r="AT8">
        <v>-2.4245362661989844E-14</v>
      </c>
      <c r="AV8">
        <v>-2.4245362661989844E-14</v>
      </c>
      <c r="AW8" t="s">
        <v>1594</v>
      </c>
      <c r="AX8">
        <v>2024</v>
      </c>
      <c r="AY8" t="s">
        <v>3497</v>
      </c>
      <c r="AZ8" s="6">
        <v>45702</v>
      </c>
      <c r="BA8">
        <v>5</v>
      </c>
      <c r="BB8">
        <v>-2.4245362661989844E-14</v>
      </c>
      <c r="BC8">
        <v>68833670</v>
      </c>
      <c r="BD8" t="s">
        <v>3503</v>
      </c>
      <c r="EE8" t="s">
        <v>27</v>
      </c>
      <c r="EF8">
        <v>2.1985960000000002</v>
      </c>
      <c r="EG8" t="s">
        <v>1685</v>
      </c>
      <c r="EH8">
        <v>0.196352</v>
      </c>
      <c r="EI8" t="s">
        <v>1594</v>
      </c>
      <c r="EJ8">
        <v>2025</v>
      </c>
      <c r="EK8" t="s">
        <v>4168</v>
      </c>
      <c r="EL8" s="6">
        <v>46058</v>
      </c>
      <c r="EM8">
        <v>5</v>
      </c>
      <c r="EN8">
        <v>5462500</v>
      </c>
      <c r="EO8">
        <v>100546</v>
      </c>
      <c r="EP8" t="s">
        <v>4326</v>
      </c>
      <c r="HC8" t="s">
        <v>993</v>
      </c>
      <c r="HE8">
        <v>-2.4245362661989844E-14</v>
      </c>
      <c r="HF8">
        <v>-2.4245362661989844E-14</v>
      </c>
      <c r="HG8" t="s">
        <v>1594</v>
      </c>
      <c r="HH8">
        <v>2023</v>
      </c>
      <c r="HI8" t="s">
        <v>4333</v>
      </c>
      <c r="HJ8" s="6">
        <v>45481</v>
      </c>
      <c r="HK8">
        <v>5</v>
      </c>
      <c r="HL8">
        <v>-2.4245362661989844E-14</v>
      </c>
      <c r="HM8">
        <v>100419</v>
      </c>
      <c r="HN8" t="s">
        <v>4089</v>
      </c>
      <c r="IG8" t="s">
        <v>3814</v>
      </c>
      <c r="IH8" t="s">
        <v>1598</v>
      </c>
      <c r="II8">
        <v>0.88656199999999996</v>
      </c>
      <c r="IJ8">
        <v>0.361396</v>
      </c>
      <c r="IK8" t="s">
        <v>1606</v>
      </c>
      <c r="IL8">
        <v>2024</v>
      </c>
      <c r="IM8" t="s">
        <v>3815</v>
      </c>
      <c r="IN8" s="6">
        <v>45729</v>
      </c>
      <c r="IO8">
        <v>5</v>
      </c>
      <c r="IP8">
        <v>3413042.89</v>
      </c>
      <c r="IQ8">
        <v>880428</v>
      </c>
      <c r="IR8" t="s">
        <v>3816</v>
      </c>
      <c r="IU8" t="s">
        <v>3419</v>
      </c>
      <c r="IV8">
        <v>4.3691420000000001</v>
      </c>
      <c r="IW8" t="s">
        <v>1598</v>
      </c>
      <c r="IX8">
        <v>0.22909099999999999</v>
      </c>
      <c r="IY8" t="s">
        <v>1664</v>
      </c>
      <c r="IZ8">
        <v>2025</v>
      </c>
      <c r="JA8" t="s">
        <v>3652</v>
      </c>
      <c r="JB8" s="6">
        <v>45943</v>
      </c>
      <c r="JC8">
        <v>5</v>
      </c>
      <c r="JD8">
        <v>64169588</v>
      </c>
      <c r="JE8">
        <v>117621</v>
      </c>
      <c r="JF8" t="s">
        <v>3421</v>
      </c>
      <c r="JK8" t="s">
        <v>1986</v>
      </c>
      <c r="JM8">
        <v>-2.4245362661989844E-14</v>
      </c>
      <c r="JN8">
        <v>-2.4245362661989844E-14</v>
      </c>
      <c r="JO8" t="s">
        <v>1594</v>
      </c>
      <c r="JP8">
        <v>2021</v>
      </c>
      <c r="JQ8" t="s">
        <v>5837</v>
      </c>
      <c r="JR8" s="6">
        <v>44693</v>
      </c>
      <c r="JS8">
        <v>5</v>
      </c>
      <c r="JT8">
        <v>-2.4245362661989844E-14</v>
      </c>
      <c r="JU8">
        <v>100348</v>
      </c>
      <c r="JV8" t="s">
        <v>1988</v>
      </c>
      <c r="KO8" t="s">
        <v>2940</v>
      </c>
      <c r="KQ8">
        <v>-2.4245362661989844E-14</v>
      </c>
      <c r="KR8">
        <v>-2.4245362661989844E-14</v>
      </c>
      <c r="KS8" t="s">
        <v>1594</v>
      </c>
      <c r="KT8">
        <v>2024</v>
      </c>
      <c r="KU8" t="s">
        <v>2421</v>
      </c>
      <c r="KV8" s="6">
        <v>45593</v>
      </c>
      <c r="KW8">
        <v>5</v>
      </c>
      <c r="KX8">
        <v>-2.4245362661989844E-14</v>
      </c>
      <c r="KY8">
        <v>953096</v>
      </c>
      <c r="KZ8" t="s">
        <v>2941</v>
      </c>
      <c r="LC8" t="s">
        <v>1621</v>
      </c>
      <c r="LD8">
        <v>-2.4245362661989844E-14</v>
      </c>
      <c r="LF8">
        <v>-2.4245362661989844E-14</v>
      </c>
      <c r="LG8" t="s">
        <v>1594</v>
      </c>
      <c r="LH8">
        <v>2024</v>
      </c>
      <c r="LI8" t="s">
        <v>2421</v>
      </c>
      <c r="LJ8" s="6">
        <v>45569</v>
      </c>
      <c r="LK8">
        <v>5</v>
      </c>
      <c r="LL8">
        <v>-2.4245362661989844E-14</v>
      </c>
      <c r="LM8">
        <v>218252</v>
      </c>
      <c r="LN8" t="s">
        <v>1622</v>
      </c>
      <c r="LS8" t="s">
        <v>2113</v>
      </c>
      <c r="LU8">
        <v>-2.4245362661989844E-14</v>
      </c>
      <c r="LV8">
        <v>-2.4245362661989844E-14</v>
      </c>
      <c r="LW8" t="s">
        <v>1599</v>
      </c>
      <c r="LX8">
        <v>2023</v>
      </c>
      <c r="LY8" t="s">
        <v>2114</v>
      </c>
      <c r="LZ8" s="6">
        <v>45236</v>
      </c>
      <c r="MA8">
        <v>5</v>
      </c>
      <c r="MB8">
        <v>-2.4245362661989844E-14</v>
      </c>
      <c r="MC8">
        <v>62555598</v>
      </c>
      <c r="MD8" t="s">
        <v>2115</v>
      </c>
      <c r="MG8" t="s">
        <v>1623</v>
      </c>
      <c r="MH8">
        <v>-2.4245362661989844E-14</v>
      </c>
      <c r="MJ8">
        <v>-2.4245362661989844E-14</v>
      </c>
      <c r="MK8" t="s">
        <v>1594</v>
      </c>
      <c r="ML8">
        <v>2025</v>
      </c>
      <c r="MM8" t="s">
        <v>1624</v>
      </c>
      <c r="MN8" s="6">
        <v>45832</v>
      </c>
      <c r="MO8">
        <v>5</v>
      </c>
      <c r="MP8">
        <v>-2.4245362661989844E-14</v>
      </c>
      <c r="MQ8">
        <v>114396</v>
      </c>
      <c r="MR8" t="s">
        <v>1625</v>
      </c>
      <c r="OA8" t="s">
        <v>1084</v>
      </c>
      <c r="OB8" t="s">
        <v>1685</v>
      </c>
      <c r="OC8">
        <v>1.5590000000000001E-3</v>
      </c>
      <c r="OD8">
        <v>0.226634</v>
      </c>
      <c r="OE8" t="s">
        <v>1664</v>
      </c>
      <c r="OF8">
        <v>2025</v>
      </c>
      <c r="OG8" t="s">
        <v>2052</v>
      </c>
      <c r="OH8" s="6">
        <v>45838</v>
      </c>
      <c r="OI8">
        <v>5</v>
      </c>
      <c r="OJ8">
        <v>91560</v>
      </c>
      <c r="OK8">
        <v>101689</v>
      </c>
      <c r="OL8" t="s">
        <v>2053</v>
      </c>
      <c r="OO8" t="s">
        <v>2486</v>
      </c>
      <c r="OP8">
        <v>-2.4245362661989844E-14</v>
      </c>
      <c r="OR8">
        <v>-2.4245362661989844E-14</v>
      </c>
      <c r="OS8" t="s">
        <v>1594</v>
      </c>
      <c r="OT8">
        <v>2023</v>
      </c>
      <c r="OU8" t="s">
        <v>2487</v>
      </c>
      <c r="OV8" s="6">
        <v>45027</v>
      </c>
      <c r="OW8">
        <v>5</v>
      </c>
      <c r="OX8">
        <v>-2.4245362661989844E-14</v>
      </c>
      <c r="OY8">
        <v>1096220</v>
      </c>
      <c r="OZ8" t="s">
        <v>2488</v>
      </c>
      <c r="PE8" t="s">
        <v>3177</v>
      </c>
      <c r="PF8" t="s">
        <v>1598</v>
      </c>
      <c r="PG8">
        <v>1.2143360000000001</v>
      </c>
      <c r="PH8">
        <v>9.1343999999999995E-2</v>
      </c>
      <c r="PI8" t="s">
        <v>1664</v>
      </c>
      <c r="PJ8">
        <v>2025</v>
      </c>
      <c r="PK8" t="s">
        <v>3178</v>
      </c>
      <c r="PL8" s="6">
        <v>45902</v>
      </c>
      <c r="PM8">
        <v>5</v>
      </c>
      <c r="PN8">
        <v>4697805</v>
      </c>
      <c r="PO8">
        <v>47762945</v>
      </c>
      <c r="PP8" t="s">
        <v>3179</v>
      </c>
      <c r="PS8" t="s">
        <v>4408</v>
      </c>
      <c r="PT8">
        <v>1.962</v>
      </c>
      <c r="PU8" t="s">
        <v>1598</v>
      </c>
      <c r="PV8">
        <v>0.30803199999999997</v>
      </c>
      <c r="PW8" t="s">
        <v>1664</v>
      </c>
      <c r="PX8">
        <v>2025</v>
      </c>
      <c r="PY8" t="s">
        <v>4406</v>
      </c>
      <c r="PZ8" s="6">
        <v>45944</v>
      </c>
      <c r="QA8">
        <v>5</v>
      </c>
      <c r="QB8">
        <v>96805080</v>
      </c>
      <c r="QC8">
        <v>328683</v>
      </c>
      <c r="QD8" t="s">
        <v>4409</v>
      </c>
      <c r="QI8" t="s">
        <v>2367</v>
      </c>
      <c r="QJ8" t="s">
        <v>2128</v>
      </c>
      <c r="QK8">
        <v>1.459176</v>
      </c>
      <c r="QL8">
        <v>0.86356999999999995</v>
      </c>
      <c r="QM8" t="s">
        <v>1664</v>
      </c>
      <c r="QN8">
        <v>2025</v>
      </c>
      <c r="QO8" t="s">
        <v>2368</v>
      </c>
      <c r="QP8" s="6">
        <v>45921</v>
      </c>
      <c r="QQ8">
        <v>5</v>
      </c>
      <c r="QR8">
        <v>15060666</v>
      </c>
      <c r="QS8">
        <v>963610</v>
      </c>
      <c r="QT8" t="s">
        <v>2369</v>
      </c>
      <c r="QW8" t="s">
        <v>31</v>
      </c>
      <c r="QX8">
        <v>3.6153759999999999</v>
      </c>
      <c r="QY8" t="s">
        <v>1598</v>
      </c>
      <c r="QZ8">
        <v>0.54387399999999997</v>
      </c>
      <c r="RA8" t="s">
        <v>1664</v>
      </c>
      <c r="RB8">
        <v>2025</v>
      </c>
      <c r="RC8" t="s">
        <v>4107</v>
      </c>
      <c r="RD8" s="6">
        <v>45929</v>
      </c>
      <c r="RE8">
        <v>5</v>
      </c>
      <c r="RF8">
        <v>331855360</v>
      </c>
      <c r="RG8">
        <v>60401289</v>
      </c>
      <c r="RH8" t="s">
        <v>1769</v>
      </c>
      <c r="TE8" t="s">
        <v>3494</v>
      </c>
      <c r="TF8">
        <v>5.1281639999999999</v>
      </c>
      <c r="TG8" t="s">
        <v>1685</v>
      </c>
      <c r="TH8">
        <v>25.234480000000001</v>
      </c>
      <c r="TI8" t="s">
        <v>1594</v>
      </c>
      <c r="TJ8">
        <v>2024</v>
      </c>
      <c r="TK8" t="s">
        <v>3488</v>
      </c>
      <c r="TL8" s="6">
        <v>45693</v>
      </c>
      <c r="TM8">
        <v>5</v>
      </c>
      <c r="TN8">
        <v>13479250</v>
      </c>
      <c r="TO8">
        <v>37346086</v>
      </c>
      <c r="TP8" t="s">
        <v>3495</v>
      </c>
      <c r="TU8" t="s">
        <v>617</v>
      </c>
      <c r="TW8">
        <v>-2.4245362661989844E-14</v>
      </c>
      <c r="TX8">
        <v>-2.4245362661989844E-14</v>
      </c>
      <c r="TY8" t="s">
        <v>1594</v>
      </c>
      <c r="TZ8">
        <v>2024</v>
      </c>
      <c r="UA8" t="s">
        <v>3559</v>
      </c>
      <c r="UB8" s="6">
        <v>45307</v>
      </c>
      <c r="UC8">
        <v>5</v>
      </c>
      <c r="UD8">
        <v>-2.4245362661989844E-14</v>
      </c>
      <c r="UE8">
        <v>69423747</v>
      </c>
      <c r="UF8" t="s">
        <v>3228</v>
      </c>
      <c r="UY8" t="s">
        <v>862</v>
      </c>
      <c r="UZ8" t="s">
        <v>1598</v>
      </c>
      <c r="VA8">
        <v>1.748761</v>
      </c>
      <c r="VB8">
        <v>0.78238600000000003</v>
      </c>
      <c r="VC8" t="s">
        <v>1606</v>
      </c>
      <c r="VD8">
        <v>2025</v>
      </c>
      <c r="VE8" t="s">
        <v>2137</v>
      </c>
      <c r="VF8" s="6">
        <v>45894</v>
      </c>
      <c r="VG8">
        <v>5</v>
      </c>
      <c r="VH8">
        <v>86782264</v>
      </c>
      <c r="VI8">
        <v>101149</v>
      </c>
      <c r="VJ8" t="s">
        <v>2138</v>
      </c>
      <c r="VM8" t="s">
        <v>1679</v>
      </c>
      <c r="VN8">
        <v>0.16686100000000001</v>
      </c>
      <c r="VO8" t="s">
        <v>1598</v>
      </c>
      <c r="VP8">
        <v>0.50028099999999998</v>
      </c>
      <c r="VQ8" t="s">
        <v>1603</v>
      </c>
      <c r="VR8">
        <v>2025</v>
      </c>
      <c r="VS8" t="s">
        <v>1680</v>
      </c>
      <c r="VT8" s="6">
        <v>45820</v>
      </c>
      <c r="VU8">
        <v>5</v>
      </c>
      <c r="VV8">
        <v>20395456</v>
      </c>
      <c r="VW8">
        <v>12129192</v>
      </c>
      <c r="VX8" t="s">
        <v>1681</v>
      </c>
    </row>
    <row r="9" spans="1:600" x14ac:dyDescent="0.25">
      <c r="AS9" t="s">
        <v>3504</v>
      </c>
      <c r="AT9">
        <v>-2.4245362661989844E-14</v>
      </c>
      <c r="AV9">
        <v>-2.4245362661989844E-14</v>
      </c>
      <c r="AW9" t="s">
        <v>1594</v>
      </c>
      <c r="AX9">
        <v>2024</v>
      </c>
      <c r="AY9" t="s">
        <v>3497</v>
      </c>
      <c r="AZ9" s="6">
        <v>45702</v>
      </c>
      <c r="BA9">
        <v>5</v>
      </c>
      <c r="BB9">
        <v>-2.4245362661989844E-14</v>
      </c>
      <c r="BC9">
        <v>64079162</v>
      </c>
      <c r="BD9" t="s">
        <v>3505</v>
      </c>
      <c r="EE9" t="s">
        <v>117</v>
      </c>
      <c r="EF9">
        <v>1.9150430000000001</v>
      </c>
      <c r="EG9" t="s">
        <v>1685</v>
      </c>
      <c r="EH9">
        <v>9.4577999999999995E-2</v>
      </c>
      <c r="EI9" t="s">
        <v>1594</v>
      </c>
      <c r="EJ9">
        <v>2025</v>
      </c>
      <c r="EK9" t="s">
        <v>4168</v>
      </c>
      <c r="EL9" s="6">
        <v>46058</v>
      </c>
      <c r="EM9">
        <v>5</v>
      </c>
      <c r="EN9">
        <v>4758000</v>
      </c>
      <c r="EO9">
        <v>100801</v>
      </c>
      <c r="EP9" t="s">
        <v>1745</v>
      </c>
      <c r="HC9" t="s">
        <v>3024</v>
      </c>
      <c r="HE9">
        <v>-2.4245362661989844E-14</v>
      </c>
      <c r="HF9">
        <v>-2.4245362661989844E-14</v>
      </c>
      <c r="HG9" t="s">
        <v>1603</v>
      </c>
      <c r="HH9">
        <v>2025</v>
      </c>
      <c r="HI9" t="s">
        <v>3025</v>
      </c>
      <c r="HJ9" s="6">
        <v>45784</v>
      </c>
      <c r="HK9">
        <v>5</v>
      </c>
      <c r="HL9">
        <v>-2.4245362661989844E-14</v>
      </c>
      <c r="HM9">
        <v>69762655</v>
      </c>
      <c r="HN9" t="s">
        <v>3026</v>
      </c>
      <c r="IG9" t="s">
        <v>3817</v>
      </c>
      <c r="IH9" t="s">
        <v>1634</v>
      </c>
      <c r="II9">
        <v>0.10218000000000001</v>
      </c>
      <c r="IJ9">
        <v>4.8755769999999998</v>
      </c>
      <c r="IK9" t="s">
        <v>1664</v>
      </c>
      <c r="IL9">
        <v>2026</v>
      </c>
      <c r="IM9" t="s">
        <v>3818</v>
      </c>
      <c r="IN9" s="6">
        <v>46063</v>
      </c>
      <c r="IO9">
        <v>5</v>
      </c>
      <c r="IP9">
        <v>3369024</v>
      </c>
      <c r="IQ9">
        <v>101732</v>
      </c>
      <c r="IR9" t="s">
        <v>3819</v>
      </c>
      <c r="IU9" t="s">
        <v>3653</v>
      </c>
      <c r="IV9">
        <v>2.8023609999999999</v>
      </c>
      <c r="IW9" t="s">
        <v>1598</v>
      </c>
      <c r="IX9">
        <v>0.52624300000000002</v>
      </c>
      <c r="IY9" t="s">
        <v>1664</v>
      </c>
      <c r="IZ9">
        <v>2025</v>
      </c>
      <c r="JA9" t="s">
        <v>3652</v>
      </c>
      <c r="JB9" s="6">
        <v>45943</v>
      </c>
      <c r="JC9">
        <v>5</v>
      </c>
      <c r="JD9">
        <v>41158276</v>
      </c>
      <c r="JE9">
        <v>9568853</v>
      </c>
      <c r="JF9" t="s">
        <v>3654</v>
      </c>
      <c r="JK9" t="s">
        <v>471</v>
      </c>
      <c r="JM9">
        <v>-2.4245362661989844E-14</v>
      </c>
      <c r="JN9">
        <v>-2.4245362661989844E-14</v>
      </c>
      <c r="JO9" t="s">
        <v>1594</v>
      </c>
      <c r="JP9">
        <v>2021</v>
      </c>
      <c r="JQ9" t="s">
        <v>2033</v>
      </c>
      <c r="JR9" s="6">
        <v>44693</v>
      </c>
      <c r="JS9">
        <v>5</v>
      </c>
      <c r="JT9">
        <v>-2.4245362661989844E-14</v>
      </c>
      <c r="JU9">
        <v>100760</v>
      </c>
      <c r="JV9" t="s">
        <v>2155</v>
      </c>
      <c r="KO9" t="s">
        <v>2942</v>
      </c>
      <c r="KQ9">
        <v>-2.4245362661989844E-14</v>
      </c>
      <c r="KR9">
        <v>-2.4245362661989844E-14</v>
      </c>
      <c r="KS9" t="s">
        <v>1594</v>
      </c>
      <c r="KT9">
        <v>2023</v>
      </c>
      <c r="KU9" t="s">
        <v>2424</v>
      </c>
      <c r="KV9" s="6">
        <v>45344</v>
      </c>
      <c r="KW9">
        <v>5</v>
      </c>
      <c r="KX9">
        <v>-2.4245362661989844E-14</v>
      </c>
      <c r="KY9">
        <v>114155</v>
      </c>
      <c r="KZ9" t="s">
        <v>2943</v>
      </c>
      <c r="LC9" t="s">
        <v>2428</v>
      </c>
      <c r="LD9">
        <v>-2.4245362661989844E-14</v>
      </c>
      <c r="LF9">
        <v>-2.4245362661989844E-14</v>
      </c>
      <c r="LG9" t="s">
        <v>1594</v>
      </c>
      <c r="LH9">
        <v>2024</v>
      </c>
      <c r="LI9" t="s">
        <v>2421</v>
      </c>
      <c r="LJ9" s="6">
        <v>45569</v>
      </c>
      <c r="LK9">
        <v>5</v>
      </c>
      <c r="LL9">
        <v>-2.4245362661989844E-14</v>
      </c>
      <c r="LM9">
        <v>962207</v>
      </c>
      <c r="LN9" t="s">
        <v>2429</v>
      </c>
      <c r="LS9" t="s">
        <v>2116</v>
      </c>
      <c r="LU9">
        <v>-2.4245362661989844E-14</v>
      </c>
      <c r="LV9">
        <v>-2.4245362661989844E-14</v>
      </c>
      <c r="LW9" t="s">
        <v>1594</v>
      </c>
      <c r="LX9">
        <v>2023</v>
      </c>
      <c r="LY9" t="s">
        <v>2117</v>
      </c>
      <c r="LZ9" s="6">
        <v>45042</v>
      </c>
      <c r="MA9">
        <v>5</v>
      </c>
      <c r="MB9">
        <v>-2.4245362661989844E-14</v>
      </c>
      <c r="MC9">
        <v>66992559</v>
      </c>
      <c r="MD9" t="s">
        <v>2118</v>
      </c>
      <c r="MG9" t="s">
        <v>618</v>
      </c>
      <c r="MH9">
        <v>-2.4245362661989844E-14</v>
      </c>
      <c r="MJ9">
        <v>-2.4245362661989844E-14</v>
      </c>
      <c r="MK9" t="s">
        <v>1594</v>
      </c>
      <c r="ML9">
        <v>2023</v>
      </c>
      <c r="MM9" t="s">
        <v>1616</v>
      </c>
      <c r="MN9" s="6">
        <v>45357</v>
      </c>
      <c r="MO9">
        <v>5</v>
      </c>
      <c r="MP9">
        <v>-2.4245362661989844E-14</v>
      </c>
      <c r="MQ9">
        <v>102782</v>
      </c>
      <c r="MR9" t="s">
        <v>1626</v>
      </c>
      <c r="OA9" t="s">
        <v>3269</v>
      </c>
      <c r="OC9">
        <v>-2.4245362661989844E-14</v>
      </c>
      <c r="OD9">
        <v>-2.4245362661989844E-14</v>
      </c>
      <c r="OE9" t="s">
        <v>1594</v>
      </c>
      <c r="OF9">
        <v>2023</v>
      </c>
      <c r="OG9" t="s">
        <v>5622</v>
      </c>
      <c r="OH9" s="6">
        <v>45370</v>
      </c>
      <c r="OI9">
        <v>5</v>
      </c>
      <c r="OJ9">
        <v>-2.4245362661989844E-14</v>
      </c>
      <c r="OK9">
        <v>23189849</v>
      </c>
      <c r="OL9" t="s">
        <v>3271</v>
      </c>
      <c r="OO9" t="s">
        <v>171</v>
      </c>
      <c r="OP9">
        <v>-2.4245362661989844E-14</v>
      </c>
      <c r="OR9">
        <v>-2.4245362661989844E-14</v>
      </c>
      <c r="OS9" t="s">
        <v>1594</v>
      </c>
      <c r="OT9">
        <v>2023</v>
      </c>
      <c r="OU9" t="s">
        <v>5426</v>
      </c>
      <c r="OV9" s="6">
        <v>45225</v>
      </c>
      <c r="OW9">
        <v>5</v>
      </c>
      <c r="OX9">
        <v>-2.4245362661989844E-14</v>
      </c>
      <c r="OY9">
        <v>1084605</v>
      </c>
      <c r="OZ9" t="s">
        <v>5428</v>
      </c>
      <c r="PE9" t="s">
        <v>4534</v>
      </c>
      <c r="PF9" t="s">
        <v>1598</v>
      </c>
      <c r="PG9">
        <v>0.58325300000000002</v>
      </c>
      <c r="PH9">
        <v>3.2673000000000001E-2</v>
      </c>
      <c r="PI9" t="s">
        <v>1664</v>
      </c>
      <c r="PJ9">
        <v>2025</v>
      </c>
      <c r="PK9" t="s">
        <v>4535</v>
      </c>
      <c r="PL9" s="6">
        <v>45880</v>
      </c>
      <c r="PM9">
        <v>5</v>
      </c>
      <c r="PN9">
        <v>1680352</v>
      </c>
      <c r="PO9">
        <v>7740212</v>
      </c>
      <c r="PP9" t="s">
        <v>4536</v>
      </c>
      <c r="PS9" t="s">
        <v>4410</v>
      </c>
      <c r="PT9">
        <v>1.9288590000000001</v>
      </c>
      <c r="PU9" t="s">
        <v>1598</v>
      </c>
      <c r="PV9">
        <v>1.3774420000000001</v>
      </c>
      <c r="PW9" t="s">
        <v>1664</v>
      </c>
      <c r="PX9">
        <v>2025</v>
      </c>
      <c r="PY9" t="s">
        <v>4406</v>
      </c>
      <c r="PZ9" s="6">
        <v>45944</v>
      </c>
      <c r="QA9">
        <v>5</v>
      </c>
      <c r="QB9">
        <v>95169904</v>
      </c>
      <c r="QC9">
        <v>113584</v>
      </c>
      <c r="QD9" t="s">
        <v>4411</v>
      </c>
      <c r="QI9" t="s">
        <v>493</v>
      </c>
      <c r="QJ9" t="s">
        <v>1598</v>
      </c>
      <c r="QK9">
        <v>0.27685399999999999</v>
      </c>
      <c r="QL9">
        <v>0.36708800000000003</v>
      </c>
      <c r="QM9" t="s">
        <v>1603</v>
      </c>
      <c r="QN9">
        <v>2025</v>
      </c>
      <c r="QO9" t="s">
        <v>2093</v>
      </c>
      <c r="QP9" s="6">
        <v>45795</v>
      </c>
      <c r="QQ9">
        <v>5</v>
      </c>
      <c r="QR9">
        <v>10895174</v>
      </c>
      <c r="QS9">
        <v>100499</v>
      </c>
      <c r="QT9" t="s">
        <v>2094</v>
      </c>
      <c r="QW9" t="s">
        <v>4108</v>
      </c>
      <c r="QX9">
        <v>0.72379000000000004</v>
      </c>
      <c r="QY9" t="s">
        <v>1598</v>
      </c>
      <c r="QZ9">
        <v>38.702872999999997</v>
      </c>
      <c r="RA9" t="s">
        <v>1594</v>
      </c>
      <c r="RB9">
        <v>2025</v>
      </c>
      <c r="RC9" t="s">
        <v>4106</v>
      </c>
      <c r="RD9" s="6">
        <v>46066</v>
      </c>
      <c r="RE9">
        <v>5</v>
      </c>
      <c r="RF9">
        <v>66500000</v>
      </c>
      <c r="RG9">
        <v>47826561</v>
      </c>
      <c r="RH9" t="s">
        <v>4109</v>
      </c>
      <c r="TE9" t="s">
        <v>1020</v>
      </c>
      <c r="TF9">
        <v>4.7567510000000004</v>
      </c>
      <c r="TG9" t="s">
        <v>1685</v>
      </c>
      <c r="TH9">
        <v>27.424123999999999</v>
      </c>
      <c r="TI9" t="s">
        <v>1594</v>
      </c>
      <c r="TJ9">
        <v>2024</v>
      </c>
      <c r="TK9" t="s">
        <v>3488</v>
      </c>
      <c r="TL9" s="6">
        <v>45693</v>
      </c>
      <c r="TM9">
        <v>5</v>
      </c>
      <c r="TN9">
        <v>12503001</v>
      </c>
      <c r="TO9">
        <v>70059040</v>
      </c>
      <c r="TP9" t="s">
        <v>3496</v>
      </c>
      <c r="TU9" t="s">
        <v>3560</v>
      </c>
      <c r="TW9">
        <v>-2.4245362661989844E-14</v>
      </c>
      <c r="TX9">
        <v>-2.4245362661989844E-14</v>
      </c>
      <c r="TY9" t="s">
        <v>1594</v>
      </c>
      <c r="TZ9">
        <v>2023</v>
      </c>
      <c r="UA9" t="s">
        <v>3561</v>
      </c>
      <c r="UB9" s="6">
        <v>45301</v>
      </c>
      <c r="UC9">
        <v>5</v>
      </c>
      <c r="UD9">
        <v>-2.4245362661989844E-14</v>
      </c>
      <c r="UE9">
        <v>57811522</v>
      </c>
      <c r="UF9" t="s">
        <v>3562</v>
      </c>
      <c r="UY9" t="s">
        <v>773</v>
      </c>
      <c r="UZ9" t="s">
        <v>1598</v>
      </c>
      <c r="VA9">
        <v>4.2578709999999997</v>
      </c>
      <c r="VB9">
        <v>0.81780799999999998</v>
      </c>
      <c r="VC9" t="s">
        <v>1664</v>
      </c>
      <c r="VD9">
        <v>2025</v>
      </c>
      <c r="VE9" t="s">
        <v>2139</v>
      </c>
      <c r="VF9" s="6">
        <v>45791</v>
      </c>
      <c r="VG9">
        <v>5</v>
      </c>
      <c r="VH9">
        <v>84479568</v>
      </c>
      <c r="VI9">
        <v>116988</v>
      </c>
      <c r="VJ9" t="s">
        <v>2140</v>
      </c>
      <c r="VM9" t="s">
        <v>1682</v>
      </c>
      <c r="VN9">
        <v>7.0043999999999995E-2</v>
      </c>
      <c r="VO9" t="s">
        <v>1598</v>
      </c>
      <c r="VP9">
        <v>0.716028</v>
      </c>
      <c r="VQ9" t="s">
        <v>1606</v>
      </c>
      <c r="VR9">
        <v>2024</v>
      </c>
      <c r="VS9" t="s">
        <v>1677</v>
      </c>
      <c r="VT9" s="6">
        <v>45706</v>
      </c>
      <c r="VU9">
        <v>5</v>
      </c>
      <c r="VV9">
        <v>9342469</v>
      </c>
      <c r="VW9">
        <v>202402</v>
      </c>
      <c r="VX9" t="s">
        <v>1683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1397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1398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1399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1400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1401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1402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1403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1404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1405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1406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1407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1408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1409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1410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1411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1412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1413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1414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1415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1416</v>
      </c>
      <c r="AE2" s="3" t="s">
        <v>29</v>
      </c>
      <c r="BI2" s="3" t="s">
        <v>282</v>
      </c>
      <c r="CM2" s="3" t="s">
        <v>433</v>
      </c>
      <c r="DQ2" s="3" t="s">
        <v>1417</v>
      </c>
      <c r="EU2" s="3" t="s">
        <v>1418</v>
      </c>
      <c r="FY2" s="3" t="s">
        <v>1149</v>
      </c>
      <c r="HC2" s="3" t="s">
        <v>1419</v>
      </c>
      <c r="IG2" s="3" t="s">
        <v>1420</v>
      </c>
      <c r="JK2" s="3" t="s">
        <v>1421</v>
      </c>
      <c r="KO2" s="3" t="s">
        <v>1422</v>
      </c>
      <c r="LS2" s="3" t="s">
        <v>207</v>
      </c>
      <c r="MW2" s="3" t="s">
        <v>1423</v>
      </c>
      <c r="OA2" s="3" t="s">
        <v>29</v>
      </c>
      <c r="PE2" s="3" t="s">
        <v>243</v>
      </c>
      <c r="QI2" s="3" t="s">
        <v>1424</v>
      </c>
      <c r="RM2" s="3" t="s">
        <v>1425</v>
      </c>
      <c r="SQ2" s="3" t="s">
        <v>1426</v>
      </c>
      <c r="TU2" s="3" t="s">
        <v>1427</v>
      </c>
      <c r="UY2" s="3" t="s">
        <v>681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_xll.BDS("AKAM US Equity","SUPPLY_CHAIN_SUPPLIERS_ALL_DATA","cols=12;rows=5")</f>
        <v>BXP US Equity</v>
      </c>
      <c r="B5" t="s">
        <v>1685</v>
      </c>
      <c r="C5">
        <v>2.085118</v>
      </c>
      <c r="D5">
        <v>6.2984429999999998</v>
      </c>
      <c r="E5" t="s">
        <v>1599</v>
      </c>
      <c r="F5">
        <v>2025</v>
      </c>
      <c r="G5" t="s">
        <v>3371</v>
      </c>
      <c r="H5" s="6">
        <v>45996</v>
      </c>
      <c r="I5">
        <v>5</v>
      </c>
      <c r="J5">
        <v>18172015</v>
      </c>
      <c r="K5">
        <v>225275</v>
      </c>
      <c r="L5" t="s">
        <v>3372</v>
      </c>
      <c r="O5" t="str">
        <f>_xll.BDS("AKAM US Equity","SUPPLY_CHAIN_CUSTOMERS_ALL_DATA","cols=12;rows=5")</f>
        <v>AMZN US Equity</v>
      </c>
      <c r="P5">
        <v>3.4298769999999998</v>
      </c>
      <c r="Q5" t="s">
        <v>1598</v>
      </c>
      <c r="R5">
        <v>4.5232000000000001E-2</v>
      </c>
      <c r="S5" t="s">
        <v>1603</v>
      </c>
      <c r="T5">
        <v>2025</v>
      </c>
      <c r="U5" t="s">
        <v>2012</v>
      </c>
      <c r="V5" s="6">
        <v>45834</v>
      </c>
      <c r="W5">
        <v>5</v>
      </c>
      <c r="X5">
        <v>34818020</v>
      </c>
      <c r="Y5">
        <v>216952</v>
      </c>
      <c r="Z5" t="s">
        <v>1631</v>
      </c>
      <c r="AE5" t="str">
        <f>_xll.BDS("VZ US Equity","SUPPLY_CHAIN_SUPPLIERS_ALL_DATA","cols=12;rows=5")</f>
        <v>AAPL US Equity</v>
      </c>
      <c r="AF5" t="s">
        <v>1598</v>
      </c>
      <c r="AG5">
        <v>2.0425080000000002</v>
      </c>
      <c r="AH5">
        <v>14.027474</v>
      </c>
      <c r="AI5" t="s">
        <v>1664</v>
      </c>
      <c r="AJ5">
        <v>2025</v>
      </c>
      <c r="AK5" t="s">
        <v>2375</v>
      </c>
      <c r="AL5" s="6">
        <v>45862</v>
      </c>
      <c r="AM5">
        <v>5</v>
      </c>
      <c r="AN5">
        <v>1947714816</v>
      </c>
      <c r="AO5">
        <v>101695</v>
      </c>
      <c r="AP5" t="s">
        <v>1919</v>
      </c>
      <c r="AS5" t="str">
        <f>_xll.BDS("VZ US Equity","SUPPLY_CHAIN_CUSTOMERS_ALL_DATA","cols=12;rows=5")</f>
        <v>SNX US Equity</v>
      </c>
      <c r="AT5">
        <v>0.47808400000000001</v>
      </c>
      <c r="AU5" t="s">
        <v>1598</v>
      </c>
      <c r="AV5">
        <v>1.074689</v>
      </c>
      <c r="AW5" t="s">
        <v>1606</v>
      </c>
      <c r="AX5">
        <v>2025</v>
      </c>
      <c r="AY5" t="s">
        <v>1701</v>
      </c>
      <c r="AZ5" s="6">
        <v>46056</v>
      </c>
      <c r="BA5">
        <v>5</v>
      </c>
      <c r="BB5">
        <v>173931856</v>
      </c>
      <c r="BC5">
        <v>1499717</v>
      </c>
      <c r="BD5" t="s">
        <v>1702</v>
      </c>
      <c r="BI5" t="str">
        <f>_xll.BDS("GEN US Equity","SUPPLY_CHAIN_SUPPLIERS_ALL_DATA","cols=12;rows=5")</f>
        <v>354 HK Equity</v>
      </c>
      <c r="BJ5" t="s">
        <v>1685</v>
      </c>
      <c r="BK5">
        <v>9.7283999999999995E-2</v>
      </c>
      <c r="BL5">
        <v>0.15382699999999999</v>
      </c>
      <c r="BM5" t="s">
        <v>1664</v>
      </c>
      <c r="BN5">
        <v>2025</v>
      </c>
      <c r="BO5" t="s">
        <v>3747</v>
      </c>
      <c r="BP5" s="6">
        <v>45944</v>
      </c>
      <c r="BQ5">
        <v>5</v>
      </c>
      <c r="BR5">
        <v>570196.56999999995</v>
      </c>
      <c r="BS5">
        <v>8157006</v>
      </c>
      <c r="BT5" t="s">
        <v>3748</v>
      </c>
      <c r="BW5" t="str">
        <f>_xll.BDS("GEN US Equity","SUPPLY_CHAIN_CUSTOMERS_ALL_DATA","cols=12;rows=5")</f>
        <v>BABA US Equity</v>
      </c>
      <c r="BX5">
        <v>1.718623</v>
      </c>
      <c r="BY5" t="s">
        <v>1598</v>
      </c>
      <c r="BZ5">
        <v>0.10999200000000001</v>
      </c>
      <c r="CA5" t="s">
        <v>1603</v>
      </c>
      <c r="CB5">
        <v>2026</v>
      </c>
      <c r="CC5" t="s">
        <v>2797</v>
      </c>
      <c r="CD5" s="6">
        <v>45973</v>
      </c>
      <c r="CE5">
        <v>5</v>
      </c>
      <c r="CF5">
        <v>20754987.789999999</v>
      </c>
      <c r="CG5">
        <v>16857643</v>
      </c>
      <c r="CH5" t="s">
        <v>2798</v>
      </c>
      <c r="CM5" t="str">
        <f>_xll.BDS("FANG US Equity","SUPPLY_CHAIN_SUPPLIERS_ALL_DATA","cols=12;rows=5")</f>
        <v>TEN IM Equity</v>
      </c>
      <c r="CN5" t="s">
        <v>1634</v>
      </c>
      <c r="CO5">
        <v>3.4598330000000002</v>
      </c>
      <c r="CP5">
        <v>4.4605490000000003</v>
      </c>
      <c r="CQ5" t="s">
        <v>1599</v>
      </c>
      <c r="CR5">
        <v>2025</v>
      </c>
      <c r="CS5" t="s">
        <v>3361</v>
      </c>
      <c r="CT5" s="6">
        <v>45971</v>
      </c>
      <c r="CU5">
        <v>5</v>
      </c>
      <c r="CV5">
        <v>103038672</v>
      </c>
      <c r="CW5">
        <v>7912227</v>
      </c>
      <c r="CX5" t="s">
        <v>3362</v>
      </c>
      <c r="DA5" t="str">
        <f>_xll.BDS("FANG US Equity","SUPPLY_CHAIN_CUSTOMERS_ALL_DATA","cols=12;rows=4")</f>
        <v>9888092Z US Equity</v>
      </c>
      <c r="DB5">
        <v>17</v>
      </c>
      <c r="DD5">
        <v>-2.4245362661989844E-14</v>
      </c>
      <c r="DE5" t="s">
        <v>1594</v>
      </c>
      <c r="DF5">
        <v>2024</v>
      </c>
      <c r="DG5" t="s">
        <v>4100</v>
      </c>
      <c r="DH5" s="6">
        <v>45714</v>
      </c>
      <c r="DI5">
        <v>4</v>
      </c>
      <c r="DJ5">
        <v>468137504</v>
      </c>
      <c r="DK5">
        <v>17234565</v>
      </c>
      <c r="DL5" t="s">
        <v>4101</v>
      </c>
      <c r="DQ5" t="str">
        <f>_xll.BDS("XOXOQ US Equity","SUPPLY_CHAIN_SUPPLIERS_ALL_DATA")</f>
        <v>#N/A N/A</v>
      </c>
      <c r="EE5" t="str">
        <f>_xll.BDS("XOXOQ US Equity","SUPPLY_CHAIN_CUSTOMERS_ALL_DATA")</f>
        <v>#N/A N/A</v>
      </c>
      <c r="EU5" t="str">
        <f>_xll.BDS("EXXIQ US Equity","SUPPLY_CHAIN_SUPPLIERS_ALL_DATA")</f>
        <v>#N/A N/A</v>
      </c>
      <c r="FI5" t="str">
        <f>_xll.BDS("EXXIQ US Equity","SUPPLY_CHAIN_CUSTOMERS_ALL_DATA")</f>
        <v>#N/A N/A</v>
      </c>
      <c r="FY5" t="str">
        <f>_xll.BDS("IEP US Equity","SUPPLY_CHAIN_SUPPLIERS_ALL_DATA","cols=12;rows=5")</f>
        <v>SMP US Equity</v>
      </c>
      <c r="FZ5" t="s">
        <v>1598</v>
      </c>
      <c r="GA5">
        <v>0.58005099999999998</v>
      </c>
      <c r="GB5">
        <v>0.126083</v>
      </c>
      <c r="GC5" t="s">
        <v>1664</v>
      </c>
      <c r="GD5">
        <v>2025</v>
      </c>
      <c r="GE5" t="s">
        <v>2952</v>
      </c>
      <c r="GF5" s="6">
        <v>45908</v>
      </c>
      <c r="GG5">
        <v>5</v>
      </c>
      <c r="GH5">
        <v>2864599</v>
      </c>
      <c r="GI5">
        <v>101392</v>
      </c>
      <c r="GJ5" t="s">
        <v>2953</v>
      </c>
      <c r="GM5" t="str">
        <f>_xll.BDS("IEP US Equity","SUPPLY_CHAIN_CUSTOMERS_ALL_DATA","cols=12;rows=2")</f>
        <v>FMGI IN Equity</v>
      </c>
      <c r="GN5">
        <v>-2.4245362661989844E-14</v>
      </c>
      <c r="GP5">
        <v>-2.4245362661989844E-14</v>
      </c>
      <c r="GQ5" t="s">
        <v>1594</v>
      </c>
      <c r="GR5">
        <v>2023</v>
      </c>
      <c r="GS5" t="s">
        <v>2499</v>
      </c>
      <c r="GT5" s="6">
        <v>45076</v>
      </c>
      <c r="GU5">
        <v>2</v>
      </c>
      <c r="GV5">
        <v>-2.4245362661989844E-14</v>
      </c>
      <c r="GW5">
        <v>174503</v>
      </c>
      <c r="GX5" t="s">
        <v>2500</v>
      </c>
      <c r="HC5" t="str">
        <f>_xll.BDS("GR US Equity","SUPPLY_CHAIN_SUPPLIERS_ALL_DATA")</f>
        <v>#N/A N/A</v>
      </c>
      <c r="HQ5" t="str">
        <f>_xll.BDS("GR US Equity","SUPPLY_CHAIN_CUSTOMERS_ALL_DATA")</f>
        <v>#N/A N/A</v>
      </c>
      <c r="IG5" t="str">
        <f>_xll.BDS("ALK US Equity","SUPPLY_CHAIN_SUPPLIERS_ALL_DATA","cols=12;rows=5")</f>
        <v>BA US Equity</v>
      </c>
      <c r="IH5" t="s">
        <v>1634</v>
      </c>
      <c r="II5">
        <v>1.1307940000000001</v>
      </c>
      <c r="IJ5">
        <v>51.142014000000003</v>
      </c>
      <c r="IK5" t="s">
        <v>1664</v>
      </c>
      <c r="IL5">
        <v>2025</v>
      </c>
      <c r="IM5" t="s">
        <v>2179</v>
      </c>
      <c r="IN5" s="6">
        <v>45873</v>
      </c>
      <c r="IO5">
        <v>5</v>
      </c>
      <c r="IP5">
        <v>257244320</v>
      </c>
      <c r="IQ5">
        <v>100211</v>
      </c>
      <c r="IR5" t="s">
        <v>1632</v>
      </c>
      <c r="IU5" t="str">
        <f>_xll.BDS("ALK US Equity","SUPPLY_CHAIN_CUSTOMERS_ALL_DATA","cols=12;rows=5")</f>
        <v>1484271D CN Equity</v>
      </c>
      <c r="IV5">
        <v>-2.4245362661989844E-14</v>
      </c>
      <c r="IX5">
        <v>-2.4245362661989844E-14</v>
      </c>
      <c r="IY5" t="s">
        <v>1664</v>
      </c>
      <c r="IZ5">
        <v>2025</v>
      </c>
      <c r="JA5" t="s">
        <v>4796</v>
      </c>
      <c r="JB5" s="6">
        <v>45845</v>
      </c>
      <c r="JC5">
        <v>5</v>
      </c>
      <c r="JD5">
        <v>-2.4245362661989844E-14</v>
      </c>
      <c r="JE5">
        <v>52338219</v>
      </c>
      <c r="JF5" t="s">
        <v>4797</v>
      </c>
      <c r="JK5" t="str">
        <f>_xll.BDS("STL US Equity","SUPPLY_CHAIN_SUPPLIERS_ALL_DATA")</f>
        <v>#N/A N/A</v>
      </c>
      <c r="JY5" t="str">
        <f>_xll.BDS("STL US Equity","SUPPLY_CHAIN_CUSTOMERS_ALL_DATA")</f>
        <v>#N/A N/A</v>
      </c>
      <c r="KO5" t="str">
        <f>_xll.BDS("HES US Equity","SUPPLY_CHAIN_SUPPLIERS_ALL_DATA","cols=12;rows=5")</f>
        <v>HESM US Equity</v>
      </c>
      <c r="KP5" t="s">
        <v>1598</v>
      </c>
      <c r="KQ5">
        <v>98</v>
      </c>
      <c r="KR5">
        <v>31.992795999999998</v>
      </c>
      <c r="KS5" t="s">
        <v>1594</v>
      </c>
      <c r="KT5">
        <v>2024</v>
      </c>
      <c r="KU5" t="s">
        <v>4439</v>
      </c>
      <c r="KV5" s="6">
        <v>45715</v>
      </c>
      <c r="KW5">
        <v>5</v>
      </c>
      <c r="KX5">
        <v>366397504</v>
      </c>
      <c r="KY5">
        <v>66604464</v>
      </c>
      <c r="KZ5" t="s">
        <v>4440</v>
      </c>
      <c r="LC5" t="str">
        <f>_xll.BDS("HES US Equity","SUPPLY_CHAIN_CUSTOMERS_ALL_DATA")</f>
        <v>#N/A N/A</v>
      </c>
      <c r="LS5" t="str">
        <f>_xll.BDS("GILD US Equity","SUPPLY_CHAIN_SUPPLIERS_ALL_DATA","cols=12;rows=5")</f>
        <v>JNJ US Equity</v>
      </c>
      <c r="LT5" t="s">
        <v>1598</v>
      </c>
      <c r="LU5">
        <v>0.39174900000000001</v>
      </c>
      <c r="LV5">
        <v>5.9191529999999997</v>
      </c>
      <c r="LW5" t="s">
        <v>1594</v>
      </c>
      <c r="LX5">
        <v>2025</v>
      </c>
      <c r="LY5" t="s">
        <v>2373</v>
      </c>
      <c r="LZ5" s="6">
        <v>46077</v>
      </c>
      <c r="MA5">
        <v>5</v>
      </c>
      <c r="MB5">
        <v>92250000</v>
      </c>
      <c r="MC5">
        <v>100828</v>
      </c>
      <c r="MD5" t="s">
        <v>1865</v>
      </c>
      <c r="MG5" t="str">
        <f>_xll.BDS("GILD US Equity","SUPPLY_CHAIN_CUSTOMERS_ALL_DATA","cols=12;rows=5")</f>
        <v>CAH US Equity</v>
      </c>
      <c r="MH5">
        <v>29</v>
      </c>
      <c r="MI5" t="s">
        <v>1598</v>
      </c>
      <c r="MJ5">
        <v>3.6236459999999999</v>
      </c>
      <c r="MK5" t="s">
        <v>1594</v>
      </c>
      <c r="ML5">
        <v>2025</v>
      </c>
      <c r="MM5" t="s">
        <v>2373</v>
      </c>
      <c r="MN5" s="6">
        <v>46077</v>
      </c>
      <c r="MO5">
        <v>5</v>
      </c>
      <c r="MP5">
        <v>2134617472</v>
      </c>
      <c r="MQ5">
        <v>102782</v>
      </c>
      <c r="MR5" t="s">
        <v>1626</v>
      </c>
      <c r="MW5" t="str">
        <f>_xll.BDS("TMHC US Equity","SUPPLY_CHAIN_SUPPLIERS_ALL_DATA","cols=12;rows=4")</f>
        <v>WMS US Equity</v>
      </c>
      <c r="MX5" t="s">
        <v>1598</v>
      </c>
      <c r="MY5">
        <v>0.32830100000000001</v>
      </c>
      <c r="MZ5">
        <v>0.17435899999999999</v>
      </c>
      <c r="NA5" t="s">
        <v>1603</v>
      </c>
      <c r="NB5">
        <v>2026</v>
      </c>
      <c r="NC5" t="s">
        <v>3861</v>
      </c>
      <c r="ND5" s="6">
        <v>45891</v>
      </c>
      <c r="NE5">
        <v>4</v>
      </c>
      <c r="NF5">
        <v>2724504</v>
      </c>
      <c r="NG5">
        <v>7799313</v>
      </c>
      <c r="NH5" t="s">
        <v>3862</v>
      </c>
      <c r="NK5" t="str">
        <f>_xll.BDS("TMHC US Equity","SUPPLY_CHAIN_CUSTOMERS_ALL_DATA")</f>
        <v>#N/A N/A</v>
      </c>
      <c r="OA5" t="str">
        <f>_xll.BDS("VZ US Equity","SUPPLY_CHAIN_SUPPLIERS_ALL_DATA","cols=12;rows=5")</f>
        <v>AAPL US Equity</v>
      </c>
      <c r="OB5" t="s">
        <v>1598</v>
      </c>
      <c r="OC5">
        <v>2.0425080000000002</v>
      </c>
      <c r="OD5">
        <v>14.027474</v>
      </c>
      <c r="OE5" t="s">
        <v>1664</v>
      </c>
      <c r="OF5">
        <v>2025</v>
      </c>
      <c r="OG5" t="s">
        <v>2375</v>
      </c>
      <c r="OH5" s="6">
        <v>45862</v>
      </c>
      <c r="OI5">
        <v>5</v>
      </c>
      <c r="OJ5">
        <v>1947714816</v>
      </c>
      <c r="OK5">
        <v>101695</v>
      </c>
      <c r="OL5" t="s">
        <v>1919</v>
      </c>
      <c r="OO5" t="str">
        <f>_xll.BDS("VZ US Equity","SUPPLY_CHAIN_CUSTOMERS_ALL_DATA","cols=12;rows=5")</f>
        <v>SNX US Equity</v>
      </c>
      <c r="OP5">
        <v>0.47808400000000001</v>
      </c>
      <c r="OQ5" t="s">
        <v>1598</v>
      </c>
      <c r="OR5">
        <v>1.074689</v>
      </c>
      <c r="OS5" t="s">
        <v>1606</v>
      </c>
      <c r="OT5">
        <v>2025</v>
      </c>
      <c r="OU5" t="s">
        <v>1701</v>
      </c>
      <c r="OV5" s="6">
        <v>46056</v>
      </c>
      <c r="OW5">
        <v>5</v>
      </c>
      <c r="OX5">
        <v>173931856</v>
      </c>
      <c r="OY5">
        <v>1499717</v>
      </c>
      <c r="OZ5" t="s">
        <v>1702</v>
      </c>
      <c r="PE5" t="str">
        <f>_xll.BDS("HON US Equity","SUPPLY_CHAIN_SUPPLIERS_ALL_DATA","cols=12;rows=5")</f>
        <v>CLS CN Equity</v>
      </c>
      <c r="PF5" t="s">
        <v>1598</v>
      </c>
      <c r="PG5">
        <v>4.9330850000000002</v>
      </c>
      <c r="PH5">
        <v>2.2964980000000002</v>
      </c>
      <c r="PI5" t="s">
        <v>1599</v>
      </c>
      <c r="PJ5">
        <v>2025</v>
      </c>
      <c r="PK5" t="s">
        <v>2976</v>
      </c>
      <c r="PL5" s="6">
        <v>46013</v>
      </c>
      <c r="PM5">
        <v>5</v>
      </c>
      <c r="PN5">
        <v>157562736</v>
      </c>
      <c r="PO5">
        <v>349266</v>
      </c>
      <c r="PP5" t="s">
        <v>2977</v>
      </c>
      <c r="PS5" t="str">
        <f>_xll.BDS("HON US Equity","SUPPLY_CHAIN_CUSTOMERS_ALL_DATA","cols=12;rows=5")</f>
        <v>3352Z US Equity</v>
      </c>
      <c r="PT5">
        <v>12.69163</v>
      </c>
      <c r="PV5">
        <v>-2.4245362661989844E-14</v>
      </c>
      <c r="PW5" t="s">
        <v>1594</v>
      </c>
      <c r="PX5">
        <v>2025</v>
      </c>
      <c r="PY5" t="s">
        <v>2755</v>
      </c>
      <c r="PZ5" s="6">
        <v>46070</v>
      </c>
      <c r="QA5">
        <v>5</v>
      </c>
      <c r="QB5">
        <v>1188000000</v>
      </c>
      <c r="QC5">
        <v>218252</v>
      </c>
      <c r="QD5" t="s">
        <v>1622</v>
      </c>
      <c r="QI5" t="str">
        <f>_xll.BDS("ZAYO US Equity","SUPPLY_CHAIN_SUPPLIERS_ALL_DATA","cols=12;rows=5")</f>
        <v>DCREIT SP Equity</v>
      </c>
      <c r="QK5">
        <v>0.68547599999999997</v>
      </c>
      <c r="QL5">
        <v>-2.4245362661989844E-14</v>
      </c>
      <c r="QM5" t="s">
        <v>1594</v>
      </c>
      <c r="QN5">
        <v>2024</v>
      </c>
      <c r="QO5" t="s">
        <v>2039</v>
      </c>
      <c r="QP5" s="6">
        <v>45835</v>
      </c>
      <c r="QQ5">
        <v>5</v>
      </c>
      <c r="QR5">
        <v>175266</v>
      </c>
      <c r="QS5">
        <v>69837126</v>
      </c>
      <c r="QT5" t="s">
        <v>2040</v>
      </c>
      <c r="QW5" t="str">
        <f>_xll.BDS("ZAYO US Equity","SUPPLY_CHAIN_CUSTOMERS_ALL_DATA","cols=12;rows=4")</f>
        <v>CLCO LN Equity</v>
      </c>
      <c r="QX5">
        <v>-2.4245362661989844E-14</v>
      </c>
      <c r="QZ5">
        <v>-2.4245362661989844E-14</v>
      </c>
      <c r="RA5" t="s">
        <v>1594</v>
      </c>
      <c r="RB5">
        <v>2023</v>
      </c>
      <c r="RC5" t="s">
        <v>1637</v>
      </c>
      <c r="RD5" s="6">
        <v>45412</v>
      </c>
      <c r="RE5">
        <v>4</v>
      </c>
      <c r="RF5">
        <v>-2.4245362661989844E-14</v>
      </c>
      <c r="RG5">
        <v>9307910</v>
      </c>
      <c r="RH5" t="s">
        <v>1638</v>
      </c>
      <c r="RM5" t="str">
        <f>_xll.BDS("9990531D US Equity","SUPPLY_CHAIN_SUPPLIERS_ALL_DATA","cols=12;rows=5")</f>
        <v>BAS1V FH Equity</v>
      </c>
      <c r="RO5">
        <v>-2.4245362661989844E-14</v>
      </c>
      <c r="RP5">
        <v>-2.4245362661989844E-14</v>
      </c>
      <c r="RQ5" t="s">
        <v>1603</v>
      </c>
      <c r="RR5">
        <v>2022</v>
      </c>
      <c r="RS5" t="s">
        <v>6110</v>
      </c>
      <c r="RT5" s="6">
        <v>44673</v>
      </c>
      <c r="RU5">
        <v>5</v>
      </c>
      <c r="RV5">
        <v>-2.4245362661989844E-14</v>
      </c>
      <c r="RW5">
        <v>885065</v>
      </c>
      <c r="RX5" t="s">
        <v>6111</v>
      </c>
      <c r="SA5" t="str">
        <f>_xll.BDS("9990531D US Equity","SUPPLY_CHAIN_CUSTOMERS_ALL_DATA","cols=12;rows=5")</f>
        <v>6214 TT Equity</v>
      </c>
      <c r="SB5">
        <v>-2.4245362661989844E-14</v>
      </c>
      <c r="SD5">
        <v>-2.4245362661989844E-14</v>
      </c>
      <c r="SE5" t="s">
        <v>1594</v>
      </c>
      <c r="SF5">
        <v>2021</v>
      </c>
      <c r="SG5" t="s">
        <v>4606</v>
      </c>
      <c r="SH5" s="6">
        <v>44687</v>
      </c>
      <c r="SI5">
        <v>5</v>
      </c>
      <c r="SJ5">
        <v>-2.4245362661989844E-14</v>
      </c>
      <c r="SK5">
        <v>7713904</v>
      </c>
      <c r="SL5" t="s">
        <v>4607</v>
      </c>
      <c r="SQ5" t="str">
        <f>_xll.BDS("RC US Equity","SUPPLY_CHAIN_SUPPLIERS_ALL_DATA")</f>
        <v>#N/A N/A</v>
      </c>
      <c r="TE5" t="str">
        <f>_xll.BDS("RC US Equity","SUPPLY_CHAIN_CUSTOMERS_ALL_DATA")</f>
        <v>#N/A N/A</v>
      </c>
      <c r="TU5" t="str">
        <f>_xll.BDS("CTAS US Equity","SUPPLY_CHAIN_SUPPLIERS_ALL_DATA","cols=12;rows=5")</f>
        <v>UFI US Equity</v>
      </c>
      <c r="TV5" t="s">
        <v>1598</v>
      </c>
      <c r="TW5">
        <v>0.70498499999999997</v>
      </c>
      <c r="TX5">
        <v>7.9556000000000002E-2</v>
      </c>
      <c r="TY5" t="s">
        <v>1599</v>
      </c>
      <c r="TZ5">
        <v>2025</v>
      </c>
      <c r="UA5" t="s">
        <v>4518</v>
      </c>
      <c r="UB5" s="6">
        <v>45819</v>
      </c>
      <c r="UC5">
        <v>5</v>
      </c>
      <c r="UD5">
        <v>1026122</v>
      </c>
      <c r="UE5">
        <v>101531</v>
      </c>
      <c r="UF5" t="s">
        <v>4519</v>
      </c>
      <c r="UI5" t="str">
        <f>_xll.BDS("CTAS US Equity","SUPPLY_CHAIN_CUSTOMERS_ALL_DATA","cols=12;rows=3")</f>
        <v>1229327D US Equity</v>
      </c>
      <c r="UJ5">
        <v>-2.4245362661989844E-14</v>
      </c>
      <c r="UL5">
        <v>-2.4245362661989844E-14</v>
      </c>
      <c r="UM5" t="s">
        <v>1603</v>
      </c>
      <c r="UN5">
        <v>2022</v>
      </c>
      <c r="UO5" t="s">
        <v>4204</v>
      </c>
      <c r="UP5" s="6">
        <v>44643</v>
      </c>
      <c r="UQ5">
        <v>3</v>
      </c>
      <c r="UR5">
        <v>-2.4245362661989844E-14</v>
      </c>
      <c r="US5">
        <v>43709251</v>
      </c>
      <c r="UT5" t="s">
        <v>4205</v>
      </c>
      <c r="UY5" t="str">
        <f>_xll.BDS("PENN US Equity","SUPPLY_CHAIN_SUPPLIERS_ALL_DATA","cols=12;rows=5")</f>
        <v>GLPI US Equity</v>
      </c>
      <c r="UZ5" t="s">
        <v>1685</v>
      </c>
      <c r="VA5">
        <v>52.997311000000003</v>
      </c>
      <c r="VB5">
        <v>52.234904999999998</v>
      </c>
      <c r="VC5" t="s">
        <v>1594</v>
      </c>
      <c r="VD5">
        <v>2024</v>
      </c>
      <c r="VE5" t="s">
        <v>3390</v>
      </c>
      <c r="VF5" s="6">
        <v>45708</v>
      </c>
      <c r="VG5">
        <v>5</v>
      </c>
      <c r="VH5">
        <v>202919550</v>
      </c>
      <c r="VI5">
        <v>33372374</v>
      </c>
      <c r="VJ5" t="s">
        <v>3391</v>
      </c>
      <c r="VM5" t="str">
        <f>_xll.BDS("PENN US Equity","SUPPLY_CHAIN_CUSTOMERS_ALL_DATA","cols=12;rows=4")</f>
        <v>0127957D US Equity</v>
      </c>
      <c r="VN5">
        <v>-2.4245362661989844E-14</v>
      </c>
      <c r="VP5">
        <v>-2.4245362661989844E-14</v>
      </c>
      <c r="VQ5" t="s">
        <v>1594</v>
      </c>
      <c r="VR5">
        <v>2024</v>
      </c>
      <c r="VS5" t="s">
        <v>2870</v>
      </c>
      <c r="VT5" s="6">
        <v>45747</v>
      </c>
      <c r="VU5">
        <v>4</v>
      </c>
      <c r="VV5">
        <v>-2.4245362661989844E-14</v>
      </c>
      <c r="VW5">
        <v>19488118</v>
      </c>
      <c r="VX5" t="s">
        <v>2871</v>
      </c>
    </row>
    <row r="6" spans="1:600" x14ac:dyDescent="0.25">
      <c r="A6" t="s">
        <v>2559</v>
      </c>
      <c r="B6" t="s">
        <v>1598</v>
      </c>
      <c r="C6">
        <v>1.3032999999999999E-2</v>
      </c>
      <c r="D6">
        <v>0.24352199999999999</v>
      </c>
      <c r="E6" t="s">
        <v>1599</v>
      </c>
      <c r="F6">
        <v>2025</v>
      </c>
      <c r="G6" t="s">
        <v>2560</v>
      </c>
      <c r="H6" s="6">
        <v>45867</v>
      </c>
      <c r="I6">
        <v>5</v>
      </c>
      <c r="J6">
        <v>1020223</v>
      </c>
      <c r="K6">
        <v>117092</v>
      </c>
      <c r="L6" t="s">
        <v>2561</v>
      </c>
      <c r="O6" t="s">
        <v>4651</v>
      </c>
      <c r="P6">
        <v>2.423603</v>
      </c>
      <c r="Q6" t="s">
        <v>1598</v>
      </c>
      <c r="R6">
        <v>0.22075900000000001</v>
      </c>
      <c r="S6" t="s">
        <v>1603</v>
      </c>
      <c r="T6">
        <v>2025</v>
      </c>
      <c r="U6" t="s">
        <v>2012</v>
      </c>
      <c r="V6" s="6">
        <v>45834</v>
      </c>
      <c r="W6">
        <v>5</v>
      </c>
      <c r="X6">
        <v>24602940</v>
      </c>
      <c r="Y6">
        <v>8957976</v>
      </c>
      <c r="Z6" t="s">
        <v>4652</v>
      </c>
      <c r="AE6" t="s">
        <v>2376</v>
      </c>
      <c r="AF6" t="s">
        <v>1598</v>
      </c>
      <c r="AG6">
        <v>2.370431</v>
      </c>
      <c r="AH6">
        <v>9.0958559999999995</v>
      </c>
      <c r="AI6" t="s">
        <v>1664</v>
      </c>
      <c r="AJ6">
        <v>2025</v>
      </c>
      <c r="AK6" t="s">
        <v>2377</v>
      </c>
      <c r="AL6" s="6">
        <v>45952</v>
      </c>
      <c r="AM6">
        <v>5</v>
      </c>
      <c r="AN6">
        <v>1262769985.1900001</v>
      </c>
      <c r="AO6">
        <v>117929</v>
      </c>
      <c r="AP6" t="s">
        <v>2378</v>
      </c>
      <c r="AS6" t="s">
        <v>1891</v>
      </c>
      <c r="AT6">
        <v>0.203543</v>
      </c>
      <c r="AU6" t="s">
        <v>1598</v>
      </c>
      <c r="AV6">
        <v>1.128412</v>
      </c>
      <c r="AW6" t="s">
        <v>1603</v>
      </c>
      <c r="AX6">
        <v>2025</v>
      </c>
      <c r="AY6" t="s">
        <v>1892</v>
      </c>
      <c r="AZ6" s="6">
        <v>45784</v>
      </c>
      <c r="BA6">
        <v>5</v>
      </c>
      <c r="BB6">
        <v>68156368</v>
      </c>
      <c r="BC6">
        <v>100115</v>
      </c>
      <c r="BD6" t="s">
        <v>1893</v>
      </c>
      <c r="BI6" t="s">
        <v>3050</v>
      </c>
      <c r="BJ6" t="s">
        <v>1634</v>
      </c>
      <c r="BK6">
        <v>1.6036999999999999E-2</v>
      </c>
      <c r="BL6">
        <v>0.55282200000000004</v>
      </c>
      <c r="BM6" t="s">
        <v>1603</v>
      </c>
      <c r="BN6">
        <v>2026</v>
      </c>
      <c r="BO6" t="s">
        <v>3051</v>
      </c>
      <c r="BP6" s="6">
        <v>46049</v>
      </c>
      <c r="BQ6">
        <v>5</v>
      </c>
      <c r="BR6">
        <v>49754</v>
      </c>
      <c r="BS6">
        <v>386537</v>
      </c>
      <c r="BT6" t="s">
        <v>3052</v>
      </c>
      <c r="BW6" t="s">
        <v>1700</v>
      </c>
      <c r="BX6">
        <v>1.134592</v>
      </c>
      <c r="BY6" t="s">
        <v>1598</v>
      </c>
      <c r="BZ6">
        <v>8.5527000000000006E-2</v>
      </c>
      <c r="CA6" t="s">
        <v>1606</v>
      </c>
      <c r="CB6">
        <v>2025</v>
      </c>
      <c r="CC6" t="s">
        <v>1701</v>
      </c>
      <c r="CD6" s="6">
        <v>46056</v>
      </c>
      <c r="CE6">
        <v>5</v>
      </c>
      <c r="CF6">
        <v>13842023</v>
      </c>
      <c r="CG6">
        <v>1499717</v>
      </c>
      <c r="CH6" t="s">
        <v>1702</v>
      </c>
      <c r="CM6" t="s">
        <v>2066</v>
      </c>
      <c r="CN6" t="s">
        <v>1634</v>
      </c>
      <c r="CO6">
        <v>7.5029789999999998</v>
      </c>
      <c r="CP6">
        <v>0.72067700000000001</v>
      </c>
      <c r="CQ6" t="s">
        <v>1664</v>
      </c>
      <c r="CR6">
        <v>2025</v>
      </c>
      <c r="CS6" t="s">
        <v>2067</v>
      </c>
      <c r="CT6" s="6">
        <v>45929</v>
      </c>
      <c r="CU6">
        <v>5</v>
      </c>
      <c r="CV6">
        <v>28747814</v>
      </c>
      <c r="CW6">
        <v>13070762</v>
      </c>
      <c r="CX6" t="s">
        <v>2068</v>
      </c>
      <c r="DA6" t="s">
        <v>4102</v>
      </c>
      <c r="DB6">
        <v>15</v>
      </c>
      <c r="DD6">
        <v>-2.4245362661989844E-14</v>
      </c>
      <c r="DE6" t="s">
        <v>1594</v>
      </c>
      <c r="DF6">
        <v>2024</v>
      </c>
      <c r="DG6" t="s">
        <v>4100</v>
      </c>
      <c r="DH6" s="6">
        <v>45714</v>
      </c>
      <c r="DI6">
        <v>4</v>
      </c>
      <c r="DJ6">
        <v>413062496</v>
      </c>
      <c r="DK6">
        <v>25604173</v>
      </c>
      <c r="DL6" t="s">
        <v>4103</v>
      </c>
      <c r="FY6" t="s">
        <v>2954</v>
      </c>
      <c r="FZ6" t="s">
        <v>1598</v>
      </c>
      <c r="GA6">
        <v>3.8052999999999997E-2</v>
      </c>
      <c r="GB6">
        <v>3.3156999999999999E-2</v>
      </c>
      <c r="GC6" t="s">
        <v>1664</v>
      </c>
      <c r="GD6">
        <v>2025</v>
      </c>
      <c r="GE6" t="s">
        <v>2955</v>
      </c>
      <c r="GF6" s="6">
        <v>45954</v>
      </c>
      <c r="GG6">
        <v>5</v>
      </c>
      <c r="GH6">
        <v>753034.07</v>
      </c>
      <c r="GI6">
        <v>114817</v>
      </c>
      <c r="GJ6" t="s">
        <v>2956</v>
      </c>
      <c r="GM6" t="s">
        <v>2501</v>
      </c>
      <c r="GN6">
        <v>-2.4245362661989844E-14</v>
      </c>
      <c r="GP6">
        <v>-2.4245362661989844E-14</v>
      </c>
      <c r="GQ6" t="s">
        <v>1594</v>
      </c>
      <c r="GR6">
        <v>2022</v>
      </c>
      <c r="GS6" t="s">
        <v>2502</v>
      </c>
      <c r="GT6" s="6">
        <v>44994</v>
      </c>
      <c r="GU6">
        <v>2</v>
      </c>
      <c r="GV6">
        <v>-2.4245362661989844E-14</v>
      </c>
      <c r="GW6">
        <v>10498790</v>
      </c>
      <c r="GX6" t="s">
        <v>2503</v>
      </c>
      <c r="IG6" t="s">
        <v>745</v>
      </c>
      <c r="IH6" t="s">
        <v>1598</v>
      </c>
      <c r="II6">
        <v>0.82260900000000003</v>
      </c>
      <c r="IJ6">
        <v>2.6459350000000001</v>
      </c>
      <c r="IK6" t="s">
        <v>1664</v>
      </c>
      <c r="IL6">
        <v>2025</v>
      </c>
      <c r="IM6" t="s">
        <v>1958</v>
      </c>
      <c r="IN6" s="6">
        <v>45888</v>
      </c>
      <c r="IO6">
        <v>5</v>
      </c>
      <c r="IP6">
        <v>90676192</v>
      </c>
      <c r="IQ6">
        <v>100632</v>
      </c>
      <c r="IR6" t="s">
        <v>2162</v>
      </c>
      <c r="IU6" t="s">
        <v>4798</v>
      </c>
      <c r="IV6">
        <v>-2.4245362661989844E-14</v>
      </c>
      <c r="IX6">
        <v>-2.4245362661989844E-14</v>
      </c>
      <c r="IY6" t="s">
        <v>1664</v>
      </c>
      <c r="IZ6">
        <v>2025</v>
      </c>
      <c r="JA6" t="s">
        <v>4796</v>
      </c>
      <c r="JB6" s="6">
        <v>45845</v>
      </c>
      <c r="JC6">
        <v>5</v>
      </c>
      <c r="JD6">
        <v>-2.4245362661989844E-14</v>
      </c>
      <c r="JE6">
        <v>69976042</v>
      </c>
      <c r="JF6" t="s">
        <v>4799</v>
      </c>
      <c r="KO6" t="s">
        <v>213</v>
      </c>
      <c r="KP6" t="s">
        <v>1634</v>
      </c>
      <c r="KQ6">
        <v>5.1084389999999997</v>
      </c>
      <c r="KR6">
        <v>2.769495</v>
      </c>
      <c r="KS6" t="s">
        <v>1606</v>
      </c>
      <c r="KT6">
        <v>2024</v>
      </c>
      <c r="KU6" t="s">
        <v>4441</v>
      </c>
      <c r="KV6" s="6">
        <v>45763</v>
      </c>
      <c r="KW6">
        <v>5</v>
      </c>
      <c r="KX6">
        <v>48632340</v>
      </c>
      <c r="KY6">
        <v>119077</v>
      </c>
      <c r="KZ6" t="s">
        <v>4442</v>
      </c>
      <c r="LS6" t="s">
        <v>4296</v>
      </c>
      <c r="LT6" t="s">
        <v>1598</v>
      </c>
      <c r="LU6">
        <v>87.357474999999994</v>
      </c>
      <c r="LV6">
        <v>4.166086</v>
      </c>
      <c r="LW6" t="s">
        <v>1594</v>
      </c>
      <c r="LX6">
        <v>2024</v>
      </c>
      <c r="LY6" t="s">
        <v>4297</v>
      </c>
      <c r="LZ6" s="6">
        <v>45744</v>
      </c>
      <c r="MA6">
        <v>5</v>
      </c>
      <c r="MB6">
        <v>65124360</v>
      </c>
      <c r="MC6">
        <v>1421851</v>
      </c>
      <c r="MD6" t="s">
        <v>4298</v>
      </c>
      <c r="MG6" t="s">
        <v>277</v>
      </c>
      <c r="MH6">
        <v>24</v>
      </c>
      <c r="MI6" t="s">
        <v>1598</v>
      </c>
      <c r="MJ6">
        <v>1.8410839999999999</v>
      </c>
      <c r="MK6" t="s">
        <v>1594</v>
      </c>
      <c r="ML6">
        <v>2025</v>
      </c>
      <c r="MM6" t="s">
        <v>2373</v>
      </c>
      <c r="MN6" s="6">
        <v>46077</v>
      </c>
      <c r="MO6">
        <v>5</v>
      </c>
      <c r="MP6">
        <v>1766579968</v>
      </c>
      <c r="MQ6">
        <v>154936</v>
      </c>
      <c r="MR6" t="s">
        <v>1766</v>
      </c>
      <c r="MW6" t="s">
        <v>3863</v>
      </c>
      <c r="MX6" t="s">
        <v>1598</v>
      </c>
      <c r="MY6">
        <v>6</v>
      </c>
      <c r="MZ6">
        <v>3.3852E-2</v>
      </c>
      <c r="NA6" t="s">
        <v>2438</v>
      </c>
      <c r="NB6">
        <v>2025</v>
      </c>
      <c r="NC6" t="s">
        <v>3864</v>
      </c>
      <c r="ND6" s="6">
        <v>46029</v>
      </c>
      <c r="NE6">
        <v>4</v>
      </c>
      <c r="NF6">
        <v>548100</v>
      </c>
      <c r="NG6">
        <v>136177</v>
      </c>
      <c r="NH6" t="s">
        <v>3865</v>
      </c>
      <c r="OA6" t="s">
        <v>2376</v>
      </c>
      <c r="OB6" t="s">
        <v>1598</v>
      </c>
      <c r="OC6">
        <v>2.370431</v>
      </c>
      <c r="OD6">
        <v>9.0958559999999995</v>
      </c>
      <c r="OE6" t="s">
        <v>1664</v>
      </c>
      <c r="OF6">
        <v>2025</v>
      </c>
      <c r="OG6" t="s">
        <v>2377</v>
      </c>
      <c r="OH6" s="6">
        <v>45952</v>
      </c>
      <c r="OI6">
        <v>5</v>
      </c>
      <c r="OJ6">
        <v>1262769985.1900001</v>
      </c>
      <c r="OK6">
        <v>117929</v>
      </c>
      <c r="OL6" t="s">
        <v>2378</v>
      </c>
      <c r="OO6" t="s">
        <v>1891</v>
      </c>
      <c r="OP6">
        <v>0.203543</v>
      </c>
      <c r="OQ6" t="s">
        <v>1598</v>
      </c>
      <c r="OR6">
        <v>1.128412</v>
      </c>
      <c r="OS6" t="s">
        <v>1603</v>
      </c>
      <c r="OT6">
        <v>2025</v>
      </c>
      <c r="OU6" t="s">
        <v>1892</v>
      </c>
      <c r="OV6" s="6">
        <v>45784</v>
      </c>
      <c r="OW6">
        <v>5</v>
      </c>
      <c r="OX6">
        <v>68156368</v>
      </c>
      <c r="OY6">
        <v>100115</v>
      </c>
      <c r="OZ6" t="s">
        <v>1893</v>
      </c>
      <c r="PE6" t="s">
        <v>2978</v>
      </c>
      <c r="PF6" t="s">
        <v>1598</v>
      </c>
      <c r="PG6">
        <v>1.8928469999999999</v>
      </c>
      <c r="PH6">
        <v>1.1381829999999999</v>
      </c>
      <c r="PI6" t="s">
        <v>1664</v>
      </c>
      <c r="PJ6">
        <v>2025</v>
      </c>
      <c r="PK6" t="s">
        <v>2979</v>
      </c>
      <c r="PL6" s="6">
        <v>45867</v>
      </c>
      <c r="PM6">
        <v>5</v>
      </c>
      <c r="PN6">
        <v>72035608</v>
      </c>
      <c r="PO6">
        <v>225605</v>
      </c>
      <c r="PP6" t="s">
        <v>2980</v>
      </c>
      <c r="PS6" t="s">
        <v>872</v>
      </c>
      <c r="PT6">
        <v>3.3300339999999999</v>
      </c>
      <c r="PU6" t="s">
        <v>1598</v>
      </c>
      <c r="PV6">
        <v>1.6969829999999999</v>
      </c>
      <c r="PW6" t="s">
        <v>1664</v>
      </c>
      <c r="PX6">
        <v>2025</v>
      </c>
      <c r="PY6" t="s">
        <v>2180</v>
      </c>
      <c r="PZ6" s="6">
        <v>45898</v>
      </c>
      <c r="QA6">
        <v>5</v>
      </c>
      <c r="QB6">
        <v>344725120</v>
      </c>
      <c r="QC6">
        <v>100211</v>
      </c>
      <c r="QD6" t="s">
        <v>1632</v>
      </c>
      <c r="QI6" t="s">
        <v>2041</v>
      </c>
      <c r="QK6">
        <v>-2.4245362661989844E-14</v>
      </c>
      <c r="QL6">
        <v>-2.4245362661989844E-14</v>
      </c>
      <c r="QM6" t="s">
        <v>1599</v>
      </c>
      <c r="QN6">
        <v>2024</v>
      </c>
      <c r="QO6" t="s">
        <v>2042</v>
      </c>
      <c r="QP6" s="6">
        <v>45569</v>
      </c>
      <c r="QQ6">
        <v>5</v>
      </c>
      <c r="QR6">
        <v>-2.4245362661989844E-14</v>
      </c>
      <c r="QS6">
        <v>211040</v>
      </c>
      <c r="QT6" t="s">
        <v>2043</v>
      </c>
      <c r="QW6" t="s">
        <v>1639</v>
      </c>
      <c r="QX6">
        <v>-2.4245362661989844E-14</v>
      </c>
      <c r="QZ6">
        <v>-2.4245362661989844E-14</v>
      </c>
      <c r="RA6" t="s">
        <v>1594</v>
      </c>
      <c r="RB6">
        <v>2022</v>
      </c>
      <c r="RC6" t="s">
        <v>1640</v>
      </c>
      <c r="RD6" s="6">
        <v>44993</v>
      </c>
      <c r="RE6">
        <v>4</v>
      </c>
      <c r="RF6">
        <v>-2.4245362661989844E-14</v>
      </c>
      <c r="RG6">
        <v>10092517</v>
      </c>
      <c r="RH6" t="s">
        <v>1641</v>
      </c>
      <c r="RM6" t="s">
        <v>5430</v>
      </c>
      <c r="RO6">
        <v>-2.4245362661989844E-14</v>
      </c>
      <c r="RP6">
        <v>-2.4245362661989844E-14</v>
      </c>
      <c r="RQ6" t="s">
        <v>1594</v>
      </c>
      <c r="RR6">
        <v>2022</v>
      </c>
      <c r="RS6" t="s">
        <v>6112</v>
      </c>
      <c r="RT6" s="6">
        <v>44679</v>
      </c>
      <c r="RU6">
        <v>5</v>
      </c>
      <c r="RV6">
        <v>-2.4245362661989844E-14</v>
      </c>
      <c r="RW6">
        <v>63052670</v>
      </c>
      <c r="RX6" t="s">
        <v>5432</v>
      </c>
      <c r="SA6" t="s">
        <v>4608</v>
      </c>
      <c r="SB6">
        <v>-2.4245362661989844E-14</v>
      </c>
      <c r="SD6">
        <v>-2.4245362661989844E-14</v>
      </c>
      <c r="SE6" t="s">
        <v>1594</v>
      </c>
      <c r="SF6">
        <v>2022</v>
      </c>
      <c r="SG6" t="s">
        <v>4609</v>
      </c>
      <c r="SH6" s="6">
        <v>44684</v>
      </c>
      <c r="SI6">
        <v>5</v>
      </c>
      <c r="SJ6">
        <v>-2.4245362661989844E-14</v>
      </c>
      <c r="SK6">
        <v>69402470</v>
      </c>
      <c r="SL6" t="s">
        <v>4610</v>
      </c>
      <c r="TU6" t="s">
        <v>4520</v>
      </c>
      <c r="TW6">
        <v>-2.4245362661989844E-14</v>
      </c>
      <c r="TX6">
        <v>-2.4245362661989844E-14</v>
      </c>
      <c r="TY6" t="s">
        <v>1594</v>
      </c>
      <c r="TZ6">
        <v>2023</v>
      </c>
      <c r="UA6" t="s">
        <v>4521</v>
      </c>
      <c r="UB6" s="6">
        <v>45048</v>
      </c>
      <c r="UC6">
        <v>5</v>
      </c>
      <c r="UD6">
        <v>-2.4245362661989844E-14</v>
      </c>
      <c r="UE6">
        <v>24284490</v>
      </c>
      <c r="UF6" t="s">
        <v>4522</v>
      </c>
      <c r="UI6" t="s">
        <v>4206</v>
      </c>
      <c r="UJ6">
        <v>-2.4245362661989844E-14</v>
      </c>
      <c r="UL6">
        <v>-2.4245362661989844E-14</v>
      </c>
      <c r="UM6" t="s">
        <v>1603</v>
      </c>
      <c r="UN6">
        <v>2023</v>
      </c>
      <c r="UO6" t="s">
        <v>4207</v>
      </c>
      <c r="UP6" s="6">
        <v>45016</v>
      </c>
      <c r="UQ6">
        <v>3</v>
      </c>
      <c r="UR6">
        <v>-2.4245362661989844E-14</v>
      </c>
      <c r="US6">
        <v>54242560</v>
      </c>
      <c r="UT6" t="s">
        <v>4208</v>
      </c>
      <c r="UY6" t="s">
        <v>4137</v>
      </c>
      <c r="VA6">
        <v>-2.4245362661989844E-14</v>
      </c>
      <c r="VB6">
        <v>-2.4245362661989844E-14</v>
      </c>
      <c r="VC6" t="s">
        <v>1594</v>
      </c>
      <c r="VD6">
        <v>2025</v>
      </c>
      <c r="VE6" t="s">
        <v>4138</v>
      </c>
      <c r="VF6" s="6">
        <v>45903</v>
      </c>
      <c r="VG6">
        <v>5</v>
      </c>
      <c r="VH6">
        <v>-2.4245362661989844E-14</v>
      </c>
      <c r="VI6">
        <v>29450553</v>
      </c>
      <c r="VJ6" t="s">
        <v>4139</v>
      </c>
      <c r="VM6" t="s">
        <v>4080</v>
      </c>
      <c r="VN6">
        <v>-2.4245362661989844E-14</v>
      </c>
      <c r="VP6">
        <v>-2.4245362661989844E-14</v>
      </c>
      <c r="VQ6" t="s">
        <v>1594</v>
      </c>
      <c r="VR6">
        <v>2025</v>
      </c>
      <c r="VS6" t="s">
        <v>4081</v>
      </c>
      <c r="VT6" s="6">
        <v>45749</v>
      </c>
      <c r="VU6">
        <v>4</v>
      </c>
      <c r="VV6">
        <v>-2.4245362661989844E-14</v>
      </c>
      <c r="VW6">
        <v>102456</v>
      </c>
      <c r="VX6" t="s">
        <v>4082</v>
      </c>
    </row>
    <row r="7" spans="1:600" x14ac:dyDescent="0.25">
      <c r="A7" t="s">
        <v>5347</v>
      </c>
      <c r="B7" t="s">
        <v>1634</v>
      </c>
      <c r="C7">
        <v>3.9831999999999999E-2</v>
      </c>
      <c r="D7">
        <v>0.26015700000000003</v>
      </c>
      <c r="E7" t="s">
        <v>1603</v>
      </c>
      <c r="F7">
        <v>2025</v>
      </c>
      <c r="G7" t="s">
        <v>5348</v>
      </c>
      <c r="H7" s="6">
        <v>45847</v>
      </c>
      <c r="I7">
        <v>5</v>
      </c>
      <c r="J7">
        <v>509929</v>
      </c>
      <c r="K7">
        <v>929589</v>
      </c>
      <c r="L7" t="s">
        <v>5349</v>
      </c>
      <c r="O7" t="s">
        <v>1917</v>
      </c>
      <c r="P7">
        <v>2.2519680000000002</v>
      </c>
      <c r="Q7" t="s">
        <v>1598</v>
      </c>
      <c r="R7">
        <v>4.5275999999999997E-2</v>
      </c>
      <c r="S7" t="s">
        <v>1603</v>
      </c>
      <c r="T7">
        <v>2025</v>
      </c>
      <c r="U7" t="s">
        <v>2012</v>
      </c>
      <c r="V7" s="6">
        <v>45834</v>
      </c>
      <c r="W7">
        <v>5</v>
      </c>
      <c r="X7">
        <v>22860604</v>
      </c>
      <c r="Y7">
        <v>101695</v>
      </c>
      <c r="Z7" t="s">
        <v>1919</v>
      </c>
      <c r="AE7" t="s">
        <v>428</v>
      </c>
      <c r="AF7" t="s">
        <v>1598</v>
      </c>
      <c r="AG7">
        <v>14</v>
      </c>
      <c r="AH7">
        <v>2.6252870000000001</v>
      </c>
      <c r="AI7" t="s">
        <v>1594</v>
      </c>
      <c r="AJ7">
        <v>2025</v>
      </c>
      <c r="AK7" t="s">
        <v>2379</v>
      </c>
      <c r="AL7" s="6">
        <v>46077</v>
      </c>
      <c r="AM7">
        <v>5</v>
      </c>
      <c r="AN7">
        <v>372560992</v>
      </c>
      <c r="AO7">
        <v>210870</v>
      </c>
      <c r="AP7" t="s">
        <v>2380</v>
      </c>
      <c r="AS7" t="s">
        <v>1679</v>
      </c>
      <c r="AT7">
        <v>0.11801499999999999</v>
      </c>
      <c r="AU7" t="s">
        <v>1598</v>
      </c>
      <c r="AV7">
        <v>0.96932300000000005</v>
      </c>
      <c r="AW7" t="s">
        <v>1603</v>
      </c>
      <c r="AX7">
        <v>2025</v>
      </c>
      <c r="AY7" t="s">
        <v>1680</v>
      </c>
      <c r="AZ7" s="6">
        <v>45820</v>
      </c>
      <c r="BA7">
        <v>5</v>
      </c>
      <c r="BB7">
        <v>39517360</v>
      </c>
      <c r="BC7">
        <v>12129192</v>
      </c>
      <c r="BD7" t="s">
        <v>1681</v>
      </c>
      <c r="BI7" t="s">
        <v>3749</v>
      </c>
      <c r="BK7">
        <v>-2.4245362661989844E-14</v>
      </c>
      <c r="BL7">
        <v>-2.4245362661989844E-14</v>
      </c>
      <c r="BM7" t="s">
        <v>1594</v>
      </c>
      <c r="BN7">
        <v>2024</v>
      </c>
      <c r="BO7" t="s">
        <v>3750</v>
      </c>
      <c r="BP7" s="6">
        <v>45460</v>
      </c>
      <c r="BQ7">
        <v>5</v>
      </c>
      <c r="BR7">
        <v>-2.4245362661989844E-14</v>
      </c>
      <c r="BS7">
        <v>866053</v>
      </c>
      <c r="BT7" t="s">
        <v>3751</v>
      </c>
      <c r="BW7" t="s">
        <v>1774</v>
      </c>
      <c r="BX7">
        <v>0.82555699999999999</v>
      </c>
      <c r="BY7" t="s">
        <v>1598</v>
      </c>
      <c r="BZ7">
        <v>0.12263</v>
      </c>
      <c r="CA7" t="s">
        <v>1664</v>
      </c>
      <c r="CB7">
        <v>2026</v>
      </c>
      <c r="CC7" t="s">
        <v>1782</v>
      </c>
      <c r="CD7" s="6">
        <v>45932</v>
      </c>
      <c r="CE7">
        <v>5</v>
      </c>
      <c r="CF7">
        <v>10377257</v>
      </c>
      <c r="CG7">
        <v>100197</v>
      </c>
      <c r="CH7" t="s">
        <v>1775</v>
      </c>
      <c r="CM7" t="s">
        <v>2848</v>
      </c>
      <c r="CN7" t="s">
        <v>1598</v>
      </c>
      <c r="CO7">
        <v>15</v>
      </c>
      <c r="CP7">
        <v>0.40040399999999998</v>
      </c>
      <c r="CQ7" t="s">
        <v>1594</v>
      </c>
      <c r="CR7">
        <v>2024</v>
      </c>
      <c r="CS7" t="s">
        <v>4185</v>
      </c>
      <c r="CT7" s="6">
        <v>45708</v>
      </c>
      <c r="CU7">
        <v>5</v>
      </c>
      <c r="CV7">
        <v>6057112.5</v>
      </c>
      <c r="CW7">
        <v>8016379</v>
      </c>
      <c r="CX7" t="s">
        <v>2850</v>
      </c>
      <c r="DA7" t="s">
        <v>1817</v>
      </c>
      <c r="DB7">
        <v>13</v>
      </c>
      <c r="DC7" t="s">
        <v>1598</v>
      </c>
      <c r="DD7">
        <v>0.67704799999999998</v>
      </c>
      <c r="DE7" t="s">
        <v>1594</v>
      </c>
      <c r="DF7">
        <v>2024</v>
      </c>
      <c r="DG7" t="s">
        <v>4100</v>
      </c>
      <c r="DH7" s="6">
        <v>45714</v>
      </c>
      <c r="DI7">
        <v>4</v>
      </c>
      <c r="DJ7">
        <v>357987488</v>
      </c>
      <c r="DK7">
        <v>9268711</v>
      </c>
      <c r="DL7" t="s">
        <v>1818</v>
      </c>
      <c r="FY7" t="s">
        <v>2957</v>
      </c>
      <c r="FZ7" t="s">
        <v>1598</v>
      </c>
      <c r="GA7">
        <v>8.6390000000000008E-3</v>
      </c>
      <c r="GB7">
        <v>2.8081999999999999E-2</v>
      </c>
      <c r="GC7" t="s">
        <v>1664</v>
      </c>
      <c r="GD7">
        <v>2025</v>
      </c>
      <c r="GE7" t="s">
        <v>2958</v>
      </c>
      <c r="GF7" s="6">
        <v>45951</v>
      </c>
      <c r="GG7">
        <v>5</v>
      </c>
      <c r="GH7">
        <v>637757.78</v>
      </c>
      <c r="GI7">
        <v>115439</v>
      </c>
      <c r="GJ7" t="s">
        <v>2959</v>
      </c>
      <c r="IG7" t="s">
        <v>4486</v>
      </c>
      <c r="IH7" t="s">
        <v>1634</v>
      </c>
      <c r="II7">
        <v>1.879874</v>
      </c>
      <c r="IJ7">
        <v>6.7720000000000002</v>
      </c>
      <c r="IK7" t="s">
        <v>1664</v>
      </c>
      <c r="IL7">
        <v>2025</v>
      </c>
      <c r="IM7" t="s">
        <v>4941</v>
      </c>
      <c r="IN7" s="6">
        <v>45875</v>
      </c>
      <c r="IO7">
        <v>5</v>
      </c>
      <c r="IP7">
        <v>34074681.460000001</v>
      </c>
      <c r="IQ7">
        <v>158756</v>
      </c>
      <c r="IR7" t="s">
        <v>4488</v>
      </c>
      <c r="IU7" t="s">
        <v>4800</v>
      </c>
      <c r="IV7">
        <v>-2.4245362661989844E-14</v>
      </c>
      <c r="IX7">
        <v>-2.4245362661989844E-14</v>
      </c>
      <c r="IY7" t="s">
        <v>1664</v>
      </c>
      <c r="IZ7">
        <v>2025</v>
      </c>
      <c r="JA7" t="s">
        <v>4796</v>
      </c>
      <c r="JB7" s="6">
        <v>45845</v>
      </c>
      <c r="JC7">
        <v>5</v>
      </c>
      <c r="JD7">
        <v>-2.4245362661989844E-14</v>
      </c>
      <c r="JE7">
        <v>101697</v>
      </c>
      <c r="JF7" t="s">
        <v>4801</v>
      </c>
      <c r="KO7" t="s">
        <v>2069</v>
      </c>
      <c r="KP7" t="s">
        <v>1634</v>
      </c>
      <c r="KQ7">
        <v>1.420428</v>
      </c>
      <c r="KR7">
        <v>1.4465920000000001</v>
      </c>
      <c r="KS7" t="s">
        <v>1606</v>
      </c>
      <c r="KT7">
        <v>2024</v>
      </c>
      <c r="KU7" t="s">
        <v>2070</v>
      </c>
      <c r="KV7" s="6">
        <v>45784</v>
      </c>
      <c r="KW7">
        <v>5</v>
      </c>
      <c r="KX7">
        <v>14850928.77</v>
      </c>
      <c r="KY7">
        <v>115557</v>
      </c>
      <c r="KZ7" t="s">
        <v>2071</v>
      </c>
      <c r="LS7" t="s">
        <v>4299</v>
      </c>
      <c r="LT7" t="s">
        <v>1598</v>
      </c>
      <c r="LU7">
        <v>0.48287799999999997</v>
      </c>
      <c r="LV7">
        <v>1.7965990000000001</v>
      </c>
      <c r="LW7" t="s">
        <v>1594</v>
      </c>
      <c r="LX7">
        <v>2025</v>
      </c>
      <c r="LY7" t="s">
        <v>2373</v>
      </c>
      <c r="LZ7" s="6">
        <v>46077</v>
      </c>
      <c r="MA7">
        <v>5</v>
      </c>
      <c r="MB7">
        <v>28000000</v>
      </c>
      <c r="MC7">
        <v>153205</v>
      </c>
      <c r="MD7" t="s">
        <v>4300</v>
      </c>
      <c r="MG7" t="s">
        <v>959</v>
      </c>
      <c r="MH7">
        <v>21</v>
      </c>
      <c r="MI7" t="s">
        <v>1598</v>
      </c>
      <c r="MJ7">
        <v>1.9704660000000001</v>
      </c>
      <c r="MK7" t="s">
        <v>1594</v>
      </c>
      <c r="ML7">
        <v>2025</v>
      </c>
      <c r="MM7" t="s">
        <v>2373</v>
      </c>
      <c r="MN7" s="6">
        <v>46077</v>
      </c>
      <c r="MO7">
        <v>5</v>
      </c>
      <c r="MP7">
        <v>1545757440</v>
      </c>
      <c r="MQ7">
        <v>156969</v>
      </c>
      <c r="MR7" t="s">
        <v>1767</v>
      </c>
      <c r="MW7" t="s">
        <v>1211</v>
      </c>
      <c r="MY7">
        <v>-2.4245362661989844E-14</v>
      </c>
      <c r="MZ7">
        <v>-2.4245362661989844E-14</v>
      </c>
      <c r="NA7" t="s">
        <v>1594</v>
      </c>
      <c r="NB7">
        <v>2024</v>
      </c>
      <c r="NC7" t="s">
        <v>1715</v>
      </c>
      <c r="ND7" s="6">
        <v>45708</v>
      </c>
      <c r="NE7">
        <v>4</v>
      </c>
      <c r="NF7">
        <v>-2.4245362661989844E-14</v>
      </c>
      <c r="NG7">
        <v>952888</v>
      </c>
      <c r="NH7" t="s">
        <v>2787</v>
      </c>
      <c r="OA7" t="s">
        <v>428</v>
      </c>
      <c r="OB7" t="s">
        <v>1598</v>
      </c>
      <c r="OC7">
        <v>14</v>
      </c>
      <c r="OD7">
        <v>2.6252870000000001</v>
      </c>
      <c r="OE7" t="s">
        <v>1594</v>
      </c>
      <c r="OF7">
        <v>2025</v>
      </c>
      <c r="OG7" t="s">
        <v>2379</v>
      </c>
      <c r="OH7" s="6">
        <v>46077</v>
      </c>
      <c r="OI7">
        <v>5</v>
      </c>
      <c r="OJ7">
        <v>372560992</v>
      </c>
      <c r="OK7">
        <v>210870</v>
      </c>
      <c r="OL7" t="s">
        <v>2380</v>
      </c>
      <c r="OO7" t="s">
        <v>1679</v>
      </c>
      <c r="OP7">
        <v>0.11801499999999999</v>
      </c>
      <c r="OQ7" t="s">
        <v>1598</v>
      </c>
      <c r="OR7">
        <v>0.96932300000000005</v>
      </c>
      <c r="OS7" t="s">
        <v>1603</v>
      </c>
      <c r="OT7">
        <v>2025</v>
      </c>
      <c r="OU7" t="s">
        <v>1680</v>
      </c>
      <c r="OV7" s="6">
        <v>45820</v>
      </c>
      <c r="OW7">
        <v>5</v>
      </c>
      <c r="OX7">
        <v>39517360</v>
      </c>
      <c r="OY7">
        <v>12129192</v>
      </c>
      <c r="OZ7" t="s">
        <v>1681</v>
      </c>
      <c r="PE7" t="s">
        <v>1878</v>
      </c>
      <c r="PF7" t="s">
        <v>1598</v>
      </c>
      <c r="PG7">
        <v>4.1948800000000004</v>
      </c>
      <c r="PH7">
        <v>1.013388</v>
      </c>
      <c r="PI7" t="s">
        <v>1664</v>
      </c>
      <c r="PJ7">
        <v>2025</v>
      </c>
      <c r="PK7" t="s">
        <v>2634</v>
      </c>
      <c r="PL7" s="6">
        <v>45922</v>
      </c>
      <c r="PM7">
        <v>5</v>
      </c>
      <c r="PN7">
        <v>64137324</v>
      </c>
      <c r="PO7">
        <v>11937231</v>
      </c>
      <c r="PP7" t="s">
        <v>1880</v>
      </c>
      <c r="PS7" t="s">
        <v>1732</v>
      </c>
      <c r="PT7">
        <v>2.5462289999999999</v>
      </c>
      <c r="PU7" t="s">
        <v>1598</v>
      </c>
      <c r="PV7">
        <v>1.6969829999999999</v>
      </c>
      <c r="PW7" t="s">
        <v>1664</v>
      </c>
      <c r="PX7">
        <v>2025</v>
      </c>
      <c r="PY7" t="s">
        <v>2180</v>
      </c>
      <c r="PZ7" s="6">
        <v>45898</v>
      </c>
      <c r="QA7">
        <v>5</v>
      </c>
      <c r="QB7">
        <v>263585632</v>
      </c>
      <c r="QC7">
        <v>876285</v>
      </c>
      <c r="QD7" t="s">
        <v>1734</v>
      </c>
      <c r="QI7" t="s">
        <v>615</v>
      </c>
      <c r="QK7">
        <v>-2.4245362661989844E-14</v>
      </c>
      <c r="QL7">
        <v>-2.4245362661989844E-14</v>
      </c>
      <c r="QM7" t="s">
        <v>1594</v>
      </c>
      <c r="QN7">
        <v>2025</v>
      </c>
      <c r="QO7" t="s">
        <v>2044</v>
      </c>
      <c r="QP7" s="6">
        <v>46066</v>
      </c>
      <c r="QQ7">
        <v>5</v>
      </c>
      <c r="QR7">
        <v>-2.4245362661989844E-14</v>
      </c>
      <c r="QS7">
        <v>9084002</v>
      </c>
      <c r="QT7" t="s">
        <v>2045</v>
      </c>
      <c r="QW7" t="s">
        <v>1642</v>
      </c>
      <c r="QX7">
        <v>-2.4245362661989844E-14</v>
      </c>
      <c r="QZ7">
        <v>-2.4245362661989844E-14</v>
      </c>
      <c r="RA7" t="s">
        <v>1594</v>
      </c>
      <c r="RB7">
        <v>2024</v>
      </c>
      <c r="RC7" t="s">
        <v>1643</v>
      </c>
      <c r="RD7" s="6">
        <v>45717</v>
      </c>
      <c r="RE7">
        <v>4</v>
      </c>
      <c r="RF7">
        <v>-2.4245362661989844E-14</v>
      </c>
      <c r="RG7">
        <v>13388720</v>
      </c>
      <c r="RH7" t="s">
        <v>1644</v>
      </c>
      <c r="RM7" t="s">
        <v>6113</v>
      </c>
      <c r="RO7">
        <v>-2.4245362661989844E-14</v>
      </c>
      <c r="RP7">
        <v>-2.4245362661989844E-14</v>
      </c>
      <c r="RQ7" t="s">
        <v>1594</v>
      </c>
      <c r="RR7">
        <v>2021</v>
      </c>
      <c r="RS7" t="s">
        <v>6114</v>
      </c>
      <c r="RT7" s="6">
        <v>44630</v>
      </c>
      <c r="RU7">
        <v>5</v>
      </c>
      <c r="RV7">
        <v>-2.4245362661989844E-14</v>
      </c>
      <c r="RW7">
        <v>32381730</v>
      </c>
      <c r="RX7" t="s">
        <v>6115</v>
      </c>
      <c r="SA7" t="s">
        <v>4611</v>
      </c>
      <c r="SB7">
        <v>-2.4245362661989844E-14</v>
      </c>
      <c r="SD7">
        <v>-2.4245362661989844E-14</v>
      </c>
      <c r="SE7" t="s">
        <v>1664</v>
      </c>
      <c r="SF7">
        <v>2022</v>
      </c>
      <c r="SG7" t="s">
        <v>4612</v>
      </c>
      <c r="SH7" s="6">
        <v>44662</v>
      </c>
      <c r="SI7">
        <v>5</v>
      </c>
      <c r="SJ7">
        <v>-2.4245362661989844E-14</v>
      </c>
      <c r="SK7">
        <v>64700001</v>
      </c>
      <c r="SL7" t="s">
        <v>4613</v>
      </c>
      <c r="TU7" t="s">
        <v>4523</v>
      </c>
      <c r="TW7">
        <v>-2.4245362661989844E-14</v>
      </c>
      <c r="TX7">
        <v>-2.4245362661989844E-14</v>
      </c>
      <c r="TY7" t="s">
        <v>1599</v>
      </c>
      <c r="TZ7">
        <v>2025</v>
      </c>
      <c r="UA7" t="s">
        <v>4524</v>
      </c>
      <c r="UB7" s="6">
        <v>46020</v>
      </c>
      <c r="UC7">
        <v>5</v>
      </c>
      <c r="UD7">
        <v>-2.4245362661989844E-14</v>
      </c>
      <c r="UE7">
        <v>209019</v>
      </c>
      <c r="UF7" t="s">
        <v>4525</v>
      </c>
      <c r="UI7" t="s">
        <v>4209</v>
      </c>
      <c r="UJ7">
        <v>-2.4245362661989844E-14</v>
      </c>
      <c r="UL7">
        <v>-2.4245362661989844E-14</v>
      </c>
      <c r="UM7" t="s">
        <v>1594</v>
      </c>
      <c r="UN7">
        <v>2024</v>
      </c>
      <c r="UO7" t="s">
        <v>4210</v>
      </c>
      <c r="UP7" s="6">
        <v>45511</v>
      </c>
      <c r="UQ7">
        <v>3</v>
      </c>
      <c r="UR7">
        <v>-2.4245362661989844E-14</v>
      </c>
      <c r="US7">
        <v>100747</v>
      </c>
      <c r="UT7" t="s">
        <v>4211</v>
      </c>
      <c r="UY7" t="s">
        <v>1917</v>
      </c>
      <c r="VA7">
        <v>-2.4245362661989844E-14</v>
      </c>
      <c r="VB7">
        <v>-2.4245362661989844E-14</v>
      </c>
      <c r="VC7" t="s">
        <v>1594</v>
      </c>
      <c r="VD7">
        <v>2025</v>
      </c>
      <c r="VE7" t="s">
        <v>4140</v>
      </c>
      <c r="VF7" s="6">
        <v>46079</v>
      </c>
      <c r="VG7">
        <v>5</v>
      </c>
      <c r="VH7">
        <v>-2.4245362661989844E-14</v>
      </c>
      <c r="VI7">
        <v>101695</v>
      </c>
      <c r="VJ7" t="s">
        <v>1919</v>
      </c>
      <c r="VM7" t="s">
        <v>26</v>
      </c>
      <c r="VN7">
        <v>-2.4245362661989844E-14</v>
      </c>
      <c r="VP7">
        <v>-2.4245362661989844E-14</v>
      </c>
      <c r="VQ7" t="s">
        <v>1594</v>
      </c>
      <c r="VR7">
        <v>2023</v>
      </c>
      <c r="VS7" t="s">
        <v>4083</v>
      </c>
      <c r="VT7" s="6">
        <v>45146</v>
      </c>
      <c r="VU7">
        <v>4</v>
      </c>
      <c r="VV7">
        <v>-2.4245362661989844E-14</v>
      </c>
      <c r="VW7">
        <v>60854400</v>
      </c>
      <c r="VX7" t="s">
        <v>4084</v>
      </c>
    </row>
    <row r="8" spans="1:600" x14ac:dyDescent="0.25">
      <c r="A8" t="s">
        <v>5350</v>
      </c>
      <c r="C8">
        <v>-2.4245362661989844E-14</v>
      </c>
      <c r="D8">
        <v>-2.4245362661989844E-14</v>
      </c>
      <c r="E8" t="s">
        <v>1594</v>
      </c>
      <c r="F8">
        <v>2025</v>
      </c>
      <c r="G8" t="s">
        <v>5351</v>
      </c>
      <c r="H8" s="6">
        <v>45743</v>
      </c>
      <c r="I8">
        <v>5</v>
      </c>
      <c r="J8">
        <v>-2.4245362661989844E-14</v>
      </c>
      <c r="K8">
        <v>61861595</v>
      </c>
      <c r="L8" t="s">
        <v>5352</v>
      </c>
      <c r="O8" t="s">
        <v>2381</v>
      </c>
      <c r="P8">
        <v>2.2320820000000001</v>
      </c>
      <c r="Q8" t="s">
        <v>1598</v>
      </c>
      <c r="R8">
        <v>6.2316000000000003E-2</v>
      </c>
      <c r="S8" t="s">
        <v>1603</v>
      </c>
      <c r="T8">
        <v>2025</v>
      </c>
      <c r="U8" t="s">
        <v>2012</v>
      </c>
      <c r="V8" s="6">
        <v>45834</v>
      </c>
      <c r="W8">
        <v>5</v>
      </c>
      <c r="X8">
        <v>22658736</v>
      </c>
      <c r="Y8">
        <v>46946968</v>
      </c>
      <c r="Z8" t="s">
        <v>2382</v>
      </c>
      <c r="AE8" t="s">
        <v>2381</v>
      </c>
      <c r="AF8" t="s">
        <v>1598</v>
      </c>
      <c r="AG8">
        <v>0.38197399999999998</v>
      </c>
      <c r="AH8">
        <v>2.6527189999999998</v>
      </c>
      <c r="AI8" t="s">
        <v>1664</v>
      </c>
      <c r="AJ8">
        <v>2025</v>
      </c>
      <c r="AK8" t="s">
        <v>2375</v>
      </c>
      <c r="AL8" s="6">
        <v>45862</v>
      </c>
      <c r="AM8">
        <v>5</v>
      </c>
      <c r="AN8">
        <v>368330048</v>
      </c>
      <c r="AO8">
        <v>46946968</v>
      </c>
      <c r="AP8" t="s">
        <v>2382</v>
      </c>
      <c r="AS8" t="s">
        <v>1894</v>
      </c>
      <c r="AT8">
        <v>4.8992000000000001E-2</v>
      </c>
      <c r="AU8" t="s">
        <v>1598</v>
      </c>
      <c r="AV8">
        <v>1.135372</v>
      </c>
      <c r="AW8" t="s">
        <v>1606</v>
      </c>
      <c r="AX8">
        <v>2025</v>
      </c>
      <c r="AY8" t="s">
        <v>1895</v>
      </c>
      <c r="AZ8" s="6">
        <v>46091</v>
      </c>
      <c r="BA8">
        <v>5</v>
      </c>
      <c r="BB8">
        <v>17823852</v>
      </c>
      <c r="BC8">
        <v>156637</v>
      </c>
      <c r="BD8" t="s">
        <v>1896</v>
      </c>
      <c r="BI8" t="s">
        <v>3752</v>
      </c>
      <c r="BK8">
        <v>-2.4245362661989844E-14</v>
      </c>
      <c r="BL8">
        <v>-2.4245362661989844E-14</v>
      </c>
      <c r="BM8" t="s">
        <v>1599</v>
      </c>
      <c r="BN8">
        <v>2022</v>
      </c>
      <c r="BO8" t="s">
        <v>3753</v>
      </c>
      <c r="BP8" s="6">
        <v>44880</v>
      </c>
      <c r="BQ8">
        <v>5</v>
      </c>
      <c r="BR8">
        <v>-2.4245362661989844E-14</v>
      </c>
      <c r="BS8">
        <v>1425288</v>
      </c>
      <c r="BT8" t="s">
        <v>3754</v>
      </c>
      <c r="BW8" t="s">
        <v>2799</v>
      </c>
      <c r="BX8">
        <v>0.46699600000000002</v>
      </c>
      <c r="BY8" t="s">
        <v>1598</v>
      </c>
      <c r="BZ8">
        <v>0.41184700000000002</v>
      </c>
      <c r="CA8" t="s">
        <v>1599</v>
      </c>
      <c r="CB8">
        <v>2025</v>
      </c>
      <c r="CC8" t="s">
        <v>2800</v>
      </c>
      <c r="CD8" s="6">
        <v>46014</v>
      </c>
      <c r="CE8">
        <v>5</v>
      </c>
      <c r="CF8">
        <v>5696961.8099999996</v>
      </c>
      <c r="CG8">
        <v>9034717</v>
      </c>
      <c r="CH8" t="s">
        <v>2801</v>
      </c>
      <c r="CM8" t="s">
        <v>4186</v>
      </c>
      <c r="CO8">
        <v>-2.4245362661989844E-14</v>
      </c>
      <c r="CP8">
        <v>-2.4245362661989844E-14</v>
      </c>
      <c r="CQ8" t="s">
        <v>1599</v>
      </c>
      <c r="CR8">
        <v>2024</v>
      </c>
      <c r="CS8" t="s">
        <v>4187</v>
      </c>
      <c r="CT8" s="6">
        <v>45597</v>
      </c>
      <c r="CU8">
        <v>5</v>
      </c>
      <c r="CV8">
        <v>-2.4245362661989844E-14</v>
      </c>
      <c r="CW8">
        <v>13297516</v>
      </c>
      <c r="CX8" t="s">
        <v>4188</v>
      </c>
      <c r="DA8" t="s">
        <v>4104</v>
      </c>
      <c r="DB8">
        <v>11</v>
      </c>
      <c r="DC8" t="s">
        <v>1598</v>
      </c>
      <c r="DD8">
        <v>10.06889</v>
      </c>
      <c r="DE8" t="s">
        <v>1594</v>
      </c>
      <c r="DF8">
        <v>2024</v>
      </c>
      <c r="DG8" t="s">
        <v>4100</v>
      </c>
      <c r="DH8" s="6">
        <v>45714</v>
      </c>
      <c r="DI8">
        <v>4</v>
      </c>
      <c r="DJ8">
        <v>302912512</v>
      </c>
      <c r="DK8">
        <v>52606712</v>
      </c>
      <c r="DL8" t="s">
        <v>4105</v>
      </c>
      <c r="FY8" t="s">
        <v>2960</v>
      </c>
      <c r="FZ8" t="s">
        <v>1598</v>
      </c>
      <c r="GA8">
        <v>3.1126000000000001E-2</v>
      </c>
      <c r="GB8">
        <v>3.6621000000000001E-2</v>
      </c>
      <c r="GC8" t="s">
        <v>1599</v>
      </c>
      <c r="GD8">
        <v>2025</v>
      </c>
      <c r="GE8" t="s">
        <v>2961</v>
      </c>
      <c r="GF8" s="6">
        <v>45974</v>
      </c>
      <c r="GG8">
        <v>5</v>
      </c>
      <c r="GH8">
        <v>617178.78</v>
      </c>
      <c r="GI8">
        <v>128163</v>
      </c>
      <c r="GJ8" t="s">
        <v>2962</v>
      </c>
      <c r="IG8" t="s">
        <v>2131</v>
      </c>
      <c r="IH8" t="s">
        <v>1598</v>
      </c>
      <c r="II8">
        <v>0.310253</v>
      </c>
      <c r="IJ8">
        <v>0.76287799999999995</v>
      </c>
      <c r="IK8" t="s">
        <v>1664</v>
      </c>
      <c r="IL8">
        <v>2025</v>
      </c>
      <c r="IM8" t="s">
        <v>2132</v>
      </c>
      <c r="IN8" s="6">
        <v>45874</v>
      </c>
      <c r="IO8">
        <v>5</v>
      </c>
      <c r="IP8">
        <v>26133392.550000001</v>
      </c>
      <c r="IQ8">
        <v>115519</v>
      </c>
      <c r="IR8" t="s">
        <v>2133</v>
      </c>
      <c r="IU8" t="s">
        <v>303</v>
      </c>
      <c r="IV8">
        <v>-2.4245362661989844E-14</v>
      </c>
      <c r="IX8">
        <v>-2.4245362661989844E-14</v>
      </c>
      <c r="IY8" t="s">
        <v>1594</v>
      </c>
      <c r="IZ8">
        <v>2025</v>
      </c>
      <c r="JA8" t="s">
        <v>4802</v>
      </c>
      <c r="JB8" s="6">
        <v>46065</v>
      </c>
      <c r="JC8">
        <v>5</v>
      </c>
      <c r="JD8">
        <v>-2.4245362661989844E-14</v>
      </c>
      <c r="JE8">
        <v>216952</v>
      </c>
      <c r="JF8" t="s">
        <v>1631</v>
      </c>
      <c r="KO8" t="s">
        <v>4443</v>
      </c>
      <c r="KP8" t="s">
        <v>1685</v>
      </c>
      <c r="KQ8">
        <v>8.8000000000000007</v>
      </c>
      <c r="KR8">
        <v>10.665008</v>
      </c>
      <c r="KS8" t="s">
        <v>1594</v>
      </c>
      <c r="KT8">
        <v>2024</v>
      </c>
      <c r="KU8" t="s">
        <v>4444</v>
      </c>
      <c r="KV8" s="6">
        <v>45700</v>
      </c>
      <c r="KW8">
        <v>5</v>
      </c>
      <c r="KX8">
        <v>13121516.84</v>
      </c>
      <c r="KY8">
        <v>202552</v>
      </c>
      <c r="KZ8" t="s">
        <v>4445</v>
      </c>
      <c r="LS8" t="s">
        <v>4301</v>
      </c>
      <c r="LT8" t="s">
        <v>2128</v>
      </c>
      <c r="LU8">
        <v>100</v>
      </c>
      <c r="LV8">
        <v>1.9316489999999999</v>
      </c>
      <c r="LW8" t="s">
        <v>1599</v>
      </c>
      <c r="LX8">
        <v>2025</v>
      </c>
      <c r="LY8" t="s">
        <v>4302</v>
      </c>
      <c r="LZ8" s="6">
        <v>45959</v>
      </c>
      <c r="MA8">
        <v>5</v>
      </c>
      <c r="MB8">
        <v>26000000</v>
      </c>
      <c r="MC8">
        <v>50914233</v>
      </c>
      <c r="MD8" t="s">
        <v>4303</v>
      </c>
      <c r="MG8" t="s">
        <v>4031</v>
      </c>
      <c r="MH8">
        <v>-2.4245362661989844E-14</v>
      </c>
      <c r="MJ8">
        <v>-2.4245362661989844E-14</v>
      </c>
      <c r="MK8" t="s">
        <v>1594</v>
      </c>
      <c r="ML8">
        <v>2022</v>
      </c>
      <c r="MM8" t="s">
        <v>4032</v>
      </c>
      <c r="MN8" s="6">
        <v>44979</v>
      </c>
      <c r="MO8">
        <v>5</v>
      </c>
      <c r="MP8">
        <v>-2.4245362661989844E-14</v>
      </c>
      <c r="MQ8">
        <v>29217228</v>
      </c>
      <c r="MR8" t="s">
        <v>4033</v>
      </c>
      <c r="MW8" t="s">
        <v>3866</v>
      </c>
      <c r="MY8">
        <v>-2.4245362661989844E-14</v>
      </c>
      <c r="MZ8">
        <v>-2.4245362661989844E-14</v>
      </c>
      <c r="NA8" t="s">
        <v>1594</v>
      </c>
      <c r="NB8">
        <v>2023</v>
      </c>
      <c r="NC8" t="s">
        <v>3867</v>
      </c>
      <c r="ND8" s="6">
        <v>45359</v>
      </c>
      <c r="NE8">
        <v>4</v>
      </c>
      <c r="NF8">
        <v>-2.4245362661989844E-14</v>
      </c>
      <c r="NG8">
        <v>101587</v>
      </c>
      <c r="NH8" t="s">
        <v>3868</v>
      </c>
      <c r="OA8" t="s">
        <v>2381</v>
      </c>
      <c r="OB8" t="s">
        <v>1598</v>
      </c>
      <c r="OC8">
        <v>0.38197399999999998</v>
      </c>
      <c r="OD8">
        <v>2.6527189999999998</v>
      </c>
      <c r="OE8" t="s">
        <v>1664</v>
      </c>
      <c r="OF8">
        <v>2025</v>
      </c>
      <c r="OG8" t="s">
        <v>2375</v>
      </c>
      <c r="OH8" s="6">
        <v>45862</v>
      </c>
      <c r="OI8">
        <v>5</v>
      </c>
      <c r="OJ8">
        <v>368330048</v>
      </c>
      <c r="OK8">
        <v>46946968</v>
      </c>
      <c r="OL8" t="s">
        <v>2382</v>
      </c>
      <c r="OO8" t="s">
        <v>1894</v>
      </c>
      <c r="OP8">
        <v>4.8992000000000001E-2</v>
      </c>
      <c r="OQ8" t="s">
        <v>1598</v>
      </c>
      <c r="OR8">
        <v>1.135372</v>
      </c>
      <c r="OS8" t="s">
        <v>1606</v>
      </c>
      <c r="OT8">
        <v>2025</v>
      </c>
      <c r="OU8" t="s">
        <v>1895</v>
      </c>
      <c r="OV8" s="6">
        <v>46091</v>
      </c>
      <c r="OW8">
        <v>5</v>
      </c>
      <c r="OX8">
        <v>17823852</v>
      </c>
      <c r="OY8">
        <v>156637</v>
      </c>
      <c r="OZ8" t="s">
        <v>1896</v>
      </c>
      <c r="PE8" t="s">
        <v>2981</v>
      </c>
      <c r="PF8" t="s">
        <v>1598</v>
      </c>
      <c r="PG8">
        <v>4.2606400000000004</v>
      </c>
      <c r="PH8">
        <v>0.70126500000000003</v>
      </c>
      <c r="PI8" t="s">
        <v>1664</v>
      </c>
      <c r="PJ8">
        <v>2025</v>
      </c>
      <c r="PK8" t="s">
        <v>2982</v>
      </c>
      <c r="PL8" s="6">
        <v>45961</v>
      </c>
      <c r="PM8">
        <v>5</v>
      </c>
      <c r="PN8">
        <v>47629481.530000001</v>
      </c>
      <c r="PO8">
        <v>47700205</v>
      </c>
      <c r="PP8" t="s">
        <v>2983</v>
      </c>
      <c r="PS8" t="s">
        <v>1628</v>
      </c>
      <c r="PT8">
        <v>1.896647</v>
      </c>
      <c r="PU8" t="s">
        <v>1598</v>
      </c>
      <c r="PV8">
        <v>1.1313219999999999</v>
      </c>
      <c r="PW8" t="s">
        <v>1664</v>
      </c>
      <c r="PX8">
        <v>2025</v>
      </c>
      <c r="PY8" t="s">
        <v>2180</v>
      </c>
      <c r="PZ8" s="6">
        <v>45898</v>
      </c>
      <c r="QA8">
        <v>5</v>
      </c>
      <c r="QB8">
        <v>196340896</v>
      </c>
      <c r="QC8">
        <v>156923</v>
      </c>
      <c r="QD8" t="s">
        <v>1630</v>
      </c>
      <c r="QI8" t="s">
        <v>2046</v>
      </c>
      <c r="QK8">
        <v>-2.4245362661989844E-14</v>
      </c>
      <c r="QL8">
        <v>-2.4245362661989844E-14</v>
      </c>
      <c r="QM8" t="s">
        <v>1594</v>
      </c>
      <c r="QN8">
        <v>2024</v>
      </c>
      <c r="QO8" t="s">
        <v>2047</v>
      </c>
      <c r="QP8" s="6">
        <v>45833</v>
      </c>
      <c r="QQ8">
        <v>5</v>
      </c>
      <c r="QR8">
        <v>-2.4245362661989844E-14</v>
      </c>
      <c r="QS8">
        <v>7979475</v>
      </c>
      <c r="QT8" t="s">
        <v>2048</v>
      </c>
      <c r="QW8" t="s">
        <v>1645</v>
      </c>
      <c r="QX8">
        <v>-2.4245362661989844E-14</v>
      </c>
      <c r="QZ8">
        <v>-2.4245362661989844E-14</v>
      </c>
      <c r="RA8" t="s">
        <v>1603</v>
      </c>
      <c r="RB8">
        <v>2024</v>
      </c>
      <c r="RC8" t="s">
        <v>1646</v>
      </c>
      <c r="RD8" s="6">
        <v>45265</v>
      </c>
      <c r="RE8">
        <v>4</v>
      </c>
      <c r="RF8">
        <v>-2.4245362661989844E-14</v>
      </c>
      <c r="RG8">
        <v>136424</v>
      </c>
      <c r="RH8" t="s">
        <v>1647</v>
      </c>
      <c r="RM8" t="s">
        <v>6116</v>
      </c>
      <c r="RO8">
        <v>-2.4245362661989844E-14</v>
      </c>
      <c r="RP8">
        <v>-2.4245362661989844E-14</v>
      </c>
      <c r="RQ8" t="s">
        <v>1594</v>
      </c>
      <c r="RR8">
        <v>2022</v>
      </c>
      <c r="RS8" t="s">
        <v>6117</v>
      </c>
      <c r="RT8" s="6">
        <v>44650</v>
      </c>
      <c r="RU8">
        <v>5</v>
      </c>
      <c r="RV8">
        <v>-2.4245362661989844E-14</v>
      </c>
      <c r="RW8">
        <v>319737</v>
      </c>
      <c r="RX8" t="s">
        <v>6118</v>
      </c>
      <c r="SA8" t="s">
        <v>4614</v>
      </c>
      <c r="SB8">
        <v>-2.4245362661989844E-14</v>
      </c>
      <c r="SD8">
        <v>-2.4245362661989844E-14</v>
      </c>
      <c r="SE8" t="s">
        <v>1594</v>
      </c>
      <c r="SF8">
        <v>2022</v>
      </c>
      <c r="SG8" t="s">
        <v>4615</v>
      </c>
      <c r="SH8" s="6">
        <v>44692</v>
      </c>
      <c r="SI8">
        <v>5</v>
      </c>
      <c r="SJ8">
        <v>-2.4245362661989844E-14</v>
      </c>
      <c r="SK8">
        <v>125359</v>
      </c>
      <c r="SL8" t="s">
        <v>4616</v>
      </c>
      <c r="TU8" t="s">
        <v>4526</v>
      </c>
      <c r="TW8">
        <v>-2.4245362661989844E-14</v>
      </c>
      <c r="TX8">
        <v>-2.4245362661989844E-14</v>
      </c>
      <c r="TY8" t="s">
        <v>1792</v>
      </c>
      <c r="TZ8">
        <v>2025</v>
      </c>
      <c r="UA8" t="s">
        <v>4527</v>
      </c>
      <c r="UB8" s="6">
        <v>45896</v>
      </c>
      <c r="UC8">
        <v>5</v>
      </c>
      <c r="UD8">
        <v>-2.4245362661989844E-14</v>
      </c>
      <c r="UE8">
        <v>812970</v>
      </c>
      <c r="UF8" t="s">
        <v>4528</v>
      </c>
      <c r="UY8" t="s">
        <v>4141</v>
      </c>
      <c r="VA8">
        <v>-2.4245362661989844E-14</v>
      </c>
      <c r="VB8">
        <v>-2.4245362661989844E-14</v>
      </c>
      <c r="VC8" t="s">
        <v>1792</v>
      </c>
      <c r="VD8">
        <v>2023</v>
      </c>
      <c r="VE8" t="s">
        <v>4142</v>
      </c>
      <c r="VF8" s="6">
        <v>45064</v>
      </c>
      <c r="VG8">
        <v>5</v>
      </c>
      <c r="VH8">
        <v>-2.4245362661989844E-14</v>
      </c>
      <c r="VI8">
        <v>193196</v>
      </c>
      <c r="VJ8" t="s">
        <v>4143</v>
      </c>
      <c r="VM8" t="s">
        <v>4085</v>
      </c>
      <c r="VN8">
        <v>-2.4245362661989844E-14</v>
      </c>
      <c r="VP8">
        <v>-2.4245362661989844E-14</v>
      </c>
      <c r="VQ8" t="s">
        <v>1594</v>
      </c>
      <c r="VR8">
        <v>2025</v>
      </c>
      <c r="VS8" t="s">
        <v>4086</v>
      </c>
      <c r="VT8" s="6">
        <v>45798</v>
      </c>
      <c r="VU8">
        <v>4</v>
      </c>
      <c r="VV8">
        <v>-2.4245362661989844E-14</v>
      </c>
      <c r="VW8">
        <v>39410923</v>
      </c>
      <c r="VX8" t="s">
        <v>4087</v>
      </c>
    </row>
    <row r="9" spans="1:600" x14ac:dyDescent="0.25">
      <c r="A9" t="s">
        <v>5353</v>
      </c>
      <c r="C9">
        <v>-2.4245362661989844E-14</v>
      </c>
      <c r="D9">
        <v>-2.4245362661989844E-14</v>
      </c>
      <c r="E9" t="s">
        <v>1594</v>
      </c>
      <c r="F9">
        <v>2025</v>
      </c>
      <c r="G9" t="s">
        <v>5354</v>
      </c>
      <c r="H9" s="6">
        <v>45832</v>
      </c>
      <c r="I9">
        <v>5</v>
      </c>
      <c r="J9">
        <v>-2.4245362661989844E-14</v>
      </c>
      <c r="K9">
        <v>12995814</v>
      </c>
      <c r="L9" t="s">
        <v>5355</v>
      </c>
      <c r="O9" t="s">
        <v>4653</v>
      </c>
      <c r="P9">
        <v>1.6729050000000001</v>
      </c>
      <c r="Q9" t="s">
        <v>1598</v>
      </c>
      <c r="R9">
        <v>6.7227999999999996E-2</v>
      </c>
      <c r="S9" t="s">
        <v>1603</v>
      </c>
      <c r="T9">
        <v>2025</v>
      </c>
      <c r="U9" t="s">
        <v>2012</v>
      </c>
      <c r="V9" s="6">
        <v>45834</v>
      </c>
      <c r="W9">
        <v>5</v>
      </c>
      <c r="X9">
        <v>16982312</v>
      </c>
      <c r="Y9">
        <v>180556</v>
      </c>
      <c r="Z9" t="s">
        <v>4654</v>
      </c>
      <c r="AE9" t="s">
        <v>2383</v>
      </c>
      <c r="AF9" t="s">
        <v>1634</v>
      </c>
      <c r="AG9">
        <v>5.5977880000000004</v>
      </c>
      <c r="AH9">
        <v>7.6756450000000003</v>
      </c>
      <c r="AI9" t="s">
        <v>1599</v>
      </c>
      <c r="AJ9">
        <v>2025</v>
      </c>
      <c r="AK9" t="s">
        <v>2384</v>
      </c>
      <c r="AL9" s="6">
        <v>46029</v>
      </c>
      <c r="AM9">
        <v>5</v>
      </c>
      <c r="AN9">
        <v>330895084.14999998</v>
      </c>
      <c r="AO9">
        <v>115705</v>
      </c>
      <c r="AP9" t="s">
        <v>2385</v>
      </c>
      <c r="AS9" t="s">
        <v>1645</v>
      </c>
      <c r="AT9">
        <v>4.8830999999999999E-2</v>
      </c>
      <c r="AU9" t="s">
        <v>1598</v>
      </c>
      <c r="AV9">
        <v>2.7042419999999998</v>
      </c>
      <c r="AW9" t="s">
        <v>1599</v>
      </c>
      <c r="AX9">
        <v>2025</v>
      </c>
      <c r="AY9" t="s">
        <v>1897</v>
      </c>
      <c r="AZ9" s="6">
        <v>45840</v>
      </c>
      <c r="BA9">
        <v>5</v>
      </c>
      <c r="BB9">
        <v>16351064</v>
      </c>
      <c r="BC9">
        <v>136424</v>
      </c>
      <c r="BD9" t="s">
        <v>1647</v>
      </c>
      <c r="BI9" t="s">
        <v>211</v>
      </c>
      <c r="BK9">
        <v>-2.4245362661989844E-14</v>
      </c>
      <c r="BL9">
        <v>-2.4245362661989844E-14</v>
      </c>
      <c r="BM9" t="s">
        <v>1594</v>
      </c>
      <c r="BN9">
        <v>2022</v>
      </c>
      <c r="BO9" t="s">
        <v>3755</v>
      </c>
      <c r="BP9" s="6">
        <v>44701</v>
      </c>
      <c r="BQ9">
        <v>5</v>
      </c>
      <c r="BR9">
        <v>-2.4245362661989844E-14</v>
      </c>
      <c r="BS9">
        <v>59907412</v>
      </c>
      <c r="BT9" t="s">
        <v>3354</v>
      </c>
      <c r="BW9" t="s">
        <v>2802</v>
      </c>
      <c r="BX9">
        <v>0.45974599999999999</v>
      </c>
      <c r="BY9" t="s">
        <v>1598</v>
      </c>
      <c r="BZ9">
        <v>0.12854199999999999</v>
      </c>
      <c r="CA9" t="s">
        <v>1599</v>
      </c>
      <c r="CB9">
        <v>2025</v>
      </c>
      <c r="CC9" t="s">
        <v>2803</v>
      </c>
      <c r="CD9" s="6">
        <v>45926</v>
      </c>
      <c r="CE9">
        <v>5</v>
      </c>
      <c r="CF9">
        <v>5749857.6100000003</v>
      </c>
      <c r="CG9">
        <v>191315</v>
      </c>
      <c r="CH9" t="s">
        <v>2804</v>
      </c>
      <c r="CM9" t="s">
        <v>4189</v>
      </c>
      <c r="CO9">
        <v>-2.4245362661989844E-14</v>
      </c>
      <c r="CP9">
        <v>-2.4245362661989844E-14</v>
      </c>
      <c r="CQ9" t="s">
        <v>1594</v>
      </c>
      <c r="CR9">
        <v>2022</v>
      </c>
      <c r="CS9" t="s">
        <v>4190</v>
      </c>
      <c r="CT9" s="6">
        <v>44992</v>
      </c>
      <c r="CU9">
        <v>5</v>
      </c>
      <c r="CV9">
        <v>-2.4245362661989844E-14</v>
      </c>
      <c r="CW9">
        <v>57617350</v>
      </c>
      <c r="CX9" t="s">
        <v>4191</v>
      </c>
      <c r="FY9" t="s">
        <v>1742</v>
      </c>
      <c r="FZ9" t="s">
        <v>1598</v>
      </c>
      <c r="GA9">
        <v>3.4840000000000001E-3</v>
      </c>
      <c r="GB9">
        <v>1.7006E-2</v>
      </c>
      <c r="GC9" t="s">
        <v>1606</v>
      </c>
      <c r="GD9">
        <v>2024</v>
      </c>
      <c r="GE9" t="s">
        <v>2963</v>
      </c>
      <c r="GF9" s="6">
        <v>45740</v>
      </c>
      <c r="GG9">
        <v>5</v>
      </c>
      <c r="GH9">
        <v>375380.08</v>
      </c>
      <c r="GI9">
        <v>115688</v>
      </c>
      <c r="GJ9" t="s">
        <v>1743</v>
      </c>
      <c r="IG9" t="s">
        <v>1732</v>
      </c>
      <c r="IH9" t="s">
        <v>1634</v>
      </c>
      <c r="II9">
        <v>0.11298800000000001</v>
      </c>
      <c r="IJ9">
        <v>4.0920839999999998</v>
      </c>
      <c r="IK9" t="s">
        <v>1664</v>
      </c>
      <c r="IL9">
        <v>2025</v>
      </c>
      <c r="IM9" t="s">
        <v>2161</v>
      </c>
      <c r="IN9" s="6">
        <v>45874</v>
      </c>
      <c r="IO9">
        <v>5</v>
      </c>
      <c r="IP9">
        <v>20574961.77</v>
      </c>
      <c r="IQ9">
        <v>876285</v>
      </c>
      <c r="IR9" t="s">
        <v>1734</v>
      </c>
      <c r="IU9" t="s">
        <v>178</v>
      </c>
      <c r="IV9">
        <v>-2.4245362661989844E-14</v>
      </c>
      <c r="IX9">
        <v>-2.4245362661989844E-14</v>
      </c>
      <c r="IY9" t="s">
        <v>1664</v>
      </c>
      <c r="IZ9">
        <v>2025</v>
      </c>
      <c r="JA9" t="s">
        <v>4796</v>
      </c>
      <c r="JB9" s="6">
        <v>45845</v>
      </c>
      <c r="JC9">
        <v>5</v>
      </c>
      <c r="JD9">
        <v>-2.4245362661989844E-14</v>
      </c>
      <c r="JE9">
        <v>101743</v>
      </c>
      <c r="JF9" t="s">
        <v>1736</v>
      </c>
      <c r="KO9" t="s">
        <v>4446</v>
      </c>
      <c r="KP9" t="s">
        <v>1634</v>
      </c>
      <c r="KQ9">
        <v>2.1049389999999999</v>
      </c>
      <c r="KR9">
        <v>0.42377599999999999</v>
      </c>
      <c r="KS9" t="s">
        <v>1606</v>
      </c>
      <c r="KT9">
        <v>2024</v>
      </c>
      <c r="KU9" t="s">
        <v>4447</v>
      </c>
      <c r="KV9" s="6">
        <v>45735</v>
      </c>
      <c r="KW9">
        <v>5</v>
      </c>
      <c r="KX9">
        <v>7441507</v>
      </c>
      <c r="KY9">
        <v>26548450</v>
      </c>
      <c r="KZ9" t="s">
        <v>4448</v>
      </c>
      <c r="LS9" t="s">
        <v>3803</v>
      </c>
      <c r="LT9" t="s">
        <v>1598</v>
      </c>
      <c r="LU9">
        <v>1.03163</v>
      </c>
      <c r="LV9">
        <v>1.307437</v>
      </c>
      <c r="LW9" t="s">
        <v>1599</v>
      </c>
      <c r="LX9">
        <v>2025</v>
      </c>
      <c r="LY9" t="s">
        <v>3804</v>
      </c>
      <c r="LZ9" s="6">
        <v>46073</v>
      </c>
      <c r="MA9">
        <v>5</v>
      </c>
      <c r="MB9">
        <v>21191403.109999999</v>
      </c>
      <c r="MC9">
        <v>156276</v>
      </c>
      <c r="MD9" t="s">
        <v>3805</v>
      </c>
      <c r="MG9" t="s">
        <v>4034</v>
      </c>
      <c r="MH9">
        <v>-2.4245362661989844E-14</v>
      </c>
      <c r="MJ9">
        <v>-2.4245362661989844E-14</v>
      </c>
      <c r="MK9" t="s">
        <v>1594</v>
      </c>
      <c r="ML9">
        <v>2022</v>
      </c>
      <c r="MM9" t="s">
        <v>4035</v>
      </c>
      <c r="MN9" s="6">
        <v>44788</v>
      </c>
      <c r="MO9">
        <v>5</v>
      </c>
      <c r="MP9">
        <v>-2.4245362661989844E-14</v>
      </c>
      <c r="MQ9">
        <v>67962950</v>
      </c>
      <c r="MR9" t="s">
        <v>4036</v>
      </c>
      <c r="OA9" t="s">
        <v>2383</v>
      </c>
      <c r="OB9" t="s">
        <v>1634</v>
      </c>
      <c r="OC9">
        <v>5.5977880000000004</v>
      </c>
      <c r="OD9">
        <v>7.6756450000000003</v>
      </c>
      <c r="OE9" t="s">
        <v>1599</v>
      </c>
      <c r="OF9">
        <v>2025</v>
      </c>
      <c r="OG9" t="s">
        <v>2384</v>
      </c>
      <c r="OH9" s="6">
        <v>46029</v>
      </c>
      <c r="OI9">
        <v>5</v>
      </c>
      <c r="OJ9">
        <v>330895084.14999998</v>
      </c>
      <c r="OK9">
        <v>115705</v>
      </c>
      <c r="OL9" t="s">
        <v>2385</v>
      </c>
      <c r="OO9" t="s">
        <v>1645</v>
      </c>
      <c r="OP9">
        <v>4.8830999999999999E-2</v>
      </c>
      <c r="OQ9" t="s">
        <v>1598</v>
      </c>
      <c r="OR9">
        <v>2.7042419999999998</v>
      </c>
      <c r="OS9" t="s">
        <v>1599</v>
      </c>
      <c r="OT9">
        <v>2025</v>
      </c>
      <c r="OU9" t="s">
        <v>1897</v>
      </c>
      <c r="OV9" s="6">
        <v>45840</v>
      </c>
      <c r="OW9">
        <v>5</v>
      </c>
      <c r="OX9">
        <v>16351064</v>
      </c>
      <c r="OY9">
        <v>136424</v>
      </c>
      <c r="OZ9" t="s">
        <v>1647</v>
      </c>
      <c r="PE9" t="s">
        <v>2984</v>
      </c>
      <c r="PF9" t="s">
        <v>1598</v>
      </c>
      <c r="PG9">
        <v>30.781739999999999</v>
      </c>
      <c r="PH9">
        <v>0.62680199999999997</v>
      </c>
      <c r="PI9" t="s">
        <v>1594</v>
      </c>
      <c r="PJ9">
        <v>2025</v>
      </c>
      <c r="PK9" t="s">
        <v>2985</v>
      </c>
      <c r="PL9" s="6">
        <v>45818</v>
      </c>
      <c r="PM9">
        <v>5</v>
      </c>
      <c r="PN9">
        <v>38070899.18</v>
      </c>
      <c r="PO9">
        <v>174401</v>
      </c>
      <c r="PP9" t="s">
        <v>2986</v>
      </c>
      <c r="PS9" t="s">
        <v>1082</v>
      </c>
      <c r="PT9">
        <v>1.3805559999999999</v>
      </c>
      <c r="PU9" t="s">
        <v>1598</v>
      </c>
      <c r="PV9">
        <v>1.0273540000000001</v>
      </c>
      <c r="PW9" t="s">
        <v>1664</v>
      </c>
      <c r="PX9">
        <v>2025</v>
      </c>
      <c r="PY9" t="s">
        <v>2180</v>
      </c>
      <c r="PZ9" s="6">
        <v>45898</v>
      </c>
      <c r="QA9">
        <v>5</v>
      </c>
      <c r="QB9">
        <v>142915152</v>
      </c>
      <c r="QC9">
        <v>10451815</v>
      </c>
      <c r="QD9" t="s">
        <v>1959</v>
      </c>
      <c r="QI9" t="s">
        <v>2049</v>
      </c>
      <c r="QK9">
        <v>-2.4245362661989844E-14</v>
      </c>
      <c r="QL9">
        <v>-2.4245362661989844E-14</v>
      </c>
      <c r="QM9" t="s">
        <v>1606</v>
      </c>
      <c r="QN9">
        <v>2024</v>
      </c>
      <c r="QO9" t="s">
        <v>2050</v>
      </c>
      <c r="QP9" s="6">
        <v>45703</v>
      </c>
      <c r="QQ9">
        <v>5</v>
      </c>
      <c r="QR9">
        <v>-2.4245362661989844E-14</v>
      </c>
      <c r="QS9">
        <v>71740192</v>
      </c>
      <c r="QT9" t="s">
        <v>2051</v>
      </c>
      <c r="RM9" t="s">
        <v>6119</v>
      </c>
      <c r="RO9">
        <v>-2.4245362661989844E-14</v>
      </c>
      <c r="RP9">
        <v>-2.4245362661989844E-14</v>
      </c>
      <c r="RQ9" t="s">
        <v>1594</v>
      </c>
      <c r="RR9">
        <v>2021</v>
      </c>
      <c r="RS9" t="s">
        <v>6120</v>
      </c>
      <c r="RT9" s="6">
        <v>44650</v>
      </c>
      <c r="RU9">
        <v>5</v>
      </c>
      <c r="RV9">
        <v>-2.4245362661989844E-14</v>
      </c>
      <c r="RW9">
        <v>300794</v>
      </c>
      <c r="RX9" t="s">
        <v>6121</v>
      </c>
      <c r="SA9" t="s">
        <v>4617</v>
      </c>
      <c r="SB9">
        <v>-2.4245362661989844E-14</v>
      </c>
      <c r="SD9">
        <v>-2.4245362661989844E-14</v>
      </c>
      <c r="SE9" t="s">
        <v>1594</v>
      </c>
      <c r="SF9">
        <v>2021</v>
      </c>
      <c r="SG9" t="s">
        <v>4618</v>
      </c>
      <c r="SH9" s="6">
        <v>44672</v>
      </c>
      <c r="SI9">
        <v>5</v>
      </c>
      <c r="SJ9">
        <v>-2.4245362661989844E-14</v>
      </c>
      <c r="SK9">
        <v>117784</v>
      </c>
      <c r="SL9" t="s">
        <v>4619</v>
      </c>
      <c r="TU9" t="s">
        <v>4529</v>
      </c>
      <c r="TW9">
        <v>-2.4245362661989844E-14</v>
      </c>
      <c r="TX9">
        <v>-2.4245362661989844E-14</v>
      </c>
      <c r="TY9" t="s">
        <v>1594</v>
      </c>
      <c r="TZ9">
        <v>2023</v>
      </c>
      <c r="UA9" t="s">
        <v>4521</v>
      </c>
      <c r="UB9" s="6">
        <v>45034</v>
      </c>
      <c r="UC9">
        <v>5</v>
      </c>
      <c r="UD9">
        <v>-2.4245362661989844E-14</v>
      </c>
      <c r="UE9">
        <v>50766410</v>
      </c>
      <c r="UF9" t="s">
        <v>4530</v>
      </c>
      <c r="UY9" t="s">
        <v>4144</v>
      </c>
      <c r="VA9">
        <v>-2.4245362661989844E-14</v>
      </c>
      <c r="VB9">
        <v>-2.4245362661989844E-14</v>
      </c>
      <c r="VC9" t="s">
        <v>1594</v>
      </c>
      <c r="VD9">
        <v>2024</v>
      </c>
      <c r="VE9" t="s">
        <v>4145</v>
      </c>
      <c r="VF9" s="6">
        <v>45747</v>
      </c>
      <c r="VG9">
        <v>5</v>
      </c>
      <c r="VH9">
        <v>-2.4245362661989844E-14</v>
      </c>
      <c r="VI9">
        <v>9549727</v>
      </c>
      <c r="VJ9" t="s">
        <v>4146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1429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1430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1431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1432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1433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1434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1435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1436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1437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1438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1439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1440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1441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1442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1443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1444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1445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1446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1447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618</v>
      </c>
      <c r="AE2" s="3" t="s">
        <v>837</v>
      </c>
      <c r="BI2" s="3" t="s">
        <v>745</v>
      </c>
      <c r="CM2" s="3" t="s">
        <v>78</v>
      </c>
      <c r="DQ2" s="3" t="s">
        <v>1448</v>
      </c>
      <c r="EU2" s="3" t="s">
        <v>23</v>
      </c>
      <c r="FY2" s="3" t="s">
        <v>173</v>
      </c>
      <c r="HC2" s="3" t="s">
        <v>214</v>
      </c>
      <c r="IG2" s="3" t="s">
        <v>1449</v>
      </c>
      <c r="JK2" s="3" t="s">
        <v>1450</v>
      </c>
      <c r="KO2" s="3" t="s">
        <v>1451</v>
      </c>
      <c r="LS2" s="3" t="s">
        <v>1452</v>
      </c>
      <c r="MW2" s="3" t="s">
        <v>182</v>
      </c>
      <c r="OA2" s="3" t="s">
        <v>184</v>
      </c>
      <c r="PE2" s="3" t="s">
        <v>1453</v>
      </c>
      <c r="QI2" s="3" t="s">
        <v>1362</v>
      </c>
      <c r="RM2" s="3" t="s">
        <v>23</v>
      </c>
      <c r="SQ2" s="3" t="s">
        <v>1454</v>
      </c>
      <c r="TU2" s="3" t="s">
        <v>618</v>
      </c>
      <c r="UY2" s="3" t="s">
        <v>1455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_xll.BDS("CAH US Equity","SUPPLY_CHAIN_SUPPLIERS_ALL_DATA","cols=12;rows=5")</f>
        <v>LLY US Equity</v>
      </c>
      <c r="B5" t="s">
        <v>1598</v>
      </c>
      <c r="C5">
        <v>19.020800000000001</v>
      </c>
      <c r="D5">
        <v>5.4268320000000001</v>
      </c>
      <c r="E5" t="s">
        <v>1599</v>
      </c>
      <c r="F5">
        <v>2025</v>
      </c>
      <c r="G5" t="s">
        <v>1859</v>
      </c>
      <c r="H5" s="6">
        <v>46041</v>
      </c>
      <c r="I5">
        <v>5</v>
      </c>
      <c r="J5">
        <v>3347812864</v>
      </c>
      <c r="K5">
        <v>100894</v>
      </c>
      <c r="L5" t="s">
        <v>2218</v>
      </c>
      <c r="O5" t="str">
        <f>_xll.BDS("CAH US Equity","SUPPLY_CHAIN_CUSTOMERS_ALL_DATA","cols=12;rows=5")</f>
        <v>CVS US Equity</v>
      </c>
      <c r="P5">
        <v>30</v>
      </c>
      <c r="Q5" t="s">
        <v>1598</v>
      </c>
      <c r="R5">
        <v>20.040337000000001</v>
      </c>
      <c r="S5" t="s">
        <v>1594</v>
      </c>
      <c r="T5">
        <v>2025</v>
      </c>
      <c r="U5" t="s">
        <v>1819</v>
      </c>
      <c r="V5" s="6">
        <v>45881</v>
      </c>
      <c r="W5">
        <v>5</v>
      </c>
      <c r="X5">
        <v>16693350400</v>
      </c>
      <c r="Y5">
        <v>100976</v>
      </c>
      <c r="Z5" t="s">
        <v>1820</v>
      </c>
      <c r="AE5" t="str">
        <f>_xll.BDS("FITB US Equity","SUPPLY_CHAIN_SUPPLIERS_ALL_DATA","cols=12;rows=5")</f>
        <v>004800 KS Equity</v>
      </c>
      <c r="AG5">
        <v>-2.4245362661989844E-14</v>
      </c>
      <c r="AH5">
        <v>-2.4245362661989844E-14</v>
      </c>
      <c r="AI5" t="s">
        <v>2469</v>
      </c>
      <c r="AJ5">
        <v>2025</v>
      </c>
      <c r="AK5" t="s">
        <v>4544</v>
      </c>
      <c r="AL5" s="6">
        <v>45883</v>
      </c>
      <c r="AM5">
        <v>5</v>
      </c>
      <c r="AN5">
        <v>-2.4245362661989844E-14</v>
      </c>
      <c r="AO5">
        <v>118099</v>
      </c>
      <c r="AP5" t="s">
        <v>2065</v>
      </c>
      <c r="AS5" t="str">
        <f>_xll.BDS("FITB US Equity","SUPPLY_CHAIN_CUSTOMERS_ALL_DATA","cols=12;rows=1")</f>
        <v>USIO US Equity</v>
      </c>
      <c r="AT5">
        <v>-2.4245362661989844E-14</v>
      </c>
      <c r="AV5">
        <v>-2.4245362661989844E-14</v>
      </c>
      <c r="AW5" t="s">
        <v>1594</v>
      </c>
      <c r="AX5">
        <v>2024</v>
      </c>
      <c r="AY5" t="s">
        <v>3551</v>
      </c>
      <c r="AZ5" s="6">
        <v>45742</v>
      </c>
      <c r="BA5">
        <v>1</v>
      </c>
      <c r="BB5">
        <v>-2.4245362661989844E-14</v>
      </c>
      <c r="BC5">
        <v>381245</v>
      </c>
      <c r="BD5" t="s">
        <v>3552</v>
      </c>
      <c r="BI5" t="str">
        <f>_xll.BDS("GE US Equity","SUPPLY_CHAIN_SUPPLIERS_ALL_DATA","cols=12;rows=5")</f>
        <v>SAF FP Equity</v>
      </c>
      <c r="BJ5" t="s">
        <v>1598</v>
      </c>
      <c r="BK5">
        <v>7.9101749999999997</v>
      </c>
      <c r="BL5">
        <v>9.7364909999999991</v>
      </c>
      <c r="BM5" t="s">
        <v>1664</v>
      </c>
      <c r="BN5">
        <v>2025</v>
      </c>
      <c r="BO5" t="s">
        <v>2132</v>
      </c>
      <c r="BP5" s="6">
        <v>45874</v>
      </c>
      <c r="BQ5">
        <v>5</v>
      </c>
      <c r="BR5">
        <v>666294015.34000003</v>
      </c>
      <c r="BS5">
        <v>115519</v>
      </c>
      <c r="BT5" t="s">
        <v>2133</v>
      </c>
      <c r="BW5" t="str">
        <f>_xll.BDS("GE US Equity","SUPPLY_CHAIN_CUSTOMERS_ALL_DATA","cols=12;rows=5")</f>
        <v>3352Z US Equity</v>
      </c>
      <c r="BX5">
        <v>10</v>
      </c>
      <c r="BZ5">
        <v>-2.4245362661989844E-14</v>
      </c>
      <c r="CA5" t="s">
        <v>1594</v>
      </c>
      <c r="CB5">
        <v>2025</v>
      </c>
      <c r="CC5" t="s">
        <v>1957</v>
      </c>
      <c r="CD5" s="6">
        <v>46051</v>
      </c>
      <c r="CE5">
        <v>5</v>
      </c>
      <c r="CF5">
        <v>1146375040</v>
      </c>
      <c r="CG5">
        <v>218252</v>
      </c>
      <c r="CH5" t="s">
        <v>1622</v>
      </c>
      <c r="CM5" t="str">
        <f>_xll.BDS("nan Equity","SUPPLY_CHAIN_SUPPLIERS_ALL_DATA")</f>
        <v>#N/A N/A</v>
      </c>
      <c r="DA5" t="str">
        <f>_xll.BDS("nan Equity","SUPPLY_CHAIN_CUSTOMERS_ALL_DATA")</f>
        <v>#N/A N/A</v>
      </c>
      <c r="DQ5" t="str">
        <f>_xll.BDS("NXL US Equity","SUPPLY_CHAIN_SUPPLIERS_ALL_DATA")</f>
        <v>#N/A N/A</v>
      </c>
      <c r="EE5" t="str">
        <f>_xll.BDS("NXL US Equity","SUPPLY_CHAIN_CUSTOMERS_ALL_DATA")</f>
        <v>#N/A N/A</v>
      </c>
      <c r="EU5" t="str">
        <f>_xll.BDS("BMY US Equity","SUPPLY_CHAIN_SUPPLIERS_ALL_DATA","cols=12;rows=5")</f>
        <v>PFE US Equity</v>
      </c>
      <c r="EV5" t="s">
        <v>1598</v>
      </c>
      <c r="EW5">
        <v>11.153900999999999</v>
      </c>
      <c r="EX5">
        <v>50.086109</v>
      </c>
      <c r="EY5" t="s">
        <v>1594</v>
      </c>
      <c r="EZ5">
        <v>2025</v>
      </c>
      <c r="FA5" t="s">
        <v>1765</v>
      </c>
      <c r="FB5" s="6">
        <v>46064</v>
      </c>
      <c r="FC5">
        <v>5</v>
      </c>
      <c r="FD5">
        <v>1745000000</v>
      </c>
      <c r="FE5">
        <v>101166</v>
      </c>
      <c r="FF5" t="s">
        <v>2119</v>
      </c>
      <c r="FI5" t="str">
        <f>_xll.BDS("BMY US Equity","SUPPLY_CHAIN_CUSTOMERS_ALL_DATA","cols=12;rows=5")</f>
        <v>MCK US Equity</v>
      </c>
      <c r="FJ5">
        <v>36</v>
      </c>
      <c r="FK5" t="s">
        <v>1598</v>
      </c>
      <c r="FL5">
        <v>4.5203889999999998</v>
      </c>
      <c r="FM5" t="s">
        <v>1594</v>
      </c>
      <c r="FN5">
        <v>2025</v>
      </c>
      <c r="FO5" t="s">
        <v>1765</v>
      </c>
      <c r="FP5" s="6">
        <v>46064</v>
      </c>
      <c r="FQ5">
        <v>5</v>
      </c>
      <c r="FR5">
        <v>4337460224</v>
      </c>
      <c r="FS5">
        <v>154936</v>
      </c>
      <c r="FT5" t="s">
        <v>1766</v>
      </c>
      <c r="FY5" t="str">
        <f>_xll.BDS("HPQ US Equity","SUPPLY_CHAIN_SUPPLIERS_ALL_DATA","cols=12;rows=5")</f>
        <v>2356 TT Equity</v>
      </c>
      <c r="FZ5" t="s">
        <v>1598</v>
      </c>
      <c r="GA5">
        <v>36.343342</v>
      </c>
      <c r="GB5">
        <v>18.051394999999999</v>
      </c>
      <c r="GC5" t="s">
        <v>1599</v>
      </c>
      <c r="GD5">
        <v>2025</v>
      </c>
      <c r="GE5" t="s">
        <v>2226</v>
      </c>
      <c r="GF5" s="6">
        <v>46035</v>
      </c>
      <c r="GG5">
        <v>5</v>
      </c>
      <c r="GH5">
        <v>2141270971.6500001</v>
      </c>
      <c r="GI5">
        <v>193712</v>
      </c>
      <c r="GJ5" t="s">
        <v>2227</v>
      </c>
      <c r="GM5" t="str">
        <f>_xll.BDS("HPQ US Equity","SUPPLY_CHAIN_CUSTOMERS_ALL_DATA","cols=12;rows=5")</f>
        <v>SNX US Equity</v>
      </c>
      <c r="GN5">
        <v>12</v>
      </c>
      <c r="GO5" t="s">
        <v>1598</v>
      </c>
      <c r="GP5">
        <v>11.690618000000001</v>
      </c>
      <c r="GQ5" t="s">
        <v>1594</v>
      </c>
      <c r="GR5">
        <v>2025</v>
      </c>
      <c r="GS5" t="s">
        <v>1781</v>
      </c>
      <c r="GT5" s="6">
        <v>46001</v>
      </c>
      <c r="GU5">
        <v>5</v>
      </c>
      <c r="GV5">
        <v>1658850048</v>
      </c>
      <c r="GW5">
        <v>1499717</v>
      </c>
      <c r="GX5" t="s">
        <v>1702</v>
      </c>
      <c r="HC5" t="str">
        <f>_xll.BDS("9876456D US Equity","SUPPLY_CHAIN_SUPPLIERS_ALL_DATA")</f>
        <v>#N/A N/A</v>
      </c>
      <c r="HQ5" t="str">
        <f>_xll.BDS("9876456D US Equity","SUPPLY_CHAIN_CUSTOMERS_ALL_DATA")</f>
        <v>#N/A N/A</v>
      </c>
      <c r="IG5" t="str">
        <f>_xll.BDS("AVB US Equity","SUPPLY_CHAIN_SUPPLIERS_ALL_DATA")</f>
        <v>#N/A N/A</v>
      </c>
      <c r="IU5" t="str">
        <f>_xll.BDS("AVB US Equity","SUPPLY_CHAIN_CUSTOMERS_ALL_DATA","cols=12;rows=2")</f>
        <v>688125 CH Equity</v>
      </c>
      <c r="IV5">
        <v>-2.4245362661989844E-14</v>
      </c>
      <c r="IX5">
        <v>-2.4245362661989844E-14</v>
      </c>
      <c r="IY5" t="s">
        <v>1792</v>
      </c>
      <c r="IZ5">
        <v>2021</v>
      </c>
      <c r="JA5" t="s">
        <v>3633</v>
      </c>
      <c r="JB5" s="6">
        <v>44645</v>
      </c>
      <c r="JC5">
        <v>2</v>
      </c>
      <c r="JD5">
        <v>-2.4245362661989844E-14</v>
      </c>
      <c r="JE5">
        <v>69643558</v>
      </c>
      <c r="JF5" t="s">
        <v>3634</v>
      </c>
      <c r="JK5" t="str">
        <f>_xll.BDS("HIG US Equity","SUPPLY_CHAIN_SUPPLIERS_ALL_DATA","cols=12;rows=5")</f>
        <v>OPITQ US Equity</v>
      </c>
      <c r="JM5">
        <v>1.1000000000000001</v>
      </c>
      <c r="JN5">
        <v>-2.4245362661989844E-14</v>
      </c>
      <c r="JO5" t="s">
        <v>1664</v>
      </c>
      <c r="JP5">
        <v>2025</v>
      </c>
      <c r="JQ5" t="s">
        <v>3155</v>
      </c>
      <c r="JR5" s="6">
        <v>45868</v>
      </c>
      <c r="JS5">
        <v>5</v>
      </c>
      <c r="JT5">
        <v>1259489</v>
      </c>
      <c r="JU5">
        <v>15671511</v>
      </c>
      <c r="JV5" t="s">
        <v>3139</v>
      </c>
      <c r="JY5" t="str">
        <f>_xll.BDS("HIG US Equity","SUPPLY_CHAIN_CUSTOMERS_ALL_DATA")</f>
        <v>#N/A N/A</v>
      </c>
      <c r="KO5" t="str">
        <f>_xll.BDS("LYB US Equity","SUPPLY_CHAIN_SUPPLIERS_ALL_DATA","cols=12;rows=5")</f>
        <v>SIPCHEM AB Equity</v>
      </c>
      <c r="KP5" t="s">
        <v>1598</v>
      </c>
      <c r="KQ5">
        <v>18.970448000000001</v>
      </c>
      <c r="KR5">
        <v>0.99882199999999999</v>
      </c>
      <c r="KS5" t="s">
        <v>1594</v>
      </c>
      <c r="KT5">
        <v>2024</v>
      </c>
      <c r="KU5" t="s">
        <v>2926</v>
      </c>
      <c r="KV5" s="6">
        <v>45741</v>
      </c>
      <c r="KW5">
        <v>5</v>
      </c>
      <c r="KX5">
        <v>89239491.909999996</v>
      </c>
      <c r="KY5">
        <v>11020092</v>
      </c>
      <c r="KZ5" t="s">
        <v>2927</v>
      </c>
      <c r="LC5" t="str">
        <f>_xll.BDS("LYB US Equity","SUPPLY_CHAIN_CUSTOMERS_ALL_DATA","cols=12;rows=5")</f>
        <v>BNR GR Equity</v>
      </c>
      <c r="LD5">
        <v>0.999274</v>
      </c>
      <c r="LE5" t="s">
        <v>1598</v>
      </c>
      <c r="LF5">
        <v>2.1883330000000001</v>
      </c>
      <c r="LG5" t="s">
        <v>1606</v>
      </c>
      <c r="LH5">
        <v>2025</v>
      </c>
      <c r="LI5" t="s">
        <v>1930</v>
      </c>
      <c r="LJ5" s="6">
        <v>46076</v>
      </c>
      <c r="LK5">
        <v>5</v>
      </c>
      <c r="LL5">
        <v>70858520</v>
      </c>
      <c r="LM5">
        <v>1135366</v>
      </c>
      <c r="LN5" t="s">
        <v>2414</v>
      </c>
      <c r="LS5" t="str">
        <f>_xll.BDS("PRGNQ US Equity","SUPPLY_CHAIN_SUPPLIERS_ALL_DATA")</f>
        <v>#N/A N/A</v>
      </c>
      <c r="MG5" t="str">
        <f>_xll.BDS("PRGNQ US Equity","SUPPLY_CHAIN_CUSTOMERS_ALL_DATA")</f>
        <v>#N/A N/A</v>
      </c>
      <c r="MW5" t="str">
        <f>_xll.BDS("USB US Equity","SUPPLY_CHAIN_SUPPLIERS_ALL_DATA","cols=12;rows=5")</f>
        <v>INFO IN Equity</v>
      </c>
      <c r="MX5" t="s">
        <v>1685</v>
      </c>
      <c r="MY5">
        <v>1.3519060000000001</v>
      </c>
      <c r="MZ5">
        <v>1.509646</v>
      </c>
      <c r="NA5" t="s">
        <v>1664</v>
      </c>
      <c r="NB5">
        <v>2026</v>
      </c>
      <c r="NC5" t="s">
        <v>3374</v>
      </c>
      <c r="ND5" s="6">
        <v>46022</v>
      </c>
      <c r="NE5">
        <v>5</v>
      </c>
      <c r="NF5">
        <v>63385504.969999999</v>
      </c>
      <c r="NG5">
        <v>174545</v>
      </c>
      <c r="NH5" t="s">
        <v>3375</v>
      </c>
      <c r="NK5" t="str">
        <f>_xll.BDS("USB US Equity","SUPPLY_CHAIN_CUSTOMERS_ALL_DATA","cols=12;rows=2")</f>
        <v>FISV US Equity</v>
      </c>
      <c r="NL5">
        <v>-2.4245362661989844E-14</v>
      </c>
      <c r="NN5">
        <v>-2.4245362661989844E-14</v>
      </c>
      <c r="NO5" t="s">
        <v>1594</v>
      </c>
      <c r="NP5">
        <v>2023</v>
      </c>
      <c r="NQ5" t="s">
        <v>4423</v>
      </c>
      <c r="NR5" s="6">
        <v>45344</v>
      </c>
      <c r="NS5">
        <v>2</v>
      </c>
      <c r="NT5">
        <v>-2.4245362661989844E-14</v>
      </c>
      <c r="NU5">
        <v>103882</v>
      </c>
      <c r="NV5" t="s">
        <v>2175</v>
      </c>
      <c r="OA5" t="str">
        <f>_xll.BDS("TMO US Equity","SUPPLY_CHAIN_SUPPLIERS_ALL_DATA","cols=12;rows=5")</f>
        <v>EMR US Equity</v>
      </c>
      <c r="OB5" t="s">
        <v>1598</v>
      </c>
      <c r="OC5">
        <v>4.2224550000000001</v>
      </c>
      <c r="OD5">
        <v>2.8645350000000001</v>
      </c>
      <c r="OE5" t="s">
        <v>1599</v>
      </c>
      <c r="OF5">
        <v>2025</v>
      </c>
      <c r="OG5" t="s">
        <v>2931</v>
      </c>
      <c r="OH5" s="6">
        <v>45881</v>
      </c>
      <c r="OI5">
        <v>5</v>
      </c>
      <c r="OJ5">
        <v>184647952</v>
      </c>
      <c r="OK5">
        <v>100515</v>
      </c>
      <c r="OL5" t="s">
        <v>2932</v>
      </c>
      <c r="OO5" t="str">
        <f>_xll.BDS("TMO US Equity","SUPPLY_CHAIN_CUSTOMERS_ALL_DATA","cols=12;rows=5")</f>
        <v>4195 TT Equity</v>
      </c>
      <c r="OP5">
        <v>9.7099999999999999E-3</v>
      </c>
      <c r="OQ5" t="s">
        <v>1598</v>
      </c>
      <c r="OR5">
        <v>37.527434999999997</v>
      </c>
      <c r="OS5" t="s">
        <v>1594</v>
      </c>
      <c r="OT5">
        <v>2024</v>
      </c>
      <c r="OU5" t="s">
        <v>2828</v>
      </c>
      <c r="OV5" s="6">
        <v>45803</v>
      </c>
      <c r="OW5">
        <v>5</v>
      </c>
      <c r="OX5">
        <v>1052629.3999999999</v>
      </c>
      <c r="OY5">
        <v>38166930</v>
      </c>
      <c r="OZ5" t="s">
        <v>2829</v>
      </c>
      <c r="PE5" t="str">
        <f>_xll.BDS("DIN US Equity","SUPPLY_CHAIN_SUPPLIERS_ALL_DATA","cols=12;rows=5")</f>
        <v>PEP US Equity</v>
      </c>
      <c r="PF5" t="s">
        <v>1598</v>
      </c>
      <c r="PG5">
        <v>5.9540000000000001E-3</v>
      </c>
      <c r="PH5">
        <v>1.098455</v>
      </c>
      <c r="PI5" t="s">
        <v>1664</v>
      </c>
      <c r="PJ5">
        <v>2025</v>
      </c>
      <c r="PK5" t="s">
        <v>2827</v>
      </c>
      <c r="PL5" s="6">
        <v>45855</v>
      </c>
      <c r="PM5">
        <v>5</v>
      </c>
      <c r="PN5">
        <v>1367247</v>
      </c>
      <c r="PO5">
        <v>101158</v>
      </c>
      <c r="PP5" t="s">
        <v>4424</v>
      </c>
      <c r="PS5" t="str">
        <f>_xll.BDS("DIN US Equity","SUPPLY_CHAIN_CUSTOMERS_ALL_DATA","cols=12;rows=1")</f>
        <v>TA US Equity</v>
      </c>
      <c r="PT5">
        <v>-2.4245362661989844E-14</v>
      </c>
      <c r="PV5">
        <v>-2.4245362661989844E-14</v>
      </c>
      <c r="PW5" t="s">
        <v>1594</v>
      </c>
      <c r="PX5">
        <v>2022</v>
      </c>
      <c r="PY5" t="s">
        <v>4348</v>
      </c>
      <c r="PZ5" s="6">
        <v>44986</v>
      </c>
      <c r="QA5">
        <v>1</v>
      </c>
      <c r="QB5">
        <v>-2.4245362661989844E-14</v>
      </c>
      <c r="QC5">
        <v>224331</v>
      </c>
      <c r="QD5" t="s">
        <v>4349</v>
      </c>
      <c r="QI5" t="str">
        <f>_xll.BDS("QVCGA US Equity","SUPPLY_CHAIN_SUPPLIERS_ALL_DATA","cols=12;rows=5")</f>
        <v>GRMN US Equity</v>
      </c>
      <c r="QJ5" t="s">
        <v>1598</v>
      </c>
      <c r="QK5">
        <v>0.68698300000000001</v>
      </c>
      <c r="QL5">
        <v>0.87663500000000005</v>
      </c>
      <c r="QM5" t="s">
        <v>1664</v>
      </c>
      <c r="QN5">
        <v>2025</v>
      </c>
      <c r="QO5" t="s">
        <v>4148</v>
      </c>
      <c r="QP5" s="6">
        <v>45903</v>
      </c>
      <c r="QQ5">
        <v>5</v>
      </c>
      <c r="QR5">
        <v>12465746</v>
      </c>
      <c r="QS5">
        <v>1184444</v>
      </c>
      <c r="QT5" t="s">
        <v>4149</v>
      </c>
      <c r="QW5" t="str">
        <f>_xll.BDS("QVCGA US Equity","SUPPLY_CHAIN_CUSTOMERS_ALL_DATA","cols=12;rows=5")</f>
        <v>066570 KS Equity</v>
      </c>
      <c r="QX5">
        <v>0.13600400000000001</v>
      </c>
      <c r="QY5" t="s">
        <v>1685</v>
      </c>
      <c r="QZ5">
        <v>9.8379999999999995E-2</v>
      </c>
      <c r="RA5" t="s">
        <v>1599</v>
      </c>
      <c r="RB5">
        <v>2025</v>
      </c>
      <c r="RC5" t="s">
        <v>1600</v>
      </c>
      <c r="RD5" s="6">
        <v>46014</v>
      </c>
      <c r="RE5">
        <v>5</v>
      </c>
      <c r="RF5">
        <v>3011041.38</v>
      </c>
      <c r="RG5">
        <v>7583418</v>
      </c>
      <c r="RH5" t="s">
        <v>1601</v>
      </c>
      <c r="RM5" t="str">
        <f>_xll.BDS("BMY US Equity","SUPPLY_CHAIN_SUPPLIERS_ALL_DATA","cols=12;rows=5")</f>
        <v>PFE US Equity</v>
      </c>
      <c r="RN5" t="s">
        <v>1598</v>
      </c>
      <c r="RO5">
        <v>11.153900999999999</v>
      </c>
      <c r="RP5">
        <v>50.086109</v>
      </c>
      <c r="RQ5" t="s">
        <v>1594</v>
      </c>
      <c r="RR5">
        <v>2025</v>
      </c>
      <c r="RS5" t="s">
        <v>1765</v>
      </c>
      <c r="RT5" s="6">
        <v>46064</v>
      </c>
      <c r="RU5">
        <v>5</v>
      </c>
      <c r="RV5">
        <v>1745000000</v>
      </c>
      <c r="RW5">
        <v>101166</v>
      </c>
      <c r="RX5" t="s">
        <v>2119</v>
      </c>
      <c r="SA5" t="str">
        <f>_xll.BDS("BMY US Equity","SUPPLY_CHAIN_CUSTOMERS_ALL_DATA","cols=12;rows=5")</f>
        <v>MCK US Equity</v>
      </c>
      <c r="SB5">
        <v>36</v>
      </c>
      <c r="SC5" t="s">
        <v>1598</v>
      </c>
      <c r="SD5">
        <v>4.5203889999999998</v>
      </c>
      <c r="SE5" t="s">
        <v>1594</v>
      </c>
      <c r="SF5">
        <v>2025</v>
      </c>
      <c r="SG5" t="s">
        <v>1765</v>
      </c>
      <c r="SH5" s="6">
        <v>46064</v>
      </c>
      <c r="SI5">
        <v>5</v>
      </c>
      <c r="SJ5">
        <v>4337460224</v>
      </c>
      <c r="SK5">
        <v>154936</v>
      </c>
      <c r="SL5" t="s">
        <v>1766</v>
      </c>
      <c r="SQ5" t="str">
        <f>_xll.BDS("2758954Q US Equity","SUPPLY_CHAIN_SUPPLIERS_ALL_DATA")</f>
        <v>#N/A N/A</v>
      </c>
      <c r="TE5" t="str">
        <f>_xll.BDS("2758954Q US Equity","SUPPLY_CHAIN_CUSTOMERS_ALL_DATA")</f>
        <v>#N/A N/A</v>
      </c>
      <c r="TU5" t="str">
        <f>_xll.BDS("CAH US Equity","SUPPLY_CHAIN_SUPPLIERS_ALL_DATA","cols=12;rows=5")</f>
        <v>LLY US Equity</v>
      </c>
      <c r="TV5" t="s">
        <v>1598</v>
      </c>
      <c r="TW5">
        <v>19.020800000000001</v>
      </c>
      <c r="TX5">
        <v>5.4268320000000001</v>
      </c>
      <c r="TY5" t="s">
        <v>1599</v>
      </c>
      <c r="TZ5">
        <v>2025</v>
      </c>
      <c r="UA5" t="s">
        <v>1859</v>
      </c>
      <c r="UB5" s="6">
        <v>46041</v>
      </c>
      <c r="UC5">
        <v>5</v>
      </c>
      <c r="UD5">
        <v>3347812864</v>
      </c>
      <c r="UE5">
        <v>100894</v>
      </c>
      <c r="UF5" t="s">
        <v>2218</v>
      </c>
      <c r="UI5" t="str">
        <f>_xll.BDS("CAH US Equity","SUPPLY_CHAIN_CUSTOMERS_ALL_DATA","cols=12;rows=5")</f>
        <v>CVS US Equity</v>
      </c>
      <c r="UJ5">
        <v>30</v>
      </c>
      <c r="UK5" t="s">
        <v>1598</v>
      </c>
      <c r="UL5">
        <v>20.040337000000001</v>
      </c>
      <c r="UM5" t="s">
        <v>1594</v>
      </c>
      <c r="UN5">
        <v>2025</v>
      </c>
      <c r="UO5" t="s">
        <v>1819</v>
      </c>
      <c r="UP5" s="6">
        <v>45881</v>
      </c>
      <c r="UQ5">
        <v>5</v>
      </c>
      <c r="UR5">
        <v>16693350400</v>
      </c>
      <c r="US5">
        <v>100976</v>
      </c>
      <c r="UT5" t="s">
        <v>1820</v>
      </c>
      <c r="UY5" t="str">
        <f>_xll.BDS("TYL US Equity","SUPPLY_CHAIN_SUPPLIERS_ALL_DATA","cols=12;rows=1")</f>
        <v>AMZN US Equity</v>
      </c>
      <c r="VA5">
        <v>-2.4245362661989844E-14</v>
      </c>
      <c r="VB5">
        <v>-2.4245362661989844E-14</v>
      </c>
      <c r="VC5" t="s">
        <v>1594</v>
      </c>
      <c r="VD5">
        <v>2025</v>
      </c>
      <c r="VE5" t="s">
        <v>2028</v>
      </c>
      <c r="VF5" s="6">
        <v>46071</v>
      </c>
      <c r="VG5">
        <v>1</v>
      </c>
      <c r="VH5">
        <v>-2.4245362661989844E-14</v>
      </c>
      <c r="VI5">
        <v>216952</v>
      </c>
      <c r="VJ5" t="s">
        <v>1631</v>
      </c>
      <c r="VM5" t="str">
        <f>_xll.BDS("TYL US Equity","SUPPLY_CHAIN_CUSTOMERS_ALL_DATA","cols=12;rows=5")</f>
        <v>0191294Z US Equity</v>
      </c>
      <c r="VN5">
        <v>-2.4245362661989844E-14</v>
      </c>
      <c r="VP5">
        <v>-2.4245362661989844E-14</v>
      </c>
      <c r="VQ5" t="s">
        <v>1594</v>
      </c>
      <c r="VR5">
        <v>2022</v>
      </c>
      <c r="VS5" t="s">
        <v>1881</v>
      </c>
      <c r="VT5" s="6">
        <v>44672</v>
      </c>
      <c r="VU5">
        <v>5</v>
      </c>
      <c r="VV5">
        <v>-2.4245362661989844E-14</v>
      </c>
      <c r="VW5">
        <v>26959823</v>
      </c>
      <c r="VX5" t="s">
        <v>1882</v>
      </c>
    </row>
    <row r="6" spans="1:600" x14ac:dyDescent="0.25">
      <c r="A6" t="s">
        <v>25</v>
      </c>
      <c r="B6" t="s">
        <v>1598</v>
      </c>
      <c r="C6">
        <v>18.560427000000001</v>
      </c>
      <c r="D6">
        <v>4.8780200000000002</v>
      </c>
      <c r="E6" t="s">
        <v>1606</v>
      </c>
      <c r="F6">
        <v>2025</v>
      </c>
      <c r="G6" t="s">
        <v>2220</v>
      </c>
      <c r="H6" s="6">
        <v>46077</v>
      </c>
      <c r="I6">
        <v>5</v>
      </c>
      <c r="J6">
        <v>3084371712</v>
      </c>
      <c r="K6">
        <v>28046509</v>
      </c>
      <c r="L6" t="s">
        <v>2221</v>
      </c>
      <c r="O6" t="s">
        <v>1821</v>
      </c>
      <c r="P6">
        <v>4</v>
      </c>
      <c r="R6">
        <v>-2.4245362661989844E-14</v>
      </c>
      <c r="S6" t="s">
        <v>1606</v>
      </c>
      <c r="T6">
        <v>2025</v>
      </c>
      <c r="U6" t="s">
        <v>1822</v>
      </c>
      <c r="V6" s="6">
        <v>45954</v>
      </c>
      <c r="W6">
        <v>5</v>
      </c>
      <c r="X6">
        <v>2406360064</v>
      </c>
      <c r="Y6">
        <v>48003505</v>
      </c>
      <c r="Z6" t="s">
        <v>1823</v>
      </c>
      <c r="AE6" t="s">
        <v>4545</v>
      </c>
      <c r="AG6">
        <v>-2.4245362661989844E-14</v>
      </c>
      <c r="AH6">
        <v>-2.4245362661989844E-14</v>
      </c>
      <c r="AI6" t="s">
        <v>1599</v>
      </c>
      <c r="AJ6">
        <v>2024</v>
      </c>
      <c r="AK6" t="s">
        <v>4546</v>
      </c>
      <c r="AL6" s="6">
        <v>45608</v>
      </c>
      <c r="AM6">
        <v>5</v>
      </c>
      <c r="AN6">
        <v>-2.4245362661989844E-14</v>
      </c>
      <c r="AO6">
        <v>159743</v>
      </c>
      <c r="AP6" t="s">
        <v>4547</v>
      </c>
      <c r="BI6" t="s">
        <v>2628</v>
      </c>
      <c r="BJ6" t="s">
        <v>1598</v>
      </c>
      <c r="BK6">
        <v>13.760432</v>
      </c>
      <c r="BL6">
        <v>4.7536569999999996</v>
      </c>
      <c r="BM6" t="s">
        <v>1664</v>
      </c>
      <c r="BN6">
        <v>2025</v>
      </c>
      <c r="BO6" t="s">
        <v>2629</v>
      </c>
      <c r="BP6" s="6">
        <v>45937</v>
      </c>
      <c r="BQ6">
        <v>5</v>
      </c>
      <c r="BR6">
        <v>325305405.77999997</v>
      </c>
      <c r="BS6">
        <v>8445936</v>
      </c>
      <c r="BT6" t="s">
        <v>2630</v>
      </c>
      <c r="BW6" t="s">
        <v>872</v>
      </c>
      <c r="BX6">
        <v>9.2636719999999997</v>
      </c>
      <c r="BY6" t="s">
        <v>1598</v>
      </c>
      <c r="BZ6">
        <v>5.0267530000000002</v>
      </c>
      <c r="CA6" t="s">
        <v>1664</v>
      </c>
      <c r="CB6">
        <v>2025</v>
      </c>
      <c r="CC6" t="s">
        <v>1958</v>
      </c>
      <c r="CD6" s="6">
        <v>45888</v>
      </c>
      <c r="CE6">
        <v>5</v>
      </c>
      <c r="CF6">
        <v>1021134592</v>
      </c>
      <c r="CG6">
        <v>100211</v>
      </c>
      <c r="CH6" t="s">
        <v>1632</v>
      </c>
      <c r="EU6" t="s">
        <v>2120</v>
      </c>
      <c r="EV6" t="s">
        <v>1598</v>
      </c>
      <c r="EW6">
        <v>25.6</v>
      </c>
      <c r="EX6">
        <v>5.8001680000000002</v>
      </c>
      <c r="EY6" t="s">
        <v>1594</v>
      </c>
      <c r="EZ6">
        <v>2025</v>
      </c>
      <c r="FA6" t="s">
        <v>2121</v>
      </c>
      <c r="FB6" s="6">
        <v>45827</v>
      </c>
      <c r="FC6">
        <v>5</v>
      </c>
      <c r="FD6">
        <v>204217368.44999999</v>
      </c>
      <c r="FE6">
        <v>114514</v>
      </c>
      <c r="FF6" t="s">
        <v>2122</v>
      </c>
      <c r="FI6" t="s">
        <v>959</v>
      </c>
      <c r="FJ6">
        <v>29</v>
      </c>
      <c r="FK6" t="s">
        <v>1598</v>
      </c>
      <c r="FL6">
        <v>4.4540850000000001</v>
      </c>
      <c r="FM6" t="s">
        <v>1594</v>
      </c>
      <c r="FN6">
        <v>2025</v>
      </c>
      <c r="FO6" t="s">
        <v>1765</v>
      </c>
      <c r="FP6" s="6">
        <v>46064</v>
      </c>
      <c r="FQ6">
        <v>5</v>
      </c>
      <c r="FR6">
        <v>3494064896</v>
      </c>
      <c r="FS6">
        <v>156969</v>
      </c>
      <c r="FT6" t="s">
        <v>1767</v>
      </c>
      <c r="FY6" t="s">
        <v>275</v>
      </c>
      <c r="FZ6" t="s">
        <v>1598</v>
      </c>
      <c r="GA6">
        <v>12.003353000000001</v>
      </c>
      <c r="GB6">
        <v>14.056165999999999</v>
      </c>
      <c r="GC6" t="s">
        <v>1606</v>
      </c>
      <c r="GD6">
        <v>2025</v>
      </c>
      <c r="GE6" t="s">
        <v>2228</v>
      </c>
      <c r="GF6" s="6">
        <v>46048</v>
      </c>
      <c r="GG6">
        <v>5</v>
      </c>
      <c r="GH6">
        <v>1641338496</v>
      </c>
      <c r="GI6">
        <v>101729</v>
      </c>
      <c r="GJ6" t="s">
        <v>2229</v>
      </c>
      <c r="GM6" t="s">
        <v>1774</v>
      </c>
      <c r="GN6">
        <v>1.5894710000000001</v>
      </c>
      <c r="GO6" t="s">
        <v>1598</v>
      </c>
      <c r="GP6">
        <v>2.6168589999999998</v>
      </c>
      <c r="GQ6" t="s">
        <v>1664</v>
      </c>
      <c r="GR6">
        <v>2026</v>
      </c>
      <c r="GS6" t="s">
        <v>1782</v>
      </c>
      <c r="GT6" s="6">
        <v>45932</v>
      </c>
      <c r="GU6">
        <v>5</v>
      </c>
      <c r="GV6">
        <v>221445152</v>
      </c>
      <c r="GW6">
        <v>100197</v>
      </c>
      <c r="GX6" t="s">
        <v>1775</v>
      </c>
      <c r="IU6" t="s">
        <v>3635</v>
      </c>
      <c r="IV6">
        <v>-2.4245362661989844E-14</v>
      </c>
      <c r="IX6">
        <v>-2.4245362661989844E-14</v>
      </c>
      <c r="IY6" t="s">
        <v>1594</v>
      </c>
      <c r="IZ6">
        <v>2023</v>
      </c>
      <c r="JA6" t="s">
        <v>3636</v>
      </c>
      <c r="JB6" s="6">
        <v>45049</v>
      </c>
      <c r="JC6">
        <v>2</v>
      </c>
      <c r="JD6">
        <v>-2.4245362661989844E-14</v>
      </c>
      <c r="JE6">
        <v>19908173</v>
      </c>
      <c r="JF6" t="s">
        <v>3637</v>
      </c>
      <c r="JK6" t="s">
        <v>2609</v>
      </c>
      <c r="JM6">
        <v>-2.4245362661989844E-14</v>
      </c>
      <c r="JN6">
        <v>-2.4245362661989844E-14</v>
      </c>
      <c r="JO6" t="s">
        <v>1594</v>
      </c>
      <c r="JP6">
        <v>2022</v>
      </c>
      <c r="JQ6" t="s">
        <v>2610</v>
      </c>
      <c r="JR6" s="6">
        <v>44862</v>
      </c>
      <c r="JS6">
        <v>5</v>
      </c>
      <c r="JT6">
        <v>-2.4245362661989844E-14</v>
      </c>
      <c r="JU6">
        <v>68654798</v>
      </c>
      <c r="JV6" t="s">
        <v>2611</v>
      </c>
      <c r="KO6" t="s">
        <v>437</v>
      </c>
      <c r="KP6" t="s">
        <v>1598</v>
      </c>
      <c r="KQ6">
        <v>0.57596999999999998</v>
      </c>
      <c r="KR6">
        <v>1.024999</v>
      </c>
      <c r="KS6" t="s">
        <v>1606</v>
      </c>
      <c r="KT6">
        <v>2025</v>
      </c>
      <c r="KU6" t="s">
        <v>1930</v>
      </c>
      <c r="KV6" s="6">
        <v>46076</v>
      </c>
      <c r="KW6">
        <v>5</v>
      </c>
      <c r="KX6">
        <v>69248928</v>
      </c>
      <c r="KY6">
        <v>348091</v>
      </c>
      <c r="KZ6" t="s">
        <v>2928</v>
      </c>
      <c r="LC6" t="s">
        <v>531</v>
      </c>
      <c r="LD6">
        <v>0.91261199999999998</v>
      </c>
      <c r="LE6" t="s">
        <v>1598</v>
      </c>
      <c r="LF6">
        <v>0.92368399999999995</v>
      </c>
      <c r="LG6" t="s">
        <v>1606</v>
      </c>
      <c r="LH6">
        <v>2025</v>
      </c>
      <c r="LI6" t="s">
        <v>1930</v>
      </c>
      <c r="LJ6" s="6">
        <v>46076</v>
      </c>
      <c r="LK6">
        <v>5</v>
      </c>
      <c r="LL6">
        <v>64713316</v>
      </c>
      <c r="LM6">
        <v>69491275</v>
      </c>
      <c r="LN6" t="s">
        <v>1780</v>
      </c>
      <c r="MW6" t="s">
        <v>178</v>
      </c>
      <c r="MX6" t="s">
        <v>1598</v>
      </c>
      <c r="MY6">
        <v>1.2899000000000001E-2</v>
      </c>
      <c r="MZ6">
        <v>0.213559</v>
      </c>
      <c r="NA6" t="s">
        <v>1599</v>
      </c>
      <c r="NB6">
        <v>2025</v>
      </c>
      <c r="NC6" t="s">
        <v>1735</v>
      </c>
      <c r="ND6" s="6">
        <v>45843</v>
      </c>
      <c r="NE6">
        <v>5</v>
      </c>
      <c r="NF6">
        <v>9037813</v>
      </c>
      <c r="NG6">
        <v>101743</v>
      </c>
      <c r="NH6" t="s">
        <v>1736</v>
      </c>
      <c r="NK6" t="s">
        <v>4399</v>
      </c>
      <c r="NL6">
        <v>-2.4245362661989844E-14</v>
      </c>
      <c r="NN6">
        <v>-2.4245362661989844E-14</v>
      </c>
      <c r="NO6" t="s">
        <v>1599</v>
      </c>
      <c r="NP6">
        <v>2025</v>
      </c>
      <c r="NQ6" t="s">
        <v>4400</v>
      </c>
      <c r="NR6" s="6">
        <v>45966</v>
      </c>
      <c r="NS6">
        <v>2</v>
      </c>
      <c r="NT6">
        <v>-2.4245362661989844E-14</v>
      </c>
      <c r="NU6">
        <v>38748702</v>
      </c>
      <c r="NV6" t="s">
        <v>4401</v>
      </c>
      <c r="OA6" t="s">
        <v>24</v>
      </c>
      <c r="OB6" t="s">
        <v>1598</v>
      </c>
      <c r="OC6">
        <v>0.39111600000000002</v>
      </c>
      <c r="OD6">
        <v>0.88908200000000004</v>
      </c>
      <c r="OE6" t="s">
        <v>1664</v>
      </c>
      <c r="OF6">
        <v>2025</v>
      </c>
      <c r="OG6" t="s">
        <v>3358</v>
      </c>
      <c r="OH6" s="6">
        <v>45914</v>
      </c>
      <c r="OI6">
        <v>5</v>
      </c>
      <c r="OJ6">
        <v>57310228</v>
      </c>
      <c r="OK6">
        <v>101166</v>
      </c>
      <c r="OL6" t="s">
        <v>2119</v>
      </c>
      <c r="OO6" t="s">
        <v>1706</v>
      </c>
      <c r="OP6">
        <v>2.545E-3</v>
      </c>
      <c r="OQ6" t="s">
        <v>1598</v>
      </c>
      <c r="OR6">
        <v>3.8306200000000001</v>
      </c>
      <c r="OS6" t="s">
        <v>1594</v>
      </c>
      <c r="OT6">
        <v>2024</v>
      </c>
      <c r="OU6" t="s">
        <v>1707</v>
      </c>
      <c r="OV6" s="6">
        <v>45819</v>
      </c>
      <c r="OW6">
        <v>5</v>
      </c>
      <c r="OX6">
        <v>275861.17</v>
      </c>
      <c r="OY6">
        <v>15291339</v>
      </c>
      <c r="OZ6" t="s">
        <v>1708</v>
      </c>
      <c r="PE6" t="s">
        <v>3794</v>
      </c>
      <c r="PF6" t="s">
        <v>1598</v>
      </c>
      <c r="PG6">
        <v>7.0980000000000001E-3</v>
      </c>
      <c r="PH6">
        <v>0.19395200000000001</v>
      </c>
      <c r="PI6" t="s">
        <v>1664</v>
      </c>
      <c r="PJ6">
        <v>2025</v>
      </c>
      <c r="PK6" t="s">
        <v>3795</v>
      </c>
      <c r="PL6" s="6">
        <v>45923</v>
      </c>
      <c r="PM6">
        <v>5</v>
      </c>
      <c r="PN6">
        <v>268730</v>
      </c>
      <c r="PO6">
        <v>106780</v>
      </c>
      <c r="PP6" t="s">
        <v>3796</v>
      </c>
      <c r="QI6" t="s">
        <v>4150</v>
      </c>
      <c r="QJ6" t="s">
        <v>1598</v>
      </c>
      <c r="QK6">
        <v>46.131107</v>
      </c>
      <c r="QL6">
        <v>0.57050800000000002</v>
      </c>
      <c r="QM6" t="s">
        <v>1594</v>
      </c>
      <c r="QN6">
        <v>2025</v>
      </c>
      <c r="QO6" t="s">
        <v>4151</v>
      </c>
      <c r="QP6" s="6">
        <v>45953</v>
      </c>
      <c r="QQ6">
        <v>5</v>
      </c>
      <c r="QR6">
        <v>8926402.5199999996</v>
      </c>
      <c r="QS6">
        <v>28987796</v>
      </c>
      <c r="QT6" t="s">
        <v>4152</v>
      </c>
      <c r="QW6" t="s">
        <v>3506</v>
      </c>
      <c r="QX6">
        <v>-2.4245362661989844E-14</v>
      </c>
      <c r="QZ6">
        <v>-2.4245362661989844E-14</v>
      </c>
      <c r="RA6" t="s">
        <v>1594</v>
      </c>
      <c r="RB6">
        <v>2024</v>
      </c>
      <c r="RC6" t="s">
        <v>3507</v>
      </c>
      <c r="RD6" s="6">
        <v>45715</v>
      </c>
      <c r="RE6">
        <v>5</v>
      </c>
      <c r="RF6">
        <v>-2.4245362661989844E-14</v>
      </c>
      <c r="RG6">
        <v>115545</v>
      </c>
      <c r="RH6" t="s">
        <v>3508</v>
      </c>
      <c r="RM6" t="s">
        <v>2120</v>
      </c>
      <c r="RN6" t="s">
        <v>1598</v>
      </c>
      <c r="RO6">
        <v>25.6</v>
      </c>
      <c r="RP6">
        <v>5.8001680000000002</v>
      </c>
      <c r="RQ6" t="s">
        <v>1594</v>
      </c>
      <c r="RR6">
        <v>2025</v>
      </c>
      <c r="RS6" t="s">
        <v>2121</v>
      </c>
      <c r="RT6" s="6">
        <v>45827</v>
      </c>
      <c r="RU6">
        <v>5</v>
      </c>
      <c r="RV6">
        <v>204217368.44999999</v>
      </c>
      <c r="RW6">
        <v>114514</v>
      </c>
      <c r="RX6" t="s">
        <v>2122</v>
      </c>
      <c r="SA6" t="s">
        <v>959</v>
      </c>
      <c r="SB6">
        <v>29</v>
      </c>
      <c r="SC6" t="s">
        <v>1598</v>
      </c>
      <c r="SD6">
        <v>4.4540850000000001</v>
      </c>
      <c r="SE6" t="s">
        <v>1594</v>
      </c>
      <c r="SF6">
        <v>2025</v>
      </c>
      <c r="SG6" t="s">
        <v>1765</v>
      </c>
      <c r="SH6" s="6">
        <v>46064</v>
      </c>
      <c r="SI6">
        <v>5</v>
      </c>
      <c r="SJ6">
        <v>3494064896</v>
      </c>
      <c r="SK6">
        <v>156969</v>
      </c>
      <c r="SL6" t="s">
        <v>1767</v>
      </c>
      <c r="TU6" t="s">
        <v>25</v>
      </c>
      <c r="TV6" t="s">
        <v>1598</v>
      </c>
      <c r="TW6">
        <v>18.560427000000001</v>
      </c>
      <c r="TX6">
        <v>4.8780200000000002</v>
      </c>
      <c r="TY6" t="s">
        <v>1606</v>
      </c>
      <c r="TZ6">
        <v>2025</v>
      </c>
      <c r="UA6" t="s">
        <v>2220</v>
      </c>
      <c r="UB6" s="6">
        <v>46077</v>
      </c>
      <c r="UC6">
        <v>5</v>
      </c>
      <c r="UD6">
        <v>3084371712</v>
      </c>
      <c r="UE6">
        <v>28046509</v>
      </c>
      <c r="UF6" t="s">
        <v>2221</v>
      </c>
      <c r="UI6" t="s">
        <v>1821</v>
      </c>
      <c r="UJ6">
        <v>4</v>
      </c>
      <c r="UL6">
        <v>-2.4245362661989844E-14</v>
      </c>
      <c r="UM6" t="s">
        <v>1606</v>
      </c>
      <c r="UN6">
        <v>2025</v>
      </c>
      <c r="UO6" t="s">
        <v>1822</v>
      </c>
      <c r="UP6" s="6">
        <v>45954</v>
      </c>
      <c r="UQ6">
        <v>5</v>
      </c>
      <c r="UR6">
        <v>2406360064</v>
      </c>
      <c r="US6">
        <v>48003505</v>
      </c>
      <c r="UT6" t="s">
        <v>1823</v>
      </c>
      <c r="VM6" t="s">
        <v>1883</v>
      </c>
      <c r="VN6">
        <v>-2.4245362661989844E-14</v>
      </c>
      <c r="VP6">
        <v>-2.4245362661989844E-14</v>
      </c>
      <c r="VQ6" t="s">
        <v>1594</v>
      </c>
      <c r="VR6">
        <v>2023</v>
      </c>
      <c r="VS6" t="s">
        <v>1881</v>
      </c>
      <c r="VT6" s="6">
        <v>45216</v>
      </c>
      <c r="VU6">
        <v>5</v>
      </c>
      <c r="VV6">
        <v>-2.4245362661989844E-14</v>
      </c>
      <c r="VW6">
        <v>27223456</v>
      </c>
      <c r="VX6" t="s">
        <v>1884</v>
      </c>
    </row>
    <row r="7" spans="1:600" x14ac:dyDescent="0.25">
      <c r="A7" t="s">
        <v>240</v>
      </c>
      <c r="B7" t="s">
        <v>1598</v>
      </c>
      <c r="C7">
        <v>12.373919000000001</v>
      </c>
      <c r="D7">
        <v>4.81257</v>
      </c>
      <c r="E7" t="s">
        <v>1599</v>
      </c>
      <c r="F7">
        <v>2025</v>
      </c>
      <c r="G7" t="s">
        <v>2219</v>
      </c>
      <c r="H7" s="6">
        <v>46018</v>
      </c>
      <c r="I7">
        <v>5</v>
      </c>
      <c r="J7">
        <v>2968874496</v>
      </c>
      <c r="K7">
        <v>100828</v>
      </c>
      <c r="L7" t="s">
        <v>1865</v>
      </c>
      <c r="O7" t="s">
        <v>1824</v>
      </c>
      <c r="P7">
        <v>3.75</v>
      </c>
      <c r="R7">
        <v>-2.4245362661989844E-14</v>
      </c>
      <c r="S7" t="s">
        <v>1606</v>
      </c>
      <c r="T7">
        <v>2025</v>
      </c>
      <c r="U7" t="s">
        <v>1822</v>
      </c>
      <c r="V7" s="6">
        <v>45954</v>
      </c>
      <c r="W7">
        <v>5</v>
      </c>
      <c r="X7">
        <v>2255962624</v>
      </c>
      <c r="Y7">
        <v>353064</v>
      </c>
      <c r="Z7" t="s">
        <v>1825</v>
      </c>
      <c r="AE7" t="s">
        <v>3235</v>
      </c>
      <c r="AG7">
        <v>-2.4245362661989844E-14</v>
      </c>
      <c r="AH7">
        <v>-2.4245362661989844E-14</v>
      </c>
      <c r="AI7" t="s">
        <v>1594</v>
      </c>
      <c r="AJ7">
        <v>2023</v>
      </c>
      <c r="AK7" t="s">
        <v>3236</v>
      </c>
      <c r="AL7" s="6">
        <v>45462</v>
      </c>
      <c r="AM7">
        <v>5</v>
      </c>
      <c r="AN7">
        <v>-2.4245362661989844E-14</v>
      </c>
      <c r="AO7">
        <v>48621208</v>
      </c>
      <c r="AP7" t="s">
        <v>3237</v>
      </c>
      <c r="BI7" t="s">
        <v>2631</v>
      </c>
      <c r="BJ7" t="s">
        <v>1598</v>
      </c>
      <c r="BK7">
        <v>11</v>
      </c>
      <c r="BL7">
        <v>3.1337429999999999</v>
      </c>
      <c r="BM7" t="s">
        <v>1594</v>
      </c>
      <c r="BN7">
        <v>2025</v>
      </c>
      <c r="BO7" t="s">
        <v>2632</v>
      </c>
      <c r="BP7" s="6">
        <v>46065</v>
      </c>
      <c r="BQ7">
        <v>5</v>
      </c>
      <c r="BR7">
        <v>226930000</v>
      </c>
      <c r="BS7">
        <v>59099358</v>
      </c>
      <c r="BT7" t="s">
        <v>2633</v>
      </c>
      <c r="BW7" t="s">
        <v>1732</v>
      </c>
      <c r="BX7">
        <v>4.5319979999999997</v>
      </c>
      <c r="BY7" t="s">
        <v>1598</v>
      </c>
      <c r="BZ7">
        <v>3.2162160000000002</v>
      </c>
      <c r="CA7" t="s">
        <v>1664</v>
      </c>
      <c r="CB7">
        <v>2025</v>
      </c>
      <c r="CC7" t="s">
        <v>1958</v>
      </c>
      <c r="CD7" s="6">
        <v>45888</v>
      </c>
      <c r="CE7">
        <v>5</v>
      </c>
      <c r="CF7">
        <v>499562144</v>
      </c>
      <c r="CG7">
        <v>876285</v>
      </c>
      <c r="CH7" t="s">
        <v>1734</v>
      </c>
      <c r="EU7" t="s">
        <v>2123</v>
      </c>
      <c r="EV7" t="s">
        <v>1598</v>
      </c>
      <c r="EW7">
        <v>91.610000999999997</v>
      </c>
      <c r="EX7">
        <v>5.3039319999999996</v>
      </c>
      <c r="EY7" t="s">
        <v>1594</v>
      </c>
      <c r="EZ7">
        <v>2024</v>
      </c>
      <c r="FA7" t="s">
        <v>2124</v>
      </c>
      <c r="FB7" s="6">
        <v>45744</v>
      </c>
      <c r="FC7">
        <v>5</v>
      </c>
      <c r="FD7">
        <v>185227362.65000001</v>
      </c>
      <c r="FE7">
        <v>41186103</v>
      </c>
      <c r="FF7" t="s">
        <v>2125</v>
      </c>
      <c r="FI7" t="s">
        <v>618</v>
      </c>
      <c r="FJ7">
        <v>22</v>
      </c>
      <c r="FK7" t="s">
        <v>1598</v>
      </c>
      <c r="FL7">
        <v>4.4996770000000001</v>
      </c>
      <c r="FM7" t="s">
        <v>1594</v>
      </c>
      <c r="FN7">
        <v>2025</v>
      </c>
      <c r="FO7" t="s">
        <v>1765</v>
      </c>
      <c r="FP7" s="6">
        <v>46064</v>
      </c>
      <c r="FQ7">
        <v>5</v>
      </c>
      <c r="FR7">
        <v>2650670080</v>
      </c>
      <c r="FS7">
        <v>102782</v>
      </c>
      <c r="FT7" t="s">
        <v>1626</v>
      </c>
      <c r="FY7" t="s">
        <v>2230</v>
      </c>
      <c r="FZ7" t="s">
        <v>1598</v>
      </c>
      <c r="GA7">
        <v>6.8536460000000003</v>
      </c>
      <c r="GB7">
        <v>9.6768190000000001</v>
      </c>
      <c r="GC7" t="s">
        <v>1603</v>
      </c>
      <c r="GD7">
        <v>2025</v>
      </c>
      <c r="GE7" t="s">
        <v>2231</v>
      </c>
      <c r="GF7" s="6">
        <v>45812</v>
      </c>
      <c r="GG7">
        <v>5</v>
      </c>
      <c r="GH7">
        <v>1011895282.72</v>
      </c>
      <c r="GI7">
        <v>330541</v>
      </c>
      <c r="GJ7" t="s">
        <v>2232</v>
      </c>
      <c r="GM7" t="s">
        <v>1783</v>
      </c>
      <c r="GN7">
        <v>1.3641749999999999</v>
      </c>
      <c r="GO7" t="s">
        <v>1598</v>
      </c>
      <c r="GP7">
        <v>0.69426200000000005</v>
      </c>
      <c r="GQ7" t="s">
        <v>1603</v>
      </c>
      <c r="GR7">
        <v>2025</v>
      </c>
      <c r="GS7" t="s">
        <v>1784</v>
      </c>
      <c r="GT7" s="6">
        <v>45797</v>
      </c>
      <c r="GU7">
        <v>5</v>
      </c>
      <c r="GV7">
        <v>183924678.06999999</v>
      </c>
      <c r="GW7">
        <v>223340</v>
      </c>
      <c r="GX7" t="s">
        <v>1785</v>
      </c>
      <c r="JK7" t="s">
        <v>3141</v>
      </c>
      <c r="JM7">
        <v>-2.4245362661989844E-14</v>
      </c>
      <c r="JN7">
        <v>-2.4245362661989844E-14</v>
      </c>
      <c r="JO7" t="s">
        <v>1594</v>
      </c>
      <c r="JP7">
        <v>2022</v>
      </c>
      <c r="JQ7" t="s">
        <v>5447</v>
      </c>
      <c r="JR7" s="6">
        <v>44983</v>
      </c>
      <c r="JS7">
        <v>5</v>
      </c>
      <c r="JT7">
        <v>-2.4245362661989844E-14</v>
      </c>
      <c r="JU7">
        <v>51446588</v>
      </c>
      <c r="JV7" t="s">
        <v>3143</v>
      </c>
      <c r="KO7" t="s">
        <v>2929</v>
      </c>
      <c r="KP7" t="s">
        <v>1598</v>
      </c>
      <c r="KQ7">
        <v>1.193605</v>
      </c>
      <c r="KR7">
        <v>0.98594700000000002</v>
      </c>
      <c r="KS7" t="s">
        <v>1606</v>
      </c>
      <c r="KT7">
        <v>2025</v>
      </c>
      <c r="KU7" t="s">
        <v>1930</v>
      </c>
      <c r="KV7" s="6">
        <v>46076</v>
      </c>
      <c r="KW7">
        <v>5</v>
      </c>
      <c r="KX7">
        <v>66610580</v>
      </c>
      <c r="KY7">
        <v>9538704</v>
      </c>
      <c r="KZ7" t="s">
        <v>2930</v>
      </c>
      <c r="LC7" t="s">
        <v>2415</v>
      </c>
      <c r="LD7">
        <v>0.71348900000000004</v>
      </c>
      <c r="LE7" t="s">
        <v>1598</v>
      </c>
      <c r="LF7">
        <v>1.6343620000000001</v>
      </c>
      <c r="LG7" t="s">
        <v>1606</v>
      </c>
      <c r="LH7">
        <v>2025</v>
      </c>
      <c r="LI7" t="s">
        <v>1930</v>
      </c>
      <c r="LJ7" s="6">
        <v>46076</v>
      </c>
      <c r="LK7">
        <v>5</v>
      </c>
      <c r="LL7">
        <v>50593504</v>
      </c>
      <c r="LM7">
        <v>158477</v>
      </c>
      <c r="LN7" t="s">
        <v>2416</v>
      </c>
      <c r="MW7" t="s">
        <v>1084</v>
      </c>
      <c r="MX7" t="s">
        <v>1685</v>
      </c>
      <c r="MY7">
        <v>0.108861</v>
      </c>
      <c r="MZ7">
        <v>0.15107300000000001</v>
      </c>
      <c r="NA7" t="s">
        <v>1664</v>
      </c>
      <c r="NB7">
        <v>2025</v>
      </c>
      <c r="NC7" t="s">
        <v>2052</v>
      </c>
      <c r="ND7" s="6">
        <v>45838</v>
      </c>
      <c r="NE7">
        <v>5</v>
      </c>
      <c r="NF7">
        <v>6393407</v>
      </c>
      <c r="NG7">
        <v>101689</v>
      </c>
      <c r="NH7" t="s">
        <v>2053</v>
      </c>
      <c r="OA7" t="s">
        <v>2556</v>
      </c>
      <c r="OB7" t="s">
        <v>1598</v>
      </c>
      <c r="OC7">
        <v>0.56451700000000005</v>
      </c>
      <c r="OD7">
        <v>0.57008199999999998</v>
      </c>
      <c r="OE7" t="s">
        <v>1599</v>
      </c>
      <c r="OF7">
        <v>2025</v>
      </c>
      <c r="OG7" t="s">
        <v>2557</v>
      </c>
      <c r="OH7" s="6">
        <v>45763</v>
      </c>
      <c r="OI7">
        <v>5</v>
      </c>
      <c r="OJ7">
        <v>37009736</v>
      </c>
      <c r="OK7">
        <v>136547</v>
      </c>
      <c r="OL7" t="s">
        <v>2558</v>
      </c>
      <c r="OO7" t="s">
        <v>2830</v>
      </c>
      <c r="OP7">
        <v>8.6300000000000005E-4</v>
      </c>
      <c r="OQ7" t="s">
        <v>1598</v>
      </c>
      <c r="OR7">
        <v>0.46444600000000003</v>
      </c>
      <c r="OS7" t="s">
        <v>1594</v>
      </c>
      <c r="OT7">
        <v>2024</v>
      </c>
      <c r="OU7" t="s">
        <v>2831</v>
      </c>
      <c r="OV7" s="6">
        <v>45730</v>
      </c>
      <c r="OW7">
        <v>5</v>
      </c>
      <c r="OX7">
        <v>92615.79</v>
      </c>
      <c r="OY7">
        <v>7369845</v>
      </c>
      <c r="OZ7" t="s">
        <v>2832</v>
      </c>
      <c r="PE7" t="s">
        <v>493</v>
      </c>
      <c r="PF7" t="s">
        <v>1598</v>
      </c>
      <c r="PG7">
        <v>3.6579999999999998E-3</v>
      </c>
      <c r="PH7">
        <v>0.109378</v>
      </c>
      <c r="PI7" t="s">
        <v>1606</v>
      </c>
      <c r="PJ7">
        <v>2025</v>
      </c>
      <c r="PK7" t="s">
        <v>2093</v>
      </c>
      <c r="PL7" s="6">
        <v>46071</v>
      </c>
      <c r="PM7">
        <v>5</v>
      </c>
      <c r="PN7">
        <v>143955</v>
      </c>
      <c r="PO7">
        <v>100499</v>
      </c>
      <c r="PP7" t="s">
        <v>2094</v>
      </c>
      <c r="QI7" t="s">
        <v>4153</v>
      </c>
      <c r="QJ7" t="s">
        <v>1598</v>
      </c>
      <c r="QK7">
        <v>3.7053000000000003E-2</v>
      </c>
      <c r="QL7">
        <v>0.33299200000000001</v>
      </c>
      <c r="QM7" t="s">
        <v>1599</v>
      </c>
      <c r="QN7">
        <v>2025</v>
      </c>
      <c r="QO7" t="s">
        <v>4154</v>
      </c>
      <c r="QP7" s="6">
        <v>45981</v>
      </c>
      <c r="QQ7">
        <v>5</v>
      </c>
      <c r="QR7">
        <v>4865922.1900000004</v>
      </c>
      <c r="QS7">
        <v>115414</v>
      </c>
      <c r="QT7" t="s">
        <v>4155</v>
      </c>
      <c r="QW7" t="s">
        <v>3509</v>
      </c>
      <c r="QX7">
        <v>-2.4245362661989844E-14</v>
      </c>
      <c r="QZ7">
        <v>-2.4245362661989844E-14</v>
      </c>
      <c r="RA7" t="s">
        <v>1594</v>
      </c>
      <c r="RB7">
        <v>2022</v>
      </c>
      <c r="RC7" t="s">
        <v>3510</v>
      </c>
      <c r="RD7" s="6">
        <v>44986</v>
      </c>
      <c r="RE7">
        <v>5</v>
      </c>
      <c r="RF7">
        <v>-2.4245362661989844E-14</v>
      </c>
      <c r="RG7">
        <v>171027</v>
      </c>
      <c r="RH7" t="s">
        <v>3511</v>
      </c>
      <c r="RM7" t="s">
        <v>2123</v>
      </c>
      <c r="RN7" t="s">
        <v>1598</v>
      </c>
      <c r="RO7">
        <v>91.610000999999997</v>
      </c>
      <c r="RP7">
        <v>5.3039319999999996</v>
      </c>
      <c r="RQ7" t="s">
        <v>1594</v>
      </c>
      <c r="RR7">
        <v>2024</v>
      </c>
      <c r="RS7" t="s">
        <v>2124</v>
      </c>
      <c r="RT7" s="6">
        <v>45744</v>
      </c>
      <c r="RU7">
        <v>5</v>
      </c>
      <c r="RV7">
        <v>185227362.65000001</v>
      </c>
      <c r="RW7">
        <v>41186103</v>
      </c>
      <c r="RX7" t="s">
        <v>2125</v>
      </c>
      <c r="SA7" t="s">
        <v>618</v>
      </c>
      <c r="SB7">
        <v>22</v>
      </c>
      <c r="SC7" t="s">
        <v>1598</v>
      </c>
      <c r="SD7">
        <v>4.4996770000000001</v>
      </c>
      <c r="SE7" t="s">
        <v>1594</v>
      </c>
      <c r="SF7">
        <v>2025</v>
      </c>
      <c r="SG7" t="s">
        <v>1765</v>
      </c>
      <c r="SH7" s="6">
        <v>46064</v>
      </c>
      <c r="SI7">
        <v>5</v>
      </c>
      <c r="SJ7">
        <v>2650670080</v>
      </c>
      <c r="SK7">
        <v>102782</v>
      </c>
      <c r="SL7" t="s">
        <v>1626</v>
      </c>
      <c r="TU7" t="s">
        <v>240</v>
      </c>
      <c r="TV7" t="s">
        <v>1598</v>
      </c>
      <c r="TW7">
        <v>12.373919000000001</v>
      </c>
      <c r="TX7">
        <v>4.81257</v>
      </c>
      <c r="TY7" t="s">
        <v>1599</v>
      </c>
      <c r="TZ7">
        <v>2025</v>
      </c>
      <c r="UA7" t="s">
        <v>2219</v>
      </c>
      <c r="UB7" s="6">
        <v>46018</v>
      </c>
      <c r="UC7">
        <v>5</v>
      </c>
      <c r="UD7">
        <v>2968874496</v>
      </c>
      <c r="UE7">
        <v>100828</v>
      </c>
      <c r="UF7" t="s">
        <v>1865</v>
      </c>
      <c r="UI7" t="s">
        <v>1824</v>
      </c>
      <c r="UJ7">
        <v>3.75</v>
      </c>
      <c r="UL7">
        <v>-2.4245362661989844E-14</v>
      </c>
      <c r="UM7" t="s">
        <v>1606</v>
      </c>
      <c r="UN7">
        <v>2025</v>
      </c>
      <c r="UO7" t="s">
        <v>1822</v>
      </c>
      <c r="UP7" s="6">
        <v>45954</v>
      </c>
      <c r="UQ7">
        <v>5</v>
      </c>
      <c r="UR7">
        <v>2255962624</v>
      </c>
      <c r="US7">
        <v>353064</v>
      </c>
      <c r="UT7" t="s">
        <v>1825</v>
      </c>
      <c r="VM7" t="s">
        <v>1885</v>
      </c>
      <c r="VN7">
        <v>-2.4245362661989844E-14</v>
      </c>
      <c r="VP7">
        <v>-2.4245362661989844E-14</v>
      </c>
      <c r="VQ7" t="s">
        <v>1594</v>
      </c>
      <c r="VR7">
        <v>2023</v>
      </c>
      <c r="VS7" t="s">
        <v>1881</v>
      </c>
      <c r="VT7" s="6">
        <v>45226</v>
      </c>
      <c r="VU7">
        <v>5</v>
      </c>
      <c r="VV7">
        <v>-2.4245362661989844E-14</v>
      </c>
      <c r="VW7">
        <v>833705</v>
      </c>
      <c r="VX7" t="s">
        <v>1886</v>
      </c>
    </row>
    <row r="8" spans="1:600" x14ac:dyDescent="0.25">
      <c r="A8" t="s">
        <v>23</v>
      </c>
      <c r="B8" t="s">
        <v>1598</v>
      </c>
      <c r="C8">
        <v>22</v>
      </c>
      <c r="D8">
        <v>4.4996770000000001</v>
      </c>
      <c r="E8" t="s">
        <v>1594</v>
      </c>
      <c r="F8">
        <v>2025</v>
      </c>
      <c r="G8" t="s">
        <v>1765</v>
      </c>
      <c r="H8" s="6">
        <v>46064</v>
      </c>
      <c r="I8">
        <v>5</v>
      </c>
      <c r="J8">
        <v>2650670080</v>
      </c>
      <c r="K8">
        <v>100225</v>
      </c>
      <c r="L8" t="s">
        <v>2222</v>
      </c>
      <c r="O8" t="s">
        <v>311</v>
      </c>
      <c r="P8">
        <v>3.1469290000000001</v>
      </c>
      <c r="Q8" t="s">
        <v>1598</v>
      </c>
      <c r="R8">
        <v>7.2451629999999998</v>
      </c>
      <c r="S8" t="s">
        <v>1606</v>
      </c>
      <c r="T8">
        <v>2025</v>
      </c>
      <c r="U8" t="s">
        <v>1822</v>
      </c>
      <c r="V8" s="6">
        <v>45954</v>
      </c>
      <c r="W8">
        <v>5</v>
      </c>
      <c r="X8">
        <v>1893160960</v>
      </c>
      <c r="Y8">
        <v>100864</v>
      </c>
      <c r="Z8" t="s">
        <v>1668</v>
      </c>
      <c r="AE8" t="s">
        <v>4548</v>
      </c>
      <c r="AG8">
        <v>-2.4245362661989844E-14</v>
      </c>
      <c r="AH8">
        <v>-2.4245362661989844E-14</v>
      </c>
      <c r="AI8" t="s">
        <v>1594</v>
      </c>
      <c r="AJ8">
        <v>2024</v>
      </c>
      <c r="AK8" t="s">
        <v>4549</v>
      </c>
      <c r="AL8" s="6">
        <v>45714</v>
      </c>
      <c r="AM8">
        <v>5</v>
      </c>
      <c r="AN8">
        <v>-2.4245362661989844E-14</v>
      </c>
      <c r="AO8">
        <v>100457</v>
      </c>
      <c r="AP8" t="s">
        <v>4550</v>
      </c>
      <c r="BI8" t="s">
        <v>1878</v>
      </c>
      <c r="BJ8" t="s">
        <v>1598</v>
      </c>
      <c r="BK8">
        <v>8.8672269999999997</v>
      </c>
      <c r="BL8">
        <v>1.980351</v>
      </c>
      <c r="BM8" t="s">
        <v>1664</v>
      </c>
      <c r="BN8">
        <v>2025</v>
      </c>
      <c r="BO8" t="s">
        <v>2634</v>
      </c>
      <c r="BP8" s="6">
        <v>45922</v>
      </c>
      <c r="BQ8">
        <v>5</v>
      </c>
      <c r="BR8">
        <v>135574848</v>
      </c>
      <c r="BS8">
        <v>11937231</v>
      </c>
      <c r="BT8" t="s">
        <v>1880</v>
      </c>
      <c r="BW8" t="s">
        <v>1082</v>
      </c>
      <c r="BX8">
        <v>3.2472560000000001</v>
      </c>
      <c r="BY8" t="s">
        <v>1598</v>
      </c>
      <c r="BZ8">
        <v>2.573108</v>
      </c>
      <c r="CA8" t="s">
        <v>1664</v>
      </c>
      <c r="CB8">
        <v>2025</v>
      </c>
      <c r="CC8" t="s">
        <v>1958</v>
      </c>
      <c r="CD8" s="6">
        <v>45888</v>
      </c>
      <c r="CE8">
        <v>5</v>
      </c>
      <c r="CF8">
        <v>357945024</v>
      </c>
      <c r="CG8">
        <v>10451815</v>
      </c>
      <c r="CH8" t="s">
        <v>1959</v>
      </c>
      <c r="EU8" t="s">
        <v>79</v>
      </c>
      <c r="EV8" t="s">
        <v>1598</v>
      </c>
      <c r="EW8">
        <v>0.787219</v>
      </c>
      <c r="EX8">
        <v>3.9592429999999998</v>
      </c>
      <c r="EY8" t="s">
        <v>1599</v>
      </c>
      <c r="EZ8">
        <v>2025</v>
      </c>
      <c r="FA8" t="s">
        <v>2126</v>
      </c>
      <c r="FB8" s="6">
        <v>45966</v>
      </c>
      <c r="FC8">
        <v>5</v>
      </c>
      <c r="FD8">
        <v>136000000</v>
      </c>
      <c r="FE8">
        <v>100978</v>
      </c>
      <c r="FF8" t="s">
        <v>2127</v>
      </c>
      <c r="FI8" t="s">
        <v>31</v>
      </c>
      <c r="FJ8">
        <v>2.3733979999999999</v>
      </c>
      <c r="FK8" t="s">
        <v>1598</v>
      </c>
      <c r="FL8">
        <v>0.47723100000000002</v>
      </c>
      <c r="FM8" t="s">
        <v>1664</v>
      </c>
      <c r="FN8">
        <v>2025</v>
      </c>
      <c r="FO8" t="s">
        <v>1768</v>
      </c>
      <c r="FP8" s="6">
        <v>45929</v>
      </c>
      <c r="FQ8">
        <v>5</v>
      </c>
      <c r="FR8">
        <v>291192192</v>
      </c>
      <c r="FS8">
        <v>60401289</v>
      </c>
      <c r="FT8" t="s">
        <v>1769</v>
      </c>
      <c r="FY8" t="s">
        <v>2233</v>
      </c>
      <c r="FZ8" t="s">
        <v>1598</v>
      </c>
      <c r="GA8">
        <v>4.2738360000000002</v>
      </c>
      <c r="GB8">
        <v>6.6693020000000001</v>
      </c>
      <c r="GC8" t="s">
        <v>1599</v>
      </c>
      <c r="GD8">
        <v>2025</v>
      </c>
      <c r="GE8" t="s">
        <v>2234</v>
      </c>
      <c r="GF8" s="6">
        <v>46087</v>
      </c>
      <c r="GG8">
        <v>5</v>
      </c>
      <c r="GH8">
        <v>811049598.16999996</v>
      </c>
      <c r="GI8">
        <v>7975354</v>
      </c>
      <c r="GJ8" t="s">
        <v>2235</v>
      </c>
      <c r="GM8" t="s">
        <v>1679</v>
      </c>
      <c r="GN8">
        <v>0.59423499999999996</v>
      </c>
      <c r="GO8" t="s">
        <v>1598</v>
      </c>
      <c r="GP8">
        <v>1.9269499999999999</v>
      </c>
      <c r="GQ8" t="s">
        <v>1603</v>
      </c>
      <c r="GR8">
        <v>2025</v>
      </c>
      <c r="GS8" t="s">
        <v>1680</v>
      </c>
      <c r="GT8" s="6">
        <v>45820</v>
      </c>
      <c r="GU8">
        <v>5</v>
      </c>
      <c r="GV8">
        <v>78557896</v>
      </c>
      <c r="GW8">
        <v>12129192</v>
      </c>
      <c r="GX8" t="s">
        <v>1681</v>
      </c>
      <c r="JK8" t="s">
        <v>4162</v>
      </c>
      <c r="JM8">
        <v>-2.4245362661989844E-14</v>
      </c>
      <c r="JN8">
        <v>-2.4245362661989844E-14</v>
      </c>
      <c r="JO8" t="s">
        <v>1594</v>
      </c>
      <c r="JP8">
        <v>2024</v>
      </c>
      <c r="JQ8" t="s">
        <v>5408</v>
      </c>
      <c r="JR8" s="6">
        <v>45733</v>
      </c>
      <c r="JS8">
        <v>5</v>
      </c>
      <c r="JT8">
        <v>-2.4245362661989844E-14</v>
      </c>
      <c r="JU8">
        <v>1183488</v>
      </c>
      <c r="JV8" t="s">
        <v>4164</v>
      </c>
      <c r="KO8" t="s">
        <v>650</v>
      </c>
      <c r="KP8" t="s">
        <v>1598</v>
      </c>
      <c r="KQ8">
        <v>1.2233309999999999</v>
      </c>
      <c r="KR8">
        <v>0.77858000000000005</v>
      </c>
      <c r="KS8" t="s">
        <v>1599</v>
      </c>
      <c r="KT8">
        <v>2025</v>
      </c>
      <c r="KU8" t="s">
        <v>2931</v>
      </c>
      <c r="KV8" s="6">
        <v>45881</v>
      </c>
      <c r="KW8">
        <v>5</v>
      </c>
      <c r="KX8">
        <v>53496264</v>
      </c>
      <c r="KY8">
        <v>100515</v>
      </c>
      <c r="KZ8" t="s">
        <v>2932</v>
      </c>
      <c r="LC8" t="s">
        <v>2417</v>
      </c>
      <c r="LD8">
        <v>0.63781399999999999</v>
      </c>
      <c r="LE8" t="s">
        <v>1598</v>
      </c>
      <c r="LF8">
        <v>1.6217569999999999</v>
      </c>
      <c r="LG8" t="s">
        <v>1606</v>
      </c>
      <c r="LH8">
        <v>2025</v>
      </c>
      <c r="LI8" t="s">
        <v>1930</v>
      </c>
      <c r="LJ8" s="6">
        <v>46076</v>
      </c>
      <c r="LK8">
        <v>5</v>
      </c>
      <c r="LL8">
        <v>45227392</v>
      </c>
      <c r="LM8">
        <v>115711</v>
      </c>
      <c r="LN8" t="s">
        <v>2418</v>
      </c>
      <c r="MW8" t="s">
        <v>493</v>
      </c>
      <c r="MX8" t="s">
        <v>1598</v>
      </c>
      <c r="MY8">
        <v>0.124473</v>
      </c>
      <c r="MZ8">
        <v>0.116713</v>
      </c>
      <c r="NA8" t="s">
        <v>1606</v>
      </c>
      <c r="NB8">
        <v>2025</v>
      </c>
      <c r="NC8" t="s">
        <v>2093</v>
      </c>
      <c r="ND8" s="6">
        <v>46071</v>
      </c>
      <c r="NE8">
        <v>5</v>
      </c>
      <c r="NF8">
        <v>4898448</v>
      </c>
      <c r="NG8">
        <v>100499</v>
      </c>
      <c r="NH8" t="s">
        <v>2094</v>
      </c>
      <c r="OA8" t="s">
        <v>2559</v>
      </c>
      <c r="OB8" t="s">
        <v>1598</v>
      </c>
      <c r="OC8">
        <v>0.30367300000000003</v>
      </c>
      <c r="OD8">
        <v>0.37271100000000001</v>
      </c>
      <c r="OE8" t="s">
        <v>1599</v>
      </c>
      <c r="OF8">
        <v>2025</v>
      </c>
      <c r="OG8" t="s">
        <v>2560</v>
      </c>
      <c r="OH8" s="6">
        <v>45867</v>
      </c>
      <c r="OI8">
        <v>5</v>
      </c>
      <c r="OJ8">
        <v>23771522</v>
      </c>
      <c r="OK8">
        <v>117092</v>
      </c>
      <c r="OL8" t="s">
        <v>2561</v>
      </c>
      <c r="OO8" t="s">
        <v>2833</v>
      </c>
      <c r="OP8">
        <v>-2.4245362661989844E-14</v>
      </c>
      <c r="OR8">
        <v>-2.4245362661989844E-14</v>
      </c>
      <c r="OS8" t="s">
        <v>1651</v>
      </c>
      <c r="OT8">
        <v>2025</v>
      </c>
      <c r="OU8" t="s">
        <v>2834</v>
      </c>
      <c r="OV8" s="6">
        <v>45975</v>
      </c>
      <c r="OW8">
        <v>5</v>
      </c>
      <c r="OX8">
        <v>-2.4245362661989844E-14</v>
      </c>
      <c r="OY8">
        <v>1459457</v>
      </c>
      <c r="OZ8" t="s">
        <v>2835</v>
      </c>
      <c r="PE8" t="s">
        <v>4425</v>
      </c>
      <c r="PF8" t="s">
        <v>1598</v>
      </c>
      <c r="PG8">
        <v>2.9288999999999999E-2</v>
      </c>
      <c r="PH8">
        <v>4.7445000000000001E-2</v>
      </c>
      <c r="PI8" t="s">
        <v>1603</v>
      </c>
      <c r="PJ8">
        <v>2025</v>
      </c>
      <c r="PK8" t="s">
        <v>4426</v>
      </c>
      <c r="PL8" s="6">
        <v>45846</v>
      </c>
      <c r="PM8">
        <v>5</v>
      </c>
      <c r="PN8">
        <v>59055</v>
      </c>
      <c r="PO8">
        <v>107051</v>
      </c>
      <c r="PP8" t="s">
        <v>4427</v>
      </c>
      <c r="QI8" t="s">
        <v>4156</v>
      </c>
      <c r="QJ8" t="s">
        <v>1598</v>
      </c>
      <c r="QK8">
        <v>8.4625000000000006E-2</v>
      </c>
      <c r="QL8">
        <v>0.16813</v>
      </c>
      <c r="QM8" t="s">
        <v>1664</v>
      </c>
      <c r="QN8">
        <v>2025</v>
      </c>
      <c r="QO8" t="s">
        <v>4157</v>
      </c>
      <c r="QP8" s="6">
        <v>45756</v>
      </c>
      <c r="QQ8">
        <v>5</v>
      </c>
      <c r="QR8">
        <v>3302068</v>
      </c>
      <c r="QS8">
        <v>179046</v>
      </c>
      <c r="QT8" t="s">
        <v>4158</v>
      </c>
      <c r="QW8" t="s">
        <v>3512</v>
      </c>
      <c r="QX8">
        <v>-2.4245362661989844E-14</v>
      </c>
      <c r="QZ8">
        <v>-2.4245362661989844E-14</v>
      </c>
      <c r="RA8" t="s">
        <v>1594</v>
      </c>
      <c r="RB8">
        <v>2024</v>
      </c>
      <c r="RC8" t="s">
        <v>3507</v>
      </c>
      <c r="RD8" s="6">
        <v>45715</v>
      </c>
      <c r="RE8">
        <v>5</v>
      </c>
      <c r="RF8">
        <v>-2.4245362661989844E-14</v>
      </c>
      <c r="RG8">
        <v>15994790</v>
      </c>
      <c r="RH8" t="s">
        <v>3513</v>
      </c>
      <c r="RM8" t="s">
        <v>79</v>
      </c>
      <c r="RN8" t="s">
        <v>1598</v>
      </c>
      <c r="RO8">
        <v>0.787219</v>
      </c>
      <c r="RP8">
        <v>3.9592429999999998</v>
      </c>
      <c r="RQ8" t="s">
        <v>1599</v>
      </c>
      <c r="RR8">
        <v>2025</v>
      </c>
      <c r="RS8" t="s">
        <v>2126</v>
      </c>
      <c r="RT8" s="6">
        <v>45966</v>
      </c>
      <c r="RU8">
        <v>5</v>
      </c>
      <c r="RV8">
        <v>136000000</v>
      </c>
      <c r="RW8">
        <v>100978</v>
      </c>
      <c r="RX8" t="s">
        <v>2127</v>
      </c>
      <c r="SA8" t="s">
        <v>31</v>
      </c>
      <c r="SB8">
        <v>2.3733979999999999</v>
      </c>
      <c r="SC8" t="s">
        <v>1598</v>
      </c>
      <c r="SD8">
        <v>0.47723100000000002</v>
      </c>
      <c r="SE8" t="s">
        <v>1664</v>
      </c>
      <c r="SF8">
        <v>2025</v>
      </c>
      <c r="SG8" t="s">
        <v>1768</v>
      </c>
      <c r="SH8" s="6">
        <v>45929</v>
      </c>
      <c r="SI8">
        <v>5</v>
      </c>
      <c r="SJ8">
        <v>291192192</v>
      </c>
      <c r="SK8">
        <v>60401289</v>
      </c>
      <c r="SL8" t="s">
        <v>1769</v>
      </c>
      <c r="TU8" t="s">
        <v>23</v>
      </c>
      <c r="TV8" t="s">
        <v>1598</v>
      </c>
      <c r="TW8">
        <v>22</v>
      </c>
      <c r="TX8">
        <v>4.4996770000000001</v>
      </c>
      <c r="TY8" t="s">
        <v>1594</v>
      </c>
      <c r="TZ8">
        <v>2025</v>
      </c>
      <c r="UA8" t="s">
        <v>1765</v>
      </c>
      <c r="UB8" s="6">
        <v>46064</v>
      </c>
      <c r="UC8">
        <v>5</v>
      </c>
      <c r="UD8">
        <v>2650670080</v>
      </c>
      <c r="UE8">
        <v>100225</v>
      </c>
      <c r="UF8" t="s">
        <v>2222</v>
      </c>
      <c r="UI8" t="s">
        <v>311</v>
      </c>
      <c r="UJ8">
        <v>3.1469290000000001</v>
      </c>
      <c r="UK8" t="s">
        <v>1598</v>
      </c>
      <c r="UL8">
        <v>7.2451629999999998</v>
      </c>
      <c r="UM8" t="s">
        <v>1606</v>
      </c>
      <c r="UN8">
        <v>2025</v>
      </c>
      <c r="UO8" t="s">
        <v>1822</v>
      </c>
      <c r="UP8" s="6">
        <v>45954</v>
      </c>
      <c r="UQ8">
        <v>5</v>
      </c>
      <c r="UR8">
        <v>1893160960</v>
      </c>
      <c r="US8">
        <v>100864</v>
      </c>
      <c r="UT8" t="s">
        <v>1668</v>
      </c>
      <c r="VM8" t="s">
        <v>1887</v>
      </c>
      <c r="VN8">
        <v>-2.4245362661989844E-14</v>
      </c>
      <c r="VP8">
        <v>-2.4245362661989844E-14</v>
      </c>
      <c r="VQ8" t="s">
        <v>1594</v>
      </c>
      <c r="VR8">
        <v>2024</v>
      </c>
      <c r="VS8" t="s">
        <v>1881</v>
      </c>
      <c r="VT8" s="6">
        <v>45335</v>
      </c>
      <c r="VU8">
        <v>5</v>
      </c>
      <c r="VV8">
        <v>-2.4245362661989844E-14</v>
      </c>
      <c r="VW8">
        <v>28385549</v>
      </c>
      <c r="VX8" t="s">
        <v>1888</v>
      </c>
    </row>
    <row r="9" spans="1:600" x14ac:dyDescent="0.25">
      <c r="A9" t="s">
        <v>207</v>
      </c>
      <c r="B9" t="s">
        <v>1598</v>
      </c>
      <c r="C9">
        <v>29</v>
      </c>
      <c r="D9">
        <v>3.6236459999999999</v>
      </c>
      <c r="E9" t="s">
        <v>1594</v>
      </c>
      <c r="F9">
        <v>2025</v>
      </c>
      <c r="G9" t="s">
        <v>2373</v>
      </c>
      <c r="H9" s="6">
        <v>46077</v>
      </c>
      <c r="I9">
        <v>5</v>
      </c>
      <c r="J9">
        <v>2134617472</v>
      </c>
      <c r="K9">
        <v>104161</v>
      </c>
      <c r="L9" t="s">
        <v>2374</v>
      </c>
      <c r="O9" t="s">
        <v>1826</v>
      </c>
      <c r="P9">
        <v>1.1000000000000001</v>
      </c>
      <c r="R9">
        <v>-2.4245362661989844E-14</v>
      </c>
      <c r="S9" t="s">
        <v>1606</v>
      </c>
      <c r="T9">
        <v>2025</v>
      </c>
      <c r="U9" t="s">
        <v>1822</v>
      </c>
      <c r="V9" s="6">
        <v>45954</v>
      </c>
      <c r="W9">
        <v>5</v>
      </c>
      <c r="X9">
        <v>661748992</v>
      </c>
      <c r="Y9">
        <v>935121</v>
      </c>
      <c r="Z9" t="s">
        <v>1827</v>
      </c>
      <c r="AE9" t="s">
        <v>4551</v>
      </c>
      <c r="AG9">
        <v>-2.4245362661989844E-14</v>
      </c>
      <c r="AH9">
        <v>-2.4245362661989844E-14</v>
      </c>
      <c r="AI9" t="s">
        <v>1664</v>
      </c>
      <c r="AJ9">
        <v>2024</v>
      </c>
      <c r="AK9" t="s">
        <v>4552</v>
      </c>
      <c r="AL9" s="6">
        <v>45433</v>
      </c>
      <c r="AM9">
        <v>5</v>
      </c>
      <c r="AN9">
        <v>-2.4245362661989844E-14</v>
      </c>
      <c r="AO9">
        <v>103350</v>
      </c>
      <c r="AP9" t="s">
        <v>4553</v>
      </c>
      <c r="BI9" t="s">
        <v>2635</v>
      </c>
      <c r="BJ9" t="s">
        <v>1598</v>
      </c>
      <c r="BK9">
        <v>9.9027270000000005</v>
      </c>
      <c r="BL9">
        <v>1.5774429999999999</v>
      </c>
      <c r="BM9" t="s">
        <v>1664</v>
      </c>
      <c r="BN9">
        <v>2025</v>
      </c>
      <c r="BO9" t="s">
        <v>2636</v>
      </c>
      <c r="BP9" s="6">
        <v>45904</v>
      </c>
      <c r="BQ9">
        <v>5</v>
      </c>
      <c r="BR9">
        <v>107991712</v>
      </c>
      <c r="BS9">
        <v>187877</v>
      </c>
      <c r="BT9" t="s">
        <v>2637</v>
      </c>
      <c r="BW9" t="s">
        <v>1116</v>
      </c>
      <c r="BX9">
        <v>3.0622020000000001</v>
      </c>
      <c r="BY9" t="s">
        <v>1598</v>
      </c>
      <c r="BZ9">
        <v>2.546176</v>
      </c>
      <c r="CA9" t="s">
        <v>1664</v>
      </c>
      <c r="CB9">
        <v>2025</v>
      </c>
      <c r="CC9" t="s">
        <v>1958</v>
      </c>
      <c r="CD9" s="6">
        <v>45888</v>
      </c>
      <c r="CE9">
        <v>5</v>
      </c>
      <c r="CF9">
        <v>337546528</v>
      </c>
      <c r="CG9">
        <v>100090</v>
      </c>
      <c r="CH9" t="s">
        <v>1960</v>
      </c>
      <c r="EU9" t="s">
        <v>240</v>
      </c>
      <c r="EV9" t="s">
        <v>2128</v>
      </c>
      <c r="EW9">
        <v>0.29407699999999998</v>
      </c>
      <c r="EX9">
        <v>2.7836400000000001</v>
      </c>
      <c r="EY9" t="s">
        <v>1594</v>
      </c>
      <c r="EZ9">
        <v>2025</v>
      </c>
      <c r="FA9" t="s">
        <v>1765</v>
      </c>
      <c r="FB9" s="6">
        <v>46064</v>
      </c>
      <c r="FC9">
        <v>5</v>
      </c>
      <c r="FD9">
        <v>69250000</v>
      </c>
      <c r="FE9">
        <v>100828</v>
      </c>
      <c r="FF9" t="s">
        <v>1865</v>
      </c>
      <c r="FI9" t="s">
        <v>306</v>
      </c>
      <c r="FJ9">
        <v>1.0236080000000001</v>
      </c>
      <c r="FK9" t="s">
        <v>1598</v>
      </c>
      <c r="FL9">
        <v>0.137097</v>
      </c>
      <c r="FM9" t="s">
        <v>1664</v>
      </c>
      <c r="FN9">
        <v>2025</v>
      </c>
      <c r="FO9" t="s">
        <v>1768</v>
      </c>
      <c r="FP9" s="6">
        <v>45929</v>
      </c>
      <c r="FQ9">
        <v>5</v>
      </c>
      <c r="FR9">
        <v>125586464</v>
      </c>
      <c r="FS9">
        <v>101548</v>
      </c>
      <c r="FT9" t="s">
        <v>1770</v>
      </c>
      <c r="FY9" t="s">
        <v>2236</v>
      </c>
      <c r="FZ9" t="s">
        <v>1598</v>
      </c>
      <c r="GA9">
        <v>10.5</v>
      </c>
      <c r="GB9">
        <v>7.349405</v>
      </c>
      <c r="GC9" t="s">
        <v>1594</v>
      </c>
      <c r="GD9">
        <v>2024</v>
      </c>
      <c r="GE9" t="s">
        <v>2237</v>
      </c>
      <c r="GF9" s="6">
        <v>45744</v>
      </c>
      <c r="GG9">
        <v>5</v>
      </c>
      <c r="GH9">
        <v>778954139.5</v>
      </c>
      <c r="GI9">
        <v>113389</v>
      </c>
      <c r="GJ9" t="s">
        <v>2238</v>
      </c>
      <c r="GM9" t="s">
        <v>1786</v>
      </c>
      <c r="GN9">
        <v>0.56558799999999998</v>
      </c>
      <c r="GO9" t="s">
        <v>1598</v>
      </c>
      <c r="GP9">
        <v>3.5370110000000001</v>
      </c>
      <c r="GQ9" t="s">
        <v>1664</v>
      </c>
      <c r="GR9">
        <v>2025</v>
      </c>
      <c r="GS9" t="s">
        <v>1787</v>
      </c>
      <c r="GT9" s="6">
        <v>46008</v>
      </c>
      <c r="GU9">
        <v>5</v>
      </c>
      <c r="GV9">
        <v>82257509.170000002</v>
      </c>
      <c r="GW9">
        <v>349049</v>
      </c>
      <c r="GX9" t="s">
        <v>1788</v>
      </c>
      <c r="JK9" t="s">
        <v>5448</v>
      </c>
      <c r="JM9">
        <v>-2.4245362661989844E-14</v>
      </c>
      <c r="JN9">
        <v>-2.4245362661989844E-14</v>
      </c>
      <c r="JO9" t="s">
        <v>1594</v>
      </c>
      <c r="JP9">
        <v>2021</v>
      </c>
      <c r="JQ9" t="s">
        <v>5449</v>
      </c>
      <c r="JR9" s="6">
        <v>44642</v>
      </c>
      <c r="JS9">
        <v>5</v>
      </c>
      <c r="JT9">
        <v>-2.4245362661989844E-14</v>
      </c>
      <c r="JU9">
        <v>9062412</v>
      </c>
      <c r="JV9" t="s">
        <v>5450</v>
      </c>
      <c r="KO9" t="s">
        <v>2933</v>
      </c>
      <c r="KP9" t="s">
        <v>1598</v>
      </c>
      <c r="KQ9">
        <v>0.72610200000000003</v>
      </c>
      <c r="KR9">
        <v>0.31096000000000001</v>
      </c>
      <c r="KS9" t="s">
        <v>1606</v>
      </c>
      <c r="KT9">
        <v>2025</v>
      </c>
      <c r="KU9" t="s">
        <v>1930</v>
      </c>
      <c r="KV9" s="6">
        <v>46076</v>
      </c>
      <c r="KW9">
        <v>5</v>
      </c>
      <c r="KX9">
        <v>21008458</v>
      </c>
      <c r="KY9">
        <v>27519006</v>
      </c>
      <c r="KZ9" t="s">
        <v>2934</v>
      </c>
      <c r="LC9" t="s">
        <v>2419</v>
      </c>
      <c r="LD9">
        <v>0.53433399999999998</v>
      </c>
      <c r="LE9" t="s">
        <v>1598</v>
      </c>
      <c r="LF9">
        <v>2.9912239999999999</v>
      </c>
      <c r="LG9" t="s">
        <v>1606</v>
      </c>
      <c r="LH9">
        <v>2025</v>
      </c>
      <c r="LI9" t="s">
        <v>1930</v>
      </c>
      <c r="LJ9" s="6">
        <v>46076</v>
      </c>
      <c r="LK9">
        <v>5</v>
      </c>
      <c r="LL9">
        <v>37889624</v>
      </c>
      <c r="LM9">
        <v>9074473</v>
      </c>
      <c r="LN9" t="s">
        <v>2420</v>
      </c>
      <c r="MW9" t="s">
        <v>3906</v>
      </c>
      <c r="MX9" t="s">
        <v>1685</v>
      </c>
      <c r="MY9">
        <v>2.7852589999999999</v>
      </c>
      <c r="MZ9">
        <v>9.2419000000000001E-2</v>
      </c>
      <c r="NA9" t="s">
        <v>1594</v>
      </c>
      <c r="NB9">
        <v>2024</v>
      </c>
      <c r="NC9" t="s">
        <v>3907</v>
      </c>
      <c r="ND9" s="6">
        <v>45702</v>
      </c>
      <c r="NE9">
        <v>5</v>
      </c>
      <c r="NF9">
        <v>3971250</v>
      </c>
      <c r="NG9">
        <v>225922</v>
      </c>
      <c r="NH9" t="s">
        <v>3908</v>
      </c>
      <c r="OA9" t="s">
        <v>1905</v>
      </c>
      <c r="OB9" t="s">
        <v>1598</v>
      </c>
      <c r="OC9">
        <v>8.0865999999999993E-2</v>
      </c>
      <c r="OD9">
        <v>0.27508500000000002</v>
      </c>
      <c r="OE9" t="s">
        <v>1603</v>
      </c>
      <c r="OF9">
        <v>2026</v>
      </c>
      <c r="OG9" t="s">
        <v>3359</v>
      </c>
      <c r="OH9" s="6">
        <v>45980</v>
      </c>
      <c r="OI9">
        <v>5</v>
      </c>
      <c r="OJ9">
        <v>17987832</v>
      </c>
      <c r="OK9">
        <v>100554</v>
      </c>
      <c r="OL9" t="s">
        <v>1906</v>
      </c>
      <c r="OO9" t="s">
        <v>2836</v>
      </c>
      <c r="OP9">
        <v>-2.4245362661989844E-14</v>
      </c>
      <c r="OR9">
        <v>-2.4245362661989844E-14</v>
      </c>
      <c r="OS9" t="s">
        <v>1594</v>
      </c>
      <c r="OT9">
        <v>2024</v>
      </c>
      <c r="OU9" t="s">
        <v>2837</v>
      </c>
      <c r="OV9" s="6">
        <v>45774</v>
      </c>
      <c r="OW9">
        <v>5</v>
      </c>
      <c r="OX9">
        <v>-2.4245362661989844E-14</v>
      </c>
      <c r="OY9">
        <v>9020238</v>
      </c>
      <c r="OZ9" t="s">
        <v>2838</v>
      </c>
      <c r="PE9" t="s">
        <v>4428</v>
      </c>
      <c r="PG9">
        <v>-2.4245362661989844E-14</v>
      </c>
      <c r="PH9">
        <v>-2.4245362661989844E-14</v>
      </c>
      <c r="PI9" t="s">
        <v>1594</v>
      </c>
      <c r="PJ9">
        <v>2025</v>
      </c>
      <c r="PK9" t="s">
        <v>4429</v>
      </c>
      <c r="PL9" s="6">
        <v>45959</v>
      </c>
      <c r="PM9">
        <v>5</v>
      </c>
      <c r="PN9">
        <v>-2.4245362661989844E-14</v>
      </c>
      <c r="PO9">
        <v>18217927</v>
      </c>
      <c r="PP9" t="s">
        <v>4430</v>
      </c>
      <c r="QI9" t="s">
        <v>3675</v>
      </c>
      <c r="QJ9" t="s">
        <v>1598</v>
      </c>
      <c r="QK9">
        <v>1.0145E-2</v>
      </c>
      <c r="QL9">
        <v>0.21243100000000001</v>
      </c>
      <c r="QM9" t="s">
        <v>1664</v>
      </c>
      <c r="QN9">
        <v>2026</v>
      </c>
      <c r="QO9" t="s">
        <v>4159</v>
      </c>
      <c r="QP9" s="6">
        <v>45919</v>
      </c>
      <c r="QQ9">
        <v>5</v>
      </c>
      <c r="QR9">
        <v>3020775</v>
      </c>
      <c r="QS9">
        <v>50985605</v>
      </c>
      <c r="QT9" t="s">
        <v>3676</v>
      </c>
      <c r="QW9" t="s">
        <v>962</v>
      </c>
      <c r="QX9">
        <v>-2.4245362661989844E-14</v>
      </c>
      <c r="QZ9">
        <v>-2.4245362661989844E-14</v>
      </c>
      <c r="RA9" t="s">
        <v>1599</v>
      </c>
      <c r="RB9">
        <v>2024</v>
      </c>
      <c r="RC9" t="s">
        <v>3514</v>
      </c>
      <c r="RD9" s="6">
        <v>45611</v>
      </c>
      <c r="RE9">
        <v>5</v>
      </c>
      <c r="RF9">
        <v>-2.4245362661989844E-14</v>
      </c>
      <c r="RG9">
        <v>159776</v>
      </c>
      <c r="RH9" t="s">
        <v>3515</v>
      </c>
      <c r="RM9" t="s">
        <v>240</v>
      </c>
      <c r="RN9" t="s">
        <v>2128</v>
      </c>
      <c r="RO9">
        <v>0.29407699999999998</v>
      </c>
      <c r="RP9">
        <v>2.7836400000000001</v>
      </c>
      <c r="RQ9" t="s">
        <v>1594</v>
      </c>
      <c r="RR9">
        <v>2025</v>
      </c>
      <c r="RS9" t="s">
        <v>1765</v>
      </c>
      <c r="RT9" s="6">
        <v>46064</v>
      </c>
      <c r="RU9">
        <v>5</v>
      </c>
      <c r="RV9">
        <v>69250000</v>
      </c>
      <c r="RW9">
        <v>100828</v>
      </c>
      <c r="RX9" t="s">
        <v>1865</v>
      </c>
      <c r="SA9" t="s">
        <v>306</v>
      </c>
      <c r="SB9">
        <v>1.0236080000000001</v>
      </c>
      <c r="SC9" t="s">
        <v>1598</v>
      </c>
      <c r="SD9">
        <v>0.137097</v>
      </c>
      <c r="SE9" t="s">
        <v>1664</v>
      </c>
      <c r="SF9">
        <v>2025</v>
      </c>
      <c r="SG9" t="s">
        <v>1768</v>
      </c>
      <c r="SH9" s="6">
        <v>45929</v>
      </c>
      <c r="SI9">
        <v>5</v>
      </c>
      <c r="SJ9">
        <v>125586464</v>
      </c>
      <c r="SK9">
        <v>101548</v>
      </c>
      <c r="SL9" t="s">
        <v>1770</v>
      </c>
      <c r="TU9" t="s">
        <v>207</v>
      </c>
      <c r="TV9" t="s">
        <v>1598</v>
      </c>
      <c r="TW9">
        <v>29</v>
      </c>
      <c r="TX9">
        <v>3.6236459999999999</v>
      </c>
      <c r="TY9" t="s">
        <v>1594</v>
      </c>
      <c r="TZ9">
        <v>2025</v>
      </c>
      <c r="UA9" t="s">
        <v>2373</v>
      </c>
      <c r="UB9" s="6">
        <v>46077</v>
      </c>
      <c r="UC9">
        <v>5</v>
      </c>
      <c r="UD9">
        <v>2134617472</v>
      </c>
      <c r="UE9">
        <v>104161</v>
      </c>
      <c r="UF9" t="s">
        <v>2374</v>
      </c>
      <c r="UI9" t="s">
        <v>1826</v>
      </c>
      <c r="UJ9">
        <v>1.1000000000000001</v>
      </c>
      <c r="UL9">
        <v>-2.4245362661989844E-14</v>
      </c>
      <c r="UM9" t="s">
        <v>1606</v>
      </c>
      <c r="UN9">
        <v>2025</v>
      </c>
      <c r="UO9" t="s">
        <v>1822</v>
      </c>
      <c r="UP9" s="6">
        <v>45954</v>
      </c>
      <c r="UQ9">
        <v>5</v>
      </c>
      <c r="UR9">
        <v>661748992</v>
      </c>
      <c r="US9">
        <v>935121</v>
      </c>
      <c r="UT9" t="s">
        <v>1827</v>
      </c>
      <c r="VM9" t="s">
        <v>1889</v>
      </c>
      <c r="VN9">
        <v>-2.4245362661989844E-14</v>
      </c>
      <c r="VP9">
        <v>-2.4245362661989844E-14</v>
      </c>
      <c r="VQ9" t="s">
        <v>1594</v>
      </c>
      <c r="VR9">
        <v>2023</v>
      </c>
      <c r="VS9" t="s">
        <v>1881</v>
      </c>
      <c r="VT9" s="6">
        <v>45097</v>
      </c>
      <c r="VU9">
        <v>5</v>
      </c>
      <c r="VV9">
        <v>-2.4245362661989844E-14</v>
      </c>
      <c r="VW9">
        <v>25954553</v>
      </c>
      <c r="VX9" t="s">
        <v>1890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1457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1458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1459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1460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1461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1462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1463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1464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1465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1466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1467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1468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1469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1470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1471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1472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1473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1474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1475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1476</v>
      </c>
      <c r="AE2" s="3" t="s">
        <v>1477</v>
      </c>
      <c r="BI2" s="3" t="s">
        <v>1478</v>
      </c>
      <c r="CM2" s="3" t="s">
        <v>1479</v>
      </c>
      <c r="DQ2" s="3" t="s">
        <v>1480</v>
      </c>
      <c r="EU2" s="3" t="s">
        <v>1206</v>
      </c>
      <c r="FY2" s="3" t="s">
        <v>1481</v>
      </c>
      <c r="HC2" s="3" t="s">
        <v>1482</v>
      </c>
      <c r="IG2" s="3" t="s">
        <v>1483</v>
      </c>
      <c r="JK2" s="3" t="s">
        <v>1484</v>
      </c>
      <c r="KO2" s="3" t="s">
        <v>1485</v>
      </c>
      <c r="LS2" s="3" t="s">
        <v>618</v>
      </c>
      <c r="MW2" s="3" t="s">
        <v>1486</v>
      </c>
      <c r="OA2" s="3" t="s">
        <v>1487</v>
      </c>
      <c r="PE2" s="3" t="s">
        <v>1488</v>
      </c>
      <c r="QI2" s="3" t="s">
        <v>1489</v>
      </c>
      <c r="RM2" s="3" t="s">
        <v>872</v>
      </c>
      <c r="SQ2" s="3" t="s">
        <v>1490</v>
      </c>
      <c r="TU2" s="3" t="s">
        <v>531</v>
      </c>
      <c r="UY2" s="3" t="s">
        <v>1491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_xll.BDS("2258717D US Equity","SUPPLY_CHAIN_SUPPLIERS_ALL_DATA")</f>
        <v>#N/A N/A</v>
      </c>
      <c r="O5" t="str">
        <f>_xll.BDS("2258717D US Equity","SUPPLY_CHAIN_CUSTOMERS_ALL_DATA")</f>
        <v>#N/A N/A</v>
      </c>
      <c r="AE5" t="str">
        <f>_xll.BDS("PNFP US Equity","SUPPLY_CHAIN_SUPPLIERS_ALL_DATA","cols=12;rows=1")</f>
        <v>VYX US Equity</v>
      </c>
      <c r="AG5">
        <v>-2.4245362661989844E-14</v>
      </c>
      <c r="AH5">
        <v>-2.4245362661989844E-14</v>
      </c>
      <c r="AI5" t="s">
        <v>1664</v>
      </c>
      <c r="AJ5">
        <v>2023</v>
      </c>
      <c r="AK5" t="s">
        <v>2529</v>
      </c>
      <c r="AL5" s="6">
        <v>45174</v>
      </c>
      <c r="AM5">
        <v>1</v>
      </c>
      <c r="AN5">
        <v>-2.4245362661989844E-14</v>
      </c>
      <c r="AO5">
        <v>202476</v>
      </c>
      <c r="AP5" t="s">
        <v>2530</v>
      </c>
      <c r="AS5" t="str">
        <f>_xll.BDS("PNFP US Equity","SUPPLY_CHAIN_CUSTOMERS_ALL_DATA")</f>
        <v>#N/A N/A</v>
      </c>
      <c r="BI5" t="str">
        <f>_xll.BDS("FCNCA US Equity","SUPPLY_CHAIN_SUPPLIERS_ALL_DATA","cols=12;rows=5")</f>
        <v>RAIL US Equity</v>
      </c>
      <c r="BJ5" t="s">
        <v>1634</v>
      </c>
      <c r="BK5">
        <v>0.17932300000000001</v>
      </c>
      <c r="BL5">
        <v>0.16764100000000001</v>
      </c>
      <c r="BM5" t="s">
        <v>1603</v>
      </c>
      <c r="BN5">
        <v>2025</v>
      </c>
      <c r="BO5" t="s">
        <v>3063</v>
      </c>
      <c r="BP5" s="6">
        <v>45840</v>
      </c>
      <c r="BQ5">
        <v>5</v>
      </c>
      <c r="BR5">
        <v>172670</v>
      </c>
      <c r="BS5">
        <v>9371099</v>
      </c>
      <c r="BT5" t="s">
        <v>3064</v>
      </c>
      <c r="BW5" t="str">
        <f>_xll.BDS("FCNCA US Equity","SUPPLY_CHAIN_CUSTOMERS_ALL_DATA")</f>
        <v>#N/A N/A</v>
      </c>
      <c r="CM5" t="str">
        <f>_xll.BDS("XEC US Equity","SUPPLY_CHAIN_SUPPLIERS_ALL_DATA")</f>
        <v>#N/A N/A</v>
      </c>
      <c r="DA5" t="str">
        <f>_xll.BDS("XEC US Equity","SUPPLY_CHAIN_CUSTOMERS_ALL_DATA")</f>
        <v>#N/A N/A</v>
      </c>
      <c r="DQ5" t="str">
        <f>_xll.BDS("ARWLQ US Equity","SUPPLY_CHAIN_SUPPLIERS_ALL_DATA")</f>
        <v>#N/A N/A</v>
      </c>
      <c r="EE5" t="str">
        <f>_xll.BDS("ARWLQ US Equity","SUPPLY_CHAIN_CUSTOMERS_ALL_DATA")</f>
        <v>#N/A N/A</v>
      </c>
      <c r="EU5" t="str">
        <f>_xll.BDS("TGNA US Equity","SUPPLY_CHAIN_SUPPLIERS_ALL_DATA","cols=12;rows=5")</f>
        <v>0159586D US Equity</v>
      </c>
      <c r="EW5">
        <v>-2.4245362661989844E-14</v>
      </c>
      <c r="EX5">
        <v>-2.4245362661989844E-14</v>
      </c>
      <c r="EY5" t="s">
        <v>1594</v>
      </c>
      <c r="EZ5">
        <v>2025</v>
      </c>
      <c r="FA5" t="s">
        <v>4472</v>
      </c>
      <c r="FB5" s="6">
        <v>45764</v>
      </c>
      <c r="FC5">
        <v>5</v>
      </c>
      <c r="FD5">
        <v>-2.4245362661989844E-14</v>
      </c>
      <c r="FE5">
        <v>29079631</v>
      </c>
      <c r="FF5" t="s">
        <v>4473</v>
      </c>
      <c r="FI5" t="str">
        <f>_xll.BDS("TGNA US Equity","SUPPLY_CHAIN_CUSTOMERS_ALL_DATA","cols=12;rows=5")</f>
        <v>210062Z SJ Equity</v>
      </c>
      <c r="FJ5">
        <v>-2.4245362661989844E-14</v>
      </c>
      <c r="FL5">
        <v>-2.4245362661989844E-14</v>
      </c>
      <c r="FM5" t="s">
        <v>1664</v>
      </c>
      <c r="FN5">
        <v>2024</v>
      </c>
      <c r="FO5" t="s">
        <v>3531</v>
      </c>
      <c r="FP5" s="6">
        <v>45523</v>
      </c>
      <c r="FQ5">
        <v>5</v>
      </c>
      <c r="FR5">
        <v>-2.4245362661989844E-14</v>
      </c>
      <c r="FS5">
        <v>8159806</v>
      </c>
      <c r="FT5" t="s">
        <v>3532</v>
      </c>
      <c r="FY5" t="str">
        <f>_xll.BDS("PB US Equity","SUPPLY_CHAIN_SUPPLIERS_ALL_DATA")</f>
        <v>#N/A N/A</v>
      </c>
      <c r="GM5" t="str">
        <f>_xll.BDS("PB US Equity","SUPPLY_CHAIN_CUSTOMERS_ALL_DATA")</f>
        <v>#N/A N/A</v>
      </c>
      <c r="HC5" t="str">
        <f>_xll.BDS("2083Q US Equity","SUPPLY_CHAIN_SUPPLIERS_ALL_DATA")</f>
        <v>#N/A N/A</v>
      </c>
      <c r="HQ5" t="str">
        <f>_xll.BDS("2083Q US Equity","SUPPLY_CHAIN_CUSTOMERS_ALL_DATA")</f>
        <v>#N/A N/A</v>
      </c>
      <c r="IG5" t="str">
        <f>_xll.BDS("STCN US Equity","SUPPLY_CHAIN_SUPPLIERS_ALL_DATA")</f>
        <v>#N/A N/A</v>
      </c>
      <c r="IU5" t="str">
        <f>_xll.BDS("STCN US Equity","SUPPLY_CHAIN_CUSTOMERS_ALL_DATA","cols=12;rows=3")</f>
        <v>992 HK Equity</v>
      </c>
      <c r="IV5">
        <v>-2.4245362661989844E-14</v>
      </c>
      <c r="IX5">
        <v>-2.4245362661989844E-14</v>
      </c>
      <c r="IY5" t="s">
        <v>1594</v>
      </c>
      <c r="IZ5">
        <v>2024</v>
      </c>
      <c r="JA5" t="s">
        <v>4577</v>
      </c>
      <c r="JB5" s="6">
        <v>45504</v>
      </c>
      <c r="JC5">
        <v>3</v>
      </c>
      <c r="JD5">
        <v>-2.4245362661989844E-14</v>
      </c>
      <c r="JE5">
        <v>130929</v>
      </c>
      <c r="JF5" t="s">
        <v>3661</v>
      </c>
      <c r="JK5" t="str">
        <f>_xll.BDS("FIBK US Equity","SUPPLY_CHAIN_SUPPLIERS_ALL_DATA","cols=12;rows=1")</f>
        <v>FISV US Equity</v>
      </c>
      <c r="JM5">
        <v>-2.4245362661989844E-14</v>
      </c>
      <c r="JN5">
        <v>-2.4245362661989844E-14</v>
      </c>
      <c r="JO5" t="s">
        <v>1651</v>
      </c>
      <c r="JP5">
        <v>2023</v>
      </c>
      <c r="JQ5" t="s">
        <v>2174</v>
      </c>
      <c r="JR5" s="6">
        <v>45245</v>
      </c>
      <c r="JS5">
        <v>1</v>
      </c>
      <c r="JT5">
        <v>-2.4245362661989844E-14</v>
      </c>
      <c r="JU5">
        <v>103882</v>
      </c>
      <c r="JV5" t="s">
        <v>2175</v>
      </c>
      <c r="JY5" t="str">
        <f>_xll.BDS("FIBK US Equity","SUPPLY_CHAIN_CUSTOMERS_ALL_DATA")</f>
        <v>#N/A N/A</v>
      </c>
      <c r="KO5" t="str">
        <f>_xll.BDS("SLXP US Equity","SUPPLY_CHAIN_SUPPLIERS_ALL_DATA")</f>
        <v>#N/A N/A</v>
      </c>
      <c r="LC5" t="str">
        <f>_xll.BDS("SLXP US Equity","SUPPLY_CHAIN_CUSTOMERS_ALL_DATA")</f>
        <v>#N/A N/A</v>
      </c>
      <c r="LS5" t="str">
        <f>_xll.BDS("CAH US Equity","SUPPLY_CHAIN_SUPPLIERS_ALL_DATA","cols=12;rows=5")</f>
        <v>LLY US Equity</v>
      </c>
      <c r="LT5" t="s">
        <v>1598</v>
      </c>
      <c r="LU5">
        <v>19.020800000000001</v>
      </c>
      <c r="LV5">
        <v>5.4268320000000001</v>
      </c>
      <c r="LW5" t="s">
        <v>1599</v>
      </c>
      <c r="LX5">
        <v>2025</v>
      </c>
      <c r="LY5" t="s">
        <v>1859</v>
      </c>
      <c r="LZ5" s="6">
        <v>46041</v>
      </c>
      <c r="MA5">
        <v>5</v>
      </c>
      <c r="MB5">
        <v>3347812864</v>
      </c>
      <c r="MC5">
        <v>100894</v>
      </c>
      <c r="MD5" t="s">
        <v>2218</v>
      </c>
      <c r="MG5" t="str">
        <f>_xll.BDS("CAH US Equity","SUPPLY_CHAIN_CUSTOMERS_ALL_DATA","cols=12;rows=5")</f>
        <v>CVS US Equity</v>
      </c>
      <c r="MH5">
        <v>30</v>
      </c>
      <c r="MI5" t="s">
        <v>1598</v>
      </c>
      <c r="MJ5">
        <v>20.040337000000001</v>
      </c>
      <c r="MK5" t="s">
        <v>1594</v>
      </c>
      <c r="ML5">
        <v>2025</v>
      </c>
      <c r="MM5" t="s">
        <v>1819</v>
      </c>
      <c r="MN5" s="6">
        <v>45881</v>
      </c>
      <c r="MO5">
        <v>5</v>
      </c>
      <c r="MP5">
        <v>16693350400</v>
      </c>
      <c r="MQ5">
        <v>100976</v>
      </c>
      <c r="MR5" t="s">
        <v>1820</v>
      </c>
      <c r="MW5" t="str">
        <f>_xll.BDS("BKB US Equity","SUPPLY_CHAIN_SUPPLIERS_ALL_DATA")</f>
        <v>#N/A N/A</v>
      </c>
      <c r="NK5" t="str">
        <f>_xll.BDS("BKB US Equity","SUPPLY_CHAIN_CUSTOMERS_ALL_DATA")</f>
        <v>#N/A N/A</v>
      </c>
      <c r="OA5" t="str">
        <f>_xll.BDS("ASNAQ US Equity","SUPPLY_CHAIN_SUPPLIERS_ALL_DATA","cols=12;rows=4")</f>
        <v>AEP US Equity</v>
      </c>
      <c r="OC5">
        <v>-2.4245362661989844E-14</v>
      </c>
      <c r="OD5">
        <v>-2.4245362661989844E-14</v>
      </c>
      <c r="OE5" t="s">
        <v>1594</v>
      </c>
      <c r="OF5">
        <v>2021</v>
      </c>
      <c r="OG5" t="s">
        <v>2153</v>
      </c>
      <c r="OH5" s="6">
        <v>44693</v>
      </c>
      <c r="OI5">
        <v>4</v>
      </c>
      <c r="OJ5">
        <v>-2.4245362661989844E-14</v>
      </c>
      <c r="OK5">
        <v>100060</v>
      </c>
      <c r="OL5" t="s">
        <v>2154</v>
      </c>
      <c r="OO5" t="str">
        <f>_xll.BDS("ASNAQ US Equity","SUPPLY_CHAIN_CUSTOMERS_ALL_DATA")</f>
        <v>#N/A N/A</v>
      </c>
      <c r="PE5" t="str">
        <f>_xll.BDS("EQR US Equity","SUPPLY_CHAIN_SUPPLIERS_ALL_DATA","cols=12;rows=2")</f>
        <v>BLNK US Equity</v>
      </c>
      <c r="PG5">
        <v>-2.4245362661989844E-14</v>
      </c>
      <c r="PH5">
        <v>-2.4245362661989844E-14</v>
      </c>
      <c r="PI5" t="s">
        <v>1594</v>
      </c>
      <c r="PJ5">
        <v>2024</v>
      </c>
      <c r="PK5" t="s">
        <v>2839</v>
      </c>
      <c r="PL5" s="6">
        <v>45756</v>
      </c>
      <c r="PM5">
        <v>2</v>
      </c>
      <c r="PN5">
        <v>-2.4245362661989844E-14</v>
      </c>
      <c r="PO5">
        <v>14520400</v>
      </c>
      <c r="PP5" t="s">
        <v>1963</v>
      </c>
      <c r="PS5" t="str">
        <f>_xll.BDS("EQR US Equity","SUPPLY_CHAIN_CUSTOMERS_ALL_DATA")</f>
        <v>#N/A N/A</v>
      </c>
      <c r="QI5" t="str">
        <f>_xll.BDS("1816375D US Equity","SUPPLY_CHAIN_SUPPLIERS_ALL_DATA")</f>
        <v>#N/A N/A</v>
      </c>
      <c r="QW5" t="str">
        <f>_xll.BDS("1816375D US Equity","SUPPLY_CHAIN_CUSTOMERS_ALL_DATA")</f>
        <v>#N/A N/A</v>
      </c>
      <c r="RM5" t="str">
        <f>_xll.BDS("BA US Equity","SUPPLY_CHAIN_SUPPLIERS_ALL_DATA","cols=12;rows=5")</f>
        <v>RTX US Equity</v>
      </c>
      <c r="RN5" t="s">
        <v>1598</v>
      </c>
      <c r="RO5">
        <v>5.3565009999999997</v>
      </c>
      <c r="RP5">
        <v>5.6905900000000003</v>
      </c>
      <c r="RQ5" t="s">
        <v>1664</v>
      </c>
      <c r="RR5">
        <v>2025</v>
      </c>
      <c r="RS5" t="s">
        <v>2129</v>
      </c>
      <c r="RT5" s="6">
        <v>45895</v>
      </c>
      <c r="RU5">
        <v>5</v>
      </c>
      <c r="RV5">
        <v>1155986432</v>
      </c>
      <c r="RW5">
        <v>101555</v>
      </c>
      <c r="RX5" t="s">
        <v>2130</v>
      </c>
      <c r="SA5" t="str">
        <f>_xll.BDS("BA US Equity","SUPPLY_CHAIN_CUSTOMERS_ALL_DATA","cols=12;rows=5")</f>
        <v>3352Z US Equity</v>
      </c>
      <c r="SB5">
        <v>35</v>
      </c>
      <c r="SD5">
        <v>-2.4245362661989844E-14</v>
      </c>
      <c r="SE5" t="s">
        <v>1594</v>
      </c>
      <c r="SF5">
        <v>2025</v>
      </c>
      <c r="SG5" t="s">
        <v>2595</v>
      </c>
      <c r="SH5" s="6">
        <v>46052</v>
      </c>
      <c r="SI5">
        <v>5</v>
      </c>
      <c r="SJ5">
        <v>7828012544</v>
      </c>
      <c r="SK5">
        <v>218252</v>
      </c>
      <c r="SL5" t="s">
        <v>1622</v>
      </c>
      <c r="SQ5" t="str">
        <f>_xll.BDS("HI US Equity","SUPPLY_CHAIN_SUPPLIERS_ALL_DATA","cols=12;rows=5")</f>
        <v>1551592D US Equity</v>
      </c>
      <c r="SS5">
        <v>-2.4245362661989844E-14</v>
      </c>
      <c r="ST5">
        <v>-2.4245362661989844E-14</v>
      </c>
      <c r="SU5" t="s">
        <v>1594</v>
      </c>
      <c r="SV5">
        <v>2022</v>
      </c>
      <c r="SW5" t="s">
        <v>6173</v>
      </c>
      <c r="SX5" s="6">
        <v>44915</v>
      </c>
      <c r="SY5">
        <v>5</v>
      </c>
      <c r="SZ5">
        <v>-2.4245362661989844E-14</v>
      </c>
      <c r="TA5">
        <v>55889377</v>
      </c>
      <c r="TB5" t="s">
        <v>6174</v>
      </c>
      <c r="TE5" t="str">
        <f>_xll.BDS("HI US Equity","SUPPLY_CHAIN_CUSTOMERS_ALL_DATA","cols=12;rows=5")</f>
        <v>4614Z US Equity</v>
      </c>
      <c r="TF5">
        <v>-2.4245362661989844E-14</v>
      </c>
      <c r="TH5">
        <v>-2.4245362661989844E-14</v>
      </c>
      <c r="TI5" t="s">
        <v>1664</v>
      </c>
      <c r="TJ5">
        <v>2024</v>
      </c>
      <c r="TK5" t="s">
        <v>5860</v>
      </c>
      <c r="TL5" s="6">
        <v>45426</v>
      </c>
      <c r="TM5">
        <v>5</v>
      </c>
      <c r="TN5">
        <v>-2.4245362661989844E-14</v>
      </c>
      <c r="TO5">
        <v>143018</v>
      </c>
      <c r="TP5" t="s">
        <v>5861</v>
      </c>
      <c r="TU5" t="str">
        <f>_xll.BDS("APO US Equity","SUPPLY_CHAIN_SUPPLIERS_ALL_DATA","cols=12;rows=5")</f>
        <v>PG US Equity</v>
      </c>
      <c r="TV5" t="s">
        <v>1598</v>
      </c>
      <c r="TW5">
        <v>0.57909100000000002</v>
      </c>
      <c r="TX5">
        <v>2.1118830000000002</v>
      </c>
      <c r="TY5" t="s">
        <v>1603</v>
      </c>
      <c r="TZ5">
        <v>2025</v>
      </c>
      <c r="UA5" t="s">
        <v>2670</v>
      </c>
      <c r="UB5" s="6">
        <v>45679</v>
      </c>
      <c r="UC5">
        <v>5</v>
      </c>
      <c r="UD5">
        <v>121665568</v>
      </c>
      <c r="UE5">
        <v>101215</v>
      </c>
      <c r="UF5" t="s">
        <v>1868</v>
      </c>
      <c r="UI5" t="str">
        <f>_xll.BDS("APO US Equity","SUPPLY_CHAIN_CUSTOMERS_ALL_DATA","cols=12;rows=5")</f>
        <v>RTX US Equity</v>
      </c>
      <c r="UJ5">
        <v>0.13495699999999999</v>
      </c>
      <c r="UK5" t="s">
        <v>1598</v>
      </c>
      <c r="UL5">
        <v>4.7856000000000003E-2</v>
      </c>
      <c r="UM5" t="s">
        <v>1603</v>
      </c>
      <c r="UN5">
        <v>2025</v>
      </c>
      <c r="UO5" t="s">
        <v>2129</v>
      </c>
      <c r="UP5" s="6">
        <v>45798</v>
      </c>
      <c r="UQ5">
        <v>5</v>
      </c>
      <c r="UR5">
        <v>7747886</v>
      </c>
      <c r="US5">
        <v>101555</v>
      </c>
      <c r="UT5" t="s">
        <v>2130</v>
      </c>
      <c r="UY5" t="str">
        <f>_xll.BDS("TFX US Equity","SUPPLY_CHAIN_SUPPLIERS_ALL_DATA","cols=12;rows=5")</f>
        <v>PFE US Equity</v>
      </c>
      <c r="UZ5" t="s">
        <v>1598</v>
      </c>
      <c r="VA5">
        <v>8.5760000000000003E-3</v>
      </c>
      <c r="VB5">
        <v>0.35924200000000001</v>
      </c>
      <c r="VC5" t="s">
        <v>1664</v>
      </c>
      <c r="VD5">
        <v>2025</v>
      </c>
      <c r="VE5" t="s">
        <v>3358</v>
      </c>
      <c r="VF5" s="6">
        <v>45914</v>
      </c>
      <c r="VG5">
        <v>5</v>
      </c>
      <c r="VH5">
        <v>1256641</v>
      </c>
      <c r="VI5">
        <v>101166</v>
      </c>
      <c r="VJ5" t="s">
        <v>2119</v>
      </c>
      <c r="VM5" t="str">
        <f>_xll.BDS("TFX US Equity","SUPPLY_CHAIN_CUSTOMERS_ALL_DATA","cols=12;rows=5")</f>
        <v>1339564D US Equity</v>
      </c>
      <c r="VN5">
        <v>-2.4245362661989844E-14</v>
      </c>
      <c r="VP5">
        <v>-2.4245362661989844E-14</v>
      </c>
      <c r="VQ5" t="s">
        <v>1594</v>
      </c>
      <c r="VR5">
        <v>2024</v>
      </c>
      <c r="VS5" t="s">
        <v>4071</v>
      </c>
      <c r="VT5" s="6">
        <v>45666</v>
      </c>
      <c r="VU5">
        <v>5</v>
      </c>
      <c r="VV5">
        <v>-2.4245362661989844E-14</v>
      </c>
      <c r="VW5">
        <v>48003505</v>
      </c>
      <c r="VX5" t="s">
        <v>1823</v>
      </c>
    </row>
    <row r="6" spans="1:600" x14ac:dyDescent="0.25">
      <c r="BI6" t="s">
        <v>4482</v>
      </c>
      <c r="BK6">
        <v>-2.4245362661989844E-14</v>
      </c>
      <c r="BL6">
        <v>-2.4245362661989844E-14</v>
      </c>
      <c r="BM6" t="s">
        <v>1594</v>
      </c>
      <c r="BN6">
        <v>2023</v>
      </c>
      <c r="BO6" t="s">
        <v>4483</v>
      </c>
      <c r="BP6" s="6">
        <v>45408</v>
      </c>
      <c r="BQ6">
        <v>5</v>
      </c>
      <c r="BR6">
        <v>-2.4245362661989844E-14</v>
      </c>
      <c r="BS6">
        <v>31730105</v>
      </c>
      <c r="BT6" t="s">
        <v>4484</v>
      </c>
      <c r="EU6" t="s">
        <v>4474</v>
      </c>
      <c r="EW6">
        <v>-2.4245362661989844E-14</v>
      </c>
      <c r="EX6">
        <v>-2.4245362661989844E-14</v>
      </c>
      <c r="EY6" t="s">
        <v>1594</v>
      </c>
      <c r="EZ6">
        <v>2025</v>
      </c>
      <c r="FA6" t="s">
        <v>4472</v>
      </c>
      <c r="FB6" s="6">
        <v>45764</v>
      </c>
      <c r="FC6">
        <v>5</v>
      </c>
      <c r="FD6">
        <v>-2.4245362661989844E-14</v>
      </c>
      <c r="FE6">
        <v>937954</v>
      </c>
      <c r="FF6" t="s">
        <v>4475</v>
      </c>
      <c r="FI6" t="s">
        <v>3512</v>
      </c>
      <c r="FJ6">
        <v>-2.4245362661989844E-14</v>
      </c>
      <c r="FL6">
        <v>-2.4245362661989844E-14</v>
      </c>
      <c r="FM6" t="s">
        <v>1594</v>
      </c>
      <c r="FN6">
        <v>2024</v>
      </c>
      <c r="FO6" t="s">
        <v>3533</v>
      </c>
      <c r="FP6" s="6">
        <v>45715</v>
      </c>
      <c r="FQ6">
        <v>5</v>
      </c>
      <c r="FR6">
        <v>-2.4245362661989844E-14</v>
      </c>
      <c r="FS6">
        <v>15994790</v>
      </c>
      <c r="FT6" t="s">
        <v>3513</v>
      </c>
      <c r="IU6" t="s">
        <v>4578</v>
      </c>
      <c r="IV6">
        <v>-2.4245362661989844E-14</v>
      </c>
      <c r="IX6">
        <v>-2.4245362661989844E-14</v>
      </c>
      <c r="IY6" t="s">
        <v>1664</v>
      </c>
      <c r="IZ6">
        <v>2024</v>
      </c>
      <c r="JA6" t="s">
        <v>4579</v>
      </c>
      <c r="JB6" s="6">
        <v>45496</v>
      </c>
      <c r="JC6">
        <v>3</v>
      </c>
      <c r="JD6">
        <v>-2.4245362661989844E-14</v>
      </c>
      <c r="JE6">
        <v>8339663</v>
      </c>
      <c r="JF6" t="s">
        <v>4580</v>
      </c>
      <c r="LS6" t="s">
        <v>25</v>
      </c>
      <c r="LT6" t="s">
        <v>1598</v>
      </c>
      <c r="LU6">
        <v>18.560427000000001</v>
      </c>
      <c r="LV6">
        <v>4.8780200000000002</v>
      </c>
      <c r="LW6" t="s">
        <v>1606</v>
      </c>
      <c r="LX6">
        <v>2025</v>
      </c>
      <c r="LY6" t="s">
        <v>2220</v>
      </c>
      <c r="LZ6" s="6">
        <v>46077</v>
      </c>
      <c r="MA6">
        <v>5</v>
      </c>
      <c r="MB6">
        <v>3084371712</v>
      </c>
      <c r="MC6">
        <v>28046509</v>
      </c>
      <c r="MD6" t="s">
        <v>2221</v>
      </c>
      <c r="MG6" t="s">
        <v>1821</v>
      </c>
      <c r="MH6">
        <v>4</v>
      </c>
      <c r="MJ6">
        <v>-2.4245362661989844E-14</v>
      </c>
      <c r="MK6" t="s">
        <v>1606</v>
      </c>
      <c r="ML6">
        <v>2025</v>
      </c>
      <c r="MM6" t="s">
        <v>1822</v>
      </c>
      <c r="MN6" s="6">
        <v>45954</v>
      </c>
      <c r="MO6">
        <v>5</v>
      </c>
      <c r="MP6">
        <v>2406360064</v>
      </c>
      <c r="MQ6">
        <v>48003505</v>
      </c>
      <c r="MR6" t="s">
        <v>1823</v>
      </c>
      <c r="OA6" t="s">
        <v>172</v>
      </c>
      <c r="OC6">
        <v>-2.4245362661989844E-14</v>
      </c>
      <c r="OD6">
        <v>-2.4245362661989844E-14</v>
      </c>
      <c r="OE6" t="s">
        <v>1594</v>
      </c>
      <c r="OF6">
        <v>2021</v>
      </c>
      <c r="OG6" t="s">
        <v>4240</v>
      </c>
      <c r="OH6" s="6">
        <v>44693</v>
      </c>
      <c r="OI6">
        <v>4</v>
      </c>
      <c r="OJ6">
        <v>-2.4245362661989844E-14</v>
      </c>
      <c r="OK6">
        <v>100481</v>
      </c>
      <c r="OL6" t="s">
        <v>4241</v>
      </c>
      <c r="PE6" t="s">
        <v>2168</v>
      </c>
      <c r="PG6">
        <v>-2.4245362661989844E-14</v>
      </c>
      <c r="PH6">
        <v>-2.4245362661989844E-14</v>
      </c>
      <c r="PI6" t="s">
        <v>1603</v>
      </c>
      <c r="PJ6">
        <v>2024</v>
      </c>
      <c r="PK6" t="s">
        <v>2169</v>
      </c>
      <c r="PL6" s="6">
        <v>45420</v>
      </c>
      <c r="PM6">
        <v>2</v>
      </c>
      <c r="PN6">
        <v>-2.4245362661989844E-14</v>
      </c>
      <c r="PO6">
        <v>69417624</v>
      </c>
      <c r="PP6" t="s">
        <v>2170</v>
      </c>
      <c r="RM6" t="s">
        <v>745</v>
      </c>
      <c r="RN6" t="s">
        <v>1598</v>
      </c>
      <c r="RO6">
        <v>9.2636719999999997</v>
      </c>
      <c r="RP6">
        <v>5.0267530000000002</v>
      </c>
      <c r="RQ6" t="s">
        <v>1664</v>
      </c>
      <c r="RR6">
        <v>2025</v>
      </c>
      <c r="RS6" t="s">
        <v>1958</v>
      </c>
      <c r="RT6" s="6">
        <v>45888</v>
      </c>
      <c r="RU6">
        <v>5</v>
      </c>
      <c r="RV6">
        <v>1021134592</v>
      </c>
      <c r="RW6">
        <v>100632</v>
      </c>
      <c r="RX6" t="s">
        <v>2162</v>
      </c>
      <c r="SA6" t="s">
        <v>1082</v>
      </c>
      <c r="SB6">
        <v>4.6894470000000004</v>
      </c>
      <c r="SC6" t="s">
        <v>1634</v>
      </c>
      <c r="SD6">
        <v>82.890625</v>
      </c>
      <c r="SE6" t="s">
        <v>1664</v>
      </c>
      <c r="SF6">
        <v>2025</v>
      </c>
      <c r="SG6" t="s">
        <v>2179</v>
      </c>
      <c r="SH6" s="6">
        <v>45873</v>
      </c>
      <c r="SI6">
        <v>5</v>
      </c>
      <c r="SJ6">
        <v>1066802304</v>
      </c>
      <c r="SK6">
        <v>10451815</v>
      </c>
      <c r="SL6" t="s">
        <v>1959</v>
      </c>
      <c r="SQ6" t="s">
        <v>6175</v>
      </c>
      <c r="SS6">
        <v>-2.4245362661989844E-14</v>
      </c>
      <c r="ST6">
        <v>-2.4245362661989844E-14</v>
      </c>
      <c r="SU6" t="s">
        <v>1599</v>
      </c>
      <c r="SV6">
        <v>2024</v>
      </c>
      <c r="SW6" t="s">
        <v>6176</v>
      </c>
      <c r="SX6" s="6">
        <v>45623</v>
      </c>
      <c r="SY6">
        <v>5</v>
      </c>
      <c r="SZ6">
        <v>-2.4245362661989844E-14</v>
      </c>
      <c r="TA6">
        <v>29963275</v>
      </c>
      <c r="TB6" t="s">
        <v>6177</v>
      </c>
      <c r="TE6" t="s">
        <v>5862</v>
      </c>
      <c r="TF6">
        <v>-2.4245362661989844E-14</v>
      </c>
      <c r="TH6">
        <v>-2.4245362661989844E-14</v>
      </c>
      <c r="TI6" t="s">
        <v>1594</v>
      </c>
      <c r="TJ6">
        <v>2024</v>
      </c>
      <c r="TK6" t="s">
        <v>5863</v>
      </c>
      <c r="TL6" s="6">
        <v>45744</v>
      </c>
      <c r="TM6">
        <v>5</v>
      </c>
      <c r="TN6">
        <v>-2.4245362661989844E-14</v>
      </c>
      <c r="TO6">
        <v>48503357</v>
      </c>
      <c r="TP6" t="s">
        <v>5864</v>
      </c>
      <c r="TU6" t="s">
        <v>4431</v>
      </c>
      <c r="TV6" t="s">
        <v>1598</v>
      </c>
      <c r="TW6">
        <v>2.3059889999999998</v>
      </c>
      <c r="TX6">
        <v>1.5310429999999999</v>
      </c>
      <c r="TY6" t="s">
        <v>1603</v>
      </c>
      <c r="TZ6">
        <v>2025</v>
      </c>
      <c r="UA6" t="s">
        <v>4432</v>
      </c>
      <c r="UB6" s="6">
        <v>45834</v>
      </c>
      <c r="UC6">
        <v>5</v>
      </c>
      <c r="UD6">
        <v>65559268</v>
      </c>
      <c r="UE6">
        <v>100803</v>
      </c>
      <c r="UF6" t="s">
        <v>4433</v>
      </c>
      <c r="UI6" t="s">
        <v>462</v>
      </c>
      <c r="UJ6">
        <v>0.10491399999999999</v>
      </c>
      <c r="UK6" t="s">
        <v>1598</v>
      </c>
      <c r="UL6">
        <v>5.4052999999999997E-2</v>
      </c>
      <c r="UM6" t="s">
        <v>1664</v>
      </c>
      <c r="UN6">
        <v>2025</v>
      </c>
      <c r="UO6" t="s">
        <v>3366</v>
      </c>
      <c r="UP6" s="6">
        <v>45876</v>
      </c>
      <c r="UQ6">
        <v>5</v>
      </c>
      <c r="UR6">
        <v>6023126</v>
      </c>
      <c r="US6">
        <v>100285</v>
      </c>
      <c r="UT6" t="s">
        <v>1764</v>
      </c>
      <c r="UY6" t="s">
        <v>4110</v>
      </c>
      <c r="UZ6" t="s">
        <v>1685</v>
      </c>
      <c r="VA6">
        <v>2</v>
      </c>
      <c r="VB6">
        <v>0.28326600000000002</v>
      </c>
      <c r="VC6" t="s">
        <v>1594</v>
      </c>
      <c r="VD6">
        <v>2024</v>
      </c>
      <c r="VE6" t="s">
        <v>4111</v>
      </c>
      <c r="VF6" s="6">
        <v>45754</v>
      </c>
      <c r="VG6">
        <v>5</v>
      </c>
      <c r="VH6">
        <v>704815</v>
      </c>
      <c r="VI6">
        <v>65193455</v>
      </c>
      <c r="VJ6" t="s">
        <v>4112</v>
      </c>
      <c r="VM6" t="s">
        <v>4072</v>
      </c>
      <c r="VN6">
        <v>-2.4245362661989844E-14</v>
      </c>
      <c r="VP6">
        <v>-2.4245362661989844E-14</v>
      </c>
      <c r="VQ6" t="s">
        <v>1651</v>
      </c>
      <c r="VR6">
        <v>2025</v>
      </c>
      <c r="VS6" t="s">
        <v>4073</v>
      </c>
      <c r="VT6" s="6">
        <v>45986</v>
      </c>
      <c r="VU6">
        <v>5</v>
      </c>
      <c r="VV6">
        <v>-2.4245362661989844E-14</v>
      </c>
      <c r="VW6">
        <v>9152670</v>
      </c>
      <c r="VX6" t="s">
        <v>4074</v>
      </c>
    </row>
    <row r="7" spans="1:600" x14ac:dyDescent="0.25">
      <c r="BI7" t="s">
        <v>1732</v>
      </c>
      <c r="BK7">
        <v>-2.4245362661989844E-14</v>
      </c>
      <c r="BL7">
        <v>-2.4245362661989844E-14</v>
      </c>
      <c r="BM7" t="s">
        <v>2469</v>
      </c>
      <c r="BN7">
        <v>2025</v>
      </c>
      <c r="BO7" t="s">
        <v>4485</v>
      </c>
      <c r="BP7" s="6">
        <v>45846</v>
      </c>
      <c r="BQ7">
        <v>5</v>
      </c>
      <c r="BR7">
        <v>-2.4245362661989844E-14</v>
      </c>
      <c r="BS7">
        <v>876285</v>
      </c>
      <c r="BT7" t="s">
        <v>1734</v>
      </c>
      <c r="EU7" t="s">
        <v>4476</v>
      </c>
      <c r="EW7">
        <v>-2.4245362661989844E-14</v>
      </c>
      <c r="EX7">
        <v>-2.4245362661989844E-14</v>
      </c>
      <c r="EY7" t="s">
        <v>1594</v>
      </c>
      <c r="EZ7">
        <v>2025</v>
      </c>
      <c r="FA7" t="s">
        <v>4472</v>
      </c>
      <c r="FB7" s="6">
        <v>45922</v>
      </c>
      <c r="FC7">
        <v>5</v>
      </c>
      <c r="FD7">
        <v>-2.4245362661989844E-14</v>
      </c>
      <c r="FE7">
        <v>43143263</v>
      </c>
      <c r="FF7" t="s">
        <v>4477</v>
      </c>
      <c r="FI7" t="s">
        <v>3534</v>
      </c>
      <c r="FJ7">
        <v>-2.4245362661989844E-14</v>
      </c>
      <c r="FL7">
        <v>-2.4245362661989844E-14</v>
      </c>
      <c r="FM7" t="s">
        <v>1664</v>
      </c>
      <c r="FN7">
        <v>2024</v>
      </c>
      <c r="FO7" t="s">
        <v>3531</v>
      </c>
      <c r="FP7" s="6">
        <v>45523</v>
      </c>
      <c r="FQ7">
        <v>5</v>
      </c>
      <c r="FR7">
        <v>-2.4245362661989844E-14</v>
      </c>
      <c r="FS7">
        <v>186972</v>
      </c>
      <c r="FT7" t="s">
        <v>3535</v>
      </c>
      <c r="IU7" t="s">
        <v>275</v>
      </c>
      <c r="IV7">
        <v>-2.4245362661989844E-14</v>
      </c>
      <c r="IX7">
        <v>-2.4245362661989844E-14</v>
      </c>
      <c r="IY7" t="s">
        <v>1594</v>
      </c>
      <c r="IZ7">
        <v>2024</v>
      </c>
      <c r="JA7" t="s">
        <v>4581</v>
      </c>
      <c r="JB7" s="6">
        <v>45331</v>
      </c>
      <c r="JC7">
        <v>3</v>
      </c>
      <c r="JD7">
        <v>-2.4245362661989844E-14</v>
      </c>
      <c r="JE7">
        <v>101729</v>
      </c>
      <c r="JF7" t="s">
        <v>2229</v>
      </c>
      <c r="LS7" t="s">
        <v>240</v>
      </c>
      <c r="LT7" t="s">
        <v>1598</v>
      </c>
      <c r="LU7">
        <v>12.373919000000001</v>
      </c>
      <c r="LV7">
        <v>4.81257</v>
      </c>
      <c r="LW7" t="s">
        <v>1599</v>
      </c>
      <c r="LX7">
        <v>2025</v>
      </c>
      <c r="LY7" t="s">
        <v>2219</v>
      </c>
      <c r="LZ7" s="6">
        <v>46018</v>
      </c>
      <c r="MA7">
        <v>5</v>
      </c>
      <c r="MB7">
        <v>2968874496</v>
      </c>
      <c r="MC7">
        <v>100828</v>
      </c>
      <c r="MD7" t="s">
        <v>1865</v>
      </c>
      <c r="MG7" t="s">
        <v>1824</v>
      </c>
      <c r="MH7">
        <v>3.75</v>
      </c>
      <c r="MJ7">
        <v>-2.4245362661989844E-14</v>
      </c>
      <c r="MK7" t="s">
        <v>1606</v>
      </c>
      <c r="ML7">
        <v>2025</v>
      </c>
      <c r="MM7" t="s">
        <v>1822</v>
      </c>
      <c r="MN7" s="6">
        <v>45954</v>
      </c>
      <c r="MO7">
        <v>5</v>
      </c>
      <c r="MP7">
        <v>2255962624</v>
      </c>
      <c r="MQ7">
        <v>353064</v>
      </c>
      <c r="MR7" t="s">
        <v>1825</v>
      </c>
      <c r="OA7" t="s">
        <v>5995</v>
      </c>
      <c r="OC7">
        <v>-2.4245362661989844E-14</v>
      </c>
      <c r="OD7">
        <v>-2.4245362661989844E-14</v>
      </c>
      <c r="OE7" t="s">
        <v>1599</v>
      </c>
      <c r="OF7">
        <v>2024</v>
      </c>
      <c r="OG7" t="s">
        <v>5996</v>
      </c>
      <c r="OH7" s="6">
        <v>45659</v>
      </c>
      <c r="OI7">
        <v>4</v>
      </c>
      <c r="OJ7">
        <v>-2.4245362661989844E-14</v>
      </c>
      <c r="OK7">
        <v>11225923</v>
      </c>
      <c r="OL7" t="s">
        <v>5997</v>
      </c>
      <c r="RM7" t="s">
        <v>3135</v>
      </c>
      <c r="RN7" t="s">
        <v>1598</v>
      </c>
      <c r="RO7">
        <v>60.029015000000001</v>
      </c>
      <c r="RP7">
        <v>3.711055</v>
      </c>
      <c r="RQ7" t="s">
        <v>1599</v>
      </c>
      <c r="RR7">
        <v>2025</v>
      </c>
      <c r="RS7" t="s">
        <v>3136</v>
      </c>
      <c r="RT7" s="6">
        <v>45961</v>
      </c>
      <c r="RU7">
        <v>5</v>
      </c>
      <c r="RV7">
        <v>951700000</v>
      </c>
      <c r="RW7">
        <v>10889459</v>
      </c>
      <c r="RX7" t="s">
        <v>3137</v>
      </c>
      <c r="SA7" t="s">
        <v>2596</v>
      </c>
      <c r="SB7">
        <v>2.7308349999999999</v>
      </c>
      <c r="SC7" t="s">
        <v>1634</v>
      </c>
      <c r="SD7">
        <v>97.832702999999995</v>
      </c>
      <c r="SE7" t="s">
        <v>1664</v>
      </c>
      <c r="SF7">
        <v>2025</v>
      </c>
      <c r="SG7" t="s">
        <v>2179</v>
      </c>
      <c r="SH7" s="6">
        <v>45873</v>
      </c>
      <c r="SI7">
        <v>5</v>
      </c>
      <c r="SJ7">
        <v>621237632</v>
      </c>
      <c r="SK7">
        <v>101374</v>
      </c>
      <c r="SL7" t="s">
        <v>2597</v>
      </c>
      <c r="SQ7" t="s">
        <v>6178</v>
      </c>
      <c r="SS7">
        <v>-2.4245362661989844E-14</v>
      </c>
      <c r="ST7">
        <v>-2.4245362661989844E-14</v>
      </c>
      <c r="SU7" t="s">
        <v>1792</v>
      </c>
      <c r="SV7">
        <v>2024</v>
      </c>
      <c r="SW7" t="s">
        <v>6179</v>
      </c>
      <c r="SX7" s="6">
        <v>45729</v>
      </c>
      <c r="SY7">
        <v>5</v>
      </c>
      <c r="SZ7">
        <v>-2.4245362661989844E-14</v>
      </c>
      <c r="TA7">
        <v>21769185</v>
      </c>
      <c r="TB7" t="s">
        <v>6180</v>
      </c>
      <c r="TE7" t="s">
        <v>1612</v>
      </c>
      <c r="TF7">
        <v>-2.4245362661989844E-14</v>
      </c>
      <c r="TH7">
        <v>-2.4245362661989844E-14</v>
      </c>
      <c r="TI7" t="s">
        <v>1664</v>
      </c>
      <c r="TJ7">
        <v>2024</v>
      </c>
      <c r="TK7" t="s">
        <v>5860</v>
      </c>
      <c r="TL7" s="6">
        <v>45426</v>
      </c>
      <c r="TM7">
        <v>5</v>
      </c>
      <c r="TN7">
        <v>-2.4245362661989844E-14</v>
      </c>
      <c r="TO7">
        <v>115114</v>
      </c>
      <c r="TP7" t="s">
        <v>1614</v>
      </c>
      <c r="TU7" t="s">
        <v>1451</v>
      </c>
      <c r="TV7" t="s">
        <v>1598</v>
      </c>
      <c r="TW7">
        <v>0.91261199999999998</v>
      </c>
      <c r="TX7">
        <v>0.92368399999999995</v>
      </c>
      <c r="TY7" t="s">
        <v>1606</v>
      </c>
      <c r="TZ7">
        <v>2025</v>
      </c>
      <c r="UA7" t="s">
        <v>1930</v>
      </c>
      <c r="UB7" s="6">
        <v>46076</v>
      </c>
      <c r="UC7">
        <v>5</v>
      </c>
      <c r="UD7">
        <v>64713316</v>
      </c>
      <c r="UE7">
        <v>9932803</v>
      </c>
      <c r="UF7" t="s">
        <v>1931</v>
      </c>
      <c r="UI7" t="s">
        <v>4212</v>
      </c>
      <c r="UJ7">
        <v>0.103394</v>
      </c>
      <c r="UK7" t="s">
        <v>1598</v>
      </c>
      <c r="UL7">
        <v>5.8633490000000004</v>
      </c>
      <c r="UM7" t="s">
        <v>1594</v>
      </c>
      <c r="UN7">
        <v>2025</v>
      </c>
      <c r="UO7" t="s">
        <v>4213</v>
      </c>
      <c r="UP7" s="6">
        <v>45966</v>
      </c>
      <c r="UQ7">
        <v>5</v>
      </c>
      <c r="UR7">
        <v>7246011.29</v>
      </c>
      <c r="US7">
        <v>64873228</v>
      </c>
      <c r="UT7" t="s">
        <v>4214</v>
      </c>
      <c r="UY7" t="s">
        <v>1821</v>
      </c>
      <c r="VA7">
        <v>-2.4245362661989844E-14</v>
      </c>
      <c r="VB7">
        <v>-2.4245362661989844E-14</v>
      </c>
      <c r="VC7" t="s">
        <v>1594</v>
      </c>
      <c r="VD7">
        <v>2022</v>
      </c>
      <c r="VE7" t="s">
        <v>4071</v>
      </c>
      <c r="VF7" s="6">
        <v>44774</v>
      </c>
      <c r="VG7">
        <v>5</v>
      </c>
      <c r="VH7">
        <v>-2.4245362661989844E-14</v>
      </c>
      <c r="VI7">
        <v>48003505</v>
      </c>
      <c r="VJ7" t="s">
        <v>1823</v>
      </c>
      <c r="VM7" t="s">
        <v>4075</v>
      </c>
      <c r="VN7">
        <v>-2.4245362661989844E-14</v>
      </c>
      <c r="VP7">
        <v>-2.4245362661989844E-14</v>
      </c>
      <c r="VQ7" t="s">
        <v>1594</v>
      </c>
      <c r="VR7">
        <v>2021</v>
      </c>
      <c r="VS7" t="s">
        <v>4076</v>
      </c>
      <c r="VT7" s="6">
        <v>44671</v>
      </c>
      <c r="VU7">
        <v>5</v>
      </c>
      <c r="VV7">
        <v>-2.4245362661989844E-14</v>
      </c>
      <c r="VW7">
        <v>20515722</v>
      </c>
      <c r="VX7" t="s">
        <v>4077</v>
      </c>
    </row>
    <row r="8" spans="1:600" x14ac:dyDescent="0.25">
      <c r="BI8" t="s">
        <v>4486</v>
      </c>
      <c r="BK8">
        <v>-2.4245362661989844E-14</v>
      </c>
      <c r="BL8">
        <v>-2.4245362661989844E-14</v>
      </c>
      <c r="BM8" t="s">
        <v>1594</v>
      </c>
      <c r="BN8">
        <v>2024</v>
      </c>
      <c r="BO8" t="s">
        <v>4487</v>
      </c>
      <c r="BP8" s="6">
        <v>45748</v>
      </c>
      <c r="BQ8">
        <v>5</v>
      </c>
      <c r="BR8">
        <v>-2.4245362661989844E-14</v>
      </c>
      <c r="BS8">
        <v>158756</v>
      </c>
      <c r="BT8" t="s">
        <v>4488</v>
      </c>
      <c r="EU8" t="s">
        <v>4478</v>
      </c>
      <c r="EW8">
        <v>-2.4245362661989844E-14</v>
      </c>
      <c r="EX8">
        <v>-2.4245362661989844E-14</v>
      </c>
      <c r="EY8" t="s">
        <v>1594</v>
      </c>
      <c r="EZ8">
        <v>2024</v>
      </c>
      <c r="FA8" t="s">
        <v>4472</v>
      </c>
      <c r="FB8" s="6">
        <v>45541</v>
      </c>
      <c r="FC8">
        <v>5</v>
      </c>
      <c r="FD8">
        <v>-2.4245362661989844E-14</v>
      </c>
      <c r="FE8">
        <v>915047</v>
      </c>
      <c r="FF8" t="s">
        <v>4479</v>
      </c>
      <c r="FI8" t="s">
        <v>3536</v>
      </c>
      <c r="FJ8">
        <v>-2.4245362661989844E-14</v>
      </c>
      <c r="FL8">
        <v>-2.4245362661989844E-14</v>
      </c>
      <c r="FM8" t="s">
        <v>1594</v>
      </c>
      <c r="FN8">
        <v>2024</v>
      </c>
      <c r="FO8" t="s">
        <v>3537</v>
      </c>
      <c r="FP8" s="6">
        <v>45728</v>
      </c>
      <c r="FQ8">
        <v>5</v>
      </c>
      <c r="FR8">
        <v>-2.4245362661989844E-14</v>
      </c>
      <c r="FS8">
        <v>8710768</v>
      </c>
      <c r="FT8" t="s">
        <v>3538</v>
      </c>
      <c r="LS8" t="s">
        <v>23</v>
      </c>
      <c r="LT8" t="s">
        <v>1598</v>
      </c>
      <c r="LU8">
        <v>22</v>
      </c>
      <c r="LV8">
        <v>4.4996770000000001</v>
      </c>
      <c r="LW8" t="s">
        <v>1594</v>
      </c>
      <c r="LX8">
        <v>2025</v>
      </c>
      <c r="LY8" t="s">
        <v>1765</v>
      </c>
      <c r="LZ8" s="6">
        <v>46064</v>
      </c>
      <c r="MA8">
        <v>5</v>
      </c>
      <c r="MB8">
        <v>2650670080</v>
      </c>
      <c r="MC8">
        <v>100225</v>
      </c>
      <c r="MD8" t="s">
        <v>2222</v>
      </c>
      <c r="MG8" t="s">
        <v>311</v>
      </c>
      <c r="MH8">
        <v>3.1469290000000001</v>
      </c>
      <c r="MI8" t="s">
        <v>1598</v>
      </c>
      <c r="MJ8">
        <v>7.2451629999999998</v>
      </c>
      <c r="MK8" t="s">
        <v>1606</v>
      </c>
      <c r="ML8">
        <v>2025</v>
      </c>
      <c r="MM8" t="s">
        <v>1822</v>
      </c>
      <c r="MN8" s="6">
        <v>45954</v>
      </c>
      <c r="MO8">
        <v>5</v>
      </c>
      <c r="MP8">
        <v>1893160960</v>
      </c>
      <c r="MQ8">
        <v>100864</v>
      </c>
      <c r="MR8" t="s">
        <v>1668</v>
      </c>
      <c r="OA8" t="s">
        <v>5998</v>
      </c>
      <c r="OC8">
        <v>-2.4245362661989844E-14</v>
      </c>
      <c r="OD8">
        <v>-2.4245362661989844E-14</v>
      </c>
      <c r="OE8" t="s">
        <v>1594</v>
      </c>
      <c r="OF8">
        <v>2021</v>
      </c>
      <c r="OG8" t="s">
        <v>5999</v>
      </c>
      <c r="OH8" s="6">
        <v>44693</v>
      </c>
      <c r="OI8">
        <v>4</v>
      </c>
      <c r="OJ8">
        <v>-2.4245362661989844E-14</v>
      </c>
      <c r="OK8">
        <v>101153</v>
      </c>
      <c r="OL8" t="s">
        <v>6000</v>
      </c>
      <c r="RM8" t="s">
        <v>2131</v>
      </c>
      <c r="RN8" t="s">
        <v>1598</v>
      </c>
      <c r="RO8">
        <v>8.8706060000000004</v>
      </c>
      <c r="RP8">
        <v>3.6796890000000002</v>
      </c>
      <c r="RQ8" t="s">
        <v>1664</v>
      </c>
      <c r="RR8">
        <v>2025</v>
      </c>
      <c r="RS8" t="s">
        <v>2132</v>
      </c>
      <c r="RT8" s="6">
        <v>45874</v>
      </c>
      <c r="RU8">
        <v>5</v>
      </c>
      <c r="RV8">
        <v>747193502.53999996</v>
      </c>
      <c r="RW8">
        <v>115519</v>
      </c>
      <c r="RX8" t="s">
        <v>2133</v>
      </c>
      <c r="SA8" t="s">
        <v>2598</v>
      </c>
      <c r="SB8">
        <v>2.61008</v>
      </c>
      <c r="SC8" t="s">
        <v>1634</v>
      </c>
      <c r="SD8">
        <v>70.823989999999995</v>
      </c>
      <c r="SE8" t="s">
        <v>1664</v>
      </c>
      <c r="SF8">
        <v>2025</v>
      </c>
      <c r="SG8" t="s">
        <v>2179</v>
      </c>
      <c r="SH8" s="6">
        <v>45873</v>
      </c>
      <c r="SI8">
        <v>5</v>
      </c>
      <c r="SJ8">
        <v>593767104</v>
      </c>
      <c r="SK8">
        <v>19450730</v>
      </c>
      <c r="SL8" t="s">
        <v>2599</v>
      </c>
      <c r="SQ8" t="s">
        <v>5206</v>
      </c>
      <c r="SS8">
        <v>-2.4245362661989844E-14</v>
      </c>
      <c r="ST8">
        <v>-2.4245362661989844E-14</v>
      </c>
      <c r="SU8" t="s">
        <v>1594</v>
      </c>
      <c r="SV8">
        <v>2022</v>
      </c>
      <c r="SW8" t="s">
        <v>5207</v>
      </c>
      <c r="SX8" s="6">
        <v>44693</v>
      </c>
      <c r="SY8">
        <v>5</v>
      </c>
      <c r="SZ8">
        <v>-2.4245362661989844E-14</v>
      </c>
      <c r="TA8">
        <v>114991</v>
      </c>
      <c r="TB8" t="s">
        <v>5208</v>
      </c>
      <c r="TE8" t="s">
        <v>1917</v>
      </c>
      <c r="TF8">
        <v>-2.4245362661989844E-14</v>
      </c>
      <c r="TH8">
        <v>-2.4245362661989844E-14</v>
      </c>
      <c r="TI8" t="s">
        <v>1664</v>
      </c>
      <c r="TJ8">
        <v>2024</v>
      </c>
      <c r="TK8" t="s">
        <v>5860</v>
      </c>
      <c r="TL8" s="6">
        <v>45426</v>
      </c>
      <c r="TM8">
        <v>5</v>
      </c>
      <c r="TN8">
        <v>-2.4245362661989844E-14</v>
      </c>
      <c r="TO8">
        <v>101695</v>
      </c>
      <c r="TP8" t="s">
        <v>1919</v>
      </c>
      <c r="TU8" t="s">
        <v>559</v>
      </c>
      <c r="TV8" t="s">
        <v>1685</v>
      </c>
      <c r="TW8">
        <v>2.8</v>
      </c>
      <c r="TX8">
        <v>0.73512200000000005</v>
      </c>
      <c r="TY8" t="s">
        <v>1594</v>
      </c>
      <c r="TZ8">
        <v>2024</v>
      </c>
      <c r="UA8" t="s">
        <v>4434</v>
      </c>
      <c r="UB8" s="6">
        <v>45701</v>
      </c>
      <c r="UC8">
        <v>5</v>
      </c>
      <c r="UD8">
        <v>34469864</v>
      </c>
      <c r="UE8">
        <v>101595</v>
      </c>
      <c r="UF8" t="s">
        <v>4435</v>
      </c>
      <c r="UI8" t="s">
        <v>872</v>
      </c>
      <c r="UJ8">
        <v>8.5290000000000005E-2</v>
      </c>
      <c r="UK8" t="s">
        <v>1598</v>
      </c>
      <c r="UL8">
        <v>2.4104E-2</v>
      </c>
      <c r="UM8" t="s">
        <v>1664</v>
      </c>
      <c r="UN8">
        <v>2025</v>
      </c>
      <c r="UO8" t="s">
        <v>2179</v>
      </c>
      <c r="UP8" s="6">
        <v>45873</v>
      </c>
      <c r="UQ8">
        <v>5</v>
      </c>
      <c r="UR8">
        <v>4896487</v>
      </c>
      <c r="US8">
        <v>100211</v>
      </c>
      <c r="UT8" t="s">
        <v>1632</v>
      </c>
      <c r="UY8" t="s">
        <v>4113</v>
      </c>
      <c r="VA8">
        <v>-2.4245362661989844E-14</v>
      </c>
      <c r="VB8">
        <v>-2.4245362661989844E-14</v>
      </c>
      <c r="VC8" t="s">
        <v>1594</v>
      </c>
      <c r="VD8">
        <v>2023</v>
      </c>
      <c r="VE8" t="s">
        <v>4114</v>
      </c>
      <c r="VF8" s="6">
        <v>45407</v>
      </c>
      <c r="VG8">
        <v>5</v>
      </c>
      <c r="VH8">
        <v>-2.4245362661989844E-14</v>
      </c>
      <c r="VI8">
        <v>22884053</v>
      </c>
      <c r="VJ8" t="s">
        <v>4115</v>
      </c>
      <c r="VM8" t="s">
        <v>4078</v>
      </c>
      <c r="VN8">
        <v>-2.4245362661989844E-14</v>
      </c>
      <c r="VP8">
        <v>-2.4245362661989844E-14</v>
      </c>
      <c r="VQ8" t="s">
        <v>1594</v>
      </c>
      <c r="VR8">
        <v>2023</v>
      </c>
      <c r="VS8" t="s">
        <v>4071</v>
      </c>
      <c r="VT8" s="6">
        <v>45014</v>
      </c>
      <c r="VU8">
        <v>5</v>
      </c>
      <c r="VV8">
        <v>-2.4245362661989844E-14</v>
      </c>
      <c r="VW8">
        <v>868425</v>
      </c>
      <c r="VX8" t="s">
        <v>4079</v>
      </c>
    </row>
    <row r="9" spans="1:600" x14ac:dyDescent="0.25">
      <c r="BI9" t="s">
        <v>4489</v>
      </c>
      <c r="BK9">
        <v>-2.4245362661989844E-14</v>
      </c>
      <c r="BL9">
        <v>-2.4245362661989844E-14</v>
      </c>
      <c r="BM9" t="s">
        <v>1603</v>
      </c>
      <c r="BN9">
        <v>2024</v>
      </c>
      <c r="BO9" t="s">
        <v>4490</v>
      </c>
      <c r="BP9" s="6">
        <v>45342</v>
      </c>
      <c r="BQ9">
        <v>5</v>
      </c>
      <c r="BR9">
        <v>-2.4245362661989844E-14</v>
      </c>
      <c r="BS9">
        <v>148067</v>
      </c>
      <c r="BT9" t="s">
        <v>4491</v>
      </c>
      <c r="EU9" t="s">
        <v>4480</v>
      </c>
      <c r="EW9">
        <v>-2.4245362661989844E-14</v>
      </c>
      <c r="EX9">
        <v>-2.4245362661989844E-14</v>
      </c>
      <c r="EY9" t="s">
        <v>1594</v>
      </c>
      <c r="EZ9">
        <v>2024</v>
      </c>
      <c r="FA9" t="s">
        <v>4472</v>
      </c>
      <c r="FB9" s="6">
        <v>45485</v>
      </c>
      <c r="FC9">
        <v>5</v>
      </c>
      <c r="FD9">
        <v>-2.4245362661989844E-14</v>
      </c>
      <c r="FE9">
        <v>64934086</v>
      </c>
      <c r="FF9" t="s">
        <v>4481</v>
      </c>
      <c r="FI9" t="s">
        <v>776</v>
      </c>
      <c r="FJ9">
        <v>-2.4245362661989844E-14</v>
      </c>
      <c r="FL9">
        <v>-2.4245362661989844E-14</v>
      </c>
      <c r="FM9" t="s">
        <v>1594</v>
      </c>
      <c r="FN9">
        <v>2023</v>
      </c>
      <c r="FO9" t="s">
        <v>3539</v>
      </c>
      <c r="FP9" s="6">
        <v>45352</v>
      </c>
      <c r="FQ9">
        <v>5</v>
      </c>
      <c r="FR9">
        <v>-2.4245362661989844E-14</v>
      </c>
      <c r="FS9">
        <v>101712</v>
      </c>
      <c r="FT9" t="s">
        <v>2809</v>
      </c>
      <c r="LS9" t="s">
        <v>207</v>
      </c>
      <c r="LT9" t="s">
        <v>1598</v>
      </c>
      <c r="LU9">
        <v>29</v>
      </c>
      <c r="LV9">
        <v>3.6236459999999999</v>
      </c>
      <c r="LW9" t="s">
        <v>1594</v>
      </c>
      <c r="LX9">
        <v>2025</v>
      </c>
      <c r="LY9" t="s">
        <v>2373</v>
      </c>
      <c r="LZ9" s="6">
        <v>46077</v>
      </c>
      <c r="MA9">
        <v>5</v>
      </c>
      <c r="MB9">
        <v>2134617472</v>
      </c>
      <c r="MC9">
        <v>104161</v>
      </c>
      <c r="MD9" t="s">
        <v>2374</v>
      </c>
      <c r="MG9" t="s">
        <v>1826</v>
      </c>
      <c r="MH9">
        <v>1.1000000000000001</v>
      </c>
      <c r="MJ9">
        <v>-2.4245362661989844E-14</v>
      </c>
      <c r="MK9" t="s">
        <v>1606</v>
      </c>
      <c r="ML9">
        <v>2025</v>
      </c>
      <c r="MM9" t="s">
        <v>1822</v>
      </c>
      <c r="MN9" s="6">
        <v>45954</v>
      </c>
      <c r="MO9">
        <v>5</v>
      </c>
      <c r="MP9">
        <v>661748992</v>
      </c>
      <c r="MQ9">
        <v>935121</v>
      </c>
      <c r="MR9" t="s">
        <v>1827</v>
      </c>
      <c r="RM9" t="s">
        <v>2134</v>
      </c>
      <c r="RN9" t="s">
        <v>1598</v>
      </c>
      <c r="RO9">
        <v>7.8998670000000004</v>
      </c>
      <c r="RP9">
        <v>2.4635630000000002</v>
      </c>
      <c r="RQ9" t="s">
        <v>1664</v>
      </c>
      <c r="RR9">
        <v>2025</v>
      </c>
      <c r="RS9" t="s">
        <v>2135</v>
      </c>
      <c r="RT9" s="6">
        <v>45873</v>
      </c>
      <c r="RU9">
        <v>5</v>
      </c>
      <c r="RV9">
        <v>500348050.10000002</v>
      </c>
      <c r="RW9">
        <v>112185</v>
      </c>
      <c r="RX9" t="s">
        <v>2136</v>
      </c>
      <c r="SA9" t="s">
        <v>1116</v>
      </c>
      <c r="SB9">
        <v>1.979095</v>
      </c>
      <c r="SC9" t="s">
        <v>1634</v>
      </c>
      <c r="SD9">
        <v>90.225311000000005</v>
      </c>
      <c r="SE9" t="s">
        <v>1664</v>
      </c>
      <c r="SF9">
        <v>2025</v>
      </c>
      <c r="SG9" t="s">
        <v>2179</v>
      </c>
      <c r="SH9" s="6">
        <v>45873</v>
      </c>
      <c r="SI9">
        <v>5</v>
      </c>
      <c r="SJ9">
        <v>450224320</v>
      </c>
      <c r="SK9">
        <v>100090</v>
      </c>
      <c r="SL9" t="s">
        <v>1960</v>
      </c>
      <c r="SQ9" t="s">
        <v>1354</v>
      </c>
      <c r="SS9">
        <v>-2.4245362661989844E-14</v>
      </c>
      <c r="ST9">
        <v>-2.4245362661989844E-14</v>
      </c>
      <c r="SU9" t="s">
        <v>1594</v>
      </c>
      <c r="SV9">
        <v>2021</v>
      </c>
      <c r="SW9" t="s">
        <v>2150</v>
      </c>
      <c r="SX9" s="6">
        <v>44693</v>
      </c>
      <c r="SY9">
        <v>5</v>
      </c>
      <c r="SZ9">
        <v>-2.4245362661989844E-14</v>
      </c>
      <c r="TA9">
        <v>313098</v>
      </c>
      <c r="TB9" t="s">
        <v>2151</v>
      </c>
      <c r="TE9" t="s">
        <v>2335</v>
      </c>
      <c r="TF9">
        <v>-2.4245362661989844E-14</v>
      </c>
      <c r="TH9">
        <v>-2.4245362661989844E-14</v>
      </c>
      <c r="TI9" t="s">
        <v>1664</v>
      </c>
      <c r="TJ9">
        <v>2024</v>
      </c>
      <c r="TK9" t="s">
        <v>5860</v>
      </c>
      <c r="TL9" s="6">
        <v>45426</v>
      </c>
      <c r="TM9">
        <v>5</v>
      </c>
      <c r="TN9">
        <v>-2.4245362661989844E-14</v>
      </c>
      <c r="TO9">
        <v>61417091</v>
      </c>
      <c r="TP9" t="s">
        <v>2337</v>
      </c>
      <c r="TU9" t="s">
        <v>4436</v>
      </c>
      <c r="TV9" t="s">
        <v>1598</v>
      </c>
      <c r="TW9">
        <v>0.175651</v>
      </c>
      <c r="TX9">
        <v>0.75103900000000001</v>
      </c>
      <c r="TY9" t="s">
        <v>1603</v>
      </c>
      <c r="TZ9">
        <v>2025</v>
      </c>
      <c r="UA9" t="s">
        <v>4437</v>
      </c>
      <c r="UB9" s="6">
        <v>45805</v>
      </c>
      <c r="UC9">
        <v>5</v>
      </c>
      <c r="UD9">
        <v>32165431.010000002</v>
      </c>
      <c r="UE9">
        <v>115694</v>
      </c>
      <c r="UF9" t="s">
        <v>4438</v>
      </c>
      <c r="UI9" t="s">
        <v>1732</v>
      </c>
      <c r="UJ9">
        <v>6.9483000000000003E-2</v>
      </c>
      <c r="UK9" t="s">
        <v>1598</v>
      </c>
      <c r="UL9">
        <v>2.7682999999999999E-2</v>
      </c>
      <c r="UM9" t="s">
        <v>1664</v>
      </c>
      <c r="UN9">
        <v>2025</v>
      </c>
      <c r="UO9" t="s">
        <v>2161</v>
      </c>
      <c r="UP9" s="6">
        <v>45874</v>
      </c>
      <c r="UQ9">
        <v>5</v>
      </c>
      <c r="UR9">
        <v>4296866.1500000004</v>
      </c>
      <c r="US9">
        <v>876285</v>
      </c>
      <c r="UT9" t="s">
        <v>1734</v>
      </c>
      <c r="UY9" t="s">
        <v>1354</v>
      </c>
      <c r="VA9">
        <v>-2.4245362661989844E-14</v>
      </c>
      <c r="VB9">
        <v>-2.4245362661989844E-14</v>
      </c>
      <c r="VC9" t="s">
        <v>1594</v>
      </c>
      <c r="VD9">
        <v>2021</v>
      </c>
      <c r="VE9" t="s">
        <v>2150</v>
      </c>
      <c r="VF9" s="6">
        <v>44693</v>
      </c>
      <c r="VG9">
        <v>5</v>
      </c>
      <c r="VH9">
        <v>-2.4245362661989844E-14</v>
      </c>
      <c r="VI9">
        <v>313098</v>
      </c>
      <c r="VJ9" t="s">
        <v>2151</v>
      </c>
      <c r="VM9" t="s">
        <v>1824</v>
      </c>
      <c r="VN9">
        <v>-2.4245362661989844E-14</v>
      </c>
      <c r="VP9">
        <v>-2.4245362661989844E-14</v>
      </c>
      <c r="VQ9" t="s">
        <v>1594</v>
      </c>
      <c r="VR9">
        <v>2024</v>
      </c>
      <c r="VS9" t="s">
        <v>4071</v>
      </c>
      <c r="VT9" s="6">
        <v>45502</v>
      </c>
      <c r="VU9">
        <v>5</v>
      </c>
      <c r="VV9">
        <v>-2.4245362661989844E-14</v>
      </c>
      <c r="VW9">
        <v>353064</v>
      </c>
      <c r="VX9" t="s">
        <v>1825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1493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1494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1495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1496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1497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1498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1499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1500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1501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1502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1503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1504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1505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1506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1507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1508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1509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1510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1511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1512</v>
      </c>
      <c r="AE2" s="3" t="s">
        <v>1513</v>
      </c>
      <c r="BI2" s="3" t="s">
        <v>1514</v>
      </c>
      <c r="CM2" s="3" t="s">
        <v>279</v>
      </c>
      <c r="DQ2" s="3" t="s">
        <v>1515</v>
      </c>
      <c r="EU2" s="3" t="s">
        <v>1516</v>
      </c>
      <c r="FY2" s="3" t="s">
        <v>1476</v>
      </c>
      <c r="HC2" s="3" t="s">
        <v>1517</v>
      </c>
      <c r="IG2" s="3" t="s">
        <v>1265</v>
      </c>
      <c r="JK2" s="3" t="s">
        <v>836</v>
      </c>
      <c r="KO2" s="3" t="s">
        <v>529</v>
      </c>
      <c r="LS2" s="3" t="s">
        <v>1518</v>
      </c>
      <c r="MW2" s="3" t="s">
        <v>205</v>
      </c>
      <c r="OA2" s="3" t="s">
        <v>1519</v>
      </c>
      <c r="PE2" s="3" t="s">
        <v>1520</v>
      </c>
      <c r="QI2" s="3" t="s">
        <v>1521</v>
      </c>
      <c r="RM2" s="3" t="s">
        <v>107</v>
      </c>
      <c r="SQ2" s="3" t="s">
        <v>1522</v>
      </c>
      <c r="TU2" s="3" t="s">
        <v>1523</v>
      </c>
      <c r="UY2" s="3" t="s">
        <v>1524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_xll.BDS("PKG US Equity","SUPPLY_CHAIN_SUPPLIERS_ALL_DATA","cols=12;rows=5")</f>
        <v>MTX US Equity</v>
      </c>
      <c r="B5" t="s">
        <v>1598</v>
      </c>
      <c r="C5">
        <v>1.0247710000000001</v>
      </c>
      <c r="D5">
        <v>0.29427300000000001</v>
      </c>
      <c r="E5" t="s">
        <v>1606</v>
      </c>
      <c r="F5">
        <v>2025</v>
      </c>
      <c r="G5" t="s">
        <v>3756</v>
      </c>
      <c r="H5" s="6">
        <v>46070</v>
      </c>
      <c r="I5">
        <v>5</v>
      </c>
      <c r="J5">
        <v>5323685</v>
      </c>
      <c r="K5">
        <v>115851</v>
      </c>
      <c r="L5" t="s">
        <v>3757</v>
      </c>
      <c r="O5" t="str">
        <f>_xll.BDS("PKG US Equity","SUPPLY_CHAIN_CUSTOMERS_ALL_DATA","cols=12;rows=3")</f>
        <v>ODP US Equity</v>
      </c>
      <c r="P5">
        <v>4.3219969999999996</v>
      </c>
      <c r="Q5" t="s">
        <v>1598</v>
      </c>
      <c r="R5">
        <v>6.5342830000000003</v>
      </c>
      <c r="S5" t="s">
        <v>1594</v>
      </c>
      <c r="T5">
        <v>2024</v>
      </c>
      <c r="U5" t="s">
        <v>3681</v>
      </c>
      <c r="V5" s="6">
        <v>45715</v>
      </c>
      <c r="W5">
        <v>3</v>
      </c>
      <c r="X5">
        <v>90581504</v>
      </c>
      <c r="Y5">
        <v>66699624</v>
      </c>
      <c r="Z5" t="s">
        <v>3682</v>
      </c>
      <c r="AE5" t="str">
        <f>_xll.BDS("JLL US Equity","SUPPLY_CHAIN_SUPPLIERS_ALL_DATA","cols=12;rows=5")</f>
        <v>SECIS IN Equity</v>
      </c>
      <c r="AF5" t="s">
        <v>1685</v>
      </c>
      <c r="AG5">
        <v>0.27517599999999998</v>
      </c>
      <c r="AH5">
        <v>3.3619000000000003E-2</v>
      </c>
      <c r="AI5" t="s">
        <v>1603</v>
      </c>
      <c r="AJ5">
        <v>2026</v>
      </c>
      <c r="AK5" t="s">
        <v>2099</v>
      </c>
      <c r="AL5" s="6">
        <v>45944</v>
      </c>
      <c r="AM5">
        <v>5</v>
      </c>
      <c r="AN5">
        <v>1051858.25</v>
      </c>
      <c r="AO5">
        <v>14882485</v>
      </c>
      <c r="AP5" t="s">
        <v>2100</v>
      </c>
      <c r="AS5" t="str">
        <f>_xll.BDS("JLL US Equity","SUPPLY_CHAIN_CUSTOMERS_ALL_DATA","cols=12;rows=5")</f>
        <v>IBM US Equity</v>
      </c>
      <c r="AT5">
        <v>0.64100500000000005</v>
      </c>
      <c r="AU5" t="s">
        <v>1598</v>
      </c>
      <c r="AV5">
        <v>0.56581700000000001</v>
      </c>
      <c r="AW5" t="s">
        <v>1603</v>
      </c>
      <c r="AX5">
        <v>2025</v>
      </c>
      <c r="AY5" t="s">
        <v>1744</v>
      </c>
      <c r="AZ5" s="6">
        <v>45797</v>
      </c>
      <c r="BA5">
        <v>5</v>
      </c>
      <c r="BB5">
        <v>36834688</v>
      </c>
      <c r="BC5">
        <v>100801</v>
      </c>
      <c r="BD5" t="s">
        <v>1745</v>
      </c>
      <c r="BI5" t="str">
        <f>_xll.BDS("BPO CN Equity","SUPPLY_CHAIN_SUPPLIERS_ALL_DATA")</f>
        <v>#N/A N/A</v>
      </c>
      <c r="BW5" t="str">
        <f>_xll.BDS("BPO CN Equity","SUPPLY_CHAIN_CUSTOMERS_ALL_DATA")</f>
        <v>#N/A N/A</v>
      </c>
      <c r="CM5" t="str">
        <f>_xll.BDS("DHR US Equity","SUPPLY_CHAIN_SUPPLIERS_ALL_DATA","cols=12;rows=5")</f>
        <v>FLEX US Equity</v>
      </c>
      <c r="CN5" t="s">
        <v>1598</v>
      </c>
      <c r="CO5">
        <v>1.165869</v>
      </c>
      <c r="CP5">
        <v>2.8864939999999999</v>
      </c>
      <c r="CQ5" t="s">
        <v>1599</v>
      </c>
      <c r="CR5">
        <v>2025</v>
      </c>
      <c r="CS5" t="s">
        <v>2557</v>
      </c>
      <c r="CT5" s="6">
        <v>45763</v>
      </c>
      <c r="CU5">
        <v>5</v>
      </c>
      <c r="CV5">
        <v>76434368</v>
      </c>
      <c r="CW5">
        <v>136547</v>
      </c>
      <c r="CX5" t="s">
        <v>2558</v>
      </c>
      <c r="DA5" t="str">
        <f>_xll.BDS("DHR US Equity","SUPPLY_CHAIN_CUSTOMERS_ALL_DATA","cols=12;rows=5")</f>
        <v>CDW US Equity</v>
      </c>
      <c r="DB5">
        <v>0.25350099999999998</v>
      </c>
      <c r="DC5" t="s">
        <v>1598</v>
      </c>
      <c r="DD5">
        <v>0.35698299999999999</v>
      </c>
      <c r="DE5" t="s">
        <v>1603</v>
      </c>
      <c r="DF5">
        <v>2025</v>
      </c>
      <c r="DG5" t="s">
        <v>1680</v>
      </c>
      <c r="DH5" s="6">
        <v>45820</v>
      </c>
      <c r="DI5">
        <v>5</v>
      </c>
      <c r="DJ5">
        <v>14553483</v>
      </c>
      <c r="DK5">
        <v>12129192</v>
      </c>
      <c r="DL5" t="s">
        <v>1681</v>
      </c>
      <c r="DQ5" t="str">
        <f>_xll.BDS("1822785D US Equity","SUPPLY_CHAIN_SUPPLIERS_ALL_DATA")</f>
        <v>#N/A N/A</v>
      </c>
      <c r="EE5" t="str">
        <f>_xll.BDS("1822785D US Equity","SUPPLY_CHAIN_CUSTOMERS_ALL_DATA")</f>
        <v>#N/A N/A</v>
      </c>
      <c r="EU5" t="str">
        <f>_xll.BDS("MCLDQ US Equity","SUPPLY_CHAIN_SUPPLIERS_ALL_DATA")</f>
        <v>#N/A N/A</v>
      </c>
      <c r="FI5" t="str">
        <f>_xll.BDS("MCLDQ US Equity","SUPPLY_CHAIN_CUSTOMERS_ALL_DATA")</f>
        <v>#N/A N/A</v>
      </c>
      <c r="FY5" t="str">
        <f>_xll.BDS("2258717D US Equity","SUPPLY_CHAIN_SUPPLIERS_ALL_DATA")</f>
        <v>#N/A N/A</v>
      </c>
      <c r="GM5" t="str">
        <f>_xll.BDS("2258717D US Equity","SUPPLY_CHAIN_CUSTOMERS_ALL_DATA")</f>
        <v>#N/A N/A</v>
      </c>
      <c r="HC5" t="str">
        <f>_xll.BDS("VFC US Equity","SUPPLY_CHAIN_SUPPLIERS_ALL_DATA","cols=12;rows=5")</f>
        <v>300979 CH Equity</v>
      </c>
      <c r="HD5" t="s">
        <v>1598</v>
      </c>
      <c r="HE5">
        <v>21.384215999999999</v>
      </c>
      <c r="HF5">
        <v>15.711614000000001</v>
      </c>
      <c r="HG5" t="s">
        <v>1606</v>
      </c>
      <c r="HH5">
        <v>2024</v>
      </c>
      <c r="HI5" t="s">
        <v>4116</v>
      </c>
      <c r="HJ5" s="6">
        <v>45832</v>
      </c>
      <c r="HK5">
        <v>5</v>
      </c>
      <c r="HL5">
        <v>158955099.71000001</v>
      </c>
      <c r="HM5">
        <v>68423531</v>
      </c>
      <c r="HN5" t="s">
        <v>4117</v>
      </c>
      <c r="HQ5" t="str">
        <f>_xll.BDS("VFC US Equity","SUPPLY_CHAIN_CUSTOMERS_ALL_DATA","cols=12;rows=5")</f>
        <v>JD/ LN Equity</v>
      </c>
      <c r="HR5">
        <v>2.8141630000000002</v>
      </c>
      <c r="HS5" t="s">
        <v>1598</v>
      </c>
      <c r="HT5">
        <v>3.9426100000000002</v>
      </c>
      <c r="HU5" t="s">
        <v>1664</v>
      </c>
      <c r="HV5">
        <v>2026</v>
      </c>
      <c r="HW5" t="s">
        <v>4093</v>
      </c>
      <c r="HX5" s="6">
        <v>46066</v>
      </c>
      <c r="HY5">
        <v>5</v>
      </c>
      <c r="HZ5">
        <v>81982756.680000007</v>
      </c>
      <c r="IA5">
        <v>194968</v>
      </c>
      <c r="IB5" t="s">
        <v>4094</v>
      </c>
      <c r="IG5" t="str">
        <f>_xll.BDS("NCC US Equity","SUPPLY_CHAIN_SUPPLIERS_ALL_DATA")</f>
        <v>#N/A N/A</v>
      </c>
      <c r="IU5" t="str">
        <f>_xll.BDS("NCC US Equity","SUPPLY_CHAIN_CUSTOMERS_ALL_DATA")</f>
        <v>#N/A N/A</v>
      </c>
      <c r="JK5" t="str">
        <f>_xll.BDS("VMC US Equity","SUPPLY_CHAIN_SUPPLIERS_ALL_DATA","cols=12;rows=5")</f>
        <v>ATCOA SS Equity</v>
      </c>
      <c r="JL5" t="s">
        <v>1634</v>
      </c>
      <c r="JM5">
        <v>0.115511</v>
      </c>
      <c r="JN5">
        <v>2.7509480000000002</v>
      </c>
      <c r="JO5" t="s">
        <v>1603</v>
      </c>
      <c r="JP5">
        <v>2025</v>
      </c>
      <c r="JQ5" t="s">
        <v>3605</v>
      </c>
      <c r="JR5" s="6">
        <v>45825</v>
      </c>
      <c r="JS5">
        <v>5</v>
      </c>
      <c r="JT5">
        <v>4626205.7</v>
      </c>
      <c r="JU5">
        <v>115632</v>
      </c>
      <c r="JV5" t="s">
        <v>3606</v>
      </c>
      <c r="JY5" t="str">
        <f>_xll.BDS("VMC US Equity","SUPPLY_CHAIN_CUSTOMERS_ALL_DATA","cols=12;rows=2")</f>
        <v>267222Z US Equity</v>
      </c>
      <c r="JZ5">
        <v>-2.4245362661989844E-14</v>
      </c>
      <c r="KB5">
        <v>-2.4245362661989844E-14</v>
      </c>
      <c r="KC5" t="s">
        <v>1594</v>
      </c>
      <c r="KD5">
        <v>2022</v>
      </c>
      <c r="KE5" t="s">
        <v>3469</v>
      </c>
      <c r="KF5" s="6">
        <v>44981</v>
      </c>
      <c r="KG5">
        <v>2</v>
      </c>
      <c r="KH5">
        <v>-2.4245362661989844E-14</v>
      </c>
      <c r="KI5">
        <v>7038232</v>
      </c>
      <c r="KJ5" t="s">
        <v>3470</v>
      </c>
      <c r="KO5" t="str">
        <f>_xll.BDS("PXD US Equity","SUPPLY_CHAIN_SUPPLIERS_ALL_DATA","cols=12;rows=5")</f>
        <v>CUZ US Equity</v>
      </c>
      <c r="KQ5">
        <v>-2.4245362661989844E-14</v>
      </c>
      <c r="KR5">
        <v>-2.4245362661989844E-14</v>
      </c>
      <c r="KS5" t="s">
        <v>1594</v>
      </c>
      <c r="KT5">
        <v>2023</v>
      </c>
      <c r="KU5" t="s">
        <v>2846</v>
      </c>
      <c r="KV5" s="6">
        <v>45330</v>
      </c>
      <c r="KW5">
        <v>5</v>
      </c>
      <c r="KX5">
        <v>-2.4245362661989844E-14</v>
      </c>
      <c r="KY5">
        <v>106045</v>
      </c>
      <c r="KZ5" t="s">
        <v>2847</v>
      </c>
      <c r="LC5" t="str">
        <f>_xll.BDS("PXD US Equity","SUPPLY_CHAIN_CUSTOMERS_ALL_DATA","cols=12;rows=5")</f>
        <v>0834107D US Equity</v>
      </c>
      <c r="LD5">
        <v>-2.4245362661989844E-14</v>
      </c>
      <c r="LF5">
        <v>-2.4245362661989844E-14</v>
      </c>
      <c r="LG5" t="s">
        <v>1594</v>
      </c>
      <c r="LH5">
        <v>2023</v>
      </c>
      <c r="LI5" t="s">
        <v>2404</v>
      </c>
      <c r="LJ5" s="6">
        <v>45344</v>
      </c>
      <c r="LK5">
        <v>5</v>
      </c>
      <c r="LL5">
        <v>-2.4245362661989844E-14</v>
      </c>
      <c r="LM5">
        <v>952546</v>
      </c>
      <c r="LN5" t="s">
        <v>2405</v>
      </c>
      <c r="LS5" t="str">
        <f>_xll.BDS("CLX US Equity","SUPPLY_CHAIN_SUPPLIERS_ALL_DATA","cols=12;rows=5")</f>
        <v>PG US Equity</v>
      </c>
      <c r="LT5" t="s">
        <v>1598</v>
      </c>
      <c r="LU5">
        <v>0.29063699999999998</v>
      </c>
      <c r="LV5">
        <v>5.7556510000000003</v>
      </c>
      <c r="LW5" t="s">
        <v>1606</v>
      </c>
      <c r="LX5">
        <v>2025</v>
      </c>
      <c r="LY5" t="s">
        <v>2670</v>
      </c>
      <c r="LZ5" s="6">
        <v>45883</v>
      </c>
      <c r="MA5">
        <v>5</v>
      </c>
      <c r="MB5">
        <v>61240120</v>
      </c>
      <c r="MC5">
        <v>101215</v>
      </c>
      <c r="MD5" t="s">
        <v>1868</v>
      </c>
      <c r="MG5" t="str">
        <f>_xll.BDS("CLX US Equity","SUPPLY_CHAIN_CUSTOMERS_ALL_DATA","cols=12;rows=5")</f>
        <v>WMT US Equity</v>
      </c>
      <c r="MH5">
        <v>26</v>
      </c>
      <c r="MI5" t="s">
        <v>1598</v>
      </c>
      <c r="MJ5">
        <v>0.322911</v>
      </c>
      <c r="MK5" t="s">
        <v>1664</v>
      </c>
      <c r="ML5">
        <v>2026</v>
      </c>
      <c r="MM5" t="s">
        <v>1665</v>
      </c>
      <c r="MN5" s="6">
        <v>46056</v>
      </c>
      <c r="MO5">
        <v>5</v>
      </c>
      <c r="MP5">
        <v>434980000</v>
      </c>
      <c r="MQ5">
        <v>101616</v>
      </c>
      <c r="MR5" t="s">
        <v>1666</v>
      </c>
      <c r="MW5" t="str">
        <f>_xll.BDS("ADI US Equity","SUPPLY_CHAIN_SUPPLIERS_ALL_DATA","cols=12;rows=5")</f>
        <v>2330 TT Equity</v>
      </c>
      <c r="MX5" t="s">
        <v>1598</v>
      </c>
      <c r="MY5">
        <v>0.61123300000000003</v>
      </c>
      <c r="MZ5">
        <v>16.418195999999998</v>
      </c>
      <c r="NA5" t="s">
        <v>1606</v>
      </c>
      <c r="NB5">
        <v>2024</v>
      </c>
      <c r="NC5" t="s">
        <v>3144</v>
      </c>
      <c r="ND5" s="6">
        <v>45741</v>
      </c>
      <c r="NE5">
        <v>5</v>
      </c>
      <c r="NF5">
        <v>164090989.06</v>
      </c>
      <c r="NG5">
        <v>153737</v>
      </c>
      <c r="NH5" t="s">
        <v>2584</v>
      </c>
      <c r="NK5" t="str">
        <f>_xll.BDS("ADI US Equity","SUPPLY_CHAIN_CUSTOMERS_ALL_DATA","cols=12;rows=5")</f>
        <v>ARW US Equity</v>
      </c>
      <c r="NL5">
        <v>23.97711</v>
      </c>
      <c r="NM5" t="s">
        <v>1598</v>
      </c>
      <c r="NN5">
        <v>10.259909</v>
      </c>
      <c r="NO5" t="s">
        <v>1599</v>
      </c>
      <c r="NP5">
        <v>2025</v>
      </c>
      <c r="NQ5" t="s">
        <v>2562</v>
      </c>
      <c r="NR5" s="6">
        <v>45891</v>
      </c>
      <c r="NS5">
        <v>5</v>
      </c>
      <c r="NT5">
        <v>690624192</v>
      </c>
      <c r="NU5">
        <v>100115</v>
      </c>
      <c r="NV5" t="s">
        <v>1893</v>
      </c>
      <c r="OA5" t="str">
        <f>_xll.BDS("EA US Equity","SUPPLY_CHAIN_SUPPLIERS_ALL_DATA","cols=12;rows=5")</f>
        <v>HPP US Equity</v>
      </c>
      <c r="OB5" t="s">
        <v>1685</v>
      </c>
      <c r="OC5">
        <v>0.64998</v>
      </c>
      <c r="OD5">
        <v>0.321963</v>
      </c>
      <c r="OE5" t="s">
        <v>1594</v>
      </c>
      <c r="OF5">
        <v>2024</v>
      </c>
      <c r="OG5" t="s">
        <v>5756</v>
      </c>
      <c r="OH5" s="6">
        <v>45713</v>
      </c>
      <c r="OI5">
        <v>5</v>
      </c>
      <c r="OJ5">
        <v>1368341.25</v>
      </c>
      <c r="OK5">
        <v>18077551</v>
      </c>
      <c r="OL5" t="s">
        <v>5757</v>
      </c>
      <c r="OO5" t="str">
        <f>_xll.BDS("EA US Equity","SUPPLY_CHAIN_CUSTOMERS_ALL_DATA","cols=12;rows=5")</f>
        <v>6758 JP Equity</v>
      </c>
      <c r="OP5">
        <v>39</v>
      </c>
      <c r="OQ5" t="s">
        <v>1598</v>
      </c>
      <c r="OR5">
        <v>4.7700909999999999</v>
      </c>
      <c r="OS5" t="s">
        <v>1594</v>
      </c>
      <c r="OT5">
        <v>2025</v>
      </c>
      <c r="OU5" t="s">
        <v>5630</v>
      </c>
      <c r="OV5" s="6">
        <v>45790</v>
      </c>
      <c r="OW5">
        <v>5</v>
      </c>
      <c r="OX5">
        <v>727642496</v>
      </c>
      <c r="OY5">
        <v>101365</v>
      </c>
      <c r="OZ5" t="s">
        <v>4960</v>
      </c>
      <c r="PE5" t="str">
        <f>_xll.BDS("GWR US Equity","SUPPLY_CHAIN_SUPPLIERS_ALL_DATA","cols=12;rows=5")</f>
        <v>AEE US Equity</v>
      </c>
      <c r="PG5">
        <v>-2.4245362661989844E-14</v>
      </c>
      <c r="PH5">
        <v>-2.4245362661989844E-14</v>
      </c>
      <c r="PI5" t="s">
        <v>1594</v>
      </c>
      <c r="PJ5">
        <v>2021</v>
      </c>
      <c r="PK5" t="s">
        <v>2150</v>
      </c>
      <c r="PL5" s="6">
        <v>44693</v>
      </c>
      <c r="PM5">
        <v>5</v>
      </c>
      <c r="PN5">
        <v>-2.4245362661989844E-14</v>
      </c>
      <c r="PO5">
        <v>313098</v>
      </c>
      <c r="PP5" t="s">
        <v>2151</v>
      </c>
      <c r="PS5" t="str">
        <f>_xll.BDS("GWR US Equity","SUPPLY_CHAIN_CUSTOMERS_ALL_DATA","cols=12;rows=1")</f>
        <v>SDSYA US Equity</v>
      </c>
      <c r="PT5">
        <v>-2.4245362661989844E-14</v>
      </c>
      <c r="PV5">
        <v>-2.4245362661989844E-14</v>
      </c>
      <c r="PW5" t="s">
        <v>1594</v>
      </c>
      <c r="PX5">
        <v>2024</v>
      </c>
      <c r="PY5" t="s">
        <v>4183</v>
      </c>
      <c r="PZ5" s="6">
        <v>45744</v>
      </c>
      <c r="QA5">
        <v>1</v>
      </c>
      <c r="QB5">
        <v>-2.4245362661989844E-14</v>
      </c>
      <c r="QC5">
        <v>951391</v>
      </c>
      <c r="QD5" t="s">
        <v>4184</v>
      </c>
      <c r="QI5" t="str">
        <f>_xll.BDS("ETFC US Equity","SUPPLY_CHAIN_SUPPLIERS_ALL_DATA")</f>
        <v>#N/A N/A</v>
      </c>
      <c r="QW5" t="str">
        <f>_xll.BDS("ETFC US Equity","SUPPLY_CHAIN_CUSTOMERS_ALL_DATA")</f>
        <v>#N/A N/A</v>
      </c>
      <c r="RM5" t="str">
        <f>_xll.BDS("VIAV US Equity","SUPPLY_CHAIN_SUPPLIERS_ALL_DATA","cols=12;rows=5")</f>
        <v>TCS IN Equity</v>
      </c>
      <c r="RN5" t="s">
        <v>1685</v>
      </c>
      <c r="RO5">
        <v>5.8825000000000002E-2</v>
      </c>
      <c r="RP5">
        <v>3.4862989999999998</v>
      </c>
      <c r="RQ5" t="s">
        <v>1599</v>
      </c>
      <c r="RR5">
        <v>2026</v>
      </c>
      <c r="RS5" t="s">
        <v>3113</v>
      </c>
      <c r="RT5" s="6">
        <v>46058</v>
      </c>
      <c r="RU5">
        <v>5</v>
      </c>
      <c r="RV5">
        <v>4429338.2300000004</v>
      </c>
      <c r="RW5">
        <v>7259059</v>
      </c>
      <c r="RX5" t="s">
        <v>3114</v>
      </c>
      <c r="SA5" t="str">
        <f>_xll.BDS("VIAV US Equity","SUPPLY_CHAIN_CUSTOMERS_ALL_DATA","cols=12;rows=5")</f>
        <v>582647Z SW Equity</v>
      </c>
      <c r="SB5">
        <v>14.345955</v>
      </c>
      <c r="SD5">
        <v>-2.4245362661989844E-14</v>
      </c>
      <c r="SE5" t="s">
        <v>1606</v>
      </c>
      <c r="SF5">
        <v>2025</v>
      </c>
      <c r="SG5" t="s">
        <v>3619</v>
      </c>
      <c r="SH5" s="6">
        <v>45894</v>
      </c>
      <c r="SI5">
        <v>5</v>
      </c>
      <c r="SJ5">
        <v>41675000</v>
      </c>
      <c r="SK5">
        <v>9020850</v>
      </c>
      <c r="SL5" t="s">
        <v>3620</v>
      </c>
      <c r="SQ5" t="str">
        <f>_xll.BDS("MRSH US Equity","SUPPLY_CHAIN_SUPPLIERS_ALL_DATA","cols=12;rows=5")</f>
        <v>3384Q US Equity</v>
      </c>
      <c r="SS5">
        <v>-2.4245362661989844E-14</v>
      </c>
      <c r="ST5">
        <v>-2.4245362661989844E-14</v>
      </c>
      <c r="SU5" t="s">
        <v>1594</v>
      </c>
      <c r="SV5">
        <v>2022</v>
      </c>
      <c r="SW5" t="s">
        <v>3516</v>
      </c>
      <c r="SX5" s="6">
        <v>44726</v>
      </c>
      <c r="SY5">
        <v>5</v>
      </c>
      <c r="SZ5">
        <v>-2.4245362661989844E-14</v>
      </c>
      <c r="TA5">
        <v>348577</v>
      </c>
      <c r="TB5" t="s">
        <v>3517</v>
      </c>
      <c r="TE5" t="str">
        <f>_xll.BDS("MRSH US Equity","SUPPLY_CHAIN_CUSTOMERS_ALL_DATA","cols=12;rows=5")</f>
        <v>002054 CH Equity</v>
      </c>
      <c r="TF5">
        <v>-2.4245362661989844E-14</v>
      </c>
      <c r="TH5">
        <v>-2.4245362661989844E-14</v>
      </c>
      <c r="TI5" t="s">
        <v>1594</v>
      </c>
      <c r="TJ5">
        <v>2024</v>
      </c>
      <c r="TK5" t="s">
        <v>3764</v>
      </c>
      <c r="TL5" s="6">
        <v>45745</v>
      </c>
      <c r="TM5">
        <v>5</v>
      </c>
      <c r="TN5">
        <v>-2.4245362661989844E-14</v>
      </c>
      <c r="TO5">
        <v>10820182</v>
      </c>
      <c r="TP5" t="s">
        <v>3765</v>
      </c>
      <c r="TU5" t="str">
        <f>_xll.BDS("DRS US Equity","SUPPLY_CHAIN_SUPPLIERS_ALL_DATA")</f>
        <v>#N/A N/A</v>
      </c>
      <c r="UI5" t="str">
        <f>_xll.BDS("DRS US Equity","SUPPLY_CHAIN_CUSTOMERS_ALL_DATA","cols=12;rows=5")</f>
        <v>3352Z US Equity</v>
      </c>
      <c r="UJ5">
        <v>81</v>
      </c>
      <c r="UL5">
        <v>-2.4245362661989844E-14</v>
      </c>
      <c r="UM5" t="s">
        <v>1599</v>
      </c>
      <c r="UN5">
        <v>2025</v>
      </c>
      <c r="UO5" t="s">
        <v>2386</v>
      </c>
      <c r="UP5" s="6">
        <v>45959</v>
      </c>
      <c r="UQ5">
        <v>5</v>
      </c>
      <c r="UR5">
        <v>777600000</v>
      </c>
      <c r="US5">
        <v>218252</v>
      </c>
      <c r="UT5" t="s">
        <v>1622</v>
      </c>
      <c r="UY5" t="str">
        <f>_xll.BDS("X US Equity","SUPPLY_CHAIN_SUPPLIERS_ALL_DATA","cols=12;rows=5")</f>
        <v>SXC US Equity</v>
      </c>
      <c r="UZ5" t="s">
        <v>1598</v>
      </c>
      <c r="VA5">
        <v>14.7</v>
      </c>
      <c r="VB5">
        <v>2.0241820000000001</v>
      </c>
      <c r="VC5" t="s">
        <v>1594</v>
      </c>
      <c r="VD5">
        <v>2024</v>
      </c>
      <c r="VE5" t="s">
        <v>2017</v>
      </c>
      <c r="VF5" s="6">
        <v>45709</v>
      </c>
      <c r="VG5">
        <v>5</v>
      </c>
      <c r="VH5">
        <v>71150000</v>
      </c>
      <c r="VI5">
        <v>15091983</v>
      </c>
      <c r="VJ5" t="s">
        <v>2018</v>
      </c>
      <c r="VM5" t="str">
        <f>_xll.BDS("X US Equity","SUPPLY_CHAIN_CUSTOMERS_ALL_DATA","cols=12;rows=5")</f>
        <v>066570 KS Equity</v>
      </c>
      <c r="VN5">
        <v>5.9977320000000001</v>
      </c>
      <c r="VO5" t="s">
        <v>1598</v>
      </c>
      <c r="VP5">
        <v>1.865299</v>
      </c>
      <c r="VQ5" t="s">
        <v>1599</v>
      </c>
      <c r="VR5">
        <v>2024</v>
      </c>
      <c r="VS5" t="s">
        <v>1600</v>
      </c>
      <c r="VT5" s="6">
        <v>45727</v>
      </c>
      <c r="VU5">
        <v>5</v>
      </c>
      <c r="VV5">
        <v>231168238.05000001</v>
      </c>
      <c r="VW5">
        <v>7583418</v>
      </c>
      <c r="VX5" t="s">
        <v>1601</v>
      </c>
    </row>
    <row r="6" spans="1:600" x14ac:dyDescent="0.25">
      <c r="A6" t="s">
        <v>1354</v>
      </c>
      <c r="C6">
        <v>-2.4245362661989844E-14</v>
      </c>
      <c r="D6">
        <v>-2.4245362661989844E-14</v>
      </c>
      <c r="E6" t="s">
        <v>1594</v>
      </c>
      <c r="F6">
        <v>2021</v>
      </c>
      <c r="G6" t="s">
        <v>2150</v>
      </c>
      <c r="H6" s="6">
        <v>44693</v>
      </c>
      <c r="I6">
        <v>5</v>
      </c>
      <c r="J6">
        <v>-2.4245362661989844E-14</v>
      </c>
      <c r="K6">
        <v>313098</v>
      </c>
      <c r="L6" t="s">
        <v>2151</v>
      </c>
      <c r="O6" t="s">
        <v>3683</v>
      </c>
      <c r="P6">
        <v>-2.4245362661989844E-14</v>
      </c>
      <c r="R6">
        <v>-2.4245362661989844E-14</v>
      </c>
      <c r="S6" t="s">
        <v>1599</v>
      </c>
      <c r="T6">
        <v>2024</v>
      </c>
      <c r="U6" t="s">
        <v>3684</v>
      </c>
      <c r="V6" s="6">
        <v>45618</v>
      </c>
      <c r="W6">
        <v>3</v>
      </c>
      <c r="X6">
        <v>-2.4245362661989844E-14</v>
      </c>
      <c r="Y6">
        <v>40130317</v>
      </c>
      <c r="Z6" t="s">
        <v>3685</v>
      </c>
      <c r="AE6" t="s">
        <v>3540</v>
      </c>
      <c r="AF6" t="s">
        <v>1685</v>
      </c>
      <c r="AG6">
        <v>0.39576899999999998</v>
      </c>
      <c r="AH6">
        <v>2.1715999999999999E-2</v>
      </c>
      <c r="AI6" t="s">
        <v>1792</v>
      </c>
      <c r="AJ6">
        <v>2026</v>
      </c>
      <c r="AK6" t="s">
        <v>3541</v>
      </c>
      <c r="AL6" s="6">
        <v>45980</v>
      </c>
      <c r="AM6">
        <v>5</v>
      </c>
      <c r="AN6">
        <v>690252.53</v>
      </c>
      <c r="AO6">
        <v>111277</v>
      </c>
      <c r="AP6" t="s">
        <v>3542</v>
      </c>
      <c r="AS6" t="s">
        <v>3477</v>
      </c>
      <c r="AT6">
        <v>-2.4245362661989844E-14</v>
      </c>
      <c r="AV6">
        <v>-2.4245362661989844E-14</v>
      </c>
      <c r="AW6" t="s">
        <v>1651</v>
      </c>
      <c r="AX6">
        <v>2025</v>
      </c>
      <c r="AY6" t="s">
        <v>3478</v>
      </c>
      <c r="AZ6" s="6">
        <v>45974</v>
      </c>
      <c r="BA6">
        <v>5</v>
      </c>
      <c r="BB6">
        <v>-2.4245362661989844E-14</v>
      </c>
      <c r="BC6">
        <v>129350</v>
      </c>
      <c r="BD6" t="s">
        <v>3479</v>
      </c>
      <c r="CM6" t="s">
        <v>2559</v>
      </c>
      <c r="CN6" t="s">
        <v>1598</v>
      </c>
      <c r="CO6">
        <v>0.147895</v>
      </c>
      <c r="CP6">
        <v>0.47978500000000002</v>
      </c>
      <c r="CQ6" t="s">
        <v>1599</v>
      </c>
      <c r="CR6">
        <v>2025</v>
      </c>
      <c r="CS6" t="s">
        <v>2560</v>
      </c>
      <c r="CT6" s="6">
        <v>45867</v>
      </c>
      <c r="CU6">
        <v>5</v>
      </c>
      <c r="CV6">
        <v>11577221</v>
      </c>
      <c r="CW6">
        <v>117092</v>
      </c>
      <c r="CX6" t="s">
        <v>2561</v>
      </c>
      <c r="DA6" t="s">
        <v>1700</v>
      </c>
      <c r="DB6">
        <v>0.22051499999999999</v>
      </c>
      <c r="DC6" t="s">
        <v>1598</v>
      </c>
      <c r="DD6">
        <v>9.3169000000000002E-2</v>
      </c>
      <c r="DE6" t="s">
        <v>1606</v>
      </c>
      <c r="DF6">
        <v>2025</v>
      </c>
      <c r="DG6" t="s">
        <v>1701</v>
      </c>
      <c r="DH6" s="6">
        <v>46056</v>
      </c>
      <c r="DI6">
        <v>5</v>
      </c>
      <c r="DJ6">
        <v>15078834</v>
      </c>
      <c r="DK6">
        <v>1499717</v>
      </c>
      <c r="DL6" t="s">
        <v>1702</v>
      </c>
      <c r="HC6" t="s">
        <v>2796</v>
      </c>
      <c r="HD6" t="s">
        <v>1685</v>
      </c>
      <c r="HE6">
        <v>0.16278100000000001</v>
      </c>
      <c r="HF6">
        <v>4.8976350000000002</v>
      </c>
      <c r="HG6" t="s">
        <v>1603</v>
      </c>
      <c r="HH6">
        <v>2026</v>
      </c>
      <c r="HI6" t="s">
        <v>2797</v>
      </c>
      <c r="HJ6" s="6">
        <v>45973</v>
      </c>
      <c r="HK6">
        <v>5</v>
      </c>
      <c r="HL6">
        <v>55757105.289999999</v>
      </c>
      <c r="HM6">
        <v>16857643</v>
      </c>
      <c r="HN6" t="s">
        <v>2798</v>
      </c>
      <c r="HQ6" t="s">
        <v>1663</v>
      </c>
      <c r="HR6">
        <v>2.0342440000000002</v>
      </c>
      <c r="HS6" t="s">
        <v>1598</v>
      </c>
      <c r="HT6">
        <v>4.3429000000000002E-2</v>
      </c>
      <c r="HU6" t="s">
        <v>1599</v>
      </c>
      <c r="HV6">
        <v>2026</v>
      </c>
      <c r="HW6" t="s">
        <v>4095</v>
      </c>
      <c r="HX6" s="6">
        <v>46051</v>
      </c>
      <c r="HY6">
        <v>5</v>
      </c>
      <c r="HZ6">
        <v>58500808</v>
      </c>
      <c r="IA6">
        <v>101616</v>
      </c>
      <c r="IB6" t="s">
        <v>1666</v>
      </c>
      <c r="JK6" t="s">
        <v>3062</v>
      </c>
      <c r="JL6" t="s">
        <v>1634</v>
      </c>
      <c r="JM6">
        <v>3.7828379999999999</v>
      </c>
      <c r="JN6">
        <v>2.1681520000000001</v>
      </c>
      <c r="JO6" t="s">
        <v>1603</v>
      </c>
      <c r="JP6">
        <v>2025</v>
      </c>
      <c r="JQ6" t="s">
        <v>3063</v>
      </c>
      <c r="JR6" s="6">
        <v>45840</v>
      </c>
      <c r="JS6">
        <v>5</v>
      </c>
      <c r="JT6">
        <v>3642495</v>
      </c>
      <c r="JU6">
        <v>9371099</v>
      </c>
      <c r="JV6" t="s">
        <v>3064</v>
      </c>
      <c r="JY6" t="s">
        <v>1621</v>
      </c>
      <c r="JZ6">
        <v>-2.4245362661989844E-14</v>
      </c>
      <c r="KB6">
        <v>-2.4245362661989844E-14</v>
      </c>
      <c r="KC6" t="s">
        <v>1594</v>
      </c>
      <c r="KD6">
        <v>2022</v>
      </c>
      <c r="KE6" t="s">
        <v>3469</v>
      </c>
      <c r="KF6" s="6">
        <v>44981</v>
      </c>
      <c r="KG6">
        <v>2</v>
      </c>
      <c r="KH6">
        <v>-2.4245362661989844E-14</v>
      </c>
      <c r="KI6">
        <v>218252</v>
      </c>
      <c r="KJ6" t="s">
        <v>1622</v>
      </c>
      <c r="KO6" t="s">
        <v>2848</v>
      </c>
      <c r="KQ6">
        <v>-2.4245362661989844E-14</v>
      </c>
      <c r="KR6">
        <v>-2.4245362661989844E-14</v>
      </c>
      <c r="KS6" t="s">
        <v>1594</v>
      </c>
      <c r="KT6">
        <v>2023</v>
      </c>
      <c r="KU6" t="s">
        <v>2849</v>
      </c>
      <c r="KV6" s="6">
        <v>45344</v>
      </c>
      <c r="KW6">
        <v>5</v>
      </c>
      <c r="KX6">
        <v>-2.4245362661989844E-14</v>
      </c>
      <c r="KY6">
        <v>8016379</v>
      </c>
      <c r="KZ6" t="s">
        <v>2850</v>
      </c>
      <c r="LC6" t="s">
        <v>70</v>
      </c>
      <c r="LD6">
        <v>-2.4245362661989844E-14</v>
      </c>
      <c r="LF6">
        <v>-2.4245362661989844E-14</v>
      </c>
      <c r="LG6" t="s">
        <v>1594</v>
      </c>
      <c r="LH6">
        <v>2023</v>
      </c>
      <c r="LI6" t="s">
        <v>2404</v>
      </c>
      <c r="LJ6" s="6">
        <v>45344</v>
      </c>
      <c r="LK6">
        <v>5</v>
      </c>
      <c r="LL6">
        <v>-2.4245362661989844E-14</v>
      </c>
      <c r="LM6">
        <v>10005604</v>
      </c>
      <c r="LN6" t="s">
        <v>2406</v>
      </c>
      <c r="LS6" t="s">
        <v>2671</v>
      </c>
      <c r="LT6" t="s">
        <v>1598</v>
      </c>
      <c r="LU6">
        <v>0.53947000000000001</v>
      </c>
      <c r="LV6">
        <v>0.966256</v>
      </c>
      <c r="LW6" t="s">
        <v>1599</v>
      </c>
      <c r="LX6">
        <v>2025</v>
      </c>
      <c r="LY6" t="s">
        <v>2672</v>
      </c>
      <c r="LZ6" s="6">
        <v>46027</v>
      </c>
      <c r="MA6">
        <v>5</v>
      </c>
      <c r="MB6">
        <v>8050416.9800000004</v>
      </c>
      <c r="MC6">
        <v>8082154</v>
      </c>
      <c r="MD6" t="s">
        <v>2673</v>
      </c>
      <c r="MG6" t="s">
        <v>303</v>
      </c>
      <c r="MH6">
        <v>4.557105</v>
      </c>
      <c r="MI6" t="s">
        <v>1598</v>
      </c>
      <c r="MJ6">
        <v>0.11211</v>
      </c>
      <c r="MK6" t="s">
        <v>1606</v>
      </c>
      <c r="ML6">
        <v>2025</v>
      </c>
      <c r="MM6" t="s">
        <v>1667</v>
      </c>
      <c r="MN6" s="6">
        <v>45946</v>
      </c>
      <c r="MO6">
        <v>5</v>
      </c>
      <c r="MP6">
        <v>90595248</v>
      </c>
      <c r="MQ6">
        <v>216952</v>
      </c>
      <c r="MR6" t="s">
        <v>1631</v>
      </c>
      <c r="MW6" t="s">
        <v>3151</v>
      </c>
      <c r="MX6" t="s">
        <v>1598</v>
      </c>
      <c r="MY6">
        <v>2.6911640000000001</v>
      </c>
      <c r="MZ6">
        <v>3.358209</v>
      </c>
      <c r="NA6" t="s">
        <v>1603</v>
      </c>
      <c r="NB6">
        <v>2025</v>
      </c>
      <c r="NC6" t="s">
        <v>3152</v>
      </c>
      <c r="ND6" s="6">
        <v>45804</v>
      </c>
      <c r="NE6">
        <v>5</v>
      </c>
      <c r="NF6">
        <v>34530392.880000003</v>
      </c>
      <c r="NG6">
        <v>8118223</v>
      </c>
      <c r="NH6" t="s">
        <v>3153</v>
      </c>
      <c r="NK6" t="s">
        <v>2690</v>
      </c>
      <c r="NL6">
        <v>10.175205999999999</v>
      </c>
      <c r="NM6" t="s">
        <v>1598</v>
      </c>
      <c r="NN6">
        <v>3.635691</v>
      </c>
      <c r="NO6" t="s">
        <v>1599</v>
      </c>
      <c r="NP6">
        <v>2025</v>
      </c>
      <c r="NQ6" t="s">
        <v>2562</v>
      </c>
      <c r="NR6" s="6">
        <v>45891</v>
      </c>
      <c r="NS6">
        <v>5</v>
      </c>
      <c r="NT6">
        <v>293081344</v>
      </c>
      <c r="NU6">
        <v>1459396</v>
      </c>
      <c r="NV6" t="s">
        <v>2692</v>
      </c>
      <c r="OA6" t="s">
        <v>1416</v>
      </c>
      <c r="OB6" t="s">
        <v>1598</v>
      </c>
      <c r="OC6">
        <v>2.1791000000000001E-2</v>
      </c>
      <c r="OD6">
        <v>6.0110999999999998E-2</v>
      </c>
      <c r="OE6" t="s">
        <v>1603</v>
      </c>
      <c r="OF6">
        <v>2025</v>
      </c>
      <c r="OG6" t="s">
        <v>2012</v>
      </c>
      <c r="OH6" s="6">
        <v>45834</v>
      </c>
      <c r="OI6">
        <v>5</v>
      </c>
      <c r="OJ6">
        <v>221209</v>
      </c>
      <c r="OK6">
        <v>393374</v>
      </c>
      <c r="OL6" t="s">
        <v>2013</v>
      </c>
      <c r="OO6" t="s">
        <v>178</v>
      </c>
      <c r="OP6">
        <v>17</v>
      </c>
      <c r="OQ6" t="s">
        <v>1598</v>
      </c>
      <c r="OR6">
        <v>1.5193950000000001</v>
      </c>
      <c r="OS6" t="s">
        <v>1594</v>
      </c>
      <c r="OT6">
        <v>2025</v>
      </c>
      <c r="OU6" t="s">
        <v>5630</v>
      </c>
      <c r="OV6" s="6">
        <v>45790</v>
      </c>
      <c r="OW6">
        <v>5</v>
      </c>
      <c r="OX6">
        <v>317177504</v>
      </c>
      <c r="OY6">
        <v>101743</v>
      </c>
      <c r="OZ6" t="s">
        <v>1736</v>
      </c>
      <c r="PE6" t="s">
        <v>2152</v>
      </c>
      <c r="PG6">
        <v>-2.4245362661989844E-14</v>
      </c>
      <c r="PH6">
        <v>-2.4245362661989844E-14</v>
      </c>
      <c r="PI6" t="s">
        <v>1594</v>
      </c>
      <c r="PJ6">
        <v>2021</v>
      </c>
      <c r="PK6" t="s">
        <v>2153</v>
      </c>
      <c r="PL6" s="6">
        <v>44693</v>
      </c>
      <c r="PM6">
        <v>5</v>
      </c>
      <c r="PN6">
        <v>-2.4245362661989844E-14</v>
      </c>
      <c r="PO6">
        <v>100060</v>
      </c>
      <c r="PP6" t="s">
        <v>2154</v>
      </c>
      <c r="RM6" t="s">
        <v>3738</v>
      </c>
      <c r="RN6" t="s">
        <v>1598</v>
      </c>
      <c r="RO6">
        <v>7.7144000000000004E-2</v>
      </c>
      <c r="RP6">
        <v>0.39272200000000002</v>
      </c>
      <c r="RQ6" t="s">
        <v>1603</v>
      </c>
      <c r="RR6">
        <v>2025</v>
      </c>
      <c r="RS6" t="s">
        <v>3739</v>
      </c>
      <c r="RT6" s="6">
        <v>45793</v>
      </c>
      <c r="RU6">
        <v>5</v>
      </c>
      <c r="RV6">
        <v>487368</v>
      </c>
      <c r="RW6">
        <v>102417</v>
      </c>
      <c r="RX6" t="s">
        <v>3740</v>
      </c>
      <c r="SA6" t="s">
        <v>1917</v>
      </c>
      <c r="SB6">
        <v>3.4109419999999999</v>
      </c>
      <c r="SC6" t="s">
        <v>1598</v>
      </c>
      <c r="SD6">
        <v>1.9692000000000001E-2</v>
      </c>
      <c r="SE6" t="s">
        <v>1606</v>
      </c>
      <c r="SF6">
        <v>2025</v>
      </c>
      <c r="SG6" t="s">
        <v>3619</v>
      </c>
      <c r="SH6" s="6">
        <v>45894</v>
      </c>
      <c r="SI6">
        <v>5</v>
      </c>
      <c r="SJ6">
        <v>9908787</v>
      </c>
      <c r="SK6">
        <v>101695</v>
      </c>
      <c r="SL6" t="s">
        <v>1919</v>
      </c>
      <c r="SQ6" t="s">
        <v>3518</v>
      </c>
      <c r="SS6">
        <v>-2.4245362661989844E-14</v>
      </c>
      <c r="ST6">
        <v>-2.4245362661989844E-14</v>
      </c>
      <c r="SU6" t="s">
        <v>1792</v>
      </c>
      <c r="SV6">
        <v>2024</v>
      </c>
      <c r="SW6" t="s">
        <v>3519</v>
      </c>
      <c r="SX6" s="6">
        <v>45513</v>
      </c>
      <c r="SY6">
        <v>5</v>
      </c>
      <c r="SZ6">
        <v>-2.4245362661989844E-14</v>
      </c>
      <c r="TA6">
        <v>24238752</v>
      </c>
      <c r="TB6" t="s">
        <v>3520</v>
      </c>
      <c r="TE6" t="s">
        <v>3766</v>
      </c>
      <c r="TF6">
        <v>-2.4245362661989844E-14</v>
      </c>
      <c r="TH6">
        <v>-2.4245362661989844E-14</v>
      </c>
      <c r="TI6" t="s">
        <v>1594</v>
      </c>
      <c r="TJ6">
        <v>2024</v>
      </c>
      <c r="TK6" t="s">
        <v>3767</v>
      </c>
      <c r="TL6" s="6">
        <v>45773</v>
      </c>
      <c r="TM6">
        <v>5</v>
      </c>
      <c r="TN6">
        <v>-2.4245362661989844E-14</v>
      </c>
      <c r="TO6">
        <v>21692495</v>
      </c>
      <c r="TP6" t="s">
        <v>3768</v>
      </c>
      <c r="UI6" t="s">
        <v>22</v>
      </c>
      <c r="UJ6">
        <v>0.897366</v>
      </c>
      <c r="UK6" t="s">
        <v>1598</v>
      </c>
      <c r="UL6">
        <v>5.1166000000000003E-2</v>
      </c>
      <c r="UM6" t="s">
        <v>1664</v>
      </c>
      <c r="UN6">
        <v>2025</v>
      </c>
      <c r="UO6" t="s">
        <v>2387</v>
      </c>
      <c r="UP6" s="6">
        <v>45947</v>
      </c>
      <c r="UQ6">
        <v>5</v>
      </c>
      <c r="UR6">
        <v>8803160</v>
      </c>
      <c r="US6">
        <v>101555</v>
      </c>
      <c r="UT6" t="s">
        <v>2130</v>
      </c>
      <c r="UY6" t="s">
        <v>2019</v>
      </c>
      <c r="UZ6" t="s">
        <v>1598</v>
      </c>
      <c r="VA6">
        <v>1.7445040000000001</v>
      </c>
      <c r="VB6">
        <v>0.41509299999999999</v>
      </c>
      <c r="VC6" t="s">
        <v>1606</v>
      </c>
      <c r="VD6">
        <v>2024</v>
      </c>
      <c r="VE6" t="s">
        <v>2020</v>
      </c>
      <c r="VF6" s="6">
        <v>45756</v>
      </c>
      <c r="VG6">
        <v>5</v>
      </c>
      <c r="VH6">
        <v>13787436.9</v>
      </c>
      <c r="VI6">
        <v>153771</v>
      </c>
      <c r="VJ6" t="s">
        <v>2021</v>
      </c>
      <c r="VM6" t="s">
        <v>1602</v>
      </c>
      <c r="VN6">
        <v>1.905017</v>
      </c>
      <c r="VO6" t="s">
        <v>1598</v>
      </c>
      <c r="VP6">
        <v>0.59927699999999995</v>
      </c>
      <c r="VQ6" t="s">
        <v>1603</v>
      </c>
      <c r="VR6">
        <v>2025</v>
      </c>
      <c r="VS6" t="s">
        <v>1604</v>
      </c>
      <c r="VT6" s="6">
        <v>45779</v>
      </c>
      <c r="VU6">
        <v>5</v>
      </c>
      <c r="VV6">
        <v>70999984</v>
      </c>
      <c r="VW6">
        <v>114402</v>
      </c>
      <c r="VX6" t="s">
        <v>1605</v>
      </c>
    </row>
    <row r="7" spans="1:600" x14ac:dyDescent="0.25">
      <c r="A7" t="s">
        <v>2152</v>
      </c>
      <c r="C7">
        <v>-2.4245362661989844E-14</v>
      </c>
      <c r="D7">
        <v>-2.4245362661989844E-14</v>
      </c>
      <c r="E7" t="s">
        <v>1594</v>
      </c>
      <c r="F7">
        <v>2021</v>
      </c>
      <c r="G7" t="s">
        <v>2153</v>
      </c>
      <c r="H7" s="6">
        <v>44693</v>
      </c>
      <c r="I7">
        <v>5</v>
      </c>
      <c r="J7">
        <v>-2.4245362661989844E-14</v>
      </c>
      <c r="K7">
        <v>100060</v>
      </c>
      <c r="L7" t="s">
        <v>2154</v>
      </c>
      <c r="O7" t="s">
        <v>3686</v>
      </c>
      <c r="P7">
        <v>-2.4245362661989844E-14</v>
      </c>
      <c r="R7">
        <v>-2.4245362661989844E-14</v>
      </c>
      <c r="S7" t="s">
        <v>1664</v>
      </c>
      <c r="T7">
        <v>2023</v>
      </c>
      <c r="U7" t="s">
        <v>3687</v>
      </c>
      <c r="V7" s="6">
        <v>45089</v>
      </c>
      <c r="W7">
        <v>3</v>
      </c>
      <c r="X7">
        <v>-2.4245362661989844E-14</v>
      </c>
      <c r="Y7">
        <v>7863291</v>
      </c>
      <c r="Z7" t="s">
        <v>3688</v>
      </c>
      <c r="AE7" t="s">
        <v>3543</v>
      </c>
      <c r="AG7">
        <v>-2.4245362661989844E-14</v>
      </c>
      <c r="AH7">
        <v>-2.4245362661989844E-14</v>
      </c>
      <c r="AI7" t="s">
        <v>1594</v>
      </c>
      <c r="AJ7">
        <v>2022</v>
      </c>
      <c r="AK7" t="s">
        <v>3484</v>
      </c>
      <c r="AL7" s="6">
        <v>44846</v>
      </c>
      <c r="AM7">
        <v>5</v>
      </c>
      <c r="AN7">
        <v>-2.4245362661989844E-14</v>
      </c>
      <c r="AO7">
        <v>68560845</v>
      </c>
      <c r="AP7" t="s">
        <v>3544</v>
      </c>
      <c r="AS7" t="s">
        <v>3480</v>
      </c>
      <c r="AT7">
        <v>-2.4245362661989844E-14</v>
      </c>
      <c r="AV7">
        <v>-2.4245362661989844E-14</v>
      </c>
      <c r="AW7" t="s">
        <v>1594</v>
      </c>
      <c r="AX7">
        <v>2025</v>
      </c>
      <c r="AY7" t="s">
        <v>3481</v>
      </c>
      <c r="AZ7" s="6">
        <v>45953</v>
      </c>
      <c r="BA7">
        <v>5</v>
      </c>
      <c r="BB7">
        <v>-2.4245362661989844E-14</v>
      </c>
      <c r="BC7">
        <v>1459232</v>
      </c>
      <c r="BD7" t="s">
        <v>3482</v>
      </c>
      <c r="CM7" t="s">
        <v>205</v>
      </c>
      <c r="CN7" t="s">
        <v>1598</v>
      </c>
      <c r="CO7">
        <v>0.32230900000000001</v>
      </c>
      <c r="CP7">
        <v>0.38473400000000002</v>
      </c>
      <c r="CQ7" t="s">
        <v>1599</v>
      </c>
      <c r="CR7">
        <v>2025</v>
      </c>
      <c r="CS7" t="s">
        <v>2562</v>
      </c>
      <c r="CT7" s="6">
        <v>45891</v>
      </c>
      <c r="CU7">
        <v>5</v>
      </c>
      <c r="CV7">
        <v>9283621</v>
      </c>
      <c r="CW7">
        <v>100097</v>
      </c>
      <c r="CX7" t="s">
        <v>2563</v>
      </c>
      <c r="DA7" t="s">
        <v>1703</v>
      </c>
      <c r="DB7">
        <v>8.1423999999999996E-2</v>
      </c>
      <c r="DC7" t="s">
        <v>1598</v>
      </c>
      <c r="DD7">
        <v>0.194387</v>
      </c>
      <c r="DE7" t="s">
        <v>1599</v>
      </c>
      <c r="DF7">
        <v>2025</v>
      </c>
      <c r="DG7" t="s">
        <v>1704</v>
      </c>
      <c r="DH7" s="6">
        <v>45694</v>
      </c>
      <c r="DI7">
        <v>5</v>
      </c>
      <c r="DJ7">
        <v>5430637.3600000003</v>
      </c>
      <c r="DK7">
        <v>111827</v>
      </c>
      <c r="DL7" t="s">
        <v>1705</v>
      </c>
      <c r="HC7" t="s">
        <v>4118</v>
      </c>
      <c r="HD7" t="s">
        <v>1598</v>
      </c>
      <c r="HE7">
        <v>2.0287500000000001</v>
      </c>
      <c r="HF7">
        <v>3.3266719999999999</v>
      </c>
      <c r="HG7" t="s">
        <v>1599</v>
      </c>
      <c r="HH7">
        <v>2025</v>
      </c>
      <c r="HI7" t="s">
        <v>4119</v>
      </c>
      <c r="HJ7" s="6">
        <v>46058</v>
      </c>
      <c r="HK7">
        <v>5</v>
      </c>
      <c r="HL7">
        <v>41498896</v>
      </c>
      <c r="HM7">
        <v>116620</v>
      </c>
      <c r="HN7" t="s">
        <v>4120</v>
      </c>
      <c r="HQ7" t="s">
        <v>4096</v>
      </c>
      <c r="HR7">
        <v>1.30175</v>
      </c>
      <c r="HS7" t="s">
        <v>1598</v>
      </c>
      <c r="HT7">
        <v>0.81862400000000002</v>
      </c>
      <c r="HU7" t="s">
        <v>1664</v>
      </c>
      <c r="HV7">
        <v>2025</v>
      </c>
      <c r="HW7" t="s">
        <v>4097</v>
      </c>
      <c r="HX7" s="6">
        <v>45917</v>
      </c>
      <c r="HY7">
        <v>5</v>
      </c>
      <c r="HZ7">
        <v>22919466</v>
      </c>
      <c r="IA7">
        <v>126788</v>
      </c>
      <c r="IB7" t="s">
        <v>4098</v>
      </c>
      <c r="JK7" t="s">
        <v>3607</v>
      </c>
      <c r="JL7" t="s">
        <v>1685</v>
      </c>
      <c r="JM7">
        <v>23</v>
      </c>
      <c r="JN7">
        <v>1.80942</v>
      </c>
      <c r="JO7" t="s">
        <v>1594</v>
      </c>
      <c r="JP7">
        <v>2024</v>
      </c>
      <c r="JQ7" t="s">
        <v>3608</v>
      </c>
      <c r="JR7" s="6">
        <v>45734</v>
      </c>
      <c r="JS7">
        <v>5</v>
      </c>
      <c r="JT7">
        <v>2402005</v>
      </c>
      <c r="JU7">
        <v>103995</v>
      </c>
      <c r="JV7" t="s">
        <v>3609</v>
      </c>
      <c r="KO7" t="s">
        <v>2072</v>
      </c>
      <c r="KQ7">
        <v>-2.4245362661989844E-14</v>
      </c>
      <c r="KR7">
        <v>-2.4245362661989844E-14</v>
      </c>
      <c r="KS7" t="s">
        <v>1594</v>
      </c>
      <c r="KT7">
        <v>2023</v>
      </c>
      <c r="KU7" t="s">
        <v>2851</v>
      </c>
      <c r="KV7" s="6">
        <v>45352</v>
      </c>
      <c r="KW7">
        <v>5</v>
      </c>
      <c r="KX7">
        <v>-2.4245362661989844E-14</v>
      </c>
      <c r="KY7">
        <v>36965288</v>
      </c>
      <c r="KZ7" t="s">
        <v>2074</v>
      </c>
      <c r="LC7" t="s">
        <v>74</v>
      </c>
      <c r="LD7">
        <v>-2.4245362661989844E-14</v>
      </c>
      <c r="LF7">
        <v>-2.4245362661989844E-14</v>
      </c>
      <c r="LG7" t="s">
        <v>1594</v>
      </c>
      <c r="LH7">
        <v>2023</v>
      </c>
      <c r="LI7" t="s">
        <v>2404</v>
      </c>
      <c r="LJ7" s="6">
        <v>45344</v>
      </c>
      <c r="LK7">
        <v>5</v>
      </c>
      <c r="LL7">
        <v>-2.4245362661989844E-14</v>
      </c>
      <c r="LM7">
        <v>101106</v>
      </c>
      <c r="LN7" t="s">
        <v>2407</v>
      </c>
      <c r="LS7" t="s">
        <v>149</v>
      </c>
      <c r="LT7" t="s">
        <v>1685</v>
      </c>
      <c r="LU7">
        <v>0.36651299999999998</v>
      </c>
      <c r="LV7">
        <v>1.5007490000000001</v>
      </c>
      <c r="LW7" t="s">
        <v>1594</v>
      </c>
      <c r="LX7">
        <v>2024</v>
      </c>
      <c r="LY7" t="s">
        <v>1903</v>
      </c>
      <c r="LZ7" s="6">
        <v>45702</v>
      </c>
      <c r="MA7">
        <v>5</v>
      </c>
      <c r="MB7">
        <v>7515000</v>
      </c>
      <c r="MC7">
        <v>302488</v>
      </c>
      <c r="MD7" t="s">
        <v>2674</v>
      </c>
      <c r="MG7" t="s">
        <v>311</v>
      </c>
      <c r="MH7">
        <v>3.5946729999999998</v>
      </c>
      <c r="MI7" t="s">
        <v>1598</v>
      </c>
      <c r="MJ7">
        <v>0.27348699999999998</v>
      </c>
      <c r="MK7" t="s">
        <v>1606</v>
      </c>
      <c r="ML7">
        <v>2025</v>
      </c>
      <c r="MM7" t="s">
        <v>1667</v>
      </c>
      <c r="MN7" s="6">
        <v>45946</v>
      </c>
      <c r="MO7">
        <v>5</v>
      </c>
      <c r="MP7">
        <v>71462096</v>
      </c>
      <c r="MQ7">
        <v>100864</v>
      </c>
      <c r="MR7" t="s">
        <v>1668</v>
      </c>
      <c r="MW7" t="s">
        <v>3145</v>
      </c>
      <c r="MX7" t="s">
        <v>1598</v>
      </c>
      <c r="MY7">
        <v>0.64693999999999996</v>
      </c>
      <c r="MZ7">
        <v>2.8437610000000002</v>
      </c>
      <c r="NA7" t="s">
        <v>1603</v>
      </c>
      <c r="NB7">
        <v>2025</v>
      </c>
      <c r="NC7" t="s">
        <v>3146</v>
      </c>
      <c r="ND7" s="6">
        <v>45819</v>
      </c>
      <c r="NE7">
        <v>5</v>
      </c>
      <c r="NF7">
        <v>29137083.59</v>
      </c>
      <c r="NG7">
        <v>58244711</v>
      </c>
      <c r="NH7" t="s">
        <v>3147</v>
      </c>
      <c r="NK7" t="s">
        <v>5204</v>
      </c>
      <c r="NL7">
        <v>2.1377619999999999</v>
      </c>
      <c r="NM7" t="s">
        <v>1598</v>
      </c>
      <c r="NN7">
        <v>0.45856599999999997</v>
      </c>
      <c r="NO7" t="s">
        <v>1599</v>
      </c>
      <c r="NP7">
        <v>2025</v>
      </c>
      <c r="NQ7" t="s">
        <v>2562</v>
      </c>
      <c r="NR7" s="6">
        <v>45891</v>
      </c>
      <c r="NS7">
        <v>5</v>
      </c>
      <c r="NT7">
        <v>61574984</v>
      </c>
      <c r="NU7">
        <v>115746</v>
      </c>
      <c r="NV7" t="s">
        <v>5205</v>
      </c>
      <c r="OA7" t="s">
        <v>3903</v>
      </c>
      <c r="OB7" t="s">
        <v>1598</v>
      </c>
      <c r="OC7">
        <v>9.7280000000000005E-3</v>
      </c>
      <c r="OD7">
        <v>1.3369000000000001E-2</v>
      </c>
      <c r="OE7" t="s">
        <v>1664</v>
      </c>
      <c r="OF7">
        <v>2026</v>
      </c>
      <c r="OG7" t="s">
        <v>3904</v>
      </c>
      <c r="OH7" s="6">
        <v>46036</v>
      </c>
      <c r="OI7">
        <v>5</v>
      </c>
      <c r="OJ7">
        <v>59227</v>
      </c>
      <c r="OK7">
        <v>194585</v>
      </c>
      <c r="OL7" t="s">
        <v>3905</v>
      </c>
      <c r="OO7" t="s">
        <v>1917</v>
      </c>
      <c r="OP7">
        <v>2.8790420000000001</v>
      </c>
      <c r="OQ7" t="s">
        <v>1598</v>
      </c>
      <c r="OR7">
        <v>9.5610000000000001E-2</v>
      </c>
      <c r="OS7" t="s">
        <v>1603</v>
      </c>
      <c r="OT7">
        <v>2026</v>
      </c>
      <c r="OU7" t="s">
        <v>5631</v>
      </c>
      <c r="OV7" s="6">
        <v>45884</v>
      </c>
      <c r="OW7">
        <v>5</v>
      </c>
      <c r="OX7">
        <v>48108792</v>
      </c>
      <c r="OY7">
        <v>101695</v>
      </c>
      <c r="OZ7" t="s">
        <v>1919</v>
      </c>
      <c r="PE7" t="s">
        <v>810</v>
      </c>
      <c r="PG7">
        <v>-2.4245362661989844E-14</v>
      </c>
      <c r="PH7">
        <v>-2.4245362661989844E-14</v>
      </c>
      <c r="PI7" t="s">
        <v>1594</v>
      </c>
      <c r="PJ7">
        <v>2021</v>
      </c>
      <c r="PK7" t="s">
        <v>2346</v>
      </c>
      <c r="PL7" s="6">
        <v>44693</v>
      </c>
      <c r="PM7">
        <v>5</v>
      </c>
      <c r="PN7">
        <v>-2.4245362661989844E-14</v>
      </c>
      <c r="PO7">
        <v>101690</v>
      </c>
      <c r="PP7" t="s">
        <v>2347</v>
      </c>
      <c r="RM7" t="s">
        <v>3741</v>
      </c>
      <c r="RN7" t="s">
        <v>1598</v>
      </c>
      <c r="RO7">
        <v>1.5336000000000001E-2</v>
      </c>
      <c r="RP7">
        <v>6.4000000000000005E-4</v>
      </c>
      <c r="RQ7" t="s">
        <v>1606</v>
      </c>
      <c r="RR7">
        <v>2025</v>
      </c>
      <c r="RS7" t="s">
        <v>3742</v>
      </c>
      <c r="RT7" s="6">
        <v>45984</v>
      </c>
      <c r="RU7">
        <v>5</v>
      </c>
      <c r="RV7">
        <v>777.3</v>
      </c>
      <c r="RW7">
        <v>31895721</v>
      </c>
      <c r="RX7" t="s">
        <v>3743</v>
      </c>
      <c r="SA7" t="s">
        <v>21</v>
      </c>
      <c r="SB7">
        <v>3.3635120000000001</v>
      </c>
      <c r="SC7" t="s">
        <v>1634</v>
      </c>
      <c r="SD7">
        <v>0.192884</v>
      </c>
      <c r="SE7" t="s">
        <v>1606</v>
      </c>
      <c r="SF7">
        <v>2025</v>
      </c>
      <c r="SG7" t="s">
        <v>3619</v>
      </c>
      <c r="SH7" s="6">
        <v>45894</v>
      </c>
      <c r="SI7">
        <v>5</v>
      </c>
      <c r="SJ7">
        <v>9771002</v>
      </c>
      <c r="SK7">
        <v>101376</v>
      </c>
      <c r="SL7" t="s">
        <v>3621</v>
      </c>
      <c r="SQ7" t="s">
        <v>3521</v>
      </c>
      <c r="SS7">
        <v>-2.4245362661989844E-14</v>
      </c>
      <c r="ST7">
        <v>-2.4245362661989844E-14</v>
      </c>
      <c r="SU7" t="s">
        <v>1594</v>
      </c>
      <c r="SV7">
        <v>2023</v>
      </c>
      <c r="SW7" t="s">
        <v>3522</v>
      </c>
      <c r="SX7" s="6">
        <v>45064</v>
      </c>
      <c r="SY7">
        <v>5</v>
      </c>
      <c r="SZ7">
        <v>-2.4245362661989844E-14</v>
      </c>
      <c r="TA7">
        <v>69427339</v>
      </c>
      <c r="TB7" t="s">
        <v>3523</v>
      </c>
      <c r="TE7" t="s">
        <v>1845</v>
      </c>
      <c r="TF7">
        <v>-2.4245362661989844E-14</v>
      </c>
      <c r="TH7">
        <v>-2.4245362661989844E-14</v>
      </c>
      <c r="TI7" t="s">
        <v>1594</v>
      </c>
      <c r="TJ7">
        <v>2022</v>
      </c>
      <c r="TK7" t="s">
        <v>3769</v>
      </c>
      <c r="TL7" s="6">
        <v>45040</v>
      </c>
      <c r="TM7">
        <v>5</v>
      </c>
      <c r="TN7">
        <v>-2.4245362661989844E-14</v>
      </c>
      <c r="TO7">
        <v>23962876</v>
      </c>
      <c r="TP7" t="s">
        <v>1847</v>
      </c>
      <c r="UI7" t="s">
        <v>1628</v>
      </c>
      <c r="UJ7">
        <v>0.82817600000000002</v>
      </c>
      <c r="UK7" t="s">
        <v>1598</v>
      </c>
      <c r="UL7">
        <v>4.6813E-2</v>
      </c>
      <c r="UM7" t="s">
        <v>1664</v>
      </c>
      <c r="UN7">
        <v>2025</v>
      </c>
      <c r="UO7" t="s">
        <v>2387</v>
      </c>
      <c r="UP7" s="6">
        <v>45947</v>
      </c>
      <c r="UQ7">
        <v>5</v>
      </c>
      <c r="UR7">
        <v>8124407</v>
      </c>
      <c r="US7">
        <v>156923</v>
      </c>
      <c r="UT7" t="s">
        <v>1630</v>
      </c>
      <c r="UY7" t="s">
        <v>2022</v>
      </c>
      <c r="UZ7" t="s">
        <v>1598</v>
      </c>
      <c r="VA7">
        <v>8.4497000000000003E-2</v>
      </c>
      <c r="VB7">
        <v>7.4653999999999998E-2</v>
      </c>
      <c r="VC7" t="s">
        <v>1664</v>
      </c>
      <c r="VD7">
        <v>2025</v>
      </c>
      <c r="VE7" t="s">
        <v>2023</v>
      </c>
      <c r="VF7" s="6">
        <v>45778</v>
      </c>
      <c r="VG7">
        <v>5</v>
      </c>
      <c r="VH7">
        <v>2477030</v>
      </c>
      <c r="VI7">
        <v>100019</v>
      </c>
      <c r="VJ7" t="s">
        <v>2024</v>
      </c>
      <c r="VM7" t="s">
        <v>343</v>
      </c>
      <c r="VN7">
        <v>0.74605100000000002</v>
      </c>
      <c r="VO7" t="s">
        <v>1598</v>
      </c>
      <c r="VP7">
        <v>0.82080399999999998</v>
      </c>
      <c r="VQ7" t="s">
        <v>1606</v>
      </c>
      <c r="VR7">
        <v>2024</v>
      </c>
      <c r="VS7" t="s">
        <v>1607</v>
      </c>
      <c r="VT7" s="6">
        <v>45755</v>
      </c>
      <c r="VU7">
        <v>5</v>
      </c>
      <c r="VV7">
        <v>26178928</v>
      </c>
      <c r="VW7">
        <v>100787</v>
      </c>
      <c r="VX7" t="s">
        <v>1608</v>
      </c>
    </row>
    <row r="8" spans="1:600" x14ac:dyDescent="0.25">
      <c r="A8" t="s">
        <v>3758</v>
      </c>
      <c r="C8">
        <v>-2.4245362661989844E-14</v>
      </c>
      <c r="D8">
        <v>-2.4245362661989844E-14</v>
      </c>
      <c r="E8" t="s">
        <v>1594</v>
      </c>
      <c r="F8">
        <v>2024</v>
      </c>
      <c r="G8" t="s">
        <v>3759</v>
      </c>
      <c r="H8" s="6">
        <v>45701</v>
      </c>
      <c r="I8">
        <v>5</v>
      </c>
      <c r="J8">
        <v>-2.4245362661989844E-14</v>
      </c>
      <c r="K8">
        <v>101000</v>
      </c>
      <c r="L8" t="s">
        <v>3760</v>
      </c>
      <c r="AE8" t="s">
        <v>3545</v>
      </c>
      <c r="AG8">
        <v>-2.4245362661989844E-14</v>
      </c>
      <c r="AH8">
        <v>-2.4245362661989844E-14</v>
      </c>
      <c r="AI8" t="s">
        <v>1594</v>
      </c>
      <c r="AJ8">
        <v>2023</v>
      </c>
      <c r="AK8" t="s">
        <v>3546</v>
      </c>
      <c r="AL8" s="6">
        <v>45385</v>
      </c>
      <c r="AM8">
        <v>5</v>
      </c>
      <c r="AN8">
        <v>-2.4245362661989844E-14</v>
      </c>
      <c r="AO8">
        <v>953675</v>
      </c>
      <c r="AP8" t="s">
        <v>3547</v>
      </c>
      <c r="AS8" t="s">
        <v>3483</v>
      </c>
      <c r="AT8">
        <v>-2.4245362661989844E-14</v>
      </c>
      <c r="AV8">
        <v>-2.4245362661989844E-14</v>
      </c>
      <c r="AW8" t="s">
        <v>1594</v>
      </c>
      <c r="AX8">
        <v>2023</v>
      </c>
      <c r="AY8" t="s">
        <v>3484</v>
      </c>
      <c r="AZ8" s="6">
        <v>45042</v>
      </c>
      <c r="BA8">
        <v>5</v>
      </c>
      <c r="BB8">
        <v>-2.4245362661989844E-14</v>
      </c>
      <c r="BC8">
        <v>42266354</v>
      </c>
      <c r="BD8" t="s">
        <v>3485</v>
      </c>
      <c r="CM8" t="s">
        <v>2564</v>
      </c>
      <c r="CN8" t="s">
        <v>1598</v>
      </c>
      <c r="CO8">
        <v>1.1725810000000001</v>
      </c>
      <c r="CP8">
        <v>0.15703400000000001</v>
      </c>
      <c r="CQ8" t="s">
        <v>1603</v>
      </c>
      <c r="CR8">
        <v>2026</v>
      </c>
      <c r="CS8" t="s">
        <v>2565</v>
      </c>
      <c r="CT8" s="6">
        <v>46051</v>
      </c>
      <c r="CU8">
        <v>5</v>
      </c>
      <c r="CV8">
        <v>4510016</v>
      </c>
      <c r="CW8">
        <v>225757</v>
      </c>
      <c r="CX8" t="s">
        <v>2566</v>
      </c>
      <c r="DA8" t="s">
        <v>1706</v>
      </c>
      <c r="DB8">
        <v>6.6940000000000003E-3</v>
      </c>
      <c r="DC8" t="s">
        <v>1598</v>
      </c>
      <c r="DD8">
        <v>5.5948409999999997</v>
      </c>
      <c r="DE8" t="s">
        <v>1594</v>
      </c>
      <c r="DF8">
        <v>2024</v>
      </c>
      <c r="DG8" t="s">
        <v>1707</v>
      </c>
      <c r="DH8" s="6">
        <v>45819</v>
      </c>
      <c r="DI8">
        <v>5</v>
      </c>
      <c r="DJ8">
        <v>402911.11</v>
      </c>
      <c r="DK8">
        <v>15291339</v>
      </c>
      <c r="DL8" t="s">
        <v>1708</v>
      </c>
      <c r="HC8" t="s">
        <v>4121</v>
      </c>
      <c r="HD8" t="s">
        <v>1598</v>
      </c>
      <c r="HE8">
        <v>7.0469400000000002</v>
      </c>
      <c r="HF8">
        <v>2.182099</v>
      </c>
      <c r="HG8" t="s">
        <v>1599</v>
      </c>
      <c r="HH8">
        <v>2025</v>
      </c>
      <c r="HI8" t="s">
        <v>4122</v>
      </c>
      <c r="HJ8" s="6">
        <v>46058</v>
      </c>
      <c r="HK8">
        <v>5</v>
      </c>
      <c r="HL8">
        <v>27220814</v>
      </c>
      <c r="HM8">
        <v>12116527</v>
      </c>
      <c r="HN8" t="s">
        <v>4123</v>
      </c>
      <c r="HQ8" t="s">
        <v>2643</v>
      </c>
      <c r="HR8">
        <v>0.824013</v>
      </c>
      <c r="HS8" t="s">
        <v>1598</v>
      </c>
      <c r="HT8">
        <v>0.13065499999999999</v>
      </c>
      <c r="HU8" t="s">
        <v>1599</v>
      </c>
      <c r="HV8">
        <v>2026</v>
      </c>
      <c r="HW8" t="s">
        <v>4095</v>
      </c>
      <c r="HX8" s="6">
        <v>46051</v>
      </c>
      <c r="HY8">
        <v>5</v>
      </c>
      <c r="HZ8">
        <v>23696974</v>
      </c>
      <c r="IA8">
        <v>100436</v>
      </c>
      <c r="IB8" t="s">
        <v>2644</v>
      </c>
      <c r="JK8" t="s">
        <v>1354</v>
      </c>
      <c r="JM8">
        <v>-2.4245362661989844E-14</v>
      </c>
      <c r="JN8">
        <v>-2.4245362661989844E-14</v>
      </c>
      <c r="JO8" t="s">
        <v>1594</v>
      </c>
      <c r="JP8">
        <v>2021</v>
      </c>
      <c r="JQ8" t="s">
        <v>2150</v>
      </c>
      <c r="JR8" s="6">
        <v>44693</v>
      </c>
      <c r="JS8">
        <v>5</v>
      </c>
      <c r="JT8">
        <v>-2.4245362661989844E-14</v>
      </c>
      <c r="JU8">
        <v>313098</v>
      </c>
      <c r="JV8" t="s">
        <v>2151</v>
      </c>
      <c r="KO8" t="s">
        <v>2852</v>
      </c>
      <c r="KQ8">
        <v>-2.4245362661989844E-14</v>
      </c>
      <c r="KR8">
        <v>-2.4245362661989844E-14</v>
      </c>
      <c r="KS8" t="s">
        <v>1599</v>
      </c>
      <c r="KT8">
        <v>2023</v>
      </c>
      <c r="KU8" t="s">
        <v>2853</v>
      </c>
      <c r="KV8" s="6">
        <v>45152</v>
      </c>
      <c r="KW8">
        <v>5</v>
      </c>
      <c r="KX8">
        <v>-2.4245362661989844E-14</v>
      </c>
      <c r="KY8">
        <v>69818423</v>
      </c>
      <c r="KZ8" t="s">
        <v>2854</v>
      </c>
      <c r="LC8" t="s">
        <v>2408</v>
      </c>
      <c r="LD8">
        <v>-2.4245362661989844E-14</v>
      </c>
      <c r="LF8">
        <v>-2.4245362661989844E-14</v>
      </c>
      <c r="LG8" t="s">
        <v>1594</v>
      </c>
      <c r="LH8">
        <v>2023</v>
      </c>
      <c r="LI8" t="s">
        <v>2404</v>
      </c>
      <c r="LJ8" s="6">
        <v>45344</v>
      </c>
      <c r="LK8">
        <v>5</v>
      </c>
      <c r="LL8">
        <v>-2.4245362661989844E-14</v>
      </c>
      <c r="LM8">
        <v>13161367</v>
      </c>
      <c r="LN8" t="s">
        <v>2409</v>
      </c>
      <c r="LS8" t="s">
        <v>2675</v>
      </c>
      <c r="LT8" t="s">
        <v>1598</v>
      </c>
      <c r="LU8">
        <v>0.83114299999999997</v>
      </c>
      <c r="LV8">
        <v>0.69969300000000001</v>
      </c>
      <c r="LW8" t="s">
        <v>1664</v>
      </c>
      <c r="LX8">
        <v>2025</v>
      </c>
      <c r="LY8" t="s">
        <v>2676</v>
      </c>
      <c r="LZ8" s="6">
        <v>45914</v>
      </c>
      <c r="MA8">
        <v>5</v>
      </c>
      <c r="MB8">
        <v>7444735</v>
      </c>
      <c r="MC8">
        <v>117116</v>
      </c>
      <c r="MD8" t="s">
        <v>2677</v>
      </c>
      <c r="MG8" t="s">
        <v>1669</v>
      </c>
      <c r="MH8">
        <v>2.7341519999999999</v>
      </c>
      <c r="MI8" t="s">
        <v>1598</v>
      </c>
      <c r="MJ8">
        <v>0.287462</v>
      </c>
      <c r="MK8" t="s">
        <v>1606</v>
      </c>
      <c r="ML8">
        <v>2025</v>
      </c>
      <c r="MM8" t="s">
        <v>1667</v>
      </c>
      <c r="MN8" s="6">
        <v>45946</v>
      </c>
      <c r="MO8">
        <v>5</v>
      </c>
      <c r="MP8">
        <v>54354944</v>
      </c>
      <c r="MQ8">
        <v>115268</v>
      </c>
      <c r="MR8" t="s">
        <v>1670</v>
      </c>
      <c r="MW8" t="s">
        <v>4690</v>
      </c>
      <c r="MX8" t="s">
        <v>1598</v>
      </c>
      <c r="MY8">
        <v>0.91817000000000004</v>
      </c>
      <c r="MZ8">
        <v>1.576201</v>
      </c>
      <c r="NA8" t="s">
        <v>1603</v>
      </c>
      <c r="NB8">
        <v>2025</v>
      </c>
      <c r="NC8" t="s">
        <v>4691</v>
      </c>
      <c r="ND8" s="6">
        <v>45820</v>
      </c>
      <c r="NE8">
        <v>5</v>
      </c>
      <c r="NF8">
        <v>16149703.470000001</v>
      </c>
      <c r="NG8">
        <v>118133</v>
      </c>
      <c r="NH8" t="s">
        <v>4692</v>
      </c>
      <c r="NK8" t="s">
        <v>303</v>
      </c>
      <c r="NL8">
        <v>1.0920540000000001</v>
      </c>
      <c r="NM8" t="s">
        <v>1598</v>
      </c>
      <c r="NN8">
        <v>3.8925000000000001E-2</v>
      </c>
      <c r="NO8" t="s">
        <v>1599</v>
      </c>
      <c r="NP8">
        <v>2025</v>
      </c>
      <c r="NQ8" t="s">
        <v>2562</v>
      </c>
      <c r="NR8" s="6">
        <v>45891</v>
      </c>
      <c r="NS8">
        <v>5</v>
      </c>
      <c r="NT8">
        <v>31454956</v>
      </c>
      <c r="NU8">
        <v>216952</v>
      </c>
      <c r="NV8" t="s">
        <v>1631</v>
      </c>
      <c r="OA8" t="s">
        <v>5758</v>
      </c>
      <c r="OC8">
        <v>-2.4245362661989844E-14</v>
      </c>
      <c r="OD8">
        <v>-2.4245362661989844E-14</v>
      </c>
      <c r="OE8" t="s">
        <v>1599</v>
      </c>
      <c r="OF8">
        <v>2025</v>
      </c>
      <c r="OG8" t="s">
        <v>5759</v>
      </c>
      <c r="OH8" s="6">
        <v>45693</v>
      </c>
      <c r="OI8">
        <v>5</v>
      </c>
      <c r="OJ8">
        <v>-2.4245362661989844E-14</v>
      </c>
      <c r="OK8">
        <v>938151</v>
      </c>
      <c r="OL8" t="s">
        <v>5760</v>
      </c>
      <c r="OO8" t="s">
        <v>2381</v>
      </c>
      <c r="OP8">
        <v>2.2214360000000002</v>
      </c>
      <c r="OQ8" t="s">
        <v>1598</v>
      </c>
      <c r="OR8">
        <v>9.5085000000000003E-2</v>
      </c>
      <c r="OS8" t="s">
        <v>1603</v>
      </c>
      <c r="OT8">
        <v>2026</v>
      </c>
      <c r="OU8" t="s">
        <v>5631</v>
      </c>
      <c r="OV8" s="6">
        <v>45884</v>
      </c>
      <c r="OW8">
        <v>5</v>
      </c>
      <c r="OX8">
        <v>37120196</v>
      </c>
      <c r="OY8">
        <v>46946968</v>
      </c>
      <c r="OZ8" t="s">
        <v>2382</v>
      </c>
      <c r="PE8" t="s">
        <v>3761</v>
      </c>
      <c r="PG8">
        <v>-2.4245362661989844E-14</v>
      </c>
      <c r="PH8">
        <v>-2.4245362661989844E-14</v>
      </c>
      <c r="PI8" t="s">
        <v>1594</v>
      </c>
      <c r="PJ8">
        <v>2021</v>
      </c>
      <c r="PK8" t="s">
        <v>3762</v>
      </c>
      <c r="PL8" s="6">
        <v>44693</v>
      </c>
      <c r="PM8">
        <v>5</v>
      </c>
      <c r="PN8">
        <v>-2.4245362661989844E-14</v>
      </c>
      <c r="PO8">
        <v>310116</v>
      </c>
      <c r="PP8" t="s">
        <v>3763</v>
      </c>
      <c r="RM8" t="s">
        <v>3744</v>
      </c>
      <c r="RO8">
        <v>-2.4245362661989844E-14</v>
      </c>
      <c r="RP8">
        <v>-2.4245362661989844E-14</v>
      </c>
      <c r="RQ8" t="s">
        <v>1594</v>
      </c>
      <c r="RR8">
        <v>2026</v>
      </c>
      <c r="RS8" t="s">
        <v>3745</v>
      </c>
      <c r="RT8" s="6">
        <v>46042</v>
      </c>
      <c r="RU8">
        <v>5</v>
      </c>
      <c r="RV8">
        <v>-2.4245362661989844E-14</v>
      </c>
      <c r="RW8">
        <v>69341782</v>
      </c>
      <c r="RX8" t="s">
        <v>3746</v>
      </c>
      <c r="SA8" t="s">
        <v>617</v>
      </c>
      <c r="SB8">
        <v>2.8136109999999999</v>
      </c>
      <c r="SC8" t="s">
        <v>1598</v>
      </c>
      <c r="SD8">
        <v>0.16223799999999999</v>
      </c>
      <c r="SE8" t="s">
        <v>1606</v>
      </c>
      <c r="SF8">
        <v>2025</v>
      </c>
      <c r="SG8" t="s">
        <v>3619</v>
      </c>
      <c r="SH8" s="6">
        <v>45894</v>
      </c>
      <c r="SI8">
        <v>5</v>
      </c>
      <c r="SJ8">
        <v>8173540</v>
      </c>
      <c r="SK8">
        <v>69423747</v>
      </c>
      <c r="SL8" t="s">
        <v>3228</v>
      </c>
      <c r="SQ8" t="s">
        <v>3370</v>
      </c>
      <c r="SS8">
        <v>-2.4245362661989844E-14</v>
      </c>
      <c r="ST8">
        <v>-2.4245362661989844E-14</v>
      </c>
      <c r="SU8" t="s">
        <v>1664</v>
      </c>
      <c r="SV8">
        <v>2025</v>
      </c>
      <c r="SW8" t="s">
        <v>3524</v>
      </c>
      <c r="SX8" s="6">
        <v>45931</v>
      </c>
      <c r="SY8">
        <v>5</v>
      </c>
      <c r="SZ8">
        <v>-2.4245362661989844E-14</v>
      </c>
      <c r="TA8">
        <v>225275</v>
      </c>
      <c r="TB8" t="s">
        <v>3372</v>
      </c>
      <c r="TE8" t="s">
        <v>3770</v>
      </c>
      <c r="TF8">
        <v>-2.4245362661989844E-14</v>
      </c>
      <c r="TH8">
        <v>-2.4245362661989844E-14</v>
      </c>
      <c r="TI8" t="s">
        <v>1792</v>
      </c>
      <c r="TJ8">
        <v>2025</v>
      </c>
      <c r="TK8" t="s">
        <v>3771</v>
      </c>
      <c r="TL8" s="6">
        <v>45894</v>
      </c>
      <c r="TM8">
        <v>5</v>
      </c>
      <c r="TN8">
        <v>-2.4245362661989844E-14</v>
      </c>
      <c r="TO8">
        <v>8022858</v>
      </c>
      <c r="TP8" t="s">
        <v>3772</v>
      </c>
      <c r="UI8" t="s">
        <v>280</v>
      </c>
      <c r="UJ8">
        <v>0.67119499999999999</v>
      </c>
      <c r="UK8" t="s">
        <v>1598</v>
      </c>
      <c r="UL8">
        <v>8.0615000000000006E-2</v>
      </c>
      <c r="UM8" t="s">
        <v>1664</v>
      </c>
      <c r="UN8">
        <v>2025</v>
      </c>
      <c r="UO8" t="s">
        <v>2387</v>
      </c>
      <c r="UP8" s="6">
        <v>45947</v>
      </c>
      <c r="UQ8">
        <v>5</v>
      </c>
      <c r="UR8">
        <v>6584423</v>
      </c>
      <c r="US8">
        <v>101090</v>
      </c>
      <c r="UT8" t="s">
        <v>2388</v>
      </c>
      <c r="UY8" t="s">
        <v>2025</v>
      </c>
      <c r="UZ8" t="s">
        <v>1598</v>
      </c>
      <c r="VA8">
        <v>5.7817E-2</v>
      </c>
      <c r="VB8">
        <v>7.7380000000000001E-3</v>
      </c>
      <c r="VC8" t="s">
        <v>1606</v>
      </c>
      <c r="VD8">
        <v>2024</v>
      </c>
      <c r="VE8" t="s">
        <v>2026</v>
      </c>
      <c r="VF8" s="6">
        <v>45717</v>
      </c>
      <c r="VG8">
        <v>5</v>
      </c>
      <c r="VH8">
        <v>256757</v>
      </c>
      <c r="VI8">
        <v>106369</v>
      </c>
      <c r="VJ8" t="s">
        <v>2027</v>
      </c>
      <c r="VM8" t="s">
        <v>1609</v>
      </c>
      <c r="VN8">
        <v>-2.4245362661989844E-14</v>
      </c>
      <c r="VP8">
        <v>-2.4245362661989844E-14</v>
      </c>
      <c r="VQ8" t="s">
        <v>1594</v>
      </c>
      <c r="VR8">
        <v>2022</v>
      </c>
      <c r="VS8" t="s">
        <v>1610</v>
      </c>
      <c r="VT8" s="6">
        <v>44960</v>
      </c>
      <c r="VU8">
        <v>5</v>
      </c>
      <c r="VV8">
        <v>-2.4245362661989844E-14</v>
      </c>
      <c r="VW8">
        <v>392058</v>
      </c>
      <c r="VX8" t="s">
        <v>1611</v>
      </c>
    </row>
    <row r="9" spans="1:600" x14ac:dyDescent="0.25">
      <c r="A9" t="s">
        <v>3761</v>
      </c>
      <c r="C9">
        <v>-2.4245362661989844E-14</v>
      </c>
      <c r="D9">
        <v>-2.4245362661989844E-14</v>
      </c>
      <c r="E9" t="s">
        <v>1594</v>
      </c>
      <c r="F9">
        <v>2021</v>
      </c>
      <c r="G9" t="s">
        <v>3762</v>
      </c>
      <c r="H9" s="6">
        <v>44693</v>
      </c>
      <c r="I9">
        <v>5</v>
      </c>
      <c r="J9">
        <v>-2.4245362661989844E-14</v>
      </c>
      <c r="K9">
        <v>310116</v>
      </c>
      <c r="L9" t="s">
        <v>3763</v>
      </c>
      <c r="AE9" t="s">
        <v>3548</v>
      </c>
      <c r="AG9">
        <v>-2.4245362661989844E-14</v>
      </c>
      <c r="AH9">
        <v>-2.4245362661989844E-14</v>
      </c>
      <c r="AI9" t="s">
        <v>1594</v>
      </c>
      <c r="AJ9">
        <v>2024</v>
      </c>
      <c r="AK9" t="s">
        <v>3549</v>
      </c>
      <c r="AL9" s="6">
        <v>45775</v>
      </c>
      <c r="AM9">
        <v>5</v>
      </c>
      <c r="AN9">
        <v>-2.4245362661989844E-14</v>
      </c>
      <c r="AO9">
        <v>10142668</v>
      </c>
      <c r="AP9" t="s">
        <v>3550</v>
      </c>
      <c r="AS9" t="s">
        <v>3486</v>
      </c>
      <c r="AT9">
        <v>-2.4245362661989844E-14</v>
      </c>
      <c r="AV9">
        <v>-2.4245362661989844E-14</v>
      </c>
      <c r="AW9" t="s">
        <v>1594</v>
      </c>
      <c r="AX9">
        <v>2023</v>
      </c>
      <c r="AY9" t="s">
        <v>3484</v>
      </c>
      <c r="AZ9" s="6">
        <v>45271</v>
      </c>
      <c r="BA9">
        <v>5</v>
      </c>
      <c r="BB9">
        <v>-2.4245362661989844E-14</v>
      </c>
      <c r="BC9">
        <v>47145856</v>
      </c>
      <c r="BD9" t="s">
        <v>3487</v>
      </c>
      <c r="CM9" t="s">
        <v>1084</v>
      </c>
      <c r="CN9" t="s">
        <v>1685</v>
      </c>
      <c r="CO9">
        <v>5.9742000000000003E-2</v>
      </c>
      <c r="CP9">
        <v>0.18884000000000001</v>
      </c>
      <c r="CQ9" t="s">
        <v>1664</v>
      </c>
      <c r="CR9">
        <v>2025</v>
      </c>
      <c r="CS9" t="s">
        <v>2052</v>
      </c>
      <c r="CT9" s="6">
        <v>45838</v>
      </c>
      <c r="CU9">
        <v>5</v>
      </c>
      <c r="CV9">
        <v>3508648</v>
      </c>
      <c r="CW9">
        <v>101689</v>
      </c>
      <c r="CX9" t="s">
        <v>2053</v>
      </c>
      <c r="DA9" t="s">
        <v>1709</v>
      </c>
      <c r="DB9">
        <v>5.1640000000000002E-3</v>
      </c>
      <c r="DC9" t="s">
        <v>1598</v>
      </c>
      <c r="DD9">
        <v>5.0558560000000003</v>
      </c>
      <c r="DE9" t="s">
        <v>1594</v>
      </c>
      <c r="DF9">
        <v>2024</v>
      </c>
      <c r="DG9" t="s">
        <v>1710</v>
      </c>
      <c r="DH9" s="6">
        <v>45814</v>
      </c>
      <c r="DI9">
        <v>5</v>
      </c>
      <c r="DJ9">
        <v>310853.61</v>
      </c>
      <c r="DK9">
        <v>36034450</v>
      </c>
      <c r="DL9" t="s">
        <v>1711</v>
      </c>
      <c r="HC9" t="s">
        <v>4124</v>
      </c>
      <c r="HD9" t="s">
        <v>1598</v>
      </c>
      <c r="HE9">
        <v>46</v>
      </c>
      <c r="HF9">
        <v>1.5506709999999999</v>
      </c>
      <c r="HG9" t="s">
        <v>1599</v>
      </c>
      <c r="HH9">
        <v>2026</v>
      </c>
      <c r="HI9" t="s">
        <v>4125</v>
      </c>
      <c r="HJ9" s="6">
        <v>46063</v>
      </c>
      <c r="HK9">
        <v>5</v>
      </c>
      <c r="HL9">
        <v>19344000</v>
      </c>
      <c r="HM9">
        <v>54865572</v>
      </c>
      <c r="HN9" t="s">
        <v>4126</v>
      </c>
      <c r="HQ9" t="s">
        <v>2757</v>
      </c>
      <c r="HR9">
        <v>0.49554799999999999</v>
      </c>
      <c r="HS9" t="s">
        <v>1598</v>
      </c>
      <c r="HT9">
        <v>0.51135299999999995</v>
      </c>
      <c r="HU9" t="s">
        <v>1599</v>
      </c>
      <c r="HV9">
        <v>2026</v>
      </c>
      <c r="HW9" t="s">
        <v>4095</v>
      </c>
      <c r="HX9" s="6">
        <v>46051</v>
      </c>
      <c r="HY9">
        <v>5</v>
      </c>
      <c r="HZ9">
        <v>14250974</v>
      </c>
      <c r="IA9">
        <v>1133363</v>
      </c>
      <c r="IB9" t="s">
        <v>2758</v>
      </c>
      <c r="JK9" t="s">
        <v>2152</v>
      </c>
      <c r="JM9">
        <v>-2.4245362661989844E-14</v>
      </c>
      <c r="JN9">
        <v>-2.4245362661989844E-14</v>
      </c>
      <c r="JO9" t="s">
        <v>1594</v>
      </c>
      <c r="JP9">
        <v>2021</v>
      </c>
      <c r="JQ9" t="s">
        <v>2153</v>
      </c>
      <c r="JR9" s="6">
        <v>44693</v>
      </c>
      <c r="JS9">
        <v>5</v>
      </c>
      <c r="JT9">
        <v>-2.4245362661989844E-14</v>
      </c>
      <c r="JU9">
        <v>100060</v>
      </c>
      <c r="JV9" t="s">
        <v>2154</v>
      </c>
      <c r="KO9" t="s">
        <v>2855</v>
      </c>
      <c r="KQ9">
        <v>-2.4245362661989844E-14</v>
      </c>
      <c r="KR9">
        <v>-2.4245362661989844E-14</v>
      </c>
      <c r="KS9" t="s">
        <v>1594</v>
      </c>
      <c r="KT9">
        <v>2023</v>
      </c>
      <c r="KU9" t="s">
        <v>2856</v>
      </c>
      <c r="KV9" s="6">
        <v>45351</v>
      </c>
      <c r="KW9">
        <v>5</v>
      </c>
      <c r="KX9">
        <v>-2.4245362661989844E-14</v>
      </c>
      <c r="KY9">
        <v>202396</v>
      </c>
      <c r="KZ9" t="s">
        <v>2857</v>
      </c>
      <c r="LC9" t="s">
        <v>2410</v>
      </c>
      <c r="LD9">
        <v>-2.4245362661989844E-14</v>
      </c>
      <c r="LF9">
        <v>-2.4245362661989844E-14</v>
      </c>
      <c r="LG9" t="s">
        <v>1594</v>
      </c>
      <c r="LH9">
        <v>2023</v>
      </c>
      <c r="LI9" t="s">
        <v>2411</v>
      </c>
      <c r="LJ9" s="6">
        <v>45349</v>
      </c>
      <c r="LK9">
        <v>5</v>
      </c>
      <c r="LL9">
        <v>-2.4245362661989844E-14</v>
      </c>
      <c r="LM9">
        <v>70642886</v>
      </c>
      <c r="LN9" t="s">
        <v>2412</v>
      </c>
      <c r="LS9" t="s">
        <v>2678</v>
      </c>
      <c r="LT9" t="s">
        <v>1598</v>
      </c>
      <c r="LU9">
        <v>6.202</v>
      </c>
      <c r="LV9">
        <v>0.77525699999999997</v>
      </c>
      <c r="LW9" t="s">
        <v>1599</v>
      </c>
      <c r="LX9">
        <v>2025</v>
      </c>
      <c r="LY9" t="s">
        <v>2679</v>
      </c>
      <c r="LZ9" s="6">
        <v>45814</v>
      </c>
      <c r="MA9">
        <v>5</v>
      </c>
      <c r="MB9">
        <v>7163372</v>
      </c>
      <c r="MC9">
        <v>105871</v>
      </c>
      <c r="MD9" t="s">
        <v>2680</v>
      </c>
      <c r="MG9" t="s">
        <v>1671</v>
      </c>
      <c r="MH9">
        <v>2.6151529999999998</v>
      </c>
      <c r="MI9" t="s">
        <v>1598</v>
      </c>
      <c r="MJ9">
        <v>0.27024500000000001</v>
      </c>
      <c r="MK9" t="s">
        <v>1606</v>
      </c>
      <c r="ML9">
        <v>2025</v>
      </c>
      <c r="MM9" t="s">
        <v>1667</v>
      </c>
      <c r="MN9" s="6">
        <v>45946</v>
      </c>
      <c r="MO9">
        <v>5</v>
      </c>
      <c r="MP9">
        <v>51989240</v>
      </c>
      <c r="MQ9">
        <v>115643</v>
      </c>
      <c r="MR9" t="s">
        <v>1672</v>
      </c>
      <c r="MW9" t="s">
        <v>3808</v>
      </c>
      <c r="MX9" t="s">
        <v>1598</v>
      </c>
      <c r="MY9">
        <v>0.70987500000000003</v>
      </c>
      <c r="MZ9">
        <v>1.2434970000000001</v>
      </c>
      <c r="NA9" t="s">
        <v>1599</v>
      </c>
      <c r="NB9">
        <v>2025</v>
      </c>
      <c r="NC9" t="s">
        <v>3809</v>
      </c>
      <c r="ND9" s="6">
        <v>46035</v>
      </c>
      <c r="NE9">
        <v>5</v>
      </c>
      <c r="NF9">
        <v>14104989</v>
      </c>
      <c r="NG9">
        <v>302680</v>
      </c>
      <c r="NH9" t="s">
        <v>3810</v>
      </c>
      <c r="NK9" t="s">
        <v>22</v>
      </c>
      <c r="NL9">
        <v>1.0873699999999999</v>
      </c>
      <c r="NM9" t="s">
        <v>1598</v>
      </c>
      <c r="NN9">
        <v>0.18204000000000001</v>
      </c>
      <c r="NO9" t="s">
        <v>1599</v>
      </c>
      <c r="NP9">
        <v>2025</v>
      </c>
      <c r="NQ9" t="s">
        <v>2562</v>
      </c>
      <c r="NR9" s="6">
        <v>45891</v>
      </c>
      <c r="NS9">
        <v>5</v>
      </c>
      <c r="NT9">
        <v>31320040</v>
      </c>
      <c r="NU9">
        <v>101555</v>
      </c>
      <c r="NV9" t="s">
        <v>2130</v>
      </c>
      <c r="OA9" t="s">
        <v>5761</v>
      </c>
      <c r="OC9">
        <v>-2.4245362661989844E-14</v>
      </c>
      <c r="OD9">
        <v>-2.4245362661989844E-14</v>
      </c>
      <c r="OE9" t="s">
        <v>1594</v>
      </c>
      <c r="OF9">
        <v>2022</v>
      </c>
      <c r="OG9" t="s">
        <v>5762</v>
      </c>
      <c r="OH9" s="6">
        <v>44671</v>
      </c>
      <c r="OI9">
        <v>5</v>
      </c>
      <c r="OJ9">
        <v>-2.4245362661989844E-14</v>
      </c>
      <c r="OK9">
        <v>28251974</v>
      </c>
      <c r="OL9" t="s">
        <v>5763</v>
      </c>
      <c r="OO9" t="s">
        <v>1663</v>
      </c>
      <c r="OP9">
        <v>0.89465300000000003</v>
      </c>
      <c r="OQ9" t="s">
        <v>1598</v>
      </c>
      <c r="OR9">
        <v>1.2026999999999999E-2</v>
      </c>
      <c r="OS9" t="s">
        <v>1603</v>
      </c>
      <c r="OT9">
        <v>2026</v>
      </c>
      <c r="OU9" t="s">
        <v>5631</v>
      </c>
      <c r="OV9" s="6">
        <v>45884</v>
      </c>
      <c r="OW9">
        <v>5</v>
      </c>
      <c r="OX9">
        <v>14949652</v>
      </c>
      <c r="OY9">
        <v>101616</v>
      </c>
      <c r="OZ9" t="s">
        <v>1666</v>
      </c>
      <c r="PE9" t="s">
        <v>4393</v>
      </c>
      <c r="PG9">
        <v>-2.4245362661989844E-14</v>
      </c>
      <c r="PH9">
        <v>-2.4245362661989844E-14</v>
      </c>
      <c r="PI9" t="s">
        <v>1594</v>
      </c>
      <c r="PJ9">
        <v>2021</v>
      </c>
      <c r="PK9" t="s">
        <v>4394</v>
      </c>
      <c r="PL9" s="6">
        <v>44693</v>
      </c>
      <c r="PM9">
        <v>5</v>
      </c>
      <c r="PN9">
        <v>-2.4245362661989844E-14</v>
      </c>
      <c r="PO9">
        <v>100207</v>
      </c>
      <c r="PP9" t="s">
        <v>4395</v>
      </c>
      <c r="RM9" t="s">
        <v>460</v>
      </c>
      <c r="RO9">
        <v>-2.4245362661989844E-14</v>
      </c>
      <c r="RP9">
        <v>-2.4245362661989844E-14</v>
      </c>
      <c r="RQ9" t="s">
        <v>1594</v>
      </c>
      <c r="RR9">
        <v>2021</v>
      </c>
      <c r="RS9" t="s">
        <v>3010</v>
      </c>
      <c r="RT9" s="6">
        <v>44693</v>
      </c>
      <c r="RU9">
        <v>5</v>
      </c>
      <c r="RV9">
        <v>-2.4245362661989844E-14</v>
      </c>
      <c r="RW9">
        <v>54282724</v>
      </c>
      <c r="RX9" t="s">
        <v>3011</v>
      </c>
      <c r="SA9" t="s">
        <v>3622</v>
      </c>
      <c r="SB9">
        <v>2.2803619999999998</v>
      </c>
      <c r="SC9" t="s">
        <v>1598</v>
      </c>
      <c r="SD9">
        <v>0.22684099999999999</v>
      </c>
      <c r="SE9" t="s">
        <v>1606</v>
      </c>
      <c r="SF9">
        <v>2025</v>
      </c>
      <c r="SG9" t="s">
        <v>3619</v>
      </c>
      <c r="SH9" s="6">
        <v>45894</v>
      </c>
      <c r="SI9">
        <v>5</v>
      </c>
      <c r="SJ9">
        <v>6624452</v>
      </c>
      <c r="SK9">
        <v>115790</v>
      </c>
      <c r="SL9" t="s">
        <v>3623</v>
      </c>
      <c r="SQ9" t="s">
        <v>3525</v>
      </c>
      <c r="SS9">
        <v>-2.4245362661989844E-14</v>
      </c>
      <c r="ST9">
        <v>-2.4245362661989844E-14</v>
      </c>
      <c r="SU9" t="s">
        <v>1664</v>
      </c>
      <c r="SV9">
        <v>2025</v>
      </c>
      <c r="SW9" t="s">
        <v>3526</v>
      </c>
      <c r="SX9" s="6">
        <v>45890</v>
      </c>
      <c r="SY9">
        <v>5</v>
      </c>
      <c r="SZ9">
        <v>-2.4245362661989844E-14</v>
      </c>
      <c r="TA9">
        <v>23778263</v>
      </c>
      <c r="TB9" t="s">
        <v>3527</v>
      </c>
      <c r="TE9" t="s">
        <v>3773</v>
      </c>
      <c r="TF9">
        <v>-2.4245362661989844E-14</v>
      </c>
      <c r="TH9">
        <v>-2.4245362661989844E-14</v>
      </c>
      <c r="TI9" t="s">
        <v>1792</v>
      </c>
      <c r="TJ9">
        <v>2025</v>
      </c>
      <c r="TK9" t="s">
        <v>3774</v>
      </c>
      <c r="TL9" s="6">
        <v>45897</v>
      </c>
      <c r="TM9">
        <v>5</v>
      </c>
      <c r="TN9">
        <v>-2.4245362661989844E-14</v>
      </c>
      <c r="TO9">
        <v>28254989</v>
      </c>
      <c r="TP9" t="s">
        <v>3775</v>
      </c>
      <c r="UI9" t="s">
        <v>2191</v>
      </c>
      <c r="UJ9">
        <v>0.48005300000000001</v>
      </c>
      <c r="UK9" t="s">
        <v>1598</v>
      </c>
      <c r="UL9">
        <v>7.3125999999999997E-2</v>
      </c>
      <c r="UM9" t="s">
        <v>1664</v>
      </c>
      <c r="UN9">
        <v>2025</v>
      </c>
      <c r="UO9" t="s">
        <v>2387</v>
      </c>
      <c r="UP9" s="6">
        <v>45947</v>
      </c>
      <c r="UQ9">
        <v>5</v>
      </c>
      <c r="UR9">
        <v>4709320</v>
      </c>
      <c r="US9">
        <v>111270</v>
      </c>
      <c r="UT9" t="s">
        <v>2193</v>
      </c>
      <c r="UY9" t="s">
        <v>1609</v>
      </c>
      <c r="VA9">
        <v>-2.4245362661989844E-14</v>
      </c>
      <c r="VB9">
        <v>-2.4245362661989844E-14</v>
      </c>
      <c r="VC9" t="s">
        <v>1603</v>
      </c>
      <c r="VD9">
        <v>2025</v>
      </c>
      <c r="VE9" t="s">
        <v>1604</v>
      </c>
      <c r="VF9" s="6">
        <v>45779</v>
      </c>
      <c r="VG9">
        <v>5</v>
      </c>
      <c r="VH9">
        <v>-2.4245362661989844E-14</v>
      </c>
      <c r="VI9">
        <v>392058</v>
      </c>
      <c r="VJ9" t="s">
        <v>1611</v>
      </c>
      <c r="VM9" t="s">
        <v>1612</v>
      </c>
      <c r="VN9">
        <v>-2.4245362661989844E-14</v>
      </c>
      <c r="VP9">
        <v>-2.4245362661989844E-14</v>
      </c>
      <c r="VQ9" t="s">
        <v>1594</v>
      </c>
      <c r="VR9">
        <v>2023</v>
      </c>
      <c r="VS9" t="s">
        <v>1613</v>
      </c>
      <c r="VT9" s="6">
        <v>45099</v>
      </c>
      <c r="VU9">
        <v>5</v>
      </c>
      <c r="VV9">
        <v>-2.4245362661989844E-14</v>
      </c>
      <c r="VW9">
        <v>115114</v>
      </c>
      <c r="VX9" t="s">
        <v>1614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1526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1527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1528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1529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1530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1531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1532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1533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1534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1535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1536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1537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1538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1539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1540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1541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1542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1543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1544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1545</v>
      </c>
      <c r="AE2" s="3" t="s">
        <v>1546</v>
      </c>
      <c r="BI2" s="3" t="s">
        <v>1547</v>
      </c>
      <c r="CM2" s="3" t="s">
        <v>1548</v>
      </c>
      <c r="DQ2" s="3" t="s">
        <v>1549</v>
      </c>
      <c r="EU2" s="3" t="s">
        <v>1550</v>
      </c>
      <c r="FY2" s="3" t="s">
        <v>1551</v>
      </c>
      <c r="HC2" s="3" t="s">
        <v>1552</v>
      </c>
      <c r="IG2" s="3" t="s">
        <v>1553</v>
      </c>
      <c r="JK2" s="3" t="s">
        <v>146</v>
      </c>
      <c r="KO2" s="3" t="s">
        <v>1554</v>
      </c>
      <c r="LS2" s="3" t="s">
        <v>1555</v>
      </c>
      <c r="MW2" s="3" t="s">
        <v>1556</v>
      </c>
      <c r="OA2" s="3" t="s">
        <v>742</v>
      </c>
      <c r="PE2" s="3" t="s">
        <v>594</v>
      </c>
      <c r="QI2" s="3" t="s">
        <v>400</v>
      </c>
      <c r="RM2" s="3" t="s">
        <v>1557</v>
      </c>
      <c r="SQ2" s="3" t="s">
        <v>1558</v>
      </c>
      <c r="TU2" s="3" t="s">
        <v>652</v>
      </c>
      <c r="UY2" s="3" t="s">
        <v>1559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_xll.BDS("WLA US Equity","SUPPLY_CHAIN_SUPPLIERS_ALL_DATA")</f>
        <v>#N/A N/A</v>
      </c>
      <c r="O5" t="str">
        <f>_xll.BDS("WLA US Equity","SUPPLY_CHAIN_CUSTOMERS_ALL_DATA")</f>
        <v>#N/A N/A</v>
      </c>
      <c r="AE5" t="str">
        <f>_xll.BDS("SOCNQ US Equity","SUPPLY_CHAIN_SUPPLIERS_ALL_DATA")</f>
        <v>#N/A N/A</v>
      </c>
      <c r="AS5" t="str">
        <f>_xll.BDS("SOCNQ US Equity","SUPPLY_CHAIN_CUSTOMERS_ALL_DATA","cols=12;rows=1")</f>
        <v>GSANBOB1 MM Equity</v>
      </c>
      <c r="AT5">
        <v>-2.4245362661989844E-14</v>
      </c>
      <c r="AV5">
        <v>-2.4245362661989844E-14</v>
      </c>
      <c r="AW5" t="s">
        <v>1594</v>
      </c>
      <c r="AX5">
        <v>2022</v>
      </c>
      <c r="AY5" t="s">
        <v>5457</v>
      </c>
      <c r="AZ5" s="6">
        <v>44986</v>
      </c>
      <c r="BA5">
        <v>1</v>
      </c>
      <c r="BB5">
        <v>-2.4245362661989844E-14</v>
      </c>
      <c r="BC5">
        <v>34160980</v>
      </c>
      <c r="BD5" t="s">
        <v>5458</v>
      </c>
      <c r="BI5" t="str">
        <f>_xll.BDS("CVH US Equity","SUPPLY_CHAIN_SUPPLIERS_ALL_DATA")</f>
        <v>#N/A N/A</v>
      </c>
      <c r="BW5" t="str">
        <f>_xll.BDS("CVH US Equity","SUPPLY_CHAIN_CUSTOMERS_ALL_DATA")</f>
        <v>#N/A N/A</v>
      </c>
      <c r="CM5" t="str">
        <f>_xll.BDS("1041267D US Equity","SUPPLY_CHAIN_SUPPLIERS_ALL_DATA")</f>
        <v>#N/A N/A</v>
      </c>
      <c r="DA5" t="str">
        <f>_xll.BDS("1041267D US Equity","SUPPLY_CHAIN_CUSTOMERS_ALL_DATA")</f>
        <v>#N/A N/A</v>
      </c>
      <c r="DQ5" t="str">
        <f>_xll.BDS("URI US Equity","SUPPLY_CHAIN_SUPPLIERS_ALL_DATA","cols=12;rows=5")</f>
        <v>DE US Equity</v>
      </c>
      <c r="DR5" t="s">
        <v>1598</v>
      </c>
      <c r="DS5">
        <v>0.78303699999999998</v>
      </c>
      <c r="DT5">
        <v>3.9047879999999999</v>
      </c>
      <c r="DU5" t="s">
        <v>1599</v>
      </c>
      <c r="DV5">
        <v>2025</v>
      </c>
      <c r="DW5" t="s">
        <v>3730</v>
      </c>
      <c r="DX5" s="6">
        <v>45904</v>
      </c>
      <c r="DY5">
        <v>5</v>
      </c>
      <c r="DZ5">
        <v>94105384</v>
      </c>
      <c r="EA5">
        <v>100438</v>
      </c>
      <c r="EB5" t="s">
        <v>3731</v>
      </c>
      <c r="EE5" t="str">
        <f>_xll.BDS("URI US Equity","SUPPLY_CHAIN_CUSTOMERS_ALL_DATA","cols=12;rows=5")</f>
        <v>OSK US Equity</v>
      </c>
      <c r="EF5">
        <v>8.3140000000000002E-3</v>
      </c>
      <c r="EG5" t="s">
        <v>1598</v>
      </c>
      <c r="EH5">
        <v>1.6438999999999999E-2</v>
      </c>
      <c r="EI5" t="s">
        <v>1664</v>
      </c>
      <c r="EJ5">
        <v>2025</v>
      </c>
      <c r="EK5" t="s">
        <v>3638</v>
      </c>
      <c r="EL5" s="6">
        <v>45881</v>
      </c>
      <c r="EM5">
        <v>5</v>
      </c>
      <c r="EN5">
        <v>327839</v>
      </c>
      <c r="EO5">
        <v>105941</v>
      </c>
      <c r="EP5" t="s">
        <v>3639</v>
      </c>
      <c r="EU5" t="str">
        <f>_xll.BDS("NVP US Equity","SUPPLY_CHAIN_SUPPLIERS_ALL_DATA")</f>
        <v>#N/A N/A</v>
      </c>
      <c r="FI5" t="str">
        <f>_xll.BDS("NVP US Equity","SUPPLY_CHAIN_CUSTOMERS_ALL_DATA")</f>
        <v>#N/A N/A</v>
      </c>
      <c r="FY5" t="str">
        <f>_xll.BDS("2598Q US Equity","SUPPLY_CHAIN_SUPPLIERS_ALL_DATA")</f>
        <v>#N/A N/A</v>
      </c>
      <c r="GM5" t="str">
        <f>_xll.BDS("2598Q US Equity","SUPPLY_CHAIN_CUSTOMERS_ALL_DATA")</f>
        <v>#N/A N/A</v>
      </c>
      <c r="HC5" t="str">
        <f>_xll.BDS("EBAY US Equity","SUPPLY_CHAIN_SUPPLIERS_ALL_DATA","cols=12;rows=5")</f>
        <v>NVDA US Equity</v>
      </c>
      <c r="HD5" t="s">
        <v>1634</v>
      </c>
      <c r="HE5">
        <v>2.3053000000000001E-2</v>
      </c>
      <c r="HF5">
        <v>13.423348000000001</v>
      </c>
      <c r="HG5" t="s">
        <v>1606</v>
      </c>
      <c r="HH5">
        <v>2026</v>
      </c>
      <c r="HI5" t="s">
        <v>2004</v>
      </c>
      <c r="HJ5" s="6">
        <v>46087</v>
      </c>
      <c r="HK5">
        <v>5</v>
      </c>
      <c r="HL5">
        <v>15705317</v>
      </c>
      <c r="HM5">
        <v>313657</v>
      </c>
      <c r="HN5" t="s">
        <v>2005</v>
      </c>
      <c r="HQ5" t="str">
        <f>_xll.BDS("EBAY US Equity","SUPPLY_CHAIN_CUSTOMERS_ALL_DATA","cols=12;rows=5")</f>
        <v>3048 JP Equity</v>
      </c>
      <c r="HR5">
        <v>1.7252E-2</v>
      </c>
      <c r="HS5" t="s">
        <v>1598</v>
      </c>
      <c r="HT5">
        <v>3.9722E-2</v>
      </c>
      <c r="HU5" t="s">
        <v>1606</v>
      </c>
      <c r="HV5">
        <v>2025</v>
      </c>
      <c r="HW5" t="s">
        <v>1648</v>
      </c>
      <c r="HX5" s="6">
        <v>46013</v>
      </c>
      <c r="HY5">
        <v>5</v>
      </c>
      <c r="HZ5">
        <v>490132.1</v>
      </c>
      <c r="IA5">
        <v>9414129</v>
      </c>
      <c r="IB5" t="s">
        <v>1649</v>
      </c>
      <c r="IG5" t="str">
        <f>_xll.BDS("LNCE US Equity","SUPPLY_CHAIN_SUPPLIERS_ALL_DATA","cols=12;rows=1")</f>
        <v>FE US Equity</v>
      </c>
      <c r="II5">
        <v>-2.4245362661989844E-14</v>
      </c>
      <c r="IJ5">
        <v>-2.4245362661989844E-14</v>
      </c>
      <c r="IK5" t="s">
        <v>1594</v>
      </c>
      <c r="IL5">
        <v>2021</v>
      </c>
      <c r="IM5" t="s">
        <v>3048</v>
      </c>
      <c r="IN5" s="6">
        <v>44693</v>
      </c>
      <c r="IO5">
        <v>1</v>
      </c>
      <c r="IP5">
        <v>-2.4245362661989844E-14</v>
      </c>
      <c r="IQ5">
        <v>302916</v>
      </c>
      <c r="IR5" t="s">
        <v>3049</v>
      </c>
      <c r="IU5" t="str">
        <f>_xll.BDS("LNCE US Equity","SUPPLY_CHAIN_CUSTOMERS_ALL_DATA")</f>
        <v>#N/A N/A</v>
      </c>
      <c r="JK5" t="str">
        <f>_xll.BDS("CZR US Equity","SUPPLY_CHAIN_SUPPLIERS_ALL_DATA","cols=12;rows=5")</f>
        <v>VICI US Equity</v>
      </c>
      <c r="JL5" t="s">
        <v>1685</v>
      </c>
      <c r="JM5">
        <v>39</v>
      </c>
      <c r="JN5">
        <v>78.186974000000006</v>
      </c>
      <c r="JO5" t="s">
        <v>1594</v>
      </c>
      <c r="JP5">
        <v>2024</v>
      </c>
      <c r="JQ5" t="s">
        <v>2351</v>
      </c>
      <c r="JR5" s="6">
        <v>45708</v>
      </c>
      <c r="JS5">
        <v>5</v>
      </c>
      <c r="JT5">
        <v>375297472</v>
      </c>
      <c r="JU5">
        <v>55267607</v>
      </c>
      <c r="JV5" t="s">
        <v>2352</v>
      </c>
      <c r="JY5" t="str">
        <f>_xll.BDS("CZR US Equity","SUPPLY_CHAIN_CUSTOMERS_ALL_DATA","cols=12;rows=4")</f>
        <v>0127957D US Equity</v>
      </c>
      <c r="JZ5">
        <v>-2.4245362661989844E-14</v>
      </c>
      <c r="KB5">
        <v>-2.4245362661989844E-14</v>
      </c>
      <c r="KC5" t="s">
        <v>1594</v>
      </c>
      <c r="KD5">
        <v>2024</v>
      </c>
      <c r="KE5" t="s">
        <v>2870</v>
      </c>
      <c r="KF5" s="6">
        <v>45747</v>
      </c>
      <c r="KG5">
        <v>4</v>
      </c>
      <c r="KH5">
        <v>-2.4245362661989844E-14</v>
      </c>
      <c r="KI5">
        <v>19488118</v>
      </c>
      <c r="KJ5" t="s">
        <v>2871</v>
      </c>
      <c r="KO5" t="str">
        <f>_xll.BDS("SOGCQ US Equity","SUPPLY_CHAIN_SUPPLIERS_ALL_DATA")</f>
        <v>#N/A N/A</v>
      </c>
      <c r="LC5" t="str">
        <f>_xll.BDS("SOGCQ US Equity","SUPPLY_CHAIN_CUSTOMERS_ALL_DATA")</f>
        <v>#N/A N/A</v>
      </c>
      <c r="LS5" t="str">
        <f>_xll.BDS("0167866D US Equity","SUPPLY_CHAIN_SUPPLIERS_ALL_DATA")</f>
        <v>#N/A N/A</v>
      </c>
      <c r="MG5" t="str">
        <f>_xll.BDS("0167866D US Equity","SUPPLY_CHAIN_CUSTOMERS_ALL_DATA")</f>
        <v>#N/A N/A</v>
      </c>
      <c r="MW5" t="str">
        <f>_xll.BDS("DALRQ US Equity","SUPPLY_CHAIN_SUPPLIERS_ALL_DATA")</f>
        <v>#N/A N/A</v>
      </c>
      <c r="NK5" t="str">
        <f>_xll.BDS("DALRQ US Equity","SUPPLY_CHAIN_CUSTOMERS_ALL_DATA")</f>
        <v>#N/A N/A</v>
      </c>
      <c r="OA5" t="str">
        <f>_xll.BDS("CEQP US Equity","SUPPLY_CHAIN_SUPPLIERS_ALL_DATA")</f>
        <v>#N/A N/A</v>
      </c>
      <c r="OO5" t="str">
        <f>_xll.BDS("CEQP US Equity","SUPPLY_CHAIN_CUSTOMERS_ALL_DATA","cols=12;rows=1")</f>
        <v>SPH US Equity</v>
      </c>
      <c r="OP5">
        <v>-2.4245362661989844E-14</v>
      </c>
      <c r="OR5">
        <v>-2.4245362661989844E-14</v>
      </c>
      <c r="OS5" t="s">
        <v>1594</v>
      </c>
      <c r="OT5">
        <v>2022</v>
      </c>
      <c r="OU5" t="s">
        <v>3446</v>
      </c>
      <c r="OV5" s="6">
        <v>44888</v>
      </c>
      <c r="OW5">
        <v>1</v>
      </c>
      <c r="OX5">
        <v>-2.4245362661989844E-14</v>
      </c>
      <c r="OY5">
        <v>179984</v>
      </c>
      <c r="OZ5" t="s">
        <v>3447</v>
      </c>
      <c r="PE5" t="str">
        <f>_xll.BDS("1255459D US Equity","SUPPLY_CHAIN_SUPPLIERS_ALL_DATA","cols=12;rows=2")</f>
        <v>CREI LN Equity</v>
      </c>
      <c r="PG5">
        <v>-2.4245362661989844E-14</v>
      </c>
      <c r="PH5">
        <v>-2.4245362661989844E-14</v>
      </c>
      <c r="PI5" t="s">
        <v>1594</v>
      </c>
      <c r="PJ5">
        <v>2022</v>
      </c>
      <c r="PK5" t="s">
        <v>2891</v>
      </c>
      <c r="PL5" s="6">
        <v>44757</v>
      </c>
      <c r="PM5">
        <v>2</v>
      </c>
      <c r="PN5">
        <v>-2.4245362661989844E-14</v>
      </c>
      <c r="PO5">
        <v>39775273</v>
      </c>
      <c r="PP5" t="s">
        <v>2892</v>
      </c>
      <c r="PS5" t="str">
        <f>_xll.BDS("1255459D US Equity","SUPPLY_CHAIN_CUSTOMERS_ALL_DATA","cols=12;rows=5")</f>
        <v>028260 KS Equity</v>
      </c>
      <c r="PT5">
        <v>-2.4245362661989844E-14</v>
      </c>
      <c r="PV5">
        <v>-2.4245362661989844E-14</v>
      </c>
      <c r="PW5" t="s">
        <v>1651</v>
      </c>
      <c r="PX5">
        <v>2023</v>
      </c>
      <c r="PY5" t="s">
        <v>2435</v>
      </c>
      <c r="PZ5" s="6">
        <v>45244</v>
      </c>
      <c r="QA5">
        <v>5</v>
      </c>
      <c r="QB5">
        <v>-2.4245362661989844E-14</v>
      </c>
      <c r="QC5">
        <v>307967</v>
      </c>
      <c r="QD5" t="s">
        <v>2436</v>
      </c>
      <c r="QI5" t="str">
        <f>_xll.BDS("VER US Equity","SUPPLY_CHAIN_SUPPLIERS_ALL_DATA")</f>
        <v>#N/A N/A</v>
      </c>
      <c r="QW5" t="str">
        <f>_xll.BDS("VER US Equity","SUPPLY_CHAIN_CUSTOMERS_ALL_DATA")</f>
        <v>#N/A N/A</v>
      </c>
      <c r="RM5" t="str">
        <f>_xll.BDS("SRE US Equity","SUPPLY_CHAIN_SUPPLIERS_ALL_DATA","cols=12;rows=5")</f>
        <v>PWR US Equity</v>
      </c>
      <c r="RN5" t="s">
        <v>1634</v>
      </c>
      <c r="RO5">
        <v>2.421548</v>
      </c>
      <c r="RP5">
        <v>7.3187410000000002</v>
      </c>
      <c r="RQ5" t="s">
        <v>1599</v>
      </c>
      <c r="RR5">
        <v>2025</v>
      </c>
      <c r="RS5" t="s">
        <v>2321</v>
      </c>
      <c r="RT5" s="6">
        <v>45975</v>
      </c>
      <c r="RU5">
        <v>5</v>
      </c>
      <c r="RV5">
        <v>184798208</v>
      </c>
      <c r="RW5">
        <v>305366</v>
      </c>
      <c r="RX5" t="s">
        <v>2322</v>
      </c>
      <c r="SA5" t="str">
        <f>_xll.BDS("SRE US Equity","SUPPLY_CHAIN_CUSTOMERS_ALL_DATA","cols=12;rows=5")</f>
        <v>ARW US Equity</v>
      </c>
      <c r="SB5">
        <v>0.31648100000000001</v>
      </c>
      <c r="SC5" t="s">
        <v>1598</v>
      </c>
      <c r="SD5">
        <v>0.196909</v>
      </c>
      <c r="SE5" t="s">
        <v>1603</v>
      </c>
      <c r="SF5">
        <v>2025</v>
      </c>
      <c r="SG5" t="s">
        <v>1892</v>
      </c>
      <c r="SH5" s="6">
        <v>45784</v>
      </c>
      <c r="SI5">
        <v>5</v>
      </c>
      <c r="SJ5">
        <v>11893353</v>
      </c>
      <c r="SK5">
        <v>100115</v>
      </c>
      <c r="SL5" t="s">
        <v>1893</v>
      </c>
      <c r="SQ5" t="str">
        <f>_xll.BDS("UMPQ US Equity","SUPPLY_CHAIN_SUPPLIERS_ALL_DATA")</f>
        <v>#N/A N/A</v>
      </c>
      <c r="TE5" t="str">
        <f>_xll.BDS("UMPQ US Equity","SUPPLY_CHAIN_CUSTOMERS_ALL_DATA")</f>
        <v>#N/A N/A</v>
      </c>
      <c r="TU5" t="str">
        <f>_xll.BDS("3692470Q US Equity","SUPPLY_CHAIN_SUPPLIERS_ALL_DATA")</f>
        <v>#N/A N/A</v>
      </c>
      <c r="UI5" t="str">
        <f>_xll.BDS("3692470Q US Equity","SUPPLY_CHAIN_CUSTOMERS_ALL_DATA")</f>
        <v>#N/A N/A</v>
      </c>
      <c r="UY5" t="str">
        <f>_xll.BDS("UNVR US Equity","SUPPLY_CHAIN_SUPPLIERS_ALL_DATA","cols=12;rows=5")</f>
        <v>000210 KS Equity</v>
      </c>
      <c r="VA5">
        <v>-2.4245362661989844E-14</v>
      </c>
      <c r="VB5">
        <v>-2.4245362661989844E-14</v>
      </c>
      <c r="VC5" t="s">
        <v>1599</v>
      </c>
      <c r="VD5">
        <v>2022</v>
      </c>
      <c r="VE5" t="s">
        <v>4242</v>
      </c>
      <c r="VF5" s="6">
        <v>44866</v>
      </c>
      <c r="VG5">
        <v>5</v>
      </c>
      <c r="VH5">
        <v>-2.4245362661989844E-14</v>
      </c>
      <c r="VI5">
        <v>128990</v>
      </c>
      <c r="VJ5" t="s">
        <v>2034</v>
      </c>
      <c r="VM5" t="str">
        <f>_xll.BDS("UNVR US Equity","SUPPLY_CHAIN_CUSTOMERS_ALL_DATA","cols=12;rows=5")</f>
        <v>0676023D IN Equity</v>
      </c>
      <c r="VN5">
        <v>-2.4245362661989844E-14</v>
      </c>
      <c r="VP5">
        <v>-2.4245362661989844E-14</v>
      </c>
      <c r="VQ5" t="s">
        <v>1594</v>
      </c>
      <c r="VR5">
        <v>2025</v>
      </c>
      <c r="VS5" t="s">
        <v>4039</v>
      </c>
      <c r="VT5" s="6">
        <v>45911</v>
      </c>
      <c r="VU5">
        <v>5</v>
      </c>
      <c r="VV5">
        <v>-2.4245362661989844E-14</v>
      </c>
      <c r="VW5">
        <v>33910166</v>
      </c>
      <c r="VX5" t="s">
        <v>4040</v>
      </c>
    </row>
    <row r="6" spans="1:600" x14ac:dyDescent="0.25">
      <c r="DQ6" t="s">
        <v>3732</v>
      </c>
      <c r="DR6" t="s">
        <v>1598</v>
      </c>
      <c r="DS6">
        <v>3.0836000000000001</v>
      </c>
      <c r="DT6">
        <v>1.90262</v>
      </c>
      <c r="DU6" t="s">
        <v>1664</v>
      </c>
      <c r="DV6">
        <v>2025</v>
      </c>
      <c r="DW6" t="s">
        <v>3733</v>
      </c>
      <c r="DX6" s="6">
        <v>45912</v>
      </c>
      <c r="DY6">
        <v>5</v>
      </c>
      <c r="DZ6">
        <v>45853132</v>
      </c>
      <c r="EA6">
        <v>101455</v>
      </c>
      <c r="EB6" t="s">
        <v>3734</v>
      </c>
      <c r="EE6" t="s">
        <v>3640</v>
      </c>
      <c r="EF6">
        <v>-2.4245362661989844E-14</v>
      </c>
      <c r="EH6">
        <v>-2.4245362661989844E-14</v>
      </c>
      <c r="EI6" t="s">
        <v>1599</v>
      </c>
      <c r="EJ6">
        <v>2025</v>
      </c>
      <c r="EK6" t="s">
        <v>3641</v>
      </c>
      <c r="EL6" s="6">
        <v>45967</v>
      </c>
      <c r="EM6">
        <v>5</v>
      </c>
      <c r="EN6">
        <v>-2.4245362661989844E-14</v>
      </c>
      <c r="EO6">
        <v>50955988</v>
      </c>
      <c r="EP6" t="s">
        <v>3642</v>
      </c>
      <c r="HC6" t="s">
        <v>2006</v>
      </c>
      <c r="HD6" t="s">
        <v>1685</v>
      </c>
      <c r="HE6">
        <v>0.54386900000000005</v>
      </c>
      <c r="HF6">
        <v>0.33741900000000002</v>
      </c>
      <c r="HG6" t="s">
        <v>1599</v>
      </c>
      <c r="HH6">
        <v>2025</v>
      </c>
      <c r="HI6" t="s">
        <v>2007</v>
      </c>
      <c r="HJ6" s="6">
        <v>45993</v>
      </c>
      <c r="HK6">
        <v>5</v>
      </c>
      <c r="HL6">
        <v>2997596.46</v>
      </c>
      <c r="HM6">
        <v>17720101</v>
      </c>
      <c r="HN6" t="s">
        <v>2008</v>
      </c>
      <c r="HQ6" t="s">
        <v>1650</v>
      </c>
      <c r="HR6">
        <v>-2.4245362661989844E-14</v>
      </c>
      <c r="HT6">
        <v>-2.4245362661989844E-14</v>
      </c>
      <c r="HU6" t="s">
        <v>1651</v>
      </c>
      <c r="HV6">
        <v>2025</v>
      </c>
      <c r="HW6" t="s">
        <v>1652</v>
      </c>
      <c r="HX6" s="6">
        <v>45975</v>
      </c>
      <c r="HY6">
        <v>5</v>
      </c>
      <c r="HZ6">
        <v>-2.4245362661989844E-14</v>
      </c>
      <c r="IA6">
        <v>129450</v>
      </c>
      <c r="IB6" t="s">
        <v>1653</v>
      </c>
      <c r="JK6" t="s">
        <v>685</v>
      </c>
      <c r="JL6" t="s">
        <v>1685</v>
      </c>
      <c r="JM6">
        <v>6.9504669999999997</v>
      </c>
      <c r="JN6">
        <v>5.5442499999999999</v>
      </c>
      <c r="JO6" t="s">
        <v>1594</v>
      </c>
      <c r="JP6">
        <v>2024</v>
      </c>
      <c r="JQ6" t="s">
        <v>3390</v>
      </c>
      <c r="JR6" s="6">
        <v>45708</v>
      </c>
      <c r="JS6">
        <v>5</v>
      </c>
      <c r="JT6">
        <v>26612400</v>
      </c>
      <c r="JU6">
        <v>33372374</v>
      </c>
      <c r="JV6" t="s">
        <v>3391</v>
      </c>
      <c r="JY6" t="s">
        <v>2872</v>
      </c>
      <c r="JZ6">
        <v>-2.4245362661989844E-14</v>
      </c>
      <c r="KB6">
        <v>-2.4245362661989844E-14</v>
      </c>
      <c r="KC6" t="s">
        <v>1594</v>
      </c>
      <c r="KD6">
        <v>2025</v>
      </c>
      <c r="KE6" t="s">
        <v>2873</v>
      </c>
      <c r="KF6" s="6">
        <v>45786</v>
      </c>
      <c r="KG6">
        <v>4</v>
      </c>
      <c r="KH6">
        <v>-2.4245362661989844E-14</v>
      </c>
      <c r="KI6">
        <v>9351493</v>
      </c>
      <c r="KJ6" t="s">
        <v>2874</v>
      </c>
      <c r="PE6" t="s">
        <v>2893</v>
      </c>
      <c r="PG6">
        <v>-2.4245362661989844E-14</v>
      </c>
      <c r="PH6">
        <v>-2.4245362661989844E-14</v>
      </c>
      <c r="PI6" t="s">
        <v>1594</v>
      </c>
      <c r="PJ6">
        <v>2022</v>
      </c>
      <c r="PK6" t="s">
        <v>2894</v>
      </c>
      <c r="PL6" s="6">
        <v>44797</v>
      </c>
      <c r="PM6">
        <v>2</v>
      </c>
      <c r="PN6">
        <v>-2.4245362661989844E-14</v>
      </c>
      <c r="PO6">
        <v>42186257</v>
      </c>
      <c r="PP6" t="s">
        <v>2895</v>
      </c>
      <c r="PS6" t="s">
        <v>2437</v>
      </c>
      <c r="PT6">
        <v>-2.4245362661989844E-14</v>
      </c>
      <c r="PV6">
        <v>-2.4245362661989844E-14</v>
      </c>
      <c r="PW6" t="s">
        <v>2438</v>
      </c>
      <c r="PX6">
        <v>2025</v>
      </c>
      <c r="PY6" t="s">
        <v>2439</v>
      </c>
      <c r="PZ6" s="6">
        <v>45792</v>
      </c>
      <c r="QA6">
        <v>5</v>
      </c>
      <c r="QB6">
        <v>-2.4245362661989844E-14</v>
      </c>
      <c r="QC6">
        <v>25611178</v>
      </c>
      <c r="QD6" t="s">
        <v>2440</v>
      </c>
      <c r="RM6" t="s">
        <v>2942</v>
      </c>
      <c r="RN6" t="s">
        <v>1634</v>
      </c>
      <c r="RO6">
        <v>0.32771400000000001</v>
      </c>
      <c r="RP6">
        <v>1.0678909999999999</v>
      </c>
      <c r="RQ6" t="s">
        <v>1664</v>
      </c>
      <c r="RR6">
        <v>2026</v>
      </c>
      <c r="RS6" t="s">
        <v>4679</v>
      </c>
      <c r="RT6" s="6">
        <v>46080</v>
      </c>
      <c r="RU6">
        <v>5</v>
      </c>
      <c r="RV6">
        <v>26974857.350000001</v>
      </c>
      <c r="RW6">
        <v>114155</v>
      </c>
      <c r="RX6" t="s">
        <v>2943</v>
      </c>
      <c r="SA6" t="s">
        <v>2730</v>
      </c>
      <c r="SB6">
        <v>-2.4245362661989844E-14</v>
      </c>
      <c r="SD6">
        <v>-2.4245362661989844E-14</v>
      </c>
      <c r="SE6" t="s">
        <v>1594</v>
      </c>
      <c r="SF6">
        <v>2021</v>
      </c>
      <c r="SG6" t="s">
        <v>4685</v>
      </c>
      <c r="SH6" s="6">
        <v>44693</v>
      </c>
      <c r="SI6">
        <v>5</v>
      </c>
      <c r="SJ6">
        <v>-2.4245362661989844E-14</v>
      </c>
      <c r="SK6">
        <v>117832</v>
      </c>
      <c r="SL6" t="s">
        <v>2732</v>
      </c>
      <c r="UY6" t="s">
        <v>4243</v>
      </c>
      <c r="VA6">
        <v>-2.4245362661989844E-14</v>
      </c>
      <c r="VB6">
        <v>-2.4245362661989844E-14</v>
      </c>
      <c r="VC6" t="s">
        <v>1594</v>
      </c>
      <c r="VD6">
        <v>2021</v>
      </c>
      <c r="VE6" t="s">
        <v>4244</v>
      </c>
      <c r="VF6" s="6">
        <v>44648</v>
      </c>
      <c r="VG6">
        <v>5</v>
      </c>
      <c r="VH6">
        <v>-2.4245362661989844E-14</v>
      </c>
      <c r="VI6">
        <v>193790</v>
      </c>
      <c r="VJ6" t="s">
        <v>4245</v>
      </c>
      <c r="VM6" t="s">
        <v>4041</v>
      </c>
      <c r="VN6">
        <v>-2.4245362661989844E-14</v>
      </c>
      <c r="VP6">
        <v>-2.4245362661989844E-14</v>
      </c>
      <c r="VQ6" t="s">
        <v>1594</v>
      </c>
      <c r="VR6">
        <v>2022</v>
      </c>
      <c r="VS6" t="s">
        <v>4042</v>
      </c>
      <c r="VT6" s="6">
        <v>45055</v>
      </c>
      <c r="VU6">
        <v>5</v>
      </c>
      <c r="VV6">
        <v>-2.4245362661989844E-14</v>
      </c>
      <c r="VW6">
        <v>47163275</v>
      </c>
      <c r="VX6" t="s">
        <v>4043</v>
      </c>
    </row>
    <row r="7" spans="1:600" x14ac:dyDescent="0.25">
      <c r="DQ7" t="s">
        <v>3735</v>
      </c>
      <c r="DR7" t="s">
        <v>1598</v>
      </c>
      <c r="DS7">
        <v>12.7</v>
      </c>
      <c r="DT7">
        <v>1.8900570000000001</v>
      </c>
      <c r="DU7" t="s">
        <v>1594</v>
      </c>
      <c r="DV7">
        <v>2025</v>
      </c>
      <c r="DW7" t="s">
        <v>3736</v>
      </c>
      <c r="DX7" s="6">
        <v>45800</v>
      </c>
      <c r="DY7">
        <v>5</v>
      </c>
      <c r="DZ7">
        <v>44533644.140000001</v>
      </c>
      <c r="EA7">
        <v>7914750</v>
      </c>
      <c r="EB7" t="s">
        <v>3737</v>
      </c>
      <c r="EE7" t="s">
        <v>3643</v>
      </c>
      <c r="EF7">
        <v>-2.4245362661989844E-14</v>
      </c>
      <c r="EH7">
        <v>-2.4245362661989844E-14</v>
      </c>
      <c r="EI7" t="s">
        <v>1664</v>
      </c>
      <c r="EJ7">
        <v>2024</v>
      </c>
      <c r="EK7" t="s">
        <v>3644</v>
      </c>
      <c r="EL7" s="6">
        <v>45546</v>
      </c>
      <c r="EM7">
        <v>5</v>
      </c>
      <c r="EN7">
        <v>-2.4245362661989844E-14</v>
      </c>
      <c r="EO7">
        <v>27386014</v>
      </c>
      <c r="EP7" t="s">
        <v>3645</v>
      </c>
      <c r="HC7" t="s">
        <v>2009</v>
      </c>
      <c r="HD7" t="s">
        <v>1598</v>
      </c>
      <c r="HE7">
        <v>6.5024999999999999E-2</v>
      </c>
      <c r="HF7">
        <v>0.194164</v>
      </c>
      <c r="HG7" t="s">
        <v>1599</v>
      </c>
      <c r="HH7">
        <v>2025</v>
      </c>
      <c r="HI7" t="s">
        <v>2010</v>
      </c>
      <c r="HJ7" s="6">
        <v>45974</v>
      </c>
      <c r="HK7">
        <v>5</v>
      </c>
      <c r="HL7">
        <v>1595148.95</v>
      </c>
      <c r="HM7">
        <v>193571</v>
      </c>
      <c r="HN7" t="s">
        <v>2011</v>
      </c>
      <c r="HQ7" t="s">
        <v>1654</v>
      </c>
      <c r="HR7">
        <v>-2.4245362661989844E-14</v>
      </c>
      <c r="HT7">
        <v>-2.4245362661989844E-14</v>
      </c>
      <c r="HU7" t="s">
        <v>1594</v>
      </c>
      <c r="HV7">
        <v>2024</v>
      </c>
      <c r="HW7" t="s">
        <v>1655</v>
      </c>
      <c r="HX7" s="6">
        <v>45772</v>
      </c>
      <c r="HY7">
        <v>5</v>
      </c>
      <c r="HZ7">
        <v>-2.4245362661989844E-14</v>
      </c>
      <c r="IA7">
        <v>11236563</v>
      </c>
      <c r="IB7" t="s">
        <v>1656</v>
      </c>
      <c r="JK7" t="s">
        <v>143</v>
      </c>
      <c r="JL7" t="s">
        <v>1598</v>
      </c>
      <c r="JM7">
        <v>2.0341999999999999E-2</v>
      </c>
      <c r="JN7">
        <v>0.23408000000000001</v>
      </c>
      <c r="JO7" t="s">
        <v>1606</v>
      </c>
      <c r="JP7">
        <v>2025</v>
      </c>
      <c r="JQ7" t="s">
        <v>2251</v>
      </c>
      <c r="JR7" s="6">
        <v>45848</v>
      </c>
      <c r="JS7">
        <v>5</v>
      </c>
      <c r="JT7">
        <v>3234988</v>
      </c>
      <c r="JU7">
        <v>101752</v>
      </c>
      <c r="JV7" t="s">
        <v>2265</v>
      </c>
      <c r="JY7" t="s">
        <v>2875</v>
      </c>
      <c r="JZ7">
        <v>-2.4245362661989844E-14</v>
      </c>
      <c r="KB7">
        <v>-2.4245362661989844E-14</v>
      </c>
      <c r="KC7" t="s">
        <v>1594</v>
      </c>
      <c r="KD7">
        <v>2024</v>
      </c>
      <c r="KE7" t="s">
        <v>2876</v>
      </c>
      <c r="KF7" s="6">
        <v>45786</v>
      </c>
      <c r="KG7">
        <v>4</v>
      </c>
      <c r="KH7">
        <v>-2.4245362661989844E-14</v>
      </c>
      <c r="KI7">
        <v>7321067</v>
      </c>
      <c r="KJ7" t="s">
        <v>2877</v>
      </c>
      <c r="PS7" t="s">
        <v>2441</v>
      </c>
      <c r="PT7">
        <v>-2.4245362661989844E-14</v>
      </c>
      <c r="PV7">
        <v>-2.4245362661989844E-14</v>
      </c>
      <c r="PW7" t="s">
        <v>1651</v>
      </c>
      <c r="PX7">
        <v>2025</v>
      </c>
      <c r="PY7" t="s">
        <v>2442</v>
      </c>
      <c r="PZ7" s="6">
        <v>45973</v>
      </c>
      <c r="QA7">
        <v>5</v>
      </c>
      <c r="QB7">
        <v>-2.4245362661989844E-14</v>
      </c>
      <c r="QC7">
        <v>16444455</v>
      </c>
      <c r="QD7" t="s">
        <v>2443</v>
      </c>
      <c r="RM7" t="s">
        <v>3121</v>
      </c>
      <c r="RN7" t="s">
        <v>1634</v>
      </c>
      <c r="RO7">
        <v>1.324646</v>
      </c>
      <c r="RP7">
        <v>0.54658899999999999</v>
      </c>
      <c r="RQ7" t="s">
        <v>1606</v>
      </c>
      <c r="RR7">
        <v>2025</v>
      </c>
      <c r="RS7" t="s">
        <v>3122</v>
      </c>
      <c r="RT7" s="6">
        <v>46053</v>
      </c>
      <c r="RU7">
        <v>5</v>
      </c>
      <c r="RV7">
        <v>13801367</v>
      </c>
      <c r="RW7">
        <v>69755265</v>
      </c>
      <c r="RX7" t="s">
        <v>3123</v>
      </c>
      <c r="SA7" t="s">
        <v>2905</v>
      </c>
      <c r="SB7">
        <v>-2.4245362661989844E-14</v>
      </c>
      <c r="SD7">
        <v>-2.4245362661989844E-14</v>
      </c>
      <c r="SE7" t="s">
        <v>1594</v>
      </c>
      <c r="SF7">
        <v>2021</v>
      </c>
      <c r="SG7" t="s">
        <v>4685</v>
      </c>
      <c r="SH7" s="6">
        <v>44693</v>
      </c>
      <c r="SI7">
        <v>5</v>
      </c>
      <c r="SJ7">
        <v>-2.4245362661989844E-14</v>
      </c>
      <c r="SK7">
        <v>128948</v>
      </c>
      <c r="SL7" t="s">
        <v>2907</v>
      </c>
      <c r="UY7" t="s">
        <v>4246</v>
      </c>
      <c r="VA7">
        <v>-2.4245362661989844E-14</v>
      </c>
      <c r="VB7">
        <v>-2.4245362661989844E-14</v>
      </c>
      <c r="VC7" t="s">
        <v>1594</v>
      </c>
      <c r="VD7">
        <v>2025</v>
      </c>
      <c r="VE7" t="s">
        <v>4039</v>
      </c>
      <c r="VF7" s="6">
        <v>45800</v>
      </c>
      <c r="VG7">
        <v>5</v>
      </c>
      <c r="VH7">
        <v>-2.4245362661989844E-14</v>
      </c>
      <c r="VI7">
        <v>21831838</v>
      </c>
      <c r="VJ7" t="s">
        <v>4247</v>
      </c>
      <c r="VM7" t="s">
        <v>4044</v>
      </c>
      <c r="VN7">
        <v>-2.4245362661989844E-14</v>
      </c>
      <c r="VP7">
        <v>-2.4245362661989844E-14</v>
      </c>
      <c r="VQ7" t="s">
        <v>1594</v>
      </c>
      <c r="VR7">
        <v>2023</v>
      </c>
      <c r="VS7" t="s">
        <v>4039</v>
      </c>
      <c r="VT7" s="6">
        <v>44971</v>
      </c>
      <c r="VU7">
        <v>5</v>
      </c>
      <c r="VV7">
        <v>-2.4245362661989844E-14</v>
      </c>
      <c r="VW7">
        <v>18093166</v>
      </c>
      <c r="VX7" t="s">
        <v>4045</v>
      </c>
    </row>
    <row r="8" spans="1:600" x14ac:dyDescent="0.25">
      <c r="DQ8" t="s">
        <v>1150</v>
      </c>
      <c r="DR8" t="s">
        <v>1598</v>
      </c>
      <c r="DS8">
        <v>1.4937910000000001</v>
      </c>
      <c r="DT8">
        <v>1.4965649999999999</v>
      </c>
      <c r="DU8" t="s">
        <v>1664</v>
      </c>
      <c r="DV8">
        <v>2025</v>
      </c>
      <c r="DW8" t="s">
        <v>3638</v>
      </c>
      <c r="DX8" s="6">
        <v>45881</v>
      </c>
      <c r="DY8">
        <v>5</v>
      </c>
      <c r="DZ8">
        <v>36067208</v>
      </c>
      <c r="EA8">
        <v>105941</v>
      </c>
      <c r="EB8" t="s">
        <v>3639</v>
      </c>
      <c r="EE8" t="s">
        <v>3646</v>
      </c>
      <c r="EF8">
        <v>-2.4245362661989844E-14</v>
      </c>
      <c r="EH8">
        <v>-2.4245362661989844E-14</v>
      </c>
      <c r="EI8" t="s">
        <v>1603</v>
      </c>
      <c r="EJ8">
        <v>2025</v>
      </c>
      <c r="EK8" t="s">
        <v>3647</v>
      </c>
      <c r="EL8" s="6">
        <v>45763</v>
      </c>
      <c r="EM8">
        <v>5</v>
      </c>
      <c r="EN8">
        <v>-2.4245362661989844E-14</v>
      </c>
      <c r="EO8">
        <v>181899</v>
      </c>
      <c r="EP8" t="s">
        <v>3648</v>
      </c>
      <c r="HC8" t="s">
        <v>1416</v>
      </c>
      <c r="HD8" t="s">
        <v>1598</v>
      </c>
      <c r="HE8">
        <v>0.115412</v>
      </c>
      <c r="HF8">
        <v>0.162046</v>
      </c>
      <c r="HG8" t="s">
        <v>1603</v>
      </c>
      <c r="HH8">
        <v>2025</v>
      </c>
      <c r="HI8" t="s">
        <v>2012</v>
      </c>
      <c r="HJ8" s="6">
        <v>45834</v>
      </c>
      <c r="HK8">
        <v>5</v>
      </c>
      <c r="HL8">
        <v>1171592</v>
      </c>
      <c r="HM8">
        <v>393374</v>
      </c>
      <c r="HN8" t="s">
        <v>2013</v>
      </c>
      <c r="HQ8" t="s">
        <v>1657</v>
      </c>
      <c r="HR8">
        <v>-2.4245362661989844E-14</v>
      </c>
      <c r="HT8">
        <v>-2.4245362661989844E-14</v>
      </c>
      <c r="HU8" t="s">
        <v>1594</v>
      </c>
      <c r="HV8">
        <v>2021</v>
      </c>
      <c r="HW8" t="s">
        <v>1658</v>
      </c>
      <c r="HX8" s="6">
        <v>44678</v>
      </c>
      <c r="HY8">
        <v>5</v>
      </c>
      <c r="HZ8">
        <v>-2.4245362661989844E-14</v>
      </c>
      <c r="IA8">
        <v>13256827</v>
      </c>
      <c r="IB8" t="s">
        <v>1659</v>
      </c>
      <c r="JK8" t="s">
        <v>1084</v>
      </c>
      <c r="JL8" t="s">
        <v>1685</v>
      </c>
      <c r="JM8">
        <v>1.1539000000000001E-2</v>
      </c>
      <c r="JN8">
        <v>0.14030799999999999</v>
      </c>
      <c r="JO8" t="s">
        <v>1664</v>
      </c>
      <c r="JP8">
        <v>2025</v>
      </c>
      <c r="JQ8" t="s">
        <v>2052</v>
      </c>
      <c r="JR8" s="6">
        <v>45838</v>
      </c>
      <c r="JS8">
        <v>5</v>
      </c>
      <c r="JT8">
        <v>677685</v>
      </c>
      <c r="JU8">
        <v>101689</v>
      </c>
      <c r="JV8" t="s">
        <v>2053</v>
      </c>
      <c r="JY8" t="s">
        <v>2878</v>
      </c>
      <c r="JZ8">
        <v>-2.4245362661989844E-14</v>
      </c>
      <c r="KB8">
        <v>-2.4245362661989844E-14</v>
      </c>
      <c r="KC8" t="s">
        <v>1594</v>
      </c>
      <c r="KD8">
        <v>2025</v>
      </c>
      <c r="KE8" t="s">
        <v>2879</v>
      </c>
      <c r="KF8" s="6">
        <v>46079</v>
      </c>
      <c r="KG8">
        <v>4</v>
      </c>
      <c r="KH8">
        <v>-2.4245362661989844E-14</v>
      </c>
      <c r="KI8">
        <v>66329315</v>
      </c>
      <c r="KJ8" t="s">
        <v>2880</v>
      </c>
      <c r="PS8" t="s">
        <v>2444</v>
      </c>
      <c r="PT8">
        <v>-2.4245362661989844E-14</v>
      </c>
      <c r="PV8">
        <v>-2.4245362661989844E-14</v>
      </c>
      <c r="PW8" t="s">
        <v>1594</v>
      </c>
      <c r="PX8">
        <v>2024</v>
      </c>
      <c r="PY8" t="s">
        <v>2445</v>
      </c>
      <c r="PZ8" s="6">
        <v>45820</v>
      </c>
      <c r="QA8">
        <v>5</v>
      </c>
      <c r="QB8">
        <v>-2.4245362661989844E-14</v>
      </c>
      <c r="QC8">
        <v>48621274</v>
      </c>
      <c r="QD8" t="s">
        <v>2446</v>
      </c>
      <c r="RM8" t="s">
        <v>2317</v>
      </c>
      <c r="RN8" t="s">
        <v>1598</v>
      </c>
      <c r="RO8">
        <v>0.38901999999999998</v>
      </c>
      <c r="RP8">
        <v>0.96558500000000003</v>
      </c>
      <c r="RQ8" t="s">
        <v>1603</v>
      </c>
      <c r="RR8">
        <v>2025</v>
      </c>
      <c r="RS8" t="s">
        <v>2318</v>
      </c>
      <c r="RT8" s="6">
        <v>45863</v>
      </c>
      <c r="RU8">
        <v>5</v>
      </c>
      <c r="RV8">
        <v>6411485</v>
      </c>
      <c r="RW8">
        <v>10832677</v>
      </c>
      <c r="RX8" t="s">
        <v>2319</v>
      </c>
      <c r="SA8" t="s">
        <v>4686</v>
      </c>
      <c r="SB8">
        <v>-2.4245362661989844E-14</v>
      </c>
      <c r="SD8">
        <v>-2.4245362661989844E-14</v>
      </c>
      <c r="SE8" t="s">
        <v>1594</v>
      </c>
      <c r="SF8">
        <v>2021</v>
      </c>
      <c r="SG8" t="s">
        <v>4685</v>
      </c>
      <c r="SH8" s="6">
        <v>44693</v>
      </c>
      <c r="SI8">
        <v>5</v>
      </c>
      <c r="SJ8">
        <v>-2.4245362661989844E-14</v>
      </c>
      <c r="SK8">
        <v>129402</v>
      </c>
      <c r="SL8" t="s">
        <v>4687</v>
      </c>
      <c r="UY8" t="s">
        <v>4248</v>
      </c>
      <c r="VA8">
        <v>-2.4245362661989844E-14</v>
      </c>
      <c r="VB8">
        <v>-2.4245362661989844E-14</v>
      </c>
      <c r="VC8" t="s">
        <v>1594</v>
      </c>
      <c r="VD8">
        <v>2023</v>
      </c>
      <c r="VE8" t="s">
        <v>4039</v>
      </c>
      <c r="VF8" s="6">
        <v>45150</v>
      </c>
      <c r="VG8">
        <v>5</v>
      </c>
      <c r="VH8">
        <v>-2.4245362661989844E-14</v>
      </c>
      <c r="VI8">
        <v>17899143</v>
      </c>
      <c r="VJ8" t="s">
        <v>4249</v>
      </c>
      <c r="VM8" t="s">
        <v>4046</v>
      </c>
      <c r="VN8">
        <v>-2.4245362661989844E-14</v>
      </c>
      <c r="VP8">
        <v>-2.4245362661989844E-14</v>
      </c>
      <c r="VQ8" t="s">
        <v>1594</v>
      </c>
      <c r="VR8">
        <v>2022</v>
      </c>
      <c r="VS8" t="s">
        <v>4039</v>
      </c>
      <c r="VT8" s="6">
        <v>44635</v>
      </c>
      <c r="VU8">
        <v>5</v>
      </c>
      <c r="VV8">
        <v>-2.4245362661989844E-14</v>
      </c>
      <c r="VW8">
        <v>19205658</v>
      </c>
      <c r="VX8" t="s">
        <v>4047</v>
      </c>
    </row>
    <row r="9" spans="1:600" x14ac:dyDescent="0.25">
      <c r="DQ9" t="s">
        <v>2194</v>
      </c>
      <c r="DR9" t="s">
        <v>1598</v>
      </c>
      <c r="DS9">
        <v>1.700528</v>
      </c>
      <c r="DT9">
        <v>0.73907500000000004</v>
      </c>
      <c r="DU9" t="s">
        <v>1599</v>
      </c>
      <c r="DV9">
        <v>2025</v>
      </c>
      <c r="DW9" t="s">
        <v>2195</v>
      </c>
      <c r="DX9" s="6">
        <v>46022</v>
      </c>
      <c r="DY9">
        <v>5</v>
      </c>
      <c r="DZ9">
        <v>18949884</v>
      </c>
      <c r="EA9">
        <v>17300196</v>
      </c>
      <c r="EB9" t="s">
        <v>2196</v>
      </c>
      <c r="EE9" t="s">
        <v>3649</v>
      </c>
      <c r="EF9">
        <v>-2.4245362661989844E-14</v>
      </c>
      <c r="EH9">
        <v>-2.4245362661989844E-14</v>
      </c>
      <c r="EI9" t="s">
        <v>1594</v>
      </c>
      <c r="EJ9">
        <v>2022</v>
      </c>
      <c r="EK9" t="s">
        <v>3650</v>
      </c>
      <c r="EL9" s="6">
        <v>44761</v>
      </c>
      <c r="EM9">
        <v>5</v>
      </c>
      <c r="EN9">
        <v>-2.4245362661989844E-14</v>
      </c>
      <c r="EO9">
        <v>116667</v>
      </c>
      <c r="EP9" t="s">
        <v>3651</v>
      </c>
      <c r="HC9" t="s">
        <v>2014</v>
      </c>
      <c r="HD9" t="s">
        <v>1598</v>
      </c>
      <c r="HE9">
        <v>6.3853999999999994E-2</v>
      </c>
      <c r="HF9">
        <v>9.7213999999999995E-2</v>
      </c>
      <c r="HG9" t="s">
        <v>1664</v>
      </c>
      <c r="HH9">
        <v>2025</v>
      </c>
      <c r="HI9" t="s">
        <v>2015</v>
      </c>
      <c r="HJ9" s="6">
        <v>45957</v>
      </c>
      <c r="HK9">
        <v>5</v>
      </c>
      <c r="HL9">
        <v>754080.82</v>
      </c>
      <c r="HM9">
        <v>815087</v>
      </c>
      <c r="HN9" t="s">
        <v>2016</v>
      </c>
      <c r="HQ9" t="s">
        <v>1660</v>
      </c>
      <c r="HR9">
        <v>-2.4245362661989844E-14</v>
      </c>
      <c r="HT9">
        <v>-2.4245362661989844E-14</v>
      </c>
      <c r="HU9" t="s">
        <v>1594</v>
      </c>
      <c r="HV9">
        <v>2021</v>
      </c>
      <c r="HW9" t="s">
        <v>1661</v>
      </c>
      <c r="HX9" s="6">
        <v>44652</v>
      </c>
      <c r="HY9">
        <v>5</v>
      </c>
      <c r="HZ9">
        <v>-2.4245362661989844E-14</v>
      </c>
      <c r="IA9">
        <v>15069822</v>
      </c>
      <c r="IB9" t="s">
        <v>1662</v>
      </c>
      <c r="JK9" t="s">
        <v>3392</v>
      </c>
      <c r="JM9">
        <v>-2.4245362661989844E-14</v>
      </c>
      <c r="JN9">
        <v>-2.4245362661989844E-14</v>
      </c>
      <c r="JO9" t="s">
        <v>1594</v>
      </c>
      <c r="JP9">
        <v>2022</v>
      </c>
      <c r="JQ9" t="s">
        <v>2873</v>
      </c>
      <c r="JR9" s="6">
        <v>44776</v>
      </c>
      <c r="JS9">
        <v>5</v>
      </c>
      <c r="JT9">
        <v>-2.4245362661989844E-14</v>
      </c>
      <c r="JU9">
        <v>968833</v>
      </c>
      <c r="JV9" t="s">
        <v>3393</v>
      </c>
      <c r="PS9" t="s">
        <v>2447</v>
      </c>
      <c r="PT9">
        <v>-2.4245362661989844E-14</v>
      </c>
      <c r="PV9">
        <v>-2.4245362661989844E-14</v>
      </c>
      <c r="PW9" t="s">
        <v>1594</v>
      </c>
      <c r="PX9">
        <v>2024</v>
      </c>
      <c r="PY9" t="s">
        <v>2448</v>
      </c>
      <c r="PZ9" s="6">
        <v>45730</v>
      </c>
      <c r="QA9">
        <v>5</v>
      </c>
      <c r="QB9">
        <v>-2.4245362661989844E-14</v>
      </c>
      <c r="QC9">
        <v>11486695</v>
      </c>
      <c r="QD9" t="s">
        <v>2449</v>
      </c>
      <c r="RM9" t="s">
        <v>3241</v>
      </c>
      <c r="RN9" t="s">
        <v>1634</v>
      </c>
      <c r="RO9">
        <v>0.375971</v>
      </c>
      <c r="RP9">
        <v>0.17061000000000001</v>
      </c>
      <c r="RQ9" t="s">
        <v>1599</v>
      </c>
      <c r="RR9">
        <v>2025</v>
      </c>
      <c r="RS9" t="s">
        <v>3242</v>
      </c>
      <c r="RT9" s="6">
        <v>45966</v>
      </c>
      <c r="RU9">
        <v>5</v>
      </c>
      <c r="RV9">
        <v>3910380</v>
      </c>
      <c r="RW9">
        <v>10656931</v>
      </c>
      <c r="RX9" t="s">
        <v>3243</v>
      </c>
      <c r="SA9" t="s">
        <v>4688</v>
      </c>
      <c r="SB9">
        <v>-2.4245362661989844E-14</v>
      </c>
      <c r="SD9">
        <v>-2.4245362661989844E-14</v>
      </c>
      <c r="SE9" t="s">
        <v>1594</v>
      </c>
      <c r="SF9">
        <v>2021</v>
      </c>
      <c r="SG9" t="s">
        <v>4685</v>
      </c>
      <c r="SH9" s="6">
        <v>44693</v>
      </c>
      <c r="SI9">
        <v>5</v>
      </c>
      <c r="SJ9">
        <v>-2.4245362661989844E-14</v>
      </c>
      <c r="SK9">
        <v>17702840</v>
      </c>
      <c r="SL9" t="s">
        <v>4689</v>
      </c>
      <c r="UY9" t="s">
        <v>4250</v>
      </c>
      <c r="VA9">
        <v>-2.4245362661989844E-14</v>
      </c>
      <c r="VB9">
        <v>-2.4245362661989844E-14</v>
      </c>
      <c r="VC9" t="s">
        <v>1599</v>
      </c>
      <c r="VD9">
        <v>2022</v>
      </c>
      <c r="VE9" t="s">
        <v>4242</v>
      </c>
      <c r="VF9" s="6">
        <v>44866</v>
      </c>
      <c r="VG9">
        <v>5</v>
      </c>
      <c r="VH9">
        <v>-2.4245362661989844E-14</v>
      </c>
      <c r="VI9">
        <v>24743653</v>
      </c>
      <c r="VJ9" t="s">
        <v>4251</v>
      </c>
      <c r="VM9" t="s">
        <v>4048</v>
      </c>
      <c r="VN9">
        <v>-2.4245362661989844E-14</v>
      </c>
      <c r="VP9">
        <v>-2.4245362661989844E-14</v>
      </c>
      <c r="VQ9" t="s">
        <v>1594</v>
      </c>
      <c r="VR9">
        <v>2022</v>
      </c>
      <c r="VS9" t="s">
        <v>4049</v>
      </c>
      <c r="VT9" s="6">
        <v>45000</v>
      </c>
      <c r="VU9">
        <v>5</v>
      </c>
      <c r="VV9">
        <v>-2.4245362661989844E-14</v>
      </c>
      <c r="VW9">
        <v>26321205</v>
      </c>
      <c r="VX9" t="s">
        <v>4050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1561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1562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1563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1564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1565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1566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1567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1568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1569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1570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1571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1572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1573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1574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1575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1576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1577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1578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1579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1580</v>
      </c>
      <c r="AE2" s="3" t="s">
        <v>1581</v>
      </c>
      <c r="BI2" s="3" t="s">
        <v>1582</v>
      </c>
      <c r="CM2" s="3" t="s">
        <v>1583</v>
      </c>
      <c r="DQ2" s="3" t="s">
        <v>143</v>
      </c>
      <c r="EU2" s="3" t="s">
        <v>1584</v>
      </c>
      <c r="FY2" s="3" t="s">
        <v>1585</v>
      </c>
      <c r="HC2" s="3" t="s">
        <v>35</v>
      </c>
      <c r="IG2" s="3" t="s">
        <v>109</v>
      </c>
      <c r="JK2" s="3" t="s">
        <v>1586</v>
      </c>
      <c r="KO2" s="3" t="s">
        <v>113</v>
      </c>
      <c r="LS2" s="3" t="s">
        <v>1587</v>
      </c>
      <c r="MW2" s="3" t="s">
        <v>1588</v>
      </c>
      <c r="OA2" s="3" t="s">
        <v>1589</v>
      </c>
      <c r="PE2" s="3" t="s">
        <v>147</v>
      </c>
      <c r="QI2" s="3" t="s">
        <v>1590</v>
      </c>
      <c r="RM2" s="3" t="s">
        <v>113</v>
      </c>
      <c r="SQ2" s="3" t="s">
        <v>1591</v>
      </c>
      <c r="TU2" s="3" t="s">
        <v>277</v>
      </c>
      <c r="UY2" s="3" t="s">
        <v>1592</v>
      </c>
    </row>
    <row r="3" spans="1:600" x14ac:dyDescent="0.25">
      <c r="A3" s="4" t="s">
        <v>36</v>
      </c>
      <c r="O3" s="4" t="s">
        <v>37</v>
      </c>
      <c r="AE3" s="4" t="s">
        <v>36</v>
      </c>
      <c r="AS3" s="4" t="s">
        <v>37</v>
      </c>
      <c r="BI3" s="4" t="s">
        <v>36</v>
      </c>
      <c r="BW3" s="4" t="s">
        <v>37</v>
      </c>
      <c r="CM3" s="4" t="s">
        <v>36</v>
      </c>
      <c r="DA3" s="4" t="s">
        <v>37</v>
      </c>
      <c r="DQ3" s="4" t="s">
        <v>36</v>
      </c>
      <c r="EE3" s="4" t="s">
        <v>37</v>
      </c>
      <c r="EU3" s="4" t="s">
        <v>36</v>
      </c>
      <c r="FI3" s="4" t="s">
        <v>37</v>
      </c>
      <c r="FY3" s="4" t="s">
        <v>36</v>
      </c>
      <c r="GM3" s="4" t="s">
        <v>37</v>
      </c>
      <c r="HC3" s="4" t="s">
        <v>36</v>
      </c>
      <c r="HQ3" s="4" t="s">
        <v>37</v>
      </c>
      <c r="IG3" s="4" t="s">
        <v>36</v>
      </c>
      <c r="IU3" s="4" t="s">
        <v>37</v>
      </c>
      <c r="JK3" s="4" t="s">
        <v>36</v>
      </c>
      <c r="JY3" s="4" t="s">
        <v>37</v>
      </c>
      <c r="KO3" s="4" t="s">
        <v>36</v>
      </c>
      <c r="LC3" s="4" t="s">
        <v>37</v>
      </c>
      <c r="LS3" s="4" t="s">
        <v>36</v>
      </c>
      <c r="MG3" s="4" t="s">
        <v>37</v>
      </c>
      <c r="MW3" s="4" t="s">
        <v>36</v>
      </c>
      <c r="NK3" s="4" t="s">
        <v>37</v>
      </c>
      <c r="OA3" s="4" t="s">
        <v>36</v>
      </c>
      <c r="OO3" s="4" t="s">
        <v>37</v>
      </c>
      <c r="PE3" s="4" t="s">
        <v>36</v>
      </c>
      <c r="PS3" s="4" t="s">
        <v>37</v>
      </c>
      <c r="QI3" s="4" t="s">
        <v>36</v>
      </c>
      <c r="QW3" s="4" t="s">
        <v>37</v>
      </c>
      <c r="RM3" s="4" t="s">
        <v>36</v>
      </c>
      <c r="SA3" s="4" t="s">
        <v>37</v>
      </c>
      <c r="SQ3" s="4" t="s">
        <v>36</v>
      </c>
      <c r="TE3" s="4" t="s">
        <v>37</v>
      </c>
      <c r="TU3" s="4" t="s">
        <v>36</v>
      </c>
      <c r="UI3" s="4" t="s">
        <v>37</v>
      </c>
      <c r="UY3" s="4" t="s">
        <v>36</v>
      </c>
      <c r="VM3" s="4" t="s">
        <v>37</v>
      </c>
    </row>
    <row r="4" spans="1:600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  <c r="U4" s="5" t="s">
        <v>44</v>
      </c>
      <c r="V4" s="5" t="s">
        <v>45</v>
      </c>
      <c r="W4" s="5" t="s">
        <v>46</v>
      </c>
      <c r="X4" s="5" t="s">
        <v>47</v>
      </c>
      <c r="Y4" s="5" t="s">
        <v>48</v>
      </c>
      <c r="Z4" s="5" t="s">
        <v>49</v>
      </c>
      <c r="AE4" s="5" t="s">
        <v>38</v>
      </c>
      <c r="AF4" s="5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5" t="s">
        <v>47</v>
      </c>
      <c r="AO4" s="5" t="s">
        <v>48</v>
      </c>
      <c r="AP4" s="5" t="s">
        <v>49</v>
      </c>
      <c r="AS4" s="5" t="s">
        <v>38</v>
      </c>
      <c r="AT4" s="5" t="s">
        <v>39</v>
      </c>
      <c r="AU4" s="5" t="s">
        <v>40</v>
      </c>
      <c r="AV4" s="5" t="s">
        <v>41</v>
      </c>
      <c r="AW4" s="5" t="s">
        <v>42</v>
      </c>
      <c r="AX4" s="5" t="s">
        <v>43</v>
      </c>
      <c r="AY4" s="5" t="s">
        <v>44</v>
      </c>
      <c r="AZ4" s="5" t="s">
        <v>45</v>
      </c>
      <c r="BA4" s="5" t="s">
        <v>46</v>
      </c>
      <c r="BB4" s="5" t="s">
        <v>47</v>
      </c>
      <c r="BC4" s="5" t="s">
        <v>48</v>
      </c>
      <c r="BD4" s="5" t="s">
        <v>49</v>
      </c>
      <c r="BI4" s="5" t="s">
        <v>38</v>
      </c>
      <c r="BJ4" s="5" t="s">
        <v>39</v>
      </c>
      <c r="BK4" s="5" t="s">
        <v>40</v>
      </c>
      <c r="BL4" s="5" t="s">
        <v>41</v>
      </c>
      <c r="BM4" s="5" t="s">
        <v>42</v>
      </c>
      <c r="BN4" s="5" t="s">
        <v>43</v>
      </c>
      <c r="BO4" s="5" t="s">
        <v>44</v>
      </c>
      <c r="BP4" s="5" t="s">
        <v>45</v>
      </c>
      <c r="BQ4" s="5" t="s">
        <v>46</v>
      </c>
      <c r="BR4" s="5" t="s">
        <v>47</v>
      </c>
      <c r="BS4" s="5" t="s">
        <v>48</v>
      </c>
      <c r="BT4" s="5" t="s">
        <v>49</v>
      </c>
      <c r="BW4" s="5" t="s">
        <v>38</v>
      </c>
      <c r="BX4" s="5" t="s">
        <v>39</v>
      </c>
      <c r="BY4" s="5" t="s">
        <v>40</v>
      </c>
      <c r="BZ4" s="5" t="s">
        <v>41</v>
      </c>
      <c r="CA4" s="5" t="s">
        <v>42</v>
      </c>
      <c r="CB4" s="5" t="s">
        <v>43</v>
      </c>
      <c r="CC4" s="5" t="s">
        <v>44</v>
      </c>
      <c r="CD4" s="5" t="s">
        <v>45</v>
      </c>
      <c r="CE4" s="5" t="s">
        <v>46</v>
      </c>
      <c r="CF4" s="5" t="s">
        <v>47</v>
      </c>
      <c r="CG4" s="5" t="s">
        <v>48</v>
      </c>
      <c r="CH4" s="5" t="s">
        <v>49</v>
      </c>
      <c r="CM4" s="5" t="s">
        <v>38</v>
      </c>
      <c r="CN4" s="5" t="s">
        <v>39</v>
      </c>
      <c r="CO4" s="5" t="s">
        <v>40</v>
      </c>
      <c r="CP4" s="5" t="s">
        <v>41</v>
      </c>
      <c r="CQ4" s="5" t="s">
        <v>42</v>
      </c>
      <c r="CR4" s="5" t="s">
        <v>43</v>
      </c>
      <c r="CS4" s="5" t="s">
        <v>44</v>
      </c>
      <c r="CT4" s="5" t="s">
        <v>45</v>
      </c>
      <c r="CU4" s="5" t="s">
        <v>46</v>
      </c>
      <c r="CV4" s="5" t="s">
        <v>47</v>
      </c>
      <c r="CW4" s="5" t="s">
        <v>48</v>
      </c>
      <c r="CX4" s="5" t="s">
        <v>49</v>
      </c>
      <c r="DA4" s="5" t="s">
        <v>38</v>
      </c>
      <c r="DB4" s="5" t="s">
        <v>39</v>
      </c>
      <c r="DC4" s="5" t="s">
        <v>40</v>
      </c>
      <c r="DD4" s="5" t="s">
        <v>41</v>
      </c>
      <c r="DE4" s="5" t="s">
        <v>42</v>
      </c>
      <c r="DF4" s="5" t="s">
        <v>43</v>
      </c>
      <c r="DG4" s="5" t="s">
        <v>44</v>
      </c>
      <c r="DH4" s="5" t="s">
        <v>45</v>
      </c>
      <c r="DI4" s="5" t="s">
        <v>46</v>
      </c>
      <c r="DJ4" s="5" t="s">
        <v>47</v>
      </c>
      <c r="DK4" s="5" t="s">
        <v>48</v>
      </c>
      <c r="DL4" s="5" t="s">
        <v>49</v>
      </c>
      <c r="DQ4" s="5" t="s">
        <v>38</v>
      </c>
      <c r="DR4" s="5" t="s">
        <v>39</v>
      </c>
      <c r="DS4" s="5" t="s">
        <v>40</v>
      </c>
      <c r="DT4" s="5" t="s">
        <v>41</v>
      </c>
      <c r="DU4" s="5" t="s">
        <v>42</v>
      </c>
      <c r="DV4" s="5" t="s">
        <v>43</v>
      </c>
      <c r="DW4" s="5" t="s">
        <v>44</v>
      </c>
      <c r="DX4" s="5" t="s">
        <v>45</v>
      </c>
      <c r="DY4" s="5" t="s">
        <v>46</v>
      </c>
      <c r="DZ4" s="5" t="s">
        <v>47</v>
      </c>
      <c r="EA4" s="5" t="s">
        <v>48</v>
      </c>
      <c r="EB4" s="5" t="s">
        <v>49</v>
      </c>
      <c r="EE4" s="5" t="s">
        <v>38</v>
      </c>
      <c r="EF4" s="5" t="s">
        <v>39</v>
      </c>
      <c r="EG4" s="5" t="s">
        <v>40</v>
      </c>
      <c r="EH4" s="5" t="s">
        <v>41</v>
      </c>
      <c r="EI4" s="5" t="s">
        <v>42</v>
      </c>
      <c r="EJ4" s="5" t="s">
        <v>43</v>
      </c>
      <c r="EK4" s="5" t="s">
        <v>44</v>
      </c>
      <c r="EL4" s="5" t="s">
        <v>45</v>
      </c>
      <c r="EM4" s="5" t="s">
        <v>46</v>
      </c>
      <c r="EN4" s="5" t="s">
        <v>47</v>
      </c>
      <c r="EO4" s="5" t="s">
        <v>48</v>
      </c>
      <c r="EP4" s="5" t="s">
        <v>49</v>
      </c>
      <c r="EU4" s="5" t="s">
        <v>38</v>
      </c>
      <c r="EV4" s="5" t="s">
        <v>39</v>
      </c>
      <c r="EW4" s="5" t="s">
        <v>40</v>
      </c>
      <c r="EX4" s="5" t="s">
        <v>41</v>
      </c>
      <c r="EY4" s="5" t="s">
        <v>42</v>
      </c>
      <c r="EZ4" s="5" t="s">
        <v>43</v>
      </c>
      <c r="FA4" s="5" t="s">
        <v>44</v>
      </c>
      <c r="FB4" s="5" t="s">
        <v>45</v>
      </c>
      <c r="FC4" s="5" t="s">
        <v>46</v>
      </c>
      <c r="FD4" s="5" t="s">
        <v>47</v>
      </c>
      <c r="FE4" s="5" t="s">
        <v>48</v>
      </c>
      <c r="FF4" s="5" t="s">
        <v>49</v>
      </c>
      <c r="FI4" s="5" t="s">
        <v>38</v>
      </c>
      <c r="FJ4" s="5" t="s">
        <v>39</v>
      </c>
      <c r="FK4" s="5" t="s">
        <v>40</v>
      </c>
      <c r="FL4" s="5" t="s">
        <v>41</v>
      </c>
      <c r="FM4" s="5" t="s">
        <v>42</v>
      </c>
      <c r="FN4" s="5" t="s">
        <v>43</v>
      </c>
      <c r="FO4" s="5" t="s">
        <v>44</v>
      </c>
      <c r="FP4" s="5" t="s">
        <v>45</v>
      </c>
      <c r="FQ4" s="5" t="s">
        <v>46</v>
      </c>
      <c r="FR4" s="5" t="s">
        <v>47</v>
      </c>
      <c r="FS4" s="5" t="s">
        <v>48</v>
      </c>
      <c r="FT4" s="5" t="s">
        <v>49</v>
      </c>
      <c r="FY4" s="5" t="s">
        <v>38</v>
      </c>
      <c r="FZ4" s="5" t="s">
        <v>39</v>
      </c>
      <c r="GA4" s="5" t="s">
        <v>40</v>
      </c>
      <c r="GB4" s="5" t="s">
        <v>41</v>
      </c>
      <c r="GC4" s="5" t="s">
        <v>42</v>
      </c>
      <c r="GD4" s="5" t="s">
        <v>43</v>
      </c>
      <c r="GE4" s="5" t="s">
        <v>44</v>
      </c>
      <c r="GF4" s="5" t="s">
        <v>45</v>
      </c>
      <c r="GG4" s="5" t="s">
        <v>46</v>
      </c>
      <c r="GH4" s="5" t="s">
        <v>47</v>
      </c>
      <c r="GI4" s="5" t="s">
        <v>48</v>
      </c>
      <c r="GJ4" s="5" t="s">
        <v>49</v>
      </c>
      <c r="GM4" s="5" t="s">
        <v>38</v>
      </c>
      <c r="GN4" s="5" t="s">
        <v>39</v>
      </c>
      <c r="GO4" s="5" t="s">
        <v>40</v>
      </c>
      <c r="GP4" s="5" t="s">
        <v>41</v>
      </c>
      <c r="GQ4" s="5" t="s">
        <v>42</v>
      </c>
      <c r="GR4" s="5" t="s">
        <v>43</v>
      </c>
      <c r="GS4" s="5" t="s">
        <v>44</v>
      </c>
      <c r="GT4" s="5" t="s">
        <v>45</v>
      </c>
      <c r="GU4" s="5" t="s">
        <v>46</v>
      </c>
      <c r="GV4" s="5" t="s">
        <v>47</v>
      </c>
      <c r="GW4" s="5" t="s">
        <v>48</v>
      </c>
      <c r="GX4" s="5" t="s">
        <v>49</v>
      </c>
      <c r="HC4" s="5" t="s">
        <v>38</v>
      </c>
      <c r="HD4" s="5" t="s">
        <v>39</v>
      </c>
      <c r="HE4" s="5" t="s">
        <v>40</v>
      </c>
      <c r="HF4" s="5" t="s">
        <v>41</v>
      </c>
      <c r="HG4" s="5" t="s">
        <v>42</v>
      </c>
      <c r="HH4" s="5" t="s">
        <v>43</v>
      </c>
      <c r="HI4" s="5" t="s">
        <v>44</v>
      </c>
      <c r="HJ4" s="5" t="s">
        <v>45</v>
      </c>
      <c r="HK4" s="5" t="s">
        <v>46</v>
      </c>
      <c r="HL4" s="5" t="s">
        <v>47</v>
      </c>
      <c r="HM4" s="5" t="s">
        <v>48</v>
      </c>
      <c r="HN4" s="5" t="s">
        <v>49</v>
      </c>
      <c r="HQ4" s="5" t="s">
        <v>38</v>
      </c>
      <c r="HR4" s="5" t="s">
        <v>39</v>
      </c>
      <c r="HS4" s="5" t="s">
        <v>40</v>
      </c>
      <c r="HT4" s="5" t="s">
        <v>41</v>
      </c>
      <c r="HU4" s="5" t="s">
        <v>42</v>
      </c>
      <c r="HV4" s="5" t="s">
        <v>43</v>
      </c>
      <c r="HW4" s="5" t="s">
        <v>44</v>
      </c>
      <c r="HX4" s="5" t="s">
        <v>45</v>
      </c>
      <c r="HY4" s="5" t="s">
        <v>46</v>
      </c>
      <c r="HZ4" s="5" t="s">
        <v>47</v>
      </c>
      <c r="IA4" s="5" t="s">
        <v>48</v>
      </c>
      <c r="IB4" s="5" t="s">
        <v>49</v>
      </c>
      <c r="IG4" s="5" t="s">
        <v>38</v>
      </c>
      <c r="IH4" s="5" t="s">
        <v>39</v>
      </c>
      <c r="II4" s="5" t="s">
        <v>40</v>
      </c>
      <c r="IJ4" s="5" t="s">
        <v>41</v>
      </c>
      <c r="IK4" s="5" t="s">
        <v>42</v>
      </c>
      <c r="IL4" s="5" t="s">
        <v>43</v>
      </c>
      <c r="IM4" s="5" t="s">
        <v>44</v>
      </c>
      <c r="IN4" s="5" t="s">
        <v>45</v>
      </c>
      <c r="IO4" s="5" t="s">
        <v>46</v>
      </c>
      <c r="IP4" s="5" t="s">
        <v>47</v>
      </c>
      <c r="IQ4" s="5" t="s">
        <v>48</v>
      </c>
      <c r="IR4" s="5" t="s">
        <v>49</v>
      </c>
      <c r="IU4" s="5" t="s">
        <v>38</v>
      </c>
      <c r="IV4" s="5" t="s">
        <v>39</v>
      </c>
      <c r="IW4" s="5" t="s">
        <v>40</v>
      </c>
      <c r="IX4" s="5" t="s">
        <v>41</v>
      </c>
      <c r="IY4" s="5" t="s">
        <v>42</v>
      </c>
      <c r="IZ4" s="5" t="s">
        <v>43</v>
      </c>
      <c r="JA4" s="5" t="s">
        <v>44</v>
      </c>
      <c r="JB4" s="5" t="s">
        <v>45</v>
      </c>
      <c r="JC4" s="5" t="s">
        <v>46</v>
      </c>
      <c r="JD4" s="5" t="s">
        <v>47</v>
      </c>
      <c r="JE4" s="5" t="s">
        <v>48</v>
      </c>
      <c r="JF4" s="5" t="s">
        <v>49</v>
      </c>
      <c r="JK4" s="5" t="s">
        <v>38</v>
      </c>
      <c r="JL4" s="5" t="s">
        <v>39</v>
      </c>
      <c r="JM4" s="5" t="s">
        <v>40</v>
      </c>
      <c r="JN4" s="5" t="s">
        <v>41</v>
      </c>
      <c r="JO4" s="5" t="s">
        <v>42</v>
      </c>
      <c r="JP4" s="5" t="s">
        <v>43</v>
      </c>
      <c r="JQ4" s="5" t="s">
        <v>44</v>
      </c>
      <c r="JR4" s="5" t="s">
        <v>45</v>
      </c>
      <c r="JS4" s="5" t="s">
        <v>46</v>
      </c>
      <c r="JT4" s="5" t="s">
        <v>47</v>
      </c>
      <c r="JU4" s="5" t="s">
        <v>48</v>
      </c>
      <c r="JV4" s="5" t="s">
        <v>49</v>
      </c>
      <c r="JY4" s="5" t="s">
        <v>38</v>
      </c>
      <c r="JZ4" s="5" t="s">
        <v>39</v>
      </c>
      <c r="KA4" s="5" t="s">
        <v>40</v>
      </c>
      <c r="KB4" s="5" t="s">
        <v>41</v>
      </c>
      <c r="KC4" s="5" t="s">
        <v>42</v>
      </c>
      <c r="KD4" s="5" t="s">
        <v>43</v>
      </c>
      <c r="KE4" s="5" t="s">
        <v>44</v>
      </c>
      <c r="KF4" s="5" t="s">
        <v>45</v>
      </c>
      <c r="KG4" s="5" t="s">
        <v>46</v>
      </c>
      <c r="KH4" s="5" t="s">
        <v>47</v>
      </c>
      <c r="KI4" s="5" t="s">
        <v>48</v>
      </c>
      <c r="KJ4" s="5" t="s">
        <v>49</v>
      </c>
      <c r="KO4" s="5" t="s">
        <v>38</v>
      </c>
      <c r="KP4" s="5" t="s">
        <v>39</v>
      </c>
      <c r="KQ4" s="5" t="s">
        <v>40</v>
      </c>
      <c r="KR4" s="5" t="s">
        <v>41</v>
      </c>
      <c r="KS4" s="5" t="s">
        <v>42</v>
      </c>
      <c r="KT4" s="5" t="s">
        <v>43</v>
      </c>
      <c r="KU4" s="5" t="s">
        <v>44</v>
      </c>
      <c r="KV4" s="5" t="s">
        <v>45</v>
      </c>
      <c r="KW4" s="5" t="s">
        <v>46</v>
      </c>
      <c r="KX4" s="5" t="s">
        <v>47</v>
      </c>
      <c r="KY4" s="5" t="s">
        <v>48</v>
      </c>
      <c r="KZ4" s="5" t="s">
        <v>49</v>
      </c>
      <c r="LC4" s="5" t="s">
        <v>38</v>
      </c>
      <c r="LD4" s="5" t="s">
        <v>39</v>
      </c>
      <c r="LE4" s="5" t="s">
        <v>40</v>
      </c>
      <c r="LF4" s="5" t="s">
        <v>41</v>
      </c>
      <c r="LG4" s="5" t="s">
        <v>42</v>
      </c>
      <c r="LH4" s="5" t="s">
        <v>43</v>
      </c>
      <c r="LI4" s="5" t="s">
        <v>44</v>
      </c>
      <c r="LJ4" s="5" t="s">
        <v>45</v>
      </c>
      <c r="LK4" s="5" t="s">
        <v>46</v>
      </c>
      <c r="LL4" s="5" t="s">
        <v>47</v>
      </c>
      <c r="LM4" s="5" t="s">
        <v>48</v>
      </c>
      <c r="LN4" s="5" t="s">
        <v>49</v>
      </c>
      <c r="LS4" s="5" t="s">
        <v>38</v>
      </c>
      <c r="LT4" s="5" t="s">
        <v>39</v>
      </c>
      <c r="LU4" s="5" t="s">
        <v>40</v>
      </c>
      <c r="LV4" s="5" t="s">
        <v>41</v>
      </c>
      <c r="LW4" s="5" t="s">
        <v>42</v>
      </c>
      <c r="LX4" s="5" t="s">
        <v>43</v>
      </c>
      <c r="LY4" s="5" t="s">
        <v>44</v>
      </c>
      <c r="LZ4" s="5" t="s">
        <v>45</v>
      </c>
      <c r="MA4" s="5" t="s">
        <v>46</v>
      </c>
      <c r="MB4" s="5" t="s">
        <v>47</v>
      </c>
      <c r="MC4" s="5" t="s">
        <v>48</v>
      </c>
      <c r="MD4" s="5" t="s">
        <v>49</v>
      </c>
      <c r="MG4" s="5" t="s">
        <v>38</v>
      </c>
      <c r="MH4" s="5" t="s">
        <v>39</v>
      </c>
      <c r="MI4" s="5" t="s">
        <v>40</v>
      </c>
      <c r="MJ4" s="5" t="s">
        <v>41</v>
      </c>
      <c r="MK4" s="5" t="s">
        <v>42</v>
      </c>
      <c r="ML4" s="5" t="s">
        <v>43</v>
      </c>
      <c r="MM4" s="5" t="s">
        <v>44</v>
      </c>
      <c r="MN4" s="5" t="s">
        <v>45</v>
      </c>
      <c r="MO4" s="5" t="s">
        <v>46</v>
      </c>
      <c r="MP4" s="5" t="s">
        <v>47</v>
      </c>
      <c r="MQ4" s="5" t="s">
        <v>48</v>
      </c>
      <c r="MR4" s="5" t="s">
        <v>49</v>
      </c>
      <c r="MW4" s="5" t="s">
        <v>38</v>
      </c>
      <c r="MX4" s="5" t="s">
        <v>39</v>
      </c>
      <c r="MY4" s="5" t="s">
        <v>40</v>
      </c>
      <c r="MZ4" s="5" t="s">
        <v>41</v>
      </c>
      <c r="NA4" s="5" t="s">
        <v>42</v>
      </c>
      <c r="NB4" s="5" t="s">
        <v>43</v>
      </c>
      <c r="NC4" s="5" t="s">
        <v>44</v>
      </c>
      <c r="ND4" s="5" t="s">
        <v>45</v>
      </c>
      <c r="NE4" s="5" t="s">
        <v>46</v>
      </c>
      <c r="NF4" s="5" t="s">
        <v>47</v>
      </c>
      <c r="NG4" s="5" t="s">
        <v>48</v>
      </c>
      <c r="NH4" s="5" t="s">
        <v>49</v>
      </c>
      <c r="NK4" s="5" t="s">
        <v>38</v>
      </c>
      <c r="NL4" s="5" t="s">
        <v>39</v>
      </c>
      <c r="NM4" s="5" t="s">
        <v>40</v>
      </c>
      <c r="NN4" s="5" t="s">
        <v>41</v>
      </c>
      <c r="NO4" s="5" t="s">
        <v>42</v>
      </c>
      <c r="NP4" s="5" t="s">
        <v>43</v>
      </c>
      <c r="NQ4" s="5" t="s">
        <v>44</v>
      </c>
      <c r="NR4" s="5" t="s">
        <v>45</v>
      </c>
      <c r="NS4" s="5" t="s">
        <v>46</v>
      </c>
      <c r="NT4" s="5" t="s">
        <v>47</v>
      </c>
      <c r="NU4" s="5" t="s">
        <v>48</v>
      </c>
      <c r="NV4" s="5" t="s">
        <v>49</v>
      </c>
      <c r="OA4" s="5" t="s">
        <v>38</v>
      </c>
      <c r="OB4" s="5" t="s">
        <v>39</v>
      </c>
      <c r="OC4" s="5" t="s">
        <v>40</v>
      </c>
      <c r="OD4" s="5" t="s">
        <v>41</v>
      </c>
      <c r="OE4" s="5" t="s">
        <v>42</v>
      </c>
      <c r="OF4" s="5" t="s">
        <v>43</v>
      </c>
      <c r="OG4" s="5" t="s">
        <v>44</v>
      </c>
      <c r="OH4" s="5" t="s">
        <v>45</v>
      </c>
      <c r="OI4" s="5" t="s">
        <v>46</v>
      </c>
      <c r="OJ4" s="5" t="s">
        <v>47</v>
      </c>
      <c r="OK4" s="5" t="s">
        <v>48</v>
      </c>
      <c r="OL4" s="5" t="s">
        <v>49</v>
      </c>
      <c r="OO4" s="5" t="s">
        <v>38</v>
      </c>
      <c r="OP4" s="5" t="s">
        <v>39</v>
      </c>
      <c r="OQ4" s="5" t="s">
        <v>40</v>
      </c>
      <c r="OR4" s="5" t="s">
        <v>41</v>
      </c>
      <c r="OS4" s="5" t="s">
        <v>42</v>
      </c>
      <c r="OT4" s="5" t="s">
        <v>43</v>
      </c>
      <c r="OU4" s="5" t="s">
        <v>44</v>
      </c>
      <c r="OV4" s="5" t="s">
        <v>45</v>
      </c>
      <c r="OW4" s="5" t="s">
        <v>46</v>
      </c>
      <c r="OX4" s="5" t="s">
        <v>47</v>
      </c>
      <c r="OY4" s="5" t="s">
        <v>48</v>
      </c>
      <c r="OZ4" s="5" t="s">
        <v>49</v>
      </c>
      <c r="PE4" s="5" t="s">
        <v>38</v>
      </c>
      <c r="PF4" s="5" t="s">
        <v>39</v>
      </c>
      <c r="PG4" s="5" t="s">
        <v>40</v>
      </c>
      <c r="PH4" s="5" t="s">
        <v>41</v>
      </c>
      <c r="PI4" s="5" t="s">
        <v>42</v>
      </c>
      <c r="PJ4" s="5" t="s">
        <v>43</v>
      </c>
      <c r="PK4" s="5" t="s">
        <v>44</v>
      </c>
      <c r="PL4" s="5" t="s">
        <v>45</v>
      </c>
      <c r="PM4" s="5" t="s">
        <v>46</v>
      </c>
      <c r="PN4" s="5" t="s">
        <v>47</v>
      </c>
      <c r="PO4" s="5" t="s">
        <v>48</v>
      </c>
      <c r="PP4" s="5" t="s">
        <v>49</v>
      </c>
      <c r="PS4" s="5" t="s">
        <v>38</v>
      </c>
      <c r="PT4" s="5" t="s">
        <v>39</v>
      </c>
      <c r="PU4" s="5" t="s">
        <v>40</v>
      </c>
      <c r="PV4" s="5" t="s">
        <v>41</v>
      </c>
      <c r="PW4" s="5" t="s">
        <v>42</v>
      </c>
      <c r="PX4" s="5" t="s">
        <v>43</v>
      </c>
      <c r="PY4" s="5" t="s">
        <v>44</v>
      </c>
      <c r="PZ4" s="5" t="s">
        <v>45</v>
      </c>
      <c r="QA4" s="5" t="s">
        <v>46</v>
      </c>
      <c r="QB4" s="5" t="s">
        <v>47</v>
      </c>
      <c r="QC4" s="5" t="s">
        <v>48</v>
      </c>
      <c r="QD4" s="5" t="s">
        <v>49</v>
      </c>
      <c r="QI4" s="5" t="s">
        <v>38</v>
      </c>
      <c r="QJ4" s="5" t="s">
        <v>39</v>
      </c>
      <c r="QK4" s="5" t="s">
        <v>40</v>
      </c>
      <c r="QL4" s="5" t="s">
        <v>41</v>
      </c>
      <c r="QM4" s="5" t="s">
        <v>42</v>
      </c>
      <c r="QN4" s="5" t="s">
        <v>43</v>
      </c>
      <c r="QO4" s="5" t="s">
        <v>44</v>
      </c>
      <c r="QP4" s="5" t="s">
        <v>45</v>
      </c>
      <c r="QQ4" s="5" t="s">
        <v>46</v>
      </c>
      <c r="QR4" s="5" t="s">
        <v>47</v>
      </c>
      <c r="QS4" s="5" t="s">
        <v>48</v>
      </c>
      <c r="QT4" s="5" t="s">
        <v>49</v>
      </c>
      <c r="QW4" s="5" t="s">
        <v>38</v>
      </c>
      <c r="QX4" s="5" t="s">
        <v>39</v>
      </c>
      <c r="QY4" s="5" t="s">
        <v>40</v>
      </c>
      <c r="QZ4" s="5" t="s">
        <v>41</v>
      </c>
      <c r="RA4" s="5" t="s">
        <v>42</v>
      </c>
      <c r="RB4" s="5" t="s">
        <v>43</v>
      </c>
      <c r="RC4" s="5" t="s">
        <v>44</v>
      </c>
      <c r="RD4" s="5" t="s">
        <v>45</v>
      </c>
      <c r="RE4" s="5" t="s">
        <v>46</v>
      </c>
      <c r="RF4" s="5" t="s">
        <v>47</v>
      </c>
      <c r="RG4" s="5" t="s">
        <v>48</v>
      </c>
      <c r="RH4" s="5" t="s">
        <v>49</v>
      </c>
      <c r="RM4" s="5" t="s">
        <v>38</v>
      </c>
      <c r="RN4" s="5" t="s">
        <v>39</v>
      </c>
      <c r="RO4" s="5" t="s">
        <v>40</v>
      </c>
      <c r="RP4" s="5" t="s">
        <v>41</v>
      </c>
      <c r="RQ4" s="5" t="s">
        <v>42</v>
      </c>
      <c r="RR4" s="5" t="s">
        <v>43</v>
      </c>
      <c r="RS4" s="5" t="s">
        <v>44</v>
      </c>
      <c r="RT4" s="5" t="s">
        <v>45</v>
      </c>
      <c r="RU4" s="5" t="s">
        <v>46</v>
      </c>
      <c r="RV4" s="5" t="s">
        <v>47</v>
      </c>
      <c r="RW4" s="5" t="s">
        <v>48</v>
      </c>
      <c r="RX4" s="5" t="s">
        <v>49</v>
      </c>
      <c r="SA4" s="5" t="s">
        <v>38</v>
      </c>
      <c r="SB4" s="5" t="s">
        <v>39</v>
      </c>
      <c r="SC4" s="5" t="s">
        <v>40</v>
      </c>
      <c r="SD4" s="5" t="s">
        <v>41</v>
      </c>
      <c r="SE4" s="5" t="s">
        <v>42</v>
      </c>
      <c r="SF4" s="5" t="s">
        <v>43</v>
      </c>
      <c r="SG4" s="5" t="s">
        <v>44</v>
      </c>
      <c r="SH4" s="5" t="s">
        <v>45</v>
      </c>
      <c r="SI4" s="5" t="s">
        <v>46</v>
      </c>
      <c r="SJ4" s="5" t="s">
        <v>47</v>
      </c>
      <c r="SK4" s="5" t="s">
        <v>48</v>
      </c>
      <c r="SL4" s="5" t="s">
        <v>49</v>
      </c>
      <c r="SQ4" s="5" t="s">
        <v>38</v>
      </c>
      <c r="SR4" s="5" t="s">
        <v>39</v>
      </c>
      <c r="SS4" s="5" t="s">
        <v>40</v>
      </c>
      <c r="ST4" s="5" t="s">
        <v>41</v>
      </c>
      <c r="SU4" s="5" t="s">
        <v>42</v>
      </c>
      <c r="SV4" s="5" t="s">
        <v>43</v>
      </c>
      <c r="SW4" s="5" t="s">
        <v>44</v>
      </c>
      <c r="SX4" s="5" t="s">
        <v>45</v>
      </c>
      <c r="SY4" s="5" t="s">
        <v>46</v>
      </c>
      <c r="SZ4" s="5" t="s">
        <v>47</v>
      </c>
      <c r="TA4" s="5" t="s">
        <v>48</v>
      </c>
      <c r="TB4" s="5" t="s">
        <v>49</v>
      </c>
      <c r="TE4" s="5" t="s">
        <v>38</v>
      </c>
      <c r="TF4" s="5" t="s">
        <v>39</v>
      </c>
      <c r="TG4" s="5" t="s">
        <v>40</v>
      </c>
      <c r="TH4" s="5" t="s">
        <v>41</v>
      </c>
      <c r="TI4" s="5" t="s">
        <v>42</v>
      </c>
      <c r="TJ4" s="5" t="s">
        <v>43</v>
      </c>
      <c r="TK4" s="5" t="s">
        <v>44</v>
      </c>
      <c r="TL4" s="5" t="s">
        <v>45</v>
      </c>
      <c r="TM4" s="5" t="s">
        <v>46</v>
      </c>
      <c r="TN4" s="5" t="s">
        <v>47</v>
      </c>
      <c r="TO4" s="5" t="s">
        <v>48</v>
      </c>
      <c r="TP4" s="5" t="s">
        <v>49</v>
      </c>
      <c r="TU4" s="5" t="s">
        <v>38</v>
      </c>
      <c r="TV4" s="5" t="s">
        <v>39</v>
      </c>
      <c r="TW4" s="5" t="s">
        <v>40</v>
      </c>
      <c r="TX4" s="5" t="s">
        <v>41</v>
      </c>
      <c r="TY4" s="5" t="s">
        <v>42</v>
      </c>
      <c r="TZ4" s="5" t="s">
        <v>43</v>
      </c>
      <c r="UA4" s="5" t="s">
        <v>44</v>
      </c>
      <c r="UB4" s="5" t="s">
        <v>45</v>
      </c>
      <c r="UC4" s="5" t="s">
        <v>46</v>
      </c>
      <c r="UD4" s="5" t="s">
        <v>47</v>
      </c>
      <c r="UE4" s="5" t="s">
        <v>48</v>
      </c>
      <c r="UF4" s="5" t="s">
        <v>49</v>
      </c>
      <c r="UI4" s="5" t="s">
        <v>38</v>
      </c>
      <c r="UJ4" s="5" t="s">
        <v>39</v>
      </c>
      <c r="UK4" s="5" t="s">
        <v>40</v>
      </c>
      <c r="UL4" s="5" t="s">
        <v>41</v>
      </c>
      <c r="UM4" s="5" t="s">
        <v>42</v>
      </c>
      <c r="UN4" s="5" t="s">
        <v>43</v>
      </c>
      <c r="UO4" s="5" t="s">
        <v>44</v>
      </c>
      <c r="UP4" s="5" t="s">
        <v>45</v>
      </c>
      <c r="UQ4" s="5" t="s">
        <v>46</v>
      </c>
      <c r="UR4" s="5" t="s">
        <v>47</v>
      </c>
      <c r="US4" s="5" t="s">
        <v>48</v>
      </c>
      <c r="UT4" s="5" t="s">
        <v>49</v>
      </c>
      <c r="UY4" s="5" t="s">
        <v>38</v>
      </c>
      <c r="UZ4" s="5" t="s">
        <v>39</v>
      </c>
      <c r="VA4" s="5" t="s">
        <v>40</v>
      </c>
      <c r="VB4" s="5" t="s">
        <v>41</v>
      </c>
      <c r="VC4" s="5" t="s">
        <v>42</v>
      </c>
      <c r="VD4" s="5" t="s">
        <v>43</v>
      </c>
      <c r="VE4" s="5" t="s">
        <v>44</v>
      </c>
      <c r="VF4" s="5" t="s">
        <v>45</v>
      </c>
      <c r="VG4" s="5" t="s">
        <v>46</v>
      </c>
      <c r="VH4" s="5" t="s">
        <v>47</v>
      </c>
      <c r="VI4" s="5" t="s">
        <v>48</v>
      </c>
      <c r="VJ4" s="5" t="s">
        <v>49</v>
      </c>
      <c r="VM4" s="5" t="s">
        <v>38</v>
      </c>
      <c r="VN4" s="5" t="s">
        <v>39</v>
      </c>
      <c r="VO4" s="5" t="s">
        <v>40</v>
      </c>
      <c r="VP4" s="5" t="s">
        <v>41</v>
      </c>
      <c r="VQ4" s="5" t="s">
        <v>42</v>
      </c>
      <c r="VR4" s="5" t="s">
        <v>43</v>
      </c>
      <c r="VS4" s="5" t="s">
        <v>44</v>
      </c>
      <c r="VT4" s="5" t="s">
        <v>45</v>
      </c>
      <c r="VU4" s="5" t="s">
        <v>46</v>
      </c>
      <c r="VV4" s="5" t="s">
        <v>47</v>
      </c>
      <c r="VW4" s="5" t="s">
        <v>48</v>
      </c>
      <c r="VX4" s="5" t="s">
        <v>49</v>
      </c>
    </row>
    <row r="5" spans="1:600" x14ac:dyDescent="0.25">
      <c r="A5" t="str">
        <f>_xll.BDS("ETRN US Equity","SUPPLY_CHAIN_SUPPLIERS_ALL_DATA","cols=12;rows=5")</f>
        <v>848936Z US Equity</v>
      </c>
      <c r="C5">
        <v>-2.4245362661989844E-14</v>
      </c>
      <c r="D5">
        <v>-2.4245362661989844E-14</v>
      </c>
      <c r="E5" t="s">
        <v>1594</v>
      </c>
      <c r="F5">
        <v>2023</v>
      </c>
      <c r="G5" t="s">
        <v>3618</v>
      </c>
      <c r="H5" s="6">
        <v>45342</v>
      </c>
      <c r="I5">
        <v>5</v>
      </c>
      <c r="J5">
        <v>-2.4245362661989844E-14</v>
      </c>
      <c r="K5">
        <v>10759646</v>
      </c>
      <c r="L5" t="s">
        <v>3707</v>
      </c>
      <c r="O5" t="str">
        <f>_xll.BDS("ETRN US Equity","SUPPLY_CHAIN_CUSTOMERS_ALL_DATA","cols=12;rows=1")</f>
        <v>EQT US Equity</v>
      </c>
      <c r="P5">
        <v>-2.4245362661989844E-14</v>
      </c>
      <c r="R5">
        <v>-2.4245362661989844E-14</v>
      </c>
      <c r="S5" t="s">
        <v>1594</v>
      </c>
      <c r="T5">
        <v>2023</v>
      </c>
      <c r="U5" t="s">
        <v>3618</v>
      </c>
      <c r="V5" s="6">
        <v>45342</v>
      </c>
      <c r="W5">
        <v>1</v>
      </c>
      <c r="X5">
        <v>-2.4245362661989844E-14</v>
      </c>
      <c r="Y5">
        <v>100539</v>
      </c>
      <c r="Z5" t="s">
        <v>3127</v>
      </c>
      <c r="AE5" t="str">
        <f>_xll.BDS("ADEA US Equity","SUPPLY_CHAIN_SUPPLIERS_ALL_DATA","cols=12;rows=5")</f>
        <v>285A JP Equity</v>
      </c>
      <c r="AF5" t="s">
        <v>1598</v>
      </c>
      <c r="AG5">
        <v>2.2716E-2</v>
      </c>
      <c r="AH5">
        <v>1.1448579999999999</v>
      </c>
      <c r="AI5" t="s">
        <v>1664</v>
      </c>
      <c r="AJ5">
        <v>2026</v>
      </c>
      <c r="AK5" t="s">
        <v>3610</v>
      </c>
      <c r="AL5" s="6">
        <v>46024</v>
      </c>
      <c r="AM5">
        <v>5</v>
      </c>
      <c r="AN5">
        <v>690964.6</v>
      </c>
      <c r="AO5">
        <v>65366371</v>
      </c>
      <c r="AP5" t="s">
        <v>3611</v>
      </c>
      <c r="AS5" t="str">
        <f>_xll.BDS("ADEA US Equity","SUPPLY_CHAIN_CUSTOMERS_ALL_DATA","cols=12;rows=5")</f>
        <v>5350Z US Equity</v>
      </c>
      <c r="AT5">
        <v>-2.4245362661989844E-14</v>
      </c>
      <c r="AV5">
        <v>-2.4245362661989844E-14</v>
      </c>
      <c r="AW5" t="s">
        <v>1594</v>
      </c>
      <c r="AX5">
        <v>2023</v>
      </c>
      <c r="AY5" t="s">
        <v>3417</v>
      </c>
      <c r="AZ5" s="6">
        <v>45299</v>
      </c>
      <c r="BA5">
        <v>5</v>
      </c>
      <c r="BB5">
        <v>-2.4245362661989844E-14</v>
      </c>
      <c r="BC5">
        <v>143028</v>
      </c>
      <c r="BD5" t="s">
        <v>3418</v>
      </c>
      <c r="BI5" t="str">
        <f>_xll.BDS("1893675D US Equity","SUPPLY_CHAIN_SUPPLIERS_ALL_DATA")</f>
        <v>#N/A N/A</v>
      </c>
      <c r="BW5" t="str">
        <f>_xll.BDS("1893675D US Equity","SUPPLY_CHAIN_CUSTOMERS_ALL_DATA")</f>
        <v>#N/A N/A</v>
      </c>
      <c r="CM5" t="str">
        <f>_xll.BDS("PBCT US Equity","SUPPLY_CHAIN_SUPPLIERS_ALL_DATA")</f>
        <v>#N/A N/A</v>
      </c>
      <c r="DA5" t="str">
        <f>_xll.BDS("PBCT US Equity","SUPPLY_CHAIN_CUSTOMERS_ALL_DATA")</f>
        <v>#N/A N/A</v>
      </c>
      <c r="DQ5" t="str">
        <f>_xll.BDS("ORCL US Equity","SUPPLY_CHAIN_SUPPLIERS_ALL_DATA","cols=12;rows=5")</f>
        <v>NVDA US Equity</v>
      </c>
      <c r="DR5" t="s">
        <v>1634</v>
      </c>
      <c r="DS5">
        <v>1.9751799999999999</v>
      </c>
      <c r="DT5">
        <v>11.182838</v>
      </c>
      <c r="DU5" t="s">
        <v>1606</v>
      </c>
      <c r="DV5">
        <v>2026</v>
      </c>
      <c r="DW5" t="s">
        <v>2004</v>
      </c>
      <c r="DX5" s="6">
        <v>46087</v>
      </c>
      <c r="DY5">
        <v>5</v>
      </c>
      <c r="DZ5">
        <v>1345630848</v>
      </c>
      <c r="EA5">
        <v>313657</v>
      </c>
      <c r="EB5" t="s">
        <v>2005</v>
      </c>
      <c r="EE5" t="str">
        <f>_xll.BDS("ORCL US Equity","SUPPLY_CHAIN_CUSTOMERS_ALL_DATA","cols=12;rows=5")</f>
        <v>ACN US Equity</v>
      </c>
      <c r="EF5">
        <v>1.9061380000000001</v>
      </c>
      <c r="EG5" t="s">
        <v>1598</v>
      </c>
      <c r="EH5">
        <v>2.7725070000000001</v>
      </c>
      <c r="EI5" t="s">
        <v>1606</v>
      </c>
      <c r="EJ5">
        <v>2025</v>
      </c>
      <c r="EK5" t="s">
        <v>2251</v>
      </c>
      <c r="EL5" s="6">
        <v>45848</v>
      </c>
      <c r="EM5">
        <v>5</v>
      </c>
      <c r="EN5">
        <v>303133120</v>
      </c>
      <c r="EO5">
        <v>300787</v>
      </c>
      <c r="EP5" t="s">
        <v>2252</v>
      </c>
      <c r="EU5" t="str">
        <f>_xll.BDS("9213421D CN Equity","SUPPLY_CHAIN_SUPPLIERS_ALL_DATA")</f>
        <v>#N/A N/A</v>
      </c>
      <c r="FI5" t="str">
        <f>_xll.BDS("9213421D CN Equity","SUPPLY_CHAIN_CUSTOMERS_ALL_DATA","cols=12;rows=2")</f>
        <v>AMZN US Equity</v>
      </c>
      <c r="FJ5">
        <v>-2.4245362661989844E-14</v>
      </c>
      <c r="FL5">
        <v>-2.4245362661989844E-14</v>
      </c>
      <c r="FM5" t="s">
        <v>1594</v>
      </c>
      <c r="FN5">
        <v>2022</v>
      </c>
      <c r="FO5" t="s">
        <v>4775</v>
      </c>
      <c r="FP5" s="6">
        <v>44895</v>
      </c>
      <c r="FQ5">
        <v>2</v>
      </c>
      <c r="FR5">
        <v>-2.4245362661989844E-14</v>
      </c>
      <c r="FS5">
        <v>216952</v>
      </c>
      <c r="FT5" t="s">
        <v>1631</v>
      </c>
      <c r="FY5" t="str">
        <f>_xll.BDS("TWLO US Equity","SUPPLY_CHAIN_SUPPLIERS_ALL_DATA","cols=12;rows=5")</f>
        <v>1023727D US Equity</v>
      </c>
      <c r="GA5">
        <v>-2.4245362661989844E-14</v>
      </c>
      <c r="GB5">
        <v>-2.4245362661989844E-14</v>
      </c>
      <c r="GC5" t="s">
        <v>1594</v>
      </c>
      <c r="GD5">
        <v>2024</v>
      </c>
      <c r="GE5" t="s">
        <v>4192</v>
      </c>
      <c r="GF5" s="6">
        <v>45680</v>
      </c>
      <c r="GG5">
        <v>5</v>
      </c>
      <c r="GH5">
        <v>-2.4245362661989844E-14</v>
      </c>
      <c r="GI5">
        <v>41208711</v>
      </c>
      <c r="GJ5" t="s">
        <v>4382</v>
      </c>
      <c r="GM5" t="str">
        <f>_xll.BDS("TWLO US Equity","SUPPLY_CHAIN_CUSTOMERS_ALL_DATA","cols=12;rows=5")</f>
        <v>0170016D US Equity</v>
      </c>
      <c r="GN5">
        <v>-2.4245362661989844E-14</v>
      </c>
      <c r="GP5">
        <v>-2.4245362661989844E-14</v>
      </c>
      <c r="GQ5" t="s">
        <v>1594</v>
      </c>
      <c r="GR5">
        <v>2024</v>
      </c>
      <c r="GS5" t="s">
        <v>4192</v>
      </c>
      <c r="GT5" s="6">
        <v>45680</v>
      </c>
      <c r="GU5">
        <v>5</v>
      </c>
      <c r="GV5">
        <v>-2.4245362661989844E-14</v>
      </c>
      <c r="GW5">
        <v>29162065</v>
      </c>
      <c r="GX5" t="s">
        <v>4193</v>
      </c>
      <c r="HC5" t="str">
        <f>_xll.BDS("AGN US Equity","SUPPLY_CHAIN_SUPPLIERS_ALL_DATA","cols=12;rows=5")</f>
        <v>AEE US Equity</v>
      </c>
      <c r="HE5">
        <v>-2.4245362661989844E-14</v>
      </c>
      <c r="HF5">
        <v>-2.4245362661989844E-14</v>
      </c>
      <c r="HG5" t="s">
        <v>1594</v>
      </c>
      <c r="HH5">
        <v>2021</v>
      </c>
      <c r="HI5" t="s">
        <v>2150</v>
      </c>
      <c r="HJ5" s="6">
        <v>44693</v>
      </c>
      <c r="HK5">
        <v>5</v>
      </c>
      <c r="HL5">
        <v>-2.4245362661989844E-14</v>
      </c>
      <c r="HM5">
        <v>313098</v>
      </c>
      <c r="HN5" t="s">
        <v>2151</v>
      </c>
      <c r="HQ5" t="str">
        <f>_xll.BDS("AGN US Equity","SUPPLY_CHAIN_CUSTOMERS_ALL_DATA","cols=12;rows=1")</f>
        <v>4569 JP Equity</v>
      </c>
      <c r="HR5">
        <v>-2.4245362661989844E-14</v>
      </c>
      <c r="HT5">
        <v>-2.4245362661989844E-14</v>
      </c>
      <c r="HU5" t="s">
        <v>1594</v>
      </c>
      <c r="HV5">
        <v>2022</v>
      </c>
      <c r="HW5" t="s">
        <v>4037</v>
      </c>
      <c r="HX5" s="6">
        <v>44736</v>
      </c>
      <c r="HY5">
        <v>1</v>
      </c>
      <c r="HZ5">
        <v>-2.4245362661989844E-14</v>
      </c>
      <c r="IA5">
        <v>10499395</v>
      </c>
      <c r="IB5" t="s">
        <v>4038</v>
      </c>
      <c r="IG5" t="str">
        <f>_xll.BDS("WCOEQ US Equity","SUPPLY_CHAIN_SUPPLIERS_ALL_DATA")</f>
        <v>#N/A N/A</v>
      </c>
      <c r="IU5" t="str">
        <f>_xll.BDS("WCOEQ US Equity","SUPPLY_CHAIN_CUSTOMERS_ALL_DATA")</f>
        <v>#N/A N/A</v>
      </c>
      <c r="JK5" t="str">
        <f>_xll.BDS("9993232D US Equity","SUPPLY_CHAIN_SUPPLIERS_ALL_DATA")</f>
        <v>#N/A N/A</v>
      </c>
      <c r="JY5" t="str">
        <f>_xll.BDS("9993232D US Equity","SUPPLY_CHAIN_CUSTOMERS_ALL_DATA")</f>
        <v>#N/A N/A</v>
      </c>
      <c r="KO5" t="str">
        <f>_xll.BDS("BX US Equity","SUPPLY_CHAIN_SUPPLIERS_ALL_DATA","cols=12;rows=5")</f>
        <v>ORCL US Equity</v>
      </c>
      <c r="KP5" t="s">
        <v>1598</v>
      </c>
      <c r="KQ5">
        <v>3.7003000000000001E-2</v>
      </c>
      <c r="KR5">
        <v>0.33128000000000002</v>
      </c>
      <c r="KS5" t="s">
        <v>1606</v>
      </c>
      <c r="KT5">
        <v>2025</v>
      </c>
      <c r="KU5" t="s">
        <v>2251</v>
      </c>
      <c r="KV5" s="6">
        <v>45848</v>
      </c>
      <c r="KW5">
        <v>5</v>
      </c>
      <c r="KX5">
        <v>5884587</v>
      </c>
      <c r="KY5">
        <v>101752</v>
      </c>
      <c r="KZ5" t="s">
        <v>2265</v>
      </c>
      <c r="LC5" t="str">
        <f>_xll.BDS("BX US Equity","SUPPLY_CHAIN_CUSTOMERS_ALL_DATA","cols=12;rows=5")</f>
        <v>002284 CH Equity</v>
      </c>
      <c r="LD5">
        <v>-2.4245362661989844E-14</v>
      </c>
      <c r="LF5">
        <v>-2.4245362661989844E-14</v>
      </c>
      <c r="LG5" t="s">
        <v>1594</v>
      </c>
      <c r="LH5">
        <v>2024</v>
      </c>
      <c r="LI5" t="s">
        <v>1789</v>
      </c>
      <c r="LJ5" s="6">
        <v>45744</v>
      </c>
      <c r="LK5">
        <v>5</v>
      </c>
      <c r="LL5">
        <v>-2.4245362661989844E-14</v>
      </c>
      <c r="LM5">
        <v>15069854</v>
      </c>
      <c r="LN5" t="s">
        <v>1790</v>
      </c>
      <c r="LS5" t="str">
        <f>_xll.BDS("CLDR US Equity","SUPPLY_CHAIN_SUPPLIERS_ALL_DATA","cols=12;rows=5")</f>
        <v>002020 KS Equity</v>
      </c>
      <c r="LU5">
        <v>-2.4245362661989844E-14</v>
      </c>
      <c r="LV5">
        <v>-2.4245362661989844E-14</v>
      </c>
      <c r="LW5" t="s">
        <v>1651</v>
      </c>
      <c r="LX5">
        <v>2022</v>
      </c>
      <c r="LY5" t="s">
        <v>1994</v>
      </c>
      <c r="LZ5" s="6">
        <v>44879</v>
      </c>
      <c r="MA5">
        <v>5</v>
      </c>
      <c r="MB5">
        <v>-2.4245362661989844E-14</v>
      </c>
      <c r="MC5">
        <v>129182</v>
      </c>
      <c r="MD5" t="s">
        <v>1725</v>
      </c>
      <c r="MG5" t="str">
        <f>_xll.BDS("CLDR US Equity","SUPPLY_CHAIN_CUSTOMERS_ALL_DATA","cols=12;rows=5")</f>
        <v>002020 KS Equity</v>
      </c>
      <c r="MH5">
        <v>-2.4245362661989844E-14</v>
      </c>
      <c r="MJ5">
        <v>-2.4245362661989844E-14</v>
      </c>
      <c r="MK5" t="s">
        <v>1651</v>
      </c>
      <c r="ML5">
        <v>2025</v>
      </c>
      <c r="MM5" t="s">
        <v>1724</v>
      </c>
      <c r="MN5" s="6">
        <v>45975</v>
      </c>
      <c r="MO5">
        <v>5</v>
      </c>
      <c r="MP5">
        <v>-2.4245362661989844E-14</v>
      </c>
      <c r="MQ5">
        <v>129182</v>
      </c>
      <c r="MR5" t="s">
        <v>1725</v>
      </c>
      <c r="MW5" t="str">
        <f>_xll.BDS("SATS US Equity","SUPPLY_CHAIN_SUPPLIERS_ALL_DATA","cols=12;rows=5")</f>
        <v>MTZ US Equity</v>
      </c>
      <c r="MX5" t="s">
        <v>1598</v>
      </c>
      <c r="MY5">
        <v>2.8100589999999999</v>
      </c>
      <c r="MZ5">
        <v>0.70238999999999996</v>
      </c>
      <c r="NA5" t="s">
        <v>1603</v>
      </c>
      <c r="NB5">
        <v>2025</v>
      </c>
      <c r="NC5" t="s">
        <v>3821</v>
      </c>
      <c r="ND5" s="6">
        <v>45849</v>
      </c>
      <c r="NE5">
        <v>5</v>
      </c>
      <c r="NF5">
        <v>80022560</v>
      </c>
      <c r="NG5">
        <v>102595</v>
      </c>
      <c r="NH5" t="s">
        <v>3822</v>
      </c>
      <c r="NK5" t="str">
        <f>_xll.BDS("SATS US Equity","SUPPLY_CHAIN_CUSTOMERS_ALL_DATA","cols=12;rows=5")</f>
        <v>BA US Equity</v>
      </c>
      <c r="NL5">
        <v>7.2305999999999995E-2</v>
      </c>
      <c r="NM5" t="s">
        <v>1598</v>
      </c>
      <c r="NN5">
        <v>6.7488999999999993E-2</v>
      </c>
      <c r="NO5" t="s">
        <v>1606</v>
      </c>
      <c r="NP5">
        <v>2024</v>
      </c>
      <c r="NQ5" t="s">
        <v>2179</v>
      </c>
      <c r="NR5" s="6">
        <v>45719</v>
      </c>
      <c r="NS5">
        <v>5</v>
      </c>
      <c r="NT5">
        <v>11359074</v>
      </c>
      <c r="NU5">
        <v>100211</v>
      </c>
      <c r="NV5" t="s">
        <v>1632</v>
      </c>
      <c r="OA5" t="str">
        <f>_xll.BDS("KND US Equity","SUPPLY_CHAIN_SUPPLIERS_ALL_DATA")</f>
        <v>#N/A N/A</v>
      </c>
      <c r="OO5" t="str">
        <f>_xll.BDS("KND US Equity","SUPPLY_CHAIN_CUSTOMERS_ALL_DATA")</f>
        <v>#N/A N/A</v>
      </c>
      <c r="PE5" t="str">
        <f>_xll.BDS("TFC US Equity","SUPPLY_CHAIN_SUPPLIERS_ALL_DATA","cols=12;rows=5")</f>
        <v>ADBE US Equity</v>
      </c>
      <c r="PF5" t="s">
        <v>1685</v>
      </c>
      <c r="PG5">
        <v>9.3438999999999994E-2</v>
      </c>
      <c r="PH5">
        <v>0.18883900000000001</v>
      </c>
      <c r="PI5" t="s">
        <v>1664</v>
      </c>
      <c r="PJ5">
        <v>2025</v>
      </c>
      <c r="PK5" t="s">
        <v>2052</v>
      </c>
      <c r="PL5" s="6">
        <v>45838</v>
      </c>
      <c r="PM5">
        <v>5</v>
      </c>
      <c r="PN5">
        <v>5487672</v>
      </c>
      <c r="PO5">
        <v>101689</v>
      </c>
      <c r="PP5" t="s">
        <v>2053</v>
      </c>
      <c r="PS5" t="str">
        <f>_xll.BDS("TFC US Equity","SUPPLY_CHAIN_CUSTOMERS_ALL_DATA","cols=12;rows=1")</f>
        <v>RENG IN Equity</v>
      </c>
      <c r="PT5">
        <v>-2.4245362661989844E-14</v>
      </c>
      <c r="PV5">
        <v>-2.4245362661989844E-14</v>
      </c>
      <c r="PW5" t="s">
        <v>1594</v>
      </c>
      <c r="PX5">
        <v>2025</v>
      </c>
      <c r="PY5" t="s">
        <v>1673</v>
      </c>
      <c r="PZ5" s="6">
        <v>45901</v>
      </c>
      <c r="QA5">
        <v>1</v>
      </c>
      <c r="QB5">
        <v>-2.4245362661989844E-14</v>
      </c>
      <c r="QC5">
        <v>182734</v>
      </c>
      <c r="QD5" t="s">
        <v>1674</v>
      </c>
      <c r="QI5" t="str">
        <f>_xll.BDS("WNR US Equity","SUPPLY_CHAIN_SUPPLIERS_ALL_DATA")</f>
        <v>#N/A N/A</v>
      </c>
      <c r="QW5" t="str">
        <f>_xll.BDS("WNR US Equity","SUPPLY_CHAIN_CUSTOMERS_ALL_DATA")</f>
        <v>#N/A N/A</v>
      </c>
      <c r="RM5" t="str">
        <f>_xll.BDS("BX US Equity","SUPPLY_CHAIN_SUPPLIERS_ALL_DATA","cols=12;rows=5")</f>
        <v>ORCL US Equity</v>
      </c>
      <c r="RN5" t="s">
        <v>1598</v>
      </c>
      <c r="RO5">
        <v>3.7003000000000001E-2</v>
      </c>
      <c r="RP5">
        <v>0.33128000000000002</v>
      </c>
      <c r="RQ5" t="s">
        <v>1606</v>
      </c>
      <c r="RR5">
        <v>2025</v>
      </c>
      <c r="RS5" t="s">
        <v>2251</v>
      </c>
      <c r="RT5" s="6">
        <v>45848</v>
      </c>
      <c r="RU5">
        <v>5</v>
      </c>
      <c r="RV5">
        <v>5884587</v>
      </c>
      <c r="RW5">
        <v>101752</v>
      </c>
      <c r="RX5" t="s">
        <v>2265</v>
      </c>
      <c r="SA5" t="str">
        <f>_xll.BDS("BX US Equity","SUPPLY_CHAIN_CUSTOMERS_ALL_DATA","cols=12;rows=5")</f>
        <v>002284 CH Equity</v>
      </c>
      <c r="SB5">
        <v>-2.4245362661989844E-14</v>
      </c>
      <c r="SD5">
        <v>-2.4245362661989844E-14</v>
      </c>
      <c r="SE5" t="s">
        <v>1594</v>
      </c>
      <c r="SF5">
        <v>2024</v>
      </c>
      <c r="SG5" t="s">
        <v>1789</v>
      </c>
      <c r="SH5" s="6">
        <v>45744</v>
      </c>
      <c r="SI5">
        <v>5</v>
      </c>
      <c r="SJ5">
        <v>-2.4245362661989844E-14</v>
      </c>
      <c r="SK5">
        <v>15069854</v>
      </c>
      <c r="SL5" t="s">
        <v>1790</v>
      </c>
      <c r="SQ5" t="str">
        <f>_xll.BDS("CXW US Equity","SUPPLY_CHAIN_SUPPLIERS_ALL_DATA","cols=12;rows=2")</f>
        <v>2293258D US Equity</v>
      </c>
      <c r="SS5">
        <v>-2.4245362661989844E-14</v>
      </c>
      <c r="ST5">
        <v>-2.4245362661989844E-14</v>
      </c>
      <c r="SU5" t="s">
        <v>1594</v>
      </c>
      <c r="SV5">
        <v>2026</v>
      </c>
      <c r="SW5" t="s">
        <v>3450</v>
      </c>
      <c r="SX5" s="6">
        <v>46078</v>
      </c>
      <c r="SY5">
        <v>2</v>
      </c>
      <c r="SZ5">
        <v>-2.4245362661989844E-14</v>
      </c>
      <c r="TA5">
        <v>71181298</v>
      </c>
      <c r="TB5" t="s">
        <v>3591</v>
      </c>
      <c r="TE5" t="str">
        <f>_xll.BDS("CXW US Equity","SUPPLY_CHAIN_CUSTOMERS_ALL_DATA","cols=12;rows=5")</f>
        <v>3352Z US Equity</v>
      </c>
      <c r="TF5">
        <v>51</v>
      </c>
      <c r="TH5">
        <v>-2.4245362661989844E-14</v>
      </c>
      <c r="TI5" t="s">
        <v>1594</v>
      </c>
      <c r="TJ5">
        <v>2024</v>
      </c>
      <c r="TK5" t="s">
        <v>3448</v>
      </c>
      <c r="TL5" s="6">
        <v>45709</v>
      </c>
      <c r="TM5">
        <v>5</v>
      </c>
      <c r="TN5">
        <v>250109872</v>
      </c>
      <c r="TO5">
        <v>218252</v>
      </c>
      <c r="TP5" t="s">
        <v>1622</v>
      </c>
      <c r="TU5" t="str">
        <f>_xll.BDS("MCK US Equity","SUPPLY_CHAIN_SUPPLIERS_ALL_DATA","cols=12;rows=5")</f>
        <v>ABBV US Equity</v>
      </c>
      <c r="TV5" t="s">
        <v>1598</v>
      </c>
      <c r="TW5">
        <v>30.713249000000001</v>
      </c>
      <c r="TX5">
        <v>6.8943349999999999</v>
      </c>
      <c r="TY5" t="s">
        <v>1606</v>
      </c>
      <c r="TZ5">
        <v>2025</v>
      </c>
      <c r="UA5" t="s">
        <v>2220</v>
      </c>
      <c r="UB5" s="6">
        <v>46077</v>
      </c>
      <c r="UC5">
        <v>5</v>
      </c>
      <c r="UD5">
        <v>5103927808</v>
      </c>
      <c r="UE5">
        <v>28046509</v>
      </c>
      <c r="UF5" t="s">
        <v>2221</v>
      </c>
      <c r="UI5" t="str">
        <f>_xll.BDS("MCK US Equity","SUPPLY_CHAIN_CUSTOMERS_ALL_DATA","cols=12;rows=5")</f>
        <v>CVS US Equity</v>
      </c>
      <c r="UJ5">
        <v>24</v>
      </c>
      <c r="UK5" t="s">
        <v>1598</v>
      </c>
      <c r="UL5">
        <v>26.455601000000001</v>
      </c>
      <c r="UM5" t="s">
        <v>1594</v>
      </c>
      <c r="UN5">
        <v>2025</v>
      </c>
      <c r="UO5" t="s">
        <v>2431</v>
      </c>
      <c r="UP5" s="6">
        <v>45786</v>
      </c>
      <c r="UQ5">
        <v>5</v>
      </c>
      <c r="UR5">
        <v>21543059456</v>
      </c>
      <c r="US5">
        <v>100976</v>
      </c>
      <c r="UT5" t="s">
        <v>1820</v>
      </c>
      <c r="UY5" t="str">
        <f>_xll.BDS("CPT US Equity","SUPPLY_CHAIN_SUPPLIERS_ALL_DATA","cols=12;rows=1")</f>
        <v>BLNK US Equity</v>
      </c>
      <c r="VA5">
        <v>-2.4245362661989844E-14</v>
      </c>
      <c r="VB5">
        <v>-2.4245362661989844E-14</v>
      </c>
      <c r="VC5" t="s">
        <v>1606</v>
      </c>
      <c r="VD5">
        <v>2022</v>
      </c>
      <c r="VE5" t="s">
        <v>1962</v>
      </c>
      <c r="VF5" s="6">
        <v>45011</v>
      </c>
      <c r="VG5">
        <v>1</v>
      </c>
      <c r="VH5">
        <v>-2.4245362661989844E-14</v>
      </c>
      <c r="VI5">
        <v>14520400</v>
      </c>
      <c r="VJ5" t="s">
        <v>1963</v>
      </c>
      <c r="VM5" t="str">
        <f>_xll.BDS("CPT US Equity","SUPPLY_CHAIN_CUSTOMERS_ALL_DATA")</f>
        <v>#N/A N/A</v>
      </c>
    </row>
    <row r="6" spans="1:600" x14ac:dyDescent="0.25">
      <c r="A6" t="s">
        <v>110</v>
      </c>
      <c r="C6">
        <v>-2.4245362661989844E-14</v>
      </c>
      <c r="D6">
        <v>-2.4245362661989844E-14</v>
      </c>
      <c r="E6" t="s">
        <v>1594</v>
      </c>
      <c r="F6">
        <v>2023</v>
      </c>
      <c r="G6" t="s">
        <v>3618</v>
      </c>
      <c r="H6" s="6">
        <v>45342</v>
      </c>
      <c r="I6">
        <v>5</v>
      </c>
      <c r="J6">
        <v>-2.4245362661989844E-14</v>
      </c>
      <c r="K6">
        <v>100193</v>
      </c>
      <c r="L6" t="s">
        <v>3708</v>
      </c>
      <c r="AE6" t="s">
        <v>3429</v>
      </c>
      <c r="AF6" t="s">
        <v>1598</v>
      </c>
      <c r="AG6">
        <v>4.9919999999999999E-3</v>
      </c>
      <c r="AH6">
        <v>2.5405E-2</v>
      </c>
      <c r="AI6" t="s">
        <v>1606</v>
      </c>
      <c r="AJ6">
        <v>2025</v>
      </c>
      <c r="AK6" t="s">
        <v>3430</v>
      </c>
      <c r="AL6" s="6">
        <v>46018</v>
      </c>
      <c r="AM6">
        <v>5</v>
      </c>
      <c r="AN6">
        <v>15327</v>
      </c>
      <c r="AO6">
        <v>916504</v>
      </c>
      <c r="AP6" t="s">
        <v>3431</v>
      </c>
      <c r="AS6" t="s">
        <v>3419</v>
      </c>
      <c r="AT6">
        <v>-2.4245362661989844E-14</v>
      </c>
      <c r="AV6">
        <v>-2.4245362661989844E-14</v>
      </c>
      <c r="AW6" t="s">
        <v>1664</v>
      </c>
      <c r="AX6">
        <v>2022</v>
      </c>
      <c r="AY6" t="s">
        <v>3420</v>
      </c>
      <c r="AZ6" s="6">
        <v>44824</v>
      </c>
      <c r="BA6">
        <v>5</v>
      </c>
      <c r="BB6">
        <v>-2.4245362661989844E-14</v>
      </c>
      <c r="BC6">
        <v>117621</v>
      </c>
      <c r="BD6" t="s">
        <v>3421</v>
      </c>
      <c r="DQ6" t="s">
        <v>114</v>
      </c>
      <c r="DR6" t="s">
        <v>1634</v>
      </c>
      <c r="DS6">
        <v>3.5808580000000001</v>
      </c>
      <c r="DT6">
        <v>3.236755</v>
      </c>
      <c r="DU6" t="s">
        <v>1664</v>
      </c>
      <c r="DV6">
        <v>2025</v>
      </c>
      <c r="DW6" t="s">
        <v>3353</v>
      </c>
      <c r="DX6" s="6">
        <v>45947</v>
      </c>
      <c r="DY6">
        <v>5</v>
      </c>
      <c r="DZ6">
        <v>275188928</v>
      </c>
      <c r="EA6">
        <v>100010</v>
      </c>
      <c r="EB6" t="s">
        <v>1996</v>
      </c>
      <c r="EE6" t="s">
        <v>303</v>
      </c>
      <c r="EF6">
        <v>1.3419890000000001</v>
      </c>
      <c r="EG6" t="s">
        <v>1598</v>
      </c>
      <c r="EH6">
        <v>0.27725100000000003</v>
      </c>
      <c r="EI6" t="s">
        <v>1606</v>
      </c>
      <c r="EJ6">
        <v>2025</v>
      </c>
      <c r="EK6" t="s">
        <v>2251</v>
      </c>
      <c r="EL6" s="6">
        <v>45848</v>
      </c>
      <c r="EM6">
        <v>5</v>
      </c>
      <c r="EN6">
        <v>213416512</v>
      </c>
      <c r="EO6">
        <v>216952</v>
      </c>
      <c r="EP6" t="s">
        <v>1631</v>
      </c>
      <c r="FI6" t="s">
        <v>3379</v>
      </c>
      <c r="FJ6">
        <v>-2.4245362661989844E-14</v>
      </c>
      <c r="FL6">
        <v>-2.4245362661989844E-14</v>
      </c>
      <c r="FM6" t="s">
        <v>1594</v>
      </c>
      <c r="FN6">
        <v>2024</v>
      </c>
      <c r="FO6" t="s">
        <v>4775</v>
      </c>
      <c r="FP6" s="6">
        <v>45400</v>
      </c>
      <c r="FQ6">
        <v>2</v>
      </c>
      <c r="FR6">
        <v>-2.4245362661989844E-14</v>
      </c>
      <c r="FS6">
        <v>32348903</v>
      </c>
      <c r="FT6" t="s">
        <v>3381</v>
      </c>
      <c r="FY6" t="s">
        <v>4383</v>
      </c>
      <c r="GA6">
        <v>-2.4245362661989844E-14</v>
      </c>
      <c r="GB6">
        <v>-2.4245362661989844E-14</v>
      </c>
      <c r="GC6" t="s">
        <v>1594</v>
      </c>
      <c r="GD6">
        <v>2024</v>
      </c>
      <c r="GE6" t="s">
        <v>4192</v>
      </c>
      <c r="GF6" s="6">
        <v>45680</v>
      </c>
      <c r="GG6">
        <v>5</v>
      </c>
      <c r="GH6">
        <v>-2.4245362661989844E-14</v>
      </c>
      <c r="GI6">
        <v>50800659</v>
      </c>
      <c r="GJ6" t="s">
        <v>4384</v>
      </c>
      <c r="GM6" t="s">
        <v>4194</v>
      </c>
      <c r="GN6">
        <v>-2.4245362661989844E-14</v>
      </c>
      <c r="GP6">
        <v>-2.4245362661989844E-14</v>
      </c>
      <c r="GQ6" t="s">
        <v>1594</v>
      </c>
      <c r="GR6">
        <v>2024</v>
      </c>
      <c r="GS6" t="s">
        <v>4192</v>
      </c>
      <c r="GT6" s="6">
        <v>45680</v>
      </c>
      <c r="GU6">
        <v>5</v>
      </c>
      <c r="GV6">
        <v>-2.4245362661989844E-14</v>
      </c>
      <c r="GW6">
        <v>28305738</v>
      </c>
      <c r="GX6" t="s">
        <v>4195</v>
      </c>
      <c r="HC6" t="s">
        <v>2152</v>
      </c>
      <c r="HE6">
        <v>-2.4245362661989844E-14</v>
      </c>
      <c r="HF6">
        <v>-2.4245362661989844E-14</v>
      </c>
      <c r="HG6" t="s">
        <v>1594</v>
      </c>
      <c r="HH6">
        <v>2021</v>
      </c>
      <c r="HI6" t="s">
        <v>2153</v>
      </c>
      <c r="HJ6" s="6">
        <v>44693</v>
      </c>
      <c r="HK6">
        <v>5</v>
      </c>
      <c r="HL6">
        <v>-2.4245362661989844E-14</v>
      </c>
      <c r="HM6">
        <v>100060</v>
      </c>
      <c r="HN6" t="s">
        <v>2154</v>
      </c>
      <c r="KO6" t="s">
        <v>2266</v>
      </c>
      <c r="KP6" t="s">
        <v>1685</v>
      </c>
      <c r="KQ6">
        <v>0.597939</v>
      </c>
      <c r="KR6">
        <v>5.9714000000000003E-2</v>
      </c>
      <c r="KS6" t="s">
        <v>1594</v>
      </c>
      <c r="KT6">
        <v>2024</v>
      </c>
      <c r="KU6" t="s">
        <v>2267</v>
      </c>
      <c r="KV6" s="6">
        <v>45694</v>
      </c>
      <c r="KW6">
        <v>5</v>
      </c>
      <c r="KX6">
        <v>957052.25</v>
      </c>
      <c r="KY6">
        <v>103579</v>
      </c>
      <c r="KZ6" t="s">
        <v>2268</v>
      </c>
      <c r="LC6" t="s">
        <v>1791</v>
      </c>
      <c r="LD6">
        <v>-2.4245362661989844E-14</v>
      </c>
      <c r="LF6">
        <v>-2.4245362661989844E-14</v>
      </c>
      <c r="LG6" t="s">
        <v>1792</v>
      </c>
      <c r="LH6">
        <v>2025</v>
      </c>
      <c r="LI6" t="s">
        <v>1793</v>
      </c>
      <c r="LJ6" s="6">
        <v>45894</v>
      </c>
      <c r="LK6">
        <v>5</v>
      </c>
      <c r="LL6">
        <v>-2.4245362661989844E-14</v>
      </c>
      <c r="LM6">
        <v>15149577</v>
      </c>
      <c r="LN6" t="s">
        <v>1794</v>
      </c>
      <c r="LS6" t="s">
        <v>114</v>
      </c>
      <c r="LU6">
        <v>-2.4245362661989844E-14</v>
      </c>
      <c r="LV6">
        <v>-2.4245362661989844E-14</v>
      </c>
      <c r="LW6" t="s">
        <v>1599</v>
      </c>
      <c r="LX6">
        <v>2025</v>
      </c>
      <c r="LY6" t="s">
        <v>1995</v>
      </c>
      <c r="LZ6" s="6">
        <v>45972</v>
      </c>
      <c r="MA6">
        <v>5</v>
      </c>
      <c r="MB6">
        <v>-2.4245362661989844E-14</v>
      </c>
      <c r="MC6">
        <v>100010</v>
      </c>
      <c r="MD6" t="s">
        <v>1996</v>
      </c>
      <c r="MG6" t="s">
        <v>1615</v>
      </c>
      <c r="MH6">
        <v>-2.4245362661989844E-14</v>
      </c>
      <c r="MJ6">
        <v>-2.4245362661989844E-14</v>
      </c>
      <c r="MK6" t="s">
        <v>1594</v>
      </c>
      <c r="ML6">
        <v>2025</v>
      </c>
      <c r="MM6" t="s">
        <v>1726</v>
      </c>
      <c r="MN6" s="6">
        <v>45855</v>
      </c>
      <c r="MO6">
        <v>5</v>
      </c>
      <c r="MP6">
        <v>-2.4245362661989844E-14</v>
      </c>
      <c r="MQ6">
        <v>962205</v>
      </c>
      <c r="MR6" t="s">
        <v>1617</v>
      </c>
      <c r="MW6" t="s">
        <v>3109</v>
      </c>
      <c r="MX6" t="s">
        <v>1634</v>
      </c>
      <c r="MY6">
        <v>0.57176499999999997</v>
      </c>
      <c r="MZ6">
        <v>1.506829</v>
      </c>
      <c r="NA6" t="s">
        <v>1664</v>
      </c>
      <c r="NB6">
        <v>2025</v>
      </c>
      <c r="NC6" t="s">
        <v>3110</v>
      </c>
      <c r="ND6" s="6">
        <v>45846</v>
      </c>
      <c r="NE6">
        <v>5</v>
      </c>
      <c r="NF6">
        <v>43608516</v>
      </c>
      <c r="NG6">
        <v>42602315</v>
      </c>
      <c r="NH6" t="s">
        <v>3111</v>
      </c>
      <c r="NK6" t="s">
        <v>3509</v>
      </c>
      <c r="NL6">
        <v>2.5276E-2</v>
      </c>
      <c r="NM6" t="s">
        <v>1598</v>
      </c>
      <c r="NN6">
        <v>3.6456000000000002E-2</v>
      </c>
      <c r="NO6" t="s">
        <v>1594</v>
      </c>
      <c r="NP6">
        <v>2024</v>
      </c>
      <c r="NQ6" t="s">
        <v>4591</v>
      </c>
      <c r="NR6" s="6">
        <v>45728</v>
      </c>
      <c r="NS6">
        <v>5</v>
      </c>
      <c r="NT6">
        <v>1000000</v>
      </c>
      <c r="NU6">
        <v>171027</v>
      </c>
      <c r="NV6" t="s">
        <v>3511</v>
      </c>
      <c r="PE6" t="s">
        <v>2054</v>
      </c>
      <c r="PF6" t="s">
        <v>1685</v>
      </c>
      <c r="PG6">
        <v>1.151538</v>
      </c>
      <c r="PH6">
        <v>7.7191999999999997E-2</v>
      </c>
      <c r="PI6" t="s">
        <v>1594</v>
      </c>
      <c r="PJ6">
        <v>2024</v>
      </c>
      <c r="PK6" t="s">
        <v>2055</v>
      </c>
      <c r="PL6" s="6">
        <v>45716</v>
      </c>
      <c r="PM6">
        <v>5</v>
      </c>
      <c r="PN6">
        <v>2317499</v>
      </c>
      <c r="PO6">
        <v>35300053</v>
      </c>
      <c r="PP6" t="s">
        <v>2056</v>
      </c>
      <c r="RM6" t="s">
        <v>2266</v>
      </c>
      <c r="RN6" t="s">
        <v>1685</v>
      </c>
      <c r="RO6">
        <v>0.597939</v>
      </c>
      <c r="RP6">
        <v>5.9714000000000003E-2</v>
      </c>
      <c r="RQ6" t="s">
        <v>1594</v>
      </c>
      <c r="RR6">
        <v>2024</v>
      </c>
      <c r="RS6" t="s">
        <v>2267</v>
      </c>
      <c r="RT6" s="6">
        <v>45694</v>
      </c>
      <c r="RU6">
        <v>5</v>
      </c>
      <c r="RV6">
        <v>957052.25</v>
      </c>
      <c r="RW6">
        <v>103579</v>
      </c>
      <c r="RX6" t="s">
        <v>2268</v>
      </c>
      <c r="SA6" t="s">
        <v>1791</v>
      </c>
      <c r="SB6">
        <v>-2.4245362661989844E-14</v>
      </c>
      <c r="SD6">
        <v>-2.4245362661989844E-14</v>
      </c>
      <c r="SE6" t="s">
        <v>1792</v>
      </c>
      <c r="SF6">
        <v>2025</v>
      </c>
      <c r="SG6" t="s">
        <v>1793</v>
      </c>
      <c r="SH6" s="6">
        <v>45894</v>
      </c>
      <c r="SI6">
        <v>5</v>
      </c>
      <c r="SJ6">
        <v>-2.4245362661989844E-14</v>
      </c>
      <c r="SK6">
        <v>15149577</v>
      </c>
      <c r="SL6" t="s">
        <v>1794</v>
      </c>
      <c r="SQ6" t="s">
        <v>3592</v>
      </c>
      <c r="SS6">
        <v>-2.4245362661989844E-14</v>
      </c>
      <c r="ST6">
        <v>-2.4245362661989844E-14</v>
      </c>
      <c r="SU6" t="s">
        <v>1594</v>
      </c>
      <c r="SV6">
        <v>2025</v>
      </c>
      <c r="SW6" t="s">
        <v>3593</v>
      </c>
      <c r="SX6" s="6">
        <v>45722</v>
      </c>
      <c r="SY6">
        <v>2</v>
      </c>
      <c r="SZ6">
        <v>-2.4245362661989844E-14</v>
      </c>
      <c r="TA6">
        <v>58052814</v>
      </c>
      <c r="TB6" t="s">
        <v>3594</v>
      </c>
      <c r="TE6" t="s">
        <v>3449</v>
      </c>
      <c r="TF6">
        <v>-2.4245362661989844E-14</v>
      </c>
      <c r="TH6">
        <v>-2.4245362661989844E-14</v>
      </c>
      <c r="TI6" t="s">
        <v>1594</v>
      </c>
      <c r="TJ6">
        <v>2025</v>
      </c>
      <c r="TK6" t="s">
        <v>3450</v>
      </c>
      <c r="TL6" s="6">
        <v>45931</v>
      </c>
      <c r="TM6">
        <v>5</v>
      </c>
      <c r="TN6">
        <v>-2.4245362661989844E-14</v>
      </c>
      <c r="TO6">
        <v>18782064</v>
      </c>
      <c r="TP6" t="s">
        <v>3451</v>
      </c>
      <c r="TU6" t="s">
        <v>240</v>
      </c>
      <c r="TV6" t="s">
        <v>1598</v>
      </c>
      <c r="TW6">
        <v>20.476745999999999</v>
      </c>
      <c r="TX6">
        <v>6.636412</v>
      </c>
      <c r="TY6" t="s">
        <v>1599</v>
      </c>
      <c r="TZ6">
        <v>2025</v>
      </c>
      <c r="UA6" t="s">
        <v>2219</v>
      </c>
      <c r="UB6" s="6">
        <v>46018</v>
      </c>
      <c r="UC6">
        <v>5</v>
      </c>
      <c r="UD6">
        <v>4912985600</v>
      </c>
      <c r="UE6">
        <v>100828</v>
      </c>
      <c r="UF6" t="s">
        <v>1865</v>
      </c>
      <c r="UI6" t="s">
        <v>1663</v>
      </c>
      <c r="UJ6">
        <v>7.8761299999999999</v>
      </c>
      <c r="UK6" t="s">
        <v>1598</v>
      </c>
      <c r="UL6">
        <v>4.5818329999999996</v>
      </c>
      <c r="UM6" t="s">
        <v>1603</v>
      </c>
      <c r="UN6">
        <v>2026</v>
      </c>
      <c r="UO6" t="s">
        <v>2432</v>
      </c>
      <c r="UP6" s="6">
        <v>45953</v>
      </c>
      <c r="UQ6">
        <v>5</v>
      </c>
      <c r="UR6">
        <v>6083345408</v>
      </c>
      <c r="US6">
        <v>101616</v>
      </c>
      <c r="UT6" t="s">
        <v>1666</v>
      </c>
    </row>
    <row r="7" spans="1:600" x14ac:dyDescent="0.25">
      <c r="A7" t="s">
        <v>1932</v>
      </c>
      <c r="C7">
        <v>-2.4245362661989844E-14</v>
      </c>
      <c r="D7">
        <v>-2.4245362661989844E-14</v>
      </c>
      <c r="E7" t="s">
        <v>1594</v>
      </c>
      <c r="F7">
        <v>2023</v>
      </c>
      <c r="G7" t="s">
        <v>3618</v>
      </c>
      <c r="H7" s="6">
        <v>45342</v>
      </c>
      <c r="I7">
        <v>5</v>
      </c>
      <c r="J7">
        <v>-2.4245362661989844E-14</v>
      </c>
      <c r="K7">
        <v>109548</v>
      </c>
      <c r="L7" t="s">
        <v>1933</v>
      </c>
      <c r="AE7" t="s">
        <v>3612</v>
      </c>
      <c r="AF7" t="s">
        <v>1598</v>
      </c>
      <c r="AG7">
        <v>3.0049999999999999E-3</v>
      </c>
      <c r="AH7">
        <v>5.3119999999999999E-3</v>
      </c>
      <c r="AI7" t="s">
        <v>1599</v>
      </c>
      <c r="AJ7">
        <v>2025</v>
      </c>
      <c r="AK7" t="s">
        <v>3613</v>
      </c>
      <c r="AL7" s="6">
        <v>46074</v>
      </c>
      <c r="AM7">
        <v>5</v>
      </c>
      <c r="AN7">
        <v>3205</v>
      </c>
      <c r="AO7">
        <v>148257</v>
      </c>
      <c r="AP7" t="s">
        <v>3614</v>
      </c>
      <c r="AS7" t="s">
        <v>3422</v>
      </c>
      <c r="AT7">
        <v>-2.4245362661989844E-14</v>
      </c>
      <c r="AV7">
        <v>-2.4245362661989844E-14</v>
      </c>
      <c r="AW7" t="s">
        <v>1594</v>
      </c>
      <c r="AX7">
        <v>2025</v>
      </c>
      <c r="AY7" t="s">
        <v>3417</v>
      </c>
      <c r="AZ7" s="6">
        <v>45714</v>
      </c>
      <c r="BA7">
        <v>5</v>
      </c>
      <c r="BB7">
        <v>-2.4245362661989844E-14</v>
      </c>
      <c r="BC7">
        <v>117704</v>
      </c>
      <c r="BD7" t="s">
        <v>3423</v>
      </c>
      <c r="DQ7" t="s">
        <v>211</v>
      </c>
      <c r="DR7" t="s">
        <v>1634</v>
      </c>
      <c r="DS7">
        <v>0.91127400000000003</v>
      </c>
      <c r="DT7">
        <v>1.364298</v>
      </c>
      <c r="DU7" t="s">
        <v>1606</v>
      </c>
      <c r="DV7">
        <v>2025</v>
      </c>
      <c r="DW7" t="s">
        <v>2691</v>
      </c>
      <c r="DX7" s="6">
        <v>46010</v>
      </c>
      <c r="DY7">
        <v>5</v>
      </c>
      <c r="DZ7">
        <v>164166016</v>
      </c>
      <c r="EA7">
        <v>59907412</v>
      </c>
      <c r="EB7" t="s">
        <v>3354</v>
      </c>
      <c r="EE7" t="s">
        <v>1700</v>
      </c>
      <c r="EF7">
        <v>1.0301469999999999</v>
      </c>
      <c r="EG7" t="s">
        <v>1598</v>
      </c>
      <c r="EH7">
        <v>1.0221020000000001</v>
      </c>
      <c r="EI7" t="s">
        <v>1606</v>
      </c>
      <c r="EJ7">
        <v>2025</v>
      </c>
      <c r="EK7" t="s">
        <v>1701</v>
      </c>
      <c r="EL7" s="6">
        <v>46056</v>
      </c>
      <c r="EM7">
        <v>5</v>
      </c>
      <c r="EN7">
        <v>165420976</v>
      </c>
      <c r="EO7">
        <v>1499717</v>
      </c>
      <c r="EP7" t="s">
        <v>1702</v>
      </c>
      <c r="FY7" t="s">
        <v>4385</v>
      </c>
      <c r="GA7">
        <v>-2.4245362661989844E-14</v>
      </c>
      <c r="GB7">
        <v>-2.4245362661989844E-14</v>
      </c>
      <c r="GC7" t="s">
        <v>1594</v>
      </c>
      <c r="GD7">
        <v>2023</v>
      </c>
      <c r="GE7" t="s">
        <v>4386</v>
      </c>
      <c r="GF7" s="6">
        <v>44999</v>
      </c>
      <c r="GG7">
        <v>5</v>
      </c>
      <c r="GH7">
        <v>-2.4245362661989844E-14</v>
      </c>
      <c r="GI7">
        <v>63822781</v>
      </c>
      <c r="GJ7" t="s">
        <v>4387</v>
      </c>
      <c r="GM7" t="s">
        <v>4196</v>
      </c>
      <c r="GN7">
        <v>-2.4245362661989844E-14</v>
      </c>
      <c r="GP7">
        <v>-2.4245362661989844E-14</v>
      </c>
      <c r="GQ7" t="s">
        <v>1594</v>
      </c>
      <c r="GR7">
        <v>2024</v>
      </c>
      <c r="GS7" t="s">
        <v>4192</v>
      </c>
      <c r="GT7" s="6">
        <v>45680</v>
      </c>
      <c r="GU7">
        <v>5</v>
      </c>
      <c r="GV7">
        <v>-2.4245362661989844E-14</v>
      </c>
      <c r="GW7">
        <v>38114667</v>
      </c>
      <c r="GX7" t="s">
        <v>4197</v>
      </c>
      <c r="HC7" t="s">
        <v>810</v>
      </c>
      <c r="HE7">
        <v>-2.4245362661989844E-14</v>
      </c>
      <c r="HF7">
        <v>-2.4245362661989844E-14</v>
      </c>
      <c r="HG7" t="s">
        <v>1594</v>
      </c>
      <c r="HH7">
        <v>2021</v>
      </c>
      <c r="HI7" t="s">
        <v>2346</v>
      </c>
      <c r="HJ7" s="6">
        <v>44693</v>
      </c>
      <c r="HK7">
        <v>5</v>
      </c>
      <c r="HL7">
        <v>-2.4245362661989844E-14</v>
      </c>
      <c r="HM7">
        <v>101690</v>
      </c>
      <c r="HN7" t="s">
        <v>2347</v>
      </c>
      <c r="KO7" t="s">
        <v>2269</v>
      </c>
      <c r="KP7" t="s">
        <v>1598</v>
      </c>
      <c r="KQ7">
        <v>7.4065000000000006E-2</v>
      </c>
      <c r="KR7">
        <v>2.879E-3</v>
      </c>
      <c r="KS7" t="s">
        <v>1594</v>
      </c>
      <c r="KT7">
        <v>2024</v>
      </c>
      <c r="KU7" t="s">
        <v>2270</v>
      </c>
      <c r="KV7" s="6">
        <v>45758</v>
      </c>
      <c r="KW7">
        <v>5</v>
      </c>
      <c r="KX7">
        <v>46697.46</v>
      </c>
      <c r="KY7">
        <v>130878</v>
      </c>
      <c r="KZ7" t="s">
        <v>2271</v>
      </c>
      <c r="LC7" t="s">
        <v>1795</v>
      </c>
      <c r="LD7">
        <v>-2.4245362661989844E-14</v>
      </c>
      <c r="LF7">
        <v>-2.4245362661989844E-14</v>
      </c>
      <c r="LG7" t="s">
        <v>1664</v>
      </c>
      <c r="LH7">
        <v>2024</v>
      </c>
      <c r="LI7" t="s">
        <v>1796</v>
      </c>
      <c r="LJ7" s="6">
        <v>45433</v>
      </c>
      <c r="LK7">
        <v>5</v>
      </c>
      <c r="LL7">
        <v>-2.4245362661989844E-14</v>
      </c>
      <c r="LM7">
        <v>27196144</v>
      </c>
      <c r="LN7" t="s">
        <v>1797</v>
      </c>
      <c r="LS7" t="s">
        <v>303</v>
      </c>
      <c r="LU7">
        <v>-2.4245362661989844E-14</v>
      </c>
      <c r="LV7">
        <v>-2.4245362661989844E-14</v>
      </c>
      <c r="LW7" t="s">
        <v>1594</v>
      </c>
      <c r="LX7">
        <v>2025</v>
      </c>
      <c r="LY7" t="s">
        <v>1726</v>
      </c>
      <c r="LZ7" s="6">
        <v>45939</v>
      </c>
      <c r="MA7">
        <v>5</v>
      </c>
      <c r="MB7">
        <v>-2.4245362661989844E-14</v>
      </c>
      <c r="MC7">
        <v>216952</v>
      </c>
      <c r="MD7" t="s">
        <v>1631</v>
      </c>
      <c r="MG7" t="s">
        <v>1727</v>
      </c>
      <c r="MH7">
        <v>-2.4245362661989844E-14</v>
      </c>
      <c r="MJ7">
        <v>-2.4245362661989844E-14</v>
      </c>
      <c r="MK7" t="s">
        <v>1594</v>
      </c>
      <c r="ML7">
        <v>2025</v>
      </c>
      <c r="MM7" t="s">
        <v>1726</v>
      </c>
      <c r="MN7" s="6">
        <v>45876</v>
      </c>
      <c r="MO7">
        <v>5</v>
      </c>
      <c r="MP7">
        <v>-2.4245362661989844E-14</v>
      </c>
      <c r="MQ7">
        <v>29817865</v>
      </c>
      <c r="MR7" t="s">
        <v>1728</v>
      </c>
      <c r="MW7" t="s">
        <v>117</v>
      </c>
      <c r="MX7" t="s">
        <v>1598</v>
      </c>
      <c r="MY7">
        <v>0.22312799999999999</v>
      </c>
      <c r="MZ7">
        <v>0.28478300000000001</v>
      </c>
      <c r="NA7" t="s">
        <v>1603</v>
      </c>
      <c r="NB7">
        <v>2025</v>
      </c>
      <c r="NC7" t="s">
        <v>1744</v>
      </c>
      <c r="ND7" s="6">
        <v>45797</v>
      </c>
      <c r="NE7">
        <v>5</v>
      </c>
      <c r="NF7">
        <v>32445042</v>
      </c>
      <c r="NG7">
        <v>100801</v>
      </c>
      <c r="NH7" t="s">
        <v>1745</v>
      </c>
      <c r="NK7" t="s">
        <v>4592</v>
      </c>
      <c r="NL7">
        <v>5.2800000000000004E-4</v>
      </c>
      <c r="NM7" t="s">
        <v>1685</v>
      </c>
      <c r="NN7">
        <v>2.475676</v>
      </c>
      <c r="NO7" t="s">
        <v>1594</v>
      </c>
      <c r="NP7">
        <v>2024</v>
      </c>
      <c r="NQ7" t="s">
        <v>4593</v>
      </c>
      <c r="NR7" s="6">
        <v>45812</v>
      </c>
      <c r="NS7">
        <v>5</v>
      </c>
      <c r="NT7">
        <v>20912.96</v>
      </c>
      <c r="NU7">
        <v>304406</v>
      </c>
      <c r="NV7" t="s">
        <v>4594</v>
      </c>
      <c r="PE7" t="s">
        <v>2057</v>
      </c>
      <c r="PF7" t="s">
        <v>1685</v>
      </c>
      <c r="PG7">
        <v>0.492811</v>
      </c>
      <c r="PH7">
        <v>2.9784000000000001E-2</v>
      </c>
      <c r="PI7" t="s">
        <v>1603</v>
      </c>
      <c r="PJ7">
        <v>2026</v>
      </c>
      <c r="PK7" t="s">
        <v>2058</v>
      </c>
      <c r="PL7" s="6">
        <v>45898</v>
      </c>
      <c r="PM7">
        <v>5</v>
      </c>
      <c r="PN7">
        <v>889383.69</v>
      </c>
      <c r="PO7">
        <v>178651</v>
      </c>
      <c r="PP7" t="s">
        <v>2059</v>
      </c>
      <c r="RM7" t="s">
        <v>2269</v>
      </c>
      <c r="RN7" t="s">
        <v>1598</v>
      </c>
      <c r="RO7">
        <v>7.4065000000000006E-2</v>
      </c>
      <c r="RP7">
        <v>2.879E-3</v>
      </c>
      <c r="RQ7" t="s">
        <v>1594</v>
      </c>
      <c r="RR7">
        <v>2024</v>
      </c>
      <c r="RS7" t="s">
        <v>2270</v>
      </c>
      <c r="RT7" s="6">
        <v>45758</v>
      </c>
      <c r="RU7">
        <v>5</v>
      </c>
      <c r="RV7">
        <v>46697.46</v>
      </c>
      <c r="RW7">
        <v>130878</v>
      </c>
      <c r="RX7" t="s">
        <v>2271</v>
      </c>
      <c r="SA7" t="s">
        <v>1795</v>
      </c>
      <c r="SB7">
        <v>-2.4245362661989844E-14</v>
      </c>
      <c r="SD7">
        <v>-2.4245362661989844E-14</v>
      </c>
      <c r="SE7" t="s">
        <v>1664</v>
      </c>
      <c r="SF7">
        <v>2024</v>
      </c>
      <c r="SG7" t="s">
        <v>1796</v>
      </c>
      <c r="SH7" s="6">
        <v>45433</v>
      </c>
      <c r="SI7">
        <v>5</v>
      </c>
      <c r="SJ7">
        <v>-2.4245362661989844E-14</v>
      </c>
      <c r="SK7">
        <v>27196144</v>
      </c>
      <c r="SL7" t="s">
        <v>1797</v>
      </c>
      <c r="TE7" t="s">
        <v>3452</v>
      </c>
      <c r="TF7">
        <v>-2.4245362661989844E-14</v>
      </c>
      <c r="TH7">
        <v>-2.4245362661989844E-14</v>
      </c>
      <c r="TI7" t="s">
        <v>1594</v>
      </c>
      <c r="TJ7">
        <v>2025</v>
      </c>
      <c r="TK7" t="s">
        <v>3450</v>
      </c>
      <c r="TL7" s="6">
        <v>45931</v>
      </c>
      <c r="TM7">
        <v>5</v>
      </c>
      <c r="TN7">
        <v>-2.4245362661989844E-14</v>
      </c>
      <c r="TO7">
        <v>17712908</v>
      </c>
      <c r="TP7" t="s">
        <v>3453</v>
      </c>
      <c r="TU7" t="s">
        <v>23</v>
      </c>
      <c r="TV7" t="s">
        <v>1598</v>
      </c>
      <c r="TW7">
        <v>36</v>
      </c>
      <c r="TX7">
        <v>4.5203889999999998</v>
      </c>
      <c r="TY7" t="s">
        <v>1594</v>
      </c>
      <c r="TZ7">
        <v>2025</v>
      </c>
      <c r="UA7" t="s">
        <v>1765</v>
      </c>
      <c r="UB7" s="6">
        <v>46064</v>
      </c>
      <c r="UC7">
        <v>5</v>
      </c>
      <c r="UD7">
        <v>4337460224</v>
      </c>
      <c r="UE7">
        <v>100225</v>
      </c>
      <c r="UF7" t="s">
        <v>2222</v>
      </c>
      <c r="UI7" t="s">
        <v>1821</v>
      </c>
      <c r="UJ7">
        <v>4.2240000000000002</v>
      </c>
      <c r="UL7">
        <v>-2.4245362661989844E-14</v>
      </c>
      <c r="UM7" t="s">
        <v>1603</v>
      </c>
      <c r="UN7">
        <v>2026</v>
      </c>
      <c r="UO7" t="s">
        <v>2432</v>
      </c>
      <c r="UP7" s="6">
        <v>45953</v>
      </c>
      <c r="UQ7">
        <v>5</v>
      </c>
      <c r="UR7">
        <v>3262522624</v>
      </c>
      <c r="US7">
        <v>48003505</v>
      </c>
      <c r="UT7" t="s">
        <v>1823</v>
      </c>
    </row>
    <row r="8" spans="1:600" x14ac:dyDescent="0.25">
      <c r="A8" t="s">
        <v>70</v>
      </c>
      <c r="C8">
        <v>-2.4245362661989844E-14</v>
      </c>
      <c r="D8">
        <v>-2.4245362661989844E-14</v>
      </c>
      <c r="E8" t="s">
        <v>1594</v>
      </c>
      <c r="F8">
        <v>2022</v>
      </c>
      <c r="G8" t="s">
        <v>3709</v>
      </c>
      <c r="H8" s="6">
        <v>44978</v>
      </c>
      <c r="I8">
        <v>5</v>
      </c>
      <c r="J8">
        <v>-2.4245362661989844E-14</v>
      </c>
      <c r="K8">
        <v>10005604</v>
      </c>
      <c r="L8" t="s">
        <v>2406</v>
      </c>
      <c r="AE8" t="s">
        <v>3615</v>
      </c>
      <c r="AG8">
        <v>-2.4245362661989844E-14</v>
      </c>
      <c r="AH8">
        <v>-2.4245362661989844E-14</v>
      </c>
      <c r="AI8" t="s">
        <v>1594</v>
      </c>
      <c r="AJ8">
        <v>2024</v>
      </c>
      <c r="AK8" t="s">
        <v>3417</v>
      </c>
      <c r="AL8" s="6">
        <v>45496</v>
      </c>
      <c r="AM8">
        <v>5</v>
      </c>
      <c r="AN8">
        <v>-2.4245362661989844E-14</v>
      </c>
      <c r="AO8">
        <v>148870</v>
      </c>
      <c r="AP8" t="s">
        <v>3616</v>
      </c>
      <c r="AS8" t="s">
        <v>3424</v>
      </c>
      <c r="AT8">
        <v>-2.4245362661989844E-14</v>
      </c>
      <c r="AV8">
        <v>-2.4245362661989844E-14</v>
      </c>
      <c r="AW8" t="s">
        <v>1664</v>
      </c>
      <c r="AX8">
        <v>2022</v>
      </c>
      <c r="AY8" t="s">
        <v>3420</v>
      </c>
      <c r="AZ8" s="6">
        <v>44824</v>
      </c>
      <c r="BA8">
        <v>5</v>
      </c>
      <c r="BB8">
        <v>-2.4245362661989844E-14</v>
      </c>
      <c r="BC8">
        <v>117746</v>
      </c>
      <c r="BD8" t="s">
        <v>3425</v>
      </c>
      <c r="DQ8" t="s">
        <v>1997</v>
      </c>
      <c r="DR8" t="s">
        <v>1634</v>
      </c>
      <c r="DS8">
        <v>6.234559</v>
      </c>
      <c r="DT8">
        <v>1.5138720000000001</v>
      </c>
      <c r="DU8" t="s">
        <v>1664</v>
      </c>
      <c r="DV8">
        <v>2025</v>
      </c>
      <c r="DW8" t="s">
        <v>3355</v>
      </c>
      <c r="DX8" s="6">
        <v>45897</v>
      </c>
      <c r="DY8">
        <v>5</v>
      </c>
      <c r="DZ8">
        <v>137459552</v>
      </c>
      <c r="EA8">
        <v>16532368</v>
      </c>
      <c r="EB8" t="s">
        <v>1999</v>
      </c>
      <c r="EE8" t="s">
        <v>32</v>
      </c>
      <c r="EF8">
        <v>0.69902799999999998</v>
      </c>
      <c r="EG8" t="s">
        <v>1598</v>
      </c>
      <c r="EH8">
        <v>0.138625</v>
      </c>
      <c r="EI8" t="s">
        <v>1606</v>
      </c>
      <c r="EJ8">
        <v>2025</v>
      </c>
      <c r="EK8" t="s">
        <v>2251</v>
      </c>
      <c r="EL8" s="6">
        <v>45848</v>
      </c>
      <c r="EM8">
        <v>5</v>
      </c>
      <c r="EN8">
        <v>111166424</v>
      </c>
      <c r="EO8">
        <v>100976</v>
      </c>
      <c r="EP8" t="s">
        <v>1820</v>
      </c>
      <c r="FY8" t="s">
        <v>4388</v>
      </c>
      <c r="GA8">
        <v>-2.4245362661989844E-14</v>
      </c>
      <c r="GB8">
        <v>-2.4245362661989844E-14</v>
      </c>
      <c r="GC8" t="s">
        <v>1594</v>
      </c>
      <c r="GD8">
        <v>2023</v>
      </c>
      <c r="GE8" t="s">
        <v>4389</v>
      </c>
      <c r="GF8" s="6">
        <v>45070</v>
      </c>
      <c r="GG8">
        <v>5</v>
      </c>
      <c r="GH8">
        <v>-2.4245362661989844E-14</v>
      </c>
      <c r="GI8">
        <v>8275698</v>
      </c>
      <c r="GJ8" t="s">
        <v>4390</v>
      </c>
      <c r="GM8" t="s">
        <v>4198</v>
      </c>
      <c r="GN8">
        <v>-2.4245362661989844E-14</v>
      </c>
      <c r="GP8">
        <v>-2.4245362661989844E-14</v>
      </c>
      <c r="GQ8" t="s">
        <v>1664</v>
      </c>
      <c r="GR8">
        <v>2025</v>
      </c>
      <c r="GS8" t="s">
        <v>4199</v>
      </c>
      <c r="GT8" s="6">
        <v>45876</v>
      </c>
      <c r="GU8">
        <v>5</v>
      </c>
      <c r="GV8">
        <v>-2.4245362661989844E-14</v>
      </c>
      <c r="GW8">
        <v>48038858</v>
      </c>
      <c r="GX8" t="s">
        <v>4200</v>
      </c>
      <c r="HC8" t="s">
        <v>110</v>
      </c>
      <c r="HE8">
        <v>-2.4245362661989844E-14</v>
      </c>
      <c r="HF8">
        <v>-2.4245362661989844E-14</v>
      </c>
      <c r="HG8" t="s">
        <v>1594</v>
      </c>
      <c r="HH8">
        <v>2021</v>
      </c>
      <c r="HI8" t="s">
        <v>4239</v>
      </c>
      <c r="HJ8" s="6">
        <v>44693</v>
      </c>
      <c r="HK8">
        <v>5</v>
      </c>
      <c r="HL8">
        <v>-2.4245362661989844E-14</v>
      </c>
      <c r="HM8">
        <v>100193</v>
      </c>
      <c r="HN8" t="s">
        <v>3708</v>
      </c>
      <c r="KO8" t="s">
        <v>2272</v>
      </c>
      <c r="KP8" t="s">
        <v>1634</v>
      </c>
      <c r="KQ8">
        <v>2.0240000000000002E-3</v>
      </c>
      <c r="KR8">
        <v>2.6168E-2</v>
      </c>
      <c r="KS8" t="s">
        <v>1599</v>
      </c>
      <c r="KT8">
        <v>2025</v>
      </c>
      <c r="KU8" t="s">
        <v>2273</v>
      </c>
      <c r="KV8" s="6">
        <v>45964</v>
      </c>
      <c r="KW8">
        <v>5</v>
      </c>
      <c r="KX8">
        <v>10506</v>
      </c>
      <c r="KY8">
        <v>16546862</v>
      </c>
      <c r="KZ8" t="s">
        <v>2274</v>
      </c>
      <c r="LC8" t="s">
        <v>1798</v>
      </c>
      <c r="LD8">
        <v>-2.4245362661989844E-14</v>
      </c>
      <c r="LF8">
        <v>-2.4245362661989844E-14</v>
      </c>
      <c r="LG8" t="s">
        <v>1594</v>
      </c>
      <c r="LH8">
        <v>2024</v>
      </c>
      <c r="LI8" t="s">
        <v>1799</v>
      </c>
      <c r="LJ8" s="6">
        <v>45771</v>
      </c>
      <c r="LK8">
        <v>5</v>
      </c>
      <c r="LL8">
        <v>-2.4245362661989844E-14</v>
      </c>
      <c r="LM8">
        <v>135686</v>
      </c>
      <c r="LN8" t="s">
        <v>1800</v>
      </c>
      <c r="LS8" t="s">
        <v>1997</v>
      </c>
      <c r="LU8">
        <v>-2.4245362661989844E-14</v>
      </c>
      <c r="LV8">
        <v>-2.4245362661989844E-14</v>
      </c>
      <c r="LW8" t="s">
        <v>1603</v>
      </c>
      <c r="LX8">
        <v>2025</v>
      </c>
      <c r="LY8" t="s">
        <v>1998</v>
      </c>
      <c r="LZ8" s="6">
        <v>45819</v>
      </c>
      <c r="MA8">
        <v>5</v>
      </c>
      <c r="MB8">
        <v>-2.4245362661989844E-14</v>
      </c>
      <c r="MC8">
        <v>16532368</v>
      </c>
      <c r="MD8" t="s">
        <v>1999</v>
      </c>
      <c r="MG8" t="s">
        <v>1729</v>
      </c>
      <c r="MH8">
        <v>-2.4245362661989844E-14</v>
      </c>
      <c r="MJ8">
        <v>-2.4245362661989844E-14</v>
      </c>
      <c r="MK8" t="s">
        <v>1594</v>
      </c>
      <c r="ML8">
        <v>2023</v>
      </c>
      <c r="MM8" t="s">
        <v>1730</v>
      </c>
      <c r="MN8" s="6">
        <v>45195</v>
      </c>
      <c r="MO8">
        <v>5</v>
      </c>
      <c r="MP8">
        <v>-2.4245362661989844E-14</v>
      </c>
      <c r="MQ8">
        <v>53083024</v>
      </c>
      <c r="MR8" t="s">
        <v>1731</v>
      </c>
      <c r="MW8" t="s">
        <v>143</v>
      </c>
      <c r="MX8" t="s">
        <v>1598</v>
      </c>
      <c r="MY8">
        <v>0.12987899999999999</v>
      </c>
      <c r="MZ8">
        <v>0.18129400000000001</v>
      </c>
      <c r="NA8" t="s">
        <v>1606</v>
      </c>
      <c r="NB8">
        <v>2025</v>
      </c>
      <c r="NC8" t="s">
        <v>2251</v>
      </c>
      <c r="ND8" s="6">
        <v>45848</v>
      </c>
      <c r="NE8">
        <v>5</v>
      </c>
      <c r="NF8">
        <v>20654656</v>
      </c>
      <c r="NG8">
        <v>101752</v>
      </c>
      <c r="NH8" t="s">
        <v>2265</v>
      </c>
      <c r="NK8" t="s">
        <v>4595</v>
      </c>
      <c r="NL8">
        <v>-2.4245362661989844E-14</v>
      </c>
      <c r="NN8">
        <v>-2.4245362661989844E-14</v>
      </c>
      <c r="NO8" t="s">
        <v>1594</v>
      </c>
      <c r="NP8">
        <v>2024</v>
      </c>
      <c r="NQ8" t="s">
        <v>4596</v>
      </c>
      <c r="NR8" s="6">
        <v>45390</v>
      </c>
      <c r="NS8">
        <v>5</v>
      </c>
      <c r="NT8">
        <v>-2.4245362661989844E-14</v>
      </c>
      <c r="NU8">
        <v>18969450</v>
      </c>
      <c r="NV8" t="s">
        <v>4597</v>
      </c>
      <c r="PE8" t="s">
        <v>2060</v>
      </c>
      <c r="PG8">
        <v>0.44397199999999998</v>
      </c>
      <c r="PH8">
        <v>-2.4245362661989844E-14</v>
      </c>
      <c r="PI8" t="s">
        <v>1606</v>
      </c>
      <c r="PJ8">
        <v>2024</v>
      </c>
      <c r="PK8" t="s">
        <v>2061</v>
      </c>
      <c r="PL8" s="6">
        <v>45699</v>
      </c>
      <c r="PM8">
        <v>5</v>
      </c>
      <c r="PN8">
        <v>316250</v>
      </c>
      <c r="PO8">
        <v>10086577</v>
      </c>
      <c r="PP8" t="s">
        <v>2062</v>
      </c>
      <c r="RM8" t="s">
        <v>2272</v>
      </c>
      <c r="RN8" t="s">
        <v>1634</v>
      </c>
      <c r="RO8">
        <v>2.0240000000000002E-3</v>
      </c>
      <c r="RP8">
        <v>2.6168E-2</v>
      </c>
      <c r="RQ8" t="s">
        <v>1599</v>
      </c>
      <c r="RR8">
        <v>2025</v>
      </c>
      <c r="RS8" t="s">
        <v>2273</v>
      </c>
      <c r="RT8" s="6">
        <v>45964</v>
      </c>
      <c r="RU8">
        <v>5</v>
      </c>
      <c r="RV8">
        <v>10506</v>
      </c>
      <c r="RW8">
        <v>16546862</v>
      </c>
      <c r="RX8" t="s">
        <v>2274</v>
      </c>
      <c r="SA8" t="s">
        <v>1798</v>
      </c>
      <c r="SB8">
        <v>-2.4245362661989844E-14</v>
      </c>
      <c r="SD8">
        <v>-2.4245362661989844E-14</v>
      </c>
      <c r="SE8" t="s">
        <v>1594</v>
      </c>
      <c r="SF8">
        <v>2024</v>
      </c>
      <c r="SG8" t="s">
        <v>1799</v>
      </c>
      <c r="SH8" s="6">
        <v>45771</v>
      </c>
      <c r="SI8">
        <v>5</v>
      </c>
      <c r="SJ8">
        <v>-2.4245362661989844E-14</v>
      </c>
      <c r="SK8">
        <v>135686</v>
      </c>
      <c r="SL8" t="s">
        <v>1800</v>
      </c>
      <c r="TE8" t="s">
        <v>3454</v>
      </c>
      <c r="TF8">
        <v>-2.4245362661989844E-14</v>
      </c>
      <c r="TH8">
        <v>-2.4245362661989844E-14</v>
      </c>
      <c r="TI8" t="s">
        <v>1594</v>
      </c>
      <c r="TJ8">
        <v>2025</v>
      </c>
      <c r="TK8" t="s">
        <v>3450</v>
      </c>
      <c r="TL8" s="6">
        <v>45715</v>
      </c>
      <c r="TM8">
        <v>5</v>
      </c>
      <c r="TN8">
        <v>-2.4245362661989844E-14</v>
      </c>
      <c r="TO8">
        <v>17530883</v>
      </c>
      <c r="TP8" t="s">
        <v>3455</v>
      </c>
      <c r="TU8" t="s">
        <v>555</v>
      </c>
      <c r="TV8" t="s">
        <v>1598</v>
      </c>
      <c r="TW8">
        <v>23.281113000000001</v>
      </c>
      <c r="TX8">
        <v>5.5350809999999999</v>
      </c>
      <c r="TY8" t="s">
        <v>1599</v>
      </c>
      <c r="TZ8">
        <v>2025</v>
      </c>
      <c r="UA8" t="s">
        <v>1859</v>
      </c>
      <c r="UB8" s="6">
        <v>46041</v>
      </c>
      <c r="UC8">
        <v>5</v>
      </c>
      <c r="UD8">
        <v>4097661952</v>
      </c>
      <c r="UE8">
        <v>100894</v>
      </c>
      <c r="UF8" t="s">
        <v>2218</v>
      </c>
      <c r="UI8" t="s">
        <v>1824</v>
      </c>
      <c r="UJ8">
        <v>4.17</v>
      </c>
      <c r="UL8">
        <v>-2.4245362661989844E-14</v>
      </c>
      <c r="UM8" t="s">
        <v>1603</v>
      </c>
      <c r="UN8">
        <v>2026</v>
      </c>
      <c r="UO8" t="s">
        <v>2432</v>
      </c>
      <c r="UP8" s="6">
        <v>45953</v>
      </c>
      <c r="UQ8">
        <v>5</v>
      </c>
      <c r="UR8">
        <v>3220814080</v>
      </c>
      <c r="US8">
        <v>353064</v>
      </c>
      <c r="UT8" t="s">
        <v>1825</v>
      </c>
    </row>
    <row r="9" spans="1:600" x14ac:dyDescent="0.25">
      <c r="A9" t="s">
        <v>77</v>
      </c>
      <c r="C9">
        <v>-2.4245362661989844E-14</v>
      </c>
      <c r="D9">
        <v>-2.4245362661989844E-14</v>
      </c>
      <c r="E9" t="s">
        <v>1594</v>
      </c>
      <c r="F9">
        <v>2023</v>
      </c>
      <c r="G9" t="s">
        <v>3618</v>
      </c>
      <c r="H9" s="6">
        <v>45342</v>
      </c>
      <c r="I9">
        <v>5</v>
      </c>
      <c r="J9">
        <v>-2.4245362661989844E-14</v>
      </c>
      <c r="K9">
        <v>18302043</v>
      </c>
      <c r="L9" t="s">
        <v>3710</v>
      </c>
      <c r="AE9" t="s">
        <v>29</v>
      </c>
      <c r="AG9">
        <v>-2.4245362661989844E-14</v>
      </c>
      <c r="AH9">
        <v>-2.4245362661989844E-14</v>
      </c>
      <c r="AI9" t="s">
        <v>1594</v>
      </c>
      <c r="AJ9">
        <v>2023</v>
      </c>
      <c r="AK9" t="s">
        <v>3417</v>
      </c>
      <c r="AL9" s="6">
        <v>45054</v>
      </c>
      <c r="AM9">
        <v>5</v>
      </c>
      <c r="AN9">
        <v>-2.4245362661989844E-14</v>
      </c>
      <c r="AO9">
        <v>100185</v>
      </c>
      <c r="AP9" t="s">
        <v>3617</v>
      </c>
      <c r="AS9" t="s">
        <v>3426</v>
      </c>
      <c r="AT9">
        <v>-2.4245362661989844E-14</v>
      </c>
      <c r="AV9">
        <v>-2.4245362661989844E-14</v>
      </c>
      <c r="AW9" t="s">
        <v>1594</v>
      </c>
      <c r="AX9">
        <v>2024</v>
      </c>
      <c r="AY9" t="s">
        <v>3427</v>
      </c>
      <c r="AZ9" s="6">
        <v>45707</v>
      </c>
      <c r="BA9">
        <v>5</v>
      </c>
      <c r="BB9">
        <v>-2.4245362661989844E-14</v>
      </c>
      <c r="BC9">
        <v>117750</v>
      </c>
      <c r="BD9" t="s">
        <v>3428</v>
      </c>
      <c r="DQ9" t="s">
        <v>276</v>
      </c>
      <c r="DR9" t="s">
        <v>1634</v>
      </c>
      <c r="DS9">
        <v>3.6037650000000001</v>
      </c>
      <c r="DT9">
        <v>0.90356199999999998</v>
      </c>
      <c r="DU9" t="s">
        <v>1664</v>
      </c>
      <c r="DV9">
        <v>2026</v>
      </c>
      <c r="DW9" t="s">
        <v>3356</v>
      </c>
      <c r="DX9" s="6">
        <v>46059</v>
      </c>
      <c r="DY9">
        <v>5</v>
      </c>
      <c r="DZ9">
        <v>108725592</v>
      </c>
      <c r="EA9">
        <v>101643</v>
      </c>
      <c r="EB9" t="s">
        <v>3357</v>
      </c>
      <c r="EE9" t="s">
        <v>306</v>
      </c>
      <c r="EF9">
        <v>0.66108800000000001</v>
      </c>
      <c r="EG9" t="s">
        <v>1598</v>
      </c>
      <c r="EH9">
        <v>0.122531</v>
      </c>
      <c r="EI9" t="s">
        <v>1606</v>
      </c>
      <c r="EJ9">
        <v>2025</v>
      </c>
      <c r="EK9" t="s">
        <v>2251</v>
      </c>
      <c r="EL9" s="6">
        <v>45848</v>
      </c>
      <c r="EM9">
        <v>5</v>
      </c>
      <c r="EN9">
        <v>105132824</v>
      </c>
      <c r="EO9">
        <v>101548</v>
      </c>
      <c r="EP9" t="s">
        <v>1770</v>
      </c>
      <c r="FY9" t="s">
        <v>4391</v>
      </c>
      <c r="GA9">
        <v>-2.4245362661989844E-14</v>
      </c>
      <c r="GB9">
        <v>-2.4245362661989844E-14</v>
      </c>
      <c r="GC9" t="s">
        <v>1594</v>
      </c>
      <c r="GD9">
        <v>2024</v>
      </c>
      <c r="GE9" t="s">
        <v>4192</v>
      </c>
      <c r="GF9" s="6">
        <v>45680</v>
      </c>
      <c r="GG9">
        <v>5</v>
      </c>
      <c r="GH9">
        <v>-2.4245362661989844E-14</v>
      </c>
      <c r="GI9">
        <v>23540085</v>
      </c>
      <c r="GJ9" t="s">
        <v>4392</v>
      </c>
      <c r="GM9" t="s">
        <v>4201</v>
      </c>
      <c r="GN9">
        <v>-2.4245362661989844E-14</v>
      </c>
      <c r="GP9">
        <v>-2.4245362661989844E-14</v>
      </c>
      <c r="GQ9" t="s">
        <v>1599</v>
      </c>
      <c r="GR9">
        <v>2024</v>
      </c>
      <c r="GS9" t="s">
        <v>4202</v>
      </c>
      <c r="GT9" s="6">
        <v>45595</v>
      </c>
      <c r="GU9">
        <v>5</v>
      </c>
      <c r="GV9">
        <v>-2.4245362661989844E-14</v>
      </c>
      <c r="GW9">
        <v>49374227</v>
      </c>
      <c r="GX9" t="s">
        <v>4203</v>
      </c>
      <c r="HC9" t="s">
        <v>172</v>
      </c>
      <c r="HE9">
        <v>-2.4245362661989844E-14</v>
      </c>
      <c r="HF9">
        <v>-2.4245362661989844E-14</v>
      </c>
      <c r="HG9" t="s">
        <v>1594</v>
      </c>
      <c r="HH9">
        <v>2021</v>
      </c>
      <c r="HI9" t="s">
        <v>4240</v>
      </c>
      <c r="HJ9" s="6">
        <v>44693</v>
      </c>
      <c r="HK9">
        <v>5</v>
      </c>
      <c r="HL9">
        <v>-2.4245362661989844E-14</v>
      </c>
      <c r="HM9">
        <v>100481</v>
      </c>
      <c r="HN9" t="s">
        <v>4241</v>
      </c>
      <c r="KO9" t="s">
        <v>2275</v>
      </c>
      <c r="KP9" t="s">
        <v>1598</v>
      </c>
      <c r="KQ9">
        <v>1.2467000000000001E-2</v>
      </c>
      <c r="KR9">
        <v>4.5800000000000002E-4</v>
      </c>
      <c r="KS9" t="s">
        <v>1664</v>
      </c>
      <c r="KT9">
        <v>2025</v>
      </c>
      <c r="KU9" t="s">
        <v>2276</v>
      </c>
      <c r="KV9" s="6">
        <v>45744</v>
      </c>
      <c r="KW9">
        <v>5</v>
      </c>
      <c r="KX9">
        <v>6232.4</v>
      </c>
      <c r="KY9">
        <v>28653435</v>
      </c>
      <c r="KZ9" t="s">
        <v>2277</v>
      </c>
      <c r="LC9" t="s">
        <v>1801</v>
      </c>
      <c r="LD9">
        <v>-2.4245362661989844E-14</v>
      </c>
      <c r="LF9">
        <v>-2.4245362661989844E-14</v>
      </c>
      <c r="LG9" t="s">
        <v>1594</v>
      </c>
      <c r="LH9">
        <v>2022</v>
      </c>
      <c r="LI9" t="s">
        <v>1802</v>
      </c>
      <c r="LJ9" s="6">
        <v>45083</v>
      </c>
      <c r="LK9">
        <v>5</v>
      </c>
      <c r="LL9">
        <v>-2.4245362661989844E-14</v>
      </c>
      <c r="LM9">
        <v>34532225</v>
      </c>
      <c r="LN9" t="s">
        <v>1803</v>
      </c>
      <c r="LS9" t="s">
        <v>2000</v>
      </c>
      <c r="LU9">
        <v>-2.4245362661989844E-14</v>
      </c>
      <c r="LV9">
        <v>-2.4245362661989844E-14</v>
      </c>
      <c r="LW9" t="s">
        <v>1594</v>
      </c>
      <c r="LX9">
        <v>2023</v>
      </c>
      <c r="LY9" t="s">
        <v>2001</v>
      </c>
      <c r="LZ9" s="6">
        <v>45155</v>
      </c>
      <c r="MA9">
        <v>5</v>
      </c>
      <c r="MB9">
        <v>-2.4245362661989844E-14</v>
      </c>
      <c r="MC9">
        <v>8787228</v>
      </c>
      <c r="MD9" t="s">
        <v>2002</v>
      </c>
      <c r="MG9" t="s">
        <v>1621</v>
      </c>
      <c r="MH9">
        <v>-2.4245362661989844E-14</v>
      </c>
      <c r="MJ9">
        <v>-2.4245362661989844E-14</v>
      </c>
      <c r="MK9" t="s">
        <v>1594</v>
      </c>
      <c r="ML9">
        <v>2025</v>
      </c>
      <c r="MM9" t="s">
        <v>1726</v>
      </c>
      <c r="MN9" s="6">
        <v>45855</v>
      </c>
      <c r="MO9">
        <v>5</v>
      </c>
      <c r="MP9">
        <v>-2.4245362661989844E-14</v>
      </c>
      <c r="MQ9">
        <v>218252</v>
      </c>
      <c r="MR9" t="s">
        <v>1622</v>
      </c>
      <c r="MW9" t="s">
        <v>1628</v>
      </c>
      <c r="MX9" t="s">
        <v>1598</v>
      </c>
      <c r="MY9">
        <v>8.0881999999999996E-2</v>
      </c>
      <c r="MZ9">
        <v>0.52148700000000003</v>
      </c>
      <c r="NA9" t="s">
        <v>1664</v>
      </c>
      <c r="NB9">
        <v>2025</v>
      </c>
      <c r="NC9" t="s">
        <v>4662</v>
      </c>
      <c r="ND9" s="6">
        <v>45904</v>
      </c>
      <c r="NE9">
        <v>5</v>
      </c>
      <c r="NF9">
        <v>14684127</v>
      </c>
      <c r="NG9">
        <v>156923</v>
      </c>
      <c r="NH9" t="s">
        <v>1630</v>
      </c>
      <c r="NK9" t="s">
        <v>1615</v>
      </c>
      <c r="NL9">
        <v>-2.4245362661989844E-14</v>
      </c>
      <c r="NN9">
        <v>-2.4245362661989844E-14</v>
      </c>
      <c r="NO9" t="s">
        <v>1594</v>
      </c>
      <c r="NP9">
        <v>2024</v>
      </c>
      <c r="NQ9" t="s">
        <v>4596</v>
      </c>
      <c r="NR9" s="6">
        <v>45615</v>
      </c>
      <c r="NS9">
        <v>5</v>
      </c>
      <c r="NT9">
        <v>-2.4245362661989844E-14</v>
      </c>
      <c r="NU9">
        <v>962205</v>
      </c>
      <c r="NV9" t="s">
        <v>1617</v>
      </c>
      <c r="PE9" t="s">
        <v>2063</v>
      </c>
      <c r="PG9">
        <v>-2.4245362661989844E-14</v>
      </c>
      <c r="PH9">
        <v>-2.4245362661989844E-14</v>
      </c>
      <c r="PI9" t="s">
        <v>1651</v>
      </c>
      <c r="PJ9">
        <v>2025</v>
      </c>
      <c r="PK9" t="s">
        <v>2064</v>
      </c>
      <c r="PL9" s="6">
        <v>45974</v>
      </c>
      <c r="PM9">
        <v>5</v>
      </c>
      <c r="PN9">
        <v>-2.4245362661989844E-14</v>
      </c>
      <c r="PO9">
        <v>118099</v>
      </c>
      <c r="PP9" t="s">
        <v>2065</v>
      </c>
      <c r="RM9" t="s">
        <v>2275</v>
      </c>
      <c r="RN9" t="s">
        <v>1598</v>
      </c>
      <c r="RO9">
        <v>1.2467000000000001E-2</v>
      </c>
      <c r="RP9">
        <v>4.5800000000000002E-4</v>
      </c>
      <c r="RQ9" t="s">
        <v>1664</v>
      </c>
      <c r="RR9">
        <v>2025</v>
      </c>
      <c r="RS9" t="s">
        <v>2276</v>
      </c>
      <c r="RT9" s="6">
        <v>45744</v>
      </c>
      <c r="RU9">
        <v>5</v>
      </c>
      <c r="RV9">
        <v>6232.4</v>
      </c>
      <c r="RW9">
        <v>28653435</v>
      </c>
      <c r="RX9" t="s">
        <v>2277</v>
      </c>
      <c r="SA9" t="s">
        <v>1801</v>
      </c>
      <c r="SB9">
        <v>-2.4245362661989844E-14</v>
      </c>
      <c r="SD9">
        <v>-2.4245362661989844E-14</v>
      </c>
      <c r="SE9" t="s">
        <v>1594</v>
      </c>
      <c r="SF9">
        <v>2022</v>
      </c>
      <c r="SG9" t="s">
        <v>1802</v>
      </c>
      <c r="SH9" s="6">
        <v>45083</v>
      </c>
      <c r="SI9">
        <v>5</v>
      </c>
      <c r="SJ9">
        <v>-2.4245362661989844E-14</v>
      </c>
      <c r="SK9">
        <v>34532225</v>
      </c>
      <c r="SL9" t="s">
        <v>1803</v>
      </c>
      <c r="TE9" t="s">
        <v>3456</v>
      </c>
      <c r="TF9">
        <v>-2.4245362661989844E-14</v>
      </c>
      <c r="TH9">
        <v>-2.4245362661989844E-14</v>
      </c>
      <c r="TI9" t="s">
        <v>1594</v>
      </c>
      <c r="TJ9">
        <v>2025</v>
      </c>
      <c r="TK9" t="s">
        <v>3450</v>
      </c>
      <c r="TL9" s="6">
        <v>45715</v>
      </c>
      <c r="TM9">
        <v>5</v>
      </c>
      <c r="TN9">
        <v>-2.4245362661989844E-14</v>
      </c>
      <c r="TO9">
        <v>982232</v>
      </c>
      <c r="TP9" t="s">
        <v>3457</v>
      </c>
      <c r="TU9" t="s">
        <v>24</v>
      </c>
      <c r="TV9" t="s">
        <v>1598</v>
      </c>
      <c r="TW9">
        <v>25</v>
      </c>
      <c r="TX9">
        <v>4.0761390000000004</v>
      </c>
      <c r="TY9" t="s">
        <v>1594</v>
      </c>
      <c r="TZ9">
        <v>2025</v>
      </c>
      <c r="UA9" t="s">
        <v>2824</v>
      </c>
      <c r="UB9" s="6">
        <v>46079</v>
      </c>
      <c r="UC9">
        <v>5</v>
      </c>
      <c r="UD9">
        <v>3911187456</v>
      </c>
      <c r="UE9">
        <v>101166</v>
      </c>
      <c r="UF9" t="s">
        <v>2119</v>
      </c>
      <c r="UI9" t="s">
        <v>2433</v>
      </c>
      <c r="UJ9">
        <v>4.17</v>
      </c>
      <c r="UL9">
        <v>-2.4245362661989844E-14</v>
      </c>
      <c r="UM9" t="s">
        <v>1603</v>
      </c>
      <c r="UN9">
        <v>2026</v>
      </c>
      <c r="UO9" t="s">
        <v>2432</v>
      </c>
      <c r="UP9" s="6">
        <v>45953</v>
      </c>
      <c r="UQ9">
        <v>5</v>
      </c>
      <c r="UR9">
        <v>3220814080</v>
      </c>
      <c r="US9">
        <v>962217</v>
      </c>
      <c r="UT9" t="s">
        <v>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SPLC_1</vt:lpstr>
      <vt:lpstr>SPLC_2</vt:lpstr>
      <vt:lpstr>SPLC_3</vt:lpstr>
      <vt:lpstr>SPLC_4</vt:lpstr>
      <vt:lpstr>SPLC_5</vt:lpstr>
      <vt:lpstr>SPLC_6</vt:lpstr>
      <vt:lpstr>SPLC_7</vt:lpstr>
      <vt:lpstr>SPLC_8</vt:lpstr>
      <vt:lpstr>SPLC_9</vt:lpstr>
      <vt:lpstr>SPLC_10</vt:lpstr>
      <vt:lpstr>SPLC_11</vt:lpstr>
      <vt:lpstr>SPLC_12</vt:lpstr>
      <vt:lpstr>SPLC_13</vt:lpstr>
      <vt:lpstr>SPLC_14</vt:lpstr>
      <vt:lpstr>SPLC_15</vt:lpstr>
      <vt:lpstr>SPLC_16</vt:lpstr>
      <vt:lpstr>SPLC_17</vt:lpstr>
      <vt:lpstr>SPLC_18</vt:lpstr>
      <vt:lpstr>SPLC_19</vt:lpstr>
      <vt:lpstr>SPLC_20</vt:lpstr>
      <vt:lpstr>SPLC_21</vt:lpstr>
      <vt:lpstr>SPLC_22</vt:lpstr>
      <vt:lpstr>SPLC_23</vt:lpstr>
      <vt:lpstr>SPLC_24</vt:lpstr>
      <vt:lpstr>SPLC_25</vt:lpstr>
      <vt:lpstr>SPLC_26</vt:lpstr>
      <vt:lpstr>SPLC_27</vt:lpstr>
      <vt:lpstr>SPLC_28</vt:lpstr>
      <vt:lpstr>SPLC_29</vt:lpstr>
      <vt:lpstr>SPLC_30</vt:lpstr>
      <vt:lpstr>SPLC_31</vt:lpstr>
      <vt:lpstr>SPLC_32</vt:lpstr>
      <vt:lpstr>SPLC_33</vt:lpstr>
      <vt:lpstr>SPLC_34</vt:lpstr>
      <vt:lpstr>SPLC_35</vt:lpstr>
      <vt:lpstr>SPLC_36</vt:lpstr>
      <vt:lpstr>SPLC_37</vt:lpstr>
      <vt:lpstr>SPLC_38</vt:lpstr>
      <vt:lpstr>SPLC_39</vt:lpstr>
      <vt:lpstr>SPLC_40</vt:lpstr>
      <vt:lpstr>SPLC_41</vt:lpstr>
      <vt:lpstr>SPLC_42</vt:lpstr>
      <vt:lpstr>SPLC_43</vt:lpstr>
      <vt:lpstr>SPLC_44</vt:lpstr>
      <vt:lpstr>SPLC_45</vt:lpstr>
      <vt:lpstr>SPLC_46</vt:lpstr>
      <vt:lpstr>SPLC_47</vt:lpstr>
      <vt:lpstr>SPLC_48</vt:lpstr>
      <vt:lpstr>SPLC_49</vt:lpstr>
      <vt:lpstr>SPLC_50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 Brijeshkumar JOSHI</cp:lastModifiedBy>
  <dcterms:created xsi:type="dcterms:W3CDTF">2026-03-10T17:21:01Z</dcterms:created>
  <dcterms:modified xsi:type="dcterms:W3CDTF">2026-03-10T17:22:35Z</dcterms:modified>
</cp:coreProperties>
</file>