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2512658\hardjoshi-ma\data\raw\"/>
    </mc:Choice>
  </mc:AlternateContent>
  <xr:revisionPtr revIDLastSave="0" documentId="13_ncr:1_{AC7B6C53-5321-4F38-A719-2D5E8DEC7E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LC_101" sheetId="1" r:id="rId1"/>
    <sheet name="SPLC_102" sheetId="2" r:id="rId2"/>
    <sheet name="SPLC_103" sheetId="3" r:id="rId3"/>
    <sheet name="SPLC_104" sheetId="4" r:id="rId4"/>
    <sheet name="SPLC_105" sheetId="5" r:id="rId5"/>
    <sheet name="SPLC_106" sheetId="6" r:id="rId6"/>
    <sheet name="SPLC_107" sheetId="7" r:id="rId7"/>
    <sheet name="SPLC_108" sheetId="8" r:id="rId8"/>
    <sheet name="SPLC_109" sheetId="9" r:id="rId9"/>
    <sheet name="SPLC_110" sheetId="10" r:id="rId10"/>
    <sheet name="SPLC_111" sheetId="11" r:id="rId11"/>
    <sheet name="SPLC_112" sheetId="12" r:id="rId12"/>
    <sheet name="SPLC_113" sheetId="13" r:id="rId13"/>
    <sheet name="SPLC_114" sheetId="14" r:id="rId14"/>
    <sheet name="SPLC_115" sheetId="15" r:id="rId15"/>
    <sheet name="SPLC_116" sheetId="16" r:id="rId16"/>
    <sheet name="SPLC_117" sheetId="17" r:id="rId17"/>
    <sheet name="SPLC_118" sheetId="18" r:id="rId18"/>
    <sheet name="SPLC_119" sheetId="19" r:id="rId19"/>
    <sheet name="SPLC_120" sheetId="20" r:id="rId20"/>
    <sheet name="SPLC_121" sheetId="21" r:id="rId21"/>
    <sheet name="SPLC_122" sheetId="22" r:id="rId22"/>
    <sheet name="SPLC_123" sheetId="23" r:id="rId23"/>
    <sheet name="SPLC_124" sheetId="24" r:id="rId24"/>
    <sheet name="SPLC_125" sheetId="25" r:id="rId25"/>
    <sheet name="SPLC_126" sheetId="26" r:id="rId26"/>
    <sheet name="SPLC_127" sheetId="27" r:id="rId27"/>
    <sheet name="SPLC_128" sheetId="28" r:id="rId28"/>
    <sheet name="SPLC_129" sheetId="29" r:id="rId29"/>
    <sheet name="SPLC_130" sheetId="30" r:id="rId30"/>
    <sheet name="SPLC_131" sheetId="31" r:id="rId31"/>
    <sheet name="SPLC_132" sheetId="32" r:id="rId32"/>
    <sheet name="SPLC_133" sheetId="33" r:id="rId33"/>
    <sheet name="SPLC_134" sheetId="34" r:id="rId34"/>
    <sheet name="SPLC_135" sheetId="35" r:id="rId35"/>
    <sheet name="SPLC_136" sheetId="36" r:id="rId36"/>
    <sheet name="SPLC_137" sheetId="37" r:id="rId37"/>
    <sheet name="SPLC_138" sheetId="38" r:id="rId38"/>
    <sheet name="SPLC_139" sheetId="39" r:id="rId39"/>
    <sheet name="SPLC_140" sheetId="40" r:id="rId40"/>
    <sheet name="SPLC_141" sheetId="41" r:id="rId41"/>
    <sheet name="SPLC_142" sheetId="42" r:id="rId42"/>
    <sheet name="SPLC_143" sheetId="43" r:id="rId43"/>
    <sheet name="SPLC_144" sheetId="44" r:id="rId44"/>
    <sheet name="SPLC_145" sheetId="45" r:id="rId45"/>
    <sheet name="SPLC_146" sheetId="46" r:id="rId46"/>
    <sheet name="SPLC_147" sheetId="47" r:id="rId47"/>
    <sheet name="SPLC_148" sheetId="48" r:id="rId48"/>
    <sheet name="SPLC_149" sheetId="49" r:id="rId49"/>
    <sheet name="SPLC_150" sheetId="50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Y5" i="15" l="1"/>
  <c r="LS5" i="25"/>
  <c r="LS5" i="2"/>
  <c r="EE5" i="6"/>
  <c r="LC5" i="36"/>
  <c r="VM5" i="23"/>
  <c r="RM5" i="36"/>
  <c r="DQ5" i="6"/>
  <c r="AE5" i="1"/>
  <c r="RM5" i="20"/>
  <c r="GM5" i="1"/>
  <c r="SQ5" i="23"/>
  <c r="QI5" i="5"/>
  <c r="FY5" i="1"/>
  <c r="GM5" i="33"/>
  <c r="A5" i="8"/>
  <c r="HQ5" i="9"/>
  <c r="BW5" i="20"/>
  <c r="UI5" i="8"/>
  <c r="LS5" i="21"/>
  <c r="AS5" i="7"/>
  <c r="LC5" i="26"/>
  <c r="HC5" i="15"/>
  <c r="KO5" i="8"/>
  <c r="MG5" i="7"/>
  <c r="MW5" i="26"/>
  <c r="DQ5" i="11"/>
  <c r="PE5" i="11"/>
  <c r="BW5" i="30"/>
  <c r="OA5" i="24"/>
  <c r="TE5" i="18"/>
  <c r="EU5" i="38"/>
  <c r="DQ5" i="38"/>
  <c r="QI5" i="24"/>
  <c r="UY5" i="23"/>
  <c r="PS5" i="31"/>
  <c r="EE5" i="14"/>
  <c r="DQ5" i="13"/>
  <c r="IU5" i="9"/>
  <c r="A5" i="35"/>
  <c r="OA5" i="26"/>
  <c r="EE5" i="12"/>
  <c r="UI5" i="36"/>
  <c r="IG5" i="9"/>
  <c r="EE5" i="13"/>
  <c r="MW5" i="33"/>
  <c r="CM5" i="20"/>
  <c r="RM5" i="31"/>
  <c r="CM5" i="2"/>
  <c r="MW5" i="7"/>
  <c r="JY5" i="16"/>
  <c r="MW5" i="2"/>
  <c r="LC5" i="8"/>
  <c r="SA5" i="15"/>
  <c r="QW5" i="5"/>
  <c r="IG5" i="33"/>
  <c r="MG5" i="21"/>
  <c r="PS5" i="11"/>
  <c r="UY5" i="3"/>
  <c r="DA5" i="20"/>
  <c r="GM5" i="5"/>
  <c r="EU5" i="18"/>
  <c r="QI5" i="1"/>
  <c r="QI5" i="13"/>
  <c r="MW5" i="27"/>
  <c r="MW5" i="36"/>
  <c r="RM5" i="10"/>
  <c r="FI5" i="11"/>
  <c r="DQ5" i="20"/>
  <c r="DA5" i="2"/>
  <c r="TE5" i="4"/>
  <c r="SQ5" i="15"/>
  <c r="A5" i="17"/>
  <c r="TE5" i="11"/>
  <c r="MG5" i="25"/>
  <c r="QW5" i="1"/>
  <c r="UI5" i="20"/>
  <c r="HQ5" i="15"/>
  <c r="MW5" i="21"/>
  <c r="DQ5" i="18"/>
  <c r="AE5" i="35"/>
  <c r="BI5" i="1"/>
  <c r="QW5" i="24"/>
  <c r="UI5" i="28"/>
  <c r="FI5" i="13"/>
  <c r="RM5" i="28"/>
  <c r="MG5" i="27"/>
  <c r="HQ5" i="22"/>
  <c r="HC5" i="10"/>
  <c r="JK5" i="3"/>
  <c r="MW5" i="19"/>
  <c r="LC5" i="3"/>
  <c r="AE5" i="3"/>
  <c r="IG5" i="30"/>
  <c r="HC5" i="14"/>
  <c r="UY5" i="18"/>
  <c r="JK5" i="33"/>
  <c r="RM5" i="27"/>
  <c r="LC5" i="38"/>
  <c r="GM5" i="11"/>
  <c r="IG5" i="22"/>
  <c r="OO5" i="21"/>
  <c r="IG5" i="10"/>
  <c r="UY5" i="20"/>
  <c r="DQ5" i="35"/>
  <c r="A5" i="32"/>
  <c r="FI5" i="5"/>
  <c r="PE5" i="17"/>
  <c r="RM5" i="5"/>
  <c r="NK5" i="7"/>
  <c r="QI5" i="26"/>
  <c r="FI5" i="1"/>
  <c r="DQ5" i="12"/>
  <c r="DQ5" i="23"/>
  <c r="PS5" i="25"/>
  <c r="GM5" i="15"/>
  <c r="LS5" i="7"/>
  <c r="NK5" i="6"/>
  <c r="UI5" i="4"/>
  <c r="SQ5" i="27"/>
  <c r="NK5" i="2"/>
  <c r="MW5" i="38"/>
  <c r="QI5" i="12"/>
  <c r="JY5" i="9"/>
  <c r="SA5" i="10"/>
  <c r="AS5" i="3"/>
  <c r="BW5" i="2"/>
  <c r="QI5" i="11"/>
  <c r="MW5" i="17"/>
  <c r="A5" i="4"/>
  <c r="VM5" i="3"/>
  <c r="HQ5" i="10"/>
  <c r="JY5" i="3"/>
  <c r="QW5" i="12"/>
  <c r="DQ5" i="7"/>
  <c r="FY5" i="11"/>
  <c r="O5" i="4"/>
  <c r="SA5" i="5"/>
  <c r="AS5" i="4"/>
  <c r="UI5" i="9"/>
  <c r="RM5" i="15"/>
  <c r="AE5" i="17"/>
  <c r="FY5" i="13"/>
  <c r="TE5" i="24"/>
  <c r="PS5" i="33"/>
  <c r="LS5" i="4"/>
  <c r="VM5" i="27"/>
  <c r="PS5" i="17"/>
  <c r="OO5" i="7"/>
  <c r="VM5" i="20"/>
  <c r="TU5" i="4"/>
  <c r="GM5" i="35"/>
  <c r="VM5" i="18"/>
  <c r="BW5" i="3"/>
  <c r="EU5" i="20"/>
  <c r="FI5" i="23"/>
  <c r="OO5" i="19"/>
  <c r="FI5" i="10"/>
  <c r="HQ5" i="14"/>
  <c r="QW5" i="11"/>
  <c r="LC5" i="30"/>
  <c r="EU5" i="2"/>
  <c r="JY5" i="22"/>
  <c r="TU5" i="14"/>
  <c r="PS5" i="21"/>
  <c r="QI5" i="17"/>
  <c r="LS5" i="19"/>
  <c r="RM5" i="11"/>
  <c r="JK5" i="9"/>
  <c r="HC5" i="22"/>
  <c r="IG5" i="18"/>
  <c r="UI5" i="38"/>
  <c r="QW5" i="26"/>
  <c r="IU5" i="10"/>
  <c r="EU5" i="12"/>
  <c r="A5" i="16"/>
  <c r="O5" i="16"/>
  <c r="IG5" i="1"/>
  <c r="GM5" i="13"/>
  <c r="LC5" i="9"/>
  <c r="UY5" i="27"/>
  <c r="EE5" i="7"/>
  <c r="UY5" i="4"/>
  <c r="LC5" i="22"/>
  <c r="CM5" i="17"/>
  <c r="A5" i="21"/>
  <c r="HC5" i="11"/>
  <c r="PE5" i="19"/>
  <c r="QI5" i="21"/>
  <c r="MW5" i="8"/>
  <c r="AE5" i="29"/>
  <c r="UY5" i="15"/>
  <c r="SQ5" i="5"/>
  <c r="GM5" i="6"/>
  <c r="RM5" i="33"/>
  <c r="MW5" i="30"/>
  <c r="RM5" i="26"/>
  <c r="HC5" i="20"/>
  <c r="UI5" i="24"/>
  <c r="UI5" i="14"/>
  <c r="PS5" i="19"/>
  <c r="UI5" i="16"/>
  <c r="GM5" i="12"/>
  <c r="JK5" i="19"/>
  <c r="A5" i="19"/>
  <c r="SQ5" i="25"/>
  <c r="DQ5" i="14"/>
  <c r="RM5" i="39"/>
  <c r="DA5" i="17"/>
  <c r="JY5" i="10"/>
  <c r="JY5" i="8"/>
  <c r="FI5" i="7"/>
  <c r="QW5" i="17"/>
  <c r="QI5" i="7"/>
  <c r="DA5" i="18"/>
  <c r="LS5" i="20"/>
  <c r="UY5" i="24"/>
  <c r="RM5" i="14"/>
  <c r="PE5" i="3"/>
  <c r="BW5" i="7"/>
  <c r="QW5" i="10"/>
  <c r="HC5" i="24"/>
  <c r="QI5" i="10"/>
  <c r="QW5" i="21"/>
  <c r="HQ5" i="11"/>
  <c r="MW5" i="9"/>
  <c r="HC5" i="5"/>
  <c r="A5" i="1"/>
  <c r="FI5" i="2"/>
  <c r="NK5" i="8"/>
  <c r="HC5" i="13"/>
  <c r="AE5" i="19"/>
  <c r="AE5" i="23"/>
  <c r="HQ5" i="20"/>
  <c r="CM5" i="24"/>
  <c r="FY5" i="5"/>
  <c r="MG5" i="19"/>
  <c r="SA5" i="11"/>
  <c r="A5" i="10"/>
  <c r="AE5" i="37"/>
  <c r="SQ5" i="33"/>
  <c r="DA5" i="13"/>
  <c r="OA5" i="30"/>
  <c r="UY5" i="14"/>
  <c r="MG5" i="2"/>
  <c r="DQ5" i="3"/>
  <c r="EU5" i="32"/>
  <c r="VM5" i="4"/>
  <c r="MW5" i="3"/>
  <c r="QW5" i="14"/>
  <c r="EE5" i="8"/>
  <c r="TE5" i="6"/>
  <c r="LC5" i="10"/>
  <c r="OA5" i="8"/>
  <c r="GM5" i="10"/>
  <c r="IU5" i="1"/>
  <c r="UY5" i="13"/>
  <c r="JK5" i="25"/>
  <c r="UI5" i="26"/>
  <c r="UI5" i="3"/>
  <c r="BW5" i="9"/>
  <c r="NK5" i="3"/>
  <c r="TE5" i="5"/>
  <c r="JK5" i="1"/>
  <c r="FY5" i="2"/>
  <c r="IG5" i="23"/>
  <c r="SQ5" i="31"/>
  <c r="FY5" i="7"/>
  <c r="O5" i="8"/>
  <c r="EE5" i="11"/>
  <c r="KO5" i="10"/>
  <c r="O5" i="10"/>
  <c r="SQ5" i="11"/>
  <c r="UY5" i="10"/>
  <c r="UI5" i="1"/>
  <c r="IG5" i="11"/>
  <c r="A5" i="11"/>
  <c r="BW5" i="11"/>
  <c r="CM5" i="19"/>
  <c r="FI5" i="17"/>
  <c r="DQ5" i="24"/>
  <c r="JK5" i="5"/>
  <c r="MW5" i="22"/>
  <c r="TE5" i="12"/>
  <c r="A5" i="28"/>
  <c r="A5" i="27"/>
  <c r="HQ5" i="13"/>
  <c r="DA5" i="21"/>
  <c r="RM5" i="21"/>
  <c r="IG5" i="20"/>
  <c r="AE5" i="25"/>
  <c r="RM5" i="17"/>
  <c r="JY5" i="14"/>
  <c r="EU5" i="24"/>
  <c r="AS5" i="16"/>
  <c r="QI5" i="19"/>
  <c r="KO5" i="14"/>
  <c r="LS5" i="15"/>
  <c r="A5" i="25"/>
  <c r="HC5" i="7"/>
  <c r="DA5" i="19"/>
  <c r="VM5" i="13"/>
  <c r="QW5" i="19"/>
  <c r="CM5" i="21"/>
  <c r="SQ5" i="21"/>
  <c r="IG5" i="32"/>
  <c r="MW5" i="16"/>
  <c r="MG5" i="15"/>
  <c r="A5" i="14"/>
  <c r="UY5" i="25"/>
  <c r="JY5" i="20"/>
  <c r="EU5" i="8"/>
  <c r="SQ5" i="17"/>
  <c r="OA5" i="22"/>
  <c r="RM5" i="12"/>
  <c r="DQ5" i="40"/>
  <c r="VM5" i="25"/>
  <c r="GM5" i="37"/>
  <c r="LC5" i="32"/>
  <c r="BW5" i="28"/>
  <c r="AE5" i="5"/>
  <c r="MW5" i="15"/>
  <c r="JK5" i="11"/>
  <c r="KO5" i="1"/>
  <c r="TE5" i="7"/>
  <c r="RM5" i="7"/>
  <c r="QW5" i="2"/>
  <c r="HQ5" i="1"/>
  <c r="IG5" i="13"/>
  <c r="BW5" i="34"/>
  <c r="AS5" i="1"/>
  <c r="IU5" i="13"/>
  <c r="LC5" i="14"/>
  <c r="LS5" i="10"/>
  <c r="EE5" i="3"/>
  <c r="IU5" i="6"/>
  <c r="BI5" i="10"/>
  <c r="MW5" i="4"/>
  <c r="SA5" i="8"/>
  <c r="A5" i="31"/>
  <c r="AE5" i="15"/>
  <c r="IG5" i="12"/>
  <c r="IG5" i="37"/>
  <c r="HQ5" i="5"/>
  <c r="O5" i="1"/>
  <c r="NK5" i="9"/>
  <c r="LC5" i="5"/>
  <c r="LC5" i="1"/>
  <c r="IG5" i="28"/>
  <c r="RM5" i="30"/>
  <c r="LS5" i="23"/>
  <c r="CM5" i="27"/>
  <c r="QI5" i="22"/>
  <c r="O5" i="14"/>
  <c r="LC5" i="20"/>
  <c r="QI5" i="3"/>
  <c r="JK5" i="13"/>
  <c r="UY5" i="17"/>
  <c r="OA5" i="16"/>
  <c r="SQ5" i="19"/>
  <c r="RM5" i="24"/>
  <c r="UY5" i="12"/>
  <c r="CM5" i="5"/>
  <c r="A5" i="29"/>
  <c r="IU5" i="12"/>
  <c r="DA5" i="10"/>
  <c r="NK5" i="15"/>
  <c r="HQ5" i="24"/>
  <c r="MW5" i="40"/>
  <c r="BW5" i="26"/>
  <c r="A5" i="26"/>
  <c r="JK5" i="15"/>
  <c r="CM5" i="16"/>
  <c r="IG5" i="5"/>
  <c r="DA5" i="15"/>
  <c r="MG5" i="20"/>
  <c r="DQ5" i="34"/>
  <c r="JY5" i="5"/>
  <c r="MW5" i="32"/>
  <c r="OO5" i="3"/>
  <c r="QI5" i="8"/>
  <c r="QW5" i="22"/>
  <c r="MW5" i="18"/>
  <c r="A5" i="13"/>
  <c r="VM5" i="17"/>
  <c r="BW5" i="10"/>
  <c r="JK5" i="37"/>
  <c r="OO5" i="8"/>
  <c r="RM5" i="2"/>
  <c r="JK5" i="29"/>
  <c r="CM5" i="10"/>
  <c r="SA5" i="14"/>
  <c r="PS5" i="3"/>
  <c r="DA5" i="27"/>
  <c r="FY5" i="19"/>
  <c r="AS5" i="29"/>
  <c r="QW5" i="8"/>
  <c r="KO5" i="12"/>
  <c r="SQ5" i="35"/>
  <c r="AE5" i="31"/>
  <c r="VM5" i="15"/>
  <c r="AS5" i="2"/>
  <c r="IG5" i="41"/>
  <c r="O5" i="11"/>
  <c r="HC5" i="28"/>
  <c r="BI5" i="14"/>
  <c r="A5" i="36"/>
  <c r="AS5" i="5"/>
  <c r="AS5" i="22"/>
  <c r="A5" i="41"/>
  <c r="PE5" i="1"/>
  <c r="OO5" i="9"/>
  <c r="MG5" i="10"/>
  <c r="OA5" i="18"/>
  <c r="SQ5" i="7"/>
  <c r="IU5" i="11"/>
  <c r="TU5" i="1"/>
  <c r="GM5" i="19"/>
  <c r="AE5" i="11"/>
  <c r="AS5" i="6"/>
  <c r="EE5" i="9"/>
  <c r="UY5" i="6"/>
  <c r="AS5" i="14"/>
  <c r="HC5" i="26"/>
  <c r="VM5" i="6"/>
  <c r="MW5" i="5"/>
  <c r="HC5" i="8"/>
  <c r="CM5" i="1"/>
  <c r="IU5" i="2"/>
  <c r="IG5" i="24"/>
  <c r="RM5" i="8"/>
  <c r="JY5" i="12"/>
  <c r="DQ5" i="25"/>
  <c r="CM5" i="7"/>
  <c r="IG5" i="31"/>
  <c r="RM5" i="25"/>
  <c r="A5" i="22"/>
  <c r="A5" i="9"/>
  <c r="HC5" i="2"/>
  <c r="DQ5" i="27"/>
  <c r="RM5" i="32"/>
  <c r="FI5" i="9"/>
  <c r="QW5" i="3"/>
  <c r="MW5" i="37"/>
  <c r="MG5" i="1"/>
  <c r="HQ5" i="21"/>
  <c r="HC5" i="21"/>
  <c r="EU5" i="26"/>
  <c r="QI5" i="20"/>
  <c r="PE5" i="15"/>
  <c r="AS5" i="11"/>
  <c r="HQ5" i="28"/>
  <c r="LS5" i="1"/>
  <c r="PS5" i="37"/>
  <c r="GM5" i="2"/>
  <c r="O5" i="6"/>
  <c r="OO5" i="23"/>
  <c r="FI5" i="25"/>
  <c r="MG5" i="16"/>
  <c r="EU5" i="4"/>
  <c r="SA5" i="2"/>
  <c r="HQ5" i="17"/>
  <c r="PS5" i="29"/>
  <c r="UI5" i="32"/>
  <c r="QI5" i="2"/>
  <c r="HC5" i="1"/>
  <c r="MG5" i="4"/>
  <c r="JY5" i="1"/>
  <c r="IG5" i="2"/>
  <c r="UY5" i="7"/>
  <c r="JY5" i="6"/>
  <c r="DA5" i="5"/>
  <c r="LC5" i="12"/>
  <c r="MG5" i="5"/>
  <c r="FI5" i="8"/>
  <c r="A5" i="6"/>
  <c r="CM5" i="15"/>
  <c r="IG5" i="6"/>
  <c r="O5" i="13"/>
  <c r="DQ5" i="36"/>
  <c r="UY5" i="5"/>
  <c r="BW5" i="1"/>
  <c r="DQ5" i="9"/>
  <c r="MW5" i="13"/>
  <c r="FY5" i="3"/>
  <c r="OA5" i="10"/>
  <c r="DQ5" i="4"/>
  <c r="BW5" i="14"/>
  <c r="RM5" i="29"/>
  <c r="JY5" i="11"/>
  <c r="CM5" i="22"/>
  <c r="MW5" i="1"/>
  <c r="HQ5" i="7"/>
  <c r="OO5" i="1"/>
  <c r="NK5" i="4"/>
  <c r="LS5" i="5"/>
  <c r="FI5" i="3"/>
  <c r="OA5" i="20"/>
  <c r="JK5" i="27"/>
  <c r="QW5" i="7"/>
  <c r="VM5" i="10"/>
  <c r="DA5" i="1"/>
  <c r="DQ5" i="42"/>
  <c r="RM5" i="37"/>
  <c r="PS5" i="15"/>
  <c r="BW5" i="6"/>
  <c r="SA5" i="7"/>
  <c r="GM5" i="25"/>
  <c r="LS5" i="3"/>
  <c r="TU5" i="2"/>
  <c r="NK5" i="5"/>
  <c r="LC5" i="7"/>
  <c r="BI5" i="6"/>
  <c r="SQ5" i="9"/>
  <c r="IU5" i="21"/>
  <c r="KO5" i="2"/>
  <c r="LS5" i="6"/>
  <c r="AE5" i="7"/>
  <c r="OO5" i="5"/>
  <c r="JK5" i="7"/>
  <c r="UI5" i="22"/>
  <c r="PS5" i="23"/>
  <c r="HQ5" i="8"/>
  <c r="DQ5" i="16"/>
  <c r="QI5" i="9"/>
  <c r="A5" i="30"/>
  <c r="QI5" i="18"/>
  <c r="EU5" i="16"/>
  <c r="BW5" i="22"/>
  <c r="NK5" i="1"/>
  <c r="EE5" i="16"/>
  <c r="QW5" i="9"/>
  <c r="MW5" i="48"/>
  <c r="QW5" i="18"/>
  <c r="HQ5" i="19"/>
  <c r="UI5" i="5"/>
  <c r="AS5" i="12"/>
  <c r="HC5" i="17"/>
  <c r="MW5" i="29"/>
  <c r="IG5" i="3"/>
  <c r="FI5" i="4"/>
  <c r="JK5" i="17"/>
  <c r="DQ5" i="5"/>
  <c r="MG5" i="3"/>
  <c r="UI5" i="2"/>
  <c r="UY5" i="1"/>
  <c r="DQ5" i="1"/>
  <c r="JY5" i="7"/>
  <c r="IG5" i="8"/>
  <c r="TE5" i="8"/>
  <c r="LC5" i="28"/>
  <c r="TE5" i="25"/>
  <c r="OO5" i="10"/>
  <c r="EE5" i="4"/>
  <c r="GM5" i="3"/>
  <c r="NK5" i="13"/>
  <c r="OA5" i="14"/>
  <c r="HQ5" i="26"/>
  <c r="JK5" i="21"/>
  <c r="RM5" i="45"/>
  <c r="MW5" i="34"/>
  <c r="JK5" i="23"/>
  <c r="OA5" i="12"/>
  <c r="LS5" i="12"/>
  <c r="IG5" i="45"/>
  <c r="MG5" i="6"/>
  <c r="SQ5" i="37"/>
  <c r="IG5" i="21"/>
  <c r="AS5" i="20"/>
  <c r="QI5" i="23"/>
  <c r="MW5" i="6"/>
  <c r="JK5" i="31"/>
  <c r="CM5" i="14"/>
  <c r="CM5" i="12"/>
  <c r="AE5" i="13"/>
  <c r="LS5" i="27"/>
  <c r="OA5" i="34"/>
  <c r="EU5" i="36"/>
  <c r="VM5" i="11"/>
  <c r="VM5" i="7"/>
  <c r="LC5" i="11"/>
  <c r="MW5" i="42"/>
  <c r="JY5" i="2"/>
  <c r="UY5" i="22"/>
  <c r="VM5" i="1"/>
  <c r="EE5" i="1"/>
  <c r="DQ5" i="44"/>
  <c r="O5" i="37"/>
  <c r="UI5" i="11"/>
  <c r="UY5" i="2"/>
  <c r="NK5" i="44"/>
  <c r="DQ5" i="26"/>
  <c r="CM5" i="25"/>
  <c r="TE5" i="9"/>
  <c r="LC5" i="2"/>
  <c r="BI5" i="2"/>
  <c r="QI5" i="14"/>
  <c r="DQ5" i="8"/>
  <c r="EE5" i="46"/>
  <c r="NK5" i="32"/>
  <c r="OO5" i="15"/>
  <c r="DQ5" i="50"/>
  <c r="IU5" i="8"/>
  <c r="EU5" i="10"/>
  <c r="RM5" i="23"/>
  <c r="TU5" i="8"/>
  <c r="CM5" i="13"/>
  <c r="IG5" i="25"/>
  <c r="DA5" i="12"/>
  <c r="DA5" i="14"/>
  <c r="MG5" i="12"/>
  <c r="EE5" i="5"/>
  <c r="DQ5" i="31"/>
  <c r="BI5" i="12"/>
  <c r="IG5" i="26"/>
  <c r="BI5" i="20"/>
  <c r="HC5" i="9"/>
  <c r="FI5" i="15"/>
  <c r="CM5" i="18"/>
  <c r="QW5" i="20"/>
  <c r="IG5" i="43"/>
  <c r="A5" i="43"/>
  <c r="RM5" i="34"/>
  <c r="PS5" i="10"/>
  <c r="DQ5" i="33"/>
  <c r="MW5" i="44"/>
  <c r="MW5" i="31"/>
  <c r="IG5" i="14"/>
  <c r="DQ5" i="46"/>
  <c r="A5" i="47"/>
  <c r="RM5" i="18"/>
  <c r="A5" i="45"/>
  <c r="O5" i="39"/>
  <c r="FI5" i="19"/>
  <c r="JY5" i="4"/>
  <c r="EE5" i="38"/>
  <c r="A5" i="49"/>
  <c r="SA5" i="31"/>
  <c r="IU5" i="25"/>
  <c r="MW5" i="24"/>
  <c r="IG5" i="49"/>
  <c r="MW5" i="46"/>
  <c r="NK5" i="18"/>
  <c r="EE5" i="18"/>
  <c r="NK5" i="24"/>
  <c r="O5" i="17"/>
  <c r="RM5" i="49"/>
  <c r="IG5" i="47"/>
  <c r="SA5" i="27"/>
  <c r="SA5" i="17"/>
  <c r="O5" i="21"/>
  <c r="O5" i="19"/>
  <c r="NK5" i="22"/>
  <c r="IU5" i="23"/>
  <c r="NK5" i="50"/>
  <c r="GM5" i="27"/>
  <c r="BW5" i="36"/>
  <c r="NK5" i="20"/>
  <c r="O5" i="7"/>
  <c r="OO5" i="32"/>
  <c r="DA5" i="25"/>
  <c r="VM5" i="2"/>
  <c r="EE5" i="26"/>
  <c r="EE5" i="20"/>
  <c r="SA5" i="23"/>
  <c r="SA5" i="21"/>
  <c r="IU5" i="31"/>
  <c r="O5" i="25"/>
  <c r="EE5" i="24"/>
  <c r="NK5" i="30"/>
  <c r="NK5" i="16"/>
  <c r="NK5" i="36"/>
  <c r="O5" i="27"/>
  <c r="EE5" i="36"/>
  <c r="VM5" i="5"/>
  <c r="SA5" i="29"/>
  <c r="TE5" i="41"/>
  <c r="O5" i="47"/>
  <c r="IU5" i="14"/>
  <c r="O5" i="45"/>
  <c r="IU5" i="33"/>
  <c r="O5" i="31"/>
  <c r="O5" i="35"/>
  <c r="SA5" i="33"/>
  <c r="EE5" i="34"/>
  <c r="NK5" i="26"/>
  <c r="IU5" i="37"/>
  <c r="IU5" i="41"/>
  <c r="O5" i="43"/>
  <c r="AS5" i="19"/>
  <c r="SA5" i="37"/>
  <c r="EE5" i="40"/>
  <c r="SA5" i="12"/>
  <c r="NK5" i="40"/>
  <c r="EE5" i="44"/>
  <c r="IU5" i="49"/>
  <c r="SA5" i="39"/>
  <c r="O5" i="41"/>
  <c r="EE5" i="42"/>
  <c r="O5" i="49"/>
  <c r="IU5" i="43"/>
  <c r="SA5" i="43"/>
  <c r="GM5" i="8"/>
  <c r="EU5" i="42"/>
  <c r="IU5" i="47"/>
  <c r="IU5" i="45"/>
  <c r="NK5" i="38"/>
  <c r="AE5" i="41"/>
  <c r="AE5" i="39"/>
  <c r="SQ5" i="47"/>
  <c r="FI5" i="18"/>
  <c r="SA5" i="49"/>
  <c r="NK5" i="42"/>
  <c r="NK5" i="46"/>
  <c r="OA5" i="38"/>
  <c r="SQ5" i="41"/>
  <c r="SQ5" i="39"/>
  <c r="OA5" i="40"/>
  <c r="EE5" i="50"/>
  <c r="EU5" i="48"/>
  <c r="JK5" i="49"/>
  <c r="FI5" i="20"/>
  <c r="NK5" i="48"/>
  <c r="AE5" i="49"/>
  <c r="IG5" i="34"/>
  <c r="CM5" i="11"/>
  <c r="EU5" i="50"/>
  <c r="OA5" i="48"/>
  <c r="MW5" i="25"/>
  <c r="JK5" i="47"/>
  <c r="EU5" i="6"/>
  <c r="FI5" i="12"/>
  <c r="SQ5" i="45"/>
  <c r="EU5" i="46"/>
  <c r="AE5" i="45"/>
  <c r="CM5" i="29"/>
  <c r="OA5" i="6"/>
  <c r="AS5" i="15"/>
  <c r="JY5" i="13"/>
  <c r="OA5" i="50"/>
  <c r="LS5" i="17"/>
  <c r="OA5" i="44"/>
  <c r="TE5" i="17"/>
  <c r="FI5" i="16"/>
  <c r="JK5" i="43"/>
  <c r="TE5" i="15"/>
  <c r="TE5" i="13"/>
  <c r="BW5" i="24"/>
  <c r="AE5" i="43"/>
  <c r="SQ5" i="49"/>
  <c r="OO5" i="14"/>
  <c r="AS5" i="17"/>
  <c r="EU5" i="44"/>
  <c r="KO5" i="6"/>
  <c r="RM5" i="3"/>
  <c r="AS5" i="13"/>
  <c r="TE5" i="19"/>
  <c r="OA5" i="46"/>
  <c r="MW5" i="35"/>
  <c r="JY5" i="21"/>
  <c r="AS5" i="23"/>
  <c r="JY5" i="17"/>
  <c r="JY5" i="15"/>
  <c r="IU5" i="5"/>
  <c r="MG5" i="17"/>
  <c r="OO5" i="50"/>
  <c r="DA5" i="16"/>
  <c r="OO5" i="18"/>
  <c r="PS5" i="1"/>
  <c r="JY5" i="27"/>
  <c r="OO5" i="22"/>
  <c r="BI5" i="9"/>
  <c r="AS5" i="25"/>
  <c r="FI5" i="26"/>
  <c r="PE5" i="36"/>
  <c r="TE5" i="21"/>
  <c r="FY5" i="36"/>
  <c r="KO5" i="9"/>
  <c r="OO5" i="16"/>
  <c r="TE5" i="23"/>
  <c r="JY5" i="19"/>
  <c r="SA5" i="45"/>
  <c r="NK5" i="34"/>
  <c r="JY5" i="23"/>
  <c r="OO5" i="12"/>
  <c r="TE5" i="31"/>
  <c r="GM5" i="7"/>
  <c r="BW5" i="13"/>
  <c r="BI5" i="27"/>
  <c r="OO5" i="20"/>
  <c r="JY5" i="25"/>
  <c r="TE5" i="39"/>
  <c r="TE5" i="27"/>
  <c r="OO5" i="26"/>
  <c r="JY5" i="29"/>
  <c r="PE5" i="28"/>
  <c r="FI5" i="24"/>
  <c r="JY5" i="31"/>
  <c r="AS5" i="31"/>
  <c r="HC5" i="19"/>
  <c r="TU5" i="5"/>
  <c r="OO5" i="30"/>
  <c r="VM5" i="14"/>
  <c r="OO5" i="24"/>
  <c r="JY5" i="33"/>
  <c r="FY5" i="6"/>
  <c r="TE5" i="33"/>
  <c r="TU5" i="9"/>
  <c r="BI5" i="13"/>
  <c r="JY5" i="35"/>
  <c r="LC5" i="34"/>
  <c r="IU5" i="16"/>
  <c r="DA5" i="8"/>
  <c r="FI5" i="36"/>
  <c r="OO5" i="38"/>
  <c r="QW5" i="42"/>
  <c r="FY5" i="42"/>
  <c r="OO5" i="44"/>
  <c r="FI5" i="42"/>
  <c r="OO5" i="40"/>
  <c r="TE5" i="37"/>
  <c r="TE5" i="35"/>
  <c r="TE5" i="45"/>
  <c r="AS5" i="41"/>
  <c r="AS5" i="37"/>
  <c r="FI5" i="32"/>
  <c r="AS5" i="39"/>
  <c r="FI5" i="38"/>
  <c r="AS5" i="35"/>
  <c r="TU5" i="3"/>
  <c r="OO5" i="34"/>
  <c r="AS5" i="43"/>
  <c r="FI5" i="44"/>
  <c r="LC5" i="6"/>
  <c r="SA5" i="3"/>
  <c r="JY5" i="37"/>
  <c r="FI5" i="46"/>
  <c r="FI5" i="48"/>
  <c r="JY5" i="47"/>
  <c r="FI5" i="6"/>
  <c r="BI5" i="3"/>
  <c r="KO5" i="15"/>
  <c r="BI5" i="17"/>
  <c r="TE5" i="47"/>
  <c r="TE5" i="49"/>
  <c r="JY5" i="49"/>
  <c r="AS5" i="49"/>
  <c r="KO5" i="7"/>
  <c r="PE5" i="14"/>
  <c r="KO5" i="5"/>
  <c r="JY5" i="43"/>
  <c r="KO5" i="3"/>
  <c r="A5" i="37"/>
  <c r="TU5" i="11"/>
  <c r="BI5" i="7"/>
  <c r="UY5" i="11"/>
  <c r="FY5" i="10"/>
  <c r="KO5" i="11"/>
  <c r="PE5" i="12"/>
  <c r="UY5" i="9"/>
  <c r="FY5" i="9"/>
  <c r="PE5" i="10"/>
  <c r="PE5" i="20"/>
  <c r="BI5" i="15"/>
  <c r="TU5" i="15"/>
  <c r="PE5" i="18"/>
  <c r="BI5" i="11"/>
  <c r="KO5" i="13"/>
  <c r="RM5" i="43"/>
  <c r="FY5" i="8"/>
  <c r="PE5" i="48"/>
  <c r="DQ5" i="15"/>
  <c r="TU5" i="17"/>
  <c r="LS5" i="8"/>
  <c r="KO5" i="17"/>
  <c r="LS5" i="47"/>
  <c r="TU5" i="31"/>
  <c r="TU5" i="25"/>
  <c r="FY5" i="16"/>
  <c r="RM5" i="42"/>
  <c r="FY5" i="20"/>
  <c r="HC5" i="25"/>
  <c r="FY5" i="24"/>
  <c r="KO5" i="18"/>
  <c r="TU5" i="10"/>
  <c r="PE5" i="40"/>
  <c r="RM5" i="38"/>
  <c r="KO5" i="27"/>
  <c r="KO5" i="19"/>
  <c r="BI5" i="23"/>
  <c r="FY5" i="38"/>
  <c r="TU5" i="7"/>
  <c r="BW5" i="15"/>
  <c r="OA5" i="42"/>
  <c r="TU5" i="27"/>
  <c r="TU5" i="16"/>
  <c r="FY5" i="12"/>
  <c r="BI5" i="25"/>
  <c r="TU5" i="19"/>
  <c r="CM5" i="6"/>
  <c r="FY5" i="14"/>
  <c r="BI5" i="37"/>
  <c r="LS5" i="24"/>
  <c r="PE5" i="16"/>
  <c r="PS5" i="18"/>
  <c r="EU5" i="40"/>
  <c r="BI5" i="33"/>
  <c r="JK5" i="41"/>
  <c r="PE5" i="26"/>
  <c r="FY5" i="22"/>
  <c r="TU5" i="23"/>
  <c r="A5" i="24"/>
  <c r="BI5" i="41"/>
  <c r="RM5" i="4"/>
  <c r="FY5" i="26"/>
  <c r="BI5" i="29"/>
  <c r="LS5" i="11"/>
  <c r="KO5" i="29"/>
  <c r="PE5" i="44"/>
  <c r="KO5" i="31"/>
  <c r="KO5" i="39"/>
  <c r="CM5" i="3"/>
  <c r="EU5" i="14"/>
  <c r="KO5" i="35"/>
  <c r="PE5" i="34"/>
  <c r="FY5" i="32"/>
  <c r="BI5" i="39"/>
  <c r="TU5" i="33"/>
  <c r="IG5" i="29"/>
  <c r="RM5" i="1"/>
  <c r="AE5" i="21"/>
  <c r="RM5" i="41"/>
  <c r="PE5" i="38"/>
  <c r="PE5" i="42"/>
  <c r="A5" i="33"/>
  <c r="TU5" i="47"/>
  <c r="FY5" i="48"/>
  <c r="BI5" i="43"/>
  <c r="PE5" i="22"/>
  <c r="HC5" i="18"/>
  <c r="KO5" i="41"/>
  <c r="BI5" i="35"/>
  <c r="KO5" i="43"/>
  <c r="TU5" i="45"/>
  <c r="PE5" i="46"/>
  <c r="KO5" i="45"/>
  <c r="TU5" i="37"/>
  <c r="FY5" i="44"/>
  <c r="TU5" i="49"/>
  <c r="TU5" i="39"/>
  <c r="PS5" i="20"/>
  <c r="KO5" i="47"/>
  <c r="VM5" i="9"/>
  <c r="PS5" i="12"/>
  <c r="GM5" i="9"/>
  <c r="PE5" i="50"/>
  <c r="KO5" i="49"/>
  <c r="PS5" i="14"/>
  <c r="FY5" i="50"/>
  <c r="IU5" i="15"/>
  <c r="AS5" i="8"/>
  <c r="UI5" i="17"/>
  <c r="LC5" i="17"/>
  <c r="LC5" i="27"/>
  <c r="UI5" i="13"/>
  <c r="MG5" i="8"/>
  <c r="UI5" i="15"/>
  <c r="GM5" i="14"/>
  <c r="UI5" i="19"/>
  <c r="DA5" i="6"/>
  <c r="GM5" i="16"/>
  <c r="PS5" i="44"/>
  <c r="JY5" i="41"/>
  <c r="PS5" i="26"/>
  <c r="LC5" i="15"/>
  <c r="GM5" i="24"/>
  <c r="LC5" i="19"/>
  <c r="UI5" i="25"/>
  <c r="GM5" i="32"/>
  <c r="LC5" i="13"/>
  <c r="PS5" i="28"/>
  <c r="BW5" i="23"/>
  <c r="BW5" i="25"/>
  <c r="BW5" i="27"/>
  <c r="OO5" i="42"/>
  <c r="UI5" i="27"/>
  <c r="BW5" i="29"/>
  <c r="MG5" i="11"/>
  <c r="SA5" i="4"/>
  <c r="BW5" i="17"/>
  <c r="GM5" i="36"/>
  <c r="UI5" i="23"/>
  <c r="UI5" i="37"/>
  <c r="GM5" i="34"/>
  <c r="AS5" i="18"/>
  <c r="HQ5" i="12"/>
  <c r="O5" i="15"/>
  <c r="PS5" i="13"/>
  <c r="LC5" i="29"/>
  <c r="UI5" i="31"/>
  <c r="LC5" i="35"/>
  <c r="PS5" i="38"/>
  <c r="PS5" i="34"/>
  <c r="UI5" i="33"/>
  <c r="GM5" i="38"/>
  <c r="SA5" i="41"/>
  <c r="UI5" i="7"/>
  <c r="O5" i="33"/>
  <c r="SA5" i="1"/>
  <c r="PS5" i="42"/>
  <c r="LC5" i="31"/>
  <c r="PS5" i="36"/>
  <c r="FI5" i="40"/>
  <c r="BW5" i="33"/>
  <c r="FI5" i="34"/>
  <c r="GM5" i="30"/>
  <c r="OO5" i="11"/>
  <c r="LS5" i="41"/>
  <c r="IU5" i="29"/>
  <c r="AS5" i="21"/>
  <c r="BW5" i="39"/>
  <c r="HC5" i="40"/>
  <c r="BW5" i="35"/>
  <c r="BW5" i="37"/>
  <c r="LC5" i="39"/>
  <c r="FI5" i="14"/>
  <c r="DA5" i="3"/>
  <c r="PS5" i="40"/>
  <c r="LC5" i="18"/>
  <c r="UI5" i="10"/>
  <c r="UI5" i="39"/>
  <c r="BW5" i="41"/>
  <c r="GM5" i="26"/>
  <c r="GM5" i="42"/>
  <c r="LC5" i="41"/>
  <c r="BW5" i="43"/>
  <c r="PS5" i="22"/>
  <c r="HQ5" i="18"/>
  <c r="PS5" i="48"/>
  <c r="EE5" i="15"/>
  <c r="TU5" i="41"/>
  <c r="CM5" i="33"/>
  <c r="LC5" i="43"/>
  <c r="UI5" i="45"/>
  <c r="UI5" i="49"/>
  <c r="HC5" i="34"/>
  <c r="BI5" i="18"/>
  <c r="HC5" i="6"/>
  <c r="TU5" i="6"/>
  <c r="GM5" i="44"/>
  <c r="GM5" i="50"/>
  <c r="LC5" i="47"/>
  <c r="GM5" i="48"/>
  <c r="PS5" i="46"/>
  <c r="BW5" i="47"/>
  <c r="PS5" i="35"/>
  <c r="LC5" i="45"/>
  <c r="IG5" i="44"/>
  <c r="FY5" i="4"/>
  <c r="UI5" i="47"/>
  <c r="MW5" i="49"/>
  <c r="QI5" i="42"/>
  <c r="CM5" i="31"/>
  <c r="LC5" i="49"/>
  <c r="QI5" i="30"/>
  <c r="PS5" i="50"/>
  <c r="HC5" i="30"/>
  <c r="LS5" i="31"/>
  <c r="UY5" i="29"/>
  <c r="UY5" i="31"/>
  <c r="LS5" i="33"/>
  <c r="TU5" i="43"/>
  <c r="HC5" i="32"/>
  <c r="QI5" i="34"/>
  <c r="RM5" i="6"/>
  <c r="HC5" i="36"/>
  <c r="CM5" i="37"/>
  <c r="CM5" i="35"/>
  <c r="LS5" i="29"/>
  <c r="AE5" i="27"/>
  <c r="PE5" i="9"/>
  <c r="UY5" i="33"/>
  <c r="UY5" i="41"/>
  <c r="QI5" i="36"/>
  <c r="DQ5" i="19"/>
  <c r="UY5" i="39"/>
  <c r="CM5" i="39"/>
  <c r="LS5" i="37"/>
  <c r="DA5" i="33"/>
  <c r="CM5" i="45"/>
  <c r="UI5" i="41"/>
  <c r="CM5" i="47"/>
  <c r="CM5" i="41"/>
  <c r="DA5" i="29"/>
  <c r="OO5" i="6"/>
  <c r="AS5" i="45"/>
  <c r="LS5" i="45"/>
  <c r="LS5" i="43"/>
  <c r="QI5" i="38"/>
  <c r="FY5" i="46"/>
  <c r="DQ5" i="22"/>
  <c r="QI5" i="46"/>
  <c r="LS5" i="35"/>
  <c r="HC5" i="42"/>
  <c r="BW5" i="18"/>
  <c r="UI5" i="6"/>
  <c r="HQ5" i="6"/>
  <c r="HQ5" i="34"/>
  <c r="HC5" i="48"/>
  <c r="HC5" i="46"/>
  <c r="A5" i="23"/>
  <c r="QI5" i="50"/>
  <c r="LS5" i="39"/>
  <c r="QW5" i="28"/>
  <c r="AS5" i="10"/>
  <c r="BI5" i="49"/>
  <c r="HC5" i="44"/>
  <c r="QI5" i="15"/>
  <c r="CM5" i="49"/>
  <c r="UY5" i="49"/>
  <c r="VM5" i="33"/>
  <c r="VM5" i="29"/>
  <c r="SA5" i="6"/>
  <c r="DA5" i="35"/>
  <c r="DA5" i="31"/>
  <c r="MG5" i="29"/>
  <c r="AS5" i="27"/>
  <c r="PS5" i="9"/>
  <c r="HQ5" i="30"/>
  <c r="QW5" i="30"/>
  <c r="VM5" i="31"/>
  <c r="HC5" i="50"/>
  <c r="MG5" i="31"/>
  <c r="LS5" i="49"/>
  <c r="UI5" i="43"/>
  <c r="HQ5" i="32"/>
  <c r="MG5" i="33"/>
  <c r="QW5" i="34"/>
  <c r="QW5" i="46"/>
  <c r="HQ5" i="36"/>
  <c r="A5" i="38"/>
  <c r="VM5" i="35"/>
  <c r="LC5" i="24"/>
  <c r="PS5" i="6"/>
  <c r="DQ5" i="41"/>
  <c r="MG5" i="35"/>
  <c r="DA5" i="39"/>
  <c r="BW5" i="49"/>
  <c r="HQ5" i="44"/>
  <c r="QW5" i="15"/>
  <c r="MG5" i="37"/>
  <c r="GM5" i="46"/>
  <c r="QW5" i="38"/>
  <c r="EE5" i="22"/>
  <c r="VM5" i="39"/>
  <c r="MG5" i="39"/>
  <c r="HQ5" i="38"/>
  <c r="JY5" i="24"/>
  <c r="DQ5" i="47"/>
  <c r="DA5" i="43"/>
  <c r="GM5" i="21"/>
  <c r="VM5" i="41"/>
  <c r="DA5" i="41"/>
  <c r="HQ5" i="40"/>
  <c r="DA5" i="37"/>
  <c r="DA5" i="45"/>
  <c r="MG5" i="43"/>
  <c r="MG5" i="41"/>
  <c r="HQ5" i="42"/>
  <c r="O5" i="24"/>
  <c r="GM5" i="22"/>
  <c r="MG5" i="49"/>
  <c r="DQ5" i="45"/>
  <c r="QI5" i="32"/>
  <c r="HQ5" i="46"/>
  <c r="O5" i="23"/>
  <c r="MG5" i="45"/>
  <c r="MW5" i="43"/>
  <c r="VM5" i="47"/>
  <c r="OO5" i="17"/>
  <c r="QW5" i="16"/>
  <c r="LC5" i="4"/>
  <c r="MG5" i="47"/>
  <c r="DA5" i="47"/>
  <c r="OA5" i="41"/>
  <c r="DA5" i="49"/>
  <c r="DQ5" i="43"/>
  <c r="NK5" i="21"/>
  <c r="FI5" i="50"/>
  <c r="DA5" i="11"/>
  <c r="IU5" i="34"/>
  <c r="HQ5" i="50"/>
  <c r="PS5" i="27"/>
  <c r="QW5" i="44"/>
  <c r="JK5" i="2"/>
  <c r="IG5" i="46"/>
  <c r="QW5" i="50"/>
  <c r="SA5" i="36"/>
  <c r="SA5" i="18"/>
  <c r="MW5" i="41"/>
  <c r="TE5" i="29"/>
  <c r="FI5" i="21"/>
  <c r="O5" i="20"/>
  <c r="RM5" i="44"/>
  <c r="QI5" i="4"/>
  <c r="QW5" i="36"/>
  <c r="EE5" i="19"/>
  <c r="EE5" i="27"/>
  <c r="MW5" i="39"/>
  <c r="OA5" i="5"/>
  <c r="O5" i="40"/>
  <c r="UI5" i="21"/>
  <c r="IG5" i="40"/>
  <c r="IG5" i="38"/>
  <c r="DQ5" i="39"/>
  <c r="A5" i="40"/>
  <c r="TU5" i="21"/>
  <c r="IG5" i="50"/>
  <c r="HQ5" i="48"/>
  <c r="VM5" i="49"/>
  <c r="MW5" i="45"/>
  <c r="MW5" i="23"/>
  <c r="EU5" i="22"/>
  <c r="A5" i="48"/>
  <c r="RM5" i="46"/>
  <c r="LS5" i="13"/>
  <c r="A5" i="44"/>
  <c r="A5" i="46"/>
  <c r="RM5" i="48"/>
  <c r="O5" i="30"/>
  <c r="RM5" i="40"/>
  <c r="NK5" i="19"/>
  <c r="IG5" i="48"/>
  <c r="IU5" i="18"/>
  <c r="IU5" i="22"/>
  <c r="RM5" i="50"/>
  <c r="NK5" i="17"/>
  <c r="AE5" i="36"/>
  <c r="EE5" i="35"/>
  <c r="IU5" i="20"/>
  <c r="SA5" i="20"/>
  <c r="BW5" i="38"/>
  <c r="EE5" i="21"/>
  <c r="JK5" i="8"/>
  <c r="EU5" i="7"/>
  <c r="JK5" i="10"/>
  <c r="SA5" i="25"/>
  <c r="O5" i="22"/>
  <c r="O5" i="9"/>
  <c r="HQ5" i="2"/>
  <c r="NK5" i="29"/>
  <c r="IU5" i="3"/>
  <c r="IU5" i="24"/>
  <c r="DQ5" i="49"/>
  <c r="NK5" i="37"/>
  <c r="IG5" i="15"/>
  <c r="TU5" i="13"/>
  <c r="AE5" i="8"/>
  <c r="EE5" i="25"/>
  <c r="DA5" i="7"/>
  <c r="OO5" i="48"/>
  <c r="NK5" i="25"/>
  <c r="NK5" i="27"/>
  <c r="QW5" i="13"/>
  <c r="IU5" i="26"/>
  <c r="O5" i="46"/>
  <c r="SA5" i="26"/>
  <c r="SA5" i="34"/>
  <c r="IU5" i="30"/>
  <c r="O5" i="36"/>
  <c r="O5" i="26"/>
  <c r="O5" i="29"/>
  <c r="SA5" i="24"/>
  <c r="VM5" i="12"/>
  <c r="EE5" i="23"/>
  <c r="O5" i="28"/>
  <c r="SA5" i="28"/>
  <c r="EE5" i="33"/>
  <c r="NK5" i="33"/>
  <c r="IU5" i="32"/>
  <c r="EE5" i="31"/>
  <c r="BW5" i="12"/>
  <c r="SA5" i="32"/>
  <c r="NK5" i="31"/>
  <c r="O5" i="32"/>
  <c r="EE5" i="47"/>
  <c r="IU5" i="28"/>
  <c r="QW5" i="32"/>
  <c r="EE5" i="45"/>
  <c r="O5" i="38"/>
  <c r="NK5" i="39"/>
  <c r="OO5" i="46"/>
  <c r="NK5" i="35"/>
  <c r="SA5" i="42"/>
  <c r="NK5" i="41"/>
  <c r="SA5" i="30"/>
  <c r="MG5" i="23"/>
  <c r="IU5" i="38"/>
  <c r="SQ5" i="4"/>
  <c r="EE5" i="39"/>
  <c r="IU5" i="40"/>
  <c r="IU5" i="44"/>
  <c r="GM5" i="4"/>
  <c r="EE5" i="43"/>
  <c r="EE5" i="41"/>
  <c r="O5" i="44"/>
  <c r="NK5" i="49"/>
  <c r="SA5" i="44"/>
  <c r="QW5" i="4"/>
  <c r="O5" i="48"/>
  <c r="NK5" i="23"/>
  <c r="FI5" i="22"/>
  <c r="AS5" i="26"/>
  <c r="O5" i="2"/>
  <c r="AE5" i="20"/>
  <c r="SA5" i="38"/>
  <c r="NK5" i="45"/>
  <c r="JK5" i="32"/>
  <c r="JK5" i="26"/>
  <c r="BI5" i="21"/>
  <c r="SQ5" i="30"/>
  <c r="FY5" i="18"/>
  <c r="BI5" i="45"/>
  <c r="SA5" i="40"/>
  <c r="OA5" i="33"/>
  <c r="IU5" i="48"/>
  <c r="SA5" i="46"/>
  <c r="MG5" i="13"/>
  <c r="IU5" i="50"/>
  <c r="OA5" i="3"/>
  <c r="NK5" i="43"/>
  <c r="SA5" i="48"/>
  <c r="OA5" i="25"/>
  <c r="MW5" i="12"/>
  <c r="EE5" i="49"/>
  <c r="JK5" i="12"/>
  <c r="OA5" i="1"/>
  <c r="IU5" i="46"/>
  <c r="SA5" i="50"/>
  <c r="HC5" i="38"/>
  <c r="JK5" i="24"/>
  <c r="EU5" i="1"/>
  <c r="OA5" i="9"/>
  <c r="AE5" i="4"/>
  <c r="AE5" i="6"/>
  <c r="JK5" i="6"/>
  <c r="AE5" i="2"/>
  <c r="EU5" i="3"/>
  <c r="EU5" i="5"/>
  <c r="SQ5" i="6"/>
  <c r="OA5" i="15"/>
  <c r="AE5" i="14"/>
  <c r="OA5" i="7"/>
  <c r="EU5" i="25"/>
  <c r="LS5" i="16"/>
  <c r="SQ5" i="8"/>
  <c r="QI5" i="28"/>
  <c r="AE5" i="10"/>
  <c r="EU5" i="9"/>
  <c r="EU5" i="13"/>
  <c r="EU5" i="34"/>
  <c r="FY5" i="30"/>
  <c r="OA5" i="11"/>
  <c r="EU5" i="17"/>
  <c r="FY5" i="34"/>
  <c r="AE5" i="18"/>
  <c r="PE5" i="13"/>
  <c r="A5" i="15"/>
  <c r="HC5" i="12"/>
  <c r="AE5" i="16"/>
  <c r="EU5" i="11"/>
  <c r="AE5" i="12"/>
  <c r="EU5" i="15"/>
  <c r="SQ5" i="12"/>
  <c r="JK5" i="14"/>
  <c r="DQ5" i="37"/>
  <c r="JK5" i="28"/>
  <c r="JK5" i="16"/>
  <c r="SQ5" i="18"/>
  <c r="JK5" i="22"/>
  <c r="UY5" i="47"/>
  <c r="OA5" i="17"/>
  <c r="QI5" i="16"/>
  <c r="KO5" i="4"/>
  <c r="EU5" i="35"/>
  <c r="JK5" i="40"/>
  <c r="A5" i="39"/>
  <c r="EU5" i="19"/>
  <c r="JK5" i="4"/>
  <c r="JK5" i="20"/>
  <c r="OA5" i="19"/>
  <c r="EU5" i="23"/>
  <c r="SQ5" i="29"/>
  <c r="EU5" i="21"/>
  <c r="A5" i="20"/>
  <c r="AE5" i="44"/>
  <c r="SQ5" i="26"/>
  <c r="OA5" i="21"/>
  <c r="AE5" i="28"/>
  <c r="SQ5" i="24"/>
  <c r="DQ5" i="28"/>
  <c r="AE5" i="9"/>
  <c r="AE5" i="26"/>
  <c r="A5" i="2"/>
  <c r="EU5" i="27"/>
  <c r="OA5" i="37"/>
  <c r="AE5" i="32"/>
  <c r="OA5" i="29"/>
  <c r="SQ5" i="28"/>
  <c r="OA5" i="23"/>
  <c r="AE5" i="22"/>
  <c r="AE5" i="30"/>
  <c r="JK5" i="30"/>
  <c r="AE5" i="34"/>
  <c r="EU5" i="29"/>
  <c r="IG5" i="7"/>
  <c r="SQ5" i="32"/>
  <c r="LS5" i="22"/>
  <c r="JY5" i="32"/>
  <c r="SQ5" i="36"/>
  <c r="JK5" i="34"/>
  <c r="EU5" i="37"/>
  <c r="EU5" i="33"/>
  <c r="OA5" i="31"/>
  <c r="EU5" i="39"/>
  <c r="DQ5" i="17"/>
  <c r="OA5" i="35"/>
  <c r="JK5" i="38"/>
  <c r="OO5" i="35"/>
  <c r="JK5" i="36"/>
  <c r="AE5" i="40"/>
  <c r="SQ5" i="38"/>
  <c r="SQ5" i="44"/>
  <c r="MW5" i="11"/>
  <c r="OA5" i="39"/>
  <c r="EU5" i="41"/>
  <c r="EU5" i="47"/>
  <c r="KO5" i="33"/>
  <c r="OA5" i="43"/>
  <c r="JK5" i="46"/>
  <c r="SQ5" i="42"/>
  <c r="AE5" i="46"/>
  <c r="AE5" i="48"/>
  <c r="A5" i="50"/>
  <c r="EU5" i="43"/>
  <c r="TU5" i="18"/>
  <c r="SQ5" i="46"/>
  <c r="JK5" i="48"/>
  <c r="JK5" i="44"/>
  <c r="EU5" i="30"/>
  <c r="OA5" i="45"/>
  <c r="PE5" i="25"/>
  <c r="AE5" i="42"/>
  <c r="AE5" i="38"/>
  <c r="SQ5" i="40"/>
  <c r="OA5" i="47"/>
  <c r="LC5" i="44"/>
  <c r="TE5" i="30"/>
  <c r="BW5" i="45"/>
  <c r="EE5" i="28"/>
  <c r="AS5" i="28"/>
  <c r="SQ5" i="48"/>
  <c r="JY5" i="26"/>
  <c r="QI5" i="6"/>
  <c r="BW5" i="21"/>
  <c r="GM5" i="18"/>
  <c r="SQ5" i="50"/>
  <c r="FI5" i="27"/>
  <c r="AS5" i="9"/>
  <c r="OA5" i="49"/>
  <c r="RM5" i="35"/>
  <c r="IG5" i="35"/>
  <c r="RM5" i="19"/>
  <c r="OA5" i="27"/>
  <c r="BI5" i="46"/>
  <c r="TU5" i="20"/>
  <c r="TE5" i="28"/>
  <c r="AS5" i="32"/>
  <c r="JY5" i="30"/>
  <c r="EE5" i="37"/>
  <c r="JY5" i="28"/>
  <c r="OO5" i="47"/>
  <c r="PS5" i="39"/>
  <c r="BI5" i="30"/>
  <c r="TE5" i="26"/>
  <c r="JY5" i="46"/>
  <c r="NK5" i="47"/>
  <c r="JY5" i="42"/>
  <c r="UI5" i="34"/>
  <c r="KO5" i="28"/>
  <c r="AS5" i="30"/>
  <c r="FI5" i="29"/>
  <c r="IU5" i="7"/>
  <c r="OO5" i="29"/>
  <c r="AE5" i="50"/>
  <c r="OA5" i="36"/>
  <c r="EU5" i="31"/>
  <c r="KO5" i="21"/>
  <c r="AS5" i="34"/>
  <c r="OO5" i="25"/>
  <c r="NK5" i="12"/>
  <c r="JK5" i="50"/>
  <c r="FI5" i="33"/>
  <c r="FI5" i="35"/>
  <c r="FI5" i="41"/>
  <c r="FI5" i="37"/>
  <c r="AS5" i="46"/>
  <c r="JY5" i="36"/>
  <c r="OO5" i="31"/>
  <c r="TE5" i="36"/>
  <c r="AS5" i="36"/>
  <c r="JY5" i="38"/>
  <c r="TE5" i="38"/>
  <c r="AS5" i="40"/>
  <c r="AS5" i="44"/>
  <c r="OO5" i="37"/>
  <c r="OO5" i="33"/>
  <c r="FI5" i="39"/>
  <c r="EE5" i="17"/>
  <c r="AS5" i="42"/>
  <c r="AS5" i="38"/>
  <c r="OO5" i="45"/>
  <c r="JY5" i="40"/>
  <c r="OO5" i="39"/>
  <c r="JY5" i="34"/>
  <c r="TE5" i="42"/>
  <c r="LC5" i="42"/>
  <c r="BI5" i="40"/>
  <c r="LS5" i="30"/>
  <c r="CM5" i="28"/>
  <c r="PE5" i="7"/>
  <c r="SQ5" i="2"/>
  <c r="JY5" i="44"/>
  <c r="FI5" i="30"/>
  <c r="OO5" i="41"/>
  <c r="O5" i="50"/>
  <c r="FI5" i="43"/>
  <c r="UI5" i="18"/>
  <c r="OO5" i="43"/>
  <c r="TE5" i="46"/>
  <c r="FI5" i="47"/>
  <c r="LC5" i="33"/>
  <c r="TE5" i="44"/>
  <c r="NK5" i="11"/>
  <c r="PE5" i="21"/>
  <c r="AS5" i="48"/>
  <c r="TE5" i="40"/>
  <c r="AS5" i="50"/>
  <c r="OO5" i="36"/>
  <c r="FI5" i="31"/>
  <c r="LC5" i="21"/>
  <c r="TU5" i="22"/>
  <c r="BI5" i="24"/>
  <c r="TE5" i="48"/>
  <c r="SQ5" i="13"/>
  <c r="TU5" i="24"/>
  <c r="JY5" i="48"/>
  <c r="PE5" i="23"/>
  <c r="TE5" i="50"/>
  <c r="QW5" i="6"/>
  <c r="KO5" i="30"/>
  <c r="KO5" i="20"/>
  <c r="BI5" i="22"/>
  <c r="QI5" i="44"/>
  <c r="PE5" i="27"/>
  <c r="CM5" i="43"/>
  <c r="FY5" i="21"/>
  <c r="PE5" i="33"/>
  <c r="PE5" i="29"/>
  <c r="OO5" i="49"/>
  <c r="BI5" i="26"/>
  <c r="KO5" i="32"/>
  <c r="BI5" i="36"/>
  <c r="OA5" i="32"/>
  <c r="FY5" i="27"/>
  <c r="MW5" i="20"/>
  <c r="A5" i="7"/>
  <c r="FY5" i="25"/>
  <c r="MW5" i="50"/>
  <c r="KO5" i="26"/>
  <c r="KO5" i="38"/>
  <c r="KO5" i="22"/>
  <c r="JY5" i="50"/>
  <c r="PE5" i="31"/>
  <c r="TU5" i="26"/>
  <c r="TU5" i="28"/>
  <c r="BI5" i="28"/>
  <c r="FY5" i="31"/>
  <c r="LS5" i="14"/>
  <c r="TU5" i="42"/>
  <c r="UY5" i="35"/>
  <c r="KO5" i="24"/>
  <c r="PE5" i="6"/>
  <c r="BI5" i="47"/>
  <c r="PE5" i="35"/>
  <c r="FY5" i="35"/>
  <c r="FY5" i="33"/>
  <c r="JK5" i="35"/>
  <c r="KO5" i="34"/>
  <c r="IG5" i="16"/>
  <c r="CM5" i="8"/>
  <c r="TU5" i="36"/>
  <c r="MW5" i="47"/>
  <c r="JK5" i="42"/>
  <c r="TU5" i="34"/>
  <c r="FY5" i="39"/>
  <c r="BI5" i="38"/>
  <c r="DQ5" i="21"/>
  <c r="PE5" i="37"/>
  <c r="BI5" i="34"/>
  <c r="KO5" i="36"/>
  <c r="BI5" i="44"/>
  <c r="TU5" i="40"/>
  <c r="UI5" i="42"/>
  <c r="MG5" i="14"/>
  <c r="FY5" i="17"/>
  <c r="GM5" i="31"/>
  <c r="TU5" i="38"/>
  <c r="JK5" i="45"/>
  <c r="PE5" i="43"/>
  <c r="SQ5" i="16"/>
  <c r="AE5" i="47"/>
  <c r="FY5" i="41"/>
  <c r="BI5" i="19"/>
  <c r="TU5" i="32"/>
  <c r="FY5" i="37"/>
  <c r="KO5" i="40"/>
  <c r="DQ5" i="32"/>
  <c r="RM5" i="13"/>
  <c r="AE5" i="33"/>
  <c r="PE5" i="41"/>
  <c r="TU5" i="44"/>
  <c r="KO5" i="42"/>
  <c r="BI5" i="48"/>
  <c r="BI5" i="32"/>
  <c r="BI5" i="16"/>
  <c r="BI5" i="8"/>
  <c r="PE5" i="39"/>
  <c r="AS5" i="47"/>
  <c r="GM5" i="41"/>
  <c r="GM5" i="39"/>
  <c r="BW5" i="19"/>
  <c r="TU5" i="50"/>
  <c r="EU5" i="28"/>
  <c r="MW5" i="14"/>
  <c r="PE5" i="8"/>
  <c r="TU5" i="46"/>
  <c r="KO5" i="46"/>
  <c r="PE5" i="45"/>
  <c r="LS5" i="9"/>
  <c r="LS5" i="34"/>
  <c r="PE5" i="47"/>
  <c r="TU5" i="48"/>
  <c r="FY5" i="45"/>
  <c r="CM5" i="4"/>
  <c r="UI5" i="40"/>
  <c r="FY5" i="43"/>
  <c r="KO5" i="44"/>
  <c r="FY5" i="47"/>
  <c r="PE5" i="49"/>
  <c r="FY5" i="49"/>
  <c r="FY5" i="29"/>
  <c r="TU5" i="12"/>
  <c r="CM5" i="44"/>
  <c r="BW5" i="44"/>
  <c r="GM5" i="17"/>
  <c r="KO5" i="48"/>
  <c r="KO5" i="50"/>
  <c r="CM5" i="50"/>
  <c r="RM5" i="47"/>
  <c r="LC5" i="40"/>
  <c r="EE5" i="32"/>
  <c r="SA5" i="13"/>
  <c r="GM5" i="49"/>
  <c r="GM5" i="29"/>
  <c r="UI5" i="12"/>
  <c r="QI5" i="37"/>
  <c r="SQ5" i="22"/>
  <c r="BI5" i="4"/>
  <c r="QI5" i="33"/>
  <c r="BI5" i="50"/>
  <c r="PS5" i="41"/>
  <c r="BW5" i="50"/>
  <c r="GM5" i="43"/>
  <c r="SA5" i="35"/>
  <c r="SA5" i="19"/>
  <c r="IU5" i="35"/>
  <c r="OO5" i="27"/>
  <c r="BW5" i="46"/>
  <c r="JY5" i="45"/>
  <c r="PS5" i="43"/>
  <c r="TE5" i="16"/>
  <c r="UY5" i="48"/>
  <c r="QI5" i="48"/>
  <c r="SQ5" i="10"/>
  <c r="UY5" i="16"/>
  <c r="PS5" i="45"/>
  <c r="GM5" i="45"/>
  <c r="DA5" i="4"/>
  <c r="UI5" i="46"/>
  <c r="DQ5" i="48"/>
  <c r="UY5" i="45"/>
  <c r="HC5" i="37"/>
  <c r="JK5" i="18"/>
  <c r="RM5" i="16"/>
  <c r="SQ5" i="14"/>
  <c r="LC5" i="48"/>
  <c r="LS5" i="26"/>
  <c r="PS5" i="47"/>
  <c r="UY5" i="38"/>
  <c r="GM5" i="47"/>
  <c r="HC5" i="27"/>
  <c r="EU5" i="45"/>
  <c r="DQ5" i="2"/>
  <c r="LC5" i="46"/>
  <c r="BW5" i="48"/>
  <c r="BW5" i="32"/>
  <c r="BW5" i="16"/>
  <c r="BW5" i="8"/>
  <c r="UI5" i="48"/>
  <c r="LC5" i="50"/>
  <c r="PS5" i="49"/>
  <c r="UY5" i="40"/>
  <c r="A5" i="18"/>
  <c r="UI5" i="44"/>
  <c r="AS5" i="33"/>
  <c r="LS5" i="32"/>
  <c r="LS5" i="40"/>
  <c r="UY5" i="44"/>
  <c r="HC5" i="49"/>
  <c r="QI5" i="40"/>
  <c r="SQ5" i="34"/>
  <c r="UY5" i="36"/>
  <c r="UY5" i="30"/>
  <c r="HC5" i="16"/>
  <c r="BI5" i="42"/>
  <c r="QI5" i="27"/>
  <c r="CM5" i="26"/>
  <c r="TE5" i="32"/>
  <c r="MG5" i="22"/>
  <c r="CM5" i="36"/>
  <c r="QI5" i="25"/>
  <c r="MW5" i="10"/>
  <c r="LS5" i="28"/>
  <c r="KO5" i="37"/>
  <c r="DQ5" i="30"/>
  <c r="UY5" i="26"/>
  <c r="QI5" i="29"/>
  <c r="HC5" i="29"/>
  <c r="HC5" i="23"/>
  <c r="RM5" i="9"/>
  <c r="QI5" i="31"/>
  <c r="KO5" i="16"/>
  <c r="CM5" i="30"/>
  <c r="FY5" i="28"/>
  <c r="CM5" i="34"/>
  <c r="OA5" i="13"/>
  <c r="HC5" i="33"/>
  <c r="CM5" i="32"/>
  <c r="UI5" i="50"/>
  <c r="FI5" i="28"/>
  <c r="NK5" i="14"/>
  <c r="PS5" i="8"/>
  <c r="QI5" i="35"/>
  <c r="UY5" i="34"/>
  <c r="UY5" i="21"/>
  <c r="UY5" i="32"/>
  <c r="UY5" i="43"/>
  <c r="UY5" i="28"/>
  <c r="UY5" i="37"/>
  <c r="HC5" i="39"/>
  <c r="LS5" i="36"/>
  <c r="HC5" i="35"/>
  <c r="SQ5" i="43"/>
  <c r="QI5" i="39"/>
  <c r="CM5" i="40"/>
  <c r="HC5" i="31"/>
  <c r="IG5" i="27"/>
  <c r="LS5" i="38"/>
  <c r="TU5" i="29"/>
  <c r="CM5" i="23"/>
  <c r="IG5" i="4"/>
  <c r="SQ5" i="3"/>
  <c r="JK5" i="39"/>
  <c r="EU5" i="49"/>
  <c r="IG5" i="42"/>
  <c r="A5" i="42"/>
  <c r="FY5" i="40"/>
  <c r="IG5" i="39"/>
  <c r="CM5" i="38"/>
  <c r="IG5" i="36"/>
  <c r="TU5" i="35"/>
  <c r="A5" i="34"/>
  <c r="PE5" i="32"/>
  <c r="BI5" i="31"/>
  <c r="OA5" i="28"/>
  <c r="KO5" i="23"/>
  <c r="IG5" i="19"/>
  <c r="LS5" i="18"/>
  <c r="A5" i="12"/>
  <c r="PE5" i="5"/>
  <c r="A5" i="5"/>
  <c r="OA5" i="4"/>
  <c r="HC5" i="3"/>
  <c r="PE5" i="2"/>
  <c r="SQ5" i="1"/>
  <c r="LS5" i="44"/>
  <c r="UY5" i="50"/>
  <c r="HC5" i="41"/>
  <c r="DQ5" i="29"/>
  <c r="SQ5" i="20"/>
  <c r="AE5" i="24"/>
  <c r="EE5" i="2"/>
  <c r="BI5" i="5"/>
  <c r="UY5" i="42"/>
  <c r="LS5" i="42"/>
  <c r="LS5" i="50"/>
  <c r="FI5" i="45"/>
  <c r="HQ5" i="27"/>
  <c r="UY5" i="19"/>
  <c r="CM5" i="42"/>
  <c r="QI5" i="41"/>
  <c r="MG5" i="24"/>
  <c r="MW5" i="28"/>
  <c r="IG5" i="17"/>
  <c r="PS5" i="16"/>
  <c r="PS5" i="30"/>
  <c r="VM5" i="46"/>
  <c r="O5" i="3"/>
  <c r="QW5" i="35"/>
  <c r="VM5" i="43"/>
  <c r="VM5" i="37"/>
  <c r="VM5" i="28"/>
  <c r="TU5" i="30"/>
  <c r="DQ5" i="10"/>
  <c r="KO5" i="25"/>
  <c r="PE5" i="24"/>
  <c r="CM5" i="9"/>
  <c r="HC5" i="4"/>
  <c r="UY5" i="8"/>
  <c r="QI5" i="43"/>
  <c r="OA5" i="2"/>
  <c r="HQ5" i="45"/>
  <c r="GM5" i="23"/>
  <c r="HC5" i="43"/>
  <c r="CM5" i="46"/>
  <c r="QI5" i="47"/>
  <c r="RM5" i="22"/>
  <c r="DA5" i="22"/>
  <c r="MG5" i="42"/>
  <c r="LS5" i="46"/>
  <c r="PE5" i="4"/>
  <c r="CM5" i="48"/>
  <c r="QW5" i="27"/>
  <c r="UY5" i="46"/>
  <c r="PE5" i="30"/>
  <c r="A5" i="3"/>
  <c r="HC5" i="47"/>
  <c r="QI5" i="45"/>
  <c r="MG5" i="46"/>
  <c r="PS5" i="4"/>
  <c r="DA5" i="24"/>
  <c r="DA5" i="32"/>
  <c r="VM5" i="24"/>
  <c r="QI5" i="49"/>
  <c r="LS5" i="48"/>
  <c r="VM5" i="50"/>
  <c r="EE5" i="29"/>
  <c r="AS5" i="24"/>
  <c r="BW5" i="5"/>
  <c r="DA5" i="50"/>
  <c r="SA5" i="47"/>
  <c r="QW5" i="25"/>
  <c r="NK5" i="10"/>
  <c r="HC5" i="45"/>
  <c r="FY5" i="23"/>
  <c r="UI5" i="29"/>
  <c r="DA5" i="23"/>
  <c r="IU5" i="4"/>
  <c r="JY5" i="39"/>
  <c r="MG5" i="38"/>
  <c r="TE5" i="3"/>
  <c r="QW5" i="23"/>
  <c r="MG5" i="28"/>
  <c r="HQ5" i="25"/>
  <c r="GM5" i="20"/>
  <c r="VM5" i="22"/>
  <c r="VM5" i="36"/>
  <c r="QW5" i="29"/>
  <c r="VM5" i="32"/>
  <c r="DA5" i="26"/>
  <c r="MG5" i="26"/>
  <c r="BW5" i="42"/>
  <c r="HQ5" i="16"/>
  <c r="VM5" i="30"/>
  <c r="MG5" i="36"/>
  <c r="LC5" i="37"/>
  <c r="EE5" i="30"/>
  <c r="VM5" i="26"/>
  <c r="HQ5" i="23"/>
  <c r="HQ5" i="29"/>
  <c r="SA5" i="9"/>
  <c r="DA5" i="30"/>
  <c r="GM5" i="28"/>
  <c r="DA5" i="34"/>
  <c r="OO5" i="13"/>
  <c r="MG5" i="40"/>
  <c r="QW5" i="31"/>
  <c r="LC5" i="16"/>
  <c r="QW5" i="48"/>
  <c r="TE5" i="10"/>
  <c r="QW5" i="49"/>
  <c r="VM5" i="48"/>
  <c r="VM5" i="16"/>
  <c r="MG5" i="32"/>
  <c r="TE5" i="43"/>
  <c r="QW5" i="39"/>
  <c r="DA5" i="44"/>
  <c r="HQ5" i="41"/>
  <c r="HQ5" i="33"/>
  <c r="DA5" i="36"/>
  <c r="DA5" i="46"/>
  <c r="FI5" i="49"/>
  <c r="O5" i="42"/>
  <c r="IU5" i="42"/>
  <c r="GM5" i="40"/>
  <c r="IU5" i="39"/>
  <c r="DA5" i="38"/>
  <c r="IU5" i="36"/>
  <c r="UI5" i="35"/>
  <c r="O5" i="34"/>
  <c r="PS5" i="32"/>
  <c r="BW5" i="31"/>
  <c r="OO5" i="28"/>
  <c r="LC5" i="23"/>
  <c r="IU5" i="19"/>
  <c r="MG5" i="18"/>
  <c r="O5" i="12"/>
  <c r="PS5" i="5"/>
  <c r="O5" i="5"/>
  <c r="OO5" i="4"/>
  <c r="HQ5" i="3"/>
  <c r="PS5" i="2"/>
  <c r="TE5" i="1"/>
  <c r="VM5" i="38"/>
  <c r="HQ5" i="31"/>
  <c r="IU5" i="27"/>
  <c r="BW5" i="40"/>
  <c r="MG5" i="30"/>
  <c r="DA5" i="28"/>
  <c r="PS5" i="7"/>
  <c r="TE5" i="2"/>
  <c r="QW5" i="33"/>
  <c r="DA5" i="40"/>
  <c r="EE5" i="48"/>
  <c r="VM5" i="45"/>
  <c r="HQ5" i="37"/>
  <c r="JY5" i="18"/>
  <c r="SA5" i="16"/>
  <c r="TE5" i="14"/>
  <c r="VM5" i="42"/>
  <c r="TE5" i="20"/>
  <c r="VM5" i="44"/>
  <c r="MG5" i="34"/>
  <c r="TE5" i="22"/>
  <c r="MG5" i="9"/>
  <c r="DA5" i="48"/>
  <c r="QW5" i="37"/>
  <c r="MG5" i="50"/>
  <c r="BW5" i="4"/>
  <c r="MG5" i="48"/>
  <c r="EE5" i="10"/>
  <c r="DA5" i="9"/>
  <c r="VM5" i="8"/>
  <c r="OO5" i="2"/>
  <c r="PS5" i="24"/>
  <c r="HQ5" i="4"/>
  <c r="SA5" i="22"/>
  <c r="LC5" i="25"/>
  <c r="QW5" i="47"/>
  <c r="QW5" i="43"/>
  <c r="UI5" i="30"/>
  <c r="MG5" i="44"/>
  <c r="HQ5" i="47"/>
  <c r="VM5" i="34"/>
  <c r="VM5" i="21"/>
  <c r="HQ5" i="49"/>
  <c r="QW5" i="40"/>
  <c r="TE5" i="34"/>
  <c r="DA5" i="42"/>
  <c r="VM5" i="19"/>
  <c r="VM5" i="40"/>
  <c r="O5" i="18"/>
  <c r="QW5" i="41"/>
  <c r="NK5" i="28"/>
  <c r="IU5" i="17"/>
  <c r="HQ5" i="39"/>
  <c r="HQ5" i="35"/>
  <c r="HQ5" i="43"/>
  <c r="QW5" i="45"/>
</calcChain>
</file>

<file path=xl/sharedStrings.xml><?xml version="1.0" encoding="utf-8"?>
<sst xmlns="http://schemas.openxmlformats.org/spreadsheetml/2006/main" count="43723" uniqueCount="5943">
  <si>
    <t>Deal 2001</t>
  </si>
  <si>
    <t>Deal 2002</t>
  </si>
  <si>
    <t>Deal 2003</t>
  </si>
  <si>
    <t>Deal 2004</t>
  </si>
  <si>
    <t>Deal 2005</t>
  </si>
  <si>
    <t>Deal 2006</t>
  </si>
  <si>
    <t>Deal 2007</t>
  </si>
  <si>
    <t>Deal 2008</t>
  </si>
  <si>
    <t>Deal 2009</t>
  </si>
  <si>
    <t>Deal 2010</t>
  </si>
  <si>
    <t>Deal 2011</t>
  </si>
  <si>
    <t>Deal 2012</t>
  </si>
  <si>
    <t>Deal 2013</t>
  </si>
  <si>
    <t>Deal 2014</t>
  </si>
  <si>
    <t>Deal 2015</t>
  </si>
  <si>
    <t>Deal 2016</t>
  </si>
  <si>
    <t>Deal 2017</t>
  </si>
  <si>
    <t>Deal 2018</t>
  </si>
  <si>
    <t>Deal 2019</t>
  </si>
  <si>
    <t>Deal 2020</t>
  </si>
  <si>
    <t>STCN US Equity</t>
  </si>
  <si>
    <t>LMND US Equity</t>
  </si>
  <si>
    <t>2725934Q US Equity</t>
  </si>
  <si>
    <t>KODK US Equity</t>
  </si>
  <si>
    <t>EMR US Equity</t>
  </si>
  <si>
    <t>DJ US Equity</t>
  </si>
  <si>
    <t>ZD US Equity</t>
  </si>
  <si>
    <t>CEPH US Equity</t>
  </si>
  <si>
    <t>AMT US Equity</t>
  </si>
  <si>
    <t>749001Q US Equity</t>
  </si>
  <si>
    <t>ESMK US Equity</t>
  </si>
  <si>
    <t>1702253D US Equity</t>
  </si>
  <si>
    <t>PNC US Equity</t>
  </si>
  <si>
    <t>OPK US Equity</t>
  </si>
  <si>
    <t>CVOVQ US Equity</t>
  </si>
  <si>
    <t>ROH US Equity</t>
  </si>
  <si>
    <t>WBS US Equity</t>
  </si>
  <si>
    <t>nan Equity</t>
  </si>
  <si>
    <t>CPF US Equity</t>
  </si>
  <si>
    <t>Suppliers</t>
  </si>
  <si>
    <t>Customers</t>
  </si>
  <si>
    <t>Entity Ticker</t>
  </si>
  <si>
    <t>Cost Type</t>
  </si>
  <si>
    <t>Revenue %</t>
  </si>
  <si>
    <t>Cost %</t>
  </si>
  <si>
    <t>Rel. Period</t>
  </si>
  <si>
    <t>Rel. Year</t>
  </si>
  <si>
    <t>Source</t>
  </si>
  <si>
    <t>Rel. Date</t>
  </si>
  <si>
    <t>Rel. Count</t>
  </si>
  <si>
    <t>Rel. Amount</t>
  </si>
  <si>
    <t>Company ID</t>
  </si>
  <si>
    <t>Company Name</t>
  </si>
  <si>
    <t>Deal 2021</t>
  </si>
  <si>
    <t>Deal 2022</t>
  </si>
  <si>
    <t>Deal 2023</t>
  </si>
  <si>
    <t>Deal 2024</t>
  </si>
  <si>
    <t>Deal 2025</t>
  </si>
  <si>
    <t>Deal 2026</t>
  </si>
  <si>
    <t>Deal 2027</t>
  </si>
  <si>
    <t>Deal 2028</t>
  </si>
  <si>
    <t>Deal 2029</t>
  </si>
  <si>
    <t>Deal 2030</t>
  </si>
  <si>
    <t>Deal 2031</t>
  </si>
  <si>
    <t>Deal 2032</t>
  </si>
  <si>
    <t>Deal 2033</t>
  </si>
  <si>
    <t>Deal 2034</t>
  </si>
  <si>
    <t>Deal 2035</t>
  </si>
  <si>
    <t>Deal 2036</t>
  </si>
  <si>
    <t>Deal 2037</t>
  </si>
  <si>
    <t>Deal 2038</t>
  </si>
  <si>
    <t>Deal 2039</t>
  </si>
  <si>
    <t>Deal 2040</t>
  </si>
  <si>
    <t>3499164Q US Equity</t>
  </si>
  <si>
    <t>ETP US Equity</t>
  </si>
  <si>
    <t>1524867D US Equity</t>
  </si>
  <si>
    <t>329556Q US Equity</t>
  </si>
  <si>
    <t>IBM US Equity</t>
  </si>
  <si>
    <t>FMBI US Equity</t>
  </si>
  <si>
    <t>HET US Equity</t>
  </si>
  <si>
    <t>2326248D US Equity</t>
  </si>
  <si>
    <t>ON US Equity</t>
  </si>
  <si>
    <t>MAN US Equity</t>
  </si>
  <si>
    <t>AZTA US Equity</t>
  </si>
  <si>
    <t>1255459D US Equity</t>
  </si>
  <si>
    <t>MXIM US Equity</t>
  </si>
  <si>
    <t>TFC US Equity</t>
  </si>
  <si>
    <t>PNP US Equity</t>
  </si>
  <si>
    <t>OK US Equity</t>
  </si>
  <si>
    <t>0848680D US Equity</t>
  </si>
  <si>
    <t>RVTY US Equity</t>
  </si>
  <si>
    <t>Deal 2041</t>
  </si>
  <si>
    <t>Deal 2042</t>
  </si>
  <si>
    <t>Deal 2043</t>
  </si>
  <si>
    <t>Deal 2044</t>
  </si>
  <si>
    <t>Deal 2045</t>
  </si>
  <si>
    <t>Deal 2046</t>
  </si>
  <si>
    <t>Deal 2047</t>
  </si>
  <si>
    <t>Deal 2048</t>
  </si>
  <si>
    <t>Deal 2049</t>
  </si>
  <si>
    <t>Deal 2050</t>
  </si>
  <si>
    <t>Deal 2051</t>
  </si>
  <si>
    <t>Deal 2052</t>
  </si>
  <si>
    <t>Deal 2053</t>
  </si>
  <si>
    <t>Deal 2054</t>
  </si>
  <si>
    <t>Deal 2055</t>
  </si>
  <si>
    <t>Deal 2056</t>
  </si>
  <si>
    <t>Deal 2057</t>
  </si>
  <si>
    <t>Deal 2058</t>
  </si>
  <si>
    <t>Deal 2059</t>
  </si>
  <si>
    <t>Deal 2060</t>
  </si>
  <si>
    <t>NBR US Equity</t>
  </si>
  <si>
    <t>UDI US Equity</t>
  </si>
  <si>
    <t>LSCC US Equity</t>
  </si>
  <si>
    <t>JEF US Equity</t>
  </si>
  <si>
    <t>KSPN US Equity</t>
  </si>
  <si>
    <t>FDC US Equity</t>
  </si>
  <si>
    <t>FNB US Equity</t>
  </si>
  <si>
    <t>ILA US Equity</t>
  </si>
  <si>
    <t>838969Q US Equity</t>
  </si>
  <si>
    <t>SEBL US Equity</t>
  </si>
  <si>
    <t>KEX US Equity</t>
  </si>
  <si>
    <t>SYNA US Equity</t>
  </si>
  <si>
    <t>PBCT US Equity</t>
  </si>
  <si>
    <t>SUPN US Equity</t>
  </si>
  <si>
    <t>SOV US Equity</t>
  </si>
  <si>
    <t>WFC US Equity</t>
  </si>
  <si>
    <t>8397627Q US Equity</t>
  </si>
  <si>
    <t>1799685D US Equity</t>
  </si>
  <si>
    <t>Deal 2061</t>
  </si>
  <si>
    <t>Deal 2062</t>
  </si>
  <si>
    <t>Deal 2063</t>
  </si>
  <si>
    <t>Deal 2064</t>
  </si>
  <si>
    <t>Deal 2065</t>
  </si>
  <si>
    <t>Deal 2066</t>
  </si>
  <si>
    <t>Deal 2067</t>
  </si>
  <si>
    <t>Deal 2068</t>
  </si>
  <si>
    <t>Deal 2069</t>
  </si>
  <si>
    <t>Deal 2070</t>
  </si>
  <si>
    <t>Deal 2071</t>
  </si>
  <si>
    <t>Deal 2072</t>
  </si>
  <si>
    <t>Deal 2073</t>
  </si>
  <si>
    <t>Deal 2074</t>
  </si>
  <si>
    <t>Deal 2075</t>
  </si>
  <si>
    <t>Deal 2076</t>
  </si>
  <si>
    <t>Deal 2077</t>
  </si>
  <si>
    <t>Deal 2078</t>
  </si>
  <si>
    <t>Deal 2079</t>
  </si>
  <si>
    <t>Deal 2080</t>
  </si>
  <si>
    <t>MITL US Equity</t>
  </si>
  <si>
    <t>PNR US Equity</t>
  </si>
  <si>
    <t>MFE US Equity</t>
  </si>
  <si>
    <t>PRK US Equity</t>
  </si>
  <si>
    <t>KFRC US Equity</t>
  </si>
  <si>
    <t>KRNY US Equity</t>
  </si>
  <si>
    <t>COV US Equity</t>
  </si>
  <si>
    <t>2674129Q US Equity</t>
  </si>
  <si>
    <t>WAL US Equity</t>
  </si>
  <si>
    <t>612939Q US Equity</t>
  </si>
  <si>
    <t>OLN US Equity</t>
  </si>
  <si>
    <t>1822785D US Equity</t>
  </si>
  <si>
    <t>MSCC US Equity</t>
  </si>
  <si>
    <t>RBN US Equity</t>
  </si>
  <si>
    <t>PH US Equity</t>
  </si>
  <si>
    <t>CSL US Equity</t>
  </si>
  <si>
    <t>Deal 2081</t>
  </si>
  <si>
    <t>Deal 2082</t>
  </si>
  <si>
    <t>Deal 2083</t>
  </si>
  <si>
    <t>Deal 2084</t>
  </si>
  <si>
    <t>Deal 2085</t>
  </si>
  <si>
    <t>Deal 2086</t>
  </si>
  <si>
    <t>Deal 2087</t>
  </si>
  <si>
    <t>Deal 2088</t>
  </si>
  <si>
    <t>Deal 2089</t>
  </si>
  <si>
    <t>Deal 2090</t>
  </si>
  <si>
    <t>Deal 2091</t>
  </si>
  <si>
    <t>Deal 2092</t>
  </si>
  <si>
    <t>Deal 2093</t>
  </si>
  <si>
    <t>Deal 2094</t>
  </si>
  <si>
    <t>Deal 2095</t>
  </si>
  <si>
    <t>Deal 2096</t>
  </si>
  <si>
    <t>Deal 2097</t>
  </si>
  <si>
    <t>Deal 2098</t>
  </si>
  <si>
    <t>Deal 2099</t>
  </si>
  <si>
    <t>Deal 2100</t>
  </si>
  <si>
    <t>KLAC US Equity</t>
  </si>
  <si>
    <t>ENDPQ US Equity</t>
  </si>
  <si>
    <t>SGEN US Equity</t>
  </si>
  <si>
    <t>9995577D US Equity</t>
  </si>
  <si>
    <t>0882814D US Equity</t>
  </si>
  <si>
    <t>GILD US Equity</t>
  </si>
  <si>
    <t>ABT US Equity</t>
  </si>
  <si>
    <t>987200Q US Equity</t>
  </si>
  <si>
    <t>IBEMQ US Equity</t>
  </si>
  <si>
    <t>RBPAA US Equity</t>
  </si>
  <si>
    <t>VIAV US Equity</t>
  </si>
  <si>
    <t>BKB US Equity</t>
  </si>
  <si>
    <t>SCHL US Equity</t>
  </si>
  <si>
    <t>IPIXQ US Equity</t>
  </si>
  <si>
    <t>CCBI US Equity</t>
  </si>
  <si>
    <t>1920486D US Equity</t>
  </si>
  <si>
    <t>CMTL US Equity</t>
  </si>
  <si>
    <t>Deal 2101</t>
  </si>
  <si>
    <t>Deal 2102</t>
  </si>
  <si>
    <t>Deal 2103</t>
  </si>
  <si>
    <t>Deal 2104</t>
  </si>
  <si>
    <t>Deal 2105</t>
  </si>
  <si>
    <t>Deal 2106</t>
  </si>
  <si>
    <t>Deal 2107</t>
  </si>
  <si>
    <t>Deal 2108</t>
  </si>
  <si>
    <t>Deal 2109</t>
  </si>
  <si>
    <t>Deal 2110</t>
  </si>
  <si>
    <t>Deal 2111</t>
  </si>
  <si>
    <t>Deal 2112</t>
  </si>
  <si>
    <t>Deal 2113</t>
  </si>
  <si>
    <t>Deal 2114</t>
  </si>
  <si>
    <t>Deal 2115</t>
  </si>
  <si>
    <t>Deal 2116</t>
  </si>
  <si>
    <t>Deal 2117</t>
  </si>
  <si>
    <t>Deal 2118</t>
  </si>
  <si>
    <t>Deal 2119</t>
  </si>
  <si>
    <t>Deal 2120</t>
  </si>
  <si>
    <t>VPHM US Equity</t>
  </si>
  <si>
    <t>MTCH US Equity</t>
  </si>
  <si>
    <t>HI US Equity</t>
  </si>
  <si>
    <t>2596516D US Equity</t>
  </si>
  <si>
    <t>MSFT US Equity</t>
  </si>
  <si>
    <t>SUG US Equity</t>
  </si>
  <si>
    <t>1715651D US Equity</t>
  </si>
  <si>
    <t>T US Equity</t>
  </si>
  <si>
    <t>LQI US Equity</t>
  </si>
  <si>
    <t>EXPE US Equity</t>
  </si>
  <si>
    <t>SGU US Equity</t>
  </si>
  <si>
    <t>3029830Q US Equity</t>
  </si>
  <si>
    <t>OCR US Equity</t>
  </si>
  <si>
    <t>2860436Q US Equity</t>
  </si>
  <si>
    <t>ABCB US Equity</t>
  </si>
  <si>
    <t>GEO US Equity</t>
  </si>
  <si>
    <t>OMTR US Equity</t>
  </si>
  <si>
    <t>MCF US Equity</t>
  </si>
  <si>
    <t>Deal 2121</t>
  </si>
  <si>
    <t>Deal 2122</t>
  </si>
  <si>
    <t>Deal 2123</t>
  </si>
  <si>
    <t>Deal 2124</t>
  </si>
  <si>
    <t>Deal 2125</t>
  </si>
  <si>
    <t>Deal 2126</t>
  </si>
  <si>
    <t>Deal 2127</t>
  </si>
  <si>
    <t>Deal 2128</t>
  </si>
  <si>
    <t>Deal 2129</t>
  </si>
  <si>
    <t>Deal 2130</t>
  </si>
  <si>
    <t>Deal 2131</t>
  </si>
  <si>
    <t>Deal 2132</t>
  </si>
  <si>
    <t>Deal 2133</t>
  </si>
  <si>
    <t>Deal 2134</t>
  </si>
  <si>
    <t>Deal 2135</t>
  </si>
  <si>
    <t>Deal 2136</t>
  </si>
  <si>
    <t>Deal 2137</t>
  </si>
  <si>
    <t>Deal 2138</t>
  </si>
  <si>
    <t>Deal 2139</t>
  </si>
  <si>
    <t>Deal 2140</t>
  </si>
  <si>
    <t>GE US Equity</t>
  </si>
  <si>
    <t>TWX US Equity</t>
  </si>
  <si>
    <t>EFSC US Equity</t>
  </si>
  <si>
    <t>YDKN US Equity</t>
  </si>
  <si>
    <t>CF US Equity</t>
  </si>
  <si>
    <t>JNJ US Equity</t>
  </si>
  <si>
    <t>PPBI US Equity</t>
  </si>
  <si>
    <t>EPAC US Equity</t>
  </si>
  <si>
    <t>1280712D US Equity</t>
  </si>
  <si>
    <t>EQC US Equity</t>
  </si>
  <si>
    <t>AVNT US Equity</t>
  </si>
  <si>
    <t>TFSM US Equity</t>
  </si>
  <si>
    <t>PXP US Equity</t>
  </si>
  <si>
    <t>EQR US Equity</t>
  </si>
  <si>
    <t>CITGQ US Equity</t>
  </si>
  <si>
    <t>NUVA US Equity</t>
  </si>
  <si>
    <t>ELME US Equity</t>
  </si>
  <si>
    <t>ELAN US Equity</t>
  </si>
  <si>
    <t>AVID US Equity</t>
  </si>
  <si>
    <t>Deal 2141</t>
  </si>
  <si>
    <t>Deal 2142</t>
  </si>
  <si>
    <t>Deal 2143</t>
  </si>
  <si>
    <t>Deal 2144</t>
  </si>
  <si>
    <t>Deal 2145</t>
  </si>
  <si>
    <t>Deal 2146</t>
  </si>
  <si>
    <t>Deal 2147</t>
  </si>
  <si>
    <t>Deal 2148</t>
  </si>
  <si>
    <t>Deal 2149</t>
  </si>
  <si>
    <t>Deal 2150</t>
  </si>
  <si>
    <t>Deal 2151</t>
  </si>
  <si>
    <t>Deal 2152</t>
  </si>
  <si>
    <t>Deal 2153</t>
  </si>
  <si>
    <t>Deal 2154</t>
  </si>
  <si>
    <t>Deal 2155</t>
  </si>
  <si>
    <t>Deal 2156</t>
  </si>
  <si>
    <t>Deal 2157</t>
  </si>
  <si>
    <t>Deal 2158</t>
  </si>
  <si>
    <t>Deal 2159</t>
  </si>
  <si>
    <t>Deal 2160</t>
  </si>
  <si>
    <t>2568368D US Equity</t>
  </si>
  <si>
    <t>PBI US Equity</t>
  </si>
  <si>
    <t>VLY US Equity</t>
  </si>
  <si>
    <t>WSBC US Equity</t>
  </si>
  <si>
    <t>NOV US Equity</t>
  </si>
  <si>
    <t>VECO US Equity</t>
  </si>
  <si>
    <t>MBFI US Equity</t>
  </si>
  <si>
    <t>NWACQ US Equity</t>
  </si>
  <si>
    <t>ZION US Equity</t>
  </si>
  <si>
    <t>INTU US Equity</t>
  </si>
  <si>
    <t>LLY US Equity</t>
  </si>
  <si>
    <t>MR US Equity</t>
  </si>
  <si>
    <t>HES US Equity</t>
  </si>
  <si>
    <t>UMPQ US Equity</t>
  </si>
  <si>
    <t>TRMB US Equity</t>
  </si>
  <si>
    <t>MTN US Equity</t>
  </si>
  <si>
    <t>NDSN US Equity</t>
  </si>
  <si>
    <t>ISIL US Equity</t>
  </si>
  <si>
    <t>Deal 2161</t>
  </si>
  <si>
    <t>Deal 2162</t>
  </si>
  <si>
    <t>Deal 2163</t>
  </si>
  <si>
    <t>Deal 2164</t>
  </si>
  <si>
    <t>Deal 2165</t>
  </si>
  <si>
    <t>Deal 2166</t>
  </si>
  <si>
    <t>Deal 2167</t>
  </si>
  <si>
    <t>Deal 2168</t>
  </si>
  <si>
    <t>Deal 2169</t>
  </si>
  <si>
    <t>Deal 2170</t>
  </si>
  <si>
    <t>Deal 2171</t>
  </si>
  <si>
    <t>Deal 2172</t>
  </si>
  <si>
    <t>Deal 2173</t>
  </si>
  <si>
    <t>Deal 2174</t>
  </si>
  <si>
    <t>Deal 2175</t>
  </si>
  <si>
    <t>Deal 2176</t>
  </si>
  <si>
    <t>Deal 2177</t>
  </si>
  <si>
    <t>Deal 2178</t>
  </si>
  <si>
    <t>Deal 2179</t>
  </si>
  <si>
    <t>Deal 2180</t>
  </si>
  <si>
    <t>CFR US Equity</t>
  </si>
  <si>
    <t>TPB US Equity</t>
  </si>
  <si>
    <t>MDF US Equity</t>
  </si>
  <si>
    <t>IBOC US Equity</t>
  </si>
  <si>
    <t>MTB US Equity</t>
  </si>
  <si>
    <t>TRV US Equity</t>
  </si>
  <si>
    <t>WNC US Equity</t>
  </si>
  <si>
    <t>ONIT US Equity</t>
  </si>
  <si>
    <t>CVX US Equity</t>
  </si>
  <si>
    <t>DKS US Equity</t>
  </si>
  <si>
    <t>JPM US Equity</t>
  </si>
  <si>
    <t>PB US Equity</t>
  </si>
  <si>
    <t>NUAN US Equity</t>
  </si>
  <si>
    <t>JNY US Equity</t>
  </si>
  <si>
    <t>STL US Equity</t>
  </si>
  <si>
    <t>Deal 2181</t>
  </si>
  <si>
    <t>Deal 2182</t>
  </si>
  <si>
    <t>Deal 2183</t>
  </si>
  <si>
    <t>Deal 2184</t>
  </si>
  <si>
    <t>Deal 2185</t>
  </si>
  <si>
    <t>Deal 2186</t>
  </si>
  <si>
    <t>Deal 2187</t>
  </si>
  <si>
    <t>Deal 2188</t>
  </si>
  <si>
    <t>Deal 2189</t>
  </si>
  <si>
    <t>Deal 2190</t>
  </si>
  <si>
    <t>Deal 2191</t>
  </si>
  <si>
    <t>Deal 2192</t>
  </si>
  <si>
    <t>Deal 2193</t>
  </si>
  <si>
    <t>Deal 2194</t>
  </si>
  <si>
    <t>Deal 2195</t>
  </si>
  <si>
    <t>Deal 2196</t>
  </si>
  <si>
    <t>Deal 2197</t>
  </si>
  <si>
    <t>Deal 2198</t>
  </si>
  <si>
    <t>Deal 2199</t>
  </si>
  <si>
    <t>Deal 2200</t>
  </si>
  <si>
    <t>WAMUQ US Equity</t>
  </si>
  <si>
    <t>RC US Equity</t>
  </si>
  <si>
    <t>27749Z US Equity</t>
  </si>
  <si>
    <t>HAIN US Equity</t>
  </si>
  <si>
    <t>LGND US Equity</t>
  </si>
  <si>
    <t>TISI US Equity</t>
  </si>
  <si>
    <t>CSCO US Equity</t>
  </si>
  <si>
    <t>SFNT US Equity</t>
  </si>
  <si>
    <t>EMN US Equity</t>
  </si>
  <si>
    <t>1260972D US Equity</t>
  </si>
  <si>
    <t>UBNK US Equity</t>
  </si>
  <si>
    <t>MDAS US Equity</t>
  </si>
  <si>
    <t>1778808D US Equity</t>
  </si>
  <si>
    <t>ORCL US Equity</t>
  </si>
  <si>
    <t>SSB US Equity</t>
  </si>
  <si>
    <t>FGPRQ US Equity</t>
  </si>
  <si>
    <t>Deal 2201</t>
  </si>
  <si>
    <t>Deal 2202</t>
  </si>
  <si>
    <t>Deal 2203</t>
  </si>
  <si>
    <t>Deal 2204</t>
  </si>
  <si>
    <t>Deal 2205</t>
  </si>
  <si>
    <t>Deal 2206</t>
  </si>
  <si>
    <t>Deal 2207</t>
  </si>
  <si>
    <t>Deal 2208</t>
  </si>
  <si>
    <t>Deal 2209</t>
  </si>
  <si>
    <t>Deal 2210</t>
  </si>
  <si>
    <t>Deal 2211</t>
  </si>
  <si>
    <t>Deal 2212</t>
  </si>
  <si>
    <t>Deal 2213</t>
  </si>
  <si>
    <t>Deal 2214</t>
  </si>
  <si>
    <t>Deal 2215</t>
  </si>
  <si>
    <t>Deal 2216</t>
  </si>
  <si>
    <t>Deal 2217</t>
  </si>
  <si>
    <t>Deal 2218</t>
  </si>
  <si>
    <t>Deal 2219</t>
  </si>
  <si>
    <t>Deal 2220</t>
  </si>
  <si>
    <t>3388162Z US Equity</t>
  </si>
  <si>
    <t>3461945Q US Equity</t>
  </si>
  <si>
    <t>TCR US Equity</t>
  </si>
  <si>
    <t>HPQ US Equity</t>
  </si>
  <si>
    <t>1577770D US Equity</t>
  </si>
  <si>
    <t>ELNK US Equity</t>
  </si>
  <si>
    <t>PRTK US Equity</t>
  </si>
  <si>
    <t>EGHDQ US Equity</t>
  </si>
  <si>
    <t>1715399D US Equity</t>
  </si>
  <si>
    <t>SPNX US Equity</t>
  </si>
  <si>
    <t>CNSL US Equity</t>
  </si>
  <si>
    <t>NFB US Equity</t>
  </si>
  <si>
    <t>BUSE US Equity</t>
  </si>
  <si>
    <t>CBF US Equity</t>
  </si>
  <si>
    <t>IDNX US Equity</t>
  </si>
  <si>
    <t>AMAT US Equity</t>
  </si>
  <si>
    <t>SPOK US Equity</t>
  </si>
  <si>
    <t>BSX US Equity</t>
  </si>
  <si>
    <t>Deal 2221</t>
  </si>
  <si>
    <t>Deal 2222</t>
  </si>
  <si>
    <t>Deal 2223</t>
  </si>
  <si>
    <t>Deal 2224</t>
  </si>
  <si>
    <t>Deal 2225</t>
  </si>
  <si>
    <t>Deal 2226</t>
  </si>
  <si>
    <t>Deal 2227</t>
  </si>
  <si>
    <t>Deal 2228</t>
  </si>
  <si>
    <t>Deal 2229</t>
  </si>
  <si>
    <t>Deal 2230</t>
  </si>
  <si>
    <t>Deal 2231</t>
  </si>
  <si>
    <t>Deal 2232</t>
  </si>
  <si>
    <t>Deal 2233</t>
  </si>
  <si>
    <t>Deal 2234</t>
  </si>
  <si>
    <t>Deal 2235</t>
  </si>
  <si>
    <t>Deal 2236</t>
  </si>
  <si>
    <t>Deal 2237</t>
  </si>
  <si>
    <t>Deal 2238</t>
  </si>
  <si>
    <t>Deal 2239</t>
  </si>
  <si>
    <t>Deal 2240</t>
  </si>
  <si>
    <t>SWY US Equity</t>
  </si>
  <si>
    <t>41018Q US Equity</t>
  </si>
  <si>
    <t>BGCP US Equity</t>
  </si>
  <si>
    <t>GUIC US Equity</t>
  </si>
  <si>
    <t>BDX US Equity</t>
  </si>
  <si>
    <t>3122066Q US Equity</t>
  </si>
  <si>
    <t>DHR US Equity</t>
  </si>
  <si>
    <t>594202Q US Equity</t>
  </si>
  <si>
    <t>DGX US Equity</t>
  </si>
  <si>
    <t>NOVT US Equity</t>
  </si>
  <si>
    <t>3097837Q US Equity</t>
  </si>
  <si>
    <t>9994967D US Equity</t>
  </si>
  <si>
    <t>SUSQ US Equity</t>
  </si>
  <si>
    <t>INGR US Equity</t>
  </si>
  <si>
    <t>NWBI US Equity</t>
  </si>
  <si>
    <t>RWY US Equity</t>
  </si>
  <si>
    <t>FNFG US Equity</t>
  </si>
  <si>
    <t>ATBA AV Equity</t>
  </si>
  <si>
    <t>Deal 2241</t>
  </si>
  <si>
    <t>Deal 2242</t>
  </si>
  <si>
    <t>Deal 2243</t>
  </si>
  <si>
    <t>Deal 2244</t>
  </si>
  <si>
    <t>Deal 2245</t>
  </si>
  <si>
    <t>Deal 2246</t>
  </si>
  <si>
    <t>Deal 2247</t>
  </si>
  <si>
    <t>Deal 2248</t>
  </si>
  <si>
    <t>Deal 2249</t>
  </si>
  <si>
    <t>Deal 2250</t>
  </si>
  <si>
    <t>Deal 2251</t>
  </si>
  <si>
    <t>Deal 2252</t>
  </si>
  <si>
    <t>Deal 2253</t>
  </si>
  <si>
    <t>Deal 2254</t>
  </si>
  <si>
    <t>Deal 2255</t>
  </si>
  <si>
    <t>Deal 2256</t>
  </si>
  <si>
    <t>Deal 2257</t>
  </si>
  <si>
    <t>Deal 2258</t>
  </si>
  <si>
    <t>Deal 2259</t>
  </si>
  <si>
    <t>Deal 2260</t>
  </si>
  <si>
    <t>AAPL US Equity</t>
  </si>
  <si>
    <t>DECC US Equity</t>
  </si>
  <si>
    <t>3131657Q US Equity</t>
  </si>
  <si>
    <t>CRL US Equity</t>
  </si>
  <si>
    <t>EGAN US Equity</t>
  </si>
  <si>
    <t>CSSE US Equity</t>
  </si>
  <si>
    <t>TSA US Equity</t>
  </si>
  <si>
    <t>SPB US Equity</t>
  </si>
  <si>
    <t>SKO US Equity</t>
  </si>
  <si>
    <t>9123456D US Equity</t>
  </si>
  <si>
    <t>236619Q US Equity</t>
  </si>
  <si>
    <t>1740293D US Equity</t>
  </si>
  <si>
    <t>BAC US Equity</t>
  </si>
  <si>
    <t>WINMQ US Equity</t>
  </si>
  <si>
    <t>9980328D US Equity</t>
  </si>
  <si>
    <t>HU US Equity</t>
  </si>
  <si>
    <t>DHI US Equity</t>
  </si>
  <si>
    <t>4513539Q US Equity</t>
  </si>
  <si>
    <t>Deal 2261</t>
  </si>
  <si>
    <t>Deal 2262</t>
  </si>
  <si>
    <t>Deal 2263</t>
  </si>
  <si>
    <t>Deal 2264</t>
  </si>
  <si>
    <t>Deal 2265</t>
  </si>
  <si>
    <t>Deal 2266</t>
  </si>
  <si>
    <t>Deal 2267</t>
  </si>
  <si>
    <t>Deal 2268</t>
  </si>
  <si>
    <t>Deal 2269</t>
  </si>
  <si>
    <t>Deal 2270</t>
  </si>
  <si>
    <t>Deal 2271</t>
  </si>
  <si>
    <t>Deal 2272</t>
  </si>
  <si>
    <t>Deal 2273</t>
  </si>
  <si>
    <t>Deal 2274</t>
  </si>
  <si>
    <t>Deal 2275</t>
  </si>
  <si>
    <t>Deal 2276</t>
  </si>
  <si>
    <t>Deal 2277</t>
  </si>
  <si>
    <t>Deal 2278</t>
  </si>
  <si>
    <t>Deal 2279</t>
  </si>
  <si>
    <t>Deal 2280</t>
  </si>
  <si>
    <t>NKE US Equity</t>
  </si>
  <si>
    <t>APO US Equity</t>
  </si>
  <si>
    <t>CHCO US Equity</t>
  </si>
  <si>
    <t>HRC US Equity</t>
  </si>
  <si>
    <t>GKNT US Equity</t>
  </si>
  <si>
    <t>LGTO US Equity</t>
  </si>
  <si>
    <t>CG US Equity</t>
  </si>
  <si>
    <t>1709056D US Equity</t>
  </si>
  <si>
    <t>ACDC US Equity</t>
  </si>
  <si>
    <t>MRK US Equity</t>
  </si>
  <si>
    <t>SANM US Equity</t>
  </si>
  <si>
    <t>MKSI US Equity</t>
  </si>
  <si>
    <t>540513Q US Equity</t>
  </si>
  <si>
    <t>SONE US Equity</t>
  </si>
  <si>
    <t>CBCGQ US Equity</t>
  </si>
  <si>
    <t>Deal 2281</t>
  </si>
  <si>
    <t>Deal 2282</t>
  </si>
  <si>
    <t>Deal 2283</t>
  </si>
  <si>
    <t>Deal 2284</t>
  </si>
  <si>
    <t>Deal 2285</t>
  </si>
  <si>
    <t>Deal 2286</t>
  </si>
  <si>
    <t>Deal 2287</t>
  </si>
  <si>
    <t>Deal 2288</t>
  </si>
  <si>
    <t>Deal 2289</t>
  </si>
  <si>
    <t>Deal 2290</t>
  </si>
  <si>
    <t>Deal 2291</t>
  </si>
  <si>
    <t>Deal 2292</t>
  </si>
  <si>
    <t>Deal 2293</t>
  </si>
  <si>
    <t>Deal 2294</t>
  </si>
  <si>
    <t>Deal 2295</t>
  </si>
  <si>
    <t>Deal 2296</t>
  </si>
  <si>
    <t>Deal 2297</t>
  </si>
  <si>
    <t>Deal 2298</t>
  </si>
  <si>
    <t>Deal 2299</t>
  </si>
  <si>
    <t>Deal 2300</t>
  </si>
  <si>
    <t>AA US Equity</t>
  </si>
  <si>
    <t>BCIC US Equity</t>
  </si>
  <si>
    <t>ENRNQ US Equity</t>
  </si>
  <si>
    <t>PFE US Equity</t>
  </si>
  <si>
    <t>CNX US Equity</t>
  </si>
  <si>
    <t>9876567D US Equity</t>
  </si>
  <si>
    <t>DCO US Equity</t>
  </si>
  <si>
    <t>PLRE US Equity</t>
  </si>
  <si>
    <t>FNVG US Equity</t>
  </si>
  <si>
    <t>OAK US Equity</t>
  </si>
  <si>
    <t>AGN US Equity</t>
  </si>
  <si>
    <t>LII US Equity</t>
  </si>
  <si>
    <t>TSFG US Equity</t>
  </si>
  <si>
    <t>TPP US Equity</t>
  </si>
  <si>
    <t>SOGCQ US Equity</t>
  </si>
  <si>
    <t>NVEE US Equity</t>
  </si>
  <si>
    <t>MDT US Equity</t>
  </si>
  <si>
    <t>Deal 2301</t>
  </si>
  <si>
    <t>Deal 2302</t>
  </si>
  <si>
    <t>Deal 2303</t>
  </si>
  <si>
    <t>Deal 2304</t>
  </si>
  <si>
    <t>Deal 2305</t>
  </si>
  <si>
    <t>Deal 2306</t>
  </si>
  <si>
    <t>Deal 2307</t>
  </si>
  <si>
    <t>Deal 2308</t>
  </si>
  <si>
    <t>Deal 2309</t>
  </si>
  <si>
    <t>Deal 2310</t>
  </si>
  <si>
    <t>Deal 2311</t>
  </si>
  <si>
    <t>Deal 2312</t>
  </si>
  <si>
    <t>Deal 2313</t>
  </si>
  <si>
    <t>Deal 2314</t>
  </si>
  <si>
    <t>Deal 2315</t>
  </si>
  <si>
    <t>Deal 2316</t>
  </si>
  <si>
    <t>Deal 2317</t>
  </si>
  <si>
    <t>Deal 2318</t>
  </si>
  <si>
    <t>Deal 2319</t>
  </si>
  <si>
    <t>Deal 2320</t>
  </si>
  <si>
    <t>CMTY US Equity</t>
  </si>
  <si>
    <t>RRC US Equity</t>
  </si>
  <si>
    <t>VFC US Equity</t>
  </si>
  <si>
    <t>SITEQ US Equity</t>
  </si>
  <si>
    <t>MCHP US Equity</t>
  </si>
  <si>
    <t>2502261D US Equity</t>
  </si>
  <si>
    <t>AFG US Equity</t>
  </si>
  <si>
    <t>DFODQ US Equity</t>
  </si>
  <si>
    <t>CBU US Equity</t>
  </si>
  <si>
    <t>1849855D US Equity</t>
  </si>
  <si>
    <t>EXE US Equity</t>
  </si>
  <si>
    <t>FBNC US Equity</t>
  </si>
  <si>
    <t>Deal 2321</t>
  </si>
  <si>
    <t>Deal 2322</t>
  </si>
  <si>
    <t>Deal 2323</t>
  </si>
  <si>
    <t>Deal 2324</t>
  </si>
  <si>
    <t>Deal 2325</t>
  </si>
  <si>
    <t>Deal 2326</t>
  </si>
  <si>
    <t>Deal 2327</t>
  </si>
  <si>
    <t>Deal 2328</t>
  </si>
  <si>
    <t>Deal 2329</t>
  </si>
  <si>
    <t>Deal 2330</t>
  </si>
  <si>
    <t>Deal 2331</t>
  </si>
  <si>
    <t>Deal 2332</t>
  </si>
  <si>
    <t>Deal 2333</t>
  </si>
  <si>
    <t>Deal 2334</t>
  </si>
  <si>
    <t>Deal 2335</t>
  </si>
  <si>
    <t>Deal 2336</t>
  </si>
  <si>
    <t>Deal 2337</t>
  </si>
  <si>
    <t>Deal 2338</t>
  </si>
  <si>
    <t>Deal 2339</t>
  </si>
  <si>
    <t>Deal 2340</t>
  </si>
  <si>
    <t>SWK US Equity</t>
  </si>
  <si>
    <t>LZB US Equity</t>
  </si>
  <si>
    <t>SBSI US Equity</t>
  </si>
  <si>
    <t>EXTR US Equity</t>
  </si>
  <si>
    <t>SYK US Equity</t>
  </si>
  <si>
    <t>CPPRQ US Equity</t>
  </si>
  <si>
    <t>TXT US Equity</t>
  </si>
  <si>
    <t>MYPT US Equity</t>
  </si>
  <si>
    <t>FULT US Equity</t>
  </si>
  <si>
    <t>RRA US Equity</t>
  </si>
  <si>
    <t>K US Equity</t>
  </si>
  <si>
    <t>IEP US Equity</t>
  </si>
  <si>
    <t>2072499D US Equity</t>
  </si>
  <si>
    <t>1288652D US Equity</t>
  </si>
  <si>
    <t>LNWO US Equity</t>
  </si>
  <si>
    <t>KEGX US Equity</t>
  </si>
  <si>
    <t>AOS US Equity</t>
  </si>
  <si>
    <t>CVI US Equity</t>
  </si>
  <si>
    <t>Deal 2341</t>
  </si>
  <si>
    <t>Deal 2342</t>
  </si>
  <si>
    <t>Deal 2343</t>
  </si>
  <si>
    <t>Deal 2344</t>
  </si>
  <si>
    <t>Deal 2345</t>
  </si>
  <si>
    <t>Deal 2346</t>
  </si>
  <si>
    <t>Deal 2347</t>
  </si>
  <si>
    <t>Deal 2348</t>
  </si>
  <si>
    <t>Deal 2349</t>
  </si>
  <si>
    <t>Deal 2350</t>
  </si>
  <si>
    <t>Deal 2351</t>
  </si>
  <si>
    <t>Deal 2352</t>
  </si>
  <si>
    <t>Deal 2353</t>
  </si>
  <si>
    <t>Deal 2354</t>
  </si>
  <si>
    <t>Deal 2355</t>
  </si>
  <si>
    <t>Deal 2356</t>
  </si>
  <si>
    <t>Deal 2357</t>
  </si>
  <si>
    <t>Deal 2358</t>
  </si>
  <si>
    <t>Deal 2359</t>
  </si>
  <si>
    <t>Deal 2360</t>
  </si>
  <si>
    <t>TCBK US Equity</t>
  </si>
  <si>
    <t>PMCS US Equity</t>
  </si>
  <si>
    <t>ET US Equity</t>
  </si>
  <si>
    <t>ADP US Equity</t>
  </si>
  <si>
    <t>TER US Equity</t>
  </si>
  <si>
    <t>TOWN US Equity</t>
  </si>
  <si>
    <t>AGCO US Equity</t>
  </si>
  <si>
    <t>FORM US Equity</t>
  </si>
  <si>
    <t>GENZ US Equity</t>
  </si>
  <si>
    <t>VTR US Equity</t>
  </si>
  <si>
    <t>FNIS US Equity</t>
  </si>
  <si>
    <t>8258290Q US Equity</t>
  </si>
  <si>
    <t>2258717D US Equity</t>
  </si>
  <si>
    <t>RRD US Equity</t>
  </si>
  <si>
    <t>Deal 2361</t>
  </si>
  <si>
    <t>Deal 2362</t>
  </si>
  <si>
    <t>Deal 2363</t>
  </si>
  <si>
    <t>Deal 2364</t>
  </si>
  <si>
    <t>Deal 2365</t>
  </si>
  <si>
    <t>Deal 2366</t>
  </si>
  <si>
    <t>Deal 2367</t>
  </si>
  <si>
    <t>Deal 2368</t>
  </si>
  <si>
    <t>Deal 2369</t>
  </si>
  <si>
    <t>Deal 2370</t>
  </si>
  <si>
    <t>Deal 2371</t>
  </si>
  <si>
    <t>Deal 2372</t>
  </si>
  <si>
    <t>Deal 2373</t>
  </si>
  <si>
    <t>Deal 2374</t>
  </si>
  <si>
    <t>Deal 2375</t>
  </si>
  <si>
    <t>Deal 2376</t>
  </si>
  <si>
    <t>Deal 2377</t>
  </si>
  <si>
    <t>Deal 2378</t>
  </si>
  <si>
    <t>Deal 2379</t>
  </si>
  <si>
    <t>Deal 2380</t>
  </si>
  <si>
    <t>ICII US Equity</t>
  </si>
  <si>
    <t>GDT US Equity</t>
  </si>
  <si>
    <t>SNPS US Equity</t>
  </si>
  <si>
    <t>STLD US Equity</t>
  </si>
  <si>
    <t>1996074D US Equity</t>
  </si>
  <si>
    <t>3075558Q US Equity</t>
  </si>
  <si>
    <t>GNK US Equity</t>
  </si>
  <si>
    <t>HAFC US Equity</t>
  </si>
  <si>
    <t>PPC US Equity</t>
  </si>
  <si>
    <t>PEBO US Equity</t>
  </si>
  <si>
    <t>HON US Equity</t>
  </si>
  <si>
    <t>PRSU US Equity</t>
  </si>
  <si>
    <t>FITB US Equity</t>
  </si>
  <si>
    <t>XRX US Equity</t>
  </si>
  <si>
    <t>BMC US Equity</t>
  </si>
  <si>
    <t>Deal 2381</t>
  </si>
  <si>
    <t>Deal 2382</t>
  </si>
  <si>
    <t>Deal 2383</t>
  </si>
  <si>
    <t>Deal 2384</t>
  </si>
  <si>
    <t>Deal 2385</t>
  </si>
  <si>
    <t>Deal 2386</t>
  </si>
  <si>
    <t>Deal 2387</t>
  </si>
  <si>
    <t>Deal 2388</t>
  </si>
  <si>
    <t>Deal 2389</t>
  </si>
  <si>
    <t>Deal 2390</t>
  </si>
  <si>
    <t>Deal 2391</t>
  </si>
  <si>
    <t>Deal 2392</t>
  </si>
  <si>
    <t>Deal 2393</t>
  </si>
  <si>
    <t>Deal 2394</t>
  </si>
  <si>
    <t>Deal 2395</t>
  </si>
  <si>
    <t>Deal 2396</t>
  </si>
  <si>
    <t>Deal 2397</t>
  </si>
  <si>
    <t>Deal 2398</t>
  </si>
  <si>
    <t>Deal 2399</t>
  </si>
  <si>
    <t>Deal 2400</t>
  </si>
  <si>
    <t>FRME US Equity</t>
  </si>
  <si>
    <t>UPBD US Equity</t>
  </si>
  <si>
    <t>PBKS US Equity</t>
  </si>
  <si>
    <t>FSH US Equity</t>
  </si>
  <si>
    <t>ANSS US Equity</t>
  </si>
  <si>
    <t>ITW US Equity</t>
  </si>
  <si>
    <t>CDNS US Equity</t>
  </si>
  <si>
    <t>1023761D US Equity</t>
  </si>
  <si>
    <t>0941825D US Equity</t>
  </si>
  <si>
    <t>GLK US Equity</t>
  </si>
  <si>
    <t>MCDTA US Equity</t>
  </si>
  <si>
    <t>2313711D US Equity</t>
  </si>
  <si>
    <t>CRI US Equity</t>
  </si>
  <si>
    <t>HAL US Equity</t>
  </si>
  <si>
    <t>ACH US Equity</t>
  </si>
  <si>
    <t>COLB US Equity</t>
  </si>
  <si>
    <t>AME US Equity</t>
  </si>
  <si>
    <t>9993232D US Equity</t>
  </si>
  <si>
    <t>0687288D US Equity</t>
  </si>
  <si>
    <t>Deal 2401</t>
  </si>
  <si>
    <t>Deal 2402</t>
  </si>
  <si>
    <t>Deal 2403</t>
  </si>
  <si>
    <t>Deal 2404</t>
  </si>
  <si>
    <t>Deal 2405</t>
  </si>
  <si>
    <t>Deal 2406</t>
  </si>
  <si>
    <t>Deal 2407</t>
  </si>
  <si>
    <t>Deal 2408</t>
  </si>
  <si>
    <t>Deal 2409</t>
  </si>
  <si>
    <t>Deal 2410</t>
  </si>
  <si>
    <t>Deal 2411</t>
  </si>
  <si>
    <t>Deal 2412</t>
  </si>
  <si>
    <t>Deal 2413</t>
  </si>
  <si>
    <t>Deal 2414</t>
  </si>
  <si>
    <t>Deal 2415</t>
  </si>
  <si>
    <t>Deal 2416</t>
  </si>
  <si>
    <t>Deal 2417</t>
  </si>
  <si>
    <t>Deal 2418</t>
  </si>
  <si>
    <t>Deal 2419</t>
  </si>
  <si>
    <t>Deal 2420</t>
  </si>
  <si>
    <t>BHE US Equity</t>
  </si>
  <si>
    <t>BAX US Equity</t>
  </si>
  <si>
    <t>1567696D US Equity</t>
  </si>
  <si>
    <t>ASB US Equity</t>
  </si>
  <si>
    <t>3346Q US Equity</t>
  </si>
  <si>
    <t>DLTR US Equity</t>
  </si>
  <si>
    <t>GNLN US Equity</t>
  </si>
  <si>
    <t>1537336D US Equity</t>
  </si>
  <si>
    <t>PACW US Equity</t>
  </si>
  <si>
    <t>SCUR US Equity</t>
  </si>
  <si>
    <t>TWC US Equity</t>
  </si>
  <si>
    <t>TDW US Equity</t>
  </si>
  <si>
    <t>FCHDQ US Equity</t>
  </si>
  <si>
    <t>BLKB US Equity</t>
  </si>
  <si>
    <t>2217881D US Equity</t>
  </si>
  <si>
    <t>1847569D US Equity</t>
  </si>
  <si>
    <t>3017264Q US Equity</t>
  </si>
  <si>
    <t>UBSI US Equity</t>
  </si>
  <si>
    <t>Deal 2421</t>
  </si>
  <si>
    <t>Deal 2422</t>
  </si>
  <si>
    <t>Deal 2423</t>
  </si>
  <si>
    <t>Deal 2424</t>
  </si>
  <si>
    <t>Deal 2425</t>
  </si>
  <si>
    <t>Deal 2426</t>
  </si>
  <si>
    <t>Deal 2427</t>
  </si>
  <si>
    <t>Deal 2428</t>
  </si>
  <si>
    <t>Deal 2429</t>
  </si>
  <si>
    <t>Deal 2430</t>
  </si>
  <si>
    <t>Deal 2431</t>
  </si>
  <si>
    <t>Deal 2432</t>
  </si>
  <si>
    <t>Deal 2433</t>
  </si>
  <si>
    <t>Deal 2434</t>
  </si>
  <si>
    <t>Deal 2435</t>
  </si>
  <si>
    <t>Deal 2436</t>
  </si>
  <si>
    <t>Deal 2437</t>
  </si>
  <si>
    <t>Deal 2438</t>
  </si>
  <si>
    <t>Deal 2439</t>
  </si>
  <si>
    <t>Deal 2440</t>
  </si>
  <si>
    <t>BGGSQ US Equity</t>
  </si>
  <si>
    <t>CVG US Equity</t>
  </si>
  <si>
    <t>DIS US Equity</t>
  </si>
  <si>
    <t>FLG US Equity</t>
  </si>
  <si>
    <t>BHC CN Equity</t>
  </si>
  <si>
    <t>KTOS US Equity</t>
  </si>
  <si>
    <t>SYBT US Equity</t>
  </si>
  <si>
    <t>PFS US Equity</t>
  </si>
  <si>
    <t>ZLC US Equity</t>
  </si>
  <si>
    <t>APC US Equity</t>
  </si>
  <si>
    <t>KG US Equity</t>
  </si>
  <si>
    <t>GLW US Equity</t>
  </si>
  <si>
    <t>TRA US Equity</t>
  </si>
  <si>
    <t>CLM US Equity</t>
  </si>
  <si>
    <t>CAR US Equity</t>
  </si>
  <si>
    <t>DIOD US Equity</t>
  </si>
  <si>
    <t>3024Q US Equity</t>
  </si>
  <si>
    <t>Deal 2441</t>
  </si>
  <si>
    <t>Deal 2442</t>
  </si>
  <si>
    <t>Deal 2443</t>
  </si>
  <si>
    <t>Deal 2444</t>
  </si>
  <si>
    <t>Deal 2445</t>
  </si>
  <si>
    <t>Deal 2446</t>
  </si>
  <si>
    <t>Deal 2447</t>
  </si>
  <si>
    <t>Deal 2448</t>
  </si>
  <si>
    <t>Deal 2449</t>
  </si>
  <si>
    <t>Deal 2450</t>
  </si>
  <si>
    <t>Deal 2451</t>
  </si>
  <si>
    <t>Deal 2452</t>
  </si>
  <si>
    <t>Deal 2453</t>
  </si>
  <si>
    <t>Deal 2454</t>
  </si>
  <si>
    <t>Deal 2455</t>
  </si>
  <si>
    <t>Deal 2456</t>
  </si>
  <si>
    <t>Deal 2457</t>
  </si>
  <si>
    <t>Deal 2458</t>
  </si>
  <si>
    <t>Deal 2459</t>
  </si>
  <si>
    <t>Deal 2460</t>
  </si>
  <si>
    <t>390297Q US Equity</t>
  </si>
  <si>
    <t>ANAT US Equity</t>
  </si>
  <si>
    <t>STJ US Equity</t>
  </si>
  <si>
    <t>HTRN US Equity</t>
  </si>
  <si>
    <t>HCBK US Equity</t>
  </si>
  <si>
    <t>MAFB US Equity</t>
  </si>
  <si>
    <t>KMB US Equity</t>
  </si>
  <si>
    <t>JDAS US Equity</t>
  </si>
  <si>
    <t>MEDQ US Equity</t>
  </si>
  <si>
    <t>XPO US Equity</t>
  </si>
  <si>
    <t>PGR US Equity</t>
  </si>
  <si>
    <t>ATNY US Equity</t>
  </si>
  <si>
    <t>HOPE US Equity</t>
  </si>
  <si>
    <t>SRGAQ US Equity</t>
  </si>
  <si>
    <t>ECL US Equity</t>
  </si>
  <si>
    <t>Deal 2461</t>
  </si>
  <si>
    <t>Deal 2462</t>
  </si>
  <si>
    <t>Deal 2463</t>
  </si>
  <si>
    <t>Deal 2464</t>
  </si>
  <si>
    <t>Deal 2465</t>
  </si>
  <si>
    <t>Deal 2466</t>
  </si>
  <si>
    <t>Deal 2467</t>
  </si>
  <si>
    <t>Deal 2468</t>
  </si>
  <si>
    <t>Deal 2469</t>
  </si>
  <si>
    <t>Deal 2470</t>
  </si>
  <si>
    <t>Deal 2471</t>
  </si>
  <si>
    <t>Deal 2472</t>
  </si>
  <si>
    <t>Deal 2473</t>
  </si>
  <si>
    <t>Deal 2474</t>
  </si>
  <si>
    <t>Deal 2475</t>
  </si>
  <si>
    <t>Deal 2476</t>
  </si>
  <si>
    <t>Deal 2477</t>
  </si>
  <si>
    <t>Deal 2478</t>
  </si>
  <si>
    <t>Deal 2479</t>
  </si>
  <si>
    <t>Deal 2480</t>
  </si>
  <si>
    <t>MO US Equity</t>
  </si>
  <si>
    <t>FFWM US Equity</t>
  </si>
  <si>
    <t>CMLS US Equity</t>
  </si>
  <si>
    <t>GHC US Equity</t>
  </si>
  <si>
    <t>496112Q US Equity</t>
  </si>
  <si>
    <t>0964591D US Equity</t>
  </si>
  <si>
    <t>1642488D US Equity</t>
  </si>
  <si>
    <t>HFWA US Equity</t>
  </si>
  <si>
    <t>RFH US Equity</t>
  </si>
  <si>
    <t>2993Q US Equity</t>
  </si>
  <si>
    <t>EWBC US Equity</t>
  </si>
  <si>
    <t>ASNAQ US Equity</t>
  </si>
  <si>
    <t>SXC US Equity</t>
  </si>
  <si>
    <t>Deal 2481</t>
  </si>
  <si>
    <t>Deal 2482</t>
  </si>
  <si>
    <t>Deal 2483</t>
  </si>
  <si>
    <t>Deal 2484</t>
  </si>
  <si>
    <t>Deal 2485</t>
  </si>
  <si>
    <t>Deal 2486</t>
  </si>
  <si>
    <t>Deal 2487</t>
  </si>
  <si>
    <t>Deal 2488</t>
  </si>
  <si>
    <t>Deal 2489</t>
  </si>
  <si>
    <t>Deal 2490</t>
  </si>
  <si>
    <t>Deal 2491</t>
  </si>
  <si>
    <t>Deal 2492</t>
  </si>
  <si>
    <t>Deal 2493</t>
  </si>
  <si>
    <t>Deal 2494</t>
  </si>
  <si>
    <t>Deal 2495</t>
  </si>
  <si>
    <t>Deal 2496</t>
  </si>
  <si>
    <t>Deal 2497</t>
  </si>
  <si>
    <t>Deal 2498</t>
  </si>
  <si>
    <t>Deal 2499</t>
  </si>
  <si>
    <t>Deal 2500</t>
  </si>
  <si>
    <t>AIV US Equity</t>
  </si>
  <si>
    <t>FSCO US Equity</t>
  </si>
  <si>
    <t>2319518D US Equity</t>
  </si>
  <si>
    <t>MCO US Equity</t>
  </si>
  <si>
    <t>1742858D US Equity</t>
  </si>
  <si>
    <t>STEL US Equity</t>
  </si>
  <si>
    <t>NEM US Equity</t>
  </si>
  <si>
    <t>9749933D US Equity</t>
  </si>
  <si>
    <t>ESGR US Equity</t>
  </si>
  <si>
    <t>HPE US Equity</t>
  </si>
  <si>
    <t>2269312Q US Equity</t>
  </si>
  <si>
    <t>AXNT US Equity</t>
  </si>
  <si>
    <t>Deal 2501</t>
  </si>
  <si>
    <t>Deal 2502</t>
  </si>
  <si>
    <t>Deal 2503</t>
  </si>
  <si>
    <t>Deal 2504</t>
  </si>
  <si>
    <t>Deal 2505</t>
  </si>
  <si>
    <t>Deal 2506</t>
  </si>
  <si>
    <t>Deal 2507</t>
  </si>
  <si>
    <t>Deal 2508</t>
  </si>
  <si>
    <t>Deal 2509</t>
  </si>
  <si>
    <t>Deal 2510</t>
  </si>
  <si>
    <t>Deal 2511</t>
  </si>
  <si>
    <t>Deal 2512</t>
  </si>
  <si>
    <t>Deal 2513</t>
  </si>
  <si>
    <t>Deal 2514</t>
  </si>
  <si>
    <t>Deal 2515</t>
  </si>
  <si>
    <t>Deal 2516</t>
  </si>
  <si>
    <t>Deal 2517</t>
  </si>
  <si>
    <t>Deal 2518</t>
  </si>
  <si>
    <t>Deal 2519</t>
  </si>
  <si>
    <t>Deal 2520</t>
  </si>
  <si>
    <t>2213185D US Equity</t>
  </si>
  <si>
    <t>MTSI US Equity</t>
  </si>
  <si>
    <t>FPI US Equity</t>
  </si>
  <si>
    <t>TTEC US Equity</t>
  </si>
  <si>
    <t>UCB US Equity</t>
  </si>
  <si>
    <t>RNST US Equity</t>
  </si>
  <si>
    <t>MOLX US Equity</t>
  </si>
  <si>
    <t>244630Q US Equity</t>
  </si>
  <si>
    <t>ELX US Equity</t>
  </si>
  <si>
    <t>CHZ US Equity</t>
  </si>
  <si>
    <t>SKS US Equity</t>
  </si>
  <si>
    <t>1986522D US Equity</t>
  </si>
  <si>
    <t>STFC US Equity</t>
  </si>
  <si>
    <t>NHC US Equity</t>
  </si>
  <si>
    <t>605018Q US Equity</t>
  </si>
  <si>
    <t>CNOB US Equity</t>
  </si>
  <si>
    <t>PRA US Equity</t>
  </si>
  <si>
    <t>Deal 2521</t>
  </si>
  <si>
    <t>Deal 2522</t>
  </si>
  <si>
    <t>Deal 2523</t>
  </si>
  <si>
    <t>Deal 2524</t>
  </si>
  <si>
    <t>Deal 2525</t>
  </si>
  <si>
    <t>Deal 2526</t>
  </si>
  <si>
    <t>Deal 2527</t>
  </si>
  <si>
    <t>Deal 2528</t>
  </si>
  <si>
    <t>Deal 2529</t>
  </si>
  <si>
    <t>Deal 2530</t>
  </si>
  <si>
    <t>Deal 2531</t>
  </si>
  <si>
    <t>Deal 2532</t>
  </si>
  <si>
    <t>Deal 2533</t>
  </si>
  <si>
    <t>Deal 2534</t>
  </si>
  <si>
    <t>Deal 2535</t>
  </si>
  <si>
    <t>Deal 2536</t>
  </si>
  <si>
    <t>Deal 2537</t>
  </si>
  <si>
    <t>Deal 2538</t>
  </si>
  <si>
    <t>Deal 2539</t>
  </si>
  <si>
    <t>Deal 2540</t>
  </si>
  <si>
    <t>CTITQ US Equity</t>
  </si>
  <si>
    <t>VIAS US Equity</t>
  </si>
  <si>
    <t>LFGRQ US Equity</t>
  </si>
  <si>
    <t>NIC US Equity</t>
  </si>
  <si>
    <t>345605Q US Equity</t>
  </si>
  <si>
    <t>UVSP US Equity</t>
  </si>
  <si>
    <t>A US Equity</t>
  </si>
  <si>
    <t>KR US Equity</t>
  </si>
  <si>
    <t>TDY US Equity</t>
  </si>
  <si>
    <t>RIG US Equity</t>
  </si>
  <si>
    <t>SAH US Equity</t>
  </si>
  <si>
    <t>SF US Equity</t>
  </si>
  <si>
    <t>SOCNQ US Equity</t>
  </si>
  <si>
    <t>201998Q US Equity</t>
  </si>
  <si>
    <t>Deal 2541</t>
  </si>
  <si>
    <t>Deal 2542</t>
  </si>
  <si>
    <t>Deal 2543</t>
  </si>
  <si>
    <t>Deal 2544</t>
  </si>
  <si>
    <t>Deal 2545</t>
  </si>
  <si>
    <t>Deal 2546</t>
  </si>
  <si>
    <t>Deal 2547</t>
  </si>
  <si>
    <t>Deal 2548</t>
  </si>
  <si>
    <t>Deal 2549</t>
  </si>
  <si>
    <t>Deal 2550</t>
  </si>
  <si>
    <t>Deal 2551</t>
  </si>
  <si>
    <t>Deal 2552</t>
  </si>
  <si>
    <t>Deal 2553</t>
  </si>
  <si>
    <t>Deal 2554</t>
  </si>
  <si>
    <t>Deal 2555</t>
  </si>
  <si>
    <t>Deal 2556</t>
  </si>
  <si>
    <t>Deal 2557</t>
  </si>
  <si>
    <t>Deal 2558</t>
  </si>
  <si>
    <t>Deal 2559</t>
  </si>
  <si>
    <t>Deal 2560</t>
  </si>
  <si>
    <t>RCNI US Equity</t>
  </si>
  <si>
    <t>GD US Equity</t>
  </si>
  <si>
    <t>ORI US Equity</t>
  </si>
  <si>
    <t>PLCM US Equity</t>
  </si>
  <si>
    <t>TSLA US Equity</t>
  </si>
  <si>
    <t>WCG US Equity</t>
  </si>
  <si>
    <t>INAPQ US Equity</t>
  </si>
  <si>
    <t>ISLE US Equity</t>
  </si>
  <si>
    <t>VSH US Equity</t>
  </si>
  <si>
    <t>SLB US Equity</t>
  </si>
  <si>
    <t>RLR US Equity</t>
  </si>
  <si>
    <t>PRDO US Equity</t>
  </si>
  <si>
    <t>AVX US Equity</t>
  </si>
  <si>
    <t>BCR US Equity</t>
  </si>
  <si>
    <t>Deal 2561</t>
  </si>
  <si>
    <t>Deal 2562</t>
  </si>
  <si>
    <t>Deal 2563</t>
  </si>
  <si>
    <t>Deal 2564</t>
  </si>
  <si>
    <t>Deal 2565</t>
  </si>
  <si>
    <t>Deal 2566</t>
  </si>
  <si>
    <t>Deal 2567</t>
  </si>
  <si>
    <t>Deal 2568</t>
  </si>
  <si>
    <t>Deal 2569</t>
  </si>
  <si>
    <t>Deal 2570</t>
  </si>
  <si>
    <t>Deal 2571</t>
  </si>
  <si>
    <t>Deal 2572</t>
  </si>
  <si>
    <t>Deal 2573</t>
  </si>
  <si>
    <t>Deal 2574</t>
  </si>
  <si>
    <t>Deal 2575</t>
  </si>
  <si>
    <t>Deal 2576</t>
  </si>
  <si>
    <t>Deal 2577</t>
  </si>
  <si>
    <t>Deal 2578</t>
  </si>
  <si>
    <t>Deal 2579</t>
  </si>
  <si>
    <t>Deal 2580</t>
  </si>
  <si>
    <t>MDCC US Equity</t>
  </si>
  <si>
    <t>QTRN US Equity</t>
  </si>
  <si>
    <t>2983744Q US Equity</t>
  </si>
  <si>
    <t>JAH US Equity</t>
  </si>
  <si>
    <t>MHK US Equity</t>
  </si>
  <si>
    <t>HIB US Equity</t>
  </si>
  <si>
    <t>BRKL US Equity</t>
  </si>
  <si>
    <t>Deal 2581</t>
  </si>
  <si>
    <t>Deal 2582</t>
  </si>
  <si>
    <t>Deal 2583</t>
  </si>
  <si>
    <t>Deal 2584</t>
  </si>
  <si>
    <t>Deal 2585</t>
  </si>
  <si>
    <t>Deal 2586</t>
  </si>
  <si>
    <t>Deal 2587</t>
  </si>
  <si>
    <t>Deal 2588</t>
  </si>
  <si>
    <t>Deal 2589</t>
  </si>
  <si>
    <t>Deal 2590</t>
  </si>
  <si>
    <t>Deal 2591</t>
  </si>
  <si>
    <t>Deal 2592</t>
  </si>
  <si>
    <t>Deal 2593</t>
  </si>
  <si>
    <t>Deal 2594</t>
  </si>
  <si>
    <t>Deal 2595</t>
  </si>
  <si>
    <t>Deal 2596</t>
  </si>
  <si>
    <t>Deal 2597</t>
  </si>
  <si>
    <t>Deal 2598</t>
  </si>
  <si>
    <t>Deal 2599</t>
  </si>
  <si>
    <t>Deal 2600</t>
  </si>
  <si>
    <t>AMZN US Equity</t>
  </si>
  <si>
    <t>NBTB US Equity</t>
  </si>
  <si>
    <t>ANCX US Equity</t>
  </si>
  <si>
    <t>CSFL US Equity</t>
  </si>
  <si>
    <t>9876544D US Equity</t>
  </si>
  <si>
    <t>VSAT US Equity</t>
  </si>
  <si>
    <t>FLIR US Equity</t>
  </si>
  <si>
    <t>0772031D US Equity</t>
  </si>
  <si>
    <t>SSP US Equity</t>
  </si>
  <si>
    <t>TDS US Equity</t>
  </si>
  <si>
    <t>SNEX US Equity</t>
  </si>
  <si>
    <t>Deal 2601</t>
  </si>
  <si>
    <t>Deal 2602</t>
  </si>
  <si>
    <t>Deal 2603</t>
  </si>
  <si>
    <t>Deal 2604</t>
  </si>
  <si>
    <t>Deal 2605</t>
  </si>
  <si>
    <t>Deal 2606</t>
  </si>
  <si>
    <t>Deal 2607</t>
  </si>
  <si>
    <t>Deal 2608</t>
  </si>
  <si>
    <t>Deal 2609</t>
  </si>
  <si>
    <t>Deal 2610</t>
  </si>
  <si>
    <t>Deal 2611</t>
  </si>
  <si>
    <t>Deal 2612</t>
  </si>
  <si>
    <t>Deal 2613</t>
  </si>
  <si>
    <t>Deal 2614</t>
  </si>
  <si>
    <t>Deal 2615</t>
  </si>
  <si>
    <t>Deal 2616</t>
  </si>
  <si>
    <t>Deal 2617</t>
  </si>
  <si>
    <t>Deal 2618</t>
  </si>
  <si>
    <t>Deal 2619</t>
  </si>
  <si>
    <t>Deal 2620</t>
  </si>
  <si>
    <t>VYX US Equity</t>
  </si>
  <si>
    <t>SYY US Equity</t>
  </si>
  <si>
    <t>FOXA US Equity</t>
  </si>
  <si>
    <t>PG US Equity</t>
  </si>
  <si>
    <t>BANC US Equity</t>
  </si>
  <si>
    <t>UNIZ US Equity</t>
  </si>
  <si>
    <t>9998522D US Equity</t>
  </si>
  <si>
    <t>68335Q US Equity</t>
  </si>
  <si>
    <t>HAS US Equity</t>
  </si>
  <si>
    <t>2598Q US Equity</t>
  </si>
  <si>
    <t>ZRAN US Equity</t>
  </si>
  <si>
    <t>WBA US Equity</t>
  </si>
  <si>
    <t>MSSN US Equity</t>
  </si>
  <si>
    <t>Deal 2621</t>
  </si>
  <si>
    <t>Deal 2622</t>
  </si>
  <si>
    <t>Deal 2623</t>
  </si>
  <si>
    <t>Deal 2624</t>
  </si>
  <si>
    <t>Deal 2625</t>
  </si>
  <si>
    <t>Deal 2626</t>
  </si>
  <si>
    <t>Deal 2627</t>
  </si>
  <si>
    <t>Deal 2628</t>
  </si>
  <si>
    <t>Deal 2629</t>
  </si>
  <si>
    <t>Deal 2630</t>
  </si>
  <si>
    <t>Deal 2631</t>
  </si>
  <si>
    <t>Deal 2632</t>
  </si>
  <si>
    <t>Deal 2633</t>
  </si>
  <si>
    <t>Deal 2634</t>
  </si>
  <si>
    <t>Deal 2635</t>
  </si>
  <si>
    <t>Deal 2636</t>
  </si>
  <si>
    <t>Deal 2637</t>
  </si>
  <si>
    <t>Deal 2638</t>
  </si>
  <si>
    <t>Deal 2639</t>
  </si>
  <si>
    <t>Deal 2640</t>
  </si>
  <si>
    <t>EIG US Equity</t>
  </si>
  <si>
    <t>VZ US Equity</t>
  </si>
  <si>
    <t>DRYS US Equity</t>
  </si>
  <si>
    <t>ANGO US Equity</t>
  </si>
  <si>
    <t>KEA US Equity</t>
  </si>
  <si>
    <t>CKFR US Equity</t>
  </si>
  <si>
    <t>CPTH US Equity</t>
  </si>
  <si>
    <t>1339658D US Equity</t>
  </si>
  <si>
    <t>CPNLQ US Equity</t>
  </si>
  <si>
    <t>SVU US Equity</t>
  </si>
  <si>
    <t>1581410D US Equity</t>
  </si>
  <si>
    <t>EBAY US Equity</t>
  </si>
  <si>
    <t>OZK US Equity</t>
  </si>
  <si>
    <t>BPFH US Equity</t>
  </si>
  <si>
    <t>WLMR US Equity</t>
  </si>
  <si>
    <t>Deal 2641</t>
  </si>
  <si>
    <t>Deal 2642</t>
  </si>
  <si>
    <t>Deal 2643</t>
  </si>
  <si>
    <t>Deal 2644</t>
  </si>
  <si>
    <t>Deal 2645</t>
  </si>
  <si>
    <t>Deal 2646</t>
  </si>
  <si>
    <t>Deal 2647</t>
  </si>
  <si>
    <t>Deal 2648</t>
  </si>
  <si>
    <t>Deal 2649</t>
  </si>
  <si>
    <t>Deal 2650</t>
  </si>
  <si>
    <t>Deal 2651</t>
  </si>
  <si>
    <t>Deal 2652</t>
  </si>
  <si>
    <t>Deal 2653</t>
  </si>
  <si>
    <t>Deal 2654</t>
  </si>
  <si>
    <t>Deal 2655</t>
  </si>
  <si>
    <t>Deal 2656</t>
  </si>
  <si>
    <t>Deal 2657</t>
  </si>
  <si>
    <t>Deal 2658</t>
  </si>
  <si>
    <t>Deal 2659</t>
  </si>
  <si>
    <t>Deal 2660</t>
  </si>
  <si>
    <t>ONB US Equity</t>
  </si>
  <si>
    <t>FCF US Equity</t>
  </si>
  <si>
    <t>BRK/A US Equity</t>
  </si>
  <si>
    <t>1885807D US Equity</t>
  </si>
  <si>
    <t>DVERQ US Equity</t>
  </si>
  <si>
    <t>GMCR US Equity</t>
  </si>
  <si>
    <t>HWC US Equity</t>
  </si>
  <si>
    <t>KW US Equity</t>
  </si>
  <si>
    <t>TIPT US Equity</t>
  </si>
  <si>
    <t>ITXG US Equity</t>
  </si>
  <si>
    <t>1723125D US Equity</t>
  </si>
  <si>
    <t>EVRC US Equity</t>
  </si>
  <si>
    <t>LPX US Equity</t>
  </si>
  <si>
    <t>NSIT US Equity</t>
  </si>
  <si>
    <t>LEHMQ US Equity</t>
  </si>
  <si>
    <t>IPCS US Equity</t>
  </si>
  <si>
    <t>CAG US Equity</t>
  </si>
  <si>
    <t>1552309D US Equity</t>
  </si>
  <si>
    <t>Deal 2661</t>
  </si>
  <si>
    <t>Deal 2662</t>
  </si>
  <si>
    <t>Deal 2663</t>
  </si>
  <si>
    <t>Deal 2664</t>
  </si>
  <si>
    <t>Deal 2665</t>
  </si>
  <si>
    <t>Deal 2666</t>
  </si>
  <si>
    <t>Deal 2667</t>
  </si>
  <si>
    <t>Deal 2668</t>
  </si>
  <si>
    <t>Deal 2669</t>
  </si>
  <si>
    <t>Deal 2670</t>
  </si>
  <si>
    <t>Deal 2671</t>
  </si>
  <si>
    <t>Deal 2672</t>
  </si>
  <si>
    <t>Deal 2673</t>
  </si>
  <si>
    <t>Deal 2674</t>
  </si>
  <si>
    <t>Deal 2675</t>
  </si>
  <si>
    <t>Deal 2676</t>
  </si>
  <si>
    <t>Deal 2677</t>
  </si>
  <si>
    <t>Deal 2678</t>
  </si>
  <si>
    <t>Deal 2679</t>
  </si>
  <si>
    <t>Deal 2680</t>
  </si>
  <si>
    <t>FCNCA US Equity</t>
  </si>
  <si>
    <t>CCS US Equity</t>
  </si>
  <si>
    <t>EXCO US Equity</t>
  </si>
  <si>
    <t>HDC US Equity</t>
  </si>
  <si>
    <t>DVW US Equity</t>
  </si>
  <si>
    <t>SYKE US Equity</t>
  </si>
  <si>
    <t>GBCI US Equity</t>
  </si>
  <si>
    <t>BONTQ US Equity</t>
  </si>
  <si>
    <t>STBA US Equity</t>
  </si>
  <si>
    <t>TTN US Equity</t>
  </si>
  <si>
    <t>Deal 2681</t>
  </si>
  <si>
    <t>Deal 2682</t>
  </si>
  <si>
    <t>Deal 2683</t>
  </si>
  <si>
    <t>Deal 2684</t>
  </si>
  <si>
    <t>Deal 2685</t>
  </si>
  <si>
    <t>Deal 2686</t>
  </si>
  <si>
    <t>Deal 2687</t>
  </si>
  <si>
    <t>Deal 2688</t>
  </si>
  <si>
    <t>Deal 2689</t>
  </si>
  <si>
    <t>Deal 2690</t>
  </si>
  <si>
    <t>Deal 2691</t>
  </si>
  <si>
    <t>Deal 2692</t>
  </si>
  <si>
    <t>Deal 2693</t>
  </si>
  <si>
    <t>Deal 2694</t>
  </si>
  <si>
    <t>Deal 2695</t>
  </si>
  <si>
    <t>Deal 2696</t>
  </si>
  <si>
    <t>Deal 2697</t>
  </si>
  <si>
    <t>Deal 2698</t>
  </si>
  <si>
    <t>Deal 2699</t>
  </si>
  <si>
    <t>Deal 2700</t>
  </si>
  <si>
    <t>GFR US Equity</t>
  </si>
  <si>
    <t>SPXC US Equity</t>
  </si>
  <si>
    <t>QNTSQ US Equity</t>
  </si>
  <si>
    <t>BCSI US Equity</t>
  </si>
  <si>
    <t>OMX US Equity</t>
  </si>
  <si>
    <t>RDNT US Equity</t>
  </si>
  <si>
    <t>GPUI US Equity</t>
  </si>
  <si>
    <t>EGL US Equity</t>
  </si>
  <si>
    <t>CVBF US Equity</t>
  </si>
  <si>
    <t>OCFC US Equity</t>
  </si>
  <si>
    <t>CMVT US Equity</t>
  </si>
  <si>
    <t>1718309D US Equity</t>
  </si>
  <si>
    <t>PNFP US Equity</t>
  </si>
  <si>
    <t>ECPG US Equity</t>
  </si>
  <si>
    <t>Deal 2701</t>
  </si>
  <si>
    <t>Deal 2702</t>
  </si>
  <si>
    <t>Deal 2703</t>
  </si>
  <si>
    <t>Deal 2704</t>
  </si>
  <si>
    <t>Deal 2705</t>
  </si>
  <si>
    <t>Deal 2706</t>
  </si>
  <si>
    <t>Deal 2707</t>
  </si>
  <si>
    <t>Deal 2708</t>
  </si>
  <si>
    <t>Deal 2709</t>
  </si>
  <si>
    <t>Deal 2710</t>
  </si>
  <si>
    <t>Deal 2711</t>
  </si>
  <si>
    <t>Deal 2712</t>
  </si>
  <si>
    <t>Deal 2713</t>
  </si>
  <si>
    <t>Deal 2714</t>
  </si>
  <si>
    <t>Deal 2715</t>
  </si>
  <si>
    <t>Deal 2716</t>
  </si>
  <si>
    <t>Deal 2717</t>
  </si>
  <si>
    <t>Deal 2718</t>
  </si>
  <si>
    <t>Deal 2719</t>
  </si>
  <si>
    <t>Deal 2720</t>
  </si>
  <si>
    <t>YELLQ US Equity</t>
  </si>
  <si>
    <t>FLTWQ US Equity</t>
  </si>
  <si>
    <t>EXAR US Equity</t>
  </si>
  <si>
    <t>510639Q US Equity</t>
  </si>
  <si>
    <t>ORA US Equity</t>
  </si>
  <si>
    <t>SHLM US Equity</t>
  </si>
  <si>
    <t>1746513D US Equity</t>
  </si>
  <si>
    <t>PONE US Equity</t>
  </si>
  <si>
    <t>THG US Equity</t>
  </si>
  <si>
    <t>SFAM US Equity</t>
  </si>
  <si>
    <t>AXAS US Equity</t>
  </si>
  <si>
    <t>WSTL US Equity</t>
  </si>
  <si>
    <t>HTH US Equity</t>
  </si>
  <si>
    <t>FLWS US Equity</t>
  </si>
  <si>
    <t>CLRN US Equity</t>
  </si>
  <si>
    <t>Deal 2721</t>
  </si>
  <si>
    <t>Deal 2722</t>
  </si>
  <si>
    <t>Deal 2723</t>
  </si>
  <si>
    <t>Deal 2724</t>
  </si>
  <si>
    <t>Deal 2725</t>
  </si>
  <si>
    <t>Deal 2726</t>
  </si>
  <si>
    <t>Deal 2727</t>
  </si>
  <si>
    <t>Deal 2728</t>
  </si>
  <si>
    <t>Deal 2729</t>
  </si>
  <si>
    <t>Deal 2730</t>
  </si>
  <si>
    <t>Deal 2731</t>
  </si>
  <si>
    <t>Deal 2732</t>
  </si>
  <si>
    <t>Deal 2733</t>
  </si>
  <si>
    <t>Deal 2734</t>
  </si>
  <si>
    <t>Deal 2735</t>
  </si>
  <si>
    <t>Deal 2736</t>
  </si>
  <si>
    <t>Deal 2737</t>
  </si>
  <si>
    <t>Deal 2738</t>
  </si>
  <si>
    <t>Deal 2739</t>
  </si>
  <si>
    <t>Deal 2740</t>
  </si>
  <si>
    <t>FHB US Equity</t>
  </si>
  <si>
    <t>NOVL US Equity</t>
  </si>
  <si>
    <t>WFRD US Equity</t>
  </si>
  <si>
    <t>KLIC US Equity</t>
  </si>
  <si>
    <t>HCKT US Equity</t>
  </si>
  <si>
    <t>ANDX US Equity</t>
  </si>
  <si>
    <t>JLG US Equity</t>
  </si>
  <si>
    <t>9996201D US Equity</t>
  </si>
  <si>
    <t>ASFZ US Equity</t>
  </si>
  <si>
    <t>0758969D US Equity</t>
  </si>
  <si>
    <t>SRZ US Equity</t>
  </si>
  <si>
    <t>534689Q US Equity</t>
  </si>
  <si>
    <t>ADSK US Equity</t>
  </si>
  <si>
    <t>DMLP US Equity</t>
  </si>
  <si>
    <t>Deal 2741</t>
  </si>
  <si>
    <t>Deal 2742</t>
  </si>
  <si>
    <t>Deal 2743</t>
  </si>
  <si>
    <t>Deal 2744</t>
  </si>
  <si>
    <t>Deal 2745</t>
  </si>
  <si>
    <t>Deal 2746</t>
  </si>
  <si>
    <t>Deal 2747</t>
  </si>
  <si>
    <t>Deal 2748</t>
  </si>
  <si>
    <t>Deal 2749</t>
  </si>
  <si>
    <t>Deal 2750</t>
  </si>
  <si>
    <t>Deal 2751</t>
  </si>
  <si>
    <t>Deal 2752</t>
  </si>
  <si>
    <t>Deal 2753</t>
  </si>
  <si>
    <t>Deal 2754</t>
  </si>
  <si>
    <t>Deal 2755</t>
  </si>
  <si>
    <t>Deal 2756</t>
  </si>
  <si>
    <t>Deal 2757</t>
  </si>
  <si>
    <t>Deal 2758</t>
  </si>
  <si>
    <t>Deal 2759</t>
  </si>
  <si>
    <t>Deal 2760</t>
  </si>
  <si>
    <t>CYNO US Equity</t>
  </si>
  <si>
    <t>3546Q US Equity</t>
  </si>
  <si>
    <t>GON US Equity</t>
  </si>
  <si>
    <t>UFCS US Equity</t>
  </si>
  <si>
    <t>653707Q US Equity</t>
  </si>
  <si>
    <t>MIMOQ US Equity</t>
  </si>
  <si>
    <t>BBT US Equity</t>
  </si>
  <si>
    <t>TYG US Equity</t>
  </si>
  <si>
    <t>CAZA US Equity</t>
  </si>
  <si>
    <t>BAGL US Equity</t>
  </si>
  <si>
    <t>1477687D US Equity</t>
  </si>
  <si>
    <t>PARA US Equity</t>
  </si>
  <si>
    <t>KEY US Equity</t>
  </si>
  <si>
    <t>IDTI US Equity</t>
  </si>
  <si>
    <t>Deal 2761</t>
  </si>
  <si>
    <t>Deal 2762</t>
  </si>
  <si>
    <t>Deal 2763</t>
  </si>
  <si>
    <t>Deal 2764</t>
  </si>
  <si>
    <t>Deal 2765</t>
  </si>
  <si>
    <t>Deal 2766</t>
  </si>
  <si>
    <t>Deal 2767</t>
  </si>
  <si>
    <t>Deal 2768</t>
  </si>
  <si>
    <t>Deal 2769</t>
  </si>
  <si>
    <t>Deal 2770</t>
  </si>
  <si>
    <t>Deal 2771</t>
  </si>
  <si>
    <t>Deal 2772</t>
  </si>
  <si>
    <t>Deal 2773</t>
  </si>
  <si>
    <t>Deal 2774</t>
  </si>
  <si>
    <t>Deal 2775</t>
  </si>
  <si>
    <t>Deal 2776</t>
  </si>
  <si>
    <t>Deal 2777</t>
  </si>
  <si>
    <t>Deal 2778</t>
  </si>
  <si>
    <t>Deal 2779</t>
  </si>
  <si>
    <t>Deal 2780</t>
  </si>
  <si>
    <t>AN US Equity</t>
  </si>
  <si>
    <t>WAFD US Equity</t>
  </si>
  <si>
    <t>SNIC US Equity</t>
  </si>
  <si>
    <t>WDC US Equity</t>
  </si>
  <si>
    <t>GBBK US Equity</t>
  </si>
  <si>
    <t>2898Q US Equity</t>
  </si>
  <si>
    <t>QTWWQ US Equity</t>
  </si>
  <si>
    <t>4107485Q US Equity</t>
  </si>
  <si>
    <t>RHP US Equity</t>
  </si>
  <si>
    <t>TMO US Equity</t>
  </si>
  <si>
    <t>DFIB US Equity</t>
  </si>
  <si>
    <t>AHMH US Equity</t>
  </si>
  <si>
    <t>HTBK US Equity</t>
  </si>
  <si>
    <t>BATL US Equity</t>
  </si>
  <si>
    <t>Deal 2781</t>
  </si>
  <si>
    <t>Deal 2782</t>
  </si>
  <si>
    <t>Deal 2783</t>
  </si>
  <si>
    <t>Deal 2784</t>
  </si>
  <si>
    <t>Deal 2785</t>
  </si>
  <si>
    <t>Deal 2786</t>
  </si>
  <si>
    <t>Deal 2787</t>
  </si>
  <si>
    <t>Deal 2788</t>
  </si>
  <si>
    <t>Deal 2789</t>
  </si>
  <si>
    <t>Deal 2790</t>
  </si>
  <si>
    <t>Deal 2791</t>
  </si>
  <si>
    <t>Deal 2792</t>
  </si>
  <si>
    <t>Deal 2793</t>
  </si>
  <si>
    <t>Deal 2794</t>
  </si>
  <si>
    <t>Deal 2795</t>
  </si>
  <si>
    <t>Deal 2796</t>
  </si>
  <si>
    <t>Deal 2797</t>
  </si>
  <si>
    <t>Deal 2798</t>
  </si>
  <si>
    <t>Deal 2799</t>
  </si>
  <si>
    <t>Deal 2800</t>
  </si>
  <si>
    <t>COF US Equity</t>
  </si>
  <si>
    <t>FIBK US Equity</t>
  </si>
  <si>
    <t>EGBN US Equity</t>
  </si>
  <si>
    <t>FMER US Equity</t>
  </si>
  <si>
    <t>COWN US Equity</t>
  </si>
  <si>
    <t>OSIS US Equity</t>
  </si>
  <si>
    <t>BOBE US Equity</t>
  </si>
  <si>
    <t>MKL US Equity</t>
  </si>
  <si>
    <t>CNVR US Equity</t>
  </si>
  <si>
    <t>NCC US Equity</t>
  </si>
  <si>
    <t>DNA US Equity</t>
  </si>
  <si>
    <t>Deal 2801</t>
  </si>
  <si>
    <t>Deal 2802</t>
  </si>
  <si>
    <t>Deal 2803</t>
  </si>
  <si>
    <t>Deal 2804</t>
  </si>
  <si>
    <t>Deal 2805</t>
  </si>
  <si>
    <t>Deal 2806</t>
  </si>
  <si>
    <t>Deal 2807</t>
  </si>
  <si>
    <t>Deal 2808</t>
  </si>
  <si>
    <t>Deal 2809</t>
  </si>
  <si>
    <t>Deal 2810</t>
  </si>
  <si>
    <t>Deal 2811</t>
  </si>
  <si>
    <t>Deal 2812</t>
  </si>
  <si>
    <t>Deal 2813</t>
  </si>
  <si>
    <t>Deal 2814</t>
  </si>
  <si>
    <t>Deal 2815</t>
  </si>
  <si>
    <t>Deal 2816</t>
  </si>
  <si>
    <t>Deal 2817</t>
  </si>
  <si>
    <t>Deal 2818</t>
  </si>
  <si>
    <t>Deal 2819</t>
  </si>
  <si>
    <t>Deal 2820</t>
  </si>
  <si>
    <t>XRIT US Equity</t>
  </si>
  <si>
    <t>NUE US Equity</t>
  </si>
  <si>
    <t>1850242D US Equity</t>
  </si>
  <si>
    <t>UBSN SW Equity</t>
  </si>
  <si>
    <t>ELGXQ US Equity</t>
  </si>
  <si>
    <t>PFLT US Equity</t>
  </si>
  <si>
    <t>62553Q US Equity</t>
  </si>
  <si>
    <t>2761917Q US Equity</t>
  </si>
  <si>
    <t>OMEF US Equity</t>
  </si>
  <si>
    <t>BMY US Equity</t>
  </si>
  <si>
    <t>DE US Equity</t>
  </si>
  <si>
    <t>MYL US Equity</t>
  </si>
  <si>
    <t>SLRC US Equity</t>
  </si>
  <si>
    <t>CAH US Equity</t>
  </si>
  <si>
    <t>Deal 2821</t>
  </si>
  <si>
    <t>Deal 2822</t>
  </si>
  <si>
    <t>Deal 2823</t>
  </si>
  <si>
    <t>Deal 2824</t>
  </si>
  <si>
    <t>Deal 2825</t>
  </si>
  <si>
    <t>Deal 2826</t>
  </si>
  <si>
    <t>Deal 2827</t>
  </si>
  <si>
    <t>Deal 2828</t>
  </si>
  <si>
    <t>Deal 2829</t>
  </si>
  <si>
    <t>Deal 2830</t>
  </si>
  <si>
    <t>Deal 2831</t>
  </si>
  <si>
    <t>Deal 2832</t>
  </si>
  <si>
    <t>Deal 2833</t>
  </si>
  <si>
    <t>Deal 2834</t>
  </si>
  <si>
    <t>Deal 2835</t>
  </si>
  <si>
    <t>Deal 2836</t>
  </si>
  <si>
    <t>Deal 2837</t>
  </si>
  <si>
    <t>Deal 2838</t>
  </si>
  <si>
    <t>Deal 2839</t>
  </si>
  <si>
    <t>Deal 2840</t>
  </si>
  <si>
    <t>WLY US Equity</t>
  </si>
  <si>
    <t>TCF US Equity</t>
  </si>
  <si>
    <t>UCBHQ US Equity</t>
  </si>
  <si>
    <t>CARO US Equity</t>
  </si>
  <si>
    <t>1947467D US Equity</t>
  </si>
  <si>
    <t>NEQSQ US Equity</t>
  </si>
  <si>
    <t>COEP US Equity</t>
  </si>
  <si>
    <t>STNR US Equity</t>
  </si>
  <si>
    <t>CBRL US Equity</t>
  </si>
  <si>
    <t>PERFQ US Equity</t>
  </si>
  <si>
    <t>CMCO US Equity</t>
  </si>
  <si>
    <t>597946Q US Equity</t>
  </si>
  <si>
    <t>Deal 2841</t>
  </si>
  <si>
    <t>Deal 2842</t>
  </si>
  <si>
    <t>Deal 2843</t>
  </si>
  <si>
    <t>Deal 2844</t>
  </si>
  <si>
    <t>Deal 2845</t>
  </si>
  <si>
    <t>Deal 2846</t>
  </si>
  <si>
    <t>Deal 2847</t>
  </si>
  <si>
    <t>Deal 2848</t>
  </si>
  <si>
    <t>Deal 2849</t>
  </si>
  <si>
    <t>Deal 2850</t>
  </si>
  <si>
    <t>Deal 2851</t>
  </si>
  <si>
    <t>Deal 2852</t>
  </si>
  <si>
    <t>Deal 2853</t>
  </si>
  <si>
    <t>Deal 2854</t>
  </si>
  <si>
    <t>Deal 2855</t>
  </si>
  <si>
    <t>Deal 2856</t>
  </si>
  <si>
    <t>Deal 2857</t>
  </si>
  <si>
    <t>Deal 2858</t>
  </si>
  <si>
    <t>Deal 2859</t>
  </si>
  <si>
    <t>Deal 2860</t>
  </si>
  <si>
    <t>TEX US Equity</t>
  </si>
  <si>
    <t>MSBI US Equity</t>
  </si>
  <si>
    <t>1498499D US Equity</t>
  </si>
  <si>
    <t>CBST US Equity</t>
  </si>
  <si>
    <t>UGS US Equity</t>
  </si>
  <si>
    <t>3059Q US Equity</t>
  </si>
  <si>
    <t>RSFC US Equity</t>
  </si>
  <si>
    <t>DAVLE US Equity</t>
  </si>
  <si>
    <t>SLXP US Equity</t>
  </si>
  <si>
    <t>GEN US Equity</t>
  </si>
  <si>
    <t>894800Q US Equity</t>
  </si>
  <si>
    <t>Deal 2861</t>
  </si>
  <si>
    <t>Deal 2862</t>
  </si>
  <si>
    <t>Deal 2863</t>
  </si>
  <si>
    <t>Deal 2864</t>
  </si>
  <si>
    <t>Deal 2865</t>
  </si>
  <si>
    <t>Deal 2866</t>
  </si>
  <si>
    <t>Deal 2867</t>
  </si>
  <si>
    <t>Deal 2868</t>
  </si>
  <si>
    <t>Deal 2869</t>
  </si>
  <si>
    <t>Deal 2870</t>
  </si>
  <si>
    <t>Deal 2871</t>
  </si>
  <si>
    <t>Deal 2872</t>
  </si>
  <si>
    <t>Deal 2873</t>
  </si>
  <si>
    <t>Deal 2874</t>
  </si>
  <si>
    <t>Deal 2875</t>
  </si>
  <si>
    <t>Deal 2876</t>
  </si>
  <si>
    <t>Deal 2877</t>
  </si>
  <si>
    <t>Deal 2878</t>
  </si>
  <si>
    <t>Deal 2879</t>
  </si>
  <si>
    <t>Deal 2880</t>
  </si>
  <si>
    <t>COR US Equity</t>
  </si>
  <si>
    <t>KO US Equity</t>
  </si>
  <si>
    <t>ARW US Equity</t>
  </si>
  <si>
    <t>TDG US Equity</t>
  </si>
  <si>
    <t>1312089D US Equity</t>
  </si>
  <si>
    <t>OCLR US Equity</t>
  </si>
  <si>
    <t>2569244D US Equity</t>
  </si>
  <si>
    <t>DXLG US Equity</t>
  </si>
  <si>
    <t>SGID US Equity</t>
  </si>
  <si>
    <t>NVDA US Equity</t>
  </si>
  <si>
    <t>MIDD US Equity</t>
  </si>
  <si>
    <t>Deal 2881</t>
  </si>
  <si>
    <t>Deal 2882</t>
  </si>
  <si>
    <t>Deal 2883</t>
  </si>
  <si>
    <t>Deal 2884</t>
  </si>
  <si>
    <t>Deal 2885</t>
  </si>
  <si>
    <t>Deal 2886</t>
  </si>
  <si>
    <t>Deal 2887</t>
  </si>
  <si>
    <t>Deal 2888</t>
  </si>
  <si>
    <t>Deal 2889</t>
  </si>
  <si>
    <t>Deal 2890</t>
  </si>
  <si>
    <t>Deal 2891</t>
  </si>
  <si>
    <t>Deal 2892</t>
  </si>
  <si>
    <t>Deal 2893</t>
  </si>
  <si>
    <t>Deal 2894</t>
  </si>
  <si>
    <t>Deal 2895</t>
  </si>
  <si>
    <t>Deal 2896</t>
  </si>
  <si>
    <t>Deal 2897</t>
  </si>
  <si>
    <t>Deal 2898</t>
  </si>
  <si>
    <t>Deal 2899</t>
  </si>
  <si>
    <t>Deal 2900</t>
  </si>
  <si>
    <t>FNSR US Equity</t>
  </si>
  <si>
    <t>SCS US Equity</t>
  </si>
  <si>
    <t>HNBC US Equity</t>
  </si>
  <si>
    <t>8184843Q US Equity</t>
  </si>
  <si>
    <t>8206908Q US Equity</t>
  </si>
  <si>
    <t>1492800D US Equity</t>
  </si>
  <si>
    <t>FBF US Equity</t>
  </si>
  <si>
    <t>1916526D US Equity</t>
  </si>
  <si>
    <t>2370058D US Equity</t>
  </si>
  <si>
    <t>WTNY US Equity</t>
  </si>
  <si>
    <t>GCO US Equity</t>
  </si>
  <si>
    <t>Deal 2901</t>
  </si>
  <si>
    <t>Deal 2902</t>
  </si>
  <si>
    <t>Deal 2903</t>
  </si>
  <si>
    <t>Deal 2904</t>
  </si>
  <si>
    <t>Deal 2905</t>
  </si>
  <si>
    <t>Deal 2906</t>
  </si>
  <si>
    <t>Deal 2907</t>
  </si>
  <si>
    <t>Deal 2908</t>
  </si>
  <si>
    <t>Deal 2909</t>
  </si>
  <si>
    <t>Deal 2910</t>
  </si>
  <si>
    <t>Deal 2911</t>
  </si>
  <si>
    <t>Deal 2912</t>
  </si>
  <si>
    <t>Deal 2913</t>
  </si>
  <si>
    <t>Deal 2914</t>
  </si>
  <si>
    <t>Deal 2915</t>
  </si>
  <si>
    <t>Deal 2916</t>
  </si>
  <si>
    <t>Deal 2917</t>
  </si>
  <si>
    <t>Deal 2918</t>
  </si>
  <si>
    <t>Deal 2919</t>
  </si>
  <si>
    <t>Deal 2920</t>
  </si>
  <si>
    <t>1526901D US Equity</t>
  </si>
  <si>
    <t>3423152Q US Equity</t>
  </si>
  <si>
    <t>CTXS US Equity</t>
  </si>
  <si>
    <t>HOUS US Equity</t>
  </si>
  <si>
    <t>1523873D US Equity</t>
  </si>
  <si>
    <t>MXL US Equity</t>
  </si>
  <si>
    <t>RYZ US Equity</t>
  </si>
  <si>
    <t>TIPTL US Equity</t>
  </si>
  <si>
    <t>BBDC US Equity</t>
  </si>
  <si>
    <t>BTFG US Equity</t>
  </si>
  <si>
    <t>SWKS US Equity</t>
  </si>
  <si>
    <t>ALTR US Equity</t>
  </si>
  <si>
    <t>0948669D US Equity</t>
  </si>
  <si>
    <t>Deal 2921</t>
  </si>
  <si>
    <t>Deal 2922</t>
  </si>
  <si>
    <t>Deal 2923</t>
  </si>
  <si>
    <t>Deal 2924</t>
  </si>
  <si>
    <t>Deal 2925</t>
  </si>
  <si>
    <t>Deal 2926</t>
  </si>
  <si>
    <t>Deal 2927</t>
  </si>
  <si>
    <t>Deal 2928</t>
  </si>
  <si>
    <t>Deal 2929</t>
  </si>
  <si>
    <t>Deal 2930</t>
  </si>
  <si>
    <t>Deal 2931</t>
  </si>
  <si>
    <t>Deal 2932</t>
  </si>
  <si>
    <t>Deal 2933</t>
  </si>
  <si>
    <t>Deal 2934</t>
  </si>
  <si>
    <t>Deal 2935</t>
  </si>
  <si>
    <t>Deal 2936</t>
  </si>
  <si>
    <t>Deal 2937</t>
  </si>
  <si>
    <t>Deal 2938</t>
  </si>
  <si>
    <t>Deal 2939</t>
  </si>
  <si>
    <t>Deal 2940</t>
  </si>
  <si>
    <t>2537769D US Equity</t>
  </si>
  <si>
    <t>F US Equity</t>
  </si>
  <si>
    <t>MBWM US Equity</t>
  </si>
  <si>
    <t>BOOT IN Equity</t>
  </si>
  <si>
    <t>PRGO US Equity</t>
  </si>
  <si>
    <t>PFIS US Equity</t>
  </si>
  <si>
    <t>WYPT US Equity</t>
  </si>
  <si>
    <t>2724037Q US Equity</t>
  </si>
  <si>
    <t>BRBS US Equity</t>
  </si>
  <si>
    <t>CECO US Equity</t>
  </si>
  <si>
    <t>RLJE US Equity</t>
  </si>
  <si>
    <t>RPR US Equity</t>
  </si>
  <si>
    <t>Deal 2941</t>
  </si>
  <si>
    <t>Deal 2942</t>
  </si>
  <si>
    <t>Deal 2943</t>
  </si>
  <si>
    <t>Deal 2944</t>
  </si>
  <si>
    <t>Deal 2945</t>
  </si>
  <si>
    <t>Deal 2946</t>
  </si>
  <si>
    <t>Deal 2947</t>
  </si>
  <si>
    <t>Deal 2948</t>
  </si>
  <si>
    <t>Deal 2949</t>
  </si>
  <si>
    <t>Deal 2950</t>
  </si>
  <si>
    <t>Deal 2951</t>
  </si>
  <si>
    <t>Deal 2952</t>
  </si>
  <si>
    <t>Deal 2953</t>
  </si>
  <si>
    <t>Deal 2954</t>
  </si>
  <si>
    <t>Deal 2955</t>
  </si>
  <si>
    <t>Deal 2956</t>
  </si>
  <si>
    <t>Deal 2957</t>
  </si>
  <si>
    <t>Deal 2958</t>
  </si>
  <si>
    <t>Deal 2959</t>
  </si>
  <si>
    <t>Deal 2960</t>
  </si>
  <si>
    <t>NL US Equity</t>
  </si>
  <si>
    <t>CXW US Equity</t>
  </si>
  <si>
    <t>BKS US Equity</t>
  </si>
  <si>
    <t>IART US Equity</t>
  </si>
  <si>
    <t>SNV US Equity</t>
  </si>
  <si>
    <t>MTRM US Equity</t>
  </si>
  <si>
    <t>ACTA US Equity</t>
  </si>
  <si>
    <t>REGN US Equity</t>
  </si>
  <si>
    <t>HSH US Equity</t>
  </si>
  <si>
    <t>14394Z US Equity</t>
  </si>
  <si>
    <t>MENT US Equity</t>
  </si>
  <si>
    <t>SWKH US Equity</t>
  </si>
  <si>
    <t>GVCM US Equity</t>
  </si>
  <si>
    <t>Deal 2961</t>
  </si>
  <si>
    <t>Deal 2962</t>
  </si>
  <si>
    <t>Deal 2963</t>
  </si>
  <si>
    <t>Deal 2964</t>
  </si>
  <si>
    <t>Deal 2965</t>
  </si>
  <si>
    <t>Deal 2966</t>
  </si>
  <si>
    <t>Deal 2967</t>
  </si>
  <si>
    <t>Deal 2968</t>
  </si>
  <si>
    <t>Deal 2969</t>
  </si>
  <si>
    <t>Deal 2970</t>
  </si>
  <si>
    <t>Deal 2971</t>
  </si>
  <si>
    <t>Deal 2972</t>
  </si>
  <si>
    <t>Deal 2973</t>
  </si>
  <si>
    <t>Deal 2974</t>
  </si>
  <si>
    <t>Deal 2975</t>
  </si>
  <si>
    <t>Deal 2976</t>
  </si>
  <si>
    <t>Deal 2977</t>
  </si>
  <si>
    <t>Deal 2978</t>
  </si>
  <si>
    <t>Deal 2979</t>
  </si>
  <si>
    <t>Deal 2980</t>
  </si>
  <si>
    <t>CMS US Equity</t>
  </si>
  <si>
    <t>THEGQ US Equity</t>
  </si>
  <si>
    <t>HRBT US Equity</t>
  </si>
  <si>
    <t>IBKC US Equity</t>
  </si>
  <si>
    <t>MTSN US Equity</t>
  </si>
  <si>
    <t>UNBJ US Equity</t>
  </si>
  <si>
    <t>3023927Q US Equity</t>
  </si>
  <si>
    <t>4131117Q US Equity</t>
  </si>
  <si>
    <t>NTBKQ US Equity</t>
  </si>
  <si>
    <t>MOGN US Equity</t>
  </si>
  <si>
    <t>SITC US Equity</t>
  </si>
  <si>
    <t>CBC US Equity</t>
  </si>
  <si>
    <t>ABCWQ US Equity</t>
  </si>
  <si>
    <t>BNCN US Equity</t>
  </si>
  <si>
    <t>STZ US Equity</t>
  </si>
  <si>
    <t>CRLL US Equity</t>
  </si>
  <si>
    <t>Deal 2981</t>
  </si>
  <si>
    <t>Deal 2982</t>
  </si>
  <si>
    <t>Deal 2983</t>
  </si>
  <si>
    <t>Deal 2984</t>
  </si>
  <si>
    <t>Deal 2985</t>
  </si>
  <si>
    <t>Deal 2986</t>
  </si>
  <si>
    <t>Deal 2987</t>
  </si>
  <si>
    <t>Deal 2988</t>
  </si>
  <si>
    <t>Deal 2989</t>
  </si>
  <si>
    <t>Deal 2990</t>
  </si>
  <si>
    <t>Deal 2991</t>
  </si>
  <si>
    <t>Deal 2992</t>
  </si>
  <si>
    <t>Deal 2993</t>
  </si>
  <si>
    <t>Deal 2994</t>
  </si>
  <si>
    <t>Deal 2995</t>
  </si>
  <si>
    <t>Deal 2996</t>
  </si>
  <si>
    <t>Deal 2997</t>
  </si>
  <si>
    <t>Deal 2998</t>
  </si>
  <si>
    <t>Deal 2999</t>
  </si>
  <si>
    <t>Deal 3000</t>
  </si>
  <si>
    <t>DY US Equity</t>
  </si>
  <si>
    <t>3537Q US Equity</t>
  </si>
  <si>
    <t>DVXE US Equity</t>
  </si>
  <si>
    <t>CNXC US Equity</t>
  </si>
  <si>
    <t>MSI US Equity</t>
  </si>
  <si>
    <t>WFBC US Equity</t>
  </si>
  <si>
    <t>1551989D US Equity</t>
  </si>
  <si>
    <t>DK US Equity</t>
  </si>
  <si>
    <t>EASY US Equity</t>
  </si>
  <si>
    <t>EFII US Equity</t>
  </si>
  <si>
    <t>CACB US Equity</t>
  </si>
  <si>
    <t>COGS</t>
  </si>
  <si>
    <t>A</t>
  </si>
  <si>
    <t>2025A CF (BOOT IN)</t>
  </si>
  <si>
    <t>Abbott Laboratories</t>
  </si>
  <si>
    <t>2025A CF (RENG IN)</t>
  </si>
  <si>
    <t>Rajoo Engineers Ltd</t>
  </si>
  <si>
    <t>2025A CF (EIH IN)</t>
  </si>
  <si>
    <t>EIH Ltd</t>
  </si>
  <si>
    <t>001740 KS Equity</t>
  </si>
  <si>
    <t>C2</t>
  </si>
  <si>
    <t>2024C2 CF (001740 KS)</t>
  </si>
  <si>
    <t>SK Networks Co Ltd</t>
  </si>
  <si>
    <t>034730 KS Equity</t>
  </si>
  <si>
    <t>2024C2 CF (034730 KS)</t>
  </si>
  <si>
    <t>SK Inc</t>
  </si>
  <si>
    <t>068400 KS Equity</t>
  </si>
  <si>
    <t>C3</t>
  </si>
  <si>
    <t>2025C3 CF (068400 KS)</t>
  </si>
  <si>
    <t>SK Rent A Car Co Ltd</t>
  </si>
  <si>
    <t>1059297Z BH Equity</t>
  </si>
  <si>
    <t>2022A CF (CAR US)</t>
  </si>
  <si>
    <t>Travelport Ltd</t>
  </si>
  <si>
    <t>Q2</t>
  </si>
  <si>
    <t>2023Q2 CF (2760 JP)</t>
  </si>
  <si>
    <t>Tokyo Electron Device Ltd</t>
  </si>
  <si>
    <t>762 HK Equity</t>
  </si>
  <si>
    <t>2025A CF (762 HK)</t>
  </si>
  <si>
    <t>China Unicom Hong Kong Ltd</t>
  </si>
  <si>
    <t>ATO FP Equity</t>
  </si>
  <si>
    <t>Q1</t>
  </si>
  <si>
    <t>2022Q1 CF (ATO FP)</t>
  </si>
  <si>
    <t>Atos SE</t>
  </si>
  <si>
    <t>AVT US Equity</t>
  </si>
  <si>
    <t>2022A CF (AVT US)</t>
  </si>
  <si>
    <t>Avnet Inc</t>
  </si>
  <si>
    <t>BBOX IN Equity</t>
  </si>
  <si>
    <t>Q3</t>
  </si>
  <si>
    <t>2025Q3 CF (BBOX IN)</t>
  </si>
  <si>
    <t>Black Box Ltd</t>
  </si>
  <si>
    <t>3352Z US Equity</t>
  </si>
  <si>
    <t>2024A CF (CXW US)</t>
  </si>
  <si>
    <t>United States of America</t>
  </si>
  <si>
    <t>0006698D US Equity</t>
  </si>
  <si>
    <t>Company News (CXW US)</t>
  </si>
  <si>
    <t>DHS US Immigration &amp; Customs Enforcement</t>
  </si>
  <si>
    <t>0007165D US Equity</t>
  </si>
  <si>
    <t>Oklahoma Department of Corrections</t>
  </si>
  <si>
    <t>0217762Z US Equity</t>
  </si>
  <si>
    <t>Department of Homeland Security</t>
  </si>
  <si>
    <t>0228369Z US Equity</t>
  </si>
  <si>
    <t>United States Marshals Service</t>
  </si>
  <si>
    <t>Company News (DKS US)</t>
  </si>
  <si>
    <t>SidelineSwap Inc</t>
  </si>
  <si>
    <t>CART US Equity</t>
  </si>
  <si>
    <t>2025Q1 CF (CART US)</t>
  </si>
  <si>
    <t>Maplebear Inc</t>
  </si>
  <si>
    <t>METROBRA IN Equity</t>
  </si>
  <si>
    <t>2026Q2 CF (METROBRA IN)</t>
  </si>
  <si>
    <t>Metro Brands Ltd</t>
  </si>
  <si>
    <t>WSHP US Equity</t>
  </si>
  <si>
    <t>Company News (WSHP US)</t>
  </si>
  <si>
    <t>WeShop Holdings Ltd</t>
  </si>
  <si>
    <t>DKL US Equity</t>
  </si>
  <si>
    <t>2024A CF (DKL US)</t>
  </si>
  <si>
    <t>Delek Logistics Partners LP</t>
  </si>
  <si>
    <t>4131721Z US Equity</t>
  </si>
  <si>
    <t>Company News (DK US)</t>
  </si>
  <si>
    <t>United States Department of Energy</t>
  </si>
  <si>
    <t>0065173D US Equity</t>
  </si>
  <si>
    <t>2022A CF (DK US)</t>
  </si>
  <si>
    <t>Aron &amp; Co Inc</t>
  </si>
  <si>
    <t>2024A CF (DK US)</t>
  </si>
  <si>
    <t>SNX US Equity</t>
  </si>
  <si>
    <t>Q4</t>
  </si>
  <si>
    <t>Estimate (SNX US)</t>
  </si>
  <si>
    <t>TD SYNNEX Corp</t>
  </si>
  <si>
    <t>CAPEX</t>
  </si>
  <si>
    <t>Estimate (DE US)</t>
  </si>
  <si>
    <t>Deere &amp; Co</t>
  </si>
  <si>
    <t>AIR FP Equity</t>
  </si>
  <si>
    <t>Estimate (AIR FP)</t>
  </si>
  <si>
    <t>Airbus SE</t>
  </si>
  <si>
    <t>Estimate (AGCO US)</t>
  </si>
  <si>
    <t>AGCO Corp</t>
  </si>
  <si>
    <t>000595 CH Equity</t>
  </si>
  <si>
    <t>2022A CF (000595 CH)</t>
  </si>
  <si>
    <t>Ningxia Guoyun New Energy Co Ltd</t>
  </si>
  <si>
    <t>Estimate (AXFO SS)</t>
  </si>
  <si>
    <t>Axfood AB</t>
  </si>
  <si>
    <t>002840 CH Equity</t>
  </si>
  <si>
    <t>S1</t>
  </si>
  <si>
    <t>2025S1 CF (002840 CH)</t>
  </si>
  <si>
    <t>Zhejiang Huatong Meat Products Co Ltd</t>
  </si>
  <si>
    <t>0121304D US Equity</t>
  </si>
  <si>
    <t>2023Q3 CF (MIDD US)</t>
  </si>
  <si>
    <t>Biscuitville Inc</t>
  </si>
  <si>
    <t>0123495D US Equity</t>
  </si>
  <si>
    <t>2025Q3 CF (MIDD US)</t>
  </si>
  <si>
    <t>Lettuce Entertain You Enterprises Inc</t>
  </si>
  <si>
    <t>0195053D US Equity</t>
  </si>
  <si>
    <t>2024Q4 CF (MIDD US)</t>
  </si>
  <si>
    <t>Culver Franchising System LLC</t>
  </si>
  <si>
    <t>C1</t>
  </si>
  <si>
    <t>2022C1 CF (032190 KS)</t>
  </si>
  <si>
    <t>Daou Data Corp</t>
  </si>
  <si>
    <t>033230 KS Equity</t>
  </si>
  <si>
    <t>2025C3 CF (033230 KS)</t>
  </si>
  <si>
    <t>Insung Information Co Ltd</t>
  </si>
  <si>
    <t>042500 KS Equity</t>
  </si>
  <si>
    <t>2025C3 CF (042500 KS)</t>
  </si>
  <si>
    <t>RingNet Co Ltd</t>
  </si>
  <si>
    <t>173130 KS Equity</t>
  </si>
  <si>
    <t>2023C3 CF (173130 KS)</t>
  </si>
  <si>
    <t>Opasnet Co Ltd</t>
  </si>
  <si>
    <t>2480 TT Equity</t>
  </si>
  <si>
    <t>2024A CF (2480 TT)</t>
  </si>
  <si>
    <t>Stark Technology Inc</t>
  </si>
  <si>
    <t>Estimate (IBM US)</t>
  </si>
  <si>
    <t>International Business Machines Corp</t>
  </si>
  <si>
    <t>005930 KS Equity</t>
  </si>
  <si>
    <t>Estimate (005930 KS)</t>
  </si>
  <si>
    <t>Samsung Electronics Co Ltd</t>
  </si>
  <si>
    <t>Estimate (AVT US)</t>
  </si>
  <si>
    <t>SCSC US Equity</t>
  </si>
  <si>
    <t>Estimate (SCSC US)</t>
  </si>
  <si>
    <t>ScanSource Inc</t>
  </si>
  <si>
    <t>8059 TT Equity</t>
  </si>
  <si>
    <t>2024A CF (8059 TT)</t>
  </si>
  <si>
    <t>CastleNet Technology Inc</t>
  </si>
  <si>
    <t>2024A CF (4195 TT)</t>
  </si>
  <si>
    <t>Genomics BioSci&amp;Tech Co Ltd</t>
  </si>
  <si>
    <t>4726 TT Equity</t>
  </si>
  <si>
    <t>2024A CF (4726 TT)</t>
  </si>
  <si>
    <t>Mycenax Biotech Inc</t>
  </si>
  <si>
    <t>053030 KS Equity</t>
  </si>
  <si>
    <t>2024A CF (053030 KS)</t>
  </si>
  <si>
    <t>Binex Co Ltd</t>
  </si>
  <si>
    <t>000250 KS Equity</t>
  </si>
  <si>
    <t>2025C3 CF (000250 KS)</t>
  </si>
  <si>
    <t>Sam Chun Dang Pharm Co Ltd</t>
  </si>
  <si>
    <t>002022 CH Equity</t>
  </si>
  <si>
    <t>2024A CF (002022 CH)</t>
  </si>
  <si>
    <t>Shanghai Kehua Bio-Engineering Co Ltd</t>
  </si>
  <si>
    <t>2024A CF (USIO US)</t>
  </si>
  <si>
    <t>Usio Inc</t>
  </si>
  <si>
    <t>Estimate (ORCL US)</t>
  </si>
  <si>
    <t>Accenture PLC</t>
  </si>
  <si>
    <t>Amazon.com Inc</t>
  </si>
  <si>
    <t>CVS US Equity</t>
  </si>
  <si>
    <t>CVS Health Corp</t>
  </si>
  <si>
    <t>UNH US Equity</t>
  </si>
  <si>
    <t>UnitedHealth Group Inc</t>
  </si>
  <si>
    <t>2025A CF (OSIS US)</t>
  </si>
  <si>
    <t>16453Z QD Equity</t>
  </si>
  <si>
    <t>Estimate (OSIS US)</t>
  </si>
  <si>
    <t>QatarEnergy</t>
  </si>
  <si>
    <t>RTX US Equity</t>
  </si>
  <si>
    <t>RTX Corp</t>
  </si>
  <si>
    <t>HCA US Equity</t>
  </si>
  <si>
    <t>HCA Healthcare Inc</t>
  </si>
  <si>
    <t>DG FP Equity</t>
  </si>
  <si>
    <t>Vinci SA</t>
  </si>
  <si>
    <t>2024Q3 CF (SCSC US)</t>
  </si>
  <si>
    <t>INFN US Equity</t>
  </si>
  <si>
    <t>2022A CF (INFN US)</t>
  </si>
  <si>
    <t>Infinera Corp</t>
  </si>
  <si>
    <t>MAPI IJ Equity</t>
  </si>
  <si>
    <t>2023A CF (MAPI IJ)</t>
  </si>
  <si>
    <t>Mitra Adiperkasa Tbk PT</t>
  </si>
  <si>
    <t>2026C3 CF (MCHP US)</t>
  </si>
  <si>
    <t>Arrow Electronics Inc</t>
  </si>
  <si>
    <t>3036 TT Equity</t>
  </si>
  <si>
    <t>Estimate (MCHP US)</t>
  </si>
  <si>
    <t>WT Microelectronics Co Ltd</t>
  </si>
  <si>
    <t>066570 KS Equity</t>
  </si>
  <si>
    <t>Estimate (066570 KS)</t>
  </si>
  <si>
    <t>LG Electronics Inc</t>
  </si>
  <si>
    <t>4919 TT Equity</t>
  </si>
  <si>
    <t>2024A CF (4919 TT)</t>
  </si>
  <si>
    <t>Nuvoton Technology Corp</t>
  </si>
  <si>
    <t>HD US Equity</t>
  </si>
  <si>
    <t>Estimate (MHK US)</t>
  </si>
  <si>
    <t>Home Depot Inc/The</t>
  </si>
  <si>
    <t>LOW US Equity</t>
  </si>
  <si>
    <t>Lowe's Cos Inc</t>
  </si>
  <si>
    <t>FERG US Equity</t>
  </si>
  <si>
    <t>Ferguson Enterprises Inc</t>
  </si>
  <si>
    <t>DR Horton Inc</t>
  </si>
  <si>
    <t>SGA</t>
  </si>
  <si>
    <t>2330 TT Equity</t>
  </si>
  <si>
    <t>Company News (CDNS US)</t>
  </si>
  <si>
    <t>Taiwan Semiconductor Manufacturing Co Ltd</t>
  </si>
  <si>
    <t>3443 TT Equity</t>
  </si>
  <si>
    <t>2024A CF (3443 TT)</t>
  </si>
  <si>
    <t>Global Unichip Corp</t>
  </si>
  <si>
    <t>3661 TT Equity</t>
  </si>
  <si>
    <t>2021A CF (3661 TT)</t>
  </si>
  <si>
    <t>Alchip Technologies Ltd</t>
  </si>
  <si>
    <t>Estimate (VSH US)</t>
  </si>
  <si>
    <t>Berkshire Hathaway Inc</t>
  </si>
  <si>
    <t>005380 KS Equity</t>
  </si>
  <si>
    <t>Hyundai Motor Co</t>
  </si>
  <si>
    <t>CDW US Equity</t>
  </si>
  <si>
    <t>Estimate (CDW US)</t>
  </si>
  <si>
    <t>CDW Corp/DE</t>
  </si>
  <si>
    <t>002626 CH Equity</t>
  </si>
  <si>
    <t>2024A CF (002626 CH)</t>
  </si>
  <si>
    <t>Xiamen Kingdomway Group Co</t>
  </si>
  <si>
    <t>CNXN US Equity</t>
  </si>
  <si>
    <t>2025Q1 CF (CNXN US)</t>
  </si>
  <si>
    <t>PC Connection Inc</t>
  </si>
  <si>
    <t>EVRI US Equity</t>
  </si>
  <si>
    <t>2022A CF (EVRI US)</t>
  </si>
  <si>
    <t>Everi Holdings Inc</t>
  </si>
  <si>
    <t>FMCC US Equity</t>
  </si>
  <si>
    <t>Company News (FMCC US)</t>
  </si>
  <si>
    <t>Federal Home Loan Mortgage Corp</t>
  </si>
  <si>
    <t>CAT US Equity</t>
  </si>
  <si>
    <t>Estimate (CAT US)</t>
  </si>
  <si>
    <t>Caterpillar Inc</t>
  </si>
  <si>
    <t>000720 KS Equity</t>
  </si>
  <si>
    <t>2025C2 CF (000720 KS)</t>
  </si>
  <si>
    <t>Hyundai Engineering &amp; Construction Co Ltd</t>
  </si>
  <si>
    <t>1839002D PW Equity</t>
  </si>
  <si>
    <t>2022Q1 CF (CECO US)</t>
  </si>
  <si>
    <t>Canpack SA / Canpack US LLC</t>
  </si>
  <si>
    <t>5108 JP Equity</t>
  </si>
  <si>
    <t>Bridgestone Corp</t>
  </si>
  <si>
    <t>7011 JP Equity</t>
  </si>
  <si>
    <t>Mitsubishi Heavy Industries Ltd</t>
  </si>
  <si>
    <t>0219682Z US Equity</t>
  </si>
  <si>
    <t>2023A CF (ENDPQ US)</t>
  </si>
  <si>
    <t>United States Department of Defense</t>
  </si>
  <si>
    <t>0556727D US Equity</t>
  </si>
  <si>
    <t>2022Q3 CF (ENDPQ US)</t>
  </si>
  <si>
    <t>Morris &amp; Dickson Co LLC</t>
  </si>
  <si>
    <t>4516 JP Equity</t>
  </si>
  <si>
    <t>2025A CF (4516 JP)</t>
  </si>
  <si>
    <t>Nippon Shinyaku Co Ltd</t>
  </si>
  <si>
    <t>Cardinal Health Inc</t>
  </si>
  <si>
    <t>2024A CF (SXC US)</t>
  </si>
  <si>
    <t>Cleveland-Cliffs Inc</t>
  </si>
  <si>
    <t>X US Equity</t>
  </si>
  <si>
    <t>United States Steel Corp</t>
  </si>
  <si>
    <t>MT NA Equity</t>
  </si>
  <si>
    <t>Estimate (MT NA)</t>
  </si>
  <si>
    <t>ArcelorMittal SA</t>
  </si>
  <si>
    <t>ASTL CN Equity</t>
  </si>
  <si>
    <t>Algoma Steel Group Inc</t>
  </si>
  <si>
    <t>1949763D CN Equity</t>
  </si>
  <si>
    <t>2023A CF (SXC US)</t>
  </si>
  <si>
    <t>Algoma Steel Inc</t>
  </si>
  <si>
    <t>Company News (CBC US)</t>
  </si>
  <si>
    <t>Sagent M&amp;C LLC</t>
  </si>
  <si>
    <t>TCS IN Equity</t>
  </si>
  <si>
    <t>Company News (TCS IN)</t>
  </si>
  <si>
    <t>Tata Consultancy Services Ltd</t>
  </si>
  <si>
    <t>2022A CF (MO US)</t>
  </si>
  <si>
    <t>Maverik Country Stores Inc</t>
  </si>
  <si>
    <t>1039759Z US Equity</t>
  </si>
  <si>
    <t>RaceTrac Inc</t>
  </si>
  <si>
    <t>1041020Z US Equity</t>
  </si>
  <si>
    <t>Wawa Inc</t>
  </si>
  <si>
    <t>1041068Z US Equity</t>
  </si>
  <si>
    <t>Sheetz Inc</t>
  </si>
  <si>
    <t>1545850D US Equity</t>
  </si>
  <si>
    <t>Buc-ee's Ltd</t>
  </si>
  <si>
    <t>2024A CF (OLN US)</t>
  </si>
  <si>
    <t>LXS GR Equity</t>
  </si>
  <si>
    <t>Estimate (LXS GR)</t>
  </si>
  <si>
    <t>LANXESS AG</t>
  </si>
  <si>
    <t>0219834Z US Equity</t>
  </si>
  <si>
    <t>2025Q3 CF (OLN US)</t>
  </si>
  <si>
    <t>DOD United States Army</t>
  </si>
  <si>
    <t>1304 TT Equity</t>
  </si>
  <si>
    <t>2025C1 CF (1304 TT)</t>
  </si>
  <si>
    <t>USI Corp</t>
  </si>
  <si>
    <t>1305 TT Equity</t>
  </si>
  <si>
    <t>2025C3 CF (1305 TT)</t>
  </si>
  <si>
    <t>China General Plastics Corp</t>
  </si>
  <si>
    <t>2025A CF (RIG US)</t>
  </si>
  <si>
    <t>Petroleo Brasileiro SA - Petrobras</t>
  </si>
  <si>
    <t>Estimate (RIG US)</t>
  </si>
  <si>
    <t>Chevron Corp</t>
  </si>
  <si>
    <t>SHEL LN Equity</t>
  </si>
  <si>
    <t>Shell PLC</t>
  </si>
  <si>
    <t>EQNR NO Equity</t>
  </si>
  <si>
    <t>Equinor ASA</t>
  </si>
  <si>
    <t>Hess Corp</t>
  </si>
  <si>
    <t>EMIN IN Equity</t>
  </si>
  <si>
    <t>2025A CF (EMIN IN)</t>
  </si>
  <si>
    <t>Empire Industries Ltd/India</t>
  </si>
  <si>
    <t>GHGL PA Equity</t>
  </si>
  <si>
    <t>2024A CF (GHGL PA)</t>
  </si>
  <si>
    <t>Ghani Glass Ltd</t>
  </si>
  <si>
    <t>HBIO US Equity</t>
  </si>
  <si>
    <t>2024A CF (HBIO US)</t>
  </si>
  <si>
    <t>Harvard Bioscience Inc</t>
  </si>
  <si>
    <t>NOVOB DC Equity</t>
  </si>
  <si>
    <t>Company News (BOOT IN)</t>
  </si>
  <si>
    <t>Novo Nordisk A/S</t>
  </si>
  <si>
    <t>DNOW US Equity</t>
  </si>
  <si>
    <t>Estimate (DNOW US)</t>
  </si>
  <si>
    <t>DNOW Inc</t>
  </si>
  <si>
    <t>ITT US Equity</t>
  </si>
  <si>
    <t>Estimate (ITT US)</t>
  </si>
  <si>
    <t>ITT Inc</t>
  </si>
  <si>
    <t>MCB CN Equity</t>
  </si>
  <si>
    <t>2025Q3 CF (MCB CN)</t>
  </si>
  <si>
    <t>McCoy Global Inc</t>
  </si>
  <si>
    <t>MTQ SP Equity</t>
  </si>
  <si>
    <t>2022A CF (MTQ SP)</t>
  </si>
  <si>
    <t>MTQ Corp Ltd</t>
  </si>
  <si>
    <t>Legacy EV LLC</t>
  </si>
  <si>
    <t>TH US Equity</t>
  </si>
  <si>
    <t>Company News (TH US)</t>
  </si>
  <si>
    <t>Target Hospitality Corp</t>
  </si>
  <si>
    <t>CNR CN Equity</t>
  </si>
  <si>
    <t>Estimate (CNR CN)</t>
  </si>
  <si>
    <t>Canadian National Railway Co</t>
  </si>
  <si>
    <t>DOW US Equity</t>
  </si>
  <si>
    <t>Estimate (DOW US)</t>
  </si>
  <si>
    <t>Dow Inc</t>
  </si>
  <si>
    <t>HUN US Equity</t>
  </si>
  <si>
    <t>Estimate (HUN US)</t>
  </si>
  <si>
    <t>Huntsman Corp</t>
  </si>
  <si>
    <t>TKA GR Equity</t>
  </si>
  <si>
    <t>Estimate (TKA GR)</t>
  </si>
  <si>
    <t>thyssenkrupp AG</t>
  </si>
  <si>
    <t>FSP US Equity</t>
  </si>
  <si>
    <t>2024A CF (FSP US)</t>
  </si>
  <si>
    <t>Franklin Street Properties Corp</t>
  </si>
  <si>
    <t>Company News (COEP US)</t>
  </si>
  <si>
    <t>University of Pittsburgh/The</t>
  </si>
  <si>
    <t>AD NA Equity</t>
  </si>
  <si>
    <t>Estimate (AD NA)</t>
  </si>
  <si>
    <t>Koninklijke Ahold Delhaize NV</t>
  </si>
  <si>
    <t>CA FP Equity</t>
  </si>
  <si>
    <t>Estimate (CA FP)</t>
  </si>
  <si>
    <t>Carrefour SA</t>
  </si>
  <si>
    <t>KGF LN Equity</t>
  </si>
  <si>
    <t>Estimate (KGF LN)</t>
  </si>
  <si>
    <t>Kingfisher PLC</t>
  </si>
  <si>
    <t>DEN IN Equity</t>
  </si>
  <si>
    <t>2025A CF (DEN IN)</t>
  </si>
  <si>
    <t>DEN Networks Ltd</t>
  </si>
  <si>
    <t>CTRN US Equity</t>
  </si>
  <si>
    <t>Estimate (CTRN US)</t>
  </si>
  <si>
    <t>Citi Trends Inc</t>
  </si>
  <si>
    <t>2024A CF (VRRM US)</t>
  </si>
  <si>
    <t>Verra Mobility Corp</t>
  </si>
  <si>
    <t>AENA SM Equity</t>
  </si>
  <si>
    <t>Estimate (AENA SM)</t>
  </si>
  <si>
    <t>Aena SME SA</t>
  </si>
  <si>
    <t>DSY FP Equity</t>
  </si>
  <si>
    <t>Estimate (DSY FP)</t>
  </si>
  <si>
    <t>Dassault Systemes SE</t>
  </si>
  <si>
    <t>Oracle Corp</t>
  </si>
  <si>
    <t>RKT LN Equity</t>
  </si>
  <si>
    <t>Estimate (RKT LN)</t>
  </si>
  <si>
    <t>Reckitt Benckiser Group PLC</t>
  </si>
  <si>
    <t>2021A CF (000034 CH)</t>
  </si>
  <si>
    <t>Digital China Group Co Ltd</t>
  </si>
  <si>
    <t>262840 KS Equity</t>
  </si>
  <si>
    <t>2025C3 CF (262840 KS)</t>
  </si>
  <si>
    <t>IQUEST Co Ltd</t>
  </si>
  <si>
    <t>4813 JP Equity</t>
  </si>
  <si>
    <t>2023Q1 CF (4813 JP)</t>
  </si>
  <si>
    <t>Access Co Ltd</t>
  </si>
  <si>
    <t>BYIT LN Equity</t>
  </si>
  <si>
    <t>2023A CF (BYIT LN)</t>
  </si>
  <si>
    <t>Bytes Technology Group PLC</t>
  </si>
  <si>
    <t>2023Q1 CF (CDW US)</t>
  </si>
  <si>
    <t>ADBE US Equity</t>
  </si>
  <si>
    <t>Estimate (ADBE US)</t>
  </si>
  <si>
    <t>Adobe Inc</t>
  </si>
  <si>
    <t>GNL US Equity</t>
  </si>
  <si>
    <t>2024A CF (GNL US)</t>
  </si>
  <si>
    <t>Global Net Lease Inc</t>
  </si>
  <si>
    <t>Estimate (BBOX IN)</t>
  </si>
  <si>
    <t>IVT US Equity</t>
  </si>
  <si>
    <t>2024Q4 CF (IVT US)</t>
  </si>
  <si>
    <t>InvenTrust Properties Corp</t>
  </si>
  <si>
    <t>004800 KS Equity</t>
  </si>
  <si>
    <t>2025C3 CF (004800 KS)</t>
  </si>
  <si>
    <t>Hyosung Corp</t>
  </si>
  <si>
    <t>ARAMCO AB Equity</t>
  </si>
  <si>
    <t>2025A CF (NBR US)</t>
  </si>
  <si>
    <t>Saudi Arabian Oil Co</t>
  </si>
  <si>
    <t>2022A CF (NBR US)</t>
  </si>
  <si>
    <t>Halliburton Co</t>
  </si>
  <si>
    <t>ICDIQ US Equity</t>
  </si>
  <si>
    <t>2024Q3 CF (ICDIQ US)</t>
  </si>
  <si>
    <t>Independence Contract Drilling Inc</t>
  </si>
  <si>
    <t>2023A CF (EXE US)</t>
  </si>
  <si>
    <t>Gunvor Group Ltd</t>
  </si>
  <si>
    <t>VLO US Equity</t>
  </si>
  <si>
    <t>Valero Energy Corp</t>
  </si>
  <si>
    <t>2023Q3 CF (DLX US)</t>
  </si>
  <si>
    <t>Deluxe Corp</t>
  </si>
  <si>
    <t>FISV US Equity</t>
  </si>
  <si>
    <t>2023C3 CF (FISV US)</t>
  </si>
  <si>
    <t>Fiserv Inc</t>
  </si>
  <si>
    <t>Company News (BMC US)</t>
  </si>
  <si>
    <t>Microsoft Corp</t>
  </si>
  <si>
    <t>Estimate (ARW US)</t>
  </si>
  <si>
    <t>Cisco Systems Inc</t>
  </si>
  <si>
    <t>FANG US Equity</t>
  </si>
  <si>
    <t>2024A CF (FANG US)</t>
  </si>
  <si>
    <t>Diamondback Energy Inc</t>
  </si>
  <si>
    <t>600777 CH Equity</t>
  </si>
  <si>
    <t>2024A CF (600777 CH)</t>
  </si>
  <si>
    <t>Shandong Xinchao Energy Corp Ltd</t>
  </si>
  <si>
    <t>3382 JP Equity</t>
  </si>
  <si>
    <t>Seven &amp; i Holdings Co Ltd</t>
  </si>
  <si>
    <t>2024Q3 CF (COEP US)</t>
  </si>
  <si>
    <t>1913247D US Equity</t>
  </si>
  <si>
    <t>VyGen-Bio Inc</t>
  </si>
  <si>
    <t>2251269D US Equity</t>
  </si>
  <si>
    <t>Deverra Therapeutics Inc</t>
  </si>
  <si>
    <t>2024A CF (IQST US)</t>
  </si>
  <si>
    <t>iQSTEL Inc</t>
  </si>
  <si>
    <t>COHR US Equity</t>
  </si>
  <si>
    <t>Estimate (COHR US)</t>
  </si>
  <si>
    <t>Coherent Corp</t>
  </si>
  <si>
    <t>TIKK US Equity</t>
  </si>
  <si>
    <t>Estimate (TIKK US)</t>
  </si>
  <si>
    <t>Tel-Instrument Electronics Corp</t>
  </si>
  <si>
    <t>AIRI US Equity</t>
  </si>
  <si>
    <t>Estimate (AIRI US)</t>
  </si>
  <si>
    <t>Air Industries Group</t>
  </si>
  <si>
    <t>AIR US Equity</t>
  </si>
  <si>
    <t>Estimate (AIR US)</t>
  </si>
  <si>
    <t>AAR Corp</t>
  </si>
  <si>
    <t>2362763D US Equity</t>
  </si>
  <si>
    <t>Company News (AME US)</t>
  </si>
  <si>
    <t>Artisight Inc</t>
  </si>
  <si>
    <t>Allergan USA Inc</t>
  </si>
  <si>
    <t>2021A CF (034730 KS)</t>
  </si>
  <si>
    <t>0670269D US Equity</t>
  </si>
  <si>
    <t>Abon Pharmaceuticals LLC</t>
  </si>
  <si>
    <t>1680662D US Equity</t>
  </si>
  <si>
    <t>2023Q3 CF (ENDPQ US)</t>
  </si>
  <si>
    <t>Nevakar Inc</t>
  </si>
  <si>
    <t>1777591D US Equity</t>
  </si>
  <si>
    <t>Company News (ENDPQ US)</t>
  </si>
  <si>
    <t>Slayback Pharma LLC</t>
  </si>
  <si>
    <t>REG US Equity</t>
  </si>
  <si>
    <t>2025A CF (REG US)</t>
  </si>
  <si>
    <t>Regency Centers Corp</t>
  </si>
  <si>
    <t>CUZ US Equity</t>
  </si>
  <si>
    <t>2025A CF (CUZ US)</t>
  </si>
  <si>
    <t>Cousins Properties Inc</t>
  </si>
  <si>
    <t>CDP US Equity</t>
  </si>
  <si>
    <t>2024A CF (CDP US)</t>
  </si>
  <si>
    <t>COPT Defense Properties</t>
  </si>
  <si>
    <t>Estimate (EMR US)</t>
  </si>
  <si>
    <t>Emerson Electric Co</t>
  </si>
  <si>
    <t>Estimate (PFE US)</t>
  </si>
  <si>
    <t>Pfizer Inc</t>
  </si>
  <si>
    <t>FLEX US Equity</t>
  </si>
  <si>
    <t>Estimate (FLEX US)</t>
  </si>
  <si>
    <t>Flex Ltd</t>
  </si>
  <si>
    <t>JBL US Equity</t>
  </si>
  <si>
    <t>Estimate (JBL US)</t>
  </si>
  <si>
    <t>Jabil Inc</t>
  </si>
  <si>
    <t>FDX US Equity</t>
  </si>
  <si>
    <t>Estimate (FDX US)</t>
  </si>
  <si>
    <t>FedEx Corp</t>
  </si>
  <si>
    <t>FE US Equity</t>
  </si>
  <si>
    <t>2021A CF (FE US)</t>
  </si>
  <si>
    <t>FirstEnergy Corp</t>
  </si>
  <si>
    <t>Company News (FICO US)</t>
  </si>
  <si>
    <t>Fair Isaac Corp</t>
  </si>
  <si>
    <t>2023Q2 CF (VYX US)</t>
  </si>
  <si>
    <t>NCR Voyix Corp</t>
  </si>
  <si>
    <t>Company News (NMRK US)</t>
  </si>
  <si>
    <t>Newmark Group Inc</t>
  </si>
  <si>
    <t>2025Q4 CF (DY US)</t>
  </si>
  <si>
    <t>Dycom Industries Inc</t>
  </si>
  <si>
    <t>WITH FH Equity</t>
  </si>
  <si>
    <t>2021A CF (WITH FH)</t>
  </si>
  <si>
    <t>WithSecure Oyj</t>
  </si>
  <si>
    <t>ADTN US Equity</t>
  </si>
  <si>
    <t>2022Q3 CF (ADTN US)</t>
  </si>
  <si>
    <t>ADTRAN Holdings Inc</t>
  </si>
  <si>
    <t>Company News (WINMQ US)</t>
  </si>
  <si>
    <t>1605612D IN Equity</t>
  </si>
  <si>
    <t>Company News (1605612D IN)</t>
  </si>
  <si>
    <t>Prodapt Solutions Pvt Ltd</t>
  </si>
  <si>
    <t>INFA US Equity</t>
  </si>
  <si>
    <t>2025Q1 CF (INFA US)</t>
  </si>
  <si>
    <t>Informatica Inc</t>
  </si>
  <si>
    <t>Estimate (XPO US)</t>
  </si>
  <si>
    <t>XPO Inc</t>
  </si>
  <si>
    <t>OERL SW Equity</t>
  </si>
  <si>
    <t>Estimate (OERL SW)</t>
  </si>
  <si>
    <t>OC Oerlikon Corp AG Pfaeffikon</t>
  </si>
  <si>
    <t>RDWR US Equity</t>
  </si>
  <si>
    <t>Estimate (RDWR US)</t>
  </si>
  <si>
    <t>Radware Ltd</t>
  </si>
  <si>
    <t>078930 KS Equity</t>
  </si>
  <si>
    <t>2025C3 CF (078930 KS)</t>
  </si>
  <si>
    <t>GS Holdings Corp</t>
  </si>
  <si>
    <t>301356 CH Equity</t>
  </si>
  <si>
    <t>2024S1 CF (301356 CH)</t>
  </si>
  <si>
    <t>Zhejiang Tianzhen Technology Co Ltd</t>
  </si>
  <si>
    <t>TSEM IT Equity</t>
  </si>
  <si>
    <t>Estimate (TSEM IT)</t>
  </si>
  <si>
    <t>Tower Semiconductor Ltd</t>
  </si>
  <si>
    <t>AIXA GR Equity</t>
  </si>
  <si>
    <t>Estimate (AIXA GR)</t>
  </si>
  <si>
    <t>AIXTRON SE</t>
  </si>
  <si>
    <t>042700 KS Equity</t>
  </si>
  <si>
    <t>Estimate (042700 KS)</t>
  </si>
  <si>
    <t>Hanmi Semiconductor Co Ltd</t>
  </si>
  <si>
    <t>000660 KS Equity</t>
  </si>
  <si>
    <t>Company News (VSH US)</t>
  </si>
  <si>
    <t>SK hynix Inc</t>
  </si>
  <si>
    <t>003026 CH Equity</t>
  </si>
  <si>
    <t>2024A CF (003026 CH)</t>
  </si>
  <si>
    <t>Zhejiang MTCN Technology Co Ltd</t>
  </si>
  <si>
    <t>GFS US Equity</t>
  </si>
  <si>
    <t>Estimate (GFS US)</t>
  </si>
  <si>
    <t>GLOBALFOUNDRIES Inc</t>
  </si>
  <si>
    <t>AMKR US Equity</t>
  </si>
  <si>
    <t>Estimate (AMKR US)</t>
  </si>
  <si>
    <t>Amkor Technology Inc</t>
  </si>
  <si>
    <t>MU US Equity</t>
  </si>
  <si>
    <t>Estimate (MU US)</t>
  </si>
  <si>
    <t>Micron Technology Inc</t>
  </si>
  <si>
    <t>IFX GR Equity</t>
  </si>
  <si>
    <t>Estimate (IFX GR)</t>
  </si>
  <si>
    <t>Infineon Technologies AG</t>
  </si>
  <si>
    <t>Estimate (KLAC US)</t>
  </si>
  <si>
    <t>KLA Corp</t>
  </si>
  <si>
    <t>2024A CF (PDM US)</t>
  </si>
  <si>
    <t>Piedmont Realty Trust Inc</t>
  </si>
  <si>
    <t>OMEX US Equity</t>
  </si>
  <si>
    <t>2024A CF (OMEX US)</t>
  </si>
  <si>
    <t>Odyssey Marine Exploration Inc</t>
  </si>
  <si>
    <t>5009 TT Equity</t>
  </si>
  <si>
    <t>2025C3 CF (5009 TT)</t>
  </si>
  <si>
    <t>Gloria Material Technology Corp</t>
  </si>
  <si>
    <t>Estimate (MOG/A US)</t>
  </si>
  <si>
    <t>Moog Inc</t>
  </si>
  <si>
    <t>000859 CH Equity</t>
  </si>
  <si>
    <t>2024A CF (000859 CH)</t>
  </si>
  <si>
    <t>Anhui Guofeng New Materials Co Ltd</t>
  </si>
  <si>
    <t>2184175D US Equity</t>
  </si>
  <si>
    <t>Company News (MIDD US)</t>
  </si>
  <si>
    <t>Davisware LLC</t>
  </si>
  <si>
    <t>AEE US Equity</t>
  </si>
  <si>
    <t>2021A CF (AEE US)</t>
  </si>
  <si>
    <t>Ameren Corp</t>
  </si>
  <si>
    <t>AEP US Equity</t>
  </si>
  <si>
    <t>2021A CF (AEP US)</t>
  </si>
  <si>
    <t>American Electric Power Co Inc</t>
  </si>
  <si>
    <t>VREX US Equity</t>
  </si>
  <si>
    <t>Estimate (VREX US)</t>
  </si>
  <si>
    <t>Varex Imaging Corp</t>
  </si>
  <si>
    <t>SCAN CN Equity</t>
  </si>
  <si>
    <t>Company News (SCAN CN)</t>
  </si>
  <si>
    <t>Liberty Defense Holdings Ltd</t>
  </si>
  <si>
    <t>NG/ LN Equity</t>
  </si>
  <si>
    <t>2021A CF (NG/ LN)</t>
  </si>
  <si>
    <t>National Grid PLC</t>
  </si>
  <si>
    <t>XEL US Equity</t>
  </si>
  <si>
    <t>2021A CF (XEL US)</t>
  </si>
  <si>
    <t>Xcel Energy Inc</t>
  </si>
  <si>
    <t>AVG LN Equity</t>
  </si>
  <si>
    <t>2025A CF (AVG LN)</t>
  </si>
  <si>
    <t>Avingtrans PLC</t>
  </si>
  <si>
    <t>TJX US Equity</t>
  </si>
  <si>
    <t>2024A CF (SITC US)</t>
  </si>
  <si>
    <t>TJX Cos Inc/The</t>
  </si>
  <si>
    <t>Dick's Sporting Goods Inc</t>
  </si>
  <si>
    <t>BURL US Equity</t>
  </si>
  <si>
    <t>Burlington Stores Inc</t>
  </si>
  <si>
    <t>Kroger Co/The</t>
  </si>
  <si>
    <t>PETM US Equity</t>
  </si>
  <si>
    <t>PetSmart LLC</t>
  </si>
  <si>
    <t>AT&amp;T Inc</t>
  </si>
  <si>
    <t>992 HK Equity</t>
  </si>
  <si>
    <t>Lenovo Group Ltd</t>
  </si>
  <si>
    <t>2025A CF (REGN US)</t>
  </si>
  <si>
    <t>Sanofi SA</t>
  </si>
  <si>
    <t>2024A CF (REGN US)</t>
  </si>
  <si>
    <t>Cencora Inc</t>
  </si>
  <si>
    <t>MCK US Equity</t>
  </si>
  <si>
    <t>McKesson Corp</t>
  </si>
  <si>
    <t>BAYN GR Equity</t>
  </si>
  <si>
    <t>Bayer AG</t>
  </si>
  <si>
    <t>Estimate (REGN US)</t>
  </si>
  <si>
    <t>ACI US Equity</t>
  </si>
  <si>
    <t>Company News (ACI US)</t>
  </si>
  <si>
    <t>Albertsons Cos Inc</t>
  </si>
  <si>
    <t>GROM US Equity</t>
  </si>
  <si>
    <t>Company News (GROM US)</t>
  </si>
  <si>
    <t>Grom Social Enterprises Inc</t>
  </si>
  <si>
    <t>Estimate (NVDA US)</t>
  </si>
  <si>
    <t>NVIDIA Corp</t>
  </si>
  <si>
    <t>AMD US Equity</t>
  </si>
  <si>
    <t>Estimate (AMD US)</t>
  </si>
  <si>
    <t>Advanced Micro Devices Inc</t>
  </si>
  <si>
    <t>AVGO US Equity</t>
  </si>
  <si>
    <t>Estimate (AVGO US)</t>
  </si>
  <si>
    <t>Broadcom Inc</t>
  </si>
  <si>
    <t>ANET US Equity</t>
  </si>
  <si>
    <t>Estimate (ANET US)</t>
  </si>
  <si>
    <t>Arista Networks Inc</t>
  </si>
  <si>
    <t>Estimate (WDC US)</t>
  </si>
  <si>
    <t>Western Digital Corp</t>
  </si>
  <si>
    <t>2026Q3 CF (DY US)</t>
  </si>
  <si>
    <t>LUMN US Equity</t>
  </si>
  <si>
    <t>Lumen Technologies Inc</t>
  </si>
  <si>
    <t>2258288D US Equity</t>
  </si>
  <si>
    <t>Connect Holdings LLC</t>
  </si>
  <si>
    <t>CMCSA US Equity</t>
  </si>
  <si>
    <t>Comcast Corp</t>
  </si>
  <si>
    <t>CHTR US Equity</t>
  </si>
  <si>
    <t>Charter Communications Inc</t>
  </si>
  <si>
    <t>2024A CF (BYL CN)</t>
  </si>
  <si>
    <t>Baylin Technologies Inc</t>
  </si>
  <si>
    <t>CTOS US Equity</t>
  </si>
  <si>
    <t>2025Q2 CF (CTOS US)</t>
  </si>
  <si>
    <t>Custom Truck One Source Inc</t>
  </si>
  <si>
    <t>2024A CF (GLW US)</t>
  </si>
  <si>
    <t>Corning Inc</t>
  </si>
  <si>
    <t>EMBASSY IN Equity</t>
  </si>
  <si>
    <t>2022A CF (EMBASSY IN)</t>
  </si>
  <si>
    <t>Embassy Office Parks REIT</t>
  </si>
  <si>
    <t>MCFE US Equity</t>
  </si>
  <si>
    <t>Company News (MCFE US)</t>
  </si>
  <si>
    <t>McAfee Corp</t>
  </si>
  <si>
    <t>Estimate (3101 JP)</t>
  </si>
  <si>
    <t>Toyobo Co Ltd</t>
  </si>
  <si>
    <t>037640 KF Equity</t>
  </si>
  <si>
    <t>2022C1 CF (037640 KF)</t>
  </si>
  <si>
    <t>GS Entec Corp</t>
  </si>
  <si>
    <t>AES US Equity</t>
  </si>
  <si>
    <t>2021A CF (AES US)</t>
  </si>
  <si>
    <t>AES Corp/The</t>
  </si>
  <si>
    <t>2021A CF (BRK/A US)</t>
  </si>
  <si>
    <t>2021A CF (CMS US)</t>
  </si>
  <si>
    <t>CMS Energy Corp</t>
  </si>
  <si>
    <t>2025A CF (TXT US)</t>
  </si>
  <si>
    <t>Estimate (TXT US)</t>
  </si>
  <si>
    <t>GM US Equity</t>
  </si>
  <si>
    <t>General Motors Co</t>
  </si>
  <si>
    <t>Estimate (SAN FP)</t>
  </si>
  <si>
    <t>3692 HK Equity</t>
  </si>
  <si>
    <t>2025S1 CF (3692 HK)</t>
  </si>
  <si>
    <t>Hansoh Pharmaceutical Group Co Ltd</t>
  </si>
  <si>
    <t>ALNY US Equity</t>
  </si>
  <si>
    <t>R&amp;D</t>
  </si>
  <si>
    <t>2025A CF (ALNY US)</t>
  </si>
  <si>
    <t>Alnylam Pharmaceuticals Inc</t>
  </si>
  <si>
    <t>Estimate (CRL US)</t>
  </si>
  <si>
    <t>Charles River Laboratories International Inc</t>
  </si>
  <si>
    <t>DIM FP Equity</t>
  </si>
  <si>
    <t>Estimate (DIM FP)</t>
  </si>
  <si>
    <t>Sartorius Stedim Biotech</t>
  </si>
  <si>
    <t>ADI US Equity</t>
  </si>
  <si>
    <t>Estimate (ADI US)</t>
  </si>
  <si>
    <t>Analog Devices Inc</t>
  </si>
  <si>
    <t>Estimate (HPE US)</t>
  </si>
  <si>
    <t>Hewlett Packard Enterprise Co</t>
  </si>
  <si>
    <t>NTAP US Equity</t>
  </si>
  <si>
    <t>2026Q3 CF (NTAP US)</t>
  </si>
  <si>
    <t>NetApp Inc</t>
  </si>
  <si>
    <t>DELL US Equity</t>
  </si>
  <si>
    <t>Dell Technologies Inc</t>
  </si>
  <si>
    <t>TXN US Equity</t>
  </si>
  <si>
    <t>Estimate (TXN US)</t>
  </si>
  <si>
    <t>Texas Instruments Inc</t>
  </si>
  <si>
    <t>2025A CF (WK US)</t>
  </si>
  <si>
    <t>Workiva Inc</t>
  </si>
  <si>
    <t>Company News (DNA US)</t>
  </si>
  <si>
    <t>United States Department of Health &amp; Human Services</t>
  </si>
  <si>
    <t>0243048Z US Equity</t>
  </si>
  <si>
    <t>DOD DODSEC Defense Threat Reduction Agency</t>
  </si>
  <si>
    <t>1824088D US Equity</t>
  </si>
  <si>
    <t>Visolis Inc</t>
  </si>
  <si>
    <t>1901946D CN Equity</t>
  </si>
  <si>
    <t>FREDsense Technologies Corp</t>
  </si>
  <si>
    <t>3345038Z US Equity</t>
  </si>
  <si>
    <t>Foremost Farms USA Cooperative</t>
  </si>
  <si>
    <t>Estimate (NKE US)</t>
  </si>
  <si>
    <t>NIKE Inc</t>
  </si>
  <si>
    <t>ADS GR Equity</t>
  </si>
  <si>
    <t>Estimate (ADS GR)</t>
  </si>
  <si>
    <t>adidas AG</t>
  </si>
  <si>
    <t>PUM GR Equity</t>
  </si>
  <si>
    <t>Estimate (PUM GR)</t>
  </si>
  <si>
    <t>Puma SE</t>
  </si>
  <si>
    <t>UAA US Equity</t>
  </si>
  <si>
    <t>Estimate (UAA US)</t>
  </si>
  <si>
    <t>Under Armour Inc</t>
  </si>
  <si>
    <t>2020 HK Equity</t>
  </si>
  <si>
    <t>Estimate (DKS US)</t>
  </si>
  <si>
    <t>ANTA Sports Products Ltd</t>
  </si>
  <si>
    <t>2024A CF (300703 CH)</t>
  </si>
  <si>
    <t>Cre8 Direct Ningbo Co Ltd</t>
  </si>
  <si>
    <t>2454 TT Equity</t>
  </si>
  <si>
    <t>Estimate (2454 TT)</t>
  </si>
  <si>
    <t>MediaTek Inc</t>
  </si>
  <si>
    <t>000990 KS Equity</t>
  </si>
  <si>
    <t>Estimate (000990 KS)</t>
  </si>
  <si>
    <t>DB HiTek Co Ltd</t>
  </si>
  <si>
    <t>UPS US Equity</t>
  </si>
  <si>
    <t>Estimate (UPS US)</t>
  </si>
  <si>
    <t>United Parcel Service Inc</t>
  </si>
  <si>
    <t>META US Equity</t>
  </si>
  <si>
    <t>Meta Platforms Inc</t>
  </si>
  <si>
    <t>SMCI US Equity</t>
  </si>
  <si>
    <t>Super Micro Computer Inc</t>
  </si>
  <si>
    <t>VNO US Equity</t>
  </si>
  <si>
    <t>2022A CF (VNO US)</t>
  </si>
  <si>
    <t>Vornado Realty Trust</t>
  </si>
  <si>
    <t>Company News (2153972Z LN)</t>
  </si>
  <si>
    <t>Brc Imagination Arts Inc</t>
  </si>
  <si>
    <t>EVLV US Equity</t>
  </si>
  <si>
    <t>2024Q2 CF (EVLV US)</t>
  </si>
  <si>
    <t>Evolv Technologies Holdings Inc</t>
  </si>
  <si>
    <t>FCPT US Equity</t>
  </si>
  <si>
    <t>2023A CF (FCPT US)</t>
  </si>
  <si>
    <t>Four Corners Property Trust Inc</t>
  </si>
  <si>
    <t>PRGS US Equity</t>
  </si>
  <si>
    <t>2023Q1 CF (PRGS US)</t>
  </si>
  <si>
    <t>Progress Software Corp</t>
  </si>
  <si>
    <t>2024A CF (HCKT US)</t>
  </si>
  <si>
    <t>Coupa Software Inc</t>
  </si>
  <si>
    <t>SAP GR Equity</t>
  </si>
  <si>
    <t>SAP SE</t>
  </si>
  <si>
    <t>Estimate (000660 KS)</t>
  </si>
  <si>
    <t>KRC US Equity</t>
  </si>
  <si>
    <t>2025A CF (KRC US)</t>
  </si>
  <si>
    <t>Kilroy Realty Corp</t>
  </si>
  <si>
    <t>Estimate (MSFT US)</t>
  </si>
  <si>
    <t>002635 CH Equity</t>
  </si>
  <si>
    <t>Estimate (002635 CH)</t>
  </si>
  <si>
    <t>Suzhou Anjie Technology Co Ltd</t>
  </si>
  <si>
    <t>Estimate (MRK US)</t>
  </si>
  <si>
    <t>2025Q3 CF (MRK US)</t>
  </si>
  <si>
    <t>Bristol-Myers Squibb Co</t>
  </si>
  <si>
    <t>OGN US Equity</t>
  </si>
  <si>
    <t>2024A CF (MRK US)</t>
  </si>
  <si>
    <t>Organon &amp; Co</t>
  </si>
  <si>
    <t>Estimate (ILMN US)</t>
  </si>
  <si>
    <t>Illumina Inc</t>
  </si>
  <si>
    <t>000639 CH Equity</t>
  </si>
  <si>
    <t>2022A CF (000639 CH)</t>
  </si>
  <si>
    <t>Xiwang Foodstuffs Co Ltd</t>
  </si>
  <si>
    <t>RCMT US Equity</t>
  </si>
  <si>
    <t>2021A CF (RCMT US)</t>
  </si>
  <si>
    <t>RCM Technologies Inc</t>
  </si>
  <si>
    <t>RNAC US Equity</t>
  </si>
  <si>
    <t>2023A CF (RNAC US)</t>
  </si>
  <si>
    <t>Cartesian Therapeutics Inc</t>
  </si>
  <si>
    <t>RR/ LN Equity</t>
  </si>
  <si>
    <t>Estimate (RR/ LN)</t>
  </si>
  <si>
    <t>Rolls-Royce Holdings PLC</t>
  </si>
  <si>
    <t>Estimate (RTX US)</t>
  </si>
  <si>
    <t>Estimate (HON US)</t>
  </si>
  <si>
    <t>Honeywell International Inc</t>
  </si>
  <si>
    <t>Estimate (GE US)</t>
  </si>
  <si>
    <t>General Electric Co</t>
  </si>
  <si>
    <t>Estimate (SANM US)</t>
  </si>
  <si>
    <t>Sanmina Corp</t>
  </si>
  <si>
    <t>2024Q3 CF (BILL US)</t>
  </si>
  <si>
    <t>BILL Holdings Inc</t>
  </si>
  <si>
    <t>CFLT US Equity</t>
  </si>
  <si>
    <t>2025Q3 CF (CFLT US)</t>
  </si>
  <si>
    <t>Confluent Inc</t>
  </si>
  <si>
    <t>DT US Equity</t>
  </si>
  <si>
    <t>2022A CF (DT US)</t>
  </si>
  <si>
    <t>Dynatrace Inc</t>
  </si>
  <si>
    <t>HCP US Equity</t>
  </si>
  <si>
    <t>2023Q1 CF (HCP US)</t>
  </si>
  <si>
    <t>HashiCorp Inc</t>
  </si>
  <si>
    <t>NCNO US Equity</t>
  </si>
  <si>
    <t>2023A CF (NCNO US)</t>
  </si>
  <si>
    <t>nCino Inc</t>
  </si>
  <si>
    <t>Estimate (WMS US)</t>
  </si>
  <si>
    <t>Advanced Drainage Systems Inc</t>
  </si>
  <si>
    <t>2025C3 CF (066570 KS)</t>
  </si>
  <si>
    <t>ALST SP Equity</t>
  </si>
  <si>
    <t>2023A CF (ALST SP)</t>
  </si>
  <si>
    <t>Alset International Ltd</t>
  </si>
  <si>
    <t>VHI US Equity</t>
  </si>
  <si>
    <t>2021A CF (VHI US)</t>
  </si>
  <si>
    <t>Valhi Inc</t>
  </si>
  <si>
    <t>2024A CF (WELL US)</t>
  </si>
  <si>
    <t>Welltower Inc</t>
  </si>
  <si>
    <t>DOC US Equity</t>
  </si>
  <si>
    <t>2023A CF (DOC US)</t>
  </si>
  <si>
    <t>Healthpeak Properties Inc</t>
  </si>
  <si>
    <t>2023Q1 CF (NICE IT)</t>
  </si>
  <si>
    <t>Nice Ltd</t>
  </si>
  <si>
    <t>3060 TT Equity</t>
  </si>
  <si>
    <t>2024A CF (3060 TT)</t>
  </si>
  <si>
    <t>MIN AIK Technology Co Ltd</t>
  </si>
  <si>
    <t>5985 JP Equity</t>
  </si>
  <si>
    <t>2025A CF (5985 JP)</t>
  </si>
  <si>
    <t>Suncall Corp</t>
  </si>
  <si>
    <t>STMPA FP Equity</t>
  </si>
  <si>
    <t>Estimate (STMPA FP)</t>
  </si>
  <si>
    <t>STMicroelectronics NV</t>
  </si>
  <si>
    <t>Company News (FLWS US)</t>
  </si>
  <si>
    <t>CMRC US Equity</t>
  </si>
  <si>
    <t>Company News (CMRC US)</t>
  </si>
  <si>
    <t>Commerce.com Inc</t>
  </si>
  <si>
    <t>2024A CF (RDNT US)</t>
  </si>
  <si>
    <t>KEY Equipment Inc</t>
  </si>
  <si>
    <t>1927684D IT Equity</t>
  </si>
  <si>
    <t>Company News (RDNT US)</t>
  </si>
  <si>
    <t>Maverick Medical AI Ltd</t>
  </si>
  <si>
    <t>ASRT US Equity</t>
  </si>
  <si>
    <t>Assertio Holdings Inc</t>
  </si>
  <si>
    <t>HOLX US Equity</t>
  </si>
  <si>
    <t>Hologic Inc</t>
  </si>
  <si>
    <t>AZN LN Equity</t>
  </si>
  <si>
    <t>2025A CF (MRK US)</t>
  </si>
  <si>
    <t>AstraZeneca PLC</t>
  </si>
  <si>
    <t>Estimate (JNJ US)</t>
  </si>
  <si>
    <t>Johnson &amp; Johnson</t>
  </si>
  <si>
    <t>2503567D CH Equity</t>
  </si>
  <si>
    <t>LaNova Medicines Ltd</t>
  </si>
  <si>
    <t>HCLT IN Equity</t>
  </si>
  <si>
    <t>Estimate (HCLT IN)</t>
  </si>
  <si>
    <t>HCL Technologies Ltd</t>
  </si>
  <si>
    <t>2025A CF (NCNO US)</t>
  </si>
  <si>
    <t>2025A CF (ICRA IN)</t>
  </si>
  <si>
    <t>ICRA Ltd</t>
  </si>
  <si>
    <t>1972 HK Equity</t>
  </si>
  <si>
    <t>2024A CF (1972 HK)</t>
  </si>
  <si>
    <t>Swire Properties Ltd</t>
  </si>
  <si>
    <t>87001 HK Equity</t>
  </si>
  <si>
    <t>2024S1 CF (87001 HK)</t>
  </si>
  <si>
    <t>Hui Xian Real Estate Investment Trust</t>
  </si>
  <si>
    <t>BIRET IN Equity</t>
  </si>
  <si>
    <t>2025A CF (BIRET IN)</t>
  </si>
  <si>
    <t>Brookfield India Real Estate Trust</t>
  </si>
  <si>
    <t>BUC LN Equity</t>
  </si>
  <si>
    <t>2021A CF (BUC LN)</t>
  </si>
  <si>
    <t>Built Cybernetics PLC</t>
  </si>
  <si>
    <t>SAF FP Equity</t>
  </si>
  <si>
    <t>Estimate (SAF FP)</t>
  </si>
  <si>
    <t>Safran SA</t>
  </si>
  <si>
    <t>MTX GR Equity</t>
  </si>
  <si>
    <t>Estimate (MTX GR)</t>
  </si>
  <si>
    <t>MTU Aero Engines AG</t>
  </si>
  <si>
    <t>HWM US Equity</t>
  </si>
  <si>
    <t>2025A CF (HWM US)</t>
  </si>
  <si>
    <t>Howmet Aerospace Inc</t>
  </si>
  <si>
    <t>SARO US Equity</t>
  </si>
  <si>
    <t>Estimate (SARO US)</t>
  </si>
  <si>
    <t>StandardAero Inc</t>
  </si>
  <si>
    <t>ATI US Equity</t>
  </si>
  <si>
    <t>Estimate (ATI US)</t>
  </si>
  <si>
    <t>ATI Inc</t>
  </si>
  <si>
    <t>3711 TT Equity</t>
  </si>
  <si>
    <t>Estimate (3711 TT)</t>
  </si>
  <si>
    <t>ASE Technology Holding Co Ltd</t>
  </si>
  <si>
    <t>3105 TT Equity</t>
  </si>
  <si>
    <t>Estimate (3105 TT)</t>
  </si>
  <si>
    <t>Win Semiconductors Corp</t>
  </si>
  <si>
    <t>IQE LN Equity</t>
  </si>
  <si>
    <t>Estimate (IQE LN)</t>
  </si>
  <si>
    <t>IQE PLC</t>
  </si>
  <si>
    <t>AEHR US Equity</t>
  </si>
  <si>
    <t>Estimate (AEHR US)</t>
  </si>
  <si>
    <t>Aehr Test Systems</t>
  </si>
  <si>
    <t>2025A CF (NSIT US)</t>
  </si>
  <si>
    <t>Estimate (NSIT US)</t>
  </si>
  <si>
    <t>GOOGL US Equity</t>
  </si>
  <si>
    <t>Alphabet Inc</t>
  </si>
  <si>
    <t>2024A CF (VOYG US)</t>
  </si>
  <si>
    <t>Voyager Technologies Inc</t>
  </si>
  <si>
    <t>CW US Equity</t>
  </si>
  <si>
    <t>Estimate (CW US)</t>
  </si>
  <si>
    <t>Curtiss-Wright Corp</t>
  </si>
  <si>
    <t>HEI US Equity</t>
  </si>
  <si>
    <t>Estimate (HEI US)</t>
  </si>
  <si>
    <t>HEICO Corp</t>
  </si>
  <si>
    <t>AMPX US Equity</t>
  </si>
  <si>
    <t>Estimate (AMPX US)</t>
  </si>
  <si>
    <t>Amprius Technologies Inc</t>
  </si>
  <si>
    <t>Estimate (VIAV US)</t>
  </si>
  <si>
    <t>Viavi Solutions Inc</t>
  </si>
  <si>
    <t>Estimate (EXTR US)</t>
  </si>
  <si>
    <t>Extreme Networks Inc</t>
  </si>
  <si>
    <t>PEG US Equity</t>
  </si>
  <si>
    <t>2021A CF (PEG US)</t>
  </si>
  <si>
    <t>Public Service Enterprise Group Inc</t>
  </si>
  <si>
    <t>TXNM US Equity</t>
  </si>
  <si>
    <t>2021A CF (TXNM US)</t>
  </si>
  <si>
    <t>TXNM Energy Inc</t>
  </si>
  <si>
    <t>EIX US Equity</t>
  </si>
  <si>
    <t>2021A CF (EIX US)</t>
  </si>
  <si>
    <t>Edison International</t>
  </si>
  <si>
    <t>2025S1 CF (3675 TT)</t>
  </si>
  <si>
    <t>Eris Technology Corp</t>
  </si>
  <si>
    <t>2025A CF (DIOD US)</t>
  </si>
  <si>
    <t>2449 TT Equity</t>
  </si>
  <si>
    <t>Estimate (2449 TT)</t>
  </si>
  <si>
    <t>King Yuan Electronics Co Ltd</t>
  </si>
  <si>
    <t>002199 CH Equity</t>
  </si>
  <si>
    <t>Estimate (002199 CH)</t>
  </si>
  <si>
    <t>Zhejiang East Crystl Electronic Co Ltd</t>
  </si>
  <si>
    <t>DUK US Equity</t>
  </si>
  <si>
    <t>2021A CF (DUK US)</t>
  </si>
  <si>
    <t>Duke Energy Corp</t>
  </si>
  <si>
    <t>KGX GR Equity</t>
  </si>
  <si>
    <t>2024Q3 CF (KGX GR)</t>
  </si>
  <si>
    <t>KION Group AG</t>
  </si>
  <si>
    <t>PPL US Equity</t>
  </si>
  <si>
    <t>2021A CF (PPL US)</t>
  </si>
  <si>
    <t>PPL Corp</t>
  </si>
  <si>
    <t>2024A CF (TVRD US)</t>
  </si>
  <si>
    <t>Tvardi Therapeutics Inc</t>
  </si>
  <si>
    <t>2021A CF (SNX US)</t>
  </si>
  <si>
    <t>2025A CF (FOR US)</t>
  </si>
  <si>
    <t>Forestar Group Inc</t>
  </si>
  <si>
    <t>WLK US Equity</t>
  </si>
  <si>
    <t>Estimate (WLK US)</t>
  </si>
  <si>
    <t>Westlake Corp</t>
  </si>
  <si>
    <t>Mohawk Industries Inc</t>
  </si>
  <si>
    <t>SHW US Equity</t>
  </si>
  <si>
    <t>Estimate (SHW US)</t>
  </si>
  <si>
    <t>Sherwin-Williams Co/The</t>
  </si>
  <si>
    <t>FBIN US Equity</t>
  </si>
  <si>
    <t>Estimate (FBIN US)</t>
  </si>
  <si>
    <t>Fortune Brands Innovations Inc</t>
  </si>
  <si>
    <t>2024A CF (NL US)</t>
  </si>
  <si>
    <t>Masco Corp</t>
  </si>
  <si>
    <t>6507Z US Equity</t>
  </si>
  <si>
    <t>United States Postal Service</t>
  </si>
  <si>
    <t>MBUU US Equity</t>
  </si>
  <si>
    <t>2022A CF (NL US)</t>
  </si>
  <si>
    <t>Malibu Boats Inc</t>
  </si>
  <si>
    <t>0426887D US Equity</t>
  </si>
  <si>
    <t>Company News (ALTR US)</t>
  </si>
  <si>
    <t>NEW York Yacht Club</t>
  </si>
  <si>
    <t>1030481D NA Equity</t>
  </si>
  <si>
    <t>Delft University of Technology</t>
  </si>
  <si>
    <t>1450092D IM Equity</t>
  </si>
  <si>
    <t>Aitek SpA</t>
  </si>
  <si>
    <t>2277578D GR Equity</t>
  </si>
  <si>
    <t>Adastra GmbH</t>
  </si>
  <si>
    <t>Estimate (LOW US)</t>
  </si>
  <si>
    <t>URI US Equity</t>
  </si>
  <si>
    <t>United Rentals Inc</t>
  </si>
  <si>
    <t>6305 JP Equity</t>
  </si>
  <si>
    <t>Hitachi Construction Machinery Co Ltd</t>
  </si>
  <si>
    <t>CTVA US Equity</t>
  </si>
  <si>
    <t>Corteva Inc</t>
  </si>
  <si>
    <t>2021A CF (ALSEA* MM)</t>
  </si>
  <si>
    <t>Alsea SAB de CV</t>
  </si>
  <si>
    <t>2023A CF (WLY US)</t>
  </si>
  <si>
    <t>Project Management Institute Inc</t>
  </si>
  <si>
    <t>0060404D US Equity</t>
  </si>
  <si>
    <t>2025A CF (WLY US)</t>
  </si>
  <si>
    <t>Center For Internet Security Inc</t>
  </si>
  <si>
    <t>0219617D US Equity</t>
  </si>
  <si>
    <t>Institute of Management Accountants Inc</t>
  </si>
  <si>
    <t>0301622Z US Equity</t>
  </si>
  <si>
    <t>2022A CF (WLY US)</t>
  </si>
  <si>
    <t>American Institute of Certified Public Accountants</t>
  </si>
  <si>
    <t>0425283D US Equity</t>
  </si>
  <si>
    <t>American Anthropological Association Inc</t>
  </si>
  <si>
    <t>Estimate (CNXN US)</t>
  </si>
  <si>
    <t>005820 KS Equity</t>
  </si>
  <si>
    <t>2025C3 CF (005820 KS)</t>
  </si>
  <si>
    <t>Wonlim Corp</t>
  </si>
  <si>
    <t>056090 KS Equity</t>
  </si>
  <si>
    <t>2025C3 CF (056090 KS)</t>
  </si>
  <si>
    <t>CG MedTech Co Ltd</t>
  </si>
  <si>
    <t>3716 TT Equity</t>
  </si>
  <si>
    <t>2024A CF (3716 TT)</t>
  </si>
  <si>
    <t>Cenra Inc</t>
  </si>
  <si>
    <t>4164 TT Equity</t>
  </si>
  <si>
    <t>2022A CF (4164 TT)</t>
  </si>
  <si>
    <t>CHC Healthcare Group</t>
  </si>
  <si>
    <t>Estimate (LPX US)</t>
  </si>
  <si>
    <t>BLDR US Equity</t>
  </si>
  <si>
    <t>Builders FirstSource Inc</t>
  </si>
  <si>
    <t>LEN US Equity</t>
  </si>
  <si>
    <t>Lennar Corp</t>
  </si>
  <si>
    <t>2024A CF (CCEP US)</t>
  </si>
  <si>
    <t>Coca-Cola Europacific Partners PLC</t>
  </si>
  <si>
    <t>FEMSAUBD MM Equity</t>
  </si>
  <si>
    <t>2024A CF (FEMSAUBD MM)</t>
  </si>
  <si>
    <t>Fomento Economico Mexicano SAB de CV</t>
  </si>
  <si>
    <t>KOFUBL MM Equity</t>
  </si>
  <si>
    <t>2025C3 CF (KOFUBL MM)</t>
  </si>
  <si>
    <t>Coca-Cola Femsa SAB de CV</t>
  </si>
  <si>
    <t>WMT US Equity</t>
  </si>
  <si>
    <t>Estimate (KO US)</t>
  </si>
  <si>
    <t>Walmart Inc</t>
  </si>
  <si>
    <t>COKE US Equity</t>
  </si>
  <si>
    <t>2025A CF (COKE US)</t>
  </si>
  <si>
    <t>Coca-Cola Consolidated Inc</t>
  </si>
  <si>
    <t>Company News (ASC LN)</t>
  </si>
  <si>
    <t>ASOS PLC</t>
  </si>
  <si>
    <t>LUV US Equity</t>
  </si>
  <si>
    <t>2025Q3 CF (LUV US)</t>
  </si>
  <si>
    <t>Southwest Airlines Co</t>
  </si>
  <si>
    <t>NEWT US Equity</t>
  </si>
  <si>
    <t>2024A CF (NEWT US)</t>
  </si>
  <si>
    <t>NewtekOne Inc</t>
  </si>
  <si>
    <t>XYZ US Equity</t>
  </si>
  <si>
    <t>2025A CF (XYZ US)</t>
  </si>
  <si>
    <t>Block Inc</t>
  </si>
  <si>
    <t>2021A CF (002293 CH)</t>
  </si>
  <si>
    <t>Luolai Lifestyle Technology Co Ltd</t>
  </si>
  <si>
    <t>015760 KS Equity</t>
  </si>
  <si>
    <t>2024C2 CF (015760 KS)</t>
  </si>
  <si>
    <t>Korea Electric Power Corp</t>
  </si>
  <si>
    <t>0197446Z US Equity</t>
  </si>
  <si>
    <t>Company News (PARA US)</t>
  </si>
  <si>
    <t>Nielsen Co US LLC/The</t>
  </si>
  <si>
    <t>051600 KS Equity</t>
  </si>
  <si>
    <t>2024A CF (051600 KS)</t>
  </si>
  <si>
    <t>KEPCO Plant Service &amp; Engineering Co Ltd</t>
  </si>
  <si>
    <t>1026Z US Equity</t>
  </si>
  <si>
    <t>Company News (1026Z US)</t>
  </si>
  <si>
    <t>Cox Enterprises Inc</t>
  </si>
  <si>
    <t>Company News (MIMOQ US)</t>
  </si>
  <si>
    <t>Alsatis</t>
  </si>
  <si>
    <t>1891233D US Equity</t>
  </si>
  <si>
    <t>Betacom Inc</t>
  </si>
  <si>
    <t>2487108D LN Equity</t>
  </si>
  <si>
    <t>BAI Communications Ltd</t>
  </si>
  <si>
    <t>2984Z GR Equity</t>
  </si>
  <si>
    <t>Cocus AG</t>
  </si>
  <si>
    <t>4755 JP Equity</t>
  </si>
  <si>
    <t>Rakuten Group Inc</t>
  </si>
  <si>
    <t>Company News (0630640D US)</t>
  </si>
  <si>
    <t>Simplisafe Inc</t>
  </si>
  <si>
    <t>2025A CF (HAS US)</t>
  </si>
  <si>
    <t>COST US Equity</t>
  </si>
  <si>
    <t>Estimate (HAS US)</t>
  </si>
  <si>
    <t>Costco Wholesale Corp</t>
  </si>
  <si>
    <t>TGT US Equity</t>
  </si>
  <si>
    <t>Target Corp</t>
  </si>
  <si>
    <t>TSCO LN Equity</t>
  </si>
  <si>
    <t>Tesco PLC</t>
  </si>
  <si>
    <t>2025A CF (7575 JP)</t>
  </si>
  <si>
    <t>Japan Lifeline Co Ltd</t>
  </si>
  <si>
    <t>2026Q1 CF (KLIC US)</t>
  </si>
  <si>
    <t>Tianshui Huatian Technology Co Ltd</t>
  </si>
  <si>
    <t>2768 JP Equity</t>
  </si>
  <si>
    <t>2025Q1 CF (KLIC US)</t>
  </si>
  <si>
    <t>Sojitz Corp</t>
  </si>
  <si>
    <t>INTC US Equity</t>
  </si>
  <si>
    <t>Estimate (KLIC US)</t>
  </si>
  <si>
    <t>Intel Corp</t>
  </si>
  <si>
    <t>Company News (9994967D US)</t>
  </si>
  <si>
    <t>National Service Source Inc</t>
  </si>
  <si>
    <t>2022A CF (9994967D US)</t>
  </si>
  <si>
    <t>FUBO US Equity</t>
  </si>
  <si>
    <t>Company News (FUBO US)</t>
  </si>
  <si>
    <t>fuboTV Inc</t>
  </si>
  <si>
    <t>PCAR US Equity</t>
  </si>
  <si>
    <t>Estimate (PCAR US)</t>
  </si>
  <si>
    <t>PACCAR Inc</t>
  </si>
  <si>
    <t>037330 KS Equity</t>
  </si>
  <si>
    <t>2025C3 CF (037330 KS)</t>
  </si>
  <si>
    <t>INZI Display Co Ltd</t>
  </si>
  <si>
    <t>RAIL US Equity</t>
  </si>
  <si>
    <t>2022A CF (RAIL US)</t>
  </si>
  <si>
    <t>FreightCar America Inc</t>
  </si>
  <si>
    <t>2024Q1 CF (WNC US)</t>
  </si>
  <si>
    <t>Wabash National Corp</t>
  </si>
  <si>
    <t>Insight Enterprises Inc</t>
  </si>
  <si>
    <t>2025C2 CF (004800 KS)</t>
  </si>
  <si>
    <t>ACIW US Equity</t>
  </si>
  <si>
    <t>2024Q3 CF (ACIW US)</t>
  </si>
  <si>
    <t>ACI Worldwide Inc</t>
  </si>
  <si>
    <t>ASCL LN Equity</t>
  </si>
  <si>
    <t>2023A CF (ASCL LN)</t>
  </si>
  <si>
    <t>Ascential Ltd</t>
  </si>
  <si>
    <t>DBD US Equity</t>
  </si>
  <si>
    <t>2024A CF (DBD US)</t>
  </si>
  <si>
    <t>Diebold Nixdorf Inc</t>
  </si>
  <si>
    <t>DGII US Equity</t>
  </si>
  <si>
    <t>2024Q2 CF (DGII US)</t>
  </si>
  <si>
    <t>Digi International Inc</t>
  </si>
  <si>
    <t>Company News (5158754Z SS)</t>
  </si>
  <si>
    <t>Klarna Holding AB</t>
  </si>
  <si>
    <t>2024A CF (TER US)</t>
  </si>
  <si>
    <t>Estimate (TER US)</t>
  </si>
  <si>
    <t>2025A CF (GD US)</t>
  </si>
  <si>
    <t>8206440Z LN Equity</t>
  </si>
  <si>
    <t>2025A CF (8206440Z LN)</t>
  </si>
  <si>
    <t>United Kingdom of Great Britain &amp; Northern Ireland Ministry of Defence</t>
  </si>
  <si>
    <t>HII US Equity</t>
  </si>
  <si>
    <t>Estimate (GD US)</t>
  </si>
  <si>
    <t>Huntington Ingalls Industries Inc</t>
  </si>
  <si>
    <t>ESLT IT Equity</t>
  </si>
  <si>
    <t>Elbit Systems Ltd</t>
  </si>
  <si>
    <t>2024A CF (ANTM IJ)</t>
  </si>
  <si>
    <t>Aneka Tambang Tbk</t>
  </si>
  <si>
    <t>HDM VN Equity</t>
  </si>
  <si>
    <t>2023A CF (HDM VN)</t>
  </si>
  <si>
    <t>Hue Textile Garment JSC</t>
  </si>
  <si>
    <t>YGYI US Equity</t>
  </si>
  <si>
    <t>2020Q3 CF (YGYI US)</t>
  </si>
  <si>
    <t>Youngevity International Inc</t>
  </si>
  <si>
    <t>Estimate (ALIC IN)</t>
  </si>
  <si>
    <t>Alicon Castalloy Ltd</t>
  </si>
  <si>
    <t>013720 KS Equity</t>
  </si>
  <si>
    <t>2023C3 CF (013720 KS)</t>
  </si>
  <si>
    <t>Cube &amp; Inc/The</t>
  </si>
  <si>
    <t>Company News (WLY US)</t>
  </si>
  <si>
    <t>Australian National University</t>
  </si>
  <si>
    <t>2235574D US Equity</t>
  </si>
  <si>
    <t>Perplexity AI Inc</t>
  </si>
  <si>
    <t>CRM US Equity</t>
  </si>
  <si>
    <t>2025Q2 CF (CRM US)</t>
  </si>
  <si>
    <t>Salesforce Inc</t>
  </si>
  <si>
    <t>EQT SS Equity</t>
  </si>
  <si>
    <t>EQT AB</t>
  </si>
  <si>
    <t>LMP LN Equity</t>
  </si>
  <si>
    <t>2026S1 CF (LMP LN)</t>
  </si>
  <si>
    <t>LondonMetric Property PLC</t>
  </si>
  <si>
    <t>HP Inc</t>
  </si>
  <si>
    <t>2025Q4 CF (NVDA US)</t>
  </si>
  <si>
    <t>2025Q1 CF (ORCL US)</t>
  </si>
  <si>
    <t>PCA LN Equity</t>
  </si>
  <si>
    <t>2023A CF (PCA LN)</t>
  </si>
  <si>
    <t>Palace Capital PLC</t>
  </si>
  <si>
    <t>Estimate (RIO LN)</t>
  </si>
  <si>
    <t>Rio Tinto PLC</t>
  </si>
  <si>
    <t>ERA FP Equity</t>
  </si>
  <si>
    <t>Estimate (ERA FP)</t>
  </si>
  <si>
    <t>Eramet SA</t>
  </si>
  <si>
    <t>1635209D IN Equity</t>
  </si>
  <si>
    <t>2023A CF (NL US)</t>
  </si>
  <si>
    <t>Saraf Agencies Pvt Ltd</t>
  </si>
  <si>
    <t>CSTM US Equity</t>
  </si>
  <si>
    <t>Estimate (CSTM US)</t>
  </si>
  <si>
    <t>Constellium SE</t>
  </si>
  <si>
    <t>HNDL IN Equity</t>
  </si>
  <si>
    <t>Estimate (HNDL IN)</t>
  </si>
  <si>
    <t>Hindalco Industries Ltd</t>
  </si>
  <si>
    <t>BNL US Equity</t>
  </si>
  <si>
    <t>2024A CF (BNL US)</t>
  </si>
  <si>
    <t>Broadstone Net Lease Inc</t>
  </si>
  <si>
    <t>2027 TT Equity</t>
  </si>
  <si>
    <t>2025Q3 CF (2027 TT)</t>
  </si>
  <si>
    <t>TA Chen Stainless Pipe</t>
  </si>
  <si>
    <t>ACNT US Equity</t>
  </si>
  <si>
    <t>2023Q2 CF (ACNT US)</t>
  </si>
  <si>
    <t>Ascent Industries Co</t>
  </si>
  <si>
    <t>PCG US Equity</t>
  </si>
  <si>
    <t>2021A CF (PCG US)</t>
  </si>
  <si>
    <t>PG&amp;E Corp</t>
  </si>
  <si>
    <t>Estimate (MTZ US)</t>
  </si>
  <si>
    <t>MasTec Inc</t>
  </si>
  <si>
    <t>000997 CH Equity</t>
  </si>
  <si>
    <t>2024A CF (000997 CH)</t>
  </si>
  <si>
    <t>Newland Digital Technology Co Ltd</t>
  </si>
  <si>
    <t>0211417Z US Equity</t>
  </si>
  <si>
    <t>Company News (0211417Z US)</t>
  </si>
  <si>
    <t>DataStax Inc</t>
  </si>
  <si>
    <t>0732900D US Equity</t>
  </si>
  <si>
    <t>Company News (0732900D US)</t>
  </si>
  <si>
    <t>West Cary Group LLC</t>
  </si>
  <si>
    <t>2024A CF (GTN US)</t>
  </si>
  <si>
    <t>Gray Media Inc</t>
  </si>
  <si>
    <t>ROKU US Equity</t>
  </si>
  <si>
    <t>Estimate (ROKU US)</t>
  </si>
  <si>
    <t>Roku Inc</t>
  </si>
  <si>
    <t>DLB US Equity</t>
  </si>
  <si>
    <t>Estimate (DLB US)</t>
  </si>
  <si>
    <t>Dolby Laboratories Inc</t>
  </si>
  <si>
    <t>GAM FP Equity</t>
  </si>
  <si>
    <t>2024A CF (GAM FP)</t>
  </si>
  <si>
    <t>Gaumont SA</t>
  </si>
  <si>
    <t>PGRE US Equity</t>
  </si>
  <si>
    <t>2024A CF (PGRE US)</t>
  </si>
  <si>
    <t>Paramount Group Inc</t>
  </si>
  <si>
    <t>1178718D GR Equity</t>
  </si>
  <si>
    <t>2024Q1 CF (MIMOQ US)</t>
  </si>
  <si>
    <t>Tuev Rheinland AG</t>
  </si>
  <si>
    <t>4944592Z US Equity</t>
  </si>
  <si>
    <t>Milner Document Products Inc</t>
  </si>
  <si>
    <t>CAP FP Equity</t>
  </si>
  <si>
    <t>Capgemini SE</t>
  </si>
  <si>
    <t>UFPT US Equity</t>
  </si>
  <si>
    <t>2025A CF (UFPT US)</t>
  </si>
  <si>
    <t>UFP Technologies Inc</t>
  </si>
  <si>
    <t>KE US Equity</t>
  </si>
  <si>
    <t>Estimate (KE US)</t>
  </si>
  <si>
    <t>Kimball Electronics Inc</t>
  </si>
  <si>
    <t>DSFIR NA Equity</t>
  </si>
  <si>
    <t>Estimate (DSFIR NA)</t>
  </si>
  <si>
    <t>DSM-Firmenich AG</t>
  </si>
  <si>
    <t>Estimate (BHE US)</t>
  </si>
  <si>
    <t>Benchmark Electronics Inc</t>
  </si>
  <si>
    <t>PTC US Equity</t>
  </si>
  <si>
    <t>Estimate (PTC US)</t>
  </si>
  <si>
    <t>PTC Inc</t>
  </si>
  <si>
    <t>0633565D US Equity</t>
  </si>
  <si>
    <t>2025Q4 CF (HAS US)</t>
  </si>
  <si>
    <t>Legendary Entertainment LLC</t>
  </si>
  <si>
    <t>6758 JP Equity</t>
  </si>
  <si>
    <t>2023A CF (HAS US)</t>
  </si>
  <si>
    <t>Sony Group Corp</t>
  </si>
  <si>
    <t>748448Z US Equity</t>
  </si>
  <si>
    <t>2025Q3 CF (HAS US)</t>
  </si>
  <si>
    <t>Epic Games Inc</t>
  </si>
  <si>
    <t>7867 JP Equity</t>
  </si>
  <si>
    <t>2025A CF (7867 JP)</t>
  </si>
  <si>
    <t>Tomy Co Ltd</t>
  </si>
  <si>
    <t>Media News (412350 KS)</t>
  </si>
  <si>
    <t>Laserssel Co Ltd</t>
  </si>
  <si>
    <t>688097 CH Equity</t>
  </si>
  <si>
    <t>2023A CF (688097 CH)</t>
  </si>
  <si>
    <t>Bozhon Precision Industry Technology Co Ltd</t>
  </si>
  <si>
    <t>8416 TT Equity</t>
  </si>
  <si>
    <t>2024A CF (8416 TT)</t>
  </si>
  <si>
    <t>Solidwizard Technology Co Ltd</t>
  </si>
  <si>
    <t>EXC US Equity</t>
  </si>
  <si>
    <t>2021A CF (EXC US)</t>
  </si>
  <si>
    <t>Exelon Corp</t>
  </si>
  <si>
    <t>Company News (QMCI US)</t>
  </si>
  <si>
    <t>QuoteMedia Inc</t>
  </si>
  <si>
    <t>Estimate (RAIL US)</t>
  </si>
  <si>
    <t>300380 CH Equity</t>
  </si>
  <si>
    <t>2023A CF (300380 CH)</t>
  </si>
  <si>
    <t>Shanghai Amarsoft Information &amp; Technology Co Ltd</t>
  </si>
  <si>
    <t>2025C2 CF (AIR FP)</t>
  </si>
  <si>
    <t>EMBJ3 BZ Equity</t>
  </si>
  <si>
    <t>2024A CF (EMBJ3 BZ)</t>
  </si>
  <si>
    <t>Embraer SA</t>
  </si>
  <si>
    <t>GBX US Equity</t>
  </si>
  <si>
    <t>2024Q1 CF (GBX US)</t>
  </si>
  <si>
    <t>Greenbrier Cos Inc/The</t>
  </si>
  <si>
    <t>2025A CF (FRSH US)</t>
  </si>
  <si>
    <t>Freshworks Inc</t>
  </si>
  <si>
    <t>2025A CF (6042 JP)</t>
  </si>
  <si>
    <t>Nikki Co Ltd</t>
  </si>
  <si>
    <t>000816 CH Equity</t>
  </si>
  <si>
    <t>2022S1 CF (000816 CH)</t>
  </si>
  <si>
    <t>Jiangsu Nonghua Intelligent Agriculture Technology Co Ltd</t>
  </si>
  <si>
    <t>002026 CH Equity</t>
  </si>
  <si>
    <t>2024A CF (002026 CH)</t>
  </si>
  <si>
    <t>Shandong Weida Machinery Co Ltd</t>
  </si>
  <si>
    <t>0400879D US Equity</t>
  </si>
  <si>
    <t>Company News (BGGSQ US)</t>
  </si>
  <si>
    <t>Depatie Fluid Power Co</t>
  </si>
  <si>
    <t>300879 CH Equity</t>
  </si>
  <si>
    <t>2023A CF (300879 CH)</t>
  </si>
  <si>
    <t>Ningbo Daye Garden Machinery Co Ltd</t>
  </si>
  <si>
    <t>Estimate (VZ US)</t>
  </si>
  <si>
    <t>Apple Inc</t>
  </si>
  <si>
    <t>2025A CF (AMT US)</t>
  </si>
  <si>
    <t>American Tower Corp</t>
  </si>
  <si>
    <t>ERICB SS Equity</t>
  </si>
  <si>
    <t>Estimate (ERICB SS)</t>
  </si>
  <si>
    <t>Telefonaktiebolaget LM Ericsson</t>
  </si>
  <si>
    <t>2023Q3 CF (DELL US)</t>
  </si>
  <si>
    <t>INFO IN Equity</t>
  </si>
  <si>
    <t>Estimate (INFO IN)</t>
  </si>
  <si>
    <t>Infosys Ltd</t>
  </si>
  <si>
    <t>WSR US Equity</t>
  </si>
  <si>
    <t>2024A CF (WSR US)</t>
  </si>
  <si>
    <t>Whitestone REIT</t>
  </si>
  <si>
    <t>2022A CF (IVT US)</t>
  </si>
  <si>
    <t>OTEX CN Equity</t>
  </si>
  <si>
    <t>2026Q2 CF (OTEX CN)</t>
  </si>
  <si>
    <t>Open Text Corp</t>
  </si>
  <si>
    <t>BRX US Equity</t>
  </si>
  <si>
    <t>2024A CF (BRX US)</t>
  </si>
  <si>
    <t>Brixmor Property Group Inc</t>
  </si>
  <si>
    <t>Estimate (PH US)</t>
  </si>
  <si>
    <t>Parker-Hannifin Corp</t>
  </si>
  <si>
    <t>2025Q1 CF (TDW US)</t>
  </si>
  <si>
    <t>Zhejiang Shipbuilding Co Ltd</t>
  </si>
  <si>
    <t>0483477D SP Equity</t>
  </si>
  <si>
    <t>Paxocean International Pte Ltd</t>
  </si>
  <si>
    <t>0570898D FP Equity</t>
  </si>
  <si>
    <t>OCEA SA</t>
  </si>
  <si>
    <t>1146442D PW Equity</t>
  </si>
  <si>
    <t>Remontowa Shipbuilding SA</t>
  </si>
  <si>
    <t>1342128D CH Equity</t>
  </si>
  <si>
    <t>Guangdong Yuexin Ocean Engineering Co Ltd</t>
  </si>
  <si>
    <t>Estimate (CCK US)</t>
  </si>
  <si>
    <t>Crown Holdings Inc</t>
  </si>
  <si>
    <t>2579 JP Equity</t>
  </si>
  <si>
    <t>2024A CF (2579 JP)</t>
  </si>
  <si>
    <t>Coca-Cola Bottlers Japan Holdings Inc</t>
  </si>
  <si>
    <t>2021A CF (APVO US)</t>
  </si>
  <si>
    <t>Aptevo Therapeutics Inc</t>
  </si>
  <si>
    <t>KRT US Equity</t>
  </si>
  <si>
    <t>2021A CF (KRT US)</t>
  </si>
  <si>
    <t>Karat Packaging Inc</t>
  </si>
  <si>
    <t>JNPR US Equity</t>
  </si>
  <si>
    <t>2023A CF (JNPR US)</t>
  </si>
  <si>
    <t>Juniper Networks Inc</t>
  </si>
  <si>
    <t>2021A CF (RDWR US)</t>
  </si>
  <si>
    <t>Estimate (SLB US)</t>
  </si>
  <si>
    <t>SLB Ltd</t>
  </si>
  <si>
    <t>2544485D US Equity</t>
  </si>
  <si>
    <t>Company News (CNX US)</t>
  </si>
  <si>
    <t>Dynamis Power Solutions LLC</t>
  </si>
  <si>
    <t>SONDA CI Equity</t>
  </si>
  <si>
    <t>2024A CF (SONDA CI)</t>
  </si>
  <si>
    <t>SONDA SA</t>
  </si>
  <si>
    <t>OSI Systems Inc</t>
  </si>
  <si>
    <t>2024A CF (SPG US)</t>
  </si>
  <si>
    <t>Simon Property Group Inc</t>
  </si>
  <si>
    <t>1460 TT Equity</t>
  </si>
  <si>
    <t>2023Q1 CF (1460 TT)</t>
  </si>
  <si>
    <t>Everest Textile Co Ltd</t>
  </si>
  <si>
    <t>1464 TT Equity</t>
  </si>
  <si>
    <t>2025Q3 CF (1464 TT)</t>
  </si>
  <si>
    <t>De Licacy Industrial Co Ltd</t>
  </si>
  <si>
    <t>2516987D US Equity</t>
  </si>
  <si>
    <t>2022A CF (2516987D US)</t>
  </si>
  <si>
    <t>RPT Realty</t>
  </si>
  <si>
    <t>8932 TT Equity</t>
  </si>
  <si>
    <t>2024A CF (8932 TT)</t>
  </si>
  <si>
    <t>Wiselink Co Ltd/TW</t>
  </si>
  <si>
    <t>2024Q1 CF (PFIE US)</t>
  </si>
  <si>
    <t>Profire Energy Inc</t>
  </si>
  <si>
    <t>UNTC US Equity</t>
  </si>
  <si>
    <t>2022A CF (UNTC US)</t>
  </si>
  <si>
    <t>Unit Corp</t>
  </si>
  <si>
    <t>USWS US Equity</t>
  </si>
  <si>
    <t>Company News (USWS US)</t>
  </si>
  <si>
    <t>US Well Services Holdings LLC</t>
  </si>
  <si>
    <t>Company News (CSSEQ US)</t>
  </si>
  <si>
    <t>Amagi Corp</t>
  </si>
  <si>
    <t>1994174Z LN Equity</t>
  </si>
  <si>
    <t>BBC Ventures Group Ltd</t>
  </si>
  <si>
    <t>2086768D US Equity</t>
  </si>
  <si>
    <t>VIDAA USA Inc</t>
  </si>
  <si>
    <t>AMCX US Equity</t>
  </si>
  <si>
    <t>AMC Networks Inc</t>
  </si>
  <si>
    <t>Apollo Global Management Inc</t>
  </si>
  <si>
    <t>2026Q4 CF (CSGS US)</t>
  </si>
  <si>
    <t>CSG Systems International Inc</t>
  </si>
  <si>
    <t>CNP US Equity</t>
  </si>
  <si>
    <t>2021A CF (CNP US)</t>
  </si>
  <si>
    <t>CenterPoint Energy Inc</t>
  </si>
  <si>
    <t>2024Q2 CF (6605 TT)</t>
  </si>
  <si>
    <t>Depo Auto Parts Ind Co Ltd</t>
  </si>
  <si>
    <t>9501 JP Equity</t>
  </si>
  <si>
    <t>2022A CF (9501 JP)</t>
  </si>
  <si>
    <t>Tokyo Electric Power Co Holdings Inc</t>
  </si>
  <si>
    <t>AQN CN Equity</t>
  </si>
  <si>
    <t>2021A CF (AQN CN)</t>
  </si>
  <si>
    <t>Algonquin Power &amp; Utilities Corp</t>
  </si>
  <si>
    <t>Estimate (PG US)</t>
  </si>
  <si>
    <t>Procter &amp; Gamble Co/The</t>
  </si>
  <si>
    <t>IFF US Equity</t>
  </si>
  <si>
    <t>Estimate (IFF US)</t>
  </si>
  <si>
    <t>International Flavors &amp; Fragrances Inc</t>
  </si>
  <si>
    <t>LYB US Equity</t>
  </si>
  <si>
    <t>Estimate (LYB US)</t>
  </si>
  <si>
    <t>LyondellBasell Industries NV</t>
  </si>
  <si>
    <t>2024A CF (VTR US)</t>
  </si>
  <si>
    <t>Ventas Inc</t>
  </si>
  <si>
    <t>BAS GR Equity</t>
  </si>
  <si>
    <t>Estimate (BAS GR)</t>
  </si>
  <si>
    <t>BASF SE</t>
  </si>
  <si>
    <t>BLNK US Equity</t>
  </si>
  <si>
    <t>2024A CF (BLNK US)</t>
  </si>
  <si>
    <t>Blink Charging Co</t>
  </si>
  <si>
    <t>SMRT US Equity</t>
  </si>
  <si>
    <t>2024Q1 CF (SMRT US)</t>
  </si>
  <si>
    <t>SmartRent Inc</t>
  </si>
  <si>
    <t>Estimate (TRIP US)</t>
  </si>
  <si>
    <t>TripAdvisor Inc</t>
  </si>
  <si>
    <t>DLN LN Equity</t>
  </si>
  <si>
    <t>2025S1 CF (DLN LN)</t>
  </si>
  <si>
    <t>Derwent London PLC</t>
  </si>
  <si>
    <t>2025C3 CF (053300 KS)</t>
  </si>
  <si>
    <t>Korea Information Certificate Authority Inc</t>
  </si>
  <si>
    <t>4784 JP Equity</t>
  </si>
  <si>
    <t>2023A CF (4784 JP)</t>
  </si>
  <si>
    <t>GMO Internet Inc</t>
  </si>
  <si>
    <t>8136 JP Equity</t>
  </si>
  <si>
    <t>2022A CF (8136 JP)</t>
  </si>
  <si>
    <t>Sanrio Co Ltd</t>
  </si>
  <si>
    <t>2025Q3 CF (MTCH US)</t>
  </si>
  <si>
    <t>BGO LN Equity</t>
  </si>
  <si>
    <t>2022A CF (BGO LN)</t>
  </si>
  <si>
    <t>Bango PLC</t>
  </si>
  <si>
    <t>2025A CF (NEM US)</t>
  </si>
  <si>
    <t>Newmont Corp</t>
  </si>
  <si>
    <t>AU US Equity</t>
  </si>
  <si>
    <t>2024A CF (AU US)</t>
  </si>
  <si>
    <t>Anglogold Ashanti Plc</t>
  </si>
  <si>
    <t>CTS US Equity</t>
  </si>
  <si>
    <t>Estimate (CTS US)</t>
  </si>
  <si>
    <t>CTS Corp</t>
  </si>
  <si>
    <t>1515 TT Equity</t>
  </si>
  <si>
    <t>2025Q3 CF (1515 TT)</t>
  </si>
  <si>
    <t>Rexon Industrial Corp Ltd</t>
  </si>
  <si>
    <t>300660 CH Equity</t>
  </si>
  <si>
    <t>2025S1 CF (300660 CH)</t>
  </si>
  <si>
    <t>Jiangsu Leili Motor Co Ltd</t>
  </si>
  <si>
    <t>9502 JP Equity</t>
  </si>
  <si>
    <t>2022A CF (9502 JP)</t>
  </si>
  <si>
    <t>Chubu Electric Power Co Inc</t>
  </si>
  <si>
    <t>Estimate (MXL US)</t>
  </si>
  <si>
    <t>VISN US Equity</t>
  </si>
  <si>
    <t>Vistance Networks Inc</t>
  </si>
  <si>
    <t>3702 TT Equity</t>
  </si>
  <si>
    <t>WPG Holdings Ltd</t>
  </si>
  <si>
    <t>2024A CF (OPK US)</t>
  </si>
  <si>
    <t>Scripps Research Institute/The</t>
  </si>
  <si>
    <t>084650 KS Equity</t>
  </si>
  <si>
    <t>2024A CF (084650 KS)</t>
  </si>
  <si>
    <t>LabGenomics Co Ltd</t>
  </si>
  <si>
    <t>0855406D TT Equity</t>
  </si>
  <si>
    <t>2022A CF (OPK US)</t>
  </si>
  <si>
    <t>Academia Sinica</t>
  </si>
  <si>
    <t>2016103Z LN Equity</t>
  </si>
  <si>
    <t>Ineos Healthcare Ltd</t>
  </si>
  <si>
    <t>2142 HK Equity</t>
  </si>
  <si>
    <t>Company News (2142 HK)</t>
  </si>
  <si>
    <t>HBM Holdings Ltd</t>
  </si>
  <si>
    <t>Estimate (PLUS US)</t>
  </si>
  <si>
    <t>ePlus Inc</t>
  </si>
  <si>
    <t>MUST SP Equity</t>
  </si>
  <si>
    <t>2024A CF (MUST SP)</t>
  </si>
  <si>
    <t>Manulife US Real Estate Investment Trust</t>
  </si>
  <si>
    <t>6201 JP Equity</t>
  </si>
  <si>
    <t>Estimate (6201 JP)</t>
  </si>
  <si>
    <t>Toyota Industries Corp</t>
  </si>
  <si>
    <t>1052024D US Equity</t>
  </si>
  <si>
    <t>Company News (DGX US)</t>
  </si>
  <si>
    <t>Health Gorilla Inc</t>
  </si>
  <si>
    <t>2069787D US Equity</t>
  </si>
  <si>
    <t>Company News (2069787D US)</t>
  </si>
  <si>
    <t>Ultima Genomics Inc</t>
  </si>
  <si>
    <t>Marquis Broadcast Ltd</t>
  </si>
  <si>
    <t>1891133D US Equity</t>
  </si>
  <si>
    <t>Antenna TV SA</t>
  </si>
  <si>
    <t>2283156Z US Equity</t>
  </si>
  <si>
    <t>Batteries Plus LLC</t>
  </si>
  <si>
    <t>2446794D US Equity</t>
  </si>
  <si>
    <t>Bounce Media LLC</t>
  </si>
  <si>
    <t>4466784Z US Equity</t>
  </si>
  <si>
    <t>THIS Network LLC</t>
  </si>
  <si>
    <t>BABA US Equity</t>
  </si>
  <si>
    <t>Estimate (BABA US)</t>
  </si>
  <si>
    <t>Alibaba Group Holding Ltd</t>
  </si>
  <si>
    <t>BBY US Equity</t>
  </si>
  <si>
    <t>Estimate (BBY US)</t>
  </si>
  <si>
    <t>Best Buy Co Inc</t>
  </si>
  <si>
    <t>002024 CH Equity</t>
  </si>
  <si>
    <t>Estimate (002024 CH)</t>
  </si>
  <si>
    <t>Suning.com Co Ltd</t>
  </si>
  <si>
    <t>CEC GR Equity</t>
  </si>
  <si>
    <t>Estimate (CEC GR)</t>
  </si>
  <si>
    <t>CECONOMY AG</t>
  </si>
  <si>
    <t>Estimate (000810 CH)</t>
  </si>
  <si>
    <t>Skyworth Digital Co Ltd</t>
  </si>
  <si>
    <t>8150 TT Equity</t>
  </si>
  <si>
    <t>Estimate (8150 TT)</t>
  </si>
  <si>
    <t>ChipMOS Technologies Inc</t>
  </si>
  <si>
    <t>4968 TT Equity</t>
  </si>
  <si>
    <t>Estimate (4968 TT)</t>
  </si>
  <si>
    <t>RichWave Technology Corp</t>
  </si>
  <si>
    <t>2025A CF (MSI US)</t>
  </si>
  <si>
    <t>2427 TT Equity</t>
  </si>
  <si>
    <t>2024A CF (2427 TT)</t>
  </si>
  <si>
    <t>Mercuries Data Systems Ltd</t>
  </si>
  <si>
    <t>AVA US Equity</t>
  </si>
  <si>
    <t>2021A CF (AVA US)</t>
  </si>
  <si>
    <t>Avista Corp</t>
  </si>
  <si>
    <t>2024A CF (CMCL US)</t>
  </si>
  <si>
    <t>Caledonia Mining Corp PLC</t>
  </si>
  <si>
    <t>CURR US Equity</t>
  </si>
  <si>
    <t>2024Q3 CF (CURR US)</t>
  </si>
  <si>
    <t>Currenc Group Inc</t>
  </si>
  <si>
    <t>CXM US Equity</t>
  </si>
  <si>
    <t>2023A CF (CXM US)</t>
  </si>
  <si>
    <t>Sprinklr Inc</t>
  </si>
  <si>
    <t>Company News (FISV US)</t>
  </si>
  <si>
    <t>GMEXICOB MM Equity</t>
  </si>
  <si>
    <t>2024A CF (GMEXICOB MM)</t>
  </si>
  <si>
    <t>Grupo Mexico SAB de CV</t>
  </si>
  <si>
    <t>TTMI US Equity</t>
  </si>
  <si>
    <t>Estimate (TTMI US)</t>
  </si>
  <si>
    <t>TTM Technologies Inc</t>
  </si>
  <si>
    <t>INTT US Equity</t>
  </si>
  <si>
    <t>Estimate (INTT US)</t>
  </si>
  <si>
    <t>inTEST Corp</t>
  </si>
  <si>
    <t>2357 TT Equity</t>
  </si>
  <si>
    <t>Estimate (2357 TT)</t>
  </si>
  <si>
    <t>Asustek Computer Inc</t>
  </si>
  <si>
    <t>Estimate (6758 JP)</t>
  </si>
  <si>
    <t>WHR US Equity</t>
  </si>
  <si>
    <t>Estimate (WHR US)</t>
  </si>
  <si>
    <t>Whirlpool Corp</t>
  </si>
  <si>
    <t>2353 TT Equity</t>
  </si>
  <si>
    <t>Estimate (2353 TT)</t>
  </si>
  <si>
    <t>Acer Inc</t>
  </si>
  <si>
    <t>2021A CF (6166 TT)</t>
  </si>
  <si>
    <t>Adlink Technology Inc</t>
  </si>
  <si>
    <t>BA/ LN Equity</t>
  </si>
  <si>
    <t>Company News (BA/ LN)</t>
  </si>
  <si>
    <t>BAE Systems PLC</t>
  </si>
  <si>
    <t>CON GR Equity</t>
  </si>
  <si>
    <t>2021A CF (CON GR)</t>
  </si>
  <si>
    <t>Continental AG</t>
  </si>
  <si>
    <t>SU FP Equity</t>
  </si>
  <si>
    <t>2021A CF (SU FP)</t>
  </si>
  <si>
    <t>Schneider Electric SE</t>
  </si>
  <si>
    <t>2024A CF (BHC CN)</t>
  </si>
  <si>
    <t>300015 CH Equity</t>
  </si>
  <si>
    <t>2024A CF (300015 CH)</t>
  </si>
  <si>
    <t>Aier Eye Hospital Group Co Ltd</t>
  </si>
  <si>
    <t>2025Q3 CF (WBA US)</t>
  </si>
  <si>
    <t>Walgreens Boots Alliance Inc</t>
  </si>
  <si>
    <t>CI US Equity</t>
  </si>
  <si>
    <t>2025A CF (COR US)</t>
  </si>
  <si>
    <t>Cigna Group/The</t>
  </si>
  <si>
    <t>1055831D US Equity</t>
  </si>
  <si>
    <t>Estimate (COR US)</t>
  </si>
  <si>
    <t>Kaiser Permanente Consolidated</t>
  </si>
  <si>
    <t>9987 JP Equity</t>
  </si>
  <si>
    <t>Suzuken Co Ltd/Aichi Japan</t>
  </si>
  <si>
    <t>2024A CF (CMCO US)</t>
  </si>
  <si>
    <t>DOD United States Department of Navy</t>
  </si>
  <si>
    <t>0230497Z US Equity</t>
  </si>
  <si>
    <t>DHS US Coast Guard</t>
  </si>
  <si>
    <t>9940524Z US Equity</t>
  </si>
  <si>
    <t>2023A CF (9940524Z US)</t>
  </si>
  <si>
    <t>Atlantic Lift Systems Inc</t>
  </si>
  <si>
    <t>AIT US Equity</t>
  </si>
  <si>
    <t>2025Q3 CF (AIT US)</t>
  </si>
  <si>
    <t>Applied Industrial Technologies Inc</t>
  </si>
  <si>
    <t>2025A CF (BMY US)</t>
  </si>
  <si>
    <t>Estimate (BMY US)</t>
  </si>
  <si>
    <t>Company News (QTWWQ US)</t>
  </si>
  <si>
    <t>Certarus Ltd</t>
  </si>
  <si>
    <t>1876446D US Equity</t>
  </si>
  <si>
    <t>VoltaGrid LLC</t>
  </si>
  <si>
    <t>Estimate (3048 JP)</t>
  </si>
  <si>
    <t>Bic Camera Inc</t>
  </si>
  <si>
    <t>001420 KS Equity</t>
  </si>
  <si>
    <t>2025C3 CF (001420 KS)</t>
  </si>
  <si>
    <t>Taewon Mulsan Co Ltd</t>
  </si>
  <si>
    <t>002098 CH Equity</t>
  </si>
  <si>
    <t>2024A CF (002098 CH)</t>
  </si>
  <si>
    <t>Fujian SBS Zipper Science &amp; Technology Co Ltd</t>
  </si>
  <si>
    <t>002180 CH Equity</t>
  </si>
  <si>
    <t>2021A CF (002180 CH)</t>
  </si>
  <si>
    <t>Ninestar Corp</t>
  </si>
  <si>
    <t>002362 CH Equity</t>
  </si>
  <si>
    <t>2021A CF (002362 CH)</t>
  </si>
  <si>
    <t>Hanwang Technology Co Ltd</t>
  </si>
  <si>
    <t>2024A CF (085370 KS)</t>
  </si>
  <si>
    <t>Lutronic Corp</t>
  </si>
  <si>
    <t>Estimate (LAD US)</t>
  </si>
  <si>
    <t>Lithia Motors Inc</t>
  </si>
  <si>
    <t>Estimate (AN US)</t>
  </si>
  <si>
    <t>AutoNation Inc</t>
  </si>
  <si>
    <t>ABG US Equity</t>
  </si>
  <si>
    <t>Estimate (ABG US)</t>
  </si>
  <si>
    <t>Asbury Automotive Group Inc</t>
  </si>
  <si>
    <t>HTZ US Equity</t>
  </si>
  <si>
    <t>Estimate (HTZ US)</t>
  </si>
  <si>
    <t>Hertz Global Holdings Inc</t>
  </si>
  <si>
    <t>GPI US Equity</t>
  </si>
  <si>
    <t>Estimate (GPI US)</t>
  </si>
  <si>
    <t>Group 1 Automotive Inc</t>
  </si>
  <si>
    <t>Company News (1885807D US)</t>
  </si>
  <si>
    <t>Raleigh Neurology Associates PA</t>
  </si>
  <si>
    <t>0457636D US Equity</t>
  </si>
  <si>
    <t>Company News (0457636D US)</t>
  </si>
  <si>
    <t>NEW England Orthopedic Surgeons Inc</t>
  </si>
  <si>
    <t>1555585D US Equity</t>
  </si>
  <si>
    <t>Company News (1555585D US)</t>
  </si>
  <si>
    <t>Relode Health LLC</t>
  </si>
  <si>
    <t>4593426Z US Equity</t>
  </si>
  <si>
    <t>Marana Health Center Inc</t>
  </si>
  <si>
    <t>CTEV US Equity</t>
  </si>
  <si>
    <t>2025Q3 CF (CTEV US)</t>
  </si>
  <si>
    <t>Claritev Corp</t>
  </si>
  <si>
    <t>Company News (EVRC US)</t>
  </si>
  <si>
    <t>8 HK Equity</t>
  </si>
  <si>
    <t>2024A CF (8 HK)</t>
  </si>
  <si>
    <t>PCCW Ltd</t>
  </si>
  <si>
    <t>Company News (066570 KS)</t>
  </si>
  <si>
    <t>2450 TT Equity</t>
  </si>
  <si>
    <t>2022C3 CF (2450 TT)</t>
  </si>
  <si>
    <t>Senao International Co Ltd</t>
  </si>
  <si>
    <t>2585 JP Equity</t>
  </si>
  <si>
    <t>2026Q2 CF (2585 JP)</t>
  </si>
  <si>
    <t>Lifedrink Co Inc</t>
  </si>
  <si>
    <t>300729 CH Equity</t>
  </si>
  <si>
    <t>2024A CF (300729 CH)</t>
  </si>
  <si>
    <t>Loctek Ergonomic Technology Corp</t>
  </si>
  <si>
    <t>5410 TT Equity</t>
  </si>
  <si>
    <t>2024A CF (5410 TT)</t>
  </si>
  <si>
    <t>Leo Systems Inc</t>
  </si>
  <si>
    <t>Company News (YELLQ US)</t>
  </si>
  <si>
    <t>2023Q3 CF (YELLQ US)</t>
  </si>
  <si>
    <t>BBBYQ US Equity</t>
  </si>
  <si>
    <t>20230930-DK-Butterfly-1 Inc</t>
  </si>
  <si>
    <t>COTY US Equity</t>
  </si>
  <si>
    <t>Coty Inc</t>
  </si>
  <si>
    <t>2025A CF (VSAT US)</t>
  </si>
  <si>
    <t>BA US Equity</t>
  </si>
  <si>
    <t>Estimate (BA US)</t>
  </si>
  <si>
    <t>Boeing Co/The</t>
  </si>
  <si>
    <t>003490 KS Equity</t>
  </si>
  <si>
    <t>Company News (VSAT US)</t>
  </si>
  <si>
    <t>Korean Air Lines Co Ltd</t>
  </si>
  <si>
    <t>0053520D US Equity</t>
  </si>
  <si>
    <t>2022A CF (VSAT US)</t>
  </si>
  <si>
    <t>United States National Security Agency / Central Security Service</t>
  </si>
  <si>
    <t>2024A CF (NHC US)</t>
  </si>
  <si>
    <t>HHS Centers for Medicare &amp; Medicaid Services</t>
  </si>
  <si>
    <t>2025S1 CF (001287 CH)</t>
  </si>
  <si>
    <t>Shenzhen CECport Technologies Co Ltd</t>
  </si>
  <si>
    <t>2498 TT Equity</t>
  </si>
  <si>
    <t>2024A CF (2498 TT)</t>
  </si>
  <si>
    <t>HTC Corp</t>
  </si>
  <si>
    <t>3033 TT Equity</t>
  </si>
  <si>
    <t>2025Q3 CF (3033 TT)</t>
  </si>
  <si>
    <t>Weikeng Industrial Co Ltd</t>
  </si>
  <si>
    <t>3665 TT Equity</t>
  </si>
  <si>
    <t>2021A CF (3665 TT)</t>
  </si>
  <si>
    <t>Bizlink Holding Inc</t>
  </si>
  <si>
    <t>2022A CF (3702 TT)</t>
  </si>
  <si>
    <t>2023C3 CF (002630 KS)</t>
  </si>
  <si>
    <t>Orientbio Inc</t>
  </si>
  <si>
    <t>1902504D US Equity</t>
  </si>
  <si>
    <t>Company News (9980328D US)</t>
  </si>
  <si>
    <t>Segterra Inc</t>
  </si>
  <si>
    <t>2081497D US Equity</t>
  </si>
  <si>
    <t>Pinnacle Fertility Inc</t>
  </si>
  <si>
    <t>3118 TT Equity</t>
  </si>
  <si>
    <t>2022A CF (3118 TT)</t>
  </si>
  <si>
    <t>Level Biotechnology Inc</t>
  </si>
  <si>
    <t>4132 TT Equity</t>
  </si>
  <si>
    <t>2022A CF (4132 TT)</t>
  </si>
  <si>
    <t>Golden Biotechnology Corp</t>
  </si>
  <si>
    <t>1681466D US Equity</t>
  </si>
  <si>
    <t>Company News (1681466D US)</t>
  </si>
  <si>
    <t>Fivetran Inc</t>
  </si>
  <si>
    <t>1723449D US Equity</t>
  </si>
  <si>
    <t>Company News (1723449D US)</t>
  </si>
  <si>
    <t>Gatik AI Inc</t>
  </si>
  <si>
    <t>2025A CF (PBI US)</t>
  </si>
  <si>
    <t>2024A CF (GMAB DC)</t>
  </si>
  <si>
    <t>Genmab A/S</t>
  </si>
  <si>
    <t>ABBV US Equity</t>
  </si>
  <si>
    <t>Estimate (ABBV US)</t>
  </si>
  <si>
    <t>AbbVie Inc</t>
  </si>
  <si>
    <t>HALO US Equity</t>
  </si>
  <si>
    <t>Estimate (HALO US)</t>
  </si>
  <si>
    <t>Halozyme Therapeutics Inc</t>
  </si>
  <si>
    <t>Estimate (BAYN GR)</t>
  </si>
  <si>
    <t>Estimate (INCH LN)</t>
  </si>
  <si>
    <t>Inchcape PLC</t>
  </si>
  <si>
    <t>300022 CH Equity</t>
  </si>
  <si>
    <t>2023A CF (300022 CH)</t>
  </si>
  <si>
    <t>Gifore Agricultural Science &amp; Technology Service Co Ltd</t>
  </si>
  <si>
    <t>605296 CH Equity</t>
  </si>
  <si>
    <t>2025S1 CF (605296 CH)</t>
  </si>
  <si>
    <t>Yunnan Shennong Agricultural Industry Group Co Ltd</t>
  </si>
  <si>
    <t>8473 TT Equity</t>
  </si>
  <si>
    <t>2024A CF (8473 TT)</t>
  </si>
  <si>
    <t>Forest Water Environment Engineering Co Ltd</t>
  </si>
  <si>
    <t>9861590Z US Equity</t>
  </si>
  <si>
    <t>Company News (AGCO US)</t>
  </si>
  <si>
    <t>American Farm Bureau Federation</t>
  </si>
  <si>
    <t>Estimate (PPC US)</t>
  </si>
  <si>
    <t>2455892D US Equity</t>
  </si>
  <si>
    <t>Publix Super Markets Inc</t>
  </si>
  <si>
    <t>CCC LN Equity</t>
  </si>
  <si>
    <t>Estimate (CCC LN)</t>
  </si>
  <si>
    <t>Computacenter PLC</t>
  </si>
  <si>
    <t>Estimate (LLY US)</t>
  </si>
  <si>
    <t>Eli Lilly &amp; Co</t>
  </si>
  <si>
    <t>Estimate (NOVOB DC)</t>
  </si>
  <si>
    <t>ATR US Equity</t>
  </si>
  <si>
    <t>Estimate (ATR US)</t>
  </si>
  <si>
    <t>AptarGroup Inc</t>
  </si>
  <si>
    <t>AMCR US Equity</t>
  </si>
  <si>
    <t>Estimate (AMCR US)</t>
  </si>
  <si>
    <t>Amcor PLC</t>
  </si>
  <si>
    <t>4521 JP Equity</t>
  </si>
  <si>
    <t>2025A CF (4521 JP)</t>
  </si>
  <si>
    <t>Kaken Pharmaceutical Co Ltd</t>
  </si>
  <si>
    <t>4536 JP Equity</t>
  </si>
  <si>
    <t>2025A CF (4536 JP)</t>
  </si>
  <si>
    <t>Santen Pharmaceutical Co Ltd</t>
  </si>
  <si>
    <t>PTSN IJ Equity</t>
  </si>
  <si>
    <t>2025C3 CF (PTSN IJ)</t>
  </si>
  <si>
    <t>Sat Nusapersada Tbk PT</t>
  </si>
  <si>
    <t>4528 JP Equity</t>
  </si>
  <si>
    <t>2025A CF (4528 JP)</t>
  </si>
  <si>
    <t>Ono Pharmaceutical Co Ltd</t>
  </si>
  <si>
    <t>688506 CH Equity</t>
  </si>
  <si>
    <t>2024A CF (688506 CH)</t>
  </si>
  <si>
    <t>Sichuan Biokin Pharmaceutical Co Ltd</t>
  </si>
  <si>
    <t>Merck &amp; Co Inc</t>
  </si>
  <si>
    <t>2023Q3 CF (TESS US)</t>
  </si>
  <si>
    <t>TESSCO Technologies Inc</t>
  </si>
  <si>
    <t>WCC US Equity</t>
  </si>
  <si>
    <t>2023Q3 CF (WCC US)</t>
  </si>
  <si>
    <t>WESCO International Inc</t>
  </si>
  <si>
    <t>ATE FP Equity</t>
  </si>
  <si>
    <t>Estimate (ATE FP)</t>
  </si>
  <si>
    <t>Alten SA</t>
  </si>
  <si>
    <t>2591972D SS Equity</t>
  </si>
  <si>
    <t>Company News (MAN US)</t>
  </si>
  <si>
    <t>Anna &amp; Hubert Labs AB</t>
  </si>
  <si>
    <t>4071 JP Equity</t>
  </si>
  <si>
    <t>2025A CF (4071 JP)</t>
  </si>
  <si>
    <t>Plus Alpha Consulting Co Ltd</t>
  </si>
  <si>
    <t>ALBFR FP Equity</t>
  </si>
  <si>
    <t>Media News (ALBFR FP)</t>
  </si>
  <si>
    <t>Sidetrade</t>
  </si>
  <si>
    <t>Estimate (2330 TT)</t>
  </si>
  <si>
    <t>981 HK Equity</t>
  </si>
  <si>
    <t>Estimate (981 HK)</t>
  </si>
  <si>
    <t>Semiconductor Manufacturing International Corp</t>
  </si>
  <si>
    <t>600584 CH Equity</t>
  </si>
  <si>
    <t>Estimate (600584 CH)</t>
  </si>
  <si>
    <t>JCET Group Co Ltd</t>
  </si>
  <si>
    <t>2025A CF (TDY US)</t>
  </si>
  <si>
    <t>Estimate (TDY US)</t>
  </si>
  <si>
    <t>LHX US Equity</t>
  </si>
  <si>
    <t>L3Harris Technologies Inc</t>
  </si>
  <si>
    <t>1640961D LN Equity</t>
  </si>
  <si>
    <t>2024Q4 CF (1640961D LN)</t>
  </si>
  <si>
    <t>Mitel Networks International Ltd</t>
  </si>
  <si>
    <t>BCOMF US Equity</t>
  </si>
  <si>
    <t>2023A CF (BCOMF US)</t>
  </si>
  <si>
    <t>B Communications Ltd</t>
  </si>
  <si>
    <t>MMYT US Equity</t>
  </si>
  <si>
    <t>2025A CF (MMYT US)</t>
  </si>
  <si>
    <t>MakeMyTrip Ltd</t>
  </si>
  <si>
    <t>PRTYQ US Equity</t>
  </si>
  <si>
    <t>2024Q3 CF (PRTYQ US)</t>
  </si>
  <si>
    <t>Party City Holdco Inc</t>
  </si>
  <si>
    <t>2025A CF (HPQ US)</t>
  </si>
  <si>
    <t>941 HK Equity</t>
  </si>
  <si>
    <t>Estimate (941 HK)</t>
  </si>
  <si>
    <t>China Mobile Ltd</t>
  </si>
  <si>
    <t>DAN US Equity</t>
  </si>
  <si>
    <t>2025Q1 CF (DAN US)</t>
  </si>
  <si>
    <t>Dana Inc</t>
  </si>
  <si>
    <t>CMI US Equity</t>
  </si>
  <si>
    <t>Estimate (CMI US)</t>
  </si>
  <si>
    <t>Cummins Inc</t>
  </si>
  <si>
    <t>Estimate (354 HK)</t>
  </si>
  <si>
    <t>Chinasoft International Ltd</t>
  </si>
  <si>
    <t>4726 JP Equity</t>
  </si>
  <si>
    <t>2024A CF (4726 JP)</t>
  </si>
  <si>
    <t>SB Technology Corp</t>
  </si>
  <si>
    <t>9903653D US Equity</t>
  </si>
  <si>
    <t>2022Q3 CF (9903653D US)</t>
  </si>
  <si>
    <t>TechTarget Inc/old</t>
  </si>
  <si>
    <t>2022A CF (GEN US)</t>
  </si>
  <si>
    <t>122900 KS Equity</t>
  </si>
  <si>
    <t>Estimate (122900 KS)</t>
  </si>
  <si>
    <t>iMarketKorea Inc</t>
  </si>
  <si>
    <t>AKAM US Equity</t>
  </si>
  <si>
    <t>Estimate (AKAM US)</t>
  </si>
  <si>
    <t>Akamai Technologies Inc</t>
  </si>
  <si>
    <t>2025A CF (KTOS US)</t>
  </si>
  <si>
    <t>NOC US Equity</t>
  </si>
  <si>
    <t>Estimate (KTOS US)</t>
  </si>
  <si>
    <t>Northrop Grumman Corp</t>
  </si>
  <si>
    <t>LMT US Equity</t>
  </si>
  <si>
    <t>Lockheed Martin Corp</t>
  </si>
  <si>
    <t>2025A CF (SCS US)</t>
  </si>
  <si>
    <t>603918 CH Equity</t>
  </si>
  <si>
    <t>2023A CF (603918 CH)</t>
  </si>
  <si>
    <t>Shanghai Golden Bridge InfoTech Co Ltd</t>
  </si>
  <si>
    <t>7997 JP Equity</t>
  </si>
  <si>
    <t>2024A CF (7997 JP)</t>
  </si>
  <si>
    <t>Kurogane Kosakusho Ltd</t>
  </si>
  <si>
    <t>2025A CF (WFRD US)</t>
  </si>
  <si>
    <t>Bapco Energies BSC Closed</t>
  </si>
  <si>
    <t>1022337Z UH Equity</t>
  </si>
  <si>
    <t>Company News (WFRD US)</t>
  </si>
  <si>
    <t>Emirate of Abu Dhabi United Arab Emirates</t>
  </si>
  <si>
    <t>1317586Z US Equity</t>
  </si>
  <si>
    <t>Kuwait Oil Co</t>
  </si>
  <si>
    <t>158443Z UH Equity</t>
  </si>
  <si>
    <t>2025Q1 CF (WFRD US)</t>
  </si>
  <si>
    <t>Abu Dhabi National Oil Co</t>
  </si>
  <si>
    <t>2025A CF (CAH US)</t>
  </si>
  <si>
    <t>1339564D US Equity</t>
  </si>
  <si>
    <t>Estimate (CAH US)</t>
  </si>
  <si>
    <t>Vizient Inc</t>
  </si>
  <si>
    <t>PINC US Equity</t>
  </si>
  <si>
    <t>Premier Inc</t>
  </si>
  <si>
    <t>MLNI US Equity</t>
  </si>
  <si>
    <t>Medline Industries LP/United States</t>
  </si>
  <si>
    <t>2024A CF (FROTO TI)</t>
  </si>
  <si>
    <t>Ford Otomotiv Sanayi AS</t>
  </si>
  <si>
    <t>MG CN Equity</t>
  </si>
  <si>
    <t>2025A CF (MG CN)</t>
  </si>
  <si>
    <t>Magna International Inc</t>
  </si>
  <si>
    <t>Estimate (CON GR)</t>
  </si>
  <si>
    <t>LEA US Equity</t>
  </si>
  <si>
    <t>2025A CF (LEA US)</t>
  </si>
  <si>
    <t>Lear Corp</t>
  </si>
  <si>
    <t>FRVIA FP Equity</t>
  </si>
  <si>
    <t>2025A CF (FRVIA FP)</t>
  </si>
  <si>
    <t>Forvia SE</t>
  </si>
  <si>
    <t>2024A CF (BATL US)</t>
  </si>
  <si>
    <t>Energy Transfer LP</t>
  </si>
  <si>
    <t>MPC US Equity</t>
  </si>
  <si>
    <t>Marathon Petroleum Corp</t>
  </si>
  <si>
    <t>TRGP US Equity</t>
  </si>
  <si>
    <t>2023A CF (BATL US)</t>
  </si>
  <si>
    <t>Targa Resources Corp</t>
  </si>
  <si>
    <t>287410 KS Equity</t>
  </si>
  <si>
    <t>Company News (287410 KS)</t>
  </si>
  <si>
    <t>Jeisys Medical Inc</t>
  </si>
  <si>
    <t>2024Q4 CF (HEI US)</t>
  </si>
  <si>
    <t>UTL US Equity</t>
  </si>
  <si>
    <t>2021A CF (UTL US)</t>
  </si>
  <si>
    <t>Unitil Corp</t>
  </si>
  <si>
    <t>2025A CF (SWKS US)</t>
  </si>
  <si>
    <t>Estimate (SWKS US)</t>
  </si>
  <si>
    <t>KMCACZ CH Equity</t>
  </si>
  <si>
    <t>Estimate (KMCACZ CH)</t>
  </si>
  <si>
    <t>Huawei Investment &amp; Holding Co Ltd</t>
  </si>
  <si>
    <t>2025A CF (BTN SJ)</t>
  </si>
  <si>
    <t>Burstone Group Ltd</t>
  </si>
  <si>
    <t>TNT-U CN Equity</t>
  </si>
  <si>
    <t>2024A CF (TNT-U CN)</t>
  </si>
  <si>
    <t>True North Commercial Real Estate Investment Trust</t>
  </si>
  <si>
    <t>COF AU Equity</t>
  </si>
  <si>
    <t>2023A CF (COF AU)</t>
  </si>
  <si>
    <t>Centuria Office REIT</t>
  </si>
  <si>
    <t>DLFU IN Equity</t>
  </si>
  <si>
    <t>2024A CF (DLFU IN)</t>
  </si>
  <si>
    <t>DLF Ltd</t>
  </si>
  <si>
    <t>Company News (TDS US)</t>
  </si>
  <si>
    <t>Infinidat Ltd</t>
  </si>
  <si>
    <t>AD US Equity</t>
  </si>
  <si>
    <t>2024A CF (AD US)</t>
  </si>
  <si>
    <t>Array Digital Infrastructure Inc</t>
  </si>
  <si>
    <t>NCC LN Equity</t>
  </si>
  <si>
    <t>Company News (NCC LN)</t>
  </si>
  <si>
    <t>NCC Group PLC</t>
  </si>
  <si>
    <t>2024A CF (GEO US)</t>
  </si>
  <si>
    <t>Company News (GEO US)</t>
  </si>
  <si>
    <t>0007161D US Equity</t>
  </si>
  <si>
    <t>State of Alaska Department of Corrections</t>
  </si>
  <si>
    <t>0007468D US Equity</t>
  </si>
  <si>
    <t>Florida Department of Management Services</t>
  </si>
  <si>
    <t>003550 KS Equity</t>
  </si>
  <si>
    <t>Company News (FOXA US)</t>
  </si>
  <si>
    <t>LG Corp</t>
  </si>
  <si>
    <t>0571898D US Equity</t>
  </si>
  <si>
    <t>TuneIn Inc</t>
  </si>
  <si>
    <t>0830298D SW Equity</t>
  </si>
  <si>
    <t>Media News (FOXA US)</t>
  </si>
  <si>
    <t>Plexim GmbH</t>
  </si>
  <si>
    <t>DTE US Equity</t>
  </si>
  <si>
    <t>2021A CF (DTE US)</t>
  </si>
  <si>
    <t>DTE Energy Co</t>
  </si>
  <si>
    <t>ES US Equity</t>
  </si>
  <si>
    <t>2021A CF (ES US)</t>
  </si>
  <si>
    <t>Eversource Energy</t>
  </si>
  <si>
    <t>2023A CF (JBL US)</t>
  </si>
  <si>
    <t>Estimate (8 HK)</t>
  </si>
  <si>
    <t>2026Q2 CF (CXM US)</t>
  </si>
  <si>
    <t>ESBA US Equity</t>
  </si>
  <si>
    <t>2023A CF (ESBA US)</t>
  </si>
  <si>
    <t>Empire State Realty OP LP</t>
  </si>
  <si>
    <t>ESRT US Equity</t>
  </si>
  <si>
    <t>2024A CF (ESRT US)</t>
  </si>
  <si>
    <t>Empire State Realty Trust Inc</t>
  </si>
  <si>
    <t>2023Q3 CF (INFA US)</t>
  </si>
  <si>
    <t>2021A CF (3176 TT)</t>
  </si>
  <si>
    <t>Medigen Biotechnology Corp</t>
  </si>
  <si>
    <t>GENNQ US Equity</t>
  </si>
  <si>
    <t>2025Q2 CF (GENNQ US)</t>
  </si>
  <si>
    <t>Genesis Healthcare Inc</t>
  </si>
  <si>
    <t>LEG US Equity</t>
  </si>
  <si>
    <t>Estimate (LEG US)</t>
  </si>
  <si>
    <t>Leggett &amp; Platt Inc</t>
  </si>
  <si>
    <t>UFI US Equity</t>
  </si>
  <si>
    <t>Estimate (UFI US)</t>
  </si>
  <si>
    <t>Unifi Inc</t>
  </si>
  <si>
    <t>LOGN SW Equity</t>
  </si>
  <si>
    <t>Estimate (LOGN SW)</t>
  </si>
  <si>
    <t>Logitech International SA</t>
  </si>
  <si>
    <t>2024A CF (BRK/A US)</t>
  </si>
  <si>
    <t>YUM US Equity</t>
  </si>
  <si>
    <t>Yum! Brands Inc</t>
  </si>
  <si>
    <t>2025Q1 CF (FISV US)</t>
  </si>
  <si>
    <t>2025A CF (GILD US)</t>
  </si>
  <si>
    <t>Gilead Sciences Inc</t>
  </si>
  <si>
    <t>Estimate (TCS IN)</t>
  </si>
  <si>
    <t>VK FP Equity</t>
  </si>
  <si>
    <t>Estimate (VK FP)</t>
  </si>
  <si>
    <t>Vallourec SACA</t>
  </si>
  <si>
    <t>000708 CH Equity</t>
  </si>
  <si>
    <t>2025S1 CF (000708 CH)</t>
  </si>
  <si>
    <t>Citic Pacific Special Steel Group Co Ltd</t>
  </si>
  <si>
    <t>0864365D US Equity</t>
  </si>
  <si>
    <t>DataRobot Inc</t>
  </si>
  <si>
    <t>Company News (VSEE US)</t>
  </si>
  <si>
    <t>VSee Health Inc</t>
  </si>
  <si>
    <t>Estimate (PWR US)</t>
  </si>
  <si>
    <t>Quanta Services Inc</t>
  </si>
  <si>
    <t>AX-U CN Equity</t>
  </si>
  <si>
    <t>2024A CF (AX-U CN)</t>
  </si>
  <si>
    <t>Artis Real Estate Investment Trust</t>
  </si>
  <si>
    <t>NOKIA FH Equity</t>
  </si>
  <si>
    <t>Estimate (NOKIA FH)</t>
  </si>
  <si>
    <t>Nokia Oyj</t>
  </si>
  <si>
    <t>NTNX US Equity</t>
  </si>
  <si>
    <t>Estimate (NTNX US)</t>
  </si>
  <si>
    <t>Nutanix Inc</t>
  </si>
  <si>
    <t>CALX US Equity</t>
  </si>
  <si>
    <t>2022A CF (CALX US)</t>
  </si>
  <si>
    <t>Calix Inc</t>
  </si>
  <si>
    <t>ZBRA US Equity</t>
  </si>
  <si>
    <t>Estimate (ZBRA US)</t>
  </si>
  <si>
    <t>Zebra Technologies Corp</t>
  </si>
  <si>
    <t>HLIT US Equity</t>
  </si>
  <si>
    <t>Estimate (HLIT US)</t>
  </si>
  <si>
    <t>Harmonic Inc</t>
  </si>
  <si>
    <t>063440 KS Equity</t>
  </si>
  <si>
    <t>2022C2 CF (063440 KS)</t>
  </si>
  <si>
    <t>SM Life Design Group Co Ltd</t>
  </si>
  <si>
    <t>0985038D US Equity</t>
  </si>
  <si>
    <t>2025A CF (FOXA US)</t>
  </si>
  <si>
    <t>CONCACAF</t>
  </si>
  <si>
    <t>Company News (NTBKQ US)</t>
  </si>
  <si>
    <t>Thredd Uk Ltd</t>
  </si>
  <si>
    <t>Estimate (T US)</t>
  </si>
  <si>
    <t>2025A CF (STZ US)</t>
  </si>
  <si>
    <t>Reyes Holdings LLC</t>
  </si>
  <si>
    <t>1426638D US Equity</t>
  </si>
  <si>
    <t>Southern Glazer's Wine and Spirits LLC</t>
  </si>
  <si>
    <t>ANDINAA CI Equity</t>
  </si>
  <si>
    <t>Estimate (STZ US)</t>
  </si>
  <si>
    <t>Embotelladora Andina SA</t>
  </si>
  <si>
    <t>SVR NZ Equity</t>
  </si>
  <si>
    <t>Savor Ltd</t>
  </si>
  <si>
    <t>Company News (GCO US)</t>
  </si>
  <si>
    <t>Kontoor Brands Inc</t>
  </si>
  <si>
    <t>2025A CF (HSY US)</t>
  </si>
  <si>
    <t>Hershey Co/The</t>
  </si>
  <si>
    <t>Textron Inc</t>
  </si>
  <si>
    <t>LCII US Equity</t>
  </si>
  <si>
    <t>2025A CF (LCII US)</t>
  </si>
  <si>
    <t>LCI Industries</t>
  </si>
  <si>
    <t>WAB US Equity</t>
  </si>
  <si>
    <t>Estimate (WAB US)</t>
  </si>
  <si>
    <t>Westinghouse Air Brake Technologies Corp</t>
  </si>
  <si>
    <t>2025A CF (PFE US)</t>
  </si>
  <si>
    <t>2024A CF (PFE US)</t>
  </si>
  <si>
    <t>2024A CF (1788 TT)</t>
  </si>
  <si>
    <t>Hi-Clearance Inc</t>
  </si>
  <si>
    <t>003000 KS Equity</t>
  </si>
  <si>
    <t>2025C3 CF (003000 KS)</t>
  </si>
  <si>
    <t>Bukwang Pharmaceutical Co Ltd</t>
  </si>
  <si>
    <t>142280 KS Equity</t>
  </si>
  <si>
    <t>2022A CF (142280 KS)</t>
  </si>
  <si>
    <t>Green Cross Medical Science Corp</t>
  </si>
  <si>
    <t>26794MF US Equity</t>
  </si>
  <si>
    <t>Company News (BAX US)</t>
  </si>
  <si>
    <t>Medical University of South Carolina/The</t>
  </si>
  <si>
    <t>2025C3 CF (4164 TT)</t>
  </si>
  <si>
    <t>2024A CF (ELAN US)</t>
  </si>
  <si>
    <t>603718 CH Equity</t>
  </si>
  <si>
    <t>2022A CF (603718 CH)</t>
  </si>
  <si>
    <t>Shanghai Hile Bio-Technology Co Ltd</t>
  </si>
  <si>
    <t>ACI BD Equity</t>
  </si>
  <si>
    <t>2025A CF (ACI BD)</t>
  </si>
  <si>
    <t>Advanced Chemical Industries PLC</t>
  </si>
  <si>
    <t>NUZ AU Equity</t>
  </si>
  <si>
    <t>Company News (NUZ AU)</t>
  </si>
  <si>
    <t>Neurizon Therapeutics Ltd</t>
  </si>
  <si>
    <t>RENATA BD Equity</t>
  </si>
  <si>
    <t>2023A CF (RENATA BD)</t>
  </si>
  <si>
    <t>Renata PLC</t>
  </si>
  <si>
    <t>2022Q2 CF (1718696D US)</t>
  </si>
  <si>
    <t>Sungard AS New Holdings LLC</t>
  </si>
  <si>
    <t>2025A CF (CBRL US)</t>
  </si>
  <si>
    <t>DoorDash Inc</t>
  </si>
  <si>
    <t>SAP CN Equity</t>
  </si>
  <si>
    <t>2023A CF (SAP CN)</t>
  </si>
  <si>
    <t>Saputo Inc</t>
  </si>
  <si>
    <t>UBER US Equity</t>
  </si>
  <si>
    <t>Uber Technologies Inc</t>
  </si>
  <si>
    <t>2025A CF (BGS US)</t>
  </si>
  <si>
    <t>B&amp;G Foods Inc</t>
  </si>
  <si>
    <t>Company News (WBA US)</t>
  </si>
  <si>
    <t>Pearl Health</t>
  </si>
  <si>
    <t>600518 CH Equity</t>
  </si>
  <si>
    <t>2021A CF (600518 CH)</t>
  </si>
  <si>
    <t>Kangmei Pharmaceutical Co Ltd</t>
  </si>
  <si>
    <t>ICC US Equity</t>
  </si>
  <si>
    <t>2023Q2 CF (ICC US)</t>
  </si>
  <si>
    <t>Genesiscare USA Holdings Inc</t>
  </si>
  <si>
    <t>ION PM Equity</t>
  </si>
  <si>
    <t>2024A CF (ION PM)</t>
  </si>
  <si>
    <t>Ionics Inc/Philippines</t>
  </si>
  <si>
    <t>6589 TT Equity</t>
  </si>
  <si>
    <t>2024A CF (6589 TT)</t>
  </si>
  <si>
    <t>EirGenix Inc</t>
  </si>
  <si>
    <t>XOM US Equity</t>
  </si>
  <si>
    <t>2024A CF (DMLP US)</t>
  </si>
  <si>
    <t>Exxon Mobil Corp</t>
  </si>
  <si>
    <t>PXD US Equity</t>
  </si>
  <si>
    <t>2023A CF (DMLP US)</t>
  </si>
  <si>
    <t>Pioneer Natural Resources Co</t>
  </si>
  <si>
    <t>2024Q2 CF (1868126D US)</t>
  </si>
  <si>
    <t>Exactech Inc</t>
  </si>
  <si>
    <t>2025Q2 CF (ORA US)</t>
  </si>
  <si>
    <t>Southern California Public Power Authority</t>
  </si>
  <si>
    <t>2025Q3 CF (ORA US)</t>
  </si>
  <si>
    <t>KPLL KN Equity</t>
  </si>
  <si>
    <t>2025A CF (KPLL KN)</t>
  </si>
  <si>
    <t>Kenya Power &amp; Lighting Ltd</t>
  </si>
  <si>
    <t>HE US Equity</t>
  </si>
  <si>
    <t>2024A CF (HE US)</t>
  </si>
  <si>
    <t>Hawaiian Electric Industries Inc</t>
  </si>
  <si>
    <t>2022A CF (GSANBOB1 MM)</t>
  </si>
  <si>
    <t>Grupo Sanborns SAB de CV</t>
  </si>
  <si>
    <t>BP/ LN Equity</t>
  </si>
  <si>
    <t>BP PLC</t>
  </si>
  <si>
    <t>2024A CF (GHC US)</t>
  </si>
  <si>
    <t>BCC US Equity</t>
  </si>
  <si>
    <t>2025Q3 CF (BCC US)</t>
  </si>
  <si>
    <t>Boise Cascade Co</t>
  </si>
  <si>
    <t>LULU US Equity</t>
  </si>
  <si>
    <t>Company News (LULU US)</t>
  </si>
  <si>
    <t>Lululemon Athletica Inc</t>
  </si>
  <si>
    <t>MSM US Equity</t>
  </si>
  <si>
    <t>2025Q2 CF (MSM US)</t>
  </si>
  <si>
    <t>MSC Industrial Direct Co Inc</t>
  </si>
  <si>
    <t>2024A CF (6661 TT)</t>
  </si>
  <si>
    <t>Welgene Biotech Co Ltd</t>
  </si>
  <si>
    <t>002726 CH Equity</t>
  </si>
  <si>
    <t>2022A CF (002726 CH)</t>
  </si>
  <si>
    <t>Shandong Longda Meishi Co Ltd</t>
  </si>
  <si>
    <t>002971 CH Equity</t>
  </si>
  <si>
    <t>2025S1 CF (002971 CH)</t>
  </si>
  <si>
    <t>Hubei Heyuan Gas Co Ltd</t>
  </si>
  <si>
    <t>038290 KS Equity</t>
  </si>
  <si>
    <t>2025C3 CF (038290 KS)</t>
  </si>
  <si>
    <t>Macrogen Inc</t>
  </si>
  <si>
    <t>0862128D CH Equity</t>
  </si>
  <si>
    <t>Company News (A US)</t>
  </si>
  <si>
    <t>Sangon Biotech Shanghai Co Ltd</t>
  </si>
  <si>
    <t>2024A CF (K US)</t>
  </si>
  <si>
    <t>Estimate (K US)</t>
  </si>
  <si>
    <t>BING GR Equity</t>
  </si>
  <si>
    <t>Boehringer Ingelheim GmbH</t>
  </si>
  <si>
    <t>7459 JP Equity</t>
  </si>
  <si>
    <t>Medipal Holdings Corp</t>
  </si>
  <si>
    <t>Company News (PBI US)</t>
  </si>
  <si>
    <t>1961354D US Equity</t>
  </si>
  <si>
    <t>NEW York Arena Partners LLC</t>
  </si>
  <si>
    <t>AEO US Equity</t>
  </si>
  <si>
    <t>American Eagle Outfitters Inc</t>
  </si>
  <si>
    <t>2024A CF (NVEE US)</t>
  </si>
  <si>
    <t>State of Washington Department of Transportation</t>
  </si>
  <si>
    <t>0009850D US Equity</t>
  </si>
  <si>
    <t>State of Washington Department of Natural Resources</t>
  </si>
  <si>
    <t>0036117D US Equity</t>
  </si>
  <si>
    <t>JFK International Air Terminal LLC</t>
  </si>
  <si>
    <t>0100187D US Equity</t>
  </si>
  <si>
    <t>Oregon Geospatial Enterprise Office</t>
  </si>
  <si>
    <t>0108136D US Equity</t>
  </si>
  <si>
    <t>State of New Mexico Department of Transportation</t>
  </si>
  <si>
    <t>LRCX US Equity</t>
  </si>
  <si>
    <t>Estimate (MKSI US)</t>
  </si>
  <si>
    <t>Lam Research Corp</t>
  </si>
  <si>
    <t>Applied Materials Inc</t>
  </si>
  <si>
    <t>ASML NA Equity</t>
  </si>
  <si>
    <t>ASML Holding NV</t>
  </si>
  <si>
    <t>222800 KS Equity</t>
  </si>
  <si>
    <t>2025C3 CF (222800 KS)</t>
  </si>
  <si>
    <t>SIMMTECH Co Ltd</t>
  </si>
  <si>
    <t>2024A CF (2610 TT)</t>
  </si>
  <si>
    <t>China Airlines Ltd</t>
  </si>
  <si>
    <t>2618 TT Equity</t>
  </si>
  <si>
    <t>2024A CF (2618 TT)</t>
  </si>
  <si>
    <t>Eva Airways Corp</t>
  </si>
  <si>
    <t>LTM CI Equity</t>
  </si>
  <si>
    <t>2025A CF (LTM CI)</t>
  </si>
  <si>
    <t>Latam Airlines Group SA</t>
  </si>
  <si>
    <t>Company News (HAL US)</t>
  </si>
  <si>
    <t>Wintershall Dea GmbH</t>
  </si>
  <si>
    <t>1251 HK Equity</t>
  </si>
  <si>
    <t>2024A CF (1251 HK)</t>
  </si>
  <si>
    <t>SPT Energy Group Inc</t>
  </si>
  <si>
    <t>2131417D LN Equity</t>
  </si>
  <si>
    <t>CeraPhi Energy Ltd</t>
  </si>
  <si>
    <t>2227791D LN Equity</t>
  </si>
  <si>
    <t>Progressive Energy Ltd</t>
  </si>
  <si>
    <t>2333568D US Equity</t>
  </si>
  <si>
    <t>Armada Inc</t>
  </si>
  <si>
    <t>Coca-Cola Co/The</t>
  </si>
  <si>
    <t>BALL US Equity</t>
  </si>
  <si>
    <t>Estimate (BALL US)</t>
  </si>
  <si>
    <t>Ball Corp</t>
  </si>
  <si>
    <t>OI US Equity</t>
  </si>
  <si>
    <t>Estimate (OI US)</t>
  </si>
  <si>
    <t>O-I Glass Inc</t>
  </si>
  <si>
    <t>ABI BB Equity</t>
  </si>
  <si>
    <t>Estimate (ABI BB)</t>
  </si>
  <si>
    <t>Anheuser-Busch InBev SA/NV</t>
  </si>
  <si>
    <t>GTLS US Equity</t>
  </si>
  <si>
    <t>Estimate (GTLS US)</t>
  </si>
  <si>
    <t>Chart Industries Inc</t>
  </si>
  <si>
    <t>1836 HK Equity</t>
  </si>
  <si>
    <t>Estimate (1836 HK)</t>
  </si>
  <si>
    <t>Stella International Holdings Ltd</t>
  </si>
  <si>
    <t>CBL US Equity</t>
  </si>
  <si>
    <t>2024A CF (CBL US)</t>
  </si>
  <si>
    <t>CBL &amp; Associates Properties Inc</t>
  </si>
  <si>
    <t>GIII US Equity</t>
  </si>
  <si>
    <t>Estimate (GIII US)</t>
  </si>
  <si>
    <t>G-III Apparel Group Ltd</t>
  </si>
  <si>
    <t>LEVI US Equity</t>
  </si>
  <si>
    <t>Estimate (LEVI US)</t>
  </si>
  <si>
    <t>Levi Strauss &amp; Co</t>
  </si>
  <si>
    <t>DECK US Equity</t>
  </si>
  <si>
    <t>Estimate (DECK US)</t>
  </si>
  <si>
    <t>Deckers Outdoor Corp</t>
  </si>
  <si>
    <t>Estimate (BGS US)</t>
  </si>
  <si>
    <t>2023Q2 CF (DGII US)</t>
  </si>
  <si>
    <t>Middleby Corp/The</t>
  </si>
  <si>
    <t>REED US Equity</t>
  </si>
  <si>
    <t>2025Q2 CF (REED US)</t>
  </si>
  <si>
    <t>Reed's Inc</t>
  </si>
  <si>
    <t>MA US Equity</t>
  </si>
  <si>
    <t>2024Q1 CF (MA US)</t>
  </si>
  <si>
    <t>Mastercard Inc</t>
  </si>
  <si>
    <t>Company News (ENGI FP)</t>
  </si>
  <si>
    <t>Engie SA</t>
  </si>
  <si>
    <t>MASI US Equity</t>
  </si>
  <si>
    <t>Estimate (MASI US)</t>
  </si>
  <si>
    <t>Masimo Corp</t>
  </si>
  <si>
    <t>Estimate (UFPT US)</t>
  </si>
  <si>
    <t>2025C3 CF (142280 KS)</t>
  </si>
  <si>
    <t>000063 CH Equity</t>
  </si>
  <si>
    <t>2025A CF (000063 CH)</t>
  </si>
  <si>
    <t>ZTE Corp</t>
  </si>
  <si>
    <t>3747 JP Equity</t>
  </si>
  <si>
    <t>2026A CF (3747 JP)</t>
  </si>
  <si>
    <t>Intertrade Co Ltd</t>
  </si>
  <si>
    <t>2026Q2 CF (EMBASSY IN)</t>
  </si>
  <si>
    <t>INW IM Equity</t>
  </si>
  <si>
    <t>2025Q3 CF (INW IM)</t>
  </si>
  <si>
    <t>Infrastrutture Wireless Italiane SpA</t>
  </si>
  <si>
    <t>2023A CF (MUST SP)</t>
  </si>
  <si>
    <t>3231 TT Equity</t>
  </si>
  <si>
    <t>Estimate (3231 TT)</t>
  </si>
  <si>
    <t>Wistron Corp</t>
  </si>
  <si>
    <t>2317 TT Equity</t>
  </si>
  <si>
    <t>Estimate (2317 TT)</t>
  </si>
  <si>
    <t>Hon Hai Precision Industry Co Ltd</t>
  </si>
  <si>
    <t>Company News (3764228Z US)</t>
  </si>
  <si>
    <t>Harper Corp-General Contractors/The</t>
  </si>
  <si>
    <t>2023Q2 CF (SRGAQ US)</t>
  </si>
  <si>
    <t>AlloSource</t>
  </si>
  <si>
    <t>26183Z US Equity</t>
  </si>
  <si>
    <t>Tomz Corp</t>
  </si>
  <si>
    <t>1996732D US Equity</t>
  </si>
  <si>
    <t>2022A CF (SRGAQ US)</t>
  </si>
  <si>
    <t>Origin Biologics LLC</t>
  </si>
  <si>
    <t>1729493D US Equity</t>
  </si>
  <si>
    <t>Abel Solutions LLC</t>
  </si>
  <si>
    <t>ELUT US Equity</t>
  </si>
  <si>
    <t>2023Q2 CF (ELUT US)</t>
  </si>
  <si>
    <t>Elutia Inc</t>
  </si>
  <si>
    <t>Estimate (EMKR US)</t>
  </si>
  <si>
    <t>EMCORE Corp</t>
  </si>
  <si>
    <t>PKE US Equity</t>
  </si>
  <si>
    <t>Estimate (PKE US)</t>
  </si>
  <si>
    <t>Park Aerospace Corp</t>
  </si>
  <si>
    <t>TGI US Equity</t>
  </si>
  <si>
    <t>Estimate (TGI US)</t>
  </si>
  <si>
    <t>Triumph Group Inc</t>
  </si>
  <si>
    <t>Estimate (PRIM US)</t>
  </si>
  <si>
    <t>Primoris Services Corp</t>
  </si>
  <si>
    <t>AROC US Equity</t>
  </si>
  <si>
    <t>Estimate (AROC US)</t>
  </si>
  <si>
    <t>Archrock Inc</t>
  </si>
  <si>
    <t>1711553D US Equity</t>
  </si>
  <si>
    <t>Delfin LNG LLC</t>
  </si>
  <si>
    <t>2457842D US Equity</t>
  </si>
  <si>
    <t>Company News (EXE US)</t>
  </si>
  <si>
    <t>Evolution Well Services LLC</t>
  </si>
  <si>
    <t>Company News (9924155Z US)</t>
  </si>
  <si>
    <t>Alex-Alternative Experts LLC</t>
  </si>
  <si>
    <t>IGP LN Equity</t>
  </si>
  <si>
    <t>2024A CF (IGP LN)</t>
  </si>
  <si>
    <t>Intercede Group PLC</t>
  </si>
  <si>
    <t>Estimate (PCRX US)</t>
  </si>
  <si>
    <t>Pacira BioSciences Inc</t>
  </si>
  <si>
    <t>4579 JP Equity</t>
  </si>
  <si>
    <t>2024A CF (4579 JP)</t>
  </si>
  <si>
    <t>RaQualia Pharma Inc</t>
  </si>
  <si>
    <t>BIOS IN Equity</t>
  </si>
  <si>
    <t>2025Q3 CF (BIOS IN)</t>
  </si>
  <si>
    <t>Biocon Ltd</t>
  </si>
  <si>
    <t>INDIQUBE IN Equity</t>
  </si>
  <si>
    <t>2025A CF (INDIQUBE IN)</t>
  </si>
  <si>
    <t>Indiqube Spaces Ltd</t>
  </si>
  <si>
    <t>2024C3 CF (003490 KS)</t>
  </si>
  <si>
    <t>2026A CF (LUMN US)</t>
  </si>
  <si>
    <t>IMI LN Equity</t>
  </si>
  <si>
    <t>Estimate (IMI LN)</t>
  </si>
  <si>
    <t>IMI PLC</t>
  </si>
  <si>
    <t>2025Q1 CF (BLND US)</t>
  </si>
  <si>
    <t>Blend Labs Inc</t>
  </si>
  <si>
    <t>RPR-U CN Equity</t>
  </si>
  <si>
    <t>2024A CF (RPR-U CN)</t>
  </si>
  <si>
    <t>Ravelin Properties REIT</t>
  </si>
  <si>
    <t>Company News (GHC US)</t>
  </si>
  <si>
    <t>Kia Corp</t>
  </si>
  <si>
    <t>1664Z CN Equity</t>
  </si>
  <si>
    <t>2023A CF (GHC US)</t>
  </si>
  <si>
    <t>Canadian Broadcasting Corp</t>
  </si>
  <si>
    <t>7203 JP Equity</t>
  </si>
  <si>
    <t>Toyota Motor Corp</t>
  </si>
  <si>
    <t>7267 JP Equity</t>
  </si>
  <si>
    <t>Honda Motor Co Ltd</t>
  </si>
  <si>
    <t>GSIT US Equity</t>
  </si>
  <si>
    <t>Estimate (GSIT US)</t>
  </si>
  <si>
    <t>GSI Technology Inc</t>
  </si>
  <si>
    <t>377030 KS Equity</t>
  </si>
  <si>
    <t>2025C3 CF (377030 KS)</t>
  </si>
  <si>
    <t>BITMAX Co Ltd</t>
  </si>
  <si>
    <t>600690 CH Equity</t>
  </si>
  <si>
    <t>2023S1 CF (600690 CH)</t>
  </si>
  <si>
    <t>Haier Smart Home Co Ltd</t>
  </si>
  <si>
    <t>ALLA TB Equity</t>
  </si>
  <si>
    <t>2022A CF (ALLA TB)</t>
  </si>
  <si>
    <t>Alla PCL</t>
  </si>
  <si>
    <t>OR FP Equity</t>
  </si>
  <si>
    <t>Estimate (OR FP)</t>
  </si>
  <si>
    <t>L'Oreal SA</t>
  </si>
  <si>
    <t>VRTX US Equity</t>
  </si>
  <si>
    <t>Estimate (VRTX US)</t>
  </si>
  <si>
    <t>Vertex Pharmaceuticals Inc</t>
  </si>
  <si>
    <t>ULVR LN Equity</t>
  </si>
  <si>
    <t>Estimate (ULVR LN)</t>
  </si>
  <si>
    <t>Unilever PLC</t>
  </si>
  <si>
    <t>GPK US Equity</t>
  </si>
  <si>
    <t>Estimate (GPK US)</t>
  </si>
  <si>
    <t>Graphic Packaging Holding Co</t>
  </si>
  <si>
    <t>BARN SW Equity</t>
  </si>
  <si>
    <t>Estimate (BARN SW)</t>
  </si>
  <si>
    <t>Barry Callebaut AG</t>
  </si>
  <si>
    <t>PLD US Equity</t>
  </si>
  <si>
    <t>2024A CF (PLD US)</t>
  </si>
  <si>
    <t>Prologis Inc</t>
  </si>
  <si>
    <t>2025Q2 CF (RIGL US)</t>
  </si>
  <si>
    <t>Rigel Pharmaceuticals Inc</t>
  </si>
  <si>
    <t>INCY US Equity</t>
  </si>
  <si>
    <t>2025A CF (INCY US)</t>
  </si>
  <si>
    <t>Incyte Corp</t>
  </si>
  <si>
    <t>13 HK Equity</t>
  </si>
  <si>
    <t>2024A CF (13 HK)</t>
  </si>
  <si>
    <t>HUTCHMED China Ltd</t>
  </si>
  <si>
    <t>ARE US Equity</t>
  </si>
  <si>
    <t>2025A CF (ARE US)</t>
  </si>
  <si>
    <t>Alexandria Real Estate Equities Inc</t>
  </si>
  <si>
    <t>2024A CF (BNTX US)</t>
  </si>
  <si>
    <t>BioNTech SE</t>
  </si>
  <si>
    <t>5201 JP Equity</t>
  </si>
  <si>
    <t>Estimate (5201 JP)</t>
  </si>
  <si>
    <t>AGC Inc</t>
  </si>
  <si>
    <t>2022A CF (HEXAB SS)</t>
  </si>
  <si>
    <t>Hexagon AB</t>
  </si>
  <si>
    <t>KEMIRA FH Equity</t>
  </si>
  <si>
    <t>Estimate (KEMIRA FH)</t>
  </si>
  <si>
    <t>Kemira Oyj</t>
  </si>
  <si>
    <t>APAM NA Equity</t>
  </si>
  <si>
    <t>Estimate (APAM NA)</t>
  </si>
  <si>
    <t>APERAM SA</t>
  </si>
  <si>
    <t>RBC US Equity</t>
  </si>
  <si>
    <t>Estimate (RBC US)</t>
  </si>
  <si>
    <t>RBC Bearings Inc</t>
  </si>
  <si>
    <t>OMSE US Equity</t>
  </si>
  <si>
    <t>2025A CF (OMSE US)</t>
  </si>
  <si>
    <t>OMS Energy Technologies Inc</t>
  </si>
  <si>
    <t>BFS US Equity</t>
  </si>
  <si>
    <t>2024A CF (BFS US)</t>
  </si>
  <si>
    <t>Saul Centers Inc</t>
  </si>
  <si>
    <t>2025Q1 CF (CAP FP)</t>
  </si>
  <si>
    <t>GTM US Equity</t>
  </si>
  <si>
    <t>2022Q3 CF (GTM US)</t>
  </si>
  <si>
    <t>ZoomInfo Technologies Inc</t>
  </si>
  <si>
    <t>ETR US Equity</t>
  </si>
  <si>
    <t>2021A CF (ETR US)</t>
  </si>
  <si>
    <t>Entergy Corp</t>
  </si>
  <si>
    <t>IEI CN Equity</t>
  </si>
  <si>
    <t>2024A CF (IEI CN)</t>
  </si>
  <si>
    <t>Imperial Equities Inc</t>
  </si>
  <si>
    <t>Estimate (DY US)</t>
  </si>
  <si>
    <t>Estimate (JNPR US)</t>
  </si>
  <si>
    <t>CIEN US Equity</t>
  </si>
  <si>
    <t>Estimate (CIEN US)</t>
  </si>
  <si>
    <t>Ciena Corp</t>
  </si>
  <si>
    <t>1115L US Equity</t>
  </si>
  <si>
    <t>Company News (CNSL US)</t>
  </si>
  <si>
    <t>Latham &amp; Watkins LLP</t>
  </si>
  <si>
    <t>FII FP Equity</t>
  </si>
  <si>
    <t>Estimate (FII FP)</t>
  </si>
  <si>
    <t>LISI SA</t>
  </si>
  <si>
    <t>Vishay Intertechnology Inc</t>
  </si>
  <si>
    <t>Estimate (LASR US)</t>
  </si>
  <si>
    <t>nLight Inc</t>
  </si>
  <si>
    <t>GHH LN Equity</t>
  </si>
  <si>
    <t>Estimate (GHH LN)</t>
  </si>
  <si>
    <t>Gooch &amp; Housego PLC</t>
  </si>
  <si>
    <t>LITE US Equity</t>
  </si>
  <si>
    <t>Estimate (LITE US)</t>
  </si>
  <si>
    <t>Lumentum Holdings Inc</t>
  </si>
  <si>
    <t>002222 CH Equity</t>
  </si>
  <si>
    <t>2021A CF (002222 CH)</t>
  </si>
  <si>
    <t>Castech Inc</t>
  </si>
  <si>
    <t>300620 CH Equity</t>
  </si>
  <si>
    <t>2025S1 CF (300620 CH)</t>
  </si>
  <si>
    <t>Advanced Fiber Resources Zhuhai Ltd</t>
  </si>
  <si>
    <t>Estimate (AVNT US)</t>
  </si>
  <si>
    <t>1COV GR Equity</t>
  </si>
  <si>
    <t>Covestro AG</t>
  </si>
  <si>
    <t>AKE FP Equity</t>
  </si>
  <si>
    <t>Arkema SA</t>
  </si>
  <si>
    <t>2303 TT Equity</t>
  </si>
  <si>
    <t>Estimate (2303 TT)</t>
  </si>
  <si>
    <t>United Microelectronics Corp</t>
  </si>
  <si>
    <t>002564 CH Equity</t>
  </si>
  <si>
    <t>2022A CF (002564 CH)</t>
  </si>
  <si>
    <t>Suzhou Thvow Technology Co Ltd</t>
  </si>
  <si>
    <t>300157 CH Equity</t>
  </si>
  <si>
    <t>2023A CF (300157 CH)</t>
  </si>
  <si>
    <t>New JCM Group Co Ltd</t>
  </si>
  <si>
    <t>600839 CH Equity</t>
  </si>
  <si>
    <t>2024A CF (600839 CH)</t>
  </si>
  <si>
    <t>Sichuan Changhong Electric Co Ltd</t>
  </si>
  <si>
    <t>2024A CF (AIT US)</t>
  </si>
  <si>
    <t>FIX US Equity</t>
  </si>
  <si>
    <t>2025A CF (FIX US)</t>
  </si>
  <si>
    <t>Comfort Systems USA Inc</t>
  </si>
  <si>
    <t>2023Q2 CF (ALIFB SS)</t>
  </si>
  <si>
    <t>AddLife AB</t>
  </si>
  <si>
    <t>TEN IM Equity</t>
  </si>
  <si>
    <t>Estimate (TEN IM)</t>
  </si>
  <si>
    <t>Tenaris SA</t>
  </si>
  <si>
    <t>TT US Equity</t>
  </si>
  <si>
    <t>Estimate (TT US)</t>
  </si>
  <si>
    <t>Trane Technologies PLC</t>
  </si>
  <si>
    <t>002171 CH Equity</t>
  </si>
  <si>
    <t>2024A CF (002171 CH)</t>
  </si>
  <si>
    <t>Anhui Truchum Advanced Materials &amp; Technology Co Ltd</t>
  </si>
  <si>
    <t>ATKR US Equity</t>
  </si>
  <si>
    <t>2025A CF (ATKR US)</t>
  </si>
  <si>
    <t>Atkore Inc</t>
  </si>
  <si>
    <t>2022Q3 CF (005380 KS)</t>
  </si>
  <si>
    <t>Media News (WNC US)</t>
  </si>
  <si>
    <t>2026Q3 CF (ADSK US)</t>
  </si>
  <si>
    <t>002602 CH Equity</t>
  </si>
  <si>
    <t>2024A CF (002602 CH)</t>
  </si>
  <si>
    <t>Zhejiang Century Huatong Group Co Ltd</t>
  </si>
  <si>
    <t>Company News (NINE CN)</t>
  </si>
  <si>
    <t>Nine Mile Metals Ltd</t>
  </si>
  <si>
    <t>SOLR CN Equity</t>
  </si>
  <si>
    <t>Company News (SOLR CN)</t>
  </si>
  <si>
    <t>Solar Alliance Energy Inc</t>
  </si>
  <si>
    <t>CONNQ US Equity</t>
  </si>
  <si>
    <t>2024Q2 CF (CONNQ US)</t>
  </si>
  <si>
    <t>Conn's Inc</t>
  </si>
  <si>
    <t>2025A CF (CAG US)</t>
  </si>
  <si>
    <t>Estimate (CAG US)</t>
  </si>
  <si>
    <t>Estimate (ARMK US)</t>
  </si>
  <si>
    <t>Aramark</t>
  </si>
  <si>
    <t>0219250Z US Equity</t>
  </si>
  <si>
    <t>2025A CF (SYY US)</t>
  </si>
  <si>
    <t>United States Department of Veterans Affairs</t>
  </si>
  <si>
    <t>1730532D US Equity</t>
  </si>
  <si>
    <t>2025Q2 CF (1730532D US)</t>
  </si>
  <si>
    <t>Runitonetime LLC</t>
  </si>
  <si>
    <t>Company News (CMLSQ US)</t>
  </si>
  <si>
    <t>2024A CF (ARABIAND AB)</t>
  </si>
  <si>
    <t>Arabian Drilling Co</t>
  </si>
  <si>
    <t>SUBC NO Equity</t>
  </si>
  <si>
    <t>Estimate (SUBC NO)</t>
  </si>
  <si>
    <t>Subsea 7 SA</t>
  </si>
  <si>
    <t>FUR NA Equity</t>
  </si>
  <si>
    <t>Estimate (FUR NA)</t>
  </si>
  <si>
    <t>Fugro NV</t>
  </si>
  <si>
    <t>2021A CF (GCARSOA1 MM)</t>
  </si>
  <si>
    <t>Grupo Carso SAB de CV</t>
  </si>
  <si>
    <t>MRX US Equity</t>
  </si>
  <si>
    <t>Company News (SF US)</t>
  </si>
  <si>
    <t>Marex Group PLC</t>
  </si>
  <si>
    <t>Estimate (CRI US)</t>
  </si>
  <si>
    <t>2025A CF (GNK US)</t>
  </si>
  <si>
    <t>Oldendorff Carriers GmbH &amp; Co KG</t>
  </si>
  <si>
    <t>GLEN LN Equity</t>
  </si>
  <si>
    <t>2024A CF (GNK US)</t>
  </si>
  <si>
    <t>Glencore PLC</t>
  </si>
  <si>
    <t>FMG AU Equity</t>
  </si>
  <si>
    <t>Estimate (FMG AU)</t>
  </si>
  <si>
    <t>Fortescue Ltd</t>
  </si>
  <si>
    <t>BHP AU Equity</t>
  </si>
  <si>
    <t>Estimate (BHP AU)</t>
  </si>
  <si>
    <t>BHP Group Ltd</t>
  </si>
  <si>
    <t>0817876D SW Equity</t>
  </si>
  <si>
    <t>Cargill International SA</t>
  </si>
  <si>
    <t>002074 CH Equity</t>
  </si>
  <si>
    <t>2023A CF (ORA US)</t>
  </si>
  <si>
    <t>Gotion High-tech Co Ltd</t>
  </si>
  <si>
    <t>258610 KS Equity</t>
  </si>
  <si>
    <t>2024C3 CF (258610 KS)</t>
  </si>
  <si>
    <t>Caelum Co Ltd</t>
  </si>
  <si>
    <t>300402 CH Equity</t>
  </si>
  <si>
    <t>2024A CF (300402 CH)</t>
  </si>
  <si>
    <t>Nanjing Baose Co Ltd</t>
  </si>
  <si>
    <t>Transocean Ltd</t>
  </si>
  <si>
    <t>MUR US Equity</t>
  </si>
  <si>
    <t>2024A CF (MUR US)</t>
  </si>
  <si>
    <t>Murphy Oil Corp</t>
  </si>
  <si>
    <t>BRY US Equity</t>
  </si>
  <si>
    <t>2024A CF (BRY US)</t>
  </si>
  <si>
    <t>Berry Corp</t>
  </si>
  <si>
    <t>2022A CF (TTEC US)</t>
  </si>
  <si>
    <t>Stripe LLC</t>
  </si>
  <si>
    <t>0213964D US Equity</t>
  </si>
  <si>
    <t>Bloomfire Inc</t>
  </si>
  <si>
    <t>0287636Z US Equity</t>
  </si>
  <si>
    <t>Certona Corp</t>
  </si>
  <si>
    <t>0359221D US Equity</t>
  </si>
  <si>
    <t>Datasift Inc</t>
  </si>
  <si>
    <t>0393064D US Equity</t>
  </si>
  <si>
    <t>Engauge Holdings LLC</t>
  </si>
  <si>
    <t>Company News (TPB US)</t>
  </si>
  <si>
    <t>GoBrands Inc</t>
  </si>
  <si>
    <t>2771531Z SM Equity</t>
  </si>
  <si>
    <t>2023A CF (TPB US)</t>
  </si>
  <si>
    <t>Flamagas SA</t>
  </si>
  <si>
    <t>2023Q1 CF (TPB US)</t>
  </si>
  <si>
    <t>BOL FP Equity</t>
  </si>
  <si>
    <t>2022A CF (TPB US)</t>
  </si>
  <si>
    <t>Bollore SE</t>
  </si>
  <si>
    <t>eBay Inc</t>
  </si>
  <si>
    <t>2023A CF (FMGI IN)</t>
  </si>
  <si>
    <t>Federal-Mogul Goetze India Ltd</t>
  </si>
  <si>
    <t>1789 TT Equity</t>
  </si>
  <si>
    <t>2022A CF (1789 TT)</t>
  </si>
  <si>
    <t>ScinoPharm Taiwan Ltd</t>
  </si>
  <si>
    <t>Abbott India Ltd</t>
  </si>
  <si>
    <t>4175 TT Equity</t>
  </si>
  <si>
    <t>2024A CF (4175 TT)</t>
  </si>
  <si>
    <t>MedFirst Healthcare Services Inc</t>
  </si>
  <si>
    <t>096760 KS Equity</t>
  </si>
  <si>
    <t>2025C3 CF (096760 KS)</t>
  </si>
  <si>
    <t>JW Holdings Corp</t>
  </si>
  <si>
    <t>001060 KS Equity</t>
  </si>
  <si>
    <t>2025C3 CF (001060 KS)</t>
  </si>
  <si>
    <t>JW Pharmaceutical Corp</t>
  </si>
  <si>
    <t>2026Q1 CF (VREX US)</t>
  </si>
  <si>
    <t>Motorola Solutions Inc</t>
  </si>
  <si>
    <t>General Dynamics Corp</t>
  </si>
  <si>
    <t>2023A CF (LZB US)</t>
  </si>
  <si>
    <t>Slumberland Inc</t>
  </si>
  <si>
    <t>1999297D US Equity</t>
  </si>
  <si>
    <t>Raymour &amp; Flanigan Furniture Co</t>
  </si>
  <si>
    <t>2908 TT Equity</t>
  </si>
  <si>
    <t>2024A CF (2908 TT)</t>
  </si>
  <si>
    <t>Test Rite International Co Ltd</t>
  </si>
  <si>
    <t>603816 CH Equity</t>
  </si>
  <si>
    <t>2023A CF (603816 CH)</t>
  </si>
  <si>
    <t>Jason Furniture Hangzhou Co Ltd</t>
  </si>
  <si>
    <t>7616219Z US Equity</t>
  </si>
  <si>
    <t>Mathis Bros Furniture Co Inc</t>
  </si>
  <si>
    <t>JD/ LN Equity</t>
  </si>
  <si>
    <t>Estimate (JD/ LN)</t>
  </si>
  <si>
    <t>JD Sports Fashion PLC</t>
  </si>
  <si>
    <t>Estimate (VFC US)</t>
  </si>
  <si>
    <t>TSCO US Equity</t>
  </si>
  <si>
    <t>Estimate (TSCO US)</t>
  </si>
  <si>
    <t>Tractor Supply Co</t>
  </si>
  <si>
    <t>Estimate (AOS US)</t>
  </si>
  <si>
    <t>GWW US Equity</t>
  </si>
  <si>
    <t>WW Grainger Inc</t>
  </si>
  <si>
    <t>Estimate (SMP US)</t>
  </si>
  <si>
    <t>Standard Motor Products Inc</t>
  </si>
  <si>
    <t>5110 JP Equity</t>
  </si>
  <si>
    <t>Estimate (5110 JP)</t>
  </si>
  <si>
    <t>Sumitomo Rubber Industries Ltd</t>
  </si>
  <si>
    <t>ML FP Equity</t>
  </si>
  <si>
    <t>Estimate (ML FP)</t>
  </si>
  <si>
    <t>Cie Generale des Etablissements Michelin SCA</t>
  </si>
  <si>
    <t>PIRC IM Equity</t>
  </si>
  <si>
    <t>Estimate (PIRC IM)</t>
  </si>
  <si>
    <t>Pirelli &amp; C SpA</t>
  </si>
  <si>
    <t>2024A CF (MAADEN AB)</t>
  </si>
  <si>
    <t>Saudi Arabian Mining Co</t>
  </si>
  <si>
    <t>0599984D GR Equity</t>
  </si>
  <si>
    <t>Company News (AA US)</t>
  </si>
  <si>
    <t>Speira GmbH</t>
  </si>
  <si>
    <t>0817498D UH Equity</t>
  </si>
  <si>
    <t>Emirates Global Aluminium PJSC</t>
  </si>
  <si>
    <t>178320 KS Equity</t>
  </si>
  <si>
    <t>2025C3 CF (178320 KS)</t>
  </si>
  <si>
    <t>Seojin System Co Ltd</t>
  </si>
  <si>
    <t>4523 TT Equity</t>
  </si>
  <si>
    <t>2021A CF (4523 TT)</t>
  </si>
  <si>
    <t>Everbrite Technology Co Ltd</t>
  </si>
  <si>
    <t>2024A CF (300326 CH)</t>
  </si>
  <si>
    <t>Shanghai Kinetic Medical Co Ltd</t>
  </si>
  <si>
    <t>170900 KS Equity</t>
  </si>
  <si>
    <t>2025C3 CF (170900 KS)</t>
  </si>
  <si>
    <t>Dong-A ST Co Ltd</t>
  </si>
  <si>
    <t>195940 KS Equity</t>
  </si>
  <si>
    <t>2025C3 CF (195940 KS)</t>
  </si>
  <si>
    <t>HK inno N Corp</t>
  </si>
  <si>
    <t>161890 KS Equity</t>
  </si>
  <si>
    <t>2025C3 CF (161890 KS)</t>
  </si>
  <si>
    <t>Kolmar Korea Co Ltd</t>
  </si>
  <si>
    <t>4142 TT Equity</t>
  </si>
  <si>
    <t>2024A CF (4142 TT)</t>
  </si>
  <si>
    <t>Adimmune Corp</t>
  </si>
  <si>
    <t>Estimate (2356 TT)</t>
  </si>
  <si>
    <t>Inventec Corp</t>
  </si>
  <si>
    <t>Estimate (INTC US)</t>
  </si>
  <si>
    <t>2382 TT Equity</t>
  </si>
  <si>
    <t>Estimate (2382 TT)</t>
  </si>
  <si>
    <t>Quanta Computer Inc</t>
  </si>
  <si>
    <t>7751 JP Equity</t>
  </si>
  <si>
    <t>2024A CF (7751 JP)</t>
  </si>
  <si>
    <t>Canon Inc</t>
  </si>
  <si>
    <t>2024A CF (KIM US)</t>
  </si>
  <si>
    <t>Kimco Realty Corp</t>
  </si>
  <si>
    <t>CTO US Equity</t>
  </si>
  <si>
    <t>2025Q3 CF (CTO US)</t>
  </si>
  <si>
    <t>CTO Realty Growth Inc</t>
  </si>
  <si>
    <t>SITE Centers Corp</t>
  </si>
  <si>
    <t>2023A CF (ABL NO)</t>
  </si>
  <si>
    <t>ABL Group ASA</t>
  </si>
  <si>
    <t>ALIT US Equity</t>
  </si>
  <si>
    <t>2025Q1 CF (ALIT US)</t>
  </si>
  <si>
    <t>Alight Inc</t>
  </si>
  <si>
    <t>2025Q2 CF (MODVQ US)</t>
  </si>
  <si>
    <t>ModivCare Inc</t>
  </si>
  <si>
    <t>Company News (SGE LN)</t>
  </si>
  <si>
    <t>Sage Group PLC/The</t>
  </si>
  <si>
    <t>WDAY US Equity</t>
  </si>
  <si>
    <t>2025A CF (WDAY US)</t>
  </si>
  <si>
    <t>Workday Inc</t>
  </si>
  <si>
    <t>BMW GR Equity</t>
  </si>
  <si>
    <t>Bayerische Motoren Werke AG</t>
  </si>
  <si>
    <t>Ford Motor Co</t>
  </si>
  <si>
    <t>MBG GR Equity</t>
  </si>
  <si>
    <t>Mercedes-Benz Group AG</t>
  </si>
  <si>
    <t>5411 JP Equity</t>
  </si>
  <si>
    <t>Estimate (5411 JP)</t>
  </si>
  <si>
    <t>JFE Holdings Inc</t>
  </si>
  <si>
    <t>NVRI US Equity</t>
  </si>
  <si>
    <t>Estimate (NVRI US)</t>
  </si>
  <si>
    <t>Enviri Corp</t>
  </si>
  <si>
    <t>VSVS LN Equity</t>
  </si>
  <si>
    <t>Estimate (VSVS LN)</t>
  </si>
  <si>
    <t>Vesuvius PLC</t>
  </si>
  <si>
    <t>CSX US Equity</t>
  </si>
  <si>
    <t>Estimate (CSX US)</t>
  </si>
  <si>
    <t>CSX Corp</t>
  </si>
  <si>
    <t>2025A CF (PRGO US)</t>
  </si>
  <si>
    <t>1 HK Equity</t>
  </si>
  <si>
    <t>Estimate (PRGO US)</t>
  </si>
  <si>
    <t>CK Hutchison Holdings Ltd</t>
  </si>
  <si>
    <t>Midea Group Co Ltd</t>
  </si>
  <si>
    <t>002085 CH Equity</t>
  </si>
  <si>
    <t>Zhejiang Wanfeng Auto Wheel Co Ltd</t>
  </si>
  <si>
    <t>009830 KS Equity</t>
  </si>
  <si>
    <t>Hanwha Solutions Corp</t>
  </si>
  <si>
    <t>0178459D US Equity</t>
  </si>
  <si>
    <t>MAHLE Industries Inc</t>
  </si>
  <si>
    <t>0211821D US Equity</t>
  </si>
  <si>
    <t>Webasto Roof Systems Inc</t>
  </si>
  <si>
    <t>Media News (GFS US)</t>
  </si>
  <si>
    <t>Estimate (TDG US)</t>
  </si>
  <si>
    <t>UAL US Equity</t>
  </si>
  <si>
    <t>United Airlines Holdings Inc</t>
  </si>
  <si>
    <t>DAL US Equity</t>
  </si>
  <si>
    <t>Delta Air Lines Inc</t>
  </si>
  <si>
    <t>Company News (62553Q US)</t>
  </si>
  <si>
    <t>Hubbard Broadcasting Inc</t>
  </si>
  <si>
    <t>WPP LN Equity</t>
  </si>
  <si>
    <t>WPP PLC</t>
  </si>
  <si>
    <t>Estimate (TEX US)</t>
  </si>
  <si>
    <t>WM US Equity</t>
  </si>
  <si>
    <t>Waste Management Inc</t>
  </si>
  <si>
    <t>RSG US Equity</t>
  </si>
  <si>
    <t>Republic Services Inc</t>
  </si>
  <si>
    <t>GFL CN Equity</t>
  </si>
  <si>
    <t>GFL Environmental Inc</t>
  </si>
  <si>
    <t>Estimate (TSCO LN)</t>
  </si>
  <si>
    <t>SFM US Equity</t>
  </si>
  <si>
    <t>Estimate (SFM US)</t>
  </si>
  <si>
    <t>Sprouts Farmers Market Inc</t>
  </si>
  <si>
    <t>2022A CF (GFR US)</t>
  </si>
  <si>
    <t>Trafigura Group Pte Ltd</t>
  </si>
  <si>
    <t>1195789D CN Equity</t>
  </si>
  <si>
    <t>Trafigura Canada GP</t>
  </si>
  <si>
    <t>2024A CF (POOL US)</t>
  </si>
  <si>
    <t>Pool Corp</t>
  </si>
  <si>
    <t>011070 KS Equity</t>
  </si>
  <si>
    <t>Estimate (011070 KS)</t>
  </si>
  <si>
    <t>LG Innotek Co Ltd</t>
  </si>
  <si>
    <t>2025A CF (SARO US)</t>
  </si>
  <si>
    <t>2026Q1 CF (CMTL US)</t>
  </si>
  <si>
    <t>Estimate (CMTL US)</t>
  </si>
  <si>
    <t>Verizon Communications Inc</t>
  </si>
  <si>
    <t>SATS US Equity</t>
  </si>
  <si>
    <t>EchoStar Corp</t>
  </si>
  <si>
    <t>TMUS US Equity</t>
  </si>
  <si>
    <t>T-Mobile US Inc</t>
  </si>
  <si>
    <t>TTD US Equity</t>
  </si>
  <si>
    <t>2025Q3 CF (TTD US)</t>
  </si>
  <si>
    <t>Trade Desk Inc/The</t>
  </si>
  <si>
    <t>2025A CF (PG US)</t>
  </si>
  <si>
    <t>Company News (AIV US)</t>
  </si>
  <si>
    <t>Harbor Group International LLC</t>
  </si>
  <si>
    <t>002323 CH Equity</t>
  </si>
  <si>
    <t>2023A CF (002323 CH)</t>
  </si>
  <si>
    <t>Shandong Yabo Technology Co Ltd</t>
  </si>
  <si>
    <t>0756709D US Equity</t>
  </si>
  <si>
    <t>Company News (ANSS US)</t>
  </si>
  <si>
    <t>Sub-Zero Group Inc</t>
  </si>
  <si>
    <t>300218 CH Equity</t>
  </si>
  <si>
    <t>2022A CF (300218 CH)</t>
  </si>
  <si>
    <t>Anhui Anli Material Technology Co Ltd</t>
  </si>
  <si>
    <t>2024A CF (3118 TT)</t>
  </si>
  <si>
    <t>4572 JP Equity</t>
  </si>
  <si>
    <t>2024A CF (4572 JP)</t>
  </si>
  <si>
    <t>Carna Biosciences Inc</t>
  </si>
  <si>
    <t>6598 TT Equity</t>
  </si>
  <si>
    <t>2023A CF (6598 TT)</t>
  </si>
  <si>
    <t>Applied BioCode Corp</t>
  </si>
  <si>
    <t>2025A CF (GE US)</t>
  </si>
  <si>
    <t>AAL US Equity</t>
  </si>
  <si>
    <t>American Airlines Group Inc</t>
  </si>
  <si>
    <t>2025A CF (KMB US)</t>
  </si>
  <si>
    <t>Estimate (KMB US)</t>
  </si>
  <si>
    <t>Estimate (GLW US)</t>
  </si>
  <si>
    <t>002459 CH Equity</t>
  </si>
  <si>
    <t>JA Solar Technology Co Ltd</t>
  </si>
  <si>
    <t>200725 CH Equity</t>
  </si>
  <si>
    <t>BOE Technology Group Co Ltd</t>
  </si>
  <si>
    <t>2025A CF (BHE US)</t>
  </si>
  <si>
    <t>2024A CF (000756 CH)</t>
  </si>
  <si>
    <t>Shandong Xinhua Pharmaceutical Co Ltd</t>
  </si>
  <si>
    <t>SLGN US Equity</t>
  </si>
  <si>
    <t>Estimate (SLGN US)</t>
  </si>
  <si>
    <t>Silgan Holdings Inc</t>
  </si>
  <si>
    <t>IDL FP Equity</t>
  </si>
  <si>
    <t>Estimate (IDL FP)</t>
  </si>
  <si>
    <t>ID Logistics Group SACA</t>
  </si>
  <si>
    <t>2025A CF (SWK US)</t>
  </si>
  <si>
    <t>Estimate (SWK US)</t>
  </si>
  <si>
    <t>2025A CF (FORM US)</t>
  </si>
  <si>
    <t>Estimate (FORM US)</t>
  </si>
  <si>
    <t>Company News (ET US)</t>
  </si>
  <si>
    <t>China Gas Holdings Ltd</t>
  </si>
  <si>
    <t>Media News (CVX US)</t>
  </si>
  <si>
    <t>2025A CF (CMS US)</t>
  </si>
  <si>
    <t>SR US Equity</t>
  </si>
  <si>
    <t>2025A CF (SR US)</t>
  </si>
  <si>
    <t>Spire Inc</t>
  </si>
  <si>
    <t>PDFS US Equity</t>
  </si>
  <si>
    <t>2024Q1 CF (PDFS US)</t>
  </si>
  <si>
    <t>PDF Solutions Inc</t>
  </si>
  <si>
    <t>VACN SW Equity</t>
  </si>
  <si>
    <t>S2</t>
  </si>
  <si>
    <t>2023S2 CF (VACN SW)</t>
  </si>
  <si>
    <t>VAT Group AG</t>
  </si>
  <si>
    <t>033100 KS Equity</t>
  </si>
  <si>
    <t>Media News (033100 KS)</t>
  </si>
  <si>
    <t>Cheryong Electric Co Ltd</t>
  </si>
  <si>
    <t>AVPT US Equity</t>
  </si>
  <si>
    <t>2022A CF (AVPT US)</t>
  </si>
  <si>
    <t>AvePoint Inc</t>
  </si>
  <si>
    <t>BW US Equity</t>
  </si>
  <si>
    <t>Company News (BW US)</t>
  </si>
  <si>
    <t>Babcock &amp; Wilcox Enterprises Inc</t>
  </si>
  <si>
    <t>Company News (HOUS US)</t>
  </si>
  <si>
    <t>Canva Pty Ltd</t>
  </si>
  <si>
    <t>1751669D US Equity</t>
  </si>
  <si>
    <t>Company News (1751669D US)</t>
  </si>
  <si>
    <t>Suitebriar Inc</t>
  </si>
  <si>
    <t>2186144D US Equity</t>
  </si>
  <si>
    <t>Vectara Inc</t>
  </si>
  <si>
    <t>MRC CN Equity</t>
  </si>
  <si>
    <t>2022A CF (MRC CN)</t>
  </si>
  <si>
    <t>Morguard Corp</t>
  </si>
  <si>
    <t>2024A CF (VNO US)</t>
  </si>
  <si>
    <t>2024A CF (SLG US)</t>
  </si>
  <si>
    <t>SL Green Realty Corp</t>
  </si>
  <si>
    <t>SYGIL IN Equity</t>
  </si>
  <si>
    <t>2025A CF (SYGIL IN)</t>
  </si>
  <si>
    <t>Synergy Green Industries Ltd</t>
  </si>
  <si>
    <t>2024A CF (DLN LN)</t>
  </si>
  <si>
    <t>RL US Equity</t>
  </si>
  <si>
    <t>Estimate (RL US)</t>
  </si>
  <si>
    <t>Ralph Lauren Corp</t>
  </si>
  <si>
    <t>BOSS GR Equity</t>
  </si>
  <si>
    <t>Estimate (BOSS GR)</t>
  </si>
  <si>
    <t>HUGO BOSS AG</t>
  </si>
  <si>
    <t>PVH US Equity</t>
  </si>
  <si>
    <t>Estimate (PVH US)</t>
  </si>
  <si>
    <t>PVH Corp</t>
  </si>
  <si>
    <t>Suki AI Inc</t>
  </si>
  <si>
    <t>1933527D US Equity</t>
  </si>
  <si>
    <t>Colony Labs Inc</t>
  </si>
  <si>
    <t>BXP US Equity</t>
  </si>
  <si>
    <t>2025Q2 CF (BXP US)</t>
  </si>
  <si>
    <t>BXP Inc</t>
  </si>
  <si>
    <t>2024Q4 CF (CFLT US)</t>
  </si>
  <si>
    <t>CSU CN Equity</t>
  </si>
  <si>
    <t>Constellation Software Inc/Canada</t>
  </si>
  <si>
    <t>2023A CF (8932 TT)</t>
  </si>
  <si>
    <t>2023A CF (CBL US)</t>
  </si>
  <si>
    <t>Reliance Inc</t>
  </si>
  <si>
    <t>LNR CN Equity</t>
  </si>
  <si>
    <t>Linamar Corp</t>
  </si>
  <si>
    <t>601163 CH Equity</t>
  </si>
  <si>
    <t>Triangle Tyre Co Ltd</t>
  </si>
  <si>
    <t>013570 KS Equity</t>
  </si>
  <si>
    <t>DY Corp</t>
  </si>
  <si>
    <t>601100 CH Equity</t>
  </si>
  <si>
    <t>Jiangsu Hengli Hydraulic Co Ltd</t>
  </si>
  <si>
    <t>2024A CF (ACH US)</t>
  </si>
  <si>
    <t>PA8 GR Equity</t>
  </si>
  <si>
    <t>2021A CF (PA8 GR)</t>
  </si>
  <si>
    <t>Paion AG</t>
  </si>
  <si>
    <t>Company News (1892140D US)</t>
  </si>
  <si>
    <t>Anthropic PBC</t>
  </si>
  <si>
    <t>2024Q1 CF (AVPT US)</t>
  </si>
  <si>
    <t>2022Q4 CF (BLNK US)</t>
  </si>
  <si>
    <t>CON US Equity</t>
  </si>
  <si>
    <t>2024A CF (CON US)</t>
  </si>
  <si>
    <t>Concentra Group Holdings Parent Inc</t>
  </si>
  <si>
    <t>CRTA LN Equity</t>
  </si>
  <si>
    <t>2023Q3 CF (CRTA LN)</t>
  </si>
  <si>
    <t>Cirata PLC</t>
  </si>
  <si>
    <t>2024A CF (CNX US)</t>
  </si>
  <si>
    <t>Citadel Energy Marketing LLC</t>
  </si>
  <si>
    <t>NRG US Equity</t>
  </si>
  <si>
    <t>NRG Energy Inc</t>
  </si>
  <si>
    <t>CNA LN Equity</t>
  </si>
  <si>
    <t>2022A CF (CNX US)</t>
  </si>
  <si>
    <t>Centrica PLC</t>
  </si>
  <si>
    <t>CRN AU Equity</t>
  </si>
  <si>
    <t>2023A CF (CRN AU)</t>
  </si>
  <si>
    <t>Coronado Global Resources Inc</t>
  </si>
  <si>
    <t>Company News (002130 CH)</t>
  </si>
  <si>
    <t>Shenzhen Woer Heat-Shrinkable Material Co Ltd</t>
  </si>
  <si>
    <t>002886 CH Equity</t>
  </si>
  <si>
    <t>2023A CF (002886 CH)</t>
  </si>
  <si>
    <t>Shenzhen Wote Advanced Materials Co Ltd</t>
  </si>
  <si>
    <t>002897 CH Equity</t>
  </si>
  <si>
    <t>2024A CF (002897 CH)</t>
  </si>
  <si>
    <t>Wenzhou Yihua Connector Co Ltd</t>
  </si>
  <si>
    <t>002906 CH Equity</t>
  </si>
  <si>
    <t>2025S1 CF (002906 CH)</t>
  </si>
  <si>
    <t>Foryou Corp</t>
  </si>
  <si>
    <t>043590 KS Equity</t>
  </si>
  <si>
    <t>2025C2 CF (043590 KS)</t>
  </si>
  <si>
    <t>Welkeeps Hitech Co Ltd</t>
  </si>
  <si>
    <t>Company News (PGTK US)</t>
  </si>
  <si>
    <t>Pacific Green Technologies Inc</t>
  </si>
  <si>
    <t>0848813D FP Equity</t>
  </si>
  <si>
    <t>2024Q1 CF (CRL US)</t>
  </si>
  <si>
    <t>PathoQuest SAS</t>
  </si>
  <si>
    <t>1556429D LN Equity</t>
  </si>
  <si>
    <t>2023Q2 CF (CRL US)</t>
  </si>
  <si>
    <t>Bit Bio Ltd</t>
  </si>
  <si>
    <t>1704706D US Equity</t>
  </si>
  <si>
    <t>2023Q3 CF (CRL US)</t>
  </si>
  <si>
    <t>Cypre Inc</t>
  </si>
  <si>
    <t>1719173D ID Equity</t>
  </si>
  <si>
    <t>Deciphex Ltd</t>
  </si>
  <si>
    <t>2025A CF (LGND US)</t>
  </si>
  <si>
    <t>Hovione FarmaCiencia SA</t>
  </si>
  <si>
    <t>AGEN US Equity</t>
  </si>
  <si>
    <t>2024A CF (AGEN US)</t>
  </si>
  <si>
    <t>Agenus Inc</t>
  </si>
  <si>
    <t>2024Q3 CF (LGND US)</t>
  </si>
  <si>
    <t>EVRG US Equity</t>
  </si>
  <si>
    <t>2021A CF (EVRG US)</t>
  </si>
  <si>
    <t>Evergy Inc</t>
  </si>
  <si>
    <t>2022A CF (4569 JP)</t>
  </si>
  <si>
    <t>Kyorin Pharmaceutical Co Ltd</t>
  </si>
  <si>
    <t>2025A CF (8898 JP)</t>
  </si>
  <si>
    <t>Century 21 Real Estate of Japan Ltd</t>
  </si>
  <si>
    <t>2022A CF (SLCA US)</t>
  </si>
  <si>
    <t>US Silica Holdings Inc</t>
  </si>
  <si>
    <t>2025A CF (DXLG US)</t>
  </si>
  <si>
    <t>2023A CF (DXLG US)</t>
  </si>
  <si>
    <t>MEI US Equity</t>
  </si>
  <si>
    <t>Estimate (MEI US)</t>
  </si>
  <si>
    <t>Methode Electronics Inc</t>
  </si>
  <si>
    <t>Estimate (AZTA US)</t>
  </si>
  <si>
    <t>GSK LN Equity</t>
  </si>
  <si>
    <t>GSK PLC</t>
  </si>
  <si>
    <t>084370 KS Equity</t>
  </si>
  <si>
    <t>2025C1 CF (084370 KS)</t>
  </si>
  <si>
    <t>Eugene Technology Co Ltd</t>
  </si>
  <si>
    <t>DHC US Equity</t>
  </si>
  <si>
    <t>2024A CF (DHC US)</t>
  </si>
  <si>
    <t>Diversified Healthcare Trust</t>
  </si>
  <si>
    <t>039860 KS Equity</t>
  </si>
  <si>
    <t>2022A CF (039860 KS)</t>
  </si>
  <si>
    <t>NanoenTek Inc</t>
  </si>
  <si>
    <t>2025S1 CF (000078 CH)</t>
  </si>
  <si>
    <t>Shenzhen Neptunus Bioengineering Co Ltd</t>
  </si>
  <si>
    <t>032940 KS Equity</t>
  </si>
  <si>
    <t>2025C3 CF (032940 KS)</t>
  </si>
  <si>
    <t>Won Ik Corp</t>
  </si>
  <si>
    <t>256940 KS Equity</t>
  </si>
  <si>
    <t>2025C3 CF (256940 KS)</t>
  </si>
  <si>
    <t>Keeps Biopharma Inc</t>
  </si>
  <si>
    <t>3079 JP Equity</t>
  </si>
  <si>
    <t>2025A CF (3079 JP)</t>
  </si>
  <si>
    <t>Dvx Inc</t>
  </si>
  <si>
    <t>600998 CH Equity</t>
  </si>
  <si>
    <t>2025S1 CF (600998 CH)</t>
  </si>
  <si>
    <t>Jointown Pharmaceutical Group Co Ltd</t>
  </si>
  <si>
    <t>Estimate (DCO US)</t>
  </si>
  <si>
    <t>Ducommun Inc</t>
  </si>
  <si>
    <t>AERO SW Equity</t>
  </si>
  <si>
    <t>Estimate (AERO SW)</t>
  </si>
  <si>
    <t>Montana Aerospace AG</t>
  </si>
  <si>
    <t>FTG CN Equity</t>
  </si>
  <si>
    <t>Estimate (FTG CN)</t>
  </si>
  <si>
    <t>Firan Technology Group Corp</t>
  </si>
  <si>
    <t>Thermo Fisher Scientific Inc</t>
  </si>
  <si>
    <t>WSO US Equity</t>
  </si>
  <si>
    <t>Watsco Inc</t>
  </si>
  <si>
    <t>2024Q3 CF (0976704D US)</t>
  </si>
  <si>
    <t>H-Food Holdings LLC</t>
  </si>
  <si>
    <t>603766 CH Equity</t>
  </si>
  <si>
    <t>2021A CF (603766 CH)</t>
  </si>
  <si>
    <t>Loncin Motor Co Ltd</t>
  </si>
  <si>
    <t>2024Q3 CF (AIR FP)</t>
  </si>
  <si>
    <t>FROWARD CI Equity</t>
  </si>
  <si>
    <t>2024A CF (FROWARD CI)</t>
  </si>
  <si>
    <t>Portuaria Cabo Froward SA</t>
  </si>
  <si>
    <t>2023A CF (IBM US)</t>
  </si>
  <si>
    <t>2024Q1 CF (SCSC US)</t>
  </si>
  <si>
    <t>STOME1 US Equity</t>
  </si>
  <si>
    <t>State of Maine</t>
  </si>
  <si>
    <t>Company News (AVID US)</t>
  </si>
  <si>
    <t>RAI-Radiotelevisione Italiana SpA</t>
  </si>
  <si>
    <t>2745649Z SW Equity</t>
  </si>
  <si>
    <t>SRG Salensteiner Revisions-Gesellschaft mbH</t>
  </si>
  <si>
    <t>2022Q3 CF (CDW US)</t>
  </si>
  <si>
    <t>ITV LN Equity</t>
  </si>
  <si>
    <t>ITV PLC</t>
  </si>
  <si>
    <t>PEP US Equity</t>
  </si>
  <si>
    <t>Estimate (PEP US)</t>
  </si>
  <si>
    <t>PepsiCo Inc</t>
  </si>
  <si>
    <t>NESN SW Equity</t>
  </si>
  <si>
    <t>Estimate (NESN SW)</t>
  </si>
  <si>
    <t>Nestle SA</t>
  </si>
  <si>
    <t>TSN US Equity</t>
  </si>
  <si>
    <t>Estimate (TSN US)</t>
  </si>
  <si>
    <t>Tyson Foods Inc</t>
  </si>
  <si>
    <t>2025Q3 CF (MUST SP)</t>
  </si>
  <si>
    <t>Company News (UPBD US)</t>
  </si>
  <si>
    <t>Hanks Fine Furniture</t>
  </si>
  <si>
    <t>2024A CF (GNLN US)</t>
  </si>
  <si>
    <t>Grenco Science Inc</t>
  </si>
  <si>
    <t>1285647D US Equity</t>
  </si>
  <si>
    <t>PAX Labs Inc</t>
  </si>
  <si>
    <t>1584836D CN Equity</t>
  </si>
  <si>
    <t>Company News (GNLN US)</t>
  </si>
  <si>
    <t>Green Tank Technologies Corp</t>
  </si>
  <si>
    <t>1920318D US Equity</t>
  </si>
  <si>
    <t>A&amp;A Global Imports Inc</t>
  </si>
  <si>
    <t>FIRE SS Equity</t>
  </si>
  <si>
    <t>2021A CF (GNLN US)</t>
  </si>
  <si>
    <t>Firefly AB</t>
  </si>
  <si>
    <t>Company News (0374933Z US)</t>
  </si>
  <si>
    <t>TeamSnap Inc</t>
  </si>
  <si>
    <t>DCT US Equity</t>
  </si>
  <si>
    <t>2022A CF (DCT US)</t>
  </si>
  <si>
    <t>Duck Creek Technologies Inc</t>
  </si>
  <si>
    <t>EVER US Equity</t>
  </si>
  <si>
    <t>2025Q3 CF (EVER US)</t>
  </si>
  <si>
    <t>EverQuote Inc</t>
  </si>
  <si>
    <t>EXPN LN Equity</t>
  </si>
  <si>
    <t>2025A CF (EXPN LN)</t>
  </si>
  <si>
    <t>Experian PLC</t>
  </si>
  <si>
    <t>AAT US Equity</t>
  </si>
  <si>
    <t>2025A CF (AAT US)</t>
  </si>
  <si>
    <t>American Assets Trust Inc</t>
  </si>
  <si>
    <t>2327 TT Equity</t>
  </si>
  <si>
    <t>Estimate (2327 TT)</t>
  </si>
  <si>
    <t>Yageo Corp</t>
  </si>
  <si>
    <t>Estimate (DIOD US)</t>
  </si>
  <si>
    <t>Diodes Inc</t>
  </si>
  <si>
    <t>Company News (3147564Z US)</t>
  </si>
  <si>
    <t>Equilar Inc</t>
  </si>
  <si>
    <t>ALK US Equity</t>
  </si>
  <si>
    <t>2025A CF (ALK US)</t>
  </si>
  <si>
    <t>Alaska Air Group Inc</t>
  </si>
  <si>
    <t>LUDG US Equity</t>
  </si>
  <si>
    <t>Company News (LUDG US)</t>
  </si>
  <si>
    <t>Ludwig Enterprises Inc</t>
  </si>
  <si>
    <t>601138 CH Equity</t>
  </si>
  <si>
    <t>Foxconn Industrial Internet Co Ltd</t>
  </si>
  <si>
    <t>2023A CF (000782 CH)</t>
  </si>
  <si>
    <t>Guangdong Highsun Meida New Materials Co Ltd</t>
  </si>
  <si>
    <t>001223 CH Equity</t>
  </si>
  <si>
    <t>2023A CF (001223 CH)</t>
  </si>
  <si>
    <t>OK Science &amp; Technology Co Ltd</t>
  </si>
  <si>
    <t>002406 CH Equity</t>
  </si>
  <si>
    <t>2023S1 CF (002406 CH)</t>
  </si>
  <si>
    <t>Xuchang Yuandong Drive Shaft Co Ltd</t>
  </si>
  <si>
    <t>300461 CH Equity</t>
  </si>
  <si>
    <t>2021A CF (300461 CH)</t>
  </si>
  <si>
    <t>Tanac Automation Co Ltd</t>
  </si>
  <si>
    <t>2023A CF (AAT US)</t>
  </si>
  <si>
    <t>861 HK Equity</t>
  </si>
  <si>
    <t>Digital China Holdings Ltd</t>
  </si>
  <si>
    <t>669 HK Equity</t>
  </si>
  <si>
    <t>Techtronic Industries Co Ltd</t>
  </si>
  <si>
    <t>2024Q3 CF (EQC US)</t>
  </si>
  <si>
    <t>RSM US LLP</t>
  </si>
  <si>
    <t>1201L US Equity</t>
  </si>
  <si>
    <t>Ballard Spahr LLP</t>
  </si>
  <si>
    <t>1311689D US Equity</t>
  </si>
  <si>
    <t>Alden Torch Financial LLC</t>
  </si>
  <si>
    <t>1468336D SW Equity</t>
  </si>
  <si>
    <t>SonarSource SA</t>
  </si>
  <si>
    <t>2141Z US Equity</t>
  </si>
  <si>
    <t>2022A CF (EQC US)</t>
  </si>
  <si>
    <t>New York Life Insurance Co</t>
  </si>
  <si>
    <t>2022C2 CF (079960 KS)</t>
  </si>
  <si>
    <t>Dongyang E&amp;P Inc</t>
  </si>
  <si>
    <t>2025A CF (KFRC US)</t>
  </si>
  <si>
    <t>TWOUQ US Equity</t>
  </si>
  <si>
    <t>2024Q3 CF (TWOUQ US)</t>
  </si>
  <si>
    <t>2U LLC</t>
  </si>
  <si>
    <t>Brookdale Senior Living Inc</t>
  </si>
  <si>
    <t>ARDT US Equity</t>
  </si>
  <si>
    <t>Ardent Health Inc</t>
  </si>
  <si>
    <t>4502 JP Equity</t>
  </si>
  <si>
    <t>2025A CF (4502 JP)</t>
  </si>
  <si>
    <t>Takeda Pharmaceutical Co Ltd</t>
  </si>
  <si>
    <t>300979 CH Equity</t>
  </si>
  <si>
    <t>Estimate (300979 CH)</t>
  </si>
  <si>
    <t>Huali Industrial Group Co Ltd</t>
  </si>
  <si>
    <t>551 HK Equity</t>
  </si>
  <si>
    <t>Estimate (551 HK)</t>
  </si>
  <si>
    <t>Yue Yuen Industrial Holdings Ltd</t>
  </si>
  <si>
    <t>JRSH US Equity</t>
  </si>
  <si>
    <t>2026Q3 CF (JRSH US)</t>
  </si>
  <si>
    <t>Jerash Holdings US Inc</t>
  </si>
  <si>
    <t>2025A CF (UPS US)</t>
  </si>
  <si>
    <t>Estimate (992 HK)</t>
  </si>
  <si>
    <t>7201 JP Equity</t>
  </si>
  <si>
    <t>Nissan Motor Co Ltd</t>
  </si>
  <si>
    <t>ADM US Equity</t>
  </si>
  <si>
    <t>Archer-Daniels-Midland Co</t>
  </si>
  <si>
    <t>ETSY US Equity</t>
  </si>
  <si>
    <t>Etsy Inc</t>
  </si>
  <si>
    <t>Estimate (VACN SW)</t>
  </si>
  <si>
    <t>3680 TT Equity</t>
  </si>
  <si>
    <t>Estimate (3680 TT)</t>
  </si>
  <si>
    <t>Gudeng Precision Industrial Co Ltd</t>
  </si>
  <si>
    <t>300500 CH Equity</t>
  </si>
  <si>
    <t>2024A CF (300500 CH)</t>
  </si>
  <si>
    <t>Tus-Design Group Co Ltd</t>
  </si>
  <si>
    <t>300580 CH Equity</t>
  </si>
  <si>
    <t>2021A CF (300580 CH)</t>
  </si>
  <si>
    <t>Wuxi Best Precision Machinery Co Ltd</t>
  </si>
  <si>
    <t>2022A CF (SGU US)</t>
  </si>
  <si>
    <t>Motiva Enterprises LLC</t>
  </si>
  <si>
    <t>2025A CF (SGU US)</t>
  </si>
  <si>
    <t>EGAS EY Equity</t>
  </si>
  <si>
    <t>2022A CF (EGAS EY)</t>
  </si>
  <si>
    <t>Natural Gas &amp; Mining Project</t>
  </si>
  <si>
    <t>GLP US Equity</t>
  </si>
  <si>
    <t>Global Partners LP/MA</t>
  </si>
  <si>
    <t>Company News (HI US)</t>
  </si>
  <si>
    <t>Ivalua Inc</t>
  </si>
  <si>
    <t>1589 TT Equity</t>
  </si>
  <si>
    <t>2024Q3 CF (1589 TT)</t>
  </si>
  <si>
    <t>Yeong Guan Energy Technology Group Co Ltd</t>
  </si>
  <si>
    <t>301616 CH Equity</t>
  </si>
  <si>
    <t>2024S1 CF (301616 CH)</t>
  </si>
  <si>
    <t>Zhejiang Huaye Plastics Machinery Co Ltd</t>
  </si>
  <si>
    <t>Tesla Inc</t>
  </si>
  <si>
    <t>Becton Dickinson &amp; Co</t>
  </si>
  <si>
    <t>AF FP Equity</t>
  </si>
  <si>
    <t>Air France-KLM</t>
  </si>
  <si>
    <t>SICPA Holding SA</t>
  </si>
  <si>
    <t>2464 TT Equity</t>
  </si>
  <si>
    <t>2021A CF (2464 TT)</t>
  </si>
  <si>
    <t>Mirle Automation Corp</t>
  </si>
  <si>
    <t>2022A CF (1783 TT)</t>
  </si>
  <si>
    <t>Maxigen Biotech Inc</t>
  </si>
  <si>
    <t>2024Q2 CF (HI US)</t>
  </si>
  <si>
    <t>Mars Inc</t>
  </si>
  <si>
    <t>603286 CH Equity</t>
  </si>
  <si>
    <t>2024A CF (603286 CH)</t>
  </si>
  <si>
    <t>Jiangsu Riying Electronics Co Ltd</t>
  </si>
  <si>
    <t>Estimate (WSO US)</t>
  </si>
  <si>
    <t>1068Z LN Equity</t>
  </si>
  <si>
    <t>2022Q3 CF (LII US)</t>
  </si>
  <si>
    <t>Co-Operative Group Ltd</t>
  </si>
  <si>
    <t>19993Z US Equity</t>
  </si>
  <si>
    <t>2022C3 CF (LII US)</t>
  </si>
  <si>
    <t>Chick-fil-A Inc</t>
  </si>
  <si>
    <t>2024A CF (KODK US)</t>
  </si>
  <si>
    <t>Kodak Alaris Inc</t>
  </si>
  <si>
    <t>2025S1 CF (MUST SP)</t>
  </si>
  <si>
    <t>SKT US Equity</t>
  </si>
  <si>
    <t>2024A CF (SKT US)</t>
  </si>
  <si>
    <t>Tanger Inc</t>
  </si>
  <si>
    <t>SRU-U CN Equity</t>
  </si>
  <si>
    <t>2024A CF (SRU-U CN)</t>
  </si>
  <si>
    <t>SmartCentres Real Estate Investment Trust</t>
  </si>
  <si>
    <t>1477 TT Equity</t>
  </si>
  <si>
    <t>Estimate (1477 TT)</t>
  </si>
  <si>
    <t>Makalot Industrial Co Ltd</t>
  </si>
  <si>
    <t>008600 KS Equity</t>
  </si>
  <si>
    <t>2023C1 CF (008600 KS)</t>
  </si>
  <si>
    <t>WillBes &amp; Co/The</t>
  </si>
  <si>
    <t>1779447D US Equity</t>
  </si>
  <si>
    <t>Biomedical Advanced Research &amp; Development Authority</t>
  </si>
  <si>
    <t>1119L US Equity</t>
  </si>
  <si>
    <t>Company News (1119L US)</t>
  </si>
  <si>
    <t>Sidley Austin LLP</t>
  </si>
  <si>
    <t>Estimate (EPAC US)</t>
  </si>
  <si>
    <t>HIW US Equity</t>
  </si>
  <si>
    <t>2025A CF (HIW US)</t>
  </si>
  <si>
    <t>Highwoods Properties Inc</t>
  </si>
  <si>
    <t>2023C3 CF (004800 KS)</t>
  </si>
  <si>
    <t>0932236D US Equity</t>
  </si>
  <si>
    <t>Company News (0932236D US)</t>
  </si>
  <si>
    <t>Zafin Labs USA Inc</t>
  </si>
  <si>
    <t>GLOB US Equity</t>
  </si>
  <si>
    <t>2024A CF (GLOB US)</t>
  </si>
  <si>
    <t>Globant SA</t>
  </si>
  <si>
    <t>PPG US Equity</t>
  </si>
  <si>
    <t>Estimate (PPG US)</t>
  </si>
  <si>
    <t>PPG Industries Inc</t>
  </si>
  <si>
    <t>2025Q2 CF (PETR4 BZ)</t>
  </si>
  <si>
    <t>Company News (HY US)</t>
  </si>
  <si>
    <t>Hyster-Yale Inc</t>
  </si>
  <si>
    <t>2025Q3 CF (BXP US)</t>
  </si>
  <si>
    <t>Estimate (FEIM US)</t>
  </si>
  <si>
    <t>Frequency Electronics Inc</t>
  </si>
  <si>
    <t>1274767D US Equity</t>
  </si>
  <si>
    <t>2023A CF (CMTL US)</t>
  </si>
  <si>
    <t>Descartes Labs Inc</t>
  </si>
  <si>
    <t>1294373D US Equity</t>
  </si>
  <si>
    <t>Company News (CMTL US)</t>
  </si>
  <si>
    <t>Codemettle LLC</t>
  </si>
  <si>
    <t>1340397D US Equity</t>
  </si>
  <si>
    <t>Sirqul Inc</t>
  </si>
  <si>
    <t>1775376D US Equity</t>
  </si>
  <si>
    <t>WishKnish Corp</t>
  </si>
  <si>
    <t>Estimate (AAPL US)</t>
  </si>
  <si>
    <t>DTE GR Equity</t>
  </si>
  <si>
    <t>Deutsche Telekom AG</t>
  </si>
  <si>
    <t>VOD LN Equity</t>
  </si>
  <si>
    <t>Vodafone Group PLC</t>
  </si>
  <si>
    <t>2023A CF (ITT US)</t>
  </si>
  <si>
    <t>Estimate (VECO US)</t>
  </si>
  <si>
    <t>2023Q2 CF (SGEN US)</t>
  </si>
  <si>
    <t>Genmab Ltd</t>
  </si>
  <si>
    <t>2022A CF (SGEN US)</t>
  </si>
  <si>
    <t>2023Q3 CF (SGEN US)</t>
  </si>
  <si>
    <t>4503 JP Equity</t>
  </si>
  <si>
    <t>Astellas Pharma Inc</t>
  </si>
  <si>
    <t>6160 HK Equity</t>
  </si>
  <si>
    <t>Company News (6160 HK)</t>
  </si>
  <si>
    <t>BeOne Medicines Ltd</t>
  </si>
  <si>
    <t>0849732D US Equity</t>
  </si>
  <si>
    <t>First Mile Technologies Inc</t>
  </si>
  <si>
    <t>1221351D US Equity</t>
  </si>
  <si>
    <t>Boris FX</t>
  </si>
  <si>
    <t>2028838D US Equity</t>
  </si>
  <si>
    <t>Storagedna Inc</t>
  </si>
  <si>
    <t>220100 KS Equity</t>
  </si>
  <si>
    <t>2023C2 CF (220100 KS)</t>
  </si>
  <si>
    <t>FutureChem Co Ltd</t>
  </si>
  <si>
    <t>2024A CF (2731 TT)</t>
  </si>
  <si>
    <t>Lion Travel Service Co Ltd</t>
  </si>
  <si>
    <t>Company News (EXPE US)</t>
  </si>
  <si>
    <t>AXP US Equity</t>
  </si>
  <si>
    <t>2023A CF (EXPE US)</t>
  </si>
  <si>
    <t>American Express Co</t>
  </si>
  <si>
    <t>Company News (LUV US)</t>
  </si>
  <si>
    <t>ICEAIR IR Equity</t>
  </si>
  <si>
    <t>Icelandair Group HF</t>
  </si>
  <si>
    <t>4063 JP Equity</t>
  </si>
  <si>
    <t>Estimate (4063 JP)</t>
  </si>
  <si>
    <t>Shin-Etsu Chemical Co Ltd</t>
  </si>
  <si>
    <t>WAF GR Equity</t>
  </si>
  <si>
    <t>Estimate (WAF GR)</t>
  </si>
  <si>
    <t>Siltronic AG</t>
  </si>
  <si>
    <t>DHX US Equity</t>
  </si>
  <si>
    <t>2025A CF (DHX US)</t>
  </si>
  <si>
    <t>DHI Group Inc</t>
  </si>
  <si>
    <t>5364 TT Equity</t>
  </si>
  <si>
    <t>2024A CF (5364 TT)</t>
  </si>
  <si>
    <t>LEALEA Hotels &amp; Resorts Co Ltd</t>
  </si>
  <si>
    <t>CO FP Equity</t>
  </si>
  <si>
    <t>Estimate (CO FP)</t>
  </si>
  <si>
    <t>Casino Guichard Perrachon SA</t>
  </si>
  <si>
    <t>HDC SJ Equity</t>
  </si>
  <si>
    <t>2024A CF (HDC SJ)</t>
  </si>
  <si>
    <t>Hudaco Industries Ltd</t>
  </si>
  <si>
    <t>2023Q3 CF (GPI US)</t>
  </si>
  <si>
    <t>TEVA IT Equity</t>
  </si>
  <si>
    <t>Estimate (TEVA IT)</t>
  </si>
  <si>
    <t>Teva Pharmaceutical Industries Ltd</t>
  </si>
  <si>
    <t>Estimate (CSCO US)</t>
  </si>
  <si>
    <t>PEGA US Equity</t>
  </si>
  <si>
    <t>Estimate (PEGA US)</t>
  </si>
  <si>
    <t>Pegasystems Inc</t>
  </si>
  <si>
    <t>0611181D US Equity</t>
  </si>
  <si>
    <t>2025Q3 CF (TTEC US)</t>
  </si>
  <si>
    <t>Avion LLC</t>
  </si>
  <si>
    <t>1341609D US Equity</t>
  </si>
  <si>
    <t>Airmax LLC</t>
  </si>
  <si>
    <t>NHY NO Equity</t>
  </si>
  <si>
    <t>Estimate (NHY NO)</t>
  </si>
  <si>
    <t>Norsk Hydro ASA</t>
  </si>
  <si>
    <t>CLINT SP Equity</t>
  </si>
  <si>
    <t>2024A CF (CLINT SP)</t>
  </si>
  <si>
    <t>Capitaland India Trust</t>
  </si>
  <si>
    <t>2025A CF (DLTR US)</t>
  </si>
  <si>
    <t>0848352D US Equity</t>
  </si>
  <si>
    <t>2023A CF (DLTR US)</t>
  </si>
  <si>
    <t>Instacart Inc</t>
  </si>
  <si>
    <t>O US Equity</t>
  </si>
  <si>
    <t>2024A CF (O US)</t>
  </si>
  <si>
    <t>Realty Income Corp</t>
  </si>
  <si>
    <t>SNDR US Equity</t>
  </si>
  <si>
    <t>Estimate (SNDR US)</t>
  </si>
  <si>
    <t>Schneider National Inc</t>
  </si>
  <si>
    <t>Estimate (SUPN US)</t>
  </si>
  <si>
    <t>BIIB US Equity</t>
  </si>
  <si>
    <t>Biogen Inc</t>
  </si>
  <si>
    <t>2023Q4 CF (VYX US)</t>
  </si>
  <si>
    <t>GIVN SW Equity</t>
  </si>
  <si>
    <t>Estimate (GIVN SW)</t>
  </si>
  <si>
    <t>Givaudan SA</t>
  </si>
  <si>
    <t>GPRO US Equity</t>
  </si>
  <si>
    <t>Estimate (GPRO US)</t>
  </si>
  <si>
    <t>GoPro Inc</t>
  </si>
  <si>
    <t>6501 JP Equity</t>
  </si>
  <si>
    <t>2025A CF (6501 JP)</t>
  </si>
  <si>
    <t>Hitachi Ltd</t>
  </si>
  <si>
    <t>AGYS US Equity</t>
  </si>
  <si>
    <t>2025A CF (AGYS US)</t>
  </si>
  <si>
    <t>Agilysys Inc</t>
  </si>
  <si>
    <t>CTC/A CN Equity</t>
  </si>
  <si>
    <t>Company News (MTN US)</t>
  </si>
  <si>
    <t>Canadian Tire Corp Ltd</t>
  </si>
  <si>
    <t>2025C3 CF (950220 KS)</t>
  </si>
  <si>
    <t>NeoImmuneTech Inc</t>
  </si>
  <si>
    <t>0247409Z US Equity</t>
  </si>
  <si>
    <t>HHS Centers for Disease Control &amp; Prevention</t>
  </si>
  <si>
    <t>1511892D US Equity</t>
  </si>
  <si>
    <t>Hound Labs Inc</t>
  </si>
  <si>
    <t>1865581D US Equity</t>
  </si>
  <si>
    <t>Cleveland Diagnostics Inc</t>
  </si>
  <si>
    <t>300244 CH Equity</t>
  </si>
  <si>
    <t>2024A CF (300244 CH)</t>
  </si>
  <si>
    <t>Dian Diagnostics Group Co Ltd</t>
  </si>
  <si>
    <t>Estimate (ON US)</t>
  </si>
  <si>
    <t>002150 CH Equity</t>
  </si>
  <si>
    <t>2021A CF (002150 CH)</t>
  </si>
  <si>
    <t>Jiangsu Chint Power Technology Co Ltd</t>
  </si>
  <si>
    <t>096640 KS Equity</t>
  </si>
  <si>
    <t>2025C3 CF (096640 KS)</t>
  </si>
  <si>
    <t>Melfas Inc</t>
  </si>
  <si>
    <t>2468 TT Equity</t>
  </si>
  <si>
    <t>2021A CF (2468 TT)</t>
  </si>
  <si>
    <t>Fortune Information Systems Corp/Taiwan</t>
  </si>
  <si>
    <t>CLX LN Equity</t>
  </si>
  <si>
    <t>Estimate (CLX LN)</t>
  </si>
  <si>
    <t>Calnex Solutions PLC</t>
  </si>
  <si>
    <t>368770 KS Equity</t>
  </si>
  <si>
    <t>Media News (368770 KS)</t>
  </si>
  <si>
    <t>FIBERPRO Inc/Yuseong</t>
  </si>
  <si>
    <t>TENNIND IN Equity</t>
  </si>
  <si>
    <t>2025A CF (TENNIND IN)</t>
  </si>
  <si>
    <t>Tenneco Clean Air India Ltd</t>
  </si>
  <si>
    <t>2024Q2 CF (MTCH US)</t>
  </si>
  <si>
    <t>IAC US Equity</t>
  </si>
  <si>
    <t>2022Q3 CF (MTCH US)</t>
  </si>
  <si>
    <t>IAC Inc</t>
  </si>
  <si>
    <t>2023A CF (ELME US)</t>
  </si>
  <si>
    <t>Greystar Real Estate Partners LLC</t>
  </si>
  <si>
    <t>1459876D US Equity</t>
  </si>
  <si>
    <t>Bozzuto Management Co</t>
  </si>
  <si>
    <t>3577188Z US Equity</t>
  </si>
  <si>
    <t>2024A CF (ELME US)</t>
  </si>
  <si>
    <t>Stream Realty Partners LP</t>
  </si>
  <si>
    <t>Estimate (EMN US)</t>
  </si>
  <si>
    <t>2022A CF (000737 CH)</t>
  </si>
  <si>
    <t>North Copper Co Ltd</t>
  </si>
  <si>
    <t>2112160D FH Equity</t>
  </si>
  <si>
    <t>Company News (2112160D FH)</t>
  </si>
  <si>
    <t>IQM Quantum Computers</t>
  </si>
  <si>
    <t>3061059Z US Equity</t>
  </si>
  <si>
    <t>Company News (JPM US)</t>
  </si>
  <si>
    <t>United States Department of the Treasury</t>
  </si>
  <si>
    <t>ACIN SW Equity</t>
  </si>
  <si>
    <t>Company News (ACIN SW)</t>
  </si>
  <si>
    <t>Acino International AG</t>
  </si>
  <si>
    <t>2023Q3 CF (FRSH US)</t>
  </si>
  <si>
    <t>2025S1 CF (000816 CH)</t>
  </si>
  <si>
    <t>ACFN US Equity</t>
  </si>
  <si>
    <t>2024A CF (ACFN US)</t>
  </si>
  <si>
    <t>Acorn Energy Inc</t>
  </si>
  <si>
    <t>DGE LN Equity</t>
  </si>
  <si>
    <t>2022A CF (DGE LN)</t>
  </si>
  <si>
    <t>Diageo PLC</t>
  </si>
  <si>
    <t>2024Q3 CF (KGF LN)</t>
  </si>
  <si>
    <t>0612948D US Equity</t>
  </si>
  <si>
    <t>Penske Truck Leasing Co Lp / PTL Finance Corp</t>
  </si>
  <si>
    <t>146529Z US Equity</t>
  </si>
  <si>
    <t>Pilot Travel Centers LLC</t>
  </si>
  <si>
    <t>Estimate (300750 CH)</t>
  </si>
  <si>
    <t>Contemporary Amperex Technology Co Ltd</t>
  </si>
  <si>
    <t>373220 KS Equity</t>
  </si>
  <si>
    <t>Estimate (373220 KS)</t>
  </si>
  <si>
    <t>LG Energy Solution Ltd</t>
  </si>
  <si>
    <t>Estimate (GLEN LN)</t>
  </si>
  <si>
    <t>6752 JP Equity</t>
  </si>
  <si>
    <t>Estimate (6752 JP)</t>
  </si>
  <si>
    <t>Panasonic Holdings Corp</t>
  </si>
  <si>
    <t>KHC US Equity</t>
  </si>
  <si>
    <t>Estimate (KHC US)</t>
  </si>
  <si>
    <t>Kraft Heinz Co/The</t>
  </si>
  <si>
    <t>POST US Equity</t>
  </si>
  <si>
    <t>Estimate (POST US)</t>
  </si>
  <si>
    <t>Post Holdings Inc</t>
  </si>
  <si>
    <t>SFD US Equity</t>
  </si>
  <si>
    <t>Estimate (SFD US)</t>
  </si>
  <si>
    <t>Smithfield Foods Inc</t>
  </si>
  <si>
    <t>288 HK Equity</t>
  </si>
  <si>
    <t>Estimate (SYY US)</t>
  </si>
  <si>
    <t>WH Group Ltd</t>
  </si>
  <si>
    <t>2024A CF (IREIT SP)</t>
  </si>
  <si>
    <t>IREIT Global</t>
  </si>
  <si>
    <t>IBE SM Equity</t>
  </si>
  <si>
    <t>2021A CF (IBE SM)</t>
  </si>
  <si>
    <t>Iberdrola SA</t>
  </si>
  <si>
    <t>INVE US Equity</t>
  </si>
  <si>
    <t>2024Q4 CF (INVE US)</t>
  </si>
  <si>
    <t>Identiv Inc</t>
  </si>
  <si>
    <t>NEE US Equity</t>
  </si>
  <si>
    <t>2021A CF (NEE US)</t>
  </si>
  <si>
    <t>NextEra Energy Inc</t>
  </si>
  <si>
    <t>0062954D US Equity</t>
  </si>
  <si>
    <t>Company News (TRMB US)</t>
  </si>
  <si>
    <t>Bituminous Roadways Inc</t>
  </si>
  <si>
    <t>0494901D SW Equity</t>
  </si>
  <si>
    <t>2024A CF (TRMB US)</t>
  </si>
  <si>
    <t>Hilti AG</t>
  </si>
  <si>
    <t>1966294D LN Equity</t>
  </si>
  <si>
    <t>National Highways Ltd</t>
  </si>
  <si>
    <t>2024A CF (4104 TT)</t>
  </si>
  <si>
    <t>Excelsior Medical Co Ltd</t>
  </si>
  <si>
    <t>300246 CH Equity</t>
  </si>
  <si>
    <t>2021A CF (300246 CH)</t>
  </si>
  <si>
    <t>Guangdong Biolight Meditech Co Ltd</t>
  </si>
  <si>
    <t>CNMD US Equity</t>
  </si>
  <si>
    <t>Company News (MDT US)</t>
  </si>
  <si>
    <t>CONMED Corp</t>
  </si>
  <si>
    <t>VIVO US Equity</t>
  </si>
  <si>
    <t>2022A CF (VIVO US)</t>
  </si>
  <si>
    <t>Meridian Bioscience Inc</t>
  </si>
  <si>
    <t>KDP US Equity</t>
  </si>
  <si>
    <t>Estimate (KDP US)</t>
  </si>
  <si>
    <t>Keurig Dr Pepper Inc</t>
  </si>
  <si>
    <t>SABIC AB Equity</t>
  </si>
  <si>
    <t>Estimate (SABIC AB)</t>
  </si>
  <si>
    <t>Saudi Basic Industries Corp</t>
  </si>
  <si>
    <t>SOY CN Equity</t>
  </si>
  <si>
    <t>Estimate (SOY CN)</t>
  </si>
  <si>
    <t>SunOpta Inc</t>
  </si>
  <si>
    <t>121485Z US Equity</t>
  </si>
  <si>
    <t>2024A CF (HAIN US)</t>
  </si>
  <si>
    <t>Sesame Workshop</t>
  </si>
  <si>
    <t>2024A CF (CVI US)</t>
  </si>
  <si>
    <t>UAN US Equity</t>
  </si>
  <si>
    <t>2022A CF (UAN US)</t>
  </si>
  <si>
    <t>CVR Partners LP</t>
  </si>
  <si>
    <t>002475 CH Equity</t>
  </si>
  <si>
    <t>Estimate (002475 CH)</t>
  </si>
  <si>
    <t>Luxshare Precision Industry Co Ltd</t>
  </si>
  <si>
    <t>Estimate (131290 KS)</t>
  </si>
  <si>
    <t>TSE Co Ltd</t>
  </si>
  <si>
    <t>2303890D NA Equity</t>
  </si>
  <si>
    <t>Company News (FORM US)</t>
  </si>
  <si>
    <t>Delft Circuits BV</t>
  </si>
  <si>
    <t>SRE US Equity</t>
  </si>
  <si>
    <t>2021A CF (SRE US)</t>
  </si>
  <si>
    <t>Sempra</t>
  </si>
  <si>
    <t>2022A CF (3680 TT)</t>
  </si>
  <si>
    <t>POR US Equity</t>
  </si>
  <si>
    <t>2021A CF (POR US)</t>
  </si>
  <si>
    <t>Portland General Electric Co</t>
  </si>
  <si>
    <t>IRDM US Equity</t>
  </si>
  <si>
    <t>Estimate (IRDM US)</t>
  </si>
  <si>
    <t>Iridium Communications Inc</t>
  </si>
  <si>
    <t>Estimate (SYNA US)</t>
  </si>
  <si>
    <t>3232 TT Equity</t>
  </si>
  <si>
    <t>2024A CF (3232 TT)</t>
  </si>
  <si>
    <t>Sentronic International Corp</t>
  </si>
  <si>
    <t>ZTS US Equity</t>
  </si>
  <si>
    <t>Estimate (ZTS US)</t>
  </si>
  <si>
    <t>Zoetis Inc</t>
  </si>
  <si>
    <t>Estimate (000063 CH)</t>
  </si>
  <si>
    <t>PANGAZ HK Equity</t>
  </si>
  <si>
    <t>2022A CF (MTSI US)</t>
  </si>
  <si>
    <t>Pangaea HK Ltd</t>
  </si>
  <si>
    <t>2025A CF (HAIN US)</t>
  </si>
  <si>
    <t>Estimate (HAIN US)</t>
  </si>
  <si>
    <t>Sysco Corp</t>
  </si>
  <si>
    <t>UNFI US Equity</t>
  </si>
  <si>
    <t>United Natural Foods Inc</t>
  </si>
  <si>
    <t>BJ US Equity</t>
  </si>
  <si>
    <t>BJ's Wholesale Club Holdings Inc</t>
  </si>
  <si>
    <t>Hovione LLC</t>
  </si>
  <si>
    <t>2024S1 CF (4503 JP)</t>
  </si>
  <si>
    <t>639748Z US Equity</t>
  </si>
  <si>
    <t>2022Q3 CF (SGEN US)</t>
  </si>
  <si>
    <t>University of Miami</t>
  </si>
  <si>
    <t>8949550Z SM Equity</t>
  </si>
  <si>
    <t>Esteve Quimica SA</t>
  </si>
  <si>
    <t>2025S1 CF (000676 CH)</t>
  </si>
  <si>
    <t>Genimous Technology Co Ltd</t>
  </si>
  <si>
    <t>079940 KS Equity</t>
  </si>
  <si>
    <t>2023C2 CF (079940 KS)</t>
  </si>
  <si>
    <t>Gabia Inc</t>
  </si>
  <si>
    <t>123570 KS Equity</t>
  </si>
  <si>
    <t>2021A CF (123570 KS)</t>
  </si>
  <si>
    <t>Emnet Inc</t>
  </si>
  <si>
    <t>1737 TT Equity</t>
  </si>
  <si>
    <t>2024A CF (1737 TT)</t>
  </si>
  <si>
    <t>Taiyen Biotech Co Ltd</t>
  </si>
  <si>
    <t>1993450D US Equity</t>
  </si>
  <si>
    <t>2022A CF (1993450D US)</t>
  </si>
  <si>
    <t>Sportradar Holding AG</t>
  </si>
  <si>
    <t>2024A CF (XRX US)</t>
  </si>
  <si>
    <t>FUJIFILM Holdings Corp</t>
  </si>
  <si>
    <t>Gunvor USA LLC</t>
  </si>
  <si>
    <t>9888092Z US Equity</t>
  </si>
  <si>
    <t>2023A CF (CVI US)</t>
  </si>
  <si>
    <t>Vitol Inc</t>
  </si>
  <si>
    <t>2023A CF (UNTC US)</t>
  </si>
  <si>
    <t>2024A CF (PRIME SP)</t>
  </si>
  <si>
    <t>Prime US REIT</t>
  </si>
  <si>
    <t>Perrigo Co PLC</t>
  </si>
  <si>
    <t>Estimate (LGND US)</t>
  </si>
  <si>
    <t>Ligand Pharmaceuticals Inc</t>
  </si>
  <si>
    <t>0217032D US Equity</t>
  </si>
  <si>
    <t>2025A CF (SUPN US)</t>
  </si>
  <si>
    <t>Patheon Pharmaceuticals Inc</t>
  </si>
  <si>
    <t>0778306D US Equity</t>
  </si>
  <si>
    <t>Packaging Coordinators Inc</t>
  </si>
  <si>
    <t>Foot Locker Inc</t>
  </si>
  <si>
    <t>KSS US Equity</t>
  </si>
  <si>
    <t>Kohl's Corp</t>
  </si>
  <si>
    <t>TFG SJ Equity</t>
  </si>
  <si>
    <t>Foschini Group Ltd</t>
  </si>
  <si>
    <t>Company News (JDAS US)</t>
  </si>
  <si>
    <t>2024A CF (992 HK)</t>
  </si>
  <si>
    <t>Company News (STCN US)</t>
  </si>
  <si>
    <t>2023Q4 CF (GPRO US)</t>
  </si>
  <si>
    <t>3481 TT Equity</t>
  </si>
  <si>
    <t>Estimate (3481 TT)</t>
  </si>
  <si>
    <t>Innolux Corp</t>
  </si>
  <si>
    <t>MaxLinear Inc</t>
  </si>
  <si>
    <t>GSM US Equity</t>
  </si>
  <si>
    <t>Estimate (GSM US)</t>
  </si>
  <si>
    <t>Ferroglobe PLC</t>
  </si>
  <si>
    <t>AMG NA Equity</t>
  </si>
  <si>
    <t>Estimate (AMG NA)</t>
  </si>
  <si>
    <t>AMG Critical Materials NV</t>
  </si>
  <si>
    <t>Estimate (ECL US)</t>
  </si>
  <si>
    <t>Ecolab Inc</t>
  </si>
  <si>
    <t>2022A CF (KSPN US)</t>
  </si>
  <si>
    <t>Pricefalls LLC</t>
  </si>
  <si>
    <t>1937248D US Equity</t>
  </si>
  <si>
    <t>Transform SR Brands LLC</t>
  </si>
  <si>
    <t>2023A CF (KSPN US)</t>
  </si>
  <si>
    <t>BBBY US Equity</t>
  </si>
  <si>
    <t>Bed Bath &amp; Beyond Inc</t>
  </si>
  <si>
    <t>2021A CF (ACDC US)</t>
  </si>
  <si>
    <t>Henry Resources LLC</t>
  </si>
  <si>
    <t>1528978D US Equity</t>
  </si>
  <si>
    <t>TGNR Intermediate Holdings LLC</t>
  </si>
  <si>
    <t>9532 JP Equity</t>
  </si>
  <si>
    <t>Osaka Gas Co Ltd</t>
  </si>
  <si>
    <t>SGY CN Equity</t>
  </si>
  <si>
    <t>Surge Energy Inc</t>
  </si>
  <si>
    <t>AI FP Equity</t>
  </si>
  <si>
    <t>Estimate (AI FP)</t>
  </si>
  <si>
    <t>Air Liquide SA</t>
  </si>
  <si>
    <t>APD US Equity</t>
  </si>
  <si>
    <t>Estimate (APD US)</t>
  </si>
  <si>
    <t>Air Products and Chemicals Inc</t>
  </si>
  <si>
    <t>001369 CH Equity</t>
  </si>
  <si>
    <t>2025S1 CF (001369 CH)</t>
  </si>
  <si>
    <t>Inner Mongolia Shuangxin Environment-Friendly Material Co Ltd</t>
  </si>
  <si>
    <t>BCPC US Equity</t>
  </si>
  <si>
    <t>2024A CF (BCPC US)</t>
  </si>
  <si>
    <t>Balchem Corp</t>
  </si>
  <si>
    <t>2022C3 CF (3557 TT)</t>
  </si>
  <si>
    <t>Jia Wei Lifestyle Inc</t>
  </si>
  <si>
    <t>2022A CF (CBL US)</t>
  </si>
  <si>
    <t>2024Q3 CF (MHK US)</t>
  </si>
  <si>
    <t>2022A CF (UDT IN)</t>
  </si>
  <si>
    <t>United Drilling Tools Ltd</t>
  </si>
  <si>
    <t>UCTT US Equity</t>
  </si>
  <si>
    <t>Estimate (UCTT US)</t>
  </si>
  <si>
    <t>Ultra Clean Holdings Inc</t>
  </si>
  <si>
    <t>MKS Inc</t>
  </si>
  <si>
    <t>Company News (HCKT US)</t>
  </si>
  <si>
    <t>7915 JP Equity</t>
  </si>
  <si>
    <t>Estimate (7915 JP)</t>
  </si>
  <si>
    <t>Nissha Co Ltd</t>
  </si>
  <si>
    <t>002303 CH Equity</t>
  </si>
  <si>
    <t>2022A CF (002303 CH)</t>
  </si>
  <si>
    <t>MYS Group Co Ltd</t>
  </si>
  <si>
    <t>300644 CH Equity</t>
  </si>
  <si>
    <t>2023A CF (300644 CH)</t>
  </si>
  <si>
    <t>Nanjing Julong Science &amp; Technology Co Ltd</t>
  </si>
  <si>
    <t>301000 CH Equity</t>
  </si>
  <si>
    <t>2025S1 CF (301000 CH)</t>
  </si>
  <si>
    <t>Shanghai Hajime Advanced Material Technology Co Ltd</t>
  </si>
  <si>
    <t>Estimate (IPGP US)</t>
  </si>
  <si>
    <t>IPG Photonics Corp</t>
  </si>
  <si>
    <t>FTS CN Equity</t>
  </si>
  <si>
    <t>2021A CF (FTS CN)</t>
  </si>
  <si>
    <t>Fortis Inc/Canada</t>
  </si>
  <si>
    <t>2313 HK Equity</t>
  </si>
  <si>
    <t>Estimate (2313 HK)</t>
  </si>
  <si>
    <t>Shenzhou International Group Holdings Ltd</t>
  </si>
  <si>
    <t>2024A CF (TMB VN)</t>
  </si>
  <si>
    <t>Vinacomin - Northern Coal Trading JSC</t>
  </si>
  <si>
    <t>Estimate (STLD US)</t>
  </si>
  <si>
    <t>Volkswagen AG</t>
  </si>
  <si>
    <t>STLA US Equity</t>
  </si>
  <si>
    <t>Stellantis NV</t>
  </si>
  <si>
    <t>UNP US Equity</t>
  </si>
  <si>
    <t>Union Pacific Corp</t>
  </si>
  <si>
    <t>2024A CF (002536 CH)</t>
  </si>
  <si>
    <t>Feilong Auto Components Co Ltd</t>
  </si>
  <si>
    <t>LNT US Equity</t>
  </si>
  <si>
    <t>2021A CF (LNT US)</t>
  </si>
  <si>
    <t>Alliant Energy Corp</t>
  </si>
  <si>
    <t>MOR GR Equity</t>
  </si>
  <si>
    <t>2022A CF (MOR GR)</t>
  </si>
  <si>
    <t>MorphoSys AG</t>
  </si>
  <si>
    <t>Morgan Stanley</t>
  </si>
  <si>
    <t>2024A CF (FTK US)</t>
  </si>
  <si>
    <t>Flotek Industries Inc</t>
  </si>
  <si>
    <t>ARM US Equity</t>
  </si>
  <si>
    <t>2026Q3 CF (ARM US)</t>
  </si>
  <si>
    <t>ARM Holdings PLC</t>
  </si>
  <si>
    <t>SEI US Equity</t>
  </si>
  <si>
    <t>2024Q2 CF (SEI US)</t>
  </si>
  <si>
    <t>Solaris Energy Infrastructure Inc</t>
  </si>
  <si>
    <t>2021A CF (1972 HK)</t>
  </si>
  <si>
    <t>5263 TT Equity</t>
  </si>
  <si>
    <t>2024A CF (5263 TT)</t>
  </si>
  <si>
    <t>Brogent Technologies Inc</t>
  </si>
  <si>
    <t>RMNI US Equity</t>
  </si>
  <si>
    <t>Company News (RMNI US)</t>
  </si>
  <si>
    <t>Rimini Street Inc</t>
  </si>
  <si>
    <t>National Collegiate Athletic Association</t>
  </si>
  <si>
    <t>0410054D US Equity</t>
  </si>
  <si>
    <t>Academy of Country Music</t>
  </si>
  <si>
    <t>0428103D US Equity</t>
  </si>
  <si>
    <t>US Soccer Federation Foundation</t>
  </si>
  <si>
    <t>125749Z US Equity</t>
  </si>
  <si>
    <t>Associated Press/The</t>
  </si>
  <si>
    <t>Estimate (SPB US)</t>
  </si>
  <si>
    <t>WOOF US Equity</t>
  </si>
  <si>
    <t>Estimate (WOOF US)</t>
  </si>
  <si>
    <t>Petco Health &amp; Wellness Co Inc</t>
  </si>
  <si>
    <t>CHWY US Equity</t>
  </si>
  <si>
    <t>Chewy Inc</t>
  </si>
  <si>
    <t>2024A CF (300570 CH)</t>
  </si>
  <si>
    <t>T&amp;S Communications Co Ltd</t>
  </si>
  <si>
    <t>FMTY14 MM Equity</t>
  </si>
  <si>
    <t>2024A CF (FMTY14 MM)</t>
  </si>
  <si>
    <t>Fibra MTY SAPI de CV</t>
  </si>
  <si>
    <t>ALE US Equity</t>
  </si>
  <si>
    <t>2021A CF (ALE US)</t>
  </si>
  <si>
    <t>ALLETE Inc</t>
  </si>
  <si>
    <t>2024A CF (STRO NO)</t>
  </si>
  <si>
    <t>StrongPoint ASA</t>
  </si>
  <si>
    <t>HUH1V FH Equity</t>
  </si>
  <si>
    <t>Estimate (HUH1V FH)</t>
  </si>
  <si>
    <t>Huhtamaki Oyj</t>
  </si>
  <si>
    <t>2025Q1 CF (KEX US)</t>
  </si>
  <si>
    <t>2025A CF (KEX US)</t>
  </si>
  <si>
    <t>8587830Z DC Equity</t>
  </si>
  <si>
    <t>2023Q2 CF (KEX US)</t>
  </si>
  <si>
    <t>DOF Denmark A/S</t>
  </si>
  <si>
    <t>2021A CF (TPB US)</t>
  </si>
  <si>
    <t>2024A CF (TPB US)</t>
  </si>
  <si>
    <t>PM US Equity</t>
  </si>
  <si>
    <t>Philip Morris International Inc</t>
  </si>
  <si>
    <t>TEF SM Equity</t>
  </si>
  <si>
    <t>Telefonica SA</t>
  </si>
  <si>
    <t>AMXB MM Equity</t>
  </si>
  <si>
    <t>Estimate (AMT US)</t>
  </si>
  <si>
    <t>America Movil SAB de CV</t>
  </si>
  <si>
    <t>KBR US Equity</t>
  </si>
  <si>
    <t>Estimate (KBR US)</t>
  </si>
  <si>
    <t>KBR Inc</t>
  </si>
  <si>
    <t>0029799D US Equity</t>
  </si>
  <si>
    <t>2024Q1 CF (TISI US)</t>
  </si>
  <si>
    <t>Moeller Manufacturing Co Inc</t>
  </si>
  <si>
    <t>012450 KS Equity</t>
  </si>
  <si>
    <t>Hanwha Aerospace Co Ltd</t>
  </si>
  <si>
    <t>0146070Z US Equity</t>
  </si>
  <si>
    <t>CTL-Aerospace Inc</t>
  </si>
  <si>
    <t>0443712D US Equity</t>
  </si>
  <si>
    <t>RMF Nooter Inc</t>
  </si>
  <si>
    <t>2024A CF (HESM US)</t>
  </si>
  <si>
    <t>Hess Midstream LP</t>
  </si>
  <si>
    <t>HR-U CN Equity</t>
  </si>
  <si>
    <t>2024A CF (HR-U CN)</t>
  </si>
  <si>
    <t>H&amp;R Real Estate Investment Trust</t>
  </si>
  <si>
    <t>VTOL US Equity</t>
  </si>
  <si>
    <t>Estimate (VTOL US)</t>
  </si>
  <si>
    <t>Bristow Group Inc</t>
  </si>
  <si>
    <t>Estimate (ATCOA SS)</t>
  </si>
  <si>
    <t>Atlas Copco AB</t>
  </si>
  <si>
    <t>ALFA SS Equity</t>
  </si>
  <si>
    <t>Estimate (ALFA SS)</t>
  </si>
  <si>
    <t>Alfa Laval AB</t>
  </si>
  <si>
    <t>2025A CF (CSL US)</t>
  </si>
  <si>
    <t>QXO Inc</t>
  </si>
  <si>
    <t>1041100Z US Equity</t>
  </si>
  <si>
    <t>American Builders &amp; Contractors Supply Co Inc</t>
  </si>
  <si>
    <t>Estimate (CSL US)</t>
  </si>
  <si>
    <t>2675B US Equity</t>
  </si>
  <si>
    <t>Ace Hardware Corp</t>
  </si>
  <si>
    <t>ONEX CN Equity</t>
  </si>
  <si>
    <t>2025A CF (ANGO US)</t>
  </si>
  <si>
    <t>Onex Corp</t>
  </si>
  <si>
    <t>SO US Equity</t>
  </si>
  <si>
    <t>2021A CF (SO US)</t>
  </si>
  <si>
    <t>Southern Co/The</t>
  </si>
  <si>
    <t>Company News (BSEG US)</t>
  </si>
  <si>
    <t>Big Screen Entertainment Group Inc</t>
  </si>
  <si>
    <t>2022C3 CF (329180 KS)</t>
  </si>
  <si>
    <t>HD Hyundai Heavy Industries Co Ltd</t>
  </si>
  <si>
    <t>4599690Z US Equity</t>
  </si>
  <si>
    <t>2023A CF (4599690Z US)</t>
  </si>
  <si>
    <t>Hayes Pump Inc</t>
  </si>
  <si>
    <t>ADES AB Equity</t>
  </si>
  <si>
    <t>2022A CF (ADES AB)</t>
  </si>
  <si>
    <t>Ades Holding Co</t>
  </si>
  <si>
    <t>CADLR NO Equity</t>
  </si>
  <si>
    <t>2023A CF (CADLR NO)</t>
  </si>
  <si>
    <t>Cadeler A/S</t>
  </si>
  <si>
    <t>2024A CF (DNOW US)</t>
  </si>
  <si>
    <t>2023C3 CF (028260 KS)</t>
  </si>
  <si>
    <t>Samsung C&amp;T Corp</t>
  </si>
  <si>
    <t>207940 KS Equity</t>
  </si>
  <si>
    <t>2025C1 CF (207940 KS)</t>
  </si>
  <si>
    <t>Samsung Biologics Co Ltd</t>
  </si>
  <si>
    <t>4743 TT Equity</t>
  </si>
  <si>
    <t>2025C3 CF (4743 TT)</t>
  </si>
  <si>
    <t>Oneness Biotech Co Ltd</t>
  </si>
  <si>
    <t>6562 TT Equity</t>
  </si>
  <si>
    <t>2024A CF (6562 TT)</t>
  </si>
  <si>
    <t>UBI Pharma Inc</t>
  </si>
  <si>
    <t>ALCLS FP Equity</t>
  </si>
  <si>
    <t>2024A CF (ALCLS FP)</t>
  </si>
  <si>
    <t>Cellectis SA</t>
  </si>
  <si>
    <t>ROG SW Equity</t>
  </si>
  <si>
    <t>Roche Holding AG</t>
  </si>
  <si>
    <t>2025A CF (NTWK US)</t>
  </si>
  <si>
    <t>NetSol Technologies Inc</t>
  </si>
  <si>
    <t>2025C2 CF (AMAT US)</t>
  </si>
  <si>
    <t>Estimate (AMAT US)</t>
  </si>
  <si>
    <t>Estimate (UVV US)</t>
  </si>
  <si>
    <t>Universal Corp/VA</t>
  </si>
  <si>
    <t>SY1 GR Equity</t>
  </si>
  <si>
    <t>Estimate (SY1 GR)</t>
  </si>
  <si>
    <t>Symrise AG</t>
  </si>
  <si>
    <t>601515 CH Equity</t>
  </si>
  <si>
    <t>2021A CF (601515 CH)</t>
  </si>
  <si>
    <t>Quzhou DFP New Material Group Co Ltd</t>
  </si>
  <si>
    <t>6201 TT Equity</t>
  </si>
  <si>
    <t>2025Q3 CF (6201 TT)</t>
  </si>
  <si>
    <t>Ya Horng Electronic Co Ltd</t>
  </si>
  <si>
    <t>GLPG NA Equity</t>
  </si>
  <si>
    <t>2024A CF (GLPG NA)</t>
  </si>
  <si>
    <t>Galapagos NV</t>
  </si>
  <si>
    <t>2914 JP Equity</t>
  </si>
  <si>
    <t>Japan Tobacco Inc</t>
  </si>
  <si>
    <t>RCUS US Equity</t>
  </si>
  <si>
    <t>2025Q3 CF (RCUS US)</t>
  </si>
  <si>
    <t>Arcus Biosciences Inc</t>
  </si>
  <si>
    <t>LONN SW Equity</t>
  </si>
  <si>
    <t>Estimate (LONN SW)</t>
  </si>
  <si>
    <t>Lonza Group AG</t>
  </si>
  <si>
    <t>Stanley Black &amp; Decker Inc</t>
  </si>
  <si>
    <t>6810 JP Equity</t>
  </si>
  <si>
    <t>Estimate (6810 JP)</t>
  </si>
  <si>
    <t>Maxell Ltd</t>
  </si>
  <si>
    <t>002891 CH Equity</t>
  </si>
  <si>
    <t>2024A CF (002891 CH)</t>
  </si>
  <si>
    <t>Yantai China Pet Foods Co Ltd</t>
  </si>
  <si>
    <t>2062 TT Equity</t>
  </si>
  <si>
    <t>2024Q3 CF (2062 TT)</t>
  </si>
  <si>
    <t>Sunspring Metal Corp</t>
  </si>
  <si>
    <t>2024Q1 CF (BLKB US)</t>
  </si>
  <si>
    <t>Sarcoma Foundation of America Inc/The</t>
  </si>
  <si>
    <t>0327378Z US Equity</t>
  </si>
  <si>
    <t>ALS Association</t>
  </si>
  <si>
    <t>0432484D US Equity</t>
  </si>
  <si>
    <t>Christian Rockford Education Association</t>
  </si>
  <si>
    <t>1819908D US Equity</t>
  </si>
  <si>
    <t>Company News (BLKB US)</t>
  </si>
  <si>
    <t>Almabase Inc</t>
  </si>
  <si>
    <t>1904811D US Equity</t>
  </si>
  <si>
    <t>PairSoft Technologies Inc</t>
  </si>
  <si>
    <t>2021A CF (300760 CH)</t>
  </si>
  <si>
    <t>Shenzhen Mindray Bio-Medical Electronics Co Ltd</t>
  </si>
  <si>
    <t>ED US Equity</t>
  </si>
  <si>
    <t>2021A CF (ED US)</t>
  </si>
  <si>
    <t>Consolidated Edison Inc</t>
  </si>
  <si>
    <t>FLR US Equity</t>
  </si>
  <si>
    <t>2024Q2 CF (FLR US)</t>
  </si>
  <si>
    <t>Fluor Corp</t>
  </si>
  <si>
    <t>NI US Equity</t>
  </si>
  <si>
    <t>2021A CF (NI US)</t>
  </si>
  <si>
    <t>NiSource Inc</t>
  </si>
  <si>
    <t>Company News (LNWO US)</t>
  </si>
  <si>
    <t>Entain PLC</t>
  </si>
  <si>
    <t>RGB MK Equity</t>
  </si>
  <si>
    <t>2024A CF (RGB MK)</t>
  </si>
  <si>
    <t>RGB International Bhd</t>
  </si>
  <si>
    <t>LOTO PM Equity</t>
  </si>
  <si>
    <t>2024A CF (LOTO PM)</t>
  </si>
  <si>
    <t>Pacific Online Systems Corp</t>
  </si>
  <si>
    <t>GMR LN Equity</t>
  </si>
  <si>
    <t>2024A CF (GMR LN)</t>
  </si>
  <si>
    <t>Gaming Realms PLC</t>
  </si>
  <si>
    <t>DKNG US Equity</t>
  </si>
  <si>
    <t>2025A CF (DKNG US)</t>
  </si>
  <si>
    <t>DraftKings Inc</t>
  </si>
  <si>
    <t>2026Q2 CF (EXTR US)</t>
  </si>
  <si>
    <t>DataTec Ltd</t>
  </si>
  <si>
    <t>4937248Z US Equity</t>
  </si>
  <si>
    <t>Jenne Inc</t>
  </si>
  <si>
    <t>9432 JP Equity</t>
  </si>
  <si>
    <t>NTT Inc</t>
  </si>
  <si>
    <t>2022A CF (GNK US)</t>
  </si>
  <si>
    <t>Anglo-Eastern Group/The</t>
  </si>
  <si>
    <t>2025A CF (HON US)</t>
  </si>
  <si>
    <t>2024A CF (NHI US)</t>
  </si>
  <si>
    <t>National Health Investors Inc</t>
  </si>
  <si>
    <t>0147614D US Equity</t>
  </si>
  <si>
    <t>Media News (0147614D US)</t>
  </si>
  <si>
    <t>MatrixCare Inc</t>
  </si>
  <si>
    <t>ALL US Equity</t>
  </si>
  <si>
    <t>2022A CF (NHC US)</t>
  </si>
  <si>
    <t>Allstate Corp/The</t>
  </si>
  <si>
    <t>0067706D US Equity</t>
  </si>
  <si>
    <t>Company News (SSP US)</t>
  </si>
  <si>
    <t>Internet Consulting Services Inc</t>
  </si>
  <si>
    <t>0122957D US Equity</t>
  </si>
  <si>
    <t>NHL Enterprises LP</t>
  </si>
  <si>
    <t>0722710D US Equity</t>
  </si>
  <si>
    <t>Florida Panthers Hockey Club Ltd</t>
  </si>
  <si>
    <t>0833709D US Equity</t>
  </si>
  <si>
    <t>2024A CF (SSP US)</t>
  </si>
  <si>
    <t>ABC Television Network</t>
  </si>
  <si>
    <t>CLS CN Equity</t>
  </si>
  <si>
    <t>Estimate (CLS CN)</t>
  </si>
  <si>
    <t>Celestica Inc</t>
  </si>
  <si>
    <t>APH US Equity</t>
  </si>
  <si>
    <t>Estimate (APH US)</t>
  </si>
  <si>
    <t>Amphenol Corp</t>
  </si>
  <si>
    <t>MRO LN Equity</t>
  </si>
  <si>
    <t>Estimate (MRO LN)</t>
  </si>
  <si>
    <t>Melrose Industries PLC</t>
  </si>
  <si>
    <t>HWA IN Equity</t>
  </si>
  <si>
    <t>2025A CF (HWA IN)</t>
  </si>
  <si>
    <t>Honeywell Automation India Ltd</t>
  </si>
  <si>
    <t>Company News (0170016D US)</t>
  </si>
  <si>
    <t>BNFT US Equity</t>
  </si>
  <si>
    <t>2021A CF (BNFT US)</t>
  </si>
  <si>
    <t>Benefitfocus Inc</t>
  </si>
  <si>
    <t>2308 TT Equity</t>
  </si>
  <si>
    <t>Delta Electronics Inc</t>
  </si>
  <si>
    <t>D US Equity</t>
  </si>
  <si>
    <t>2021A CF (D US)</t>
  </si>
  <si>
    <t>Dominion Energy Inc</t>
  </si>
  <si>
    <t>NPO US Equity</t>
  </si>
  <si>
    <t>Estimate (NPO US)</t>
  </si>
  <si>
    <t>Enpro Inc</t>
  </si>
  <si>
    <t>002753 CH Equity</t>
  </si>
  <si>
    <t>2025S1 CF (002753 CH)</t>
  </si>
  <si>
    <t>Shanxi Yongdong Chemistry Industry Co Ltd</t>
  </si>
  <si>
    <t>2024A CF (CF US)</t>
  </si>
  <si>
    <t>CHS Inc</t>
  </si>
  <si>
    <t>005490 KS Equity</t>
  </si>
  <si>
    <t>Company News (CF US)</t>
  </si>
  <si>
    <t>POSCO Holdings Inc</t>
  </si>
  <si>
    <t>MOS US Equity</t>
  </si>
  <si>
    <t>2024A CF (MOS US)</t>
  </si>
  <si>
    <t>Mosaic Co/The</t>
  </si>
  <si>
    <t>ORI AU Equity</t>
  </si>
  <si>
    <t>2025A CF (ORI AU)</t>
  </si>
  <si>
    <t>Orica Ltd</t>
  </si>
  <si>
    <t>2024A CF (UGPA3 BZ)</t>
  </si>
  <si>
    <t>Ultrapar Participacoes SA</t>
  </si>
  <si>
    <t>293 HK Equity</t>
  </si>
  <si>
    <t>Estimate (293 HK)</t>
  </si>
  <si>
    <t>Cathay Pacific Airways Ltd</t>
  </si>
  <si>
    <t>LLUB SL Equity</t>
  </si>
  <si>
    <t>2024A CF (LLUB SL)</t>
  </si>
  <si>
    <t>Chevron Lubricants Lanka PLC</t>
  </si>
  <si>
    <t>CMPP IJ Equity</t>
  </si>
  <si>
    <t>2025C3 CF (CMPP IJ)</t>
  </si>
  <si>
    <t>AirAsia Indonesia Tbk PT</t>
  </si>
  <si>
    <t>005950 KS Equity</t>
  </si>
  <si>
    <t>2023C3 CF (005950 KS)</t>
  </si>
  <si>
    <t>ISU Chemical Co Ltd</t>
  </si>
  <si>
    <t>0732387D US Equity</t>
  </si>
  <si>
    <t>Company News (AMT US)</t>
  </si>
  <si>
    <t>Flo Networks</t>
  </si>
  <si>
    <t>323548L LN Equity</t>
  </si>
  <si>
    <t>Company News (323548L LN)</t>
  </si>
  <si>
    <t>Ashurst LLP</t>
  </si>
  <si>
    <t>6232 JP Equity</t>
  </si>
  <si>
    <t>2025A CF (6232 JP)</t>
  </si>
  <si>
    <t>ACSL LTD</t>
  </si>
  <si>
    <t>ARENM IN Equity</t>
  </si>
  <si>
    <t>2026Q2 CF (ARENM IN)</t>
  </si>
  <si>
    <t>Amara Raja Energy &amp; Mobility Ltd</t>
  </si>
  <si>
    <t>Samvardhana Motherson International Ltd</t>
  </si>
  <si>
    <t>RBOS GR Equity</t>
  </si>
  <si>
    <t>Robert Bosch GmbH</t>
  </si>
  <si>
    <t>DEZ GR Equity</t>
  </si>
  <si>
    <t>Deutz AG</t>
  </si>
  <si>
    <t>TWI US Equity</t>
  </si>
  <si>
    <t>Estimate (TWI US)</t>
  </si>
  <si>
    <t>Titan International Inc</t>
  </si>
  <si>
    <t>2024A CF (MDC US)</t>
  </si>
  <si>
    <t>Sekisui House US Inc</t>
  </si>
  <si>
    <t>SMARTWOR IN Equity</t>
  </si>
  <si>
    <t>2025A CF (SMARTWOR IN)</t>
  </si>
  <si>
    <t>Smartworks Coworking Spaces Ltd</t>
  </si>
  <si>
    <t>2025A CF (UCTT US)</t>
  </si>
  <si>
    <t>AEIS US Equity</t>
  </si>
  <si>
    <t>2024A CF (AEIS US)</t>
  </si>
  <si>
    <t>Advanced Energy Industries Inc</t>
  </si>
  <si>
    <t>ICHR US Equity</t>
  </si>
  <si>
    <t>2025A CF (ICHR US)</t>
  </si>
  <si>
    <t>Ichor Holdings Ltd</t>
  </si>
  <si>
    <t>Hasbro Inc</t>
  </si>
  <si>
    <t>TACT US Equity</t>
  </si>
  <si>
    <t>2024A CF (TACT US)</t>
  </si>
  <si>
    <t>TransAct Technologies Inc</t>
  </si>
  <si>
    <t>300383 CH Equity</t>
  </si>
  <si>
    <t>2024A CF (300383 CH)</t>
  </si>
  <si>
    <t>Beijing Sinnet Technology Co Ltd</t>
  </si>
  <si>
    <t>2023A CF (LNWO US)</t>
  </si>
  <si>
    <t>2024A CF (LNWO US)</t>
  </si>
  <si>
    <t>Company News (SLND US)</t>
  </si>
  <si>
    <t>DOI Bureau of Reclamation</t>
  </si>
  <si>
    <t>Amgen Inc</t>
  </si>
  <si>
    <t>REC IM Equity</t>
  </si>
  <si>
    <t>Recordati Industria Chimica e Farmaceutica SpA</t>
  </si>
  <si>
    <t>TVTX US Equity</t>
  </si>
  <si>
    <t>Travere Therapeutics Inc</t>
  </si>
  <si>
    <t>JAZZ US Equity</t>
  </si>
  <si>
    <t>Jazz Pharmaceuticals PLC</t>
  </si>
  <si>
    <t>Company News (1646058D US)</t>
  </si>
  <si>
    <t>Albertsons Investor Holdings LLC</t>
  </si>
  <si>
    <t>Company News (RRD US)</t>
  </si>
  <si>
    <t>6523 JP Equity</t>
  </si>
  <si>
    <t>2025A CF (6523 JP)</t>
  </si>
  <si>
    <t>PHC Holdings Corp</t>
  </si>
  <si>
    <t>2023A CF (AAPL US)</t>
  </si>
  <si>
    <t>Estimate (179 HK)</t>
  </si>
  <si>
    <t>Johnson Electric Holdings Ltd</t>
  </si>
  <si>
    <t>021650 KS Equity</t>
  </si>
  <si>
    <t>2025C3 CF (021650 KS)</t>
  </si>
  <si>
    <t>Cubic Korea Inc</t>
  </si>
  <si>
    <t>SEL IN Equity</t>
  </si>
  <si>
    <t>Estimate (SEL IN)</t>
  </si>
  <si>
    <t>Suprajit Engineering Ltd</t>
  </si>
  <si>
    <t>NNBR US Equity</t>
  </si>
  <si>
    <t>Estimate (NNBR US)</t>
  </si>
  <si>
    <t>NN Inc</t>
  </si>
  <si>
    <t>AKU CN Equity</t>
  </si>
  <si>
    <t>2023Q3 CF (AKU CN)</t>
  </si>
  <si>
    <t>Akumin Inc</t>
  </si>
  <si>
    <t>WWD US Equity</t>
  </si>
  <si>
    <t>Estimate (WWD US)</t>
  </si>
  <si>
    <t>Woodward Inc</t>
  </si>
  <si>
    <t>2024A CF (LSCC US)</t>
  </si>
  <si>
    <t>3132 JP Equity</t>
  </si>
  <si>
    <t>Macnica Holdings Inc</t>
  </si>
  <si>
    <t>0565926D US Equity</t>
  </si>
  <si>
    <t>Future Electronics Corp</t>
  </si>
  <si>
    <t>Estimate (LSCC US)</t>
  </si>
  <si>
    <t>2025Q1 CF (CIO US)</t>
  </si>
  <si>
    <t>City Office REIT Inc</t>
  </si>
  <si>
    <t>MONDQ US Equity</t>
  </si>
  <si>
    <t>2024Q4 CF (MONDQ US)</t>
  </si>
  <si>
    <t>Mondee Holdings Inc</t>
  </si>
  <si>
    <t>BHILQ US Equity</t>
  </si>
  <si>
    <t>2024Q4 CF (BHILQ US)</t>
  </si>
  <si>
    <t>Benson Hill Inc</t>
  </si>
  <si>
    <t>WEWKQ US Equity</t>
  </si>
  <si>
    <t>Company News (WEWKQ US)</t>
  </si>
  <si>
    <t>WeWork Inc</t>
  </si>
  <si>
    <t>GTLB US Equity</t>
  </si>
  <si>
    <t>2025Q3 CF (GTLB US)</t>
  </si>
  <si>
    <t>Gitlab Inc</t>
  </si>
  <si>
    <t>2025A CF (CULP US)</t>
  </si>
  <si>
    <t>Culp Inc</t>
  </si>
  <si>
    <t>1748958D US Equity</t>
  </si>
  <si>
    <t>Company News (1748958D US)</t>
  </si>
  <si>
    <t>Calendly LLC</t>
  </si>
  <si>
    <t>2024A CF (CLMT US)</t>
  </si>
  <si>
    <t>Calumet Inc</t>
  </si>
  <si>
    <t>Estimate (PNR US)</t>
  </si>
  <si>
    <t>LESL US Equity</t>
  </si>
  <si>
    <t>Leslie's Inc</t>
  </si>
  <si>
    <t>Estimate (JMAT LN)</t>
  </si>
  <si>
    <t>Johnson Matthey PLC</t>
  </si>
  <si>
    <t>8031 JP Equity</t>
  </si>
  <si>
    <t>Mitsui &amp; Co Ltd</t>
  </si>
  <si>
    <t>ACO/X CN Equity</t>
  </si>
  <si>
    <t>2021A CF (ACO/X CN)</t>
  </si>
  <si>
    <t>Atco Ltd/Canada</t>
  </si>
  <si>
    <t>2024A CF (RMPL PA)</t>
  </si>
  <si>
    <t>Rafhan Maize Products Co Ltd</t>
  </si>
  <si>
    <t>007310 KS Equity</t>
  </si>
  <si>
    <t>2023C2 CF (007310 KS)</t>
  </si>
  <si>
    <t>Otoki Corp</t>
  </si>
  <si>
    <t>051900 KS Equity</t>
  </si>
  <si>
    <t>2022C3 CF (051900 KS)</t>
  </si>
  <si>
    <t>LG H&amp;H Co Ltd</t>
  </si>
  <si>
    <t>603170 CH Equity</t>
  </si>
  <si>
    <t>2023A CF (603170 CH)</t>
  </si>
  <si>
    <t>Shanghai Bolex Foods Technology Co Ltd</t>
  </si>
  <si>
    <t>ABEV3 BZ Equity</t>
  </si>
  <si>
    <t>2024A CF (ABEV3 BZ)</t>
  </si>
  <si>
    <t>Ambev SA</t>
  </si>
  <si>
    <t>Company News (4509187Z IM)</t>
  </si>
  <si>
    <t>Eolo SpA</t>
  </si>
  <si>
    <t>2022A CF (ARW US)</t>
  </si>
  <si>
    <t>ASTL KZ Equity</t>
  </si>
  <si>
    <t>2023A CF (ASTL KZ)</t>
  </si>
  <si>
    <t>Astel</t>
  </si>
  <si>
    <t>AXIATA MK Equity</t>
  </si>
  <si>
    <t>2023A CF (AXIATA MK)</t>
  </si>
  <si>
    <t>Axiata Group Bhd</t>
  </si>
  <si>
    <t>2024A CF (BBOX IN)</t>
  </si>
  <si>
    <t>2022A CF (PRTK US)</t>
  </si>
  <si>
    <t>Almac Pharma Services Ltd</t>
  </si>
  <si>
    <t>1843866Z LN Equity</t>
  </si>
  <si>
    <t>Patheon UK Ltd</t>
  </si>
  <si>
    <t>564233Z US Equity</t>
  </si>
  <si>
    <t>Trustees of Tufts College</t>
  </si>
  <si>
    <t>ALM SM Equity</t>
  </si>
  <si>
    <t>Almirall SA</t>
  </si>
  <si>
    <t>CPN PL Equity</t>
  </si>
  <si>
    <t>Cipan-Cia Industrial Produtora De Antibioticos SA</t>
  </si>
  <si>
    <t>2022A CF (2314 TT)</t>
  </si>
  <si>
    <t>Microelectronics Technology Inc</t>
  </si>
  <si>
    <t>BASE US Equity</t>
  </si>
  <si>
    <t>2024Q1 CF (BASE US)</t>
  </si>
  <si>
    <t>Couchbase Inc</t>
  </si>
  <si>
    <t>DBMM US Equity</t>
  </si>
  <si>
    <t>2023A CF (DBMM US)</t>
  </si>
  <si>
    <t>Digital Brand Media &amp; Marketing Group Inc</t>
  </si>
  <si>
    <t>Media News (MITL US)</t>
  </si>
  <si>
    <t>HANZA SS Equity</t>
  </si>
  <si>
    <t>2024A CF (HANZA SS)</t>
  </si>
  <si>
    <t>Hanza AB</t>
  </si>
  <si>
    <t>Company News (MNTX US)</t>
  </si>
  <si>
    <t>Manitex International Inc</t>
  </si>
  <si>
    <t>AMRSQ US Equity</t>
  </si>
  <si>
    <t>2022A CF (AMRSQ US)</t>
  </si>
  <si>
    <t>Amyris Inc</t>
  </si>
  <si>
    <t>2025Q3 CF (AHRT US)</t>
  </si>
  <si>
    <t>AH Realty Trust Inc</t>
  </si>
  <si>
    <t>Company News (MRX US)</t>
  </si>
  <si>
    <t>2025C1 CF (000320 KS)</t>
  </si>
  <si>
    <t>Noroo Holdings Co Ltd</t>
  </si>
  <si>
    <t>1354560D US Equity</t>
  </si>
  <si>
    <t>Company News (1354560D US)</t>
  </si>
  <si>
    <t>Autosales Inc</t>
  </si>
  <si>
    <t>600343 CH Equity</t>
  </si>
  <si>
    <t>2022A CF (600343 CH)</t>
  </si>
  <si>
    <t>Shaanxi Aerospace Power Hi-Tech Co Ltd</t>
  </si>
  <si>
    <t>AIG US Equity</t>
  </si>
  <si>
    <t>Company News (ESGR US)</t>
  </si>
  <si>
    <t>American International Group Inc</t>
  </si>
  <si>
    <t>2022Q3 CF (KXS CN)</t>
  </si>
  <si>
    <t>Kinaxis Inc</t>
  </si>
  <si>
    <t>2022Q1 CF (OSPN US)</t>
  </si>
  <si>
    <t>OneSpan Inc</t>
  </si>
  <si>
    <t>FN US Equity</t>
  </si>
  <si>
    <t>2025A CF (FN US)</t>
  </si>
  <si>
    <t>Fabrinet</t>
  </si>
  <si>
    <t>Company News (PFS US)</t>
  </si>
  <si>
    <t>Pollfish Inc/NY</t>
  </si>
  <si>
    <t>2023A CF (GNL US)</t>
  </si>
  <si>
    <t>2024A CF (TDW US)</t>
  </si>
  <si>
    <t>Eni SpA</t>
  </si>
  <si>
    <t>Estimate (TDW US)</t>
  </si>
  <si>
    <t>TTE FP Equity</t>
  </si>
  <si>
    <t>TotalEnergies SE</t>
  </si>
  <si>
    <t>Company News (PRTK US)</t>
  </si>
  <si>
    <t>0777565D US Equity</t>
  </si>
  <si>
    <t>HHS Office of the Assistant Secretary for Preparedness &amp; Response</t>
  </si>
  <si>
    <t>Estimate (SAH US)</t>
  </si>
  <si>
    <t>2024A CF (FNOVA17 MM)</t>
  </si>
  <si>
    <t>Proyectos Inmobiliarios Carne Mart SA de CV</t>
  </si>
  <si>
    <t>2024Q1 CF (ADBE US)</t>
  </si>
  <si>
    <t>Estimate (STE SP)</t>
  </si>
  <si>
    <t>Singapore Technologies Engineering Ltd</t>
  </si>
  <si>
    <t>2025Q2 CF (DCO US)</t>
  </si>
  <si>
    <t>QRVO US Equity</t>
  </si>
  <si>
    <t>Estimate (QRVO US)</t>
  </si>
  <si>
    <t>Qorvo Inc</t>
  </si>
  <si>
    <t>2025A CF (PPC US)</t>
  </si>
  <si>
    <t>JBS NV</t>
  </si>
  <si>
    <t>1189074D KY Equity</t>
  </si>
  <si>
    <t>2023Q1 CF (PPC US)</t>
  </si>
  <si>
    <t>Seara International Ltd</t>
  </si>
  <si>
    <t>2057363Z LN Equity</t>
  </si>
  <si>
    <t>2023A CF (PPC US)</t>
  </si>
  <si>
    <t>Penasul UK Ltd</t>
  </si>
  <si>
    <t>TCL Technology Group Corp</t>
  </si>
  <si>
    <t>1231767Z LN Equity</t>
  </si>
  <si>
    <t>All3Media Ltd</t>
  </si>
  <si>
    <t>1623945D NA Equity</t>
  </si>
  <si>
    <t>Endemol Shine Group SPV B.V.</t>
  </si>
  <si>
    <t>Estimate (CRS US)</t>
  </si>
  <si>
    <t>Carpenter Technology Corp</t>
  </si>
  <si>
    <t>2024A CF (002564 CH)</t>
  </si>
  <si>
    <t>2023A CF (004800 KS)</t>
  </si>
  <si>
    <t>Viasat Inc</t>
  </si>
  <si>
    <t>SPR US Equity</t>
  </si>
  <si>
    <t>2025Q3 CF (DCO US)</t>
  </si>
  <si>
    <t>Spirit AeroSystems Holdings Inc</t>
  </si>
  <si>
    <t>2024A CF (DCO US)</t>
  </si>
  <si>
    <t>Standard Chartered PLC</t>
  </si>
  <si>
    <t>JPMorgan Chase &amp; Co</t>
  </si>
  <si>
    <t>RY CN Equity</t>
  </si>
  <si>
    <t>2024A CF (NEM US)</t>
  </si>
  <si>
    <t>Royal Bank of Canada</t>
  </si>
  <si>
    <t>0170417D SW Equity</t>
  </si>
  <si>
    <t>Company News (NEM US)</t>
  </si>
  <si>
    <t>MKS Pamp SA</t>
  </si>
  <si>
    <t>BUENAVC1 PE Equity</t>
  </si>
  <si>
    <t>2021A CF (BUENAVC1 PE)</t>
  </si>
  <si>
    <t>Cia de Minas Buenaventura SAA</t>
  </si>
  <si>
    <t>2024C3 CF (000990 KS)</t>
  </si>
  <si>
    <t>0747762D US Equity</t>
  </si>
  <si>
    <t>Company News (SPOK US)</t>
  </si>
  <si>
    <t>United States Air Force Space Command</t>
  </si>
  <si>
    <t>0759517D US Equity</t>
  </si>
  <si>
    <t>United States Air Force Reserve</t>
  </si>
  <si>
    <t>0759532D US Equity</t>
  </si>
  <si>
    <t>United States Air Force National Guard</t>
  </si>
  <si>
    <t>603400 CH Equity</t>
  </si>
  <si>
    <t>2024A CF (603400 CH)</t>
  </si>
  <si>
    <t>Suzhou Huazhijie Telecom Co Ltd</t>
  </si>
  <si>
    <t>Eastman Chemical Co</t>
  </si>
  <si>
    <t>Estimate (669 HK)</t>
  </si>
  <si>
    <t>006400 KS Equity</t>
  </si>
  <si>
    <t>Estimate (006400 KS)</t>
  </si>
  <si>
    <t>Samsung SDI Co Ltd</t>
  </si>
  <si>
    <t>2023Q3 CF (AMRC US)</t>
  </si>
  <si>
    <t>Ameresco Inc</t>
  </si>
  <si>
    <t>0086860D US Equity</t>
  </si>
  <si>
    <t>Company News (0086860D US)</t>
  </si>
  <si>
    <t>Highres Inc</t>
  </si>
  <si>
    <t>1400995D US Equity</t>
  </si>
  <si>
    <t>Concepts Nrec LLC</t>
  </si>
  <si>
    <t>6723 JP Equity</t>
  </si>
  <si>
    <t>2024A CF (ANSS US)</t>
  </si>
  <si>
    <t>Renesas Electronics Corp</t>
  </si>
  <si>
    <t>1235509D SW Equity</t>
  </si>
  <si>
    <t>Proteomedix AG</t>
  </si>
  <si>
    <t>405 HK Equity</t>
  </si>
  <si>
    <t>2021A CF (405 HK)</t>
  </si>
  <si>
    <t>Yuexiu Real Estate Investment Trust</t>
  </si>
  <si>
    <t>ATS CN Equity</t>
  </si>
  <si>
    <t>2024Q1 CF (ATS CN)</t>
  </si>
  <si>
    <t>ATS Corp</t>
  </si>
  <si>
    <t>BIOCQ US Equity</t>
  </si>
  <si>
    <t>2022A CF (BIOCQ US)</t>
  </si>
  <si>
    <t>Biocept Inc</t>
  </si>
  <si>
    <t>2025S1 CF (002741 CH)</t>
  </si>
  <si>
    <t>Guangdong Guanghua Sci-Tech Co Ltd</t>
  </si>
  <si>
    <t>6613 TT Equity</t>
  </si>
  <si>
    <t>2022A CF (6613 TT)</t>
  </si>
  <si>
    <t>Nova Technology Corp/Taiwan</t>
  </si>
  <si>
    <t>DMCC IN Equity</t>
  </si>
  <si>
    <t>2025A CF (DMCC IN)</t>
  </si>
  <si>
    <t>DMCC Speciality Chemicals Ltd</t>
  </si>
  <si>
    <t>OPITQ US Equity</t>
  </si>
  <si>
    <t>2025Q2 CF (OPITQ US)</t>
  </si>
  <si>
    <t>Office Properties Income Trust</t>
  </si>
  <si>
    <t>GOOD US Equity</t>
  </si>
  <si>
    <t>2025Q2 CF (GOOD US)</t>
  </si>
  <si>
    <t>Gladstone Commercial Corp</t>
  </si>
  <si>
    <t>1085090D US Equity</t>
  </si>
  <si>
    <t>Company News (ADP US)</t>
  </si>
  <si>
    <t>Checkr Inc</t>
  </si>
  <si>
    <t>0580597D US Equity</t>
  </si>
  <si>
    <t>2022A CF (GILD US)</t>
  </si>
  <si>
    <t>Amerisourcebergen Corp PAC</t>
  </si>
  <si>
    <t>1952 HK Equity</t>
  </si>
  <si>
    <t>Company News (1952 HK)</t>
  </si>
  <si>
    <t>Everest Medicines Ltd</t>
  </si>
  <si>
    <t>2022A CF (CNVS US)</t>
  </si>
  <si>
    <t>Cineverse Corp</t>
  </si>
  <si>
    <t>2023Q1 CF (ACM US)</t>
  </si>
  <si>
    <t>AECOM</t>
  </si>
  <si>
    <t>2025A CF (INTU US)</t>
  </si>
  <si>
    <t>Automatic Data Processing Inc</t>
  </si>
  <si>
    <t>2024A CF (GFR US)</t>
  </si>
  <si>
    <t>Alberta Electric System Operator</t>
  </si>
  <si>
    <t>2026Z CN Equity</t>
  </si>
  <si>
    <t>Province of Alberta Canada</t>
  </si>
  <si>
    <t>TRP CN Equity</t>
  </si>
  <si>
    <t>TC Energy Corp</t>
  </si>
  <si>
    <t>2023Q1 CF (EGAN US)</t>
  </si>
  <si>
    <t>HM Revenue &amp; Customs</t>
  </si>
  <si>
    <t>0154185D US Equity</t>
  </si>
  <si>
    <t>CareSource Management Group Co</t>
  </si>
  <si>
    <t>0200941D US Equity</t>
  </si>
  <si>
    <t>Trinity Health System</t>
  </si>
  <si>
    <t>0229544Z US Equity</t>
  </si>
  <si>
    <t>United States Internal Revenue Service</t>
  </si>
  <si>
    <t>Steel Dynamics Inc</t>
  </si>
  <si>
    <t>2024Q1 CF (BBBYQ US)</t>
  </si>
  <si>
    <t>TUEMQ US Equity</t>
  </si>
  <si>
    <t>2023Q3 CF (TUEMQ US)</t>
  </si>
  <si>
    <t>Tuesday Morning Corp</t>
  </si>
  <si>
    <t>0134746Z US Equity</t>
  </si>
  <si>
    <t>2025A CF (WNC US)</t>
  </si>
  <si>
    <t>Brody Transportation Co Inc</t>
  </si>
  <si>
    <t>0222384D US Equity</t>
  </si>
  <si>
    <t>2023A CF (WNC US)</t>
  </si>
  <si>
    <t>Oakley Transport Inc</t>
  </si>
  <si>
    <t>0345602D US Equity</t>
  </si>
  <si>
    <t>Whiting Door Manufacturing Corp</t>
  </si>
  <si>
    <t>0412984D US Equity</t>
  </si>
  <si>
    <t>Hills Stainless Steel and Equipment Co</t>
  </si>
  <si>
    <t>2024A CF (6116 TT)</t>
  </si>
  <si>
    <t>HannStar Display Corp</t>
  </si>
  <si>
    <t>2024A CF (UE US)</t>
  </si>
  <si>
    <t>Urban Edge Properties</t>
  </si>
  <si>
    <t>0954951D US Equity</t>
  </si>
  <si>
    <t>Media News (EGAN US)</t>
  </si>
  <si>
    <t>Talkdesk Inc</t>
  </si>
  <si>
    <t>3414924Q US Equity</t>
  </si>
  <si>
    <t>2025A CF (EGAN US)</t>
  </si>
  <si>
    <t>Avaya LLC</t>
  </si>
  <si>
    <t>2021A CF (002735 CH)</t>
  </si>
  <si>
    <t>Shenzhen Prince New Materials Co Ltd</t>
  </si>
  <si>
    <t>015590 KS Equity</t>
  </si>
  <si>
    <t>2023A CF (015590 KS)</t>
  </si>
  <si>
    <t>DKME</t>
  </si>
  <si>
    <t>094190 KS Equity</t>
  </si>
  <si>
    <t>2024C3 CF (094190 KS)</t>
  </si>
  <si>
    <t>ELK Corp/Korea</t>
  </si>
  <si>
    <t>688484 CH Equity</t>
  </si>
  <si>
    <t>2022S1 CF (688484 CH)</t>
  </si>
  <si>
    <t>Southchip Semiconductor Technology Shanghai Co Ltd</t>
  </si>
  <si>
    <t>Estimate (CLN SW)</t>
  </si>
  <si>
    <t>Clariant AG</t>
  </si>
  <si>
    <t>104460 KS Equity</t>
  </si>
  <si>
    <t>2025C3 CF (104460 KS)</t>
  </si>
  <si>
    <t>DYPNF Co Ltd</t>
  </si>
  <si>
    <t>300437 CH Equity</t>
  </si>
  <si>
    <t>2022S1 CF (300437 CH)</t>
  </si>
  <si>
    <t>Henan Qing Shui Yuan Technology Co Ltd</t>
  </si>
  <si>
    <t>Estimate (RS US)</t>
  </si>
  <si>
    <t>LOAR US Equity</t>
  </si>
  <si>
    <t>Estimate (LOAR US)</t>
  </si>
  <si>
    <t>Loar Holdings Inc</t>
  </si>
  <si>
    <t>FGA FP Equity</t>
  </si>
  <si>
    <t>Estimate (FGA FP)</t>
  </si>
  <si>
    <t>FIGEAC-AERO</t>
  </si>
  <si>
    <t>CVU US Equity</t>
  </si>
  <si>
    <t>Estimate (CVU US)</t>
  </si>
  <si>
    <t>CPI Aerostructures Inc</t>
  </si>
  <si>
    <t>2025A CF (EMBASSY IN)</t>
  </si>
  <si>
    <t>PLTR US Equity</t>
  </si>
  <si>
    <t>Estimate (PLTR US)</t>
  </si>
  <si>
    <t>Palantir Technologies Inc</t>
  </si>
  <si>
    <t>0581607D SS Equity</t>
  </si>
  <si>
    <t>Company News (0581607D SS)</t>
  </si>
  <si>
    <t>QlikTech International AB</t>
  </si>
  <si>
    <t>1525385D US Equity</t>
  </si>
  <si>
    <t>Media News (1525385D US)</t>
  </si>
  <si>
    <t>Workato Inc</t>
  </si>
  <si>
    <t>1401611D US Equity</t>
  </si>
  <si>
    <t>Company News (ZD US)</t>
  </si>
  <si>
    <t>TikTok Inc</t>
  </si>
  <si>
    <t>1502052D US Equity</t>
  </si>
  <si>
    <t>Company News (1502052D US)</t>
  </si>
  <si>
    <t>Qlik Parent Inc</t>
  </si>
  <si>
    <t>BIOGB SS Equity</t>
  </si>
  <si>
    <t>2024A CF (BIOGB SS)</t>
  </si>
  <si>
    <t>BioGaia AB</t>
  </si>
  <si>
    <t>2022Q3 CF (INVE US)</t>
  </si>
  <si>
    <t>2024Q1 CF (DHX US)</t>
  </si>
  <si>
    <t>EMI SJ Equity</t>
  </si>
  <si>
    <t>2022A CF (EMI SJ)</t>
  </si>
  <si>
    <t>Emira Property Fund Ltd</t>
  </si>
  <si>
    <t>REPR IN Equity</t>
  </si>
  <si>
    <t>2025Q2 CF (REPR IN)</t>
  </si>
  <si>
    <t>Repro India Ltd</t>
  </si>
  <si>
    <t>2025Q1 CF (ANET US)</t>
  </si>
  <si>
    <t>BRZE US Equity</t>
  </si>
  <si>
    <t>2025Q3 CF (BRZE US)</t>
  </si>
  <si>
    <t>Braze Inc</t>
  </si>
  <si>
    <t>2024Q3 CF (DTE GR)</t>
  </si>
  <si>
    <t>Company News (1879042D IT)</t>
  </si>
  <si>
    <t>Aporia Technologies Ltd</t>
  </si>
  <si>
    <t>2367683D IT Equity</t>
  </si>
  <si>
    <t>Company News (2367683D IT)</t>
  </si>
  <si>
    <t>Torq Technologies Ltd</t>
  </si>
  <si>
    <t>2022A CF (EVER US)</t>
  </si>
  <si>
    <t>4938 TT Equity</t>
  </si>
  <si>
    <t>Estimate (4938 TT)</t>
  </si>
  <si>
    <t>Pegatron Corp</t>
  </si>
  <si>
    <t>CRWV US Equity</t>
  </si>
  <si>
    <t>2025A CF (CRWV US)</t>
  </si>
  <si>
    <t>CoreWeave Inc</t>
  </si>
  <si>
    <t>2022A CF (CREI LN)</t>
  </si>
  <si>
    <t>Custodian Property Income Reit PLC</t>
  </si>
  <si>
    <t>2022A CF (LITE US)</t>
  </si>
  <si>
    <t>2025Q3 CF (LUG CN)</t>
  </si>
  <si>
    <t>Lundin Gold Inc</t>
  </si>
  <si>
    <t>MAH AU Equity</t>
  </si>
  <si>
    <t>2025A CF (MAH AU)</t>
  </si>
  <si>
    <t>Macmahon Holdings Ltd</t>
  </si>
  <si>
    <t>Estimate (NEM US)</t>
  </si>
  <si>
    <t>RGLD US Equity</t>
  </si>
  <si>
    <t>2024A CF (RGLD US)</t>
  </si>
  <si>
    <t>Royal Gold Inc</t>
  </si>
  <si>
    <t>EPIA SS Equity</t>
  </si>
  <si>
    <t>Epiroc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</si>
</sst>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003366"/>
      <name val="Calibri"/>
    </font>
    <font>
      <b/>
      <sz val="10"/>
      <color rgb="FF003366"/>
      <name val="Calibri"/>
    </font>
    <font>
      <b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BDS|12018170783641725098</stp>
        <tr r="MG5" s="21"/>
      </tp>
      <tp t="s">
        <v>#N/A N/A</v>
        <stp/>
        <stp>BDS|12821956369324614380</stp>
        <tr r="LS5" s="32"/>
      </tp>
      <tp t="s">
        <v>#N/A N/A</v>
        <stp/>
        <stp>BDS|10487894253981549615</stp>
        <tr r="PE5" s="15"/>
      </tp>
      <tp t="s">
        <v>#N/A N/A</v>
        <stp/>
        <stp>BDS|13752065998228411868</stp>
        <tr r="UI5" s="31"/>
      </tp>
      <tp t="s">
        <v>#N/A N/A</v>
        <stp/>
        <stp>BDS|11547759243158131096</stp>
        <tr r="VM5" s="15"/>
        <tr r="AS5" s="29"/>
      </tp>
      <tp t="s">
        <v>#N/A N/A</v>
        <stp/>
        <stp>BDS|16322331589872592570</stp>
        <tr r="IU5" s="6"/>
      </tp>
      <tp t="s">
        <v>#N/A N/A</v>
        <stp/>
        <stp>BDS|12683244898451018223</stp>
        <tr r="RM5" s="17"/>
      </tp>
      <tp t="s">
        <v>#N/A N/A</v>
        <stp/>
        <stp>BDS|10428837409597783510</stp>
        <tr r="PS5" s="23"/>
      </tp>
      <tp t="s">
        <v>#N/A N/A</v>
        <stp/>
        <stp>BDS|16265653257958029782</stp>
        <tr r="DA5" s="14"/>
        <tr r="DA5" s="12"/>
      </tp>
      <tp t="s">
        <v>#N/A N/A</v>
        <stp/>
        <stp>BDS|18283531834091886552</stp>
        <tr r="NK5" s="35"/>
        <tr r="OO5" s="46"/>
      </tp>
      <tp t="s">
        <v>#N/A N/A</v>
        <stp/>
        <stp>BDS|17334903218776068327</stp>
        <tr r="EU5" s="36"/>
      </tp>
      <tp t="s">
        <v>#N/A N/A</v>
        <stp/>
        <stp>BDS|17328070516709959525</stp>
        <tr r="DQ5" s="14"/>
      </tp>
      <tp t="s">
        <v>#N/A N/A</v>
        <stp/>
        <stp>BDS|11696108358699854682</stp>
        <tr r="BW5" s="22"/>
      </tp>
      <tp t="s">
        <v>#N/A N/A</v>
        <stp/>
        <stp>BDS|12969867713949150823</stp>
        <tr r="MG5" s="45"/>
      </tp>
      <tp t="s">
        <v>#N/A N/A</v>
        <stp/>
        <stp>BDS|13345725196400158792</stp>
        <tr r="EE5" s="15"/>
        <tr r="PS5" s="48"/>
      </tp>
      <tp t="s">
        <v>#N/A N/A</v>
        <stp/>
        <stp>BDS|13763980878165050282</stp>
        <tr r="MW5" s="30"/>
      </tp>
      <tp t="s">
        <v>#N/A N/A</v>
        <stp/>
        <stp>BDS|16518762536228827024</stp>
        <tr r="QW5" s="8"/>
      </tp>
      <tp t="s">
        <v>#N/A N/A</v>
        <stp/>
        <stp>BDS|13072168899664579558</stp>
        <tr r="GM5" s="23"/>
        <tr r="HQ5" s="45"/>
      </tp>
      <tp t="s">
        <v>#N/A N/A</v>
        <stp/>
        <stp>BDS|11511441502966664991</stp>
        <tr r="O5" s="32"/>
      </tp>
      <tp t="s">
        <v>#N/A N/A</v>
        <stp/>
        <stp>BDS|10528865176580056596</stp>
        <tr r="EU5" s="37"/>
      </tp>
      <tp t="s">
        <v>#N/A N/A</v>
        <stp/>
        <stp>BDS|15115129729969410526</stp>
        <tr r="OA5" s="14"/>
      </tp>
      <tp t="s">
        <v>#N/A N/A</v>
        <stp/>
        <stp>BDS|11670820340947190092</stp>
        <tr r="CM5" s="49"/>
      </tp>
      <tp t="s">
        <v>#N/A N/A</v>
        <stp/>
        <stp>BDS|13045945499881602881</stp>
        <tr r="DA5" s="44"/>
      </tp>
      <tp t="s">
        <v>#N/A N/A</v>
        <stp/>
        <stp>BDS|15175673091122599213</stp>
        <tr r="JY5" s="27"/>
      </tp>
      <tp t="s">
        <v>#N/A N/A</v>
        <stp/>
        <stp>BDS|12081425986451634514</stp>
        <tr r="IG5" s="26"/>
      </tp>
      <tp t="s">
        <v>#N/A N/A</v>
        <stp/>
        <stp>BDS|12697265199094304790</stp>
        <tr r="KO5" s="21"/>
        <tr r="EU5" s="31"/>
        <tr r="OA5" s="36"/>
        <tr r="AE5" s="50"/>
      </tp>
      <tp t="s">
        <v>#N/A N/A</v>
        <stp/>
        <stp>BDS|14448467599342110194</stp>
        <tr r="IU5" s="3"/>
        <tr r="NK5" s="29"/>
      </tp>
      <tp t="s">
        <v>#N/A N/A</v>
        <stp/>
        <stp>BDS|10648020691956110547</stp>
        <tr r="EU5" s="16"/>
      </tp>
      <tp t="s">
        <v>#N/A N/A</v>
        <stp/>
        <stp>BDS|13150738517068316775</stp>
        <tr r="MW5" s="6"/>
      </tp>
      <tp t="s">
        <v>#N/A N/A</v>
        <stp/>
        <stp>BDS|15652574977754316939</stp>
        <tr r="PS5" s="50"/>
      </tp>
      <tp t="s">
        <v>#N/A N/A</v>
        <stp/>
        <stp>BDS|16659062426026311837</stp>
        <tr r="PS5" s="36"/>
      </tp>
      <tp t="s">
        <v>#N/A N/A</v>
        <stp/>
        <stp>BDS|18097444674323688217</stp>
        <tr r="FY5" s="18"/>
        <tr r="BI5" s="21"/>
        <tr r="JK5" s="26"/>
      </tp>
      <tp t="s">
        <v>#N/A N/A</v>
        <stp/>
        <stp>BDS|17262829916985787168</stp>
        <tr r="JY5" s="7"/>
      </tp>
      <tp t="s">
        <v>#N/A N/A</v>
        <stp/>
        <stp>BDS|10280555646748415311</stp>
        <tr r="UI5" s="25"/>
      </tp>
      <tp t="s">
        <v>#N/A N/A</v>
        <stp/>
        <stp>BDS|13417006486976602704</stp>
        <tr r="JY5" s="48"/>
      </tp>
      <tp t="s">
        <v>#N/A N/A</v>
        <stp/>
        <stp>BDS|11728853375603332704</stp>
        <tr r="TU5" s="25"/>
      </tp>
      <tp t="s">
        <v>#N/A N/A</v>
        <stp/>
        <stp>BDS|16300327535465767972</stp>
        <tr r="JK5" s="34"/>
      </tp>
      <tp t="s">
        <v>#N/A N/A</v>
        <stp/>
        <stp>BDS|18114520760167015676</stp>
        <tr r="FY5" s="17"/>
        <tr r="BI5" s="44"/>
      </tp>
      <tp t="s">
        <v>#N/A N/A</v>
        <stp/>
        <stp>BDS|13457054417858352002</stp>
        <tr r="PE5" s="14"/>
      </tp>
      <tp t="s">
        <v>#N/A N/A</v>
        <stp/>
        <stp>BDS|11394888942517365108</stp>
        <tr r="EE5" s="22"/>
        <tr r="QW5" s="38"/>
        <tr r="GM5" s="46"/>
      </tp>
      <tp t="s">
        <v>#N/A N/A</v>
        <stp/>
        <stp>BDS|18341051908900475306</stp>
        <tr r="SQ5" s="11"/>
      </tp>
      <tp t="s">
        <v>#N/A N/A</v>
        <stp/>
        <stp>BDS|14808018042439169208</stp>
        <tr r="EU5" s="38"/>
      </tp>
      <tp t="s">
        <v>#N/A N/A</v>
        <stp/>
        <stp>BDS|11899557443459280272</stp>
        <tr r="TU5" s="39"/>
      </tp>
      <tp t="s">
        <v>#N/A N/A</v>
        <stp/>
        <stp>BDS|12390941110755978462</stp>
        <tr r="NK5" s="2"/>
      </tp>
      <tp t="s">
        <v>#N/A N/A</v>
        <stp/>
        <stp>BDS|17693452682225107586</stp>
        <tr r="FI5" s="15"/>
      </tp>
      <tp t="s">
        <v>#N/A N/A</v>
        <stp/>
        <stp>BDS|15111365062658922359</stp>
        <tr r="QW5" s="7"/>
      </tp>
      <tp t="s">
        <v>#N/A N/A</v>
        <stp/>
        <stp>BDS|10847275908779610085</stp>
        <tr r="DQ5" s="1"/>
        <tr r="UY5" s="1"/>
      </tp>
      <tp t="s">
        <v>#N/A N/A</v>
        <stp/>
        <stp>BDS|11287160597506824453</stp>
        <tr r="BI5" s="12"/>
        <tr r="DQ5" s="31"/>
      </tp>
      <tp t="s">
        <v>#N/A N/A</v>
        <stp/>
        <stp>BDS|13414176028958672338</stp>
        <tr r="NK5" s="32"/>
      </tp>
      <tp t="s">
        <v>#N/A N/A</v>
        <stp/>
        <stp>BDS|15291186594226728078</stp>
        <tr r="KO5" s="15"/>
      </tp>
      <tp t="s">
        <v>#N/A N/A</v>
        <stp/>
        <stp>BDS|12880404356991997983</stp>
        <tr r="A5" s="24"/>
        <tr r="FY5" s="22"/>
      </tp>
      <tp t="s">
        <v>#N/A N/A</v>
        <stp/>
        <stp>BDS|11054727216798817436</stp>
        <tr r="OO5" s="5"/>
      </tp>
      <tp t="s">
        <v>#N/A N/A</v>
        <stp/>
        <stp>BDS|17395154468818558347</stp>
        <tr r="DQ5" s="9"/>
      </tp>
      <tp t="s">
        <v>#N/A N/A</v>
        <stp/>
        <stp>BDS|12933613484405738278</stp>
        <tr r="TU5" s="20"/>
      </tp>
      <tp t="s">
        <v>#N/A N/A</v>
        <stp/>
        <stp>BDS|12485280006602413921</stp>
        <tr r="LC5" s="50"/>
      </tp>
      <tp t="s">
        <v>#N/A N/A</v>
        <stp/>
        <stp>BDS|12781699767018155149</stp>
        <tr r="A5" s="13"/>
      </tp>
      <tp t="s">
        <v>#N/A N/A</v>
        <stp/>
        <stp>BDS|11374087797494527753</stp>
        <tr r="GM5" s="50"/>
      </tp>
      <tp t="s">
        <v>#N/A N/A</v>
        <stp/>
        <stp>BDS|16878858964820074349</stp>
        <tr r="CM5" s="12"/>
        <tr r="CM5" s="14"/>
      </tp>
      <tp t="s">
        <v>#N/A N/A</v>
        <stp/>
        <stp>BDS|12590796578129004099</stp>
        <tr r="VM5" s="12"/>
        <tr r="SA5" s="24"/>
        <tr r="O5" s="29"/>
      </tp>
      <tp t="s">
        <v>#N/A N/A</v>
        <stp/>
        <stp>BDS|17597987748453623213</stp>
        <tr r="CM5" s="32"/>
      </tp>
      <tp t="s">
        <v>#N/A N/A</v>
        <stp/>
        <stp>BDS|18240011010476992485</stp>
        <tr r="KO5" s="2"/>
        <tr r="SQ5" s="9"/>
      </tp>
      <tp t="s">
        <v>#N/A N/A</v>
        <stp/>
        <stp>BDS|10762380819271520811</stp>
        <tr r="VM5" s="41"/>
      </tp>
      <tp t="s">
        <v>#N/A N/A</v>
        <stp/>
        <stp>BDS|15165823724247788335</stp>
        <tr r="QW5" s="9"/>
        <tr r="EE5" s="16"/>
      </tp>
      <tp t="s">
        <v>#N/A N/A</v>
        <stp/>
        <stp>BDS|16477607594786320406</stp>
        <tr r="LC5" s="44"/>
      </tp>
      <tp t="s">
        <v>#N/A N/A</v>
        <stp/>
        <stp>BDS|16152804375934523611</stp>
        <tr r="JK5" s="1"/>
      </tp>
      <tp t="s">
        <v>#N/A N/A</v>
        <stp/>
        <stp>BDS|10095885807810980363</stp>
        <tr r="AE5" s="39"/>
      </tp>
      <tp t="s">
        <v>#N/A N/A</v>
        <stp/>
        <stp>BDS|14909687850158966483</stp>
        <tr r="EE5" s="5"/>
      </tp>
      <tp t="s">
        <v>#N/A N/A</v>
        <stp/>
        <stp>BDS|13632763042143525873</stp>
        <tr r="JK5" s="39"/>
        <tr r="SQ5" s="3"/>
        <tr r="IG5" s="4"/>
        <tr r="CM5" s="23"/>
        <tr r="TU5" s="29"/>
        <tr r="LS5" s="38"/>
      </tp>
      <tp t="s">
        <v>#N/A N/A</v>
        <stp/>
        <stp>BDS|16206998949357092739</stp>
        <tr r="QW5" s="3"/>
      </tp>
      <tp t="s">
        <v>#N/A N/A</v>
        <stp/>
        <stp>BDS|18423964987606677429</stp>
        <tr r="GM5" s="48"/>
      </tp>
      <tp t="s">
        <v>#N/A N/A</v>
        <stp/>
        <stp>BDS|11509217807808649046</stp>
        <tr r="LS5" s="6"/>
      </tp>
      <tp t="s">
        <v>#N/A N/A</v>
        <stp/>
        <stp>BDS|17057734562648306532</stp>
        <tr r="O5" s="35"/>
      </tp>
      <tp t="s">
        <v>#N/A N/A</v>
        <stp/>
        <stp>BDS|14650163736715233821</stp>
        <tr r="BI5" s="15"/>
      </tp>
      <tp t="s">
        <v>#N/A N/A</v>
        <stp/>
        <stp>BDS|13665262306622000803</stp>
        <tr r="BW5" s="6"/>
      </tp>
      <tp t="s">
        <v>#N/A N/A</v>
        <stp/>
        <stp>BDS|13640298185563469197</stp>
        <tr r="EE5" s="42"/>
      </tp>
      <tp t="s">
        <v>#N/A N/A</v>
        <stp/>
        <stp>BDS|15111953867402436307</stp>
        <tr r="MW5" s="45"/>
      </tp>
      <tp t="s">
        <v>#N/A N/A</v>
        <stp/>
        <stp>BDS|16169111953218440107</stp>
        <tr r="AE5" s="4"/>
      </tp>
      <tp t="s">
        <v>#N/A N/A</v>
        <stp/>
        <stp>BDS|10652349905940345809</stp>
        <tr r="TU5" s="28"/>
      </tp>
      <tp t="s">
        <v>#N/A N/A</v>
        <stp/>
        <stp>BDS|15703087996813453494</stp>
        <tr r="UY5" s="14"/>
        <tr r="OA5" s="30"/>
      </tp>
      <tp t="s">
        <v>#N/A N/A</v>
        <stp/>
        <stp>BDS|15533317705128739525</stp>
        <tr r="PS5" s="42"/>
      </tp>
      <tp t="s">
        <v>#N/A N/A</v>
        <stp/>
        <stp>BDS|14099869332584040003</stp>
        <tr r="EE5" s="33"/>
      </tp>
      <tp t="s">
        <v>#N/A N/A</v>
        <stp/>
        <stp>BDS|13811440437567731886</stp>
        <tr r="LC5" s="48"/>
      </tp>
      <tp t="s">
        <v>#N/A N/A</v>
        <stp/>
        <stp>BDS|15448958090956269876</stp>
        <tr r="IU5" s="46"/>
      </tp>
      <tp t="s">
        <v>#N/A N/A</v>
        <stp/>
        <stp>BDS|18060013141727254063</stp>
        <tr r="FI5" s="32"/>
      </tp>
      <tp t="s">
        <v>#N/A N/A</v>
        <stp/>
        <stp>BDS|17636922480119081410</stp>
        <tr r="IG5" s="20"/>
      </tp>
      <tp t="s">
        <v>#N/A N/A</v>
        <stp/>
        <stp>BDS|18228917117828868396</stp>
        <tr r="OA5" s="35"/>
      </tp>
      <tp t="s">
        <v>#N/A N/A</v>
        <stp/>
        <stp>BDS|11960565500367881824</stp>
        <tr r="PS5" s="39"/>
      </tp>
      <tp t="s">
        <v>#N/A N/A</v>
        <stp/>
        <stp>BDS|16755645037721258931</stp>
        <tr r="JY5" s="17"/>
      </tp>
      <tp t="s">
        <v>#N/A N/A</v>
        <stp/>
        <stp>BDS|15695903835674877311</stp>
        <tr r="FI5" s="23"/>
      </tp>
      <tp t="s">
        <v>#N/A N/A</v>
        <stp/>
        <stp>BDS|15593469848744987980</stp>
        <tr r="IU5" s="28"/>
      </tp>
      <tp t="s">
        <v>#N/A N/A</v>
        <stp/>
        <stp>BDS|18280236522982122289</stp>
        <tr r="CM5" s="5"/>
      </tp>
      <tp t="s">
        <v>#N/A N/A</v>
        <stp/>
        <stp>BDS|16495574631941846902</stp>
        <tr r="A5" s="45"/>
      </tp>
      <tp t="s">
        <v>#N/A N/A</v>
        <stp/>
        <stp>BDS|17298620690159885920</stp>
        <tr r="TE5" s="35"/>
      </tp>
      <tp t="s">
        <v>#N/A N/A</v>
        <stp/>
        <stp>BDS|14200117640239801008</stp>
        <tr r="TE5" s="14"/>
        <tr r="SA5" s="16"/>
        <tr r="JY5" s="18"/>
        <tr r="HQ5" s="37"/>
        <tr r="VM5" s="45"/>
        <tr r="EE5" s="48"/>
      </tp>
      <tp t="s">
        <v>#N/A N/A</v>
        <stp/>
        <stp>BDS|13028485170901167929</stp>
        <tr r="LC5" s="8"/>
      </tp>
      <tp t="s">
        <v>#N/A N/A</v>
        <stp/>
        <stp>BDS|12945602145250356845</stp>
        <tr r="OA5" s="9"/>
      </tp>
      <tp t="s">
        <v>#N/A N/A</v>
        <stp/>
        <stp>BDS|17512456479758635474</stp>
        <tr r="JY5" s="38"/>
      </tp>
      <tp t="s">
        <v>#N/A N/A</v>
        <stp/>
        <stp>BDS|15116935654774779583</stp>
        <tr r="UY5" s="41"/>
      </tp>
      <tp t="s">
        <v>#N/A N/A</v>
        <stp/>
        <stp>BDS|13390371146209455585</stp>
        <tr r="OO5" s="22"/>
      </tp>
      <tp t="s">
        <v>#N/A N/A</v>
        <stp/>
        <stp>BDS|10566332086673989077</stp>
        <tr r="DA5" s="47"/>
      </tp>
      <tp t="s">
        <v>#N/A N/A</v>
        <stp/>
        <stp>BDS|10021874826830772285</stp>
        <tr r="UY5" s="32"/>
      </tp>
      <tp t="s">
        <v>#N/A N/A</v>
        <stp/>
        <stp>BDS|11728289987250372347</stp>
        <tr r="MG5" s="4"/>
      </tp>
      <tp t="s">
        <v>#N/A N/A</v>
        <stp/>
        <stp>BDS|16390852058555116609</stp>
        <tr r="A5" s="1"/>
        <tr r="HC5" s="5"/>
        <tr r="MW5" s="9"/>
      </tp>
      <tp t="s">
        <v>#N/A N/A</v>
        <stp/>
        <stp>BDS|12166950246722827556</stp>
        <tr r="AS5" s="20"/>
      </tp>
      <tp t="s">
        <v>#N/A N/A</v>
        <stp/>
        <stp>BDS|15141804958166644636</stp>
        <tr r="BW5" s="11"/>
      </tp>
      <tp t="s">
        <v>#N/A N/A</v>
        <stp/>
        <stp>BDS|11778137242528925437</stp>
        <tr r="LS5" s="25"/>
      </tp>
      <tp t="s">
        <v>#N/A N/A</v>
        <stp/>
        <stp>BDS|10375909044555956028</stp>
        <tr r="KO5" s="36"/>
      </tp>
      <tp t="s">
        <v>#N/A N/A</v>
        <stp/>
        <stp>BDS|17947199350112430993</stp>
        <tr r="PS5" s="1"/>
        <tr r="OO5" s="18"/>
      </tp>
      <tp t="s">
        <v>#N/A N/A</v>
        <stp/>
        <stp>BDS|16440687791146211725</stp>
        <tr r="CM5" s="17"/>
      </tp>
      <tp t="s">
        <v>#N/A N/A</v>
        <stp/>
        <stp>BDS|11433467383162485778</stp>
        <tr r="TE5" s="41"/>
      </tp>
      <tp t="s">
        <v>#N/A N/A</v>
        <stp/>
        <stp>BDS|10410920340764415103</stp>
        <tr r="MG5" s="35"/>
      </tp>
      <tp t="s">
        <v>#N/A N/A</v>
        <stp/>
        <stp>BDS|16260617769337886915</stp>
        <tr r="IG5" s="13"/>
      </tp>
      <tp t="s">
        <v>#N/A N/A</v>
        <stp/>
        <stp>BDS|14580133992676674219</stp>
        <tr r="IG5" s="40"/>
      </tp>
      <tp t="s">
        <v>#N/A N/A</v>
        <stp/>
        <stp>BDS|13400845303317235422</stp>
        <tr r="QI5" s="18"/>
      </tp>
      <tp t="s">
        <v>#N/A N/A</v>
        <stp/>
        <stp>BDS|16136355863638417339</stp>
        <tr r="NK5" s="18"/>
      </tp>
      <tp t="s">
        <v>#N/A N/A</v>
        <stp/>
        <stp>BDS|15337906631690309717</stp>
        <tr r="QI5" s="1"/>
      </tp>
      <tp t="s">
        <v>#N/A N/A</v>
        <stp/>
        <stp>BDS|17599562251578575769</stp>
        <tr r="TU5" s="48"/>
      </tp>
      <tp t="s">
        <v>#N/A N/A</v>
        <stp/>
        <stp>BDS|11691259087821248203</stp>
        <tr r="PE5" s="25"/>
      </tp>
      <tp t="s">
        <v>#N/A N/A</v>
        <stp/>
        <stp>BDS|17290022437015901984</stp>
        <tr r="DQ5" s="41"/>
      </tp>
      <tp t="s">
        <v>#N/A N/A</v>
        <stp/>
        <stp>BDS|18031233195158941395</stp>
        <tr r="MW5" s="7"/>
      </tp>
      <tp t="s">
        <v>#N/A N/A</v>
        <stp/>
        <stp>BDS|16999257267589904351</stp>
        <tr r="JK5" s="27"/>
      </tp>
      <tp t="s">
        <v>#N/A N/A</v>
        <stp/>
        <stp>BDS|13376834559593737593</stp>
        <tr r="A5" s="30"/>
      </tp>
      <tp t="s">
        <v>#N/A N/A</v>
        <stp/>
        <stp>BDS|11209885090438913044</stp>
        <tr r="TU5" s="5"/>
        <tr r="HC5" s="19"/>
      </tp>
      <tp t="s">
        <v>#N/A N/A</v>
        <stp/>
        <stp>BDS|10162673330014691944</stp>
        <tr r="HQ5" s="30"/>
      </tp>
      <tp t="s">
        <v>#N/A N/A</v>
        <stp/>
        <stp>BDS|14468645011658069351</stp>
        <tr r="O5" s="38"/>
      </tp>
      <tp t="s">
        <v>#N/A N/A</v>
        <stp/>
        <stp>BDS|13048837817683431146</stp>
        <tr r="IG5" s="47"/>
      </tp>
      <tp t="s">
        <v>#N/A N/A</v>
        <stp/>
        <stp>BDS|16313956033621455554</stp>
        <tr r="HC5" s="14"/>
      </tp>
      <tp t="s">
        <v>#N/A N/A</v>
        <stp/>
        <stp>BDS|16590962730470588431</stp>
        <tr r="MG5" s="22"/>
        <tr r="TE5" s="32"/>
      </tp>
      <tp t="s">
        <v>#N/A N/A</v>
        <stp/>
        <stp>BDS|11500826033630574243</stp>
        <tr r="CM5" s="36"/>
      </tp>
      <tp t="s">
        <v>#N/A N/A</v>
        <stp/>
        <stp>BDS|13900098378155463863</stp>
        <tr r="AE5" s="20"/>
      </tp>
      <tp t="s">
        <v>#N/A N/A</v>
        <stp/>
        <stp>BDS|17302514337548862074</stp>
        <tr r="AS5" s="38"/>
      </tp>
      <tp t="s">
        <v>#N/A N/A</v>
        <stp/>
        <stp>BDS|15533999831411372752</stp>
        <tr r="KO5" s="50"/>
      </tp>
      <tp t="s">
        <v>#N/A N/A</v>
        <stp/>
        <stp>BDS|14638678971848966429</stp>
        <tr r="IU5" s="48"/>
      </tp>
      <tp t="s">
        <v>#N/A N/A</v>
        <stp/>
        <stp>BDS|11925896355407706293</stp>
        <tr r="SQ5" s="15"/>
      </tp>
      <tp t="s">
        <v>#N/A N/A</v>
        <stp/>
        <stp>BDS|12002875313902881074</stp>
        <tr r="BI5" s="42"/>
        <tr r="HC5" s="16"/>
        <tr r="UY5" s="30"/>
      </tp>
      <tp t="s">
        <v>#N/A N/A</v>
        <stp/>
        <stp>BDS|12752191696463110027</stp>
        <tr r="EE5" s="18"/>
      </tp>
      <tp t="s">
        <v>#N/A N/A</v>
        <stp/>
        <stp>BDS|10720872538721196316</stp>
        <tr r="PS5" s="37"/>
      </tp>
      <tp t="s">
        <v>#N/A N/A</v>
        <stp/>
        <stp>BDS|11993943959995817140</stp>
        <tr r="EU5" s="13"/>
      </tp>
      <tp t="s">
        <v>#N/A N/A</v>
        <stp/>
        <stp>BDS|12917192486197979574</stp>
        <tr r="IG5" s="25"/>
      </tp>
      <tp t="s">
        <v>#N/A N/A</v>
        <stp/>
        <stp>BDS|17606458358327756852</stp>
        <tr r="IG5" s="8"/>
      </tp>
      <tp t="s">
        <v>#N/A N/A</v>
        <stp/>
        <stp>BDS|11904119493922345211</stp>
        <tr r="HC5" s="43"/>
      </tp>
      <tp t="s">
        <v>#N/A N/A</v>
        <stp/>
        <stp>BDS|10062902745515902121</stp>
        <tr r="BW5" s="12"/>
        <tr r="EE5" s="31"/>
      </tp>
      <tp t="s">
        <v>#N/A N/A</v>
        <stp/>
        <stp>BDS|13196821644707926109</stp>
        <tr r="DA5" s="13"/>
      </tp>
      <tp t="s">
        <v>#N/A N/A</v>
        <stp/>
        <stp>BDS|17990159482021288630</stp>
        <tr r="EE5" s="46"/>
      </tp>
      <tp t="s">
        <v>#N/A N/A</v>
        <stp/>
        <stp>BDS|18421795505905004372</stp>
        <tr r="PE5" s="35"/>
        <tr r="BI5" s="47"/>
      </tp>
      <tp t="s">
        <v>#N/A N/A</v>
        <stp/>
        <stp>BDS|16272941415925932266</stp>
        <tr r="LS5" s="41"/>
      </tp>
      <tp t="s">
        <v>#N/A N/A</v>
        <stp/>
        <stp>BDS|16612819841111220287</stp>
        <tr r="UI5" s="38"/>
      </tp>
      <tp t="s">
        <v>#N/A N/A</v>
        <stp/>
        <stp>BDS|15847557046464660910</stp>
        <tr r="HQ5" s="21"/>
      </tp>
      <tp t="s">
        <v>#N/A N/A</v>
        <stp/>
        <stp>BDS|14944072889024937132</stp>
        <tr r="O5" s="46"/>
      </tp>
      <tp t="s">
        <v>#N/A N/A</v>
        <stp/>
        <stp>BDS|14580646387363463004</stp>
        <tr r="PS5" s="10"/>
      </tp>
      <tp t="s">
        <v>#N/A N/A</v>
        <stp/>
        <stp>BDS|10994813870435311382</stp>
        <tr r="SQ5" s="40"/>
      </tp>
      <tp t="s">
        <v>#N/A N/A</v>
        <stp/>
        <stp>BDS|15215383176390658895</stp>
        <tr r="PE5" s="28"/>
      </tp>
      <tp t="s">
        <v>#N/A N/A</v>
        <stp/>
        <stp>BDS|12345533064930610819</stp>
        <tr r="SA5" s="40"/>
      </tp>
      <tp t="s">
        <v>#N/A N/A</v>
        <stp/>
        <stp>BDS|16217733102609507168</stp>
        <tr r="KO5" s="12"/>
      </tp>
      <tp t="s">
        <v>#N/A N/A</v>
        <stp/>
        <stp>BDS|14529322625474461861</stp>
        <tr r="HQ5" s="48"/>
      </tp>
      <tp t="s">
        <v>#N/A N/A</v>
        <stp/>
        <stp>BDS|15698864953686745754</stp>
        <tr r="IU5" s="23"/>
      </tp>
      <tp t="s">
        <v>#N/A N/A</v>
        <stp/>
        <stp>BDS|15808153845921152884</stp>
        <tr r="UY5" s="36"/>
      </tp>
      <tp t="s">
        <v>#N/A N/A</v>
        <stp/>
        <stp>BDS|12995958431570926158</stp>
        <tr r="EU5" s="8"/>
      </tp>
      <tp t="s">
        <v>#N/A N/A</v>
        <stp/>
        <stp>BDS|16872482670178426451</stp>
        <tr r="QW5" s="50"/>
      </tp>
      <tp t="s">
        <v>#N/A N/A</v>
        <stp/>
        <stp>BDS|15992473922462284885</stp>
        <tr r="JY5" s="43"/>
      </tp>
      <tp t="s">
        <v>#N/A N/A</v>
        <stp/>
        <stp>BDS|13917963858850831683</stp>
        <tr r="EU5" s="5"/>
      </tp>
      <tp t="s">
        <v>#N/A N/A</v>
        <stp/>
        <stp>BDS|11615639191575063234</stp>
        <tr r="QW5" s="19"/>
      </tp>
      <tp t="s">
        <v>#N/A N/A</v>
        <stp/>
        <stp>BDS|17872970201626851118</stp>
        <tr r="OA5" s="21"/>
      </tp>
      <tp t="s">
        <v>#N/A N/A</v>
        <stp/>
        <stp>BDS|12767067387057356422</stp>
        <tr r="LS5" s="36"/>
      </tp>
      <tp t="s">
        <v>#N/A N/A</v>
        <stp/>
        <stp>BDS|15185456832152639945</stp>
        <tr r="SA5" s="10"/>
      </tp>
      <tp t="s">
        <v>#N/A N/A</v>
        <stp/>
        <stp>BDS|11855162412988970016</stp>
        <tr r="SA5" s="31"/>
      </tp>
      <tp t="s">
        <v>#N/A N/A</v>
        <stp/>
        <stp>BDS|17418817637551456437</stp>
        <tr r="EU5" s="42"/>
      </tp>
      <tp t="s">
        <v>#N/A N/A</v>
        <stp/>
        <stp>BDS|15803500127044549800</stp>
        <tr r="BW5" s="5"/>
        <tr r="AS5" s="24"/>
        <tr r="EE5" s="29"/>
        <tr r="VM5" s="50"/>
      </tp>
      <tp t="s">
        <v>#N/A N/A</v>
        <stp/>
        <stp>BDS|18024486986652589801</stp>
        <tr r="FI5" s="22"/>
        <tr r="NK5" s="23"/>
        <tr r="O5" s="48"/>
      </tp>
      <tp t="s">
        <v>#N/A N/A</v>
        <stp/>
        <stp>BDS|13721408229308115348</stp>
        <tr r="TU5" s="1"/>
      </tp>
      <tp t="s">
        <v>#N/A N/A</v>
        <stp/>
        <stp>BDS|13168852386405283883</stp>
        <tr r="BI5" s="30"/>
      </tp>
      <tp t="s">
        <v>#N/A N/A</v>
        <stp/>
        <stp>BDS|11348698712188752071</stp>
        <tr r="DQ5" s="8"/>
        <tr r="QI5" s="14"/>
      </tp>
      <tp t="s">
        <v>#N/A N/A</v>
        <stp/>
        <stp>BDS|15024795430537086815</stp>
        <tr r="HC5" s="42"/>
      </tp>
      <tp t="s">
        <v>#N/A N/A</v>
        <stp/>
        <stp>BDS|17946813166970334752</stp>
        <tr r="OA5" s="18"/>
        <tr r="PE5" s="1"/>
      </tp>
      <tp t="s">
        <v>#N/A N/A</v>
        <stp/>
        <stp>BDS|14332759224696892924</stp>
        <tr r="EE5" s="26"/>
        <tr r="VM5" s="2"/>
        <tr r="DA5" s="25"/>
      </tp>
      <tp t="s">
        <v>#N/A N/A</v>
        <stp/>
        <stp>BDS|11861207542641262804</stp>
        <tr r="CM5" s="45"/>
      </tp>
      <tp t="s">
        <v>#N/A N/A</v>
        <stp/>
        <stp>BDS|11839823832414269038</stp>
        <tr r="VM5" s="5"/>
        <tr r="EE5" s="36"/>
      </tp>
      <tp t="s">
        <v>#N/A N/A</v>
        <stp/>
        <stp>BDS|10464708087721388093</stp>
        <tr r="EE5" s="17"/>
        <tr r="FI5" s="39"/>
      </tp>
      <tp t="s">
        <v>#N/A N/A</v>
        <stp/>
        <stp>BDS|12587957353812843223</stp>
        <tr r="HC5" s="47"/>
      </tp>
      <tp t="s">
        <v>#N/A N/A</v>
        <stp/>
        <stp>BDS|16696248959948655730</stp>
        <tr r="HQ5" s="41"/>
      </tp>
      <tp t="s">
        <v>#N/A N/A</v>
        <stp/>
        <stp>BDS|11607787807190333846</stp>
        <tr r="AS5" s="13"/>
      </tp>
      <tp t="s">
        <v>#N/A N/A</v>
        <stp/>
        <stp>BDS|16241874222552024091</stp>
        <tr r="KO5" s="10"/>
      </tp>
      <tp t="s">
        <v>#N/A N/A</v>
        <stp/>
        <stp>BDS|11132930378485002456</stp>
        <tr r="GM5" s="26"/>
        <tr r="BW5" s="41"/>
      </tp>
      <tp t="s">
        <v>#N/A N/A</v>
        <stp/>
        <stp>BDS|14461737995284969042</stp>
        <tr r="JK5" s="32"/>
      </tp>
      <tp t="s">
        <v>#N/A N/A</v>
        <stp/>
        <stp>BDS|12194550598869060909</stp>
        <tr r="AS5" s="2"/>
      </tp>
      <tp t="s">
        <v>#N/A N/A</v>
        <stp/>
        <stp>BDS|17478954208786543614</stp>
        <tr r="CM5" s="2"/>
      </tp>
      <tp t="s">
        <v>#N/A N/A</v>
        <stp/>
        <stp>BDS|18346924465539396064</stp>
        <tr r="A5" s="46"/>
      </tp>
      <tp t="s">
        <v>#N/A N/A</v>
        <stp/>
        <stp>BDS|15853785800065946988</stp>
        <tr r="OA5" s="7"/>
      </tp>
      <tp t="s">
        <v>#N/A N/A</v>
        <stp/>
        <stp>BDS|17601935077224064334</stp>
        <tr r="IG5" s="43"/>
      </tp>
      <tp t="s">
        <v>#N/A N/A</v>
        <stp/>
        <stp>BDS|11268614032539776309</stp>
        <tr r="BW5" s="3"/>
      </tp>
      <tp t="s">
        <v>#N/A N/A</v>
        <stp/>
        <stp>BDS|18260333615556607248</stp>
        <tr r="AS5" s="28"/>
        <tr r="EE5" s="28"/>
      </tp>
      <tp t="s">
        <v>#N/A N/A</v>
        <stp/>
        <stp>BDS|11679901904027307179</stp>
        <tr r="KO5" s="5"/>
      </tp>
      <tp t="s">
        <v>#N/A N/A</v>
        <stp/>
        <stp>BDS|16670851131211089241</stp>
        <tr r="CM5" s="25"/>
        <tr r="DQ5" s="26"/>
        <tr r="UY5" s="2"/>
      </tp>
      <tp t="s">
        <v>#N/A N/A</v>
        <stp/>
        <stp>BDS|10390048057468697301</stp>
        <tr r="JY5" s="6"/>
      </tp>
      <tp t="s">
        <v>#N/A N/A</v>
        <stp/>
        <stp>BDS|17305783434219147499</stp>
        <tr r="PE5" s="33"/>
      </tp>
      <tp t="s">
        <v>#N/A N/A</v>
        <stp/>
        <stp>BDS|11100603845014578967</stp>
        <tr r="BW5" s="20"/>
      </tp>
      <tp t="s">
        <v>#N/A N/A</v>
        <stp/>
        <stp>BDS|12851482898504540594</stp>
        <tr r="TE5" s="34"/>
        <tr r="QW5" s="40"/>
        <tr r="HQ5" s="49"/>
      </tp>
      <tp t="s">
        <v>#N/A N/A</v>
        <stp/>
        <stp>BDS|17699509892212828782</stp>
        <tr r="A5" s="28"/>
      </tp>
      <tp t="s">
        <v>#N/A N/A</v>
        <stp/>
        <stp>BDS|15788719666479772335</stp>
        <tr r="OO5" s="1"/>
      </tp>
      <tp t="s">
        <v>#N/A N/A</v>
        <stp/>
        <stp>BDS|11372927271731077045</stp>
        <tr r="BI5" s="6"/>
      </tp>
      <tp t="s">
        <v>#N/A N/A</v>
        <stp/>
        <stp>BDS|15059761670532484887</stp>
        <tr r="BW5" s="2"/>
      </tp>
      <tp t="s">
        <v>#N/A N/A</v>
        <stp/>
        <stp>BDS|14505311895706224796</stp>
        <tr r="SQ5" s="18"/>
      </tp>
      <tp t="s">
        <v>#N/A N/A</v>
        <stp/>
        <stp>BDS|10237372199550350551</stp>
        <tr r="JK5" s="28"/>
        <tr r="DQ5" s="37"/>
      </tp>
      <tp t="s">
        <v>#N/A N/A</v>
        <stp/>
        <stp>BDS|13669907808297283277</stp>
        <tr r="LS5" s="28"/>
      </tp>
      <tp t="s">
        <v>#N/A N/A</v>
        <stp/>
        <stp>BDS|15489488052252579900</stp>
        <tr r="RM5" s="8"/>
      </tp>
      <tp t="s">
        <v>#N/A N/A</v>
        <stp/>
        <stp>BDS|11570778648435690850</stp>
        <tr r="FY5" s="15"/>
      </tp>
      <tp t="s">
        <v>#N/A N/A</v>
        <stp/>
        <stp>BDS|10129888636016210239</stp>
        <tr r="UY5" s="42"/>
        <tr r="SQ5" s="20"/>
      </tp>
      <tp t="s">
        <v>#N/A N/A</v>
        <stp/>
        <stp>BDS|16371792444819438356</stp>
        <tr r="QI5" s="5"/>
      </tp>
      <tp t="s">
        <v>#N/A N/A</v>
        <stp/>
        <stp>BDS|10859134521888694438</stp>
        <tr r="IU5" s="10"/>
      </tp>
      <tp t="s">
        <v>#N/A N/A</v>
        <stp/>
        <stp>BDS|10441364320929705792</stp>
        <tr r="FI5" s="18"/>
      </tp>
      <tp t="s">
        <v>#N/A N/A</v>
        <stp/>
        <stp>BDS|12825587658465081844</stp>
        <tr r="MG5" s="26"/>
      </tp>
      <tp t="s">
        <v>#N/A N/A</v>
        <stp/>
        <stp>BDS|17595949006208826934</stp>
        <tr r="FI5" s="13"/>
      </tp>
      <tp t="s">
        <v>#N/A N/A</v>
        <stp/>
        <stp>BDS|12891148050729477059</stp>
        <tr r="EU5" s="23"/>
      </tp>
      <tp t="s">
        <v>#N/A N/A</v>
        <stp/>
        <stp>BDS|14334262098295582554</stp>
        <tr r="QW5" s="44"/>
        <tr r="PS5" s="27"/>
      </tp>
      <tp t="s">
        <v>#N/A N/A</v>
        <stp/>
        <stp>BDS|18075974787984803259</stp>
        <tr r="CM5" s="35"/>
        <tr r="RM5" s="6"/>
      </tp>
      <tp t="s">
        <v>#N/A N/A</v>
        <stp/>
        <stp>BDS|15893001181432285066</stp>
        <tr r="UY5" s="37"/>
        <tr r="UY5" s="28"/>
        <tr r="UY5" s="43"/>
      </tp>
      <tp t="s">
        <v>#N/A N/A</v>
        <stp/>
        <stp>BDS|17933783639518268488</stp>
        <tr r="EU5" s="50"/>
        <tr r="CM5" s="11"/>
        <tr r="IG5" s="34"/>
      </tp>
      <tp t="s">
        <v>#N/A N/A</v>
        <stp/>
        <stp>BDS|18156649181219620005</stp>
        <tr r="NK5" s="19"/>
      </tp>
      <tp t="s">
        <v>#N/A N/A</v>
        <stp/>
        <stp>BDS|18288844964190218925</stp>
        <tr r="SQ5" s="42"/>
      </tp>
      <tp t="s">
        <v>#N/A N/A</v>
        <stp/>
        <stp>BDS|13058956551020386053</stp>
        <tr r="DQ5" s="35"/>
      </tp>
      <tp t="s">
        <v>#N/A N/A</v>
        <stp/>
        <stp>BDS|12109827633685014322</stp>
        <tr r="MW5" s="26"/>
      </tp>
      <tp t="s">
        <v>#N/A N/A</v>
        <stp/>
        <stp>BDS|11734189891266983057</stp>
        <tr r="NK5" s="13"/>
      </tp>
      <tp t="s">
        <v>#N/A N/A</v>
        <stp/>
        <stp>BDS|10218456684407527447</stp>
        <tr r="QI5" s="20"/>
      </tp>
      <tp t="s">
        <v>#N/A N/A</v>
        <stp/>
        <stp>BDS|16653102937829573273</stp>
        <tr r="PS5" s="17"/>
      </tp>
      <tp t="s">
        <v>#N/A N/A</v>
        <stp/>
        <stp>BDS|13489912181678542521</stp>
        <tr r="LC5" s="49"/>
      </tp>
      <tp t="s">
        <v>#N/A N/A</v>
        <stp/>
        <stp>BDS|13465256831408288513</stp>
        <tr r="A5" s="43"/>
      </tp>
      <tp t="s">
        <v>#N/A N/A</v>
        <stp/>
        <stp>BDS|18185250004041441472</stp>
        <tr r="TU5" s="9"/>
      </tp>
      <tp t="s">
        <v>#N/A N/A</v>
        <stp/>
        <stp>BDS|15723930570286356246</stp>
        <tr r="A5" s="16"/>
      </tp>
      <tp t="s">
        <v>#N/A N/A</v>
        <stp/>
        <stp>BDS|13179089906949577597</stp>
        <tr r="OA5" s="2"/>
        <tr r="QI5" s="43"/>
        <tr r="UY5" s="8"/>
        <tr r="HC5" s="4"/>
        <tr r="CM5" s="9"/>
        <tr r="PE5" s="24"/>
        <tr r="KO5" s="25"/>
        <tr r="DQ5" s="10"/>
        <tr r="TU5" s="30"/>
      </tp>
      <tp t="s">
        <v>#N/A N/A</v>
        <stp/>
        <stp>BDS|12290616920850416961</stp>
        <tr r="JK5" s="19"/>
      </tp>
      <tp t="s">
        <v>#N/A N/A</v>
        <stp/>
        <stp>BDS|13702257276781054828</stp>
        <tr r="DA5" s="39"/>
      </tp>
      <tp t="s">
        <v>#N/A N/A</v>
        <stp/>
        <stp>BDS|14293363790005615451</stp>
        <tr r="AS5" s="1"/>
      </tp>
      <tp t="s">
        <v>#N/A N/A</v>
        <stp/>
        <stp>BDS|12787515890528878990</stp>
        <tr r="JK5" s="11"/>
      </tp>
      <tp t="s">
        <v>#N/A N/A</v>
        <stp/>
        <stp>BDS|17407116573769141704</stp>
        <tr r="BI5" s="37"/>
      </tp>
      <tp t="s">
        <v>#N/A N/A</v>
        <stp/>
        <stp>BDS|12750969032907087076</stp>
        <tr r="QW5" s="49"/>
      </tp>
      <tp t="s">
        <v>#N/A N/A</v>
        <stp/>
        <stp>BDS|14694607773178666271</stp>
        <tr r="NK5" s="6"/>
      </tp>
      <tp t="s">
        <v>#N/A N/A</v>
        <stp/>
        <stp>BDS|17448250230481642838</stp>
        <tr r="TU5" s="3"/>
      </tp>
      <tp t="s">
        <v>#N/A N/A</v>
        <stp/>
        <stp>BDS|14443071720000447930</stp>
        <tr r="FY5" s="26"/>
        <tr r="BI5" s="41"/>
      </tp>
      <tp t="s">
        <v>#N/A N/A</v>
        <stp/>
        <stp>BDS|15234271163507210918</stp>
        <tr r="AE5" s="7"/>
      </tp>
      <tp t="s">
        <v>#N/A N/A</v>
        <stp/>
        <stp>BDS|13400506695070348075</stp>
        <tr r="FI5" s="33"/>
      </tp>
      <tp t="s">
        <v>#N/A N/A</v>
        <stp/>
        <stp>BDS|16574223322259541389</stp>
        <tr r="NK5" s="24"/>
      </tp>
      <tp t="s">
        <v>#N/A N/A</v>
        <stp/>
        <stp>BDS|10755345329364397903</stp>
        <tr r="RM5" s="40"/>
      </tp>
      <tp t="s">
        <v>#N/A N/A</v>
        <stp/>
        <stp>BDS|12676444631710290983</stp>
        <tr r="O5" s="28"/>
      </tp>
      <tp t="s">
        <v>#N/A N/A</v>
        <stp/>
        <stp>BDS|10647584014190761845</stp>
        <tr r="KO5" s="27"/>
      </tp>
      <tp t="s">
        <v>#N/A N/A</v>
        <stp/>
        <stp>BDS|15241820407607120683</stp>
        <tr r="OA5" s="39"/>
      </tp>
      <tp t="s">
        <v>#N/A N/A</v>
        <stp/>
        <stp>BDS|11166816000237882273</stp>
        <tr r="PE5" s="9"/>
        <tr r="AE5" s="27"/>
        <tr r="LS5" s="29"/>
      </tp>
      <tp t="s">
        <v>#N/A N/A</v>
        <stp/>
        <stp>BDS|15938298084696340589</stp>
        <tr r="OA5" s="44"/>
      </tp>
      <tp t="s">
        <v>#N/A N/A</v>
        <stp/>
        <stp>BDS|14372982265134779364</stp>
        <tr r="TE5" s="27"/>
      </tp>
      <tp t="s">
        <v>#N/A N/A</v>
        <stp/>
        <stp>BDS|14778848311541776096</stp>
        <tr r="UI5" s="18"/>
        <tr r="FI5" s="43"/>
        <tr r="O5" s="50"/>
      </tp>
      <tp t="s">
        <v>#N/A N/A</v>
        <stp/>
        <stp>BDS|12924620964338280613</stp>
        <tr r="MG5" s="37"/>
      </tp>
      <tp t="s">
        <v>#N/A N/A</v>
        <stp/>
        <stp>BDS|11961042311418562451</stp>
        <tr r="AE5" s="37"/>
      </tp>
      <tp t="s">
        <v>#N/A N/A</v>
        <stp/>
        <stp>BDS|16027914638117624724</stp>
        <tr r="PE5" s="31"/>
      </tp>
      <tp t="s">
        <v>#N/A N/A</v>
        <stp/>
        <stp>BDS|16358556998837260119</stp>
        <tr r="FI5" s="5"/>
      </tp>
      <tp t="s">
        <v>#N/A N/A</v>
        <stp/>
        <stp>BDS|13367392028359750779</stp>
        <tr r="DQ5" s="27"/>
      </tp>
      <tp t="s">
        <v>#N/A N/A</v>
        <stp/>
        <stp>BDS|16654845393852318903</stp>
        <tr r="UY5" s="6"/>
      </tp>
      <tp t="s">
        <v>#N/A N/A</v>
        <stp/>
        <stp>BDS|17615529281593478537</stp>
        <tr r="QW5" s="26"/>
      </tp>
      <tp t="s">
        <v>#N/A N/A</v>
        <stp/>
        <stp>BDS|14831962807466350799</stp>
        <tr r="DQ5" s="11"/>
      </tp>
      <tp t="s">
        <v>#N/A N/A</v>
        <stp/>
        <stp>BDS|13628780391899931850</stp>
        <tr r="DQ5" s="49"/>
      </tp>
      <tp t="s">
        <v>#N/A N/A</v>
        <stp/>
        <stp>BDS|13510059182643662477</stp>
        <tr r="O5" s="45"/>
      </tp>
      <tp t="s">
        <v>#N/A N/A</v>
        <stp/>
        <stp>BDS|18155789659667333106</stp>
        <tr r="BI5" s="13"/>
      </tp>
      <tp t="s">
        <v>#N/A N/A</v>
        <stp/>
        <stp>BDS|11219604684191627238</stp>
        <tr r="TE5" s="3"/>
        <tr r="MG5" s="38"/>
        <tr r="JY5" s="39"/>
        <tr r="IU5" s="4"/>
        <tr r="DA5" s="23"/>
        <tr r="UI5" s="29"/>
      </tp>
      <tp t="s">
        <v>#N/A N/A</v>
        <stp/>
        <stp>BDS|16969297555994632906</stp>
        <tr r="O5" s="21"/>
      </tp>
      <tp t="s">
        <v>#N/A N/A</v>
        <stp/>
        <stp>BDS|10295888462936951407</stp>
        <tr r="LS5" s="13"/>
        <tr r="RM5" s="46"/>
      </tp>
      <tp t="s">
        <v>#N/A N/A</v>
        <stp/>
        <stp>BDS|15695975850303678661</stp>
        <tr r="FI5" s="24"/>
      </tp>
      <tp t="s">
        <v>#N/A N/A</v>
        <stp/>
        <stp>BDS|13476626998083801378</stp>
        <tr r="AS5" s="14"/>
      </tp>
      <tp t="s">
        <v>#N/A N/A</v>
        <stp/>
        <stp>BDS|16006019002633433963</stp>
        <tr r="PE5" s="11"/>
      </tp>
      <tp t="s">
        <v>#N/A N/A</v>
        <stp/>
        <stp>BDS|14981004391043078295</stp>
        <tr r="O5" s="26"/>
      </tp>
      <tp t="s">
        <v>#N/A N/A</v>
        <stp/>
        <stp>BDS|11788848257008046857</stp>
        <tr r="IU5" s="49"/>
      </tp>
      <tp t="s">
        <v>#N/A N/A</v>
        <stp/>
        <stp>BDS|15564636597155792308</stp>
        <tr r="O5" s="41"/>
      </tp>
      <tp t="s">
        <v>#N/A N/A</v>
        <stp/>
        <stp>BDS|17325406934555567959</stp>
        <tr r="CM5" s="15"/>
      </tp>
      <tp t="s">
        <v>#N/A N/A</v>
        <stp/>
        <stp>BDS|13503390593710065580</stp>
        <tr r="A5" s="38"/>
      </tp>
      <tp t="s">
        <v>#N/A N/A</v>
        <stp/>
        <stp>BDS|11496710821311058901</stp>
        <tr r="KO5" s="7"/>
      </tp>
      <tp t="s">
        <v>#N/A N/A</v>
        <stp/>
        <stp>BDS|13160667297552539211</stp>
        <tr r="PE5" s="17"/>
      </tp>
      <tp t="s">
        <v>#N/A N/A</v>
        <stp/>
        <stp>BDS|16528624491143185624</stp>
        <tr r="EE5" s="44"/>
      </tp>
      <tp t="s">
        <v>#N/A N/A</v>
        <stp/>
        <stp>BDS|14172077474986523921</stp>
        <tr r="TU5" s="21"/>
        <tr r="A5" s="40"/>
      </tp>
      <tp t="s">
        <v>#N/A N/A</v>
        <stp/>
        <stp>BDS|12997471579025509871</stp>
        <tr r="KO5" s="1"/>
      </tp>
      <tp t="s">
        <v>#N/A N/A</v>
        <stp/>
        <stp>BDS|18304163315670002454</stp>
        <tr r="LC5" s="36"/>
      </tp>
      <tp t="s">
        <v>#N/A N/A</v>
        <stp/>
        <stp>BDS|11054116240461059946</stp>
        <tr r="IG5" s="22"/>
      </tp>
      <tp t="s">
        <v>#N/A N/A</v>
        <stp/>
        <stp>BDS|15948178374399532755</stp>
        <tr r="LS5" s="15"/>
      </tp>
      <tp t="s">
        <v>#N/A N/A</v>
        <stp/>
        <stp>BDS|10235601409609050219</stp>
        <tr r="SQ5" s="17"/>
      </tp>
      <tp t="s">
        <v>#N/A N/A</v>
        <stp/>
        <stp>BDS|11510487329553995965</stp>
        <tr r="HC5" s="20"/>
      </tp>
      <tp t="s">
        <v>#N/A N/A</v>
        <stp/>
        <stp>BDS|16617598192566490122</stp>
        <tr r="SQ5" s="50"/>
        <tr r="QI5" s="6"/>
      </tp>
      <tp t="s">
        <v>#N/A N/A</v>
        <stp/>
        <stp>BDS|17527866661331891524</stp>
        <tr r="OO5" s="35"/>
      </tp>
      <tp t="s">
        <v>#N/A N/A</v>
        <stp/>
        <stp>BDS|13083499260308559444</stp>
        <tr r="O5" s="25"/>
      </tp>
      <tp t="s">
        <v>#N/A N/A</v>
        <stp/>
        <stp>BDS|14115941622295860772</stp>
        <tr r="UY5" s="15"/>
        <tr r="AE5" s="29"/>
      </tp>
      <tp t="s">
        <v>#N/A N/A</v>
        <stp/>
        <stp>BDS|17868998534211318181</stp>
        <tr r="TE5" s="7"/>
      </tp>
      <tp t="s">
        <v>#N/A N/A</v>
        <stp/>
        <stp>BDS|18193339062201860164</stp>
        <tr r="FY5" s="2"/>
      </tp>
      <tp t="s">
        <v>#N/A N/A</v>
        <stp/>
        <stp>BDS|15984428421348053641</stp>
        <tr r="FY5" s="24"/>
      </tp>
      <tp t="s">
        <v>#N/A N/A</v>
        <stp/>
        <stp>BDS|17849091267965072990</stp>
        <tr r="LS5" s="42"/>
      </tp>
      <tp t="s">
        <v>#N/A N/A</v>
        <stp/>
        <stp>BDS|11286159820677956820</stp>
        <tr r="KO5" s="43"/>
      </tp>
      <tp t="s">
        <v>#N/A N/A</v>
        <stp/>
        <stp>BDS|18358593917793041215</stp>
        <tr r="FI5" s="16"/>
      </tp>
      <tp t="s">
        <v>#N/A N/A</v>
        <stp/>
        <stp>BDS|10384621018683589907</stp>
        <tr r="JY5" s="34"/>
      </tp>
      <tp t="s">
        <v>#N/A N/A</v>
        <stp/>
        <stp>BDS|18018075807564857144</stp>
        <tr r="EU5" s="17"/>
      </tp>
      <tp t="s">
        <v>#N/A N/A</v>
        <stp/>
        <stp>BDS|13184166131774953822</stp>
        <tr r="MW5" s="5"/>
      </tp>
      <tp t="s">
        <v>#N/A N/A</v>
        <stp/>
        <stp>BDS|10092385113118330753</stp>
        <tr r="DA5" s="17"/>
      </tp>
      <tp t="s">
        <v>#N/A N/A</v>
        <stp/>
        <stp>BDS|17243612614958400511</stp>
        <tr r="MG5" s="31"/>
      </tp>
      <tp t="s">
        <v>#N/A N/A</v>
        <stp/>
        <stp>BDS|11007633546897055978</stp>
        <tr r="CM5" s="7"/>
        <tr r="DQ5" s="25"/>
      </tp>
      <tp t="s">
        <v>#N/A N/A</v>
        <stp/>
        <stp>BDS|13457542919798356281</stp>
        <tr r="IU5" s="31"/>
      </tp>
      <tp t="s">
        <v>#N/A N/A</v>
        <stp/>
        <stp>BDS|12425004656019844395</stp>
        <tr r="O5" s="6"/>
      </tp>
      <tp t="s">
        <v>#N/A N/A</v>
        <stp/>
        <stp>BDS|16164548104079638772</stp>
        <tr r="HQ5" s="22"/>
      </tp>
      <tp t="s">
        <v>#N/A N/A</v>
        <stp/>
        <stp>BDS|14006515486537343345</stp>
        <tr r="QW5" s="30"/>
      </tp>
      <tp t="s">
        <v>#N/A N/A</v>
        <stp/>
        <stp>BDS|13266105652739168309</stp>
        <tr r="PS5" s="49"/>
      </tp>
      <tp t="s">
        <v>#N/A N/A</v>
        <stp/>
        <stp>BDS|17906758488270697530</stp>
        <tr r="FI5" s="48"/>
      </tp>
      <tp t="s">
        <v>#N/A N/A</v>
        <stp/>
        <stp>BDS|15356638275838303174</stp>
        <tr r="UY5" s="26"/>
        <tr r="DQ5" s="30"/>
        <tr r="KO5" s="37"/>
      </tp>
      <tp t="s">
        <v>#N/A N/A</v>
        <stp/>
        <stp>BDS|13579594493727171586</stp>
        <tr r="HQ5" s="9"/>
      </tp>
      <tp t="s">
        <v>#N/A N/A</v>
        <stp/>
        <stp>BDS|12011820062118100968</stp>
        <tr r="TU5" s="44"/>
        <tr r="AE5" s="33"/>
      </tp>
      <tp t="s">
        <v>#N/A N/A</v>
        <stp/>
        <stp>BDS|10898161898003601676</stp>
        <tr r="NK5" s="31"/>
      </tp>
      <tp t="s">
        <v>#N/A N/A</v>
        <stp/>
        <stp>BDS|17543471974489467054</stp>
        <tr r="UY5" s="39"/>
      </tp>
      <tp t="s">
        <v>#N/A N/A</v>
        <stp/>
        <stp>BDS|12773878564146660759</stp>
        <tr r="MW5" s="10"/>
        <tr r="QI5" s="25"/>
      </tp>
      <tp t="s">
        <v>#N/A N/A</v>
        <stp/>
        <stp>BDS|14498669481161457602</stp>
        <tr r="JK5" s="9"/>
      </tp>
      <tp t="s">
        <v>#N/A N/A</v>
        <stp/>
        <stp>BDS|17561673034449308619</stp>
        <tr r="OA5" s="41"/>
      </tp>
      <tp t="s">
        <v>#N/A N/A</v>
        <stp/>
        <stp>BDS|12728408722311052811</stp>
        <tr r="CM5" s="37"/>
      </tp>
      <tp t="s">
        <v>#N/A N/A</v>
        <stp/>
        <stp>BDS|10516169453231417806</stp>
        <tr r="DA5" s="20"/>
      </tp>
      <tp t="s">
        <v>#N/A N/A</v>
        <stp/>
        <stp>BDS|13017813561017469719</stp>
        <tr r="DA5" s="24"/>
      </tp>
      <tp t="s">
        <v>#N/A N/A</v>
        <stp/>
        <stp>BDS|16490464976590295836</stp>
        <tr r="TU5" s="42"/>
        <tr r="LS5" s="14"/>
        <tr r="FY5" s="31"/>
      </tp>
      <tp t="s">
        <v>#N/A N/A</v>
        <stp/>
        <stp>BDS|15901112398996950922</stp>
        <tr r="SQ5" s="26"/>
      </tp>
      <tp t="s">
        <v>#N/A N/A</v>
        <stp/>
        <stp>BDS|14432282969862851050</stp>
        <tr r="O5" s="19"/>
      </tp>
      <tp t="s">
        <v>#N/A N/A</v>
        <stp/>
        <stp>BDS|11998091829563616278</stp>
        <tr r="MG5" s="40"/>
      </tp>
      <tp t="s">
        <v>#N/A N/A</v>
        <stp/>
        <stp>BDS|16802352570838140851</stp>
        <tr r="A5" s="19"/>
      </tp>
      <tp t="s">
        <v>#N/A N/A</v>
        <stp/>
        <stp>BDS|13294540605357916334</stp>
        <tr r="RM5" s="22"/>
        <tr r="QI5" s="47"/>
      </tp>
      <tp t="s">
        <v>#N/A N/A</v>
        <stp/>
        <stp>BDS|14098191426092404728</stp>
        <tr r="EU5" s="18"/>
      </tp>
      <tp t="s">
        <v>#N/A N/A</v>
        <stp/>
        <stp>BDS|13270142450551701484</stp>
        <tr r="HC5" s="2"/>
        <tr r="A5" s="9"/>
        <tr r="A5" s="22"/>
        <tr r="RM5" s="25"/>
      </tp>
      <tp t="s">
        <v>#N/A N/A</v>
        <stp/>
        <stp>BDS|15404744675431899630</stp>
        <tr r="MG5" s="12"/>
      </tp>
      <tp t="s">
        <v>#N/A N/A</v>
        <stp/>
        <stp>BDS|16946914837256495856</stp>
        <tr r="TE5" s="6"/>
      </tp>
      <tp t="s">
        <v>#N/A N/A</v>
        <stp/>
        <stp>BDS|17864964284362376671</stp>
        <tr r="BW5" s="17"/>
      </tp>
      <tp t="s">
        <v>#N/A N/A</v>
        <stp/>
        <stp>BDS|16686856196890829524</stp>
        <tr r="NK5" s="22"/>
      </tp>
      <tp t="s">
        <v>#N/A N/A</v>
        <stp/>
        <stp>BDS|13296001198049115176</stp>
        <tr r="CM5" s="39"/>
      </tp>
      <tp t="s">
        <v>#N/A N/A</v>
        <stp/>
        <stp>BDS|12590483293934713951</stp>
        <tr r="LC5" s="7"/>
      </tp>
      <tp t="s">
        <v>#N/A N/A</v>
        <stp/>
        <stp>BDS|14341628349945762131</stp>
        <tr r="O5" s="36"/>
      </tp>
      <tp t="s">
        <v>#N/A N/A</v>
        <stp/>
        <stp>BDS|11521557321791834546</stp>
        <tr r="BI5" s="17"/>
      </tp>
      <tp t="s">
        <v>#N/A N/A</v>
        <stp/>
        <stp>BDS|16811732747325697282</stp>
        <tr r="SA5" s="13"/>
        <tr r="EE5" s="32"/>
        <tr r="LC5" s="40"/>
      </tp>
      <tp t="s">
        <v>#N/A N/A</v>
        <stp/>
        <stp>BDS|13386527935723153477</stp>
        <tr r="MG5" s="44"/>
      </tp>
      <tp t="s">
        <v>#N/A N/A</v>
        <stp/>
        <stp>BDS|12603448425605126345</stp>
        <tr r="PE5" s="40"/>
        <tr r="TU5" s="10"/>
        <tr r="KO5" s="18"/>
      </tp>
      <tp t="s">
        <v>#N/A N/A</v>
        <stp/>
        <stp>BDS|15571794406925055582</stp>
        <tr r="AE5" s="34"/>
      </tp>
      <tp t="s">
        <v>#N/A N/A</v>
        <stp/>
        <stp>BDS|15908879909638536711</stp>
        <tr r="HC5" s="39"/>
      </tp>
      <tp t="s">
        <v>#N/A N/A</v>
        <stp/>
        <stp>BDS|14521022772218147974</stp>
        <tr r="AE5" s="23"/>
      </tp>
      <tp t="s">
        <v>#N/A N/A</v>
        <stp/>
        <stp>BDS|12869181981621353813</stp>
        <tr r="IU5" s="37"/>
      </tp>
      <tp t="s">
        <v>#N/A N/A</v>
        <stp/>
        <stp>BDS|11550271186391528823</stp>
        <tr r="SQ5" s="14"/>
        <tr r="RM5" s="16"/>
        <tr r="JK5" s="18"/>
        <tr r="HC5" s="37"/>
        <tr r="UY5" s="45"/>
        <tr r="DQ5" s="48"/>
      </tp>
      <tp t="s">
        <v>#N/A N/A</v>
        <stp/>
        <stp>BDS|14277355757158501867</stp>
        <tr r="AE5" s="43"/>
      </tp>
      <tp t="s">
        <v>#N/A N/A</v>
        <stp/>
        <stp>BDS|14755284118247556212</stp>
        <tr r="EE5" s="19"/>
        <tr r="QW5" s="36"/>
      </tp>
      <tp t="s">
        <v>#N/A N/A</v>
        <stp/>
        <stp>BDS|16789189620717788084</stp>
        <tr r="SQ5" s="13"/>
        <tr r="BI5" s="24"/>
      </tp>
      <tp t="s">
        <v>#N/A N/A</v>
        <stp/>
        <stp>BDS|11543203271075710336</stp>
        <tr r="SA5" s="37"/>
      </tp>
      <tp t="s">
        <v>#N/A N/A</v>
        <stp/>
        <stp>BDS|12796048850411172426</stp>
        <tr r="VM5" s="3"/>
      </tp>
      <tp t="s">
        <v>#N/A N/A</v>
        <stp/>
        <stp>BDS|11879624768076082534</stp>
        <tr r="UI5" s="13"/>
        <tr r="AS5" s="8"/>
        <tr r="IU5" s="15"/>
      </tp>
      <tp t="s">
        <v>#N/A N/A</v>
        <stp/>
        <stp>BDS|12688474178446987510</stp>
        <tr r="JY5" s="32"/>
      </tp>
      <tp t="s">
        <v>#N/A N/A</v>
        <stp/>
        <stp>BDS|13269900296353086227</stp>
        <tr r="VM5" s="29"/>
      </tp>
      <tp t="s">
        <v>#N/A N/A</v>
        <stp/>
        <stp>BDS|10225177266172666730</stp>
        <tr r="LS5" s="16"/>
        <tr r="EU5" s="25"/>
      </tp>
      <tp t="s">
        <v>#N/A N/A</v>
        <stp/>
        <stp>BDS|12158479281814732862</stp>
        <tr r="LC5" s="22"/>
      </tp>
      <tp t="s">
        <v>#N/A N/A</v>
        <stp/>
        <stp>BDS|12656876907518590047</stp>
        <tr r="UY5" s="13"/>
      </tp>
      <tp t="s">
        <v>#N/A N/A</v>
        <stp/>
        <stp>BDS|13197564915261102441</stp>
        <tr r="AS5" s="35"/>
      </tp>
      <tp t="s">
        <v>#N/A N/A</v>
        <stp/>
        <stp>BDS|11028032755686517044</stp>
        <tr r="UI5" s="9"/>
      </tp>
      <tp t="s">
        <v>#N/A N/A</v>
        <stp/>
        <stp>BDS|10803283300195675517</stp>
        <tr r="SQ5" s="45"/>
      </tp>
      <tp t="s">
        <v>#N/A N/A</v>
        <stp/>
        <stp>BDS|16145264732801586472</stp>
        <tr r="EE5" s="49"/>
      </tp>
      <tp t="s">
        <v>#N/A N/A</v>
        <stp/>
        <stp>BDS|18174776097923102747</stp>
        <tr r="AS5" s="41"/>
      </tp>
      <tp t="s">
        <v>#N/A N/A</v>
        <stp/>
        <stp>BDS|16781630902091522360</stp>
        <tr r="LS5" s="2"/>
      </tp>
      <tp t="s">
        <v>#N/A N/A</v>
        <stp/>
        <stp>BDS|11462537924657116378</stp>
        <tr r="FI5" s="3"/>
      </tp>
      <tp t="s">
        <v>#N/A N/A</v>
        <stp/>
        <stp>BDS|15539483778524111015</stp>
        <tr r="TU5" s="46"/>
      </tp>
      <tp t="s">
        <v>#N/A N/A</v>
        <stp/>
        <stp>BDS|18213416304216738856</stp>
        <tr r="JY5" s="49"/>
      </tp>
      <tp t="s">
        <v>#N/A N/A</v>
        <stp/>
        <stp>BDS|11037513533617665210</stp>
        <tr r="QI5" s="3"/>
      </tp>
      <tp t="s">
        <v>#N/A N/A</v>
        <stp/>
        <stp>BDS|17207031382364772915</stp>
        <tr r="FY5" s="14"/>
      </tp>
      <tp t="s">
        <v>#N/A N/A</v>
        <stp/>
        <stp>BDS|13325101739424944766</stp>
        <tr r="CM5" s="6"/>
        <tr r="TU5" s="19"/>
      </tp>
      <tp t="s">
        <v>#N/A N/A</v>
        <stp/>
        <stp>BDS|10390765755087585700</stp>
        <tr r="O5" s="17"/>
      </tp>
      <tp t="s">
        <v>#N/A N/A</v>
        <stp/>
        <stp>BDS|15230364816056810217</stp>
        <tr r="HQ5" s="13"/>
      </tp>
      <tp t="s">
        <v>#N/A N/A</v>
        <stp/>
        <stp>BDS|10363702316143851660</stp>
        <tr r="EE5" s="34"/>
      </tp>
      <tp t="s">
        <v>#N/A N/A</v>
        <stp/>
        <stp>BDS|13820142642200605535</stp>
        <tr r="QW5" s="6"/>
        <tr r="TE5" s="50"/>
      </tp>
      <tp t="s">
        <v>#N/A N/A</v>
        <stp/>
        <stp>BDS|16625230542034841741</stp>
        <tr r="HC5" s="22"/>
      </tp>
      <tp t="s">
        <v>#N/A N/A</v>
        <stp/>
        <stp>BDS|14335671012622519280</stp>
        <tr r="FI5" s="10"/>
      </tp>
      <tp t="s">
        <v>#N/A N/A</v>
        <stp/>
        <stp>BDS|11021905184192610192</stp>
        <tr r="HQ5" s="43"/>
      </tp>
      <tp t="s">
        <v>#N/A N/A</v>
        <stp/>
        <stp>BDS|11836617354086589707</stp>
        <tr r="LC5" s="32"/>
      </tp>
      <tp t="s">
        <v>#N/A N/A</v>
        <stp/>
        <stp>BDS|14393385103457619366</stp>
        <tr r="NK5" s="36"/>
      </tp>
      <tp t="s">
        <v>#N/A N/A</v>
        <stp/>
        <stp>BDS|11811742451473595303</stp>
        <tr r="RM5" s="47"/>
        <tr r="CM5" s="50"/>
      </tp>
      <tp t="s">
        <v>#N/A N/A</v>
        <stp/>
        <stp>BDS|16248208149190655359</stp>
        <tr r="TU5" s="36"/>
      </tp>
      <tp t="s">
        <v>#N/A N/A</v>
        <stp/>
        <stp>BDS|13842358535265370538</stp>
        <tr r="NK5" s="45"/>
      </tp>
      <tp t="s">
        <v>#N/A N/A</v>
        <stp/>
        <stp>BDS|10373274029427239469</stp>
        <tr r="FY5" s="48"/>
      </tp>
      <tp t="s">
        <v>#N/A N/A</v>
        <stp/>
        <stp>BDS|14386884983917796069</stp>
        <tr r="FI5" s="9"/>
      </tp>
      <tp t="s">
        <v>#N/A N/A</v>
        <stp/>
        <stp>BDS|11278458558373334024</stp>
        <tr r="IU5" s="11"/>
      </tp>
      <tp t="s">
        <v>#N/A N/A</v>
        <stp/>
        <stp>BDS|16837066772232294001</stp>
        <tr r="MG5" s="7"/>
      </tp>
      <tp t="s">
        <v>#N/A N/A</v>
        <stp/>
        <stp>BDS|18066987874370248507</stp>
        <tr r="AS5" s="48"/>
      </tp>
      <tp t="s">
        <v>#N/A N/A</v>
        <stp/>
        <stp>BDS|16291914883370982476</stp>
        <tr r="KO5" s="38"/>
      </tp>
      <tp t="s">
        <v>#N/A N/A</v>
        <stp/>
        <stp>BDS|11202880097307379401</stp>
        <tr r="IG5" s="31"/>
      </tp>
      <tp t="s">
        <v>#N/A N/A</v>
        <stp/>
        <stp>BDS|12483172319838738928</stp>
        <tr r="IU5" s="2"/>
      </tp>
      <tp t="s">
        <v>#N/A N/A</v>
        <stp/>
        <stp>BDS|16118593367203707578</stp>
        <tr r="BW5" s="46"/>
        <tr r="OO5" s="27"/>
        <tr r="IU5" s="35"/>
        <tr r="SA5" s="19"/>
        <tr r="SA5" s="35"/>
      </tp>
      <tp t="s">
        <v>#N/A N/A</v>
        <stp/>
        <stp>BDS|16215241089729610666</stp>
        <tr r="O5" s="13"/>
      </tp>
      <tp t="s">
        <v>#N/A N/A</v>
        <stp/>
        <stp>BDS|11430492157693199048</stp>
        <tr r="JK5" s="10"/>
        <tr r="EU5" s="7"/>
        <tr r="JK5" s="8"/>
      </tp>
      <tp t="s">
        <v>#N/A N/A</v>
        <stp/>
        <stp>BDS|11786836298905229610</stp>
        <tr r="IG5" s="10"/>
      </tp>
      <tp t="s">
        <v>#N/A N/A</v>
        <stp/>
        <stp>BDS|11281055217453558094</stp>
        <tr r="SA5" s="47"/>
        <tr r="DA5" s="50"/>
      </tp>
      <tp t="s">
        <v>#N/A N/A</v>
        <stp/>
        <stp>BDS|12904281993693638986</stp>
        <tr r="EE5" s="43"/>
      </tp>
      <tp t="s">
        <v>#N/A N/A</v>
        <stp/>
        <stp>BDS|18202702686957808311</stp>
        <tr r="IG5" s="32"/>
      </tp>
      <tp t="s">
        <v>#N/A N/A</v>
        <stp/>
        <stp>BDS|11691553668734521536</stp>
        <tr r="VM5" s="7"/>
      </tp>
      <tp t="s">
        <v>#N/A N/A</v>
        <stp/>
        <stp>BDS|12410469286069911400</stp>
        <tr r="NK5" s="21"/>
      </tp>
      <tp t="s">
        <v>#N/A N/A</v>
        <stp/>
        <stp>BDS|10814214164852573557</stp>
        <tr r="QI5" s="33"/>
      </tp>
      <tp t="s">
        <v>#N/A N/A</v>
        <stp/>
        <stp>BDS|14750022654004867642</stp>
        <tr r="TU5" s="14"/>
      </tp>
      <tp t="s">
        <v>#N/A N/A</v>
        <stp/>
        <stp>BDS|10785351839290814311</stp>
        <tr r="UI5" s="47"/>
      </tp>
      <tp t="s">
        <v>#N/A N/A</v>
        <stp/>
        <stp>BDS|11317510732851887589</stp>
        <tr r="BW5" s="27"/>
      </tp>
      <tp t="s">
        <v>#N/A N/A</v>
        <stp/>
        <stp>BDS|11908757374593971119</stp>
        <tr r="PS5" s="31"/>
      </tp>
      <tp t="s">
        <v>#N/A N/A</v>
        <stp/>
        <stp>BDS|11082387106918604985</stp>
        <tr r="JK5" s="2"/>
      </tp>
      <tp t="s">
        <v>#N/A N/A</v>
        <stp/>
        <stp>BDS|11658812198295963660</stp>
        <tr r="PS5" s="33"/>
      </tp>
      <tp t="s">
        <v>#N/A N/A</v>
        <stp/>
        <stp>BDS|15730730410715127555</stp>
        <tr r="EE5" s="38"/>
      </tp>
      <tp t="s">
        <v>#N/A N/A</v>
        <stp/>
        <stp>BDS|10094504106793644508</stp>
        <tr r="A5" s="3"/>
        <tr r="PE5" s="30"/>
        <tr r="UY5" s="46"/>
      </tp>
      <tp t="s">
        <v>#N/A N/A</v>
        <stp/>
        <stp>BDS|15208305030140171636</stp>
        <tr r="UI5" s="30"/>
        <tr r="QW5" s="43"/>
        <tr r="LC5" s="25"/>
        <tr r="HQ5" s="4"/>
        <tr r="PS5" s="24"/>
        <tr r="OO5" s="2"/>
        <tr r="VM5" s="8"/>
        <tr r="DA5" s="9"/>
        <tr r="EE5" s="10"/>
      </tp>
      <tp t="s">
        <v>#N/A N/A</v>
        <stp/>
        <stp>BDS|17360113551058192831</stp>
        <tr r="MG5" s="15"/>
      </tp>
      <tp t="s">
        <v>#N/A N/A</v>
        <stp/>
        <stp>BDS|12019502853727609646</stp>
        <tr r="IG5" s="41"/>
      </tp>
      <tp t="s">
        <v>#N/A N/A</v>
        <stp/>
        <stp>BDS|15167351614112868694</stp>
        <tr r="GM5" s="4"/>
        <tr r="IU5" s="44"/>
      </tp>
      <tp t="s">
        <v>#N/A N/A</v>
        <stp/>
        <stp>BDS|15255436249654800267</stp>
        <tr r="QW5" s="20"/>
      </tp>
      <tp t="s">
        <v>#N/A N/A</v>
        <stp/>
        <stp>BDS|15928638700923449396</stp>
        <tr r="JY5" s="33"/>
      </tp>
      <tp t="s">
        <v>#N/A N/A</v>
        <stp/>
        <stp>BDS|16316826321316271954</stp>
        <tr r="JY5" s="14"/>
      </tp>
      <tp t="s">
        <v>#N/A N/A</v>
        <stp/>
        <stp>BDS|17541877297516925389</stp>
        <tr r="HQ5" s="42"/>
      </tp>
      <tp t="s">
        <v>#N/A N/A</v>
        <stp/>
        <stp>BDS|16969149656236692796</stp>
        <tr r="AE5" s="41"/>
      </tp>
      <tp t="s">
        <v>#N/A N/A</v>
        <stp/>
        <stp>BDS|11316681429417316151</stp>
        <tr r="FY5" s="4"/>
        <tr r="IG5" s="44"/>
      </tp>
      <tp t="s">
        <v>#N/A N/A</v>
        <stp/>
        <stp>BDS|13246205098829660293</stp>
        <tr r="HC5" s="36"/>
      </tp>
      <tp t="s">
        <v>#N/A N/A</v>
        <stp/>
        <stp>BDS|12585232107781593213</stp>
        <tr r="OO5" s="9"/>
      </tp>
      <tp t="s">
        <v>#N/A N/A</v>
        <stp/>
        <stp>BDS|13827037910504439655</stp>
        <tr r="GM5" s="43"/>
      </tp>
      <tp t="s">
        <v>#N/A N/A</v>
        <stp/>
        <stp>BDS|14497393979765712582</stp>
        <tr r="SQ5" s="47"/>
      </tp>
      <tp t="s">
        <v>#N/A N/A</v>
        <stp/>
        <stp>BDS|15443096902764328174</stp>
        <tr r="EU5" s="14"/>
        <tr r="CM5" s="3"/>
        <tr r="KO5" s="39"/>
      </tp>
      <tp t="s">
        <v>#N/A N/A</v>
        <stp/>
        <stp>BDS|10668319118786312447</stp>
        <tr r="CM5" s="24"/>
      </tp>
      <tp t="s">
        <v>#N/A N/A</v>
        <stp/>
        <stp>BDS|18258303678195061933</stp>
        <tr r="MW5" s="42"/>
      </tp>
      <tp t="s">
        <v>#N/A N/A</v>
        <stp/>
        <stp>BDS|10229614998017412863</stp>
        <tr r="A5" s="33"/>
        <tr r="RM5" s="41"/>
        <tr r="RM5" s="1"/>
        <tr r="TU5" s="33"/>
      </tp>
      <tp t="s">
        <v>#N/A N/A</v>
        <stp/>
        <stp>BDS|12964179996593587946</stp>
        <tr r="IU5" s="17"/>
        <tr r="NK5" s="28"/>
        <tr r="QW5" s="41"/>
      </tp>
      <tp t="s">
        <v>#N/A N/A</v>
        <stp/>
        <stp>BDS|14690112726912115597</stp>
        <tr r="FI5" s="11"/>
      </tp>
      <tp t="s">
        <v>#N/A N/A</v>
        <stp/>
        <stp>BDS|14484606052506045192</stp>
        <tr r="KO5" s="31"/>
      </tp>
      <tp t="s">
        <v>#N/A N/A</v>
        <stp/>
        <stp>BDS|17565015768732095306</stp>
        <tr r="QI5" s="26"/>
      </tp>
      <tp t="s">
        <v>#N/A N/A</v>
        <stp/>
        <stp>BDS|17061138247973051186</stp>
        <tr r="NK5" s="46"/>
      </tp>
      <tp t="s">
        <v>#N/A N/A</v>
        <stp/>
        <stp>BDS|11392196031244092770</stp>
        <tr r="DA5" s="48"/>
      </tp>
      <tp t="s">
        <v>#N/A N/A</v>
        <stp/>
        <stp>BDS|11309590534480492775</stp>
        <tr r="NK5" s="1"/>
      </tp>
      <tp t="s">
        <v>#N/A N/A</v>
        <stp/>
        <stp>BDS|15122487502919183879</stp>
        <tr r="PS5" s="18"/>
      </tp>
      <tp t="s">
        <v>#N/A N/A</v>
        <stp/>
        <stp>BDS|14258378779910197001</stp>
        <tr r="FY5" s="19"/>
      </tp>
      <tp t="s">
        <v>#N/A N/A</v>
        <stp/>
        <stp>BDS|16462323618120276411</stp>
        <tr r="CM5" s="10"/>
      </tp>
      <tp t="s">
        <v>#N/A N/A</v>
        <stp/>
        <stp>BDS|14609495965686636010</stp>
        <tr r="JY5" s="19"/>
      </tp>
      <tp t="s">
        <v>#N/A N/A</v>
        <stp/>
        <stp>BDS|10408172973547494198</stp>
        <tr r="TU5" s="26"/>
      </tp>
      <tp t="s">
        <v>#N/A N/A</v>
        <stp/>
        <stp>BDS|12756427047374694662</stp>
        <tr r="CM5" s="1"/>
      </tp>
      <tp t="s">
        <v>#N/A N/A</v>
        <stp/>
        <stp>BDS|16113331840424067518</stp>
        <tr r="MW5" s="38"/>
      </tp>
      <tp t="s">
        <v>#N/A N/A</v>
        <stp/>
        <stp>BDS|16599572154457483116</stp>
        <tr r="OO5" s="21"/>
      </tp>
      <tp t="s">
        <v>#N/A N/A</v>
        <stp/>
        <stp>BDS|16803621930294875710</stp>
        <tr r="QI5" s="24"/>
      </tp>
      <tp t="s">
        <v>#N/A N/A</v>
        <stp/>
        <stp>BDS|12405462201533692554</stp>
        <tr r="QI5" s="39"/>
        <tr r="SQ5" s="43"/>
      </tp>
      <tp t="s">
        <v>#N/A N/A</v>
        <stp/>
        <stp>BDS|10131835494904307556</stp>
        <tr r="QI5" s="11"/>
      </tp>
      <tp t="s">
        <v>#N/A N/A</v>
        <stp/>
        <stp>BDS|15277809413758322426</stp>
        <tr r="KO5" s="45"/>
      </tp>
      <tp t="s">
        <v>#N/A N/A</v>
        <stp/>
        <stp>BDS|12201426681376094818</stp>
        <tr r="NK5" s="17"/>
      </tp>
      <tp t="s">
        <v>#N/A N/A</v>
        <stp/>
        <stp>BDS|15066516074991440606</stp>
        <tr r="DA5" s="16"/>
        <tr r="IU5" s="5"/>
        <tr r="JY5" s="15"/>
      </tp>
      <tp t="s">
        <v>#N/A N/A</v>
        <stp/>
        <stp>BDS|16209333440276050701</stp>
        <tr r="PE5" s="50"/>
      </tp>
      <tp t="s">
        <v>#N/A N/A</v>
        <stp/>
        <stp>BDS|11409675173256294645</stp>
        <tr r="PE5" s="34"/>
      </tp>
      <tp t="s">
        <v>#N/A N/A</v>
        <stp/>
        <stp>BDS|10101177128391097287</stp>
        <tr r="QW5" s="1"/>
      </tp>
      <tp t="s">
        <v>#N/A N/A</v>
        <stp/>
        <stp>BDS|14077573245940568518</stp>
        <tr r="RM5" s="49"/>
      </tp>
      <tp t="s">
        <v>#N/A N/A</v>
        <stp/>
        <stp>BDS|16962420056721967620</stp>
        <tr r="TU5" s="38"/>
      </tp>
      <tp t="s">
        <v>#N/A N/A</v>
        <stp/>
        <stp>BDS|11511033237854788619</stp>
        <tr r="RM5" s="11"/>
        <tr r="LS5" s="19"/>
      </tp>
      <tp t="s">
        <v>#N/A N/A</v>
        <stp/>
        <stp>BDS|16460389987504913952</stp>
        <tr r="UY5" s="18"/>
      </tp>
      <tp t="s">
        <v>#N/A N/A</v>
        <stp/>
        <stp>BDS|13029564421193806780</stp>
        <tr r="QW5" s="23"/>
      </tp>
      <tp t="s">
        <v>#N/A N/A</v>
        <stp/>
        <stp>BDS|14559237942946796444</stp>
        <tr r="OO5" s="38"/>
      </tp>
      <tp t="s">
        <v>#N/A N/A</v>
        <stp/>
        <stp>BDS|17336815783581023665</stp>
        <tr r="LS5" s="48"/>
      </tp>
      <tp t="s">
        <v>#N/A N/A</v>
        <stp/>
        <stp>BDS|17894216984558049594</stp>
        <tr r="KO5" s="17"/>
      </tp>
      <tp t="s">
        <v>#N/A N/A</v>
        <stp/>
        <stp>BDS|11575155468442450485</stp>
        <tr r="RM5" s="42"/>
      </tp>
      <tp t="s">
        <v>#N/A N/A</v>
        <stp/>
        <stp>BDS|16820444319380432348</stp>
        <tr r="JK5" s="48"/>
      </tp>
      <tp t="s">
        <v>#N/A N/A</v>
        <stp/>
        <stp>BDS|17800253128221467644</stp>
        <tr r="LC5" s="28"/>
      </tp>
      <tp t="s">
        <v>#N/A N/A</v>
        <stp/>
        <stp>BDS|15461066936353112500</stp>
        <tr r="JK5" s="29"/>
      </tp>
      <tp t="s">
        <v>#N/A N/A</v>
        <stp/>
        <stp>BDS|10532562578124296730</stp>
        <tr r="MG5" s="28"/>
      </tp>
      <tp t="s">
        <v>#N/A N/A</v>
        <stp/>
        <stp>BDS|12366763361161929379</stp>
        <tr r="AS5" s="10"/>
        <tr r="QW5" s="28"/>
      </tp>
      <tp t="s">
        <v>#N/A N/A</v>
        <stp/>
        <stp>BDS|14396279708732189571</stp>
        <tr r="TU5" s="4"/>
      </tp>
      <tp t="s">
        <v>#N/A N/A</v>
        <stp/>
        <stp>BDS|17948270343063329348</stp>
        <tr r="QW5" s="47"/>
        <tr r="SA5" s="22"/>
      </tp>
      <tp t="s">
        <v>#N/A N/A</v>
        <stp/>
        <stp>BDS|12788482066548584964</stp>
        <tr r="HQ5" s="8"/>
      </tp>
      <tp t="s">
        <v>#N/A N/A</v>
        <stp/>
        <stp>BDS|14769159574734490783</stp>
        <tr r="UI5" s="3"/>
      </tp>
      <tp t="s">
        <v>#N/A N/A</v>
        <stp/>
        <stp>BDS|10821362082139117372</stp>
        <tr r="AE5" s="36"/>
      </tp>
      <tp t="s">
        <v>#N/A N/A</v>
        <stp/>
        <stp>BDS|14704760917593853059</stp>
        <tr r="BI5" s="1"/>
      </tp>
      <tp t="s">
        <v>#N/A N/A</v>
        <stp/>
        <stp>BDS|13616265378933717475</stp>
        <tr r="A5" s="23"/>
        <tr r="HC5" s="46"/>
      </tp>
      <tp t="s">
        <v>#N/A N/A</v>
        <stp/>
        <stp>BDS|12037678818881162565</stp>
        <tr r="NK5" s="7"/>
      </tp>
      <tp t="s">
        <v>#N/A N/A</v>
        <stp/>
        <stp>BDS|17815807298213959409</stp>
        <tr r="TE5" s="28"/>
      </tp>
      <tp t="s">
        <v>#N/A N/A</v>
        <stp/>
        <stp>BDS|17508540782829364293</stp>
        <tr r="HC5" s="18"/>
        <tr r="PE5" s="22"/>
        <tr r="BI5" s="43"/>
      </tp>
      <tp t="s">
        <v>#N/A N/A</v>
        <stp/>
        <stp>BDS|17981442375843544643</stp>
        <tr r="CM5" s="19"/>
      </tp>
      <tp t="s">
        <v>#N/A N/A</v>
        <stp/>
        <stp>BDS|13134186037214934498</stp>
        <tr r="QW5" s="18"/>
      </tp>
      <tp t="s">
        <v>#N/A N/A</v>
        <stp/>
        <stp>BDS|14599239753242931021</stp>
        <tr r="AE5" s="3"/>
      </tp>
      <tp t="s">
        <v>#N/A N/A</v>
        <stp/>
        <stp>BDS|13539085137363260265</stp>
        <tr r="FI5" s="36"/>
      </tp>
      <tp t="s">
        <v>#N/A N/A</v>
        <stp/>
        <stp>BDS|13877483877376899718</stp>
        <tr r="FY5" s="50"/>
      </tp>
      <tp t="s">
        <v>#N/A N/A</v>
        <stp/>
        <stp>BDS|18009065627188650394</stp>
        <tr r="BI5" s="35"/>
      </tp>
      <tp t="s">
        <v>#N/A N/A</v>
        <stp/>
        <stp>BDS|15993228172090166173</stp>
        <tr r="VM5" s="18"/>
      </tp>
      <tp t="s">
        <v>#N/A N/A</v>
        <stp/>
        <stp>BDS|10346293986212694963</stp>
        <tr r="O5" s="18"/>
        <tr r="VM5" s="40"/>
      </tp>
      <tp t="s">
        <v>#N/A N/A</v>
        <stp/>
        <stp>BDS|12161091897099796342</stp>
        <tr r="GM5" s="14"/>
      </tp>
      <tp t="s">
        <v>#N/A N/A</v>
        <stp/>
        <stp>BDS|14496277641087742484</stp>
        <tr r="MW5" s="3"/>
      </tp>
      <tp t="s">
        <v>#N/A N/A</v>
        <stp/>
        <stp>BDS|10329336762675929167</stp>
        <tr r="BI5" s="33"/>
        <tr r="EU5" s="40"/>
      </tp>
      <tp t="s">
        <v>#N/A N/A</v>
        <stp/>
        <stp>BDS|12724534776331734079</stp>
        <tr r="EE5" s="27"/>
      </tp>
      <tp t="s">
        <v>#N/A N/A</v>
        <stp/>
        <stp>BDS|10038330742131220713</stp>
        <tr r="IU5" s="20"/>
      </tp>
      <tp t="s">
        <v>#N/A N/A</v>
        <stp/>
        <stp>BDS|17871207233620035796</stp>
        <tr r="TE5" s="5"/>
      </tp>
      <tp t="s">
        <v>#N/A N/A</v>
        <stp/>
        <stp>BDS|17104297728525614345</stp>
        <tr r="AE5" s="5"/>
      </tp>
      <tp t="s">
        <v>#N/A N/A</v>
        <stp/>
        <stp>BDS|11589380320602822378</stp>
        <tr r="FY5" s="13"/>
      </tp>
      <tp t="s">
        <v>#N/A N/A</v>
        <stp/>
        <stp>BDS|12317213484111213879</stp>
        <tr r="JY5" s="46"/>
      </tp>
      <tp t="s">
        <v>#N/A N/A</v>
        <stp/>
        <stp>BDS|12180336660403662573</stp>
        <tr r="SA5" s="49"/>
      </tp>
      <tp t="s">
        <v>#N/A N/A</v>
        <stp/>
        <stp>BDS|17291531611327412578</stp>
        <tr r="AS5" s="40"/>
      </tp>
      <tp t="s">
        <v>#N/A N/A</v>
        <stp/>
        <stp>BDS|11069484568081987391</stp>
        <tr r="LS5" s="26"/>
      </tp>
      <tp t="s">
        <v>#N/A N/A</v>
        <stp/>
        <stp>BDS|13732735962567496430</stp>
        <tr r="O5" s="20"/>
        <tr r="FI5" s="21"/>
        <tr r="TE5" s="29"/>
      </tp>
      <tp t="s">
        <v>#N/A N/A</v>
        <stp/>
        <stp>BDS|13706482502715459389</stp>
        <tr r="JK5" s="21"/>
      </tp>
      <tp t="s">
        <v>#N/A N/A</v>
        <stp/>
        <stp>BDS|18368747684140234600</stp>
        <tr r="IG5" s="46"/>
      </tp>
      <tp t="s">
        <v>#N/A N/A</v>
        <stp/>
        <stp>BDS|13253566854544016615</stp>
        <tr r="UI5" s="11"/>
        <tr r="O5" s="37"/>
      </tp>
      <tp t="s">
        <v>#N/A N/A</v>
        <stp/>
        <stp>BDS|10542189621011428399</stp>
        <tr r="FY5" s="32"/>
      </tp>
      <tp t="s">
        <v>#N/A N/A</v>
        <stp/>
        <stp>BDS|13376431022173368707</stp>
        <tr r="AS5" s="19"/>
      </tp>
      <tp t="s">
        <v>#N/A N/A</v>
        <stp/>
        <stp>BDS|11967051568423675542</stp>
        <tr r="IU5" s="38"/>
      </tp>
      <tp t="s">
        <v>#N/A N/A</v>
        <stp/>
        <stp>BDS|10478083109695373400</stp>
        <tr r="PS5" s="29"/>
      </tp>
      <tp t="s">
        <v>#N/A N/A</v>
        <stp/>
        <stp>BDS|11654312266213429633</stp>
        <tr r="OO5" s="16"/>
      </tp>
      <tp t="s">
        <v>#N/A N/A</v>
        <stp/>
        <stp>BDS|17691132966238151948</stp>
        <tr r="AE5" s="38"/>
      </tp>
      <tp t="s">
        <v>#N/A N/A</v>
        <stp/>
        <stp>BDS|17428669773907703016</stp>
        <tr r="OO5" s="8"/>
      </tp>
      <tp t="s">
        <v>#N/A N/A</v>
        <stp/>
        <stp>BDS|14284522219051812052</stp>
        <tr r="PE5" s="45"/>
      </tp>
      <tp t="s">
        <v>#N/A N/A</v>
        <stp/>
        <stp>BDS|10595728621241652548</stp>
        <tr r="BW5" s="10"/>
      </tp>
      <tp t="s">
        <v>#N/A N/A</v>
        <stp/>
        <stp>BDS|15761702409677801421</stp>
        <tr r="GM5" s="7"/>
        <tr r="TE5" s="31"/>
      </tp>
      <tp t="s">
        <v>#N/A N/A</v>
        <stp/>
        <stp>BDS|15003477102864398424</stp>
        <tr r="GM5" s="18"/>
        <tr r="BW5" s="21"/>
        <tr r="JY5" s="26"/>
      </tp>
      <tp t="s">
        <v>#N/A N/A</v>
        <stp/>
        <stp>BDS|13938802587151338392</stp>
        <tr r="GM5" s="1"/>
      </tp>
      <tp t="s">
        <v>#N/A N/A</v>
        <stp/>
        <stp>BDS|16777322703046006220</stp>
        <tr r="PS5" s="4"/>
        <tr r="MG5" s="46"/>
      </tp>
      <tp t="s">
        <v>#N/A N/A</v>
        <stp/>
        <stp>BDS|15061441561282490458</stp>
        <tr r="SQ5" s="34"/>
        <tr r="QI5" s="40"/>
        <tr r="HC5" s="49"/>
      </tp>
      <tp t="s">
        <v>#N/A N/A</v>
        <stp/>
        <stp>BDS|16289232348786959757</stp>
        <tr r="DA5" s="8"/>
        <tr r="IU5" s="16"/>
        <tr r="LC5" s="34"/>
        <tr r="JY5" s="35"/>
      </tp>
      <tp t="s">
        <v>#N/A N/A</v>
        <stp/>
        <stp>BDS|15321119176426200430</stp>
        <tr r="DA5" s="21"/>
      </tp>
      <tp t="s">
        <v>#N/A N/A</v>
        <stp/>
        <stp>BDS|15089557667294071377</stp>
        <tr r="SQ5" s="28"/>
      </tp>
      <tp t="s">
        <v>#N/A N/A</v>
        <stp/>
        <stp>BDS|13641731555154054450</stp>
        <tr r="EU5" s="15"/>
      </tp>
      <tp t="s">
        <v>#N/A N/A</v>
        <stp/>
        <stp>BDS|10222858744788070285</stp>
        <tr r="HC5" s="40"/>
      </tp>
      <tp t="s">
        <v>#N/A N/A</v>
        <stp/>
        <stp>BDS|14950611929377363192</stp>
        <tr r="PE5" s="10"/>
      </tp>
      <tp t="s">
        <v>#N/A N/A</v>
        <stp/>
        <stp>BDS|15393134299722109905</stp>
        <tr r="SA5" s="20"/>
      </tp>
      <tp t="s">
        <v>#N/A N/A</v>
        <stp/>
        <stp>BDS|15475568189659575776</stp>
        <tr r="JK5" s="22"/>
      </tp>
      <tp t="s">
        <v>#N/A N/A</v>
        <stp/>
        <stp>BDS|13661799400003706111</stp>
        <tr r="DA5" s="35"/>
        <tr r="SA5" s="6"/>
      </tp>
      <tp t="s">
        <v>#N/A N/A</v>
        <stp/>
        <stp>BDS|13898761337407592651</stp>
        <tr r="NK5" s="3"/>
      </tp>
      <tp t="s">
        <v>#N/A N/A</v>
        <stp/>
        <stp>BDS|17944307633829545810</stp>
        <tr r="MW5" s="40"/>
      </tp>
      <tp t="s">
        <v>#N/A N/A</v>
        <stp/>
        <stp>BDS|17693427939947366103</stp>
        <tr r="VM5" s="22"/>
      </tp>
      <tp t="s">
        <v>#N/A N/A</v>
        <stp/>
        <stp>BDS|12467625359230950786</stp>
        <tr r="AE5" s="22"/>
      </tp>
      <tp t="s">
        <v>#N/A N/A</v>
        <stp/>
        <stp>BDS|10379806017416924933</stp>
        <tr r="QI5" s="42"/>
      </tp>
      <tp t="s">
        <v>#N/A N/A</v>
        <stp/>
        <stp>BDS|11799307897385718898</stp>
        <tr r="SA5" s="15"/>
      </tp>
      <tp t="s">
        <v>#N/A N/A</v>
        <stp/>
        <stp>BDS|17521020785949998041</stp>
        <tr r="TU5" s="31"/>
      </tp>
      <tp t="s">
        <v>#N/A N/A</v>
        <stp/>
        <stp>BDS|14917208940656258270</stp>
        <tr r="LS5" s="27"/>
      </tp>
      <tp t="s">
        <v>#N/A N/A</v>
        <stp/>
        <stp>BDS|17693487364457102479</stp>
        <tr r="OA5" s="23"/>
      </tp>
      <tp t="s">
        <v>#N/A N/A</v>
        <stp/>
        <stp>BDS|11386957018366090937</stp>
        <tr r="HQ5" s="40"/>
      </tp>
      <tp t="s">
        <v>#N/A N/A</v>
        <stp/>
        <stp>BDS|16904841695437995631</stp>
        <tr r="TE5" s="38"/>
      </tp>
      <tp t="s">
        <v>#N/A N/A</v>
        <stp/>
        <stp>BDS|17877743505363389595</stp>
        <tr r="BI5" s="10"/>
      </tp>
      <tp t="s">
        <v>#N/A N/A</v>
        <stp/>
        <stp>BDS|15739451117761641707</stp>
        <tr r="JK5" s="25"/>
      </tp>
      <tp t="s">
        <v>#N/A N/A</v>
        <stp/>
        <stp>BDS|16573532031441726736</stp>
        <tr r="HC5" s="1"/>
        <tr r="QI5" s="2"/>
      </tp>
      <tp t="s">
        <v>#N/A N/A</v>
        <stp/>
        <stp>BDS|14799454153275931694</stp>
        <tr r="SQ5" s="49"/>
      </tp>
      <tp t="s">
        <v>#N/A N/A</v>
        <stp/>
        <stp>BDS|15945154004960925203</stp>
        <tr r="NK5" s="48"/>
      </tp>
      <tp t="s">
        <v>#N/A N/A</v>
        <stp/>
        <stp>BDS|16090677950344444728</stp>
        <tr r="PS5" s="28"/>
      </tp>
      <tp t="s">
        <v>#N/A N/A</v>
        <stp/>
        <stp>BDS|13713730342521156764</stp>
        <tr r="MG5" s="10"/>
      </tp>
      <tp t="s">
        <v>#N/A N/A</v>
        <stp/>
        <stp>BDS|13350519755314143100</stp>
        <tr r="SA5" s="4"/>
        <tr r="MG5" s="11"/>
        <tr r="BW5" s="29"/>
      </tp>
      <tp t="s">
        <v>#N/A N/A</v>
        <stp/>
        <stp>BDS|10386521875336273204</stp>
        <tr r="BI5" s="7"/>
      </tp>
      <tp t="s">
        <v>#N/A N/A</v>
        <stp/>
        <stp>BDS|17839454641445806423</stp>
        <tr r="OO5" s="32"/>
        <tr r="O5" s="7"/>
        <tr r="NK5" s="20"/>
        <tr r="BW5" s="36"/>
        <tr r="GM5" s="27"/>
        <tr r="NK5" s="50"/>
      </tp>
      <tp t="s">
        <v>#N/A N/A</v>
        <stp/>
        <stp>BDS|10626165173428562805</stp>
        <tr r="LS5" s="35"/>
      </tp>
      <tp t="s">
        <v>#N/A N/A</v>
        <stp/>
        <stp>BDS|16481789561647202697</stp>
        <tr r="DA5" s="27"/>
      </tp>
      <tp t="s">
        <v>#N/A N/A</v>
        <stp/>
        <stp>BDS|16353462968966235499</stp>
        <tr r="SQ5" s="48"/>
      </tp>
      <tp t="s">
        <v>#N/A N/A</v>
        <stp/>
        <stp>BDS|12424991208718237509</stp>
        <tr r="IU5" s="30"/>
      </tp>
      <tp t="s">
        <v>#N/A N/A</v>
        <stp/>
        <stp>BDS|17444513340911047115</stp>
        <tr r="HQ5" s="1"/>
        <tr r="QW5" s="2"/>
      </tp>
      <tp t="s">
        <v>#N/A N/A</v>
        <stp/>
        <stp>BDS|16714260588543536989</stp>
        <tr r="HQ5" s="27"/>
        <tr r="FI5" s="45"/>
        <tr r="EE5" s="2"/>
      </tp>
      <tp t="s">
        <v>#N/A N/A</v>
        <stp/>
        <stp>BDS|11839544523226201699</stp>
        <tr r="JK5" s="49"/>
      </tp>
      <tp t="s">
        <v>#N/A N/A</v>
        <stp/>
        <stp>BDS|11796963085017362130</stp>
        <tr r="IG5" s="2"/>
      </tp>
      <tp t="s">
        <v>#N/A N/A</v>
        <stp/>
        <stp>BDS|11283080502160579799</stp>
        <tr r="KO5" s="49"/>
      </tp>
      <tp t="s">
        <v>#N/A N/A</v>
        <stp/>
        <stp>BDS|10605960707327381810</stp>
        <tr r="RM5" s="23"/>
      </tp>
      <tp t="s">
        <v>#N/A N/A</v>
        <stp/>
        <stp>BDS|10970698430124408716</stp>
        <tr r="LS5" s="11"/>
        <tr r="BI5" s="29"/>
        <tr r="RM5" s="4"/>
      </tp>
      <tp t="s">
        <v>#N/A N/A</v>
        <stp/>
        <stp>BDS|18214357855009065170</stp>
        <tr r="FI5" s="6"/>
        <tr r="JY5" s="47"/>
      </tp>
      <tp t="s">
        <v>#N/A N/A</v>
        <stp/>
        <stp>BDS|13884438804975543507</stp>
        <tr r="HC5" s="25"/>
        <tr r="FY5" s="20"/>
      </tp>
      <tp t="s">
        <v>#N/A N/A</v>
        <stp/>
        <stp>BDS|16748098420272083145</stp>
        <tr r="LC5" s="13"/>
      </tp>
      <tp t="s">
        <v>#N/A N/A</v>
        <stp/>
        <stp>BDS|14056268710786487683</stp>
        <tr r="MG5" s="25"/>
      </tp>
      <tp t="s">
        <v>#N/A N/A</v>
        <stp/>
        <stp>BDS|11589625316165385482</stp>
        <tr r="SA5" s="48"/>
      </tp>
      <tp t="s">
        <v>#N/A N/A</v>
        <stp/>
        <stp>BDS|15876959164798335513</stp>
        <tr r="FI5" s="41"/>
      </tp>
      <tp t="s">
        <v>#N/A N/A</v>
        <stp/>
        <stp>BDS|15449597217645532346</stp>
        <tr r="O5" s="8"/>
      </tp>
      <tp t="s">
        <v>#N/A N/A</v>
        <stp/>
        <stp>BDS|17933096022444825616</stp>
        <tr r="GM5" s="2"/>
      </tp>
      <tp t="s">
        <v>#N/A N/A</v>
        <stp/>
        <stp>BDS|15099681245356053653</stp>
        <tr r="OA5" s="33"/>
      </tp>
      <tp t="s">
        <v>#N/A N/A</v>
        <stp/>
        <stp>BDS|15166837338051030821</stp>
        <tr r="TU5" s="15"/>
      </tp>
      <tp t="s">
        <v>#N/A N/A</v>
        <stp/>
        <stp>BDS|11050710078354368239</stp>
        <tr r="A5" s="31"/>
      </tp>
      <tp t="s">
        <v>#N/A N/A</v>
        <stp/>
        <stp>BDS|16850811856629318554</stp>
        <tr r="JK5" s="12"/>
      </tp>
      <tp t="s">
        <v>#N/A N/A</v>
        <stp/>
        <stp>BDS|11978467877650015512</stp>
        <tr r="NK5" s="40"/>
      </tp>
      <tp t="s">
        <v>#N/A N/A</v>
        <stp/>
        <stp>BDS|10159178929003248730</stp>
        <tr r="JY5" s="50"/>
      </tp>
      <tp t="s">
        <v>#N/A N/A</v>
        <stp/>
        <stp>BDS|15671979854996897833</stp>
        <tr r="MG5" s="20"/>
      </tp>
      <tp t="s">
        <v>#N/A N/A</v>
        <stp/>
        <stp>BDS|17224981415531891992</stp>
        <tr r="VM5" s="4"/>
      </tp>
      <tp t="s">
        <v>#N/A N/A</v>
        <stp/>
        <stp>BDS|12990411150165176178</stp>
        <tr r="LC5" s="5"/>
      </tp>
      <tp t="s">
        <v>#N/A N/A</v>
        <stp/>
        <stp>BDS|13092747704216967550</stp>
        <tr r="LC5" s="15"/>
      </tp>
      <tp t="s">
        <v>#N/A N/A</v>
        <stp/>
        <stp>BDS|17522130788160569976</stp>
        <tr r="IU5" s="8"/>
      </tp>
      <tp t="s">
        <v>#N/A N/A</v>
        <stp/>
        <stp>BDS|11075775365924932379</stp>
        <tr r="A5" s="17"/>
      </tp>
      <tp t="s">
        <v>#N/A N/A</v>
        <stp/>
        <stp>BDS|17761780054966214458</stp>
        <tr r="DQ5" s="17"/>
        <tr r="EU5" s="39"/>
      </tp>
      <tp t="s">
        <v>#N/A N/A</v>
        <stp/>
        <stp>BDS|12997868545748399144</stp>
        <tr r="MW5" s="18"/>
      </tp>
      <tp t="s">
        <v>#N/A N/A</v>
        <stp/>
        <stp>BDS|13817145245072186356</stp>
        <tr r="QW5" s="29"/>
      </tp>
      <tp t="s">
        <v>#N/A N/A</v>
        <stp/>
        <stp>BDS|10219489357051861787</stp>
        <tr r="SA5" s="12"/>
        <tr r="EE5" s="40"/>
      </tp>
      <tp t="s">
        <v>#N/A N/A</v>
        <stp/>
        <stp>BDS|16501428486754511998</stp>
        <tr r="AS5" s="42"/>
      </tp>
      <tp t="s">
        <v>#N/A N/A</v>
        <stp/>
        <stp>BDS|10826437933990594003</stp>
        <tr r="DA5" s="37"/>
      </tp>
      <tp t="s">
        <v>#N/A N/A</v>
        <stp/>
        <stp>BDS|16381776477741463057</stp>
        <tr r="LC5" s="12"/>
      </tp>
      <tp t="s">
        <v>#N/A N/A</v>
        <stp/>
        <stp>BDS|14018007339756239690</stp>
        <tr r="A5" s="6"/>
      </tp>
      <tp t="s">
        <v>#N/A N/A</v>
        <stp/>
        <stp>BDS|13477670641071977791</stp>
        <tr r="A5" s="49"/>
      </tp>
      <tp t="s">
        <v>#N/A N/A</v>
        <stp/>
        <stp>BDS|14955107731670860122</stp>
        <tr r="QI5" s="50"/>
      </tp>
      <tp t="s">
        <v>#N/A N/A</v>
        <stp/>
        <stp>BDS|16684555494348404503</stp>
        <tr r="MW5" s="50"/>
        <tr r="A5" s="7"/>
        <tr r="MW5" s="20"/>
        <tr r="FY5" s="27"/>
        <tr r="OA5" s="32"/>
        <tr r="BI5" s="36"/>
      </tp>
      <tp t="s">
        <v>#N/A N/A</v>
        <stp/>
        <stp>BDS|10578616244042045704</stp>
        <tr r="AE5" s="15"/>
      </tp>
      <tp t="s">
        <v>#N/A N/A</v>
        <stp/>
        <stp>BDS|11356264642391629110</stp>
        <tr r="SQ5" s="7"/>
      </tp>
      <tp t="s">
        <v>#N/A N/A</v>
        <stp/>
        <stp>BDS|15465408432634454129</stp>
        <tr r="LC5" s="29"/>
      </tp>
      <tp t="s">
        <v>#N/A N/A</v>
        <stp/>
        <stp>BDS|16462931686100396031</stp>
        <tr r="LS5" s="39"/>
      </tp>
      <tp t="s">
        <v>#N/A N/A</v>
        <stp/>
        <stp>BDS|10179058208847953045</stp>
        <tr r="SA5" s="50"/>
      </tp>
      <tp t="s">
        <v>#N/A N/A</v>
        <stp/>
        <stp>BDS|14538443023937149229</stp>
        <tr r="RM5" s="39"/>
      </tp>
      <tp t="s">
        <v>#N/A N/A</v>
        <stp/>
        <stp>BDS|16187021913645419523</stp>
        <tr r="UI5" s="2"/>
        <tr r="MG5" s="3"/>
      </tp>
      <tp t="s">
        <v>#N/A N/A</v>
        <stp/>
        <stp>BDS|13387798409701700224</stp>
        <tr r="IG5" s="45"/>
      </tp>
      <tp t="s">
        <v>#N/A N/A</v>
        <stp/>
        <stp>BDS|13069857260122455877</stp>
        <tr r="AE5" s="49"/>
      </tp>
      <tp t="s">
        <v>#N/A N/A</v>
        <stp/>
        <stp>BDS|11630002361489021910</stp>
        <tr r="DQ5" s="40"/>
        <tr r="RM5" s="12"/>
      </tp>
      <tp t="s">
        <v>#N/A N/A</v>
        <stp/>
        <stp>BDS|12667319784209695730</stp>
        <tr r="CM5" s="22"/>
      </tp>
      <tp t="s">
        <v>#N/A N/A</v>
        <stp/>
        <stp>BDS|10305340830827327031</stp>
        <tr r="UY5" s="27"/>
      </tp>
      <tp t="s">
        <v>#N/A N/A</v>
        <stp/>
        <stp>BDS|11026374969456025598</stp>
        <tr r="TU5" s="49"/>
      </tp>
      <tp t="s">
        <v>#N/A N/A</v>
        <stp/>
        <stp>BDS|12794190276714992768</stp>
        <tr r="DA5" s="7"/>
        <tr r="EE5" s="25"/>
      </tp>
      <tp t="s">
        <v>#N/A N/A</v>
        <stp/>
        <stp>BDS|15125732707884386112</stp>
        <tr r="HQ5" s="35"/>
      </tp>
      <tp t="s">
        <v>#N/A N/A</v>
        <stp/>
        <stp>BDS|12285623152896237071</stp>
        <tr r="BW5" s="7"/>
      </tp>
      <tp t="s">
        <v>#N/A N/A</v>
        <stp/>
        <stp>BDS|16041346833129934896</stp>
        <tr r="JY5" s="29"/>
      </tp>
      <tp t="s">
        <v>#N/A N/A</v>
        <stp/>
        <stp>BDS|13626410446424301069</stp>
        <tr r="BW5" s="50"/>
      </tp>
      <tp t="s">
        <v>#N/A N/A</v>
        <stp/>
        <stp>BDS|14447052870495425112</stp>
        <tr r="UI5" s="26"/>
      </tp>
      <tp t="s">
        <v>#N/A N/A</v>
        <stp/>
        <stp>BDS|15710712523987329033</stp>
        <tr r="VM5" s="49"/>
      </tp>
      <tp t="s">
        <v>#N/A N/A</v>
        <stp/>
        <stp>BDS|10113621815795130521</stp>
        <tr r="SQ5" s="2"/>
        <tr r="PE5" s="7"/>
        <tr r="CM5" s="28"/>
        <tr r="LS5" s="30"/>
        <tr r="BI5" s="40"/>
      </tp>
      <tp t="s">
        <v>#N/A N/A</v>
        <stp/>
        <stp>BDS|17571159529166156621</stp>
        <tr r="FY5" s="33"/>
      </tp>
      <tp t="s">
        <v>#N/A N/A</v>
        <stp/>
        <stp>BDS|12680447036134968577</stp>
        <tr r="UY5" s="49"/>
      </tp>
      <tp t="s">
        <v>#N/A N/A</v>
        <stp/>
        <stp>BDS|15560651962040917118</stp>
        <tr r="FY5" s="10"/>
      </tp>
      <tp t="s">
        <v>#N/A N/A</v>
        <stp/>
        <stp>BDS|15711995665518763669</stp>
        <tr r="SQ5" s="39"/>
      </tp>
      <tp t="s">
        <v>#N/A N/A</v>
        <stp/>
        <stp>BDS|16827500276344058447</stp>
        <tr r="RM5" s="50"/>
      </tp>
      <tp t="s">
        <v>#N/A N/A</v>
        <stp/>
        <stp>BDS|12942243805856160239</stp>
        <tr r="SQ5" s="24"/>
      </tp>
      <tp t="s">
        <v>#N/A N/A</v>
        <stp/>
        <stp>BDS|15211582318837944219</stp>
        <tr r="PE5" s="46"/>
      </tp>
      <tp t="s">
        <v>#N/A N/A</v>
        <stp/>
        <stp>BDS|15861540084019384503</stp>
        <tr r="HC5" s="17"/>
      </tp>
      <tp t="s">
        <v>#N/A N/A</v>
        <stp/>
        <stp>BDS|16178086968247937332</stp>
        <tr r="TE5" s="11"/>
      </tp>
      <tp t="s">
        <v>#N/A N/A</v>
        <stp/>
        <stp>BDS|12562068656715514681</stp>
        <tr r="BI5" s="26"/>
      </tp>
      <tp t="s">
        <v>#N/A N/A</v>
        <stp/>
        <stp>BDS|16591532032522961644</stp>
        <tr r="SQ5" s="33"/>
      </tp>
      <tp t="s">
        <v>#N/A N/A</v>
        <stp/>
        <stp>BDS|16672515654782424095</stp>
        <tr r="TU5" s="45"/>
      </tp>
      <tp t="s">
        <v>#N/A N/A</v>
        <stp/>
        <stp>BDS|13592539348603429553</stp>
        <tr r="RM5" s="31"/>
      </tp>
      <tp t="s">
        <v>#N/A N/A</v>
        <stp/>
        <stp>BDS|17170945875149889440</stp>
        <tr r="IU5" s="41"/>
      </tp>
      <tp t="s">
        <v>#N/A N/A</v>
        <stp/>
        <stp>BDS|11112884935259948799</stp>
        <tr r="BI5" s="20"/>
      </tp>
      <tp t="s">
        <v>#N/A N/A</v>
        <stp/>
        <stp>BDS|18342151784873640686</stp>
        <tr r="HQ5" s="50"/>
      </tp>
      <tp t="s">
        <v>#N/A N/A</v>
        <stp/>
        <stp>BDS|11391973825889558789</stp>
        <tr r="FY5" s="1"/>
      </tp>
      <tp t="s">
        <v>#N/A N/A</v>
        <stp/>
        <stp>BDS|10874493539874089749</stp>
        <tr r="BW5" s="8"/>
        <tr r="BW5" s="16"/>
        <tr r="BW5" s="32"/>
        <tr r="BW5" s="48"/>
      </tp>
      <tp t="s">
        <v>#N/A N/A</v>
        <stp/>
        <stp>BDS|12613342719635222151</stp>
        <tr r="JY5" s="9"/>
      </tp>
      <tp t="s">
        <v>#N/A N/A</v>
        <stp/>
        <stp>BDS|10424213692778382795</stp>
        <tr r="FY5" s="11"/>
      </tp>
      <tp t="s">
        <v>#N/A N/A</v>
        <stp/>
        <stp>BDS|16859845139801879805</stp>
        <tr r="LC5" s="42"/>
      </tp>
      <tp t="s">
        <v>#N/A N/A</v>
        <stp/>
        <stp>BDS|16311455875939808863</stp>
        <tr r="OA5" s="8"/>
      </tp>
      <tp t="s">
        <v>#N/A N/A</v>
        <stp/>
        <stp>BDS|11180030184069573413</stp>
        <tr r="TU5" s="8"/>
      </tp>
      <tp t="s">
        <v>#N/A N/A</v>
        <stp/>
        <stp>BDS|13344413425150077149</stp>
        <tr r="OA5" s="40"/>
      </tp>
      <tp t="s">
        <v>#N/A N/A</v>
        <stp/>
        <stp>BDS|10265827150239150029</stp>
        <tr r="PS5" s="47"/>
      </tp>
      <tp t="s">
        <v>#N/A N/A</v>
        <stp/>
        <stp>BDS|16189271320942550008</stp>
        <tr r="HC5" s="21"/>
      </tp>
      <tp t="s">
        <v>#N/A N/A</v>
        <stp/>
        <stp>BDS|15350310530340421156</stp>
        <tr r="KO5" s="22"/>
      </tp>
      <tp t="s">
        <v>#N/A N/A</v>
        <stp/>
        <stp>BDS|16226348059034609092</stp>
        <tr r="JY5" s="5"/>
      </tp>
      <tp t="s">
        <v>#N/A N/A</v>
        <stp/>
        <stp>BDS|10418649440342972494</stp>
        <tr r="JK5" s="30"/>
      </tp>
      <tp t="s">
        <v>#N/A N/A</v>
        <stp/>
        <stp>BDS|17492043320476958799</stp>
        <tr r="FI5" s="7"/>
        <tr r="JY5" s="8"/>
        <tr r="JY5" s="10"/>
      </tp>
      <tp t="s">
        <v>#N/A N/A</v>
        <stp/>
        <stp>BDS|17674926897390311307</stp>
        <tr r="MW5" s="48"/>
      </tp>
      <tp t="s">
        <v>#N/A N/A</v>
        <stp/>
        <stp>BDS|11763178924717511107</stp>
        <tr r="RM5" s="15"/>
      </tp>
      <tp t="s">
        <v>#N/A N/A</v>
        <stp/>
        <stp>BDS|11162013200147734266</stp>
        <tr r="SA5" s="39"/>
      </tp>
      <tp t="s">
        <v>#N/A N/A</v>
        <stp/>
        <stp>BDS|12786779926312252153</stp>
        <tr r="AS5" s="36"/>
      </tp>
      <tp t="s">
        <v>#N/A N/A</v>
        <stp/>
        <stp>BDS|12100332863341708208</stp>
        <tr r="RM5" s="28"/>
      </tp>
      <tp t="s">
        <v>#N/A N/A</v>
        <stp/>
        <stp>BDS|12341306844908837995</stp>
        <tr r="AE5" s="31"/>
      </tp>
      <tp t="s">
        <v>#N/A N/A</v>
        <stp/>
        <stp>BDS|17169308675092664544</stp>
        <tr r="DA5" s="15"/>
      </tp>
      <tp t="s">
        <v>#N/A N/A</v>
        <stp/>
        <stp>BDS|15884440848563380213</stp>
        <tr r="JY5" s="22"/>
      </tp>
      <tp t="s">
        <v>#N/A N/A</v>
        <stp/>
        <stp>BDS|18071686589967283556</stp>
        <tr r="UY5" s="3"/>
      </tp>
      <tp t="s">
        <v>#N/A N/A</v>
        <stp/>
        <stp>BDS|11394070546139283865</stp>
        <tr r="AE5" s="12"/>
      </tp>
      <tp t="s">
        <v>#N/A N/A</v>
        <stp/>
        <stp>BDS|15381874788041852032</stp>
        <tr r="MW5" s="37"/>
      </tp>
      <tp t="s">
        <v>#N/A N/A</v>
        <stp/>
        <stp>BDS|11164820421259591602</stp>
        <tr r="HC5" s="13"/>
      </tp>
      <tp t="s">
        <v>#N/A N/A</v>
        <stp/>
        <stp>BDS|12622452461690194448</stp>
        <tr r="O5" s="16"/>
      </tp>
      <tp t="s">
        <v>#N/A N/A</v>
        <stp/>
        <stp>BDS|10632571307892387318</stp>
        <tr r="AE5" s="48"/>
      </tp>
      <tp t="s">
        <v>#N/A N/A</v>
        <stp/>
        <stp>BDS|12086461058382394595</stp>
        <tr r="EE5" s="35"/>
      </tp>
      <tp t="s">
        <v>#N/A N/A</v>
        <stp/>
        <stp>BDS|13487153822784156079</stp>
        <tr r="QW5" s="5"/>
      </tp>
      <tp t="s">
        <v>#N/A N/A</v>
        <stp/>
        <stp>BDS|11802600480008373219</stp>
        <tr r="DA5" s="41"/>
      </tp>
      <tp t="s">
        <v>#N/A N/A</v>
        <stp/>
        <stp>BDS|16666237769805279243</stp>
        <tr r="MW5" s="1"/>
      </tp>
      <tp t="s">
        <v>#N/A N/A</v>
        <stp/>
        <stp>BDS|11810621879510836515</stp>
        <tr r="GM5" s="32"/>
      </tp>
      <tp t="s">
        <v>#N/A N/A</v>
        <stp/>
        <stp>BDS|13651162825410744598</stp>
        <tr r="VM5" s="10"/>
      </tp>
      <tp t="s">
        <v>#N/A N/A</v>
        <stp/>
        <stp>BDS|10361369993308821751</stp>
        <tr r="DA5" s="10"/>
      </tp>
      <tp t="s">
        <v>#N/A N/A</v>
        <stp/>
        <stp>BDS|14937413273635887783</stp>
        <tr r="JY5" s="36"/>
      </tp>
      <tp t="s">
        <v>#N/A N/A</v>
        <stp/>
        <stp>BDS|15730194515155382533</stp>
        <tr r="BI5" s="22"/>
      </tp>
      <tp t="s">
        <v>#N/A N/A</v>
        <stp/>
        <stp>BDS|10173281666008743919</stp>
        <tr r="BI5" s="2"/>
      </tp>
      <tp t="s">
        <v>#N/A N/A</v>
        <stp/>
        <stp>BDS|10260452532452279099</stp>
        <tr r="DA5" s="22"/>
      </tp>
      <tp t="s">
        <v>#N/A N/A</v>
        <stp/>
        <stp>BDS|11219336876432127280</stp>
        <tr r="PE5" s="47"/>
      </tp>
      <tp t="s">
        <v>#N/A N/A</v>
        <stp/>
        <stp>BDS|15125542356942584287</stp>
        <tr r="SQ5" s="21"/>
      </tp>
      <tp t="s">
        <v>#N/A N/A</v>
        <stp/>
        <stp>BDS|15496224398278378325</stp>
        <tr r="FY5" s="43"/>
      </tp>
      <tp t="s">
        <v>#N/A N/A</v>
        <stp/>
        <stp>BDS|10144560908116837681</stp>
        <tr r="HQ5" s="20"/>
      </tp>
      <tp t="s">
        <v>#N/A N/A</v>
        <stp/>
        <stp>BDS|10992386549991046377</stp>
        <tr r="JK5" s="4"/>
        <tr r="EU5" s="19"/>
        <tr r="A5" s="39"/>
      </tp>
      <tp t="s">
        <v>#N/A N/A</v>
        <stp/>
        <stp>BDS|15683131539575133714</stp>
        <tr r="PE5" s="3"/>
        <tr r="RM5" s="14"/>
      </tp>
      <tp t="s">
        <v>#N/A N/A</v>
        <stp/>
        <stp>BDS|10241499056415514153</stp>
        <tr r="NK5" s="41"/>
      </tp>
      <tp t="s">
        <v>#N/A N/A</v>
        <stp/>
        <stp>BDS|17773782725832446538</stp>
        <tr r="UI5" s="12"/>
        <tr r="GM5" s="29"/>
        <tr r="GM5" s="49"/>
      </tp>
      <tp t="s">
        <v>#N/A N/A</v>
        <stp/>
        <stp>BDS|17411922999770012225</stp>
        <tr r="LC5" s="30"/>
      </tp>
      <tp t="s">
        <v>#N/A N/A</v>
        <stp/>
        <stp>BDS|10896529111127727616</stp>
        <tr r="EU5" s="26"/>
      </tp>
      <tp t="s">
        <v>#N/A N/A</v>
        <stp/>
        <stp>BDS|13394230418853286687</stp>
        <tr r="EU5" s="9"/>
      </tp>
      <tp t="s">
        <v>#N/A N/A</v>
        <stp/>
        <stp>BDS|10956783151797042029</stp>
        <tr r="TE5" s="26"/>
      </tp>
      <tp t="s">
        <v>#N/A N/A</v>
        <stp/>
        <stp>BDS|17881484289227338994</stp>
        <tr r="TE5" s="45"/>
      </tp>
      <tp t="s">
        <v>#N/A N/A</v>
        <stp/>
        <stp>BDS|14767777150097298417</stp>
        <tr r="KO5" s="26"/>
      </tp>
      <tp t="s">
        <v>#N/A N/A</v>
        <stp/>
        <stp>BDS|14104285064977960277</stp>
        <tr r="AS5" s="49"/>
      </tp>
      <tp t="s">
        <v>#N/A N/A</v>
        <stp/>
        <stp>BDS|14545922013269378041</stp>
        <tr r="OA5" s="16"/>
      </tp>
      <tp t="s">
        <v>#N/A N/A</v>
        <stp/>
        <stp>BDS|11426603440486702005</stp>
        <tr r="JY5" s="25"/>
      </tp>
      <tp t="s">
        <v>#N/A N/A</v>
        <stp/>
        <stp>BDS|11406235049283782191</stp>
        <tr r="RM5" s="5"/>
      </tp>
      <tp t="s">
        <v>#N/A N/A</v>
        <stp/>
        <stp>BDS|12098254297929208503</stp>
        <tr r="AS5" s="30"/>
      </tp>
      <tp t="s">
        <v>#N/A N/A</v>
        <stp/>
        <stp>BDS|15078517736597575131</stp>
        <tr r="GM5" s="39"/>
      </tp>
      <tp t="s">
        <v>#N/A N/A</v>
        <stp/>
        <stp>BDS|15806083856107305240</stp>
        <tr r="MW5" s="44"/>
      </tp>
      <tp t="s">
        <v>#N/A N/A</v>
        <stp/>
        <stp>BDS|14644104514033438272</stp>
        <tr r="PS5" s="14"/>
      </tp>
      <tp t="s">
        <v>#N/A N/A</v>
        <stp/>
        <stp>BDS|11486279857270732324</stp>
        <tr r="MW5" s="25"/>
        <tr r="OA5" s="48"/>
      </tp>
      <tp t="s">
        <v>#N/A N/A</v>
        <stp/>
        <stp>BDS|18299029389432896771</stp>
        <tr r="QI5" s="27"/>
      </tp>
      <tp t="s">
        <v>#N/A N/A</v>
        <stp/>
        <stp>BDS|10744195577725742681</stp>
        <tr r="PE5" s="36"/>
      </tp>
      <tp t="s">
        <v>#N/A N/A</v>
        <stp/>
        <stp>BDS|11578126653048326815</stp>
        <tr r="GM5" s="35"/>
      </tp>
      <tp t="s">
        <v>#N/A N/A</v>
        <stp/>
        <stp>BDS|14428277615273209121</stp>
        <tr r="VM5" s="44"/>
      </tp>
      <tp t="s">
        <v>#N/A N/A</v>
        <stp/>
        <stp>BDS|12574636040600243527</stp>
        <tr r="SQ5" s="1"/>
        <tr r="PE5" s="2"/>
        <tr r="HC5" s="3"/>
        <tr r="OA5" s="4"/>
        <tr r="A5" s="5"/>
        <tr r="PE5" s="5"/>
        <tr r="A5" s="12"/>
        <tr r="LS5" s="18"/>
        <tr r="IG5" s="19"/>
        <tr r="KO5" s="23"/>
        <tr r="OA5" s="28"/>
        <tr r="BI5" s="31"/>
        <tr r="PE5" s="32"/>
        <tr r="A5" s="34"/>
        <tr r="TU5" s="35"/>
        <tr r="IG5" s="36"/>
        <tr r="CM5" s="38"/>
        <tr r="IG5" s="39"/>
        <tr r="FY5" s="40"/>
        <tr r="A5" s="42"/>
        <tr r="IG5" s="42"/>
        <tr r="EU5" s="49"/>
      </tp>
      <tp t="s">
        <v>#N/A N/A</v>
        <stp/>
        <stp>BDS|13520999839269576577</stp>
        <tr r="KO5" s="3"/>
      </tp>
      <tp t="s">
        <v>#N/A N/A</v>
        <stp/>
        <stp>BDS|16017739914287409246</stp>
        <tr r="O5" s="27"/>
      </tp>
      <tp t="s">
        <v>#N/A N/A</v>
        <stp/>
        <stp>BDS|18170333514876725956</stp>
        <tr r="TE5" s="37"/>
      </tp>
      <tp t="s">
        <v>#N/A N/A</v>
        <stp/>
        <stp>BDS|16551290911921982109</stp>
        <tr r="CM5" s="33"/>
        <tr r="TU5" s="41"/>
      </tp>
      <tp t="s">
        <v>#N/A N/A</v>
        <stp/>
        <stp>BDS|13129667634925483631</stp>
        <tr r="OA5" s="34"/>
      </tp>
      <tp t="s">
        <v>#N/A N/A</v>
        <stp/>
        <stp>BDS|14915658723295353091</stp>
        <tr r="IU5" s="25"/>
      </tp>
      <tp t="s">
        <v>#N/A N/A</v>
        <stp/>
        <stp>BDS|12494400830738678876</stp>
        <tr r="VM5" s="17"/>
      </tp>
      <tp t="s">
        <v>#N/A N/A</v>
        <stp/>
        <stp>BDS|10526122150040208103</stp>
        <tr r="FY5" s="39"/>
      </tp>
      <tp t="s">
        <v>#N/A N/A</v>
        <stp/>
        <stp>BDS|17473832587951488314</stp>
        <tr r="AS5" s="7"/>
      </tp>
    </main>
    <main first="bofaddin.rtdserver">
      <tp t="s">
        <v>#N/A N/A</v>
        <stp/>
        <stp>BDS|4585938229149836</stp>
        <tr r="IG5" s="12"/>
      </tp>
      <tp t="s">
        <v>#N/A N/A</v>
        <stp/>
        <stp>BDS|6841810538778394982</stp>
        <tr r="SQ5" s="25"/>
      </tp>
      <tp t="s">
        <v>#N/A N/A</v>
        <stp/>
        <stp>BDS|8187795122965924498</stp>
        <tr r="KO5" s="35"/>
      </tp>
      <tp t="s">
        <v>#N/A N/A</v>
        <stp/>
        <stp>BDS|9425546764803840564</stp>
        <tr r="MG5" s="49"/>
      </tp>
      <tp t="s">
        <v>#N/A N/A</v>
        <stp/>
        <stp>BDS|5972177504619577153</stp>
        <tr r="FY5" s="37"/>
      </tp>
      <tp t="s">
        <v>#N/A N/A</v>
        <stp/>
        <stp>BDS|6167884721779762948</stp>
        <tr r="LC5" s="26"/>
      </tp>
      <tp t="s">
        <v>#N/A N/A</v>
        <stp/>
        <stp>BDS|1448952009635082133</stp>
        <tr r="PE5" s="23"/>
      </tp>
      <tp t="s">
        <v>#N/A N/A</v>
        <stp/>
        <stp>BDS|7909758944288497048</stp>
        <tr r="VM5" s="26"/>
        <tr r="EE5" s="30"/>
        <tr r="LC5" s="37"/>
      </tp>
      <tp t="s">
        <v>#N/A N/A</v>
        <stp/>
        <stp>BDS|1501781946259695740</stp>
        <tr r="A5" s="36"/>
      </tp>
      <tp t="s">
        <v>#N/A N/A</v>
        <stp/>
        <stp>BDS|9142471821952680188</stp>
        <tr r="FY5" s="12"/>
        <tr r="TU5" s="16"/>
      </tp>
      <tp t="s">
        <v>#N/A N/A</v>
        <stp/>
        <stp>BDS|1948682478444255827</stp>
        <tr r="LC5" s="14"/>
      </tp>
      <tp t="s">
        <v>#N/A N/A</v>
        <stp/>
        <stp>BDS|7162304559634729960</stp>
        <tr r="O5" s="44"/>
      </tp>
      <tp t="s">
        <v>#N/A N/A</v>
        <stp/>
        <stp>BDS|3619443294955028786</stp>
        <tr r="VM5" s="25"/>
      </tp>
      <tp t="s">
        <v>#N/A N/A</v>
        <stp/>
        <stp>BDS|2198541468815591874</stp>
        <tr r="DQ5" s="28"/>
        <tr r="AE5" s="28"/>
      </tp>
      <tp t="s">
        <v>#N/A N/A</v>
        <stp/>
        <stp>BDS|5844333764215924994</stp>
        <tr r="AE5" s="16"/>
      </tp>
      <tp t="s">
        <v>#N/A N/A</v>
        <stp/>
        <stp>BDS|4505581360869714258</stp>
        <tr r="VM5" s="14"/>
        <tr r="OO5" s="30"/>
      </tp>
      <tp t="s">
        <v>#N/A N/A</v>
        <stp/>
        <stp>BDS|8281282747012554043</stp>
        <tr r="QI5" s="10"/>
      </tp>
      <tp t="s">
        <v>#N/A N/A</v>
        <stp/>
        <stp>BDS|7695673565582943905</stp>
        <tr r="AS5" s="43"/>
      </tp>
      <tp t="s">
        <v>#N/A N/A</v>
        <stp/>
        <stp>BDS|9726903507898420494</stp>
        <tr r="DA5" s="40"/>
      </tp>
      <tp t="s">
        <v>#N/A N/A</v>
        <stp/>
        <stp>BDS|8458122513885136190</stp>
        <tr r="TE5" s="42"/>
      </tp>
      <tp t="s">
        <v>#N/A N/A</v>
        <stp/>
        <stp>BDS|4918869612645670465</stp>
        <tr r="AE5" s="25"/>
      </tp>
      <tp t="s">
        <v>#N/A N/A</v>
        <stp/>
        <stp>BDS|6876822475520799554</stp>
        <tr r="UY5" s="10"/>
      </tp>
      <tp t="s">
        <v>#N/A N/A</v>
        <stp/>
        <stp>BDS|4985433486855671173</stp>
        <tr r="SQ5" s="27"/>
      </tp>
      <tp t="s">
        <v>#N/A N/A</v>
        <stp/>
        <stp>BDS|8778262373339299822</stp>
        <tr r="QW5" s="13"/>
        <tr r="NK5" s="27"/>
      </tp>
      <tp t="s">
        <v>#N/A N/A</v>
        <stp/>
        <stp>BDS|8330473692529107058</stp>
        <tr r="UI5" s="20"/>
      </tp>
      <tp t="s">
        <v>#N/A N/A</v>
        <stp/>
        <stp>BDS|1382920642022193203</stp>
        <tr r="UY5" s="25"/>
      </tp>
      <tp t="s">
        <v>#N/A N/A</v>
        <stp/>
        <stp>BDS|8868761215466123481</stp>
        <tr r="NK5" s="39"/>
      </tp>
      <tp t="s">
        <v>#N/A N/A</v>
        <stp/>
        <stp>BDS|4591663811567302839</stp>
        <tr r="AS5" s="45"/>
        <tr r="OO5" s="6"/>
        <tr r="DA5" s="29"/>
      </tp>
      <tp t="s">
        <v>#N/A N/A</v>
        <stp/>
        <stp>BDS|8665799237221301185</stp>
        <tr r="HC5" s="41"/>
      </tp>
      <tp t="s">
        <v>#N/A N/A</v>
        <stp/>
        <stp>BDS|5581940900321609147</stp>
        <tr r="CM5" s="42"/>
        <tr r="UY5" s="19"/>
      </tp>
      <tp t="s">
        <v>#N/A N/A</v>
        <stp/>
        <stp>BDS|2102445799131948243</stp>
        <tr r="TU5" s="24"/>
      </tp>
      <tp t="s">
        <v>#N/A N/A</v>
        <stp/>
        <stp>BDS|8074415055207362218</stp>
        <tr r="IU5" s="1"/>
      </tp>
      <tp t="s">
        <v>#N/A N/A</v>
        <stp/>
        <stp>BDS|2474909373765063513</stp>
        <tr r="GM5" s="15"/>
      </tp>
      <tp t="s">
        <v>#N/A N/A</v>
        <stp/>
        <stp>BDS|5147901811118672903</stp>
        <tr r="GM5" s="36"/>
      </tp>
      <tp t="s">
        <v>#N/A N/A</v>
        <stp/>
        <stp>BDS|6626798414355992944</stp>
        <tr r="OA5" s="15"/>
      </tp>
      <tp t="s">
        <v>#N/A N/A</v>
        <stp/>
        <stp>BDS|8900625446703975539</stp>
        <tr r="NK5" s="12"/>
        <tr r="OO5" s="25"/>
      </tp>
      <tp t="s">
        <v>#N/A N/A</v>
        <stp/>
        <stp>BDS|7318290809380031944</stp>
        <tr r="AS5" s="32"/>
      </tp>
      <tp t="s">
        <v>#N/A N/A</v>
        <stp/>
        <stp>BDS|2392847168163924320</stp>
        <tr r="NK5" s="16"/>
      </tp>
      <tp t="s">
        <v>#N/A N/A</v>
        <stp/>
        <stp>BDS|9703198659096426767</stp>
        <tr r="OO5" s="12"/>
        <tr r="JY5" s="23"/>
        <tr r="NK5" s="34"/>
        <tr r="SA5" s="45"/>
      </tp>
      <tp t="s">
        <v>#N/A N/A</v>
        <stp/>
        <stp>BDS|8970586273802555428</stp>
        <tr r="PS5" s="38"/>
      </tp>
      <tp t="s">
        <v>#N/A N/A</v>
        <stp/>
        <stp>BDS|8027893733456639862</stp>
        <tr r="SQ5" s="38"/>
      </tp>
      <tp t="s">
        <v>#N/A N/A</v>
        <stp/>
        <stp>BDS|9127956929817086869</stp>
        <tr r="EE5" s="1"/>
        <tr r="VM5" s="1"/>
      </tp>
      <tp t="s">
        <v>#N/A N/A</v>
        <stp/>
        <stp>BDS|5190788472748828085</stp>
        <tr r="EU5" s="41"/>
      </tp>
      <tp t="s">
        <v>#N/A N/A</v>
        <stp/>
        <stp>BDS|6500381417209654055</stp>
        <tr r="SA5" s="21"/>
      </tp>
      <tp t="s">
        <v>#N/A N/A</v>
        <stp/>
        <stp>BDS|4334842209951132006</stp>
        <tr r="LS5" s="17"/>
        <tr r="OA5" s="50"/>
      </tp>
      <tp t="s">
        <v>#N/A N/A</v>
        <stp/>
        <stp>BDS|4834349860135101911</stp>
        <tr r="QI5" s="12"/>
      </tp>
      <tp t="s">
        <v>#N/A N/A</v>
        <stp/>
        <stp>BDS|2525919712564228382</stp>
        <tr r="IG5" s="33"/>
      </tp>
      <tp t="s">
        <v>#N/A N/A</v>
        <stp/>
        <stp>BDS|6783112597853985046</stp>
        <tr r="MG5" s="8"/>
        <tr r="UI5" s="17"/>
      </tp>
      <tp t="s">
        <v>#N/A N/A</v>
        <stp/>
        <stp>BDS|9214238559144380761</stp>
        <tr r="MG5" s="6"/>
      </tp>
      <tp t="s">
        <v>#N/A N/A</v>
        <stp/>
        <stp>BDS|3353896079715061418</stp>
        <tr r="IU5" s="21"/>
      </tp>
      <tp t="s">
        <v>#N/A N/A</v>
        <stp/>
        <stp>BDS|9447178847200226144</stp>
        <tr r="IG5" s="17"/>
        <tr r="MW5" s="28"/>
        <tr r="QI5" s="41"/>
      </tp>
      <tp t="s">
        <v>#N/A N/A</v>
        <stp/>
        <stp>BDS|3513226482402275657</stp>
        <tr r="DQ5" s="33"/>
      </tp>
      <tp t="s">
        <v>#N/A N/A</v>
        <stp/>
        <stp>BDS|8670532982120031857</stp>
        <tr r="LS5" s="45"/>
      </tp>
      <tp t="s">
        <v>#N/A N/A</v>
        <stp/>
        <stp>BDS|2543727098452928344</stp>
        <tr r="GM5" s="5"/>
      </tp>
      <tp t="s">
        <v>#N/A N/A</v>
        <stp/>
        <stp>BDS|8767843210704008800</stp>
        <tr r="BI5" s="34"/>
      </tp>
      <tp t="s">
        <v>#N/A N/A</v>
        <stp/>
        <stp>BDS|4661623878849889173</stp>
        <tr r="OA5" s="19"/>
      </tp>
      <tp t="s">
        <v>#N/A N/A</v>
        <stp/>
        <stp>BDS|2022743798504522590</stp>
        <tr r="AE5" s="35"/>
      </tp>
      <tp t="s">
        <v>#N/A N/A</v>
        <stp/>
        <stp>BDS|2609273399815944118</stp>
        <tr r="UY5" s="31"/>
      </tp>
      <tp t="s">
        <v>#N/A N/A</v>
        <stp/>
        <stp>BDS|3685865325992788638</stp>
        <tr r="QW5" s="35"/>
      </tp>
      <tp t="s">
        <v>#N/A N/A</v>
        <stp/>
        <stp>BDS|7689590490611898762</stp>
        <tr r="DQ5" s="13"/>
      </tp>
      <tp t="s">
        <v>#N/A N/A</v>
        <stp/>
        <stp>BDS|8829996476032678906</stp>
        <tr r="A5" s="11"/>
      </tp>
      <tp t="s">
        <v>#N/A N/A</v>
        <stp/>
        <stp>BDS|5860921903336784786</stp>
        <tr r="AS5" s="25"/>
      </tp>
      <tp t="s">
        <v>#N/A N/A</v>
        <stp/>
        <stp>BDS|6612874419773719199</stp>
        <tr r="O5" s="43"/>
      </tp>
      <tp t="s">
        <v>#N/A N/A</v>
        <stp/>
        <stp>BDS|5198890013963918241</stp>
        <tr r="QW5" s="24"/>
      </tp>
      <tp t="s">
        <v>#N/A N/A</v>
        <stp/>
        <stp>BDS|7343066786130363272</stp>
        <tr r="QW5" s="34"/>
      </tp>
      <tp t="s">
        <v>#N/A N/A</v>
        <stp/>
        <stp>BDS|2950170179538316135</stp>
        <tr r="TE5" s="17"/>
      </tp>
      <tp t="s">
        <v>#N/A N/A</v>
        <stp/>
        <stp>BDS|9829478178414036332</stp>
        <tr r="SQ5" s="12"/>
      </tp>
      <tp t="s">
        <v>#N/A N/A</v>
        <stp/>
        <stp>BDS|2201946032234620160</stp>
        <tr r="DQ5" s="44"/>
      </tp>
      <tp t="s">
        <v>#N/A N/A</v>
        <stp/>
        <stp>BDS|4867149569749661764</stp>
        <tr r="DA5" s="26"/>
      </tp>
      <tp t="s">
        <v>#N/A N/A</v>
        <stp/>
        <stp>BDS|7530747797952173623</stp>
        <tr r="TU5" s="47"/>
      </tp>
      <tp t="s">
        <v>#N/A N/A</v>
        <stp/>
        <stp>BDS|4430634781750403777</stp>
        <tr r="VM5" s="20"/>
      </tp>
      <tp t="s">
        <v>#N/A N/A</v>
        <stp/>
        <stp>BDS|4654888402874521638</stp>
        <tr r="FI5" s="8"/>
      </tp>
      <tp t="s">
        <v>#N/A N/A</v>
        <stp/>
        <stp>BDS|1683934573359528890</stp>
        <tr r="IG5" s="37"/>
      </tp>
      <tp t="s">
        <v>#N/A N/A</v>
        <stp/>
        <stp>BDS|3901667340256154946</stp>
        <tr r="UI5" s="49"/>
      </tp>
      <tp t="s">
        <v>#N/A N/A</v>
        <stp/>
        <stp>BDS|9710312853928670984</stp>
        <tr r="UI5" s="36"/>
      </tp>
      <tp t="s">
        <v>#N/A N/A</v>
        <stp/>
        <stp>BDS|2934927641859363829</stp>
        <tr r="UI5" s="27"/>
        <tr r="OO5" s="42"/>
      </tp>
      <tp t="s">
        <v>#N/A N/A</v>
        <stp/>
        <stp>BDS|4498912248492641534</stp>
        <tr r="SA5" s="38"/>
      </tp>
      <tp t="s">
        <v>#N/A N/A</v>
        <stp/>
        <stp>BDS|4313854042034559292</stp>
        <tr r="FI5" s="30"/>
        <tr r="JY5" s="44"/>
      </tp>
      <tp t="s">
        <v>#N/A N/A</v>
        <stp/>
        <stp>BDS|8481917294543991502</stp>
        <tr r="QI5" s="19"/>
      </tp>
      <tp t="s">
        <v>#N/A N/A</v>
        <stp/>
        <stp>BDS|9061513839494307536</stp>
        <tr r="QI5" s="45"/>
      </tp>
      <tp t="s">
        <v>#N/A N/A</v>
        <stp/>
        <stp>BDS|8850763026933609075</stp>
        <tr r="AS5" s="6"/>
      </tp>
      <tp t="s">
        <v>#N/A N/A</v>
        <stp/>
        <stp>BDS|8615346671562947033</stp>
        <tr r="LC5" s="45"/>
      </tp>
      <tp t="s">
        <v>#N/A N/A</v>
        <stp/>
        <stp>BDS|1278840407482690593</stp>
        <tr r="HQ5" s="39"/>
      </tp>
      <tp t="s">
        <v>#N/A N/A</v>
        <stp/>
        <stp>BDS|2550358307468916708</stp>
        <tr r="BI5" s="5"/>
        <tr r="AE5" s="24"/>
        <tr r="DQ5" s="29"/>
        <tr r="UY5" s="50"/>
      </tp>
      <tp t="s">
        <v>#N/A N/A</v>
        <stp/>
        <stp>BDS|1254400476008953414</stp>
        <tr r="EU5" s="27"/>
        <tr r="AE5" s="9"/>
      </tp>
      <tp t="s">
        <v>#N/A N/A</v>
        <stp/>
        <stp>BDS|1337801265653971236</stp>
        <tr r="UI5" s="5"/>
        <tr r="HQ5" s="19"/>
      </tp>
      <tp t="s">
        <v>#N/A N/A</v>
        <stp/>
        <stp>BDS|6073948478055030317</stp>
        <tr r="PE5" s="16"/>
        <tr r="LS5" s="24"/>
      </tp>
      <tp t="s">
        <v>#N/A N/A</v>
        <stp/>
        <stp>BDS|1681152575471057848</stp>
        <tr r="HQ5" s="2"/>
        <tr r="O5" s="9"/>
        <tr r="O5" s="22"/>
        <tr r="SA5" s="25"/>
      </tp>
      <tp t="s">
        <v>#N/A N/A</v>
        <stp/>
        <stp>BDS|1560908665435246510</stp>
        <tr r="PS5" s="9"/>
        <tr r="AS5" s="27"/>
        <tr r="MG5" s="29"/>
      </tp>
      <tp t="s">
        <v>#N/A N/A</v>
        <stp/>
        <stp>BDS|2515391019529688702</stp>
        <tr r="UI5" s="39"/>
      </tp>
      <tp t="s">
        <v>#N/A N/A</v>
        <stp/>
        <stp>BDS|9479568277822677729</stp>
        <tr r="EU5" s="30"/>
        <tr r="JK5" s="44"/>
      </tp>
      <tp t="s">
        <v>#N/A N/A</v>
        <stp/>
        <stp>BDS|7103802532491713358</stp>
        <tr r="FY5" s="9"/>
        <tr r="UY5" s="9"/>
        <tr r="PE5" s="12"/>
      </tp>
      <tp t="s">
        <v>#N/A N/A</v>
        <stp/>
        <stp>BDS|1173456394455573742</stp>
        <tr r="OO5" s="13"/>
        <tr r="DA5" s="34"/>
      </tp>
      <tp t="s">
        <v>#N/A N/A</v>
        <stp/>
        <stp>BDS|5122306490875651469</stp>
        <tr r="O5" s="23"/>
        <tr r="HQ5" s="46"/>
      </tp>
      <tp t="s">
        <v>#N/A N/A</v>
        <stp/>
        <stp>BDS|8450111568231569090</stp>
        <tr r="FY5" s="7"/>
        <tr r="SQ5" s="31"/>
      </tp>
      <tp t="s">
        <v>#N/A N/A</v>
        <stp/>
        <stp>BDS|6828081755854313907</stp>
        <tr r="AE5" s="8"/>
        <tr r="TU5" s="13"/>
        <tr r="IG5" s="15"/>
      </tp>
      <tp t="s">
        <v>#N/A N/A</v>
        <stp/>
        <stp>BDS|4162087953767897857</stp>
        <tr r="PE5" s="42"/>
      </tp>
      <tp t="s">
        <v>#N/A N/A</v>
        <stp/>
        <stp>BDS|7422300701098005218</stp>
        <tr r="IG5" s="38"/>
      </tp>
      <tp t="s">
        <v>#N/A N/A</v>
        <stp/>
        <stp>BDS|2446962494148217408</stp>
        <tr r="KO5" s="47"/>
      </tp>
      <tp t="s">
        <v>#N/A N/A</v>
        <stp/>
        <stp>BDS|1290508225898520075</stp>
        <tr r="LC5" s="10"/>
      </tp>
      <tp t="s">
        <v>#N/A N/A</v>
        <stp/>
        <stp>BDS|4511532282382806469</stp>
        <tr r="QI5" s="30"/>
      </tp>
      <tp t="s">
        <v>#N/A N/A</v>
        <stp/>
        <stp>BDS|6662883924501060205</stp>
        <tr r="TU5" s="27"/>
        <tr r="OA5" s="42"/>
      </tp>
      <tp t="s">
        <v>#N/A N/A</v>
        <stp/>
        <stp>BDS|1944699769157145928</stp>
        <tr r="OO5" s="31"/>
      </tp>
      <tp t="s">
        <v>#N/A N/A</v>
        <stp/>
        <stp>BDS|1183705156754541888</stp>
        <tr r="TU5" s="22"/>
      </tp>
      <tp t="s">
        <v>#N/A N/A</v>
        <stp/>
        <stp>BDS|3196918673914994606</stp>
        <tr r="HQ5" s="47"/>
      </tp>
      <tp t="s">
        <v>#N/A N/A</v>
        <stp/>
        <stp>BDS|4282879533753552397</stp>
        <tr r="AS5" s="15"/>
      </tp>
      <tp t="s">
        <v>#N/A N/A</v>
        <stp/>
        <stp>BDS|8632658076105668382</stp>
        <tr r="AE5" s="30"/>
      </tp>
      <tp t="s">
        <v>#N/A N/A</v>
        <stp/>
        <stp>BDS|9593005147296973405</stp>
        <tr r="IU5" s="33"/>
      </tp>
      <tp t="s">
        <v>#N/A N/A</v>
        <stp/>
        <stp>BDS|8808224264116172543</stp>
        <tr r="BI5" s="27"/>
      </tp>
      <tp t="s">
        <v>#N/A N/A</v>
        <stp/>
        <stp>BDS|6833550645238055032</stp>
        <tr r="MW5" s="12"/>
        <tr r="OA5" s="25"/>
      </tp>
      <tp t="s">
        <v>#N/A N/A</v>
        <stp/>
        <stp>BDS|8731467309085338603</stp>
        <tr r="JK5" s="46"/>
      </tp>
      <tp t="s">
        <v>#N/A N/A</v>
        <stp/>
        <stp>BDS|8624928738689592421</stp>
        <tr r="FY5" s="35"/>
      </tp>
      <tp t="s">
        <v>#N/A N/A</v>
        <stp/>
        <stp>BDS|9665683257964406152</stp>
        <tr r="HC5" s="33"/>
      </tp>
      <tp t="s">
        <v>#N/A N/A</v>
        <stp/>
        <stp>BDS|8231893455139517327</stp>
        <tr r="CM5" s="13"/>
      </tp>
      <tp t="s">
        <v>#N/A N/A</v>
        <stp/>
        <stp>BDS|8439596921959033935</stp>
        <tr r="HQ5" s="18"/>
        <tr r="PS5" s="22"/>
        <tr r="BW5" s="43"/>
      </tp>
      <tp t="s">
        <v>#N/A N/A</v>
        <stp/>
        <stp>BDS|4207565887602562497</stp>
        <tr r="UI5" s="46"/>
      </tp>
      <tp t="s">
        <v>#N/A N/A</v>
        <stp/>
        <stp>BDS|5589480401127489974</stp>
        <tr r="AE5" s="17"/>
      </tp>
      <tp t="s">
        <v>#N/A N/A</v>
        <stp/>
        <stp>BDS|6415131837292571999</stp>
        <tr r="BW5" s="1"/>
      </tp>
      <tp t="s">
        <v>#N/A N/A</v>
        <stp/>
        <stp>BDS|2874895870334929641</stp>
        <tr r="QW5" s="10"/>
      </tp>
      <tp t="s">
        <v>#N/A N/A</v>
        <stp/>
        <stp>BDS|6025710868451775933</stp>
        <tr r="QW5" s="27"/>
      </tp>
      <tp t="s">
        <v>#N/A N/A</v>
        <stp/>
        <stp>BDS|6203465391931267557</stp>
        <tr r="CM5" s="27"/>
      </tp>
      <tp t="s">
        <v>#N/A N/A</v>
        <stp/>
        <stp>BDS|7697375050606481876</stp>
        <tr r="NK5" s="25"/>
        <tr r="OO5" s="48"/>
      </tp>
      <tp t="s">
        <v>#N/A N/A</v>
        <stp/>
        <stp>BDS|7763946218924996405</stp>
        <tr r="RM5" s="7"/>
      </tp>
      <tp t="s">
        <v>#N/A N/A</v>
        <stp/>
        <stp>BDS|9870138742322974133</stp>
        <tr r="MG5" s="13"/>
        <tr r="SA5" s="46"/>
      </tp>
      <tp t="s">
        <v>#N/A N/A</v>
        <stp/>
        <stp>BDS|5094842623171114154</stp>
        <tr r="IG5" s="28"/>
      </tp>
      <tp t="s">
        <v>#N/A N/A</v>
        <stp/>
        <stp>BDS|3841564935722016884</stp>
        <tr r="OO5" s="47"/>
      </tp>
      <tp t="s">
        <v>#N/A N/A</v>
        <stp/>
        <stp>BDS|1355197217907886964</stp>
        <tr r="QI5" s="46"/>
      </tp>
      <tp t="s">
        <v>#N/A N/A</v>
        <stp/>
        <stp>BDS|7933076422913410984</stp>
        <tr r="LC5" s="11"/>
        <tr r="VM5" s="11"/>
      </tp>
      <tp t="s">
        <v>#N/A N/A</v>
        <stp/>
        <stp>BDS|5692831083518613202</stp>
        <tr r="FY5" s="5"/>
      </tp>
      <tp t="s">
        <v>#N/A N/A</v>
        <stp/>
        <stp>BDS|1313004911538728750</stp>
        <tr r="CM5" s="21"/>
      </tp>
      <tp t="s">
        <v>#N/A N/A</v>
        <stp/>
        <stp>BDS|3644556268447271891</stp>
        <tr r="LC5" s="2"/>
        <tr r="TE5" s="9"/>
      </tp>
      <tp t="s">
        <v>#N/A N/A</v>
        <stp/>
        <stp>BDS|7754210496005506653</stp>
        <tr r="DQ5" s="42"/>
      </tp>
      <tp t="s">
        <v>#N/A N/A</v>
        <stp/>
        <stp>BDS|2760096481120902565</stp>
        <tr r="GM5" s="42"/>
      </tp>
      <tp t="s">
        <v>#N/A N/A</v>
        <stp/>
        <stp>BDS|5535355783096747746</stp>
        <tr r="MW5" s="46"/>
      </tp>
      <tp t="s">
        <v>#N/A N/A</v>
        <stp/>
        <stp>BDS|6854310416333791891</stp>
        <tr r="DQ5" s="38"/>
      </tp>
      <tp t="s">
        <v>#N/A N/A</v>
        <stp/>
        <stp>BDS|3511756636688672018</stp>
        <tr r="OA5" s="12"/>
        <tr r="JK5" s="23"/>
        <tr r="MW5" s="34"/>
        <tr r="RM5" s="45"/>
      </tp>
      <tp t="s">
        <v>#N/A N/A</v>
        <stp/>
        <stp>BDS|5210865655011607660</stp>
        <tr r="QW5" s="33"/>
      </tp>
      <tp t="s">
        <v>#N/A N/A</v>
        <stp/>
        <stp>BDS|3522651329280927865</stp>
        <tr r="JY5" s="28"/>
        <tr r="EE5" s="37"/>
      </tp>
      <tp t="s">
        <v>#N/A N/A</v>
        <stp/>
        <stp>BDS|9920869712539878627</stp>
        <tr r="IU5" s="50"/>
      </tp>
      <tp t="s">
        <v>#N/A N/A</v>
        <stp/>
        <stp>BDS|1794471924770165827</stp>
        <tr r="NK5" s="43"/>
      </tp>
      <tp t="s">
        <v>#N/A N/A</v>
        <stp/>
        <stp>BDS|8940124721367521387</stp>
        <tr r="FI5" s="37"/>
      </tp>
      <tp t="s">
        <v>#N/A N/A</v>
        <stp/>
        <stp>BDS|4351566517549413611</stp>
        <tr r="QI5" s="35"/>
      </tp>
      <tp t="s">
        <v>#N/A N/A</v>
        <stp/>
        <stp>BDS|3716885547223922363</stp>
        <tr r="HQ5" s="36"/>
      </tp>
      <tp t="s">
        <v>#N/A N/A</v>
        <stp/>
        <stp>BDS|9282002023592415613</stp>
        <tr r="VM5" s="23"/>
      </tp>
      <tp t="s">
        <v>#N/A N/A</v>
        <stp/>
        <stp>BDS|7711400461908556263</stp>
        <tr r="IG5" s="50"/>
      </tp>
      <tp t="s">
        <v>#N/A N/A</v>
        <stp/>
        <stp>BDS|2092276662031453845</stp>
        <tr r="LC5" s="3"/>
      </tp>
      <tp t="s">
        <v>#N/A N/A</v>
        <stp/>
        <stp>BDS|9793135795056405801</stp>
        <tr r="AE5" s="1"/>
      </tp>
      <tp t="s">
        <v>#N/A N/A</v>
        <stp/>
        <stp>BDS|3405416080345751570</stp>
        <tr r="HQ5" s="14"/>
      </tp>
      <tp t="s">
        <v>#N/A N/A</v>
        <stp/>
        <stp>BDS|6333843329231795533</stp>
        <tr r="SQ5" s="8"/>
      </tp>
      <tp t="s">
        <v>#N/A N/A</v>
        <stp/>
        <stp>BDS|9765905915018009191</stp>
        <tr r="MW5" s="22"/>
      </tp>
      <tp t="s">
        <v>#N/A N/A</v>
        <stp/>
        <stp>BDS|1788967250753945639</stp>
        <tr r="MG5" s="43"/>
      </tp>
      <tp t="s">
        <v>#N/A N/A</v>
        <stp/>
        <stp>BDS|1997513761703429956</stp>
        <tr r="UI5" s="8"/>
      </tp>
      <tp t="s">
        <v>#N/A N/A</v>
        <stp/>
        <stp>BDS|9695384145810039638</stp>
        <tr r="KO5" s="42"/>
      </tp>
      <tp t="s">
        <v>#N/A N/A</v>
        <stp/>
        <stp>BDS|3050280212880349816</stp>
        <tr r="A5" s="2"/>
        <tr r="AE5" s="26"/>
      </tp>
      <tp t="s">
        <v>#N/A N/A</v>
        <stp/>
        <stp>BDS|7715903061183774399</stp>
        <tr r="MW5" s="2"/>
      </tp>
      <tp t="s">
        <v>#N/A N/A</v>
        <stp/>
        <stp>BDS|4719215598404564330</stp>
        <tr r="UY5" s="24"/>
      </tp>
      <tp t="s">
        <v>#N/A N/A</v>
        <stp/>
        <stp>BDS|7411581884904764678</stp>
        <tr r="IG5" s="21"/>
      </tp>
      <tp t="s">
        <v>#N/A N/A</v>
        <stp/>
        <stp>BDS|8844033808971892133</stp>
        <tr r="OO5" s="39"/>
      </tp>
      <tp t="s">
        <v>#N/A N/A</v>
        <stp/>
        <stp>BDS|5179469038193552945</stp>
        <tr r="UI5" s="1"/>
      </tp>
      <tp t="s">
        <v>#N/A N/A</v>
        <stp/>
        <stp>BDS|9699695472277796748</stp>
        <tr r="PE5" s="21"/>
      </tp>
      <tp t="s">
        <v>#N/A N/A</v>
        <stp/>
        <stp>BDS|9598604251455219788</stp>
        <tr r="NK5" s="37"/>
      </tp>
      <tp t="s">
        <v>#N/A N/A</v>
        <stp/>
        <stp>BDS|6205049581757179188</stp>
        <tr r="GM5" s="24"/>
      </tp>
      <tp t="s">
        <v>#N/A N/A</v>
        <stp/>
        <stp>BDS|3020823709132413139</stp>
        <tr r="GM5" s="12"/>
        <tr r="UI5" s="16"/>
      </tp>
      <tp t="s">
        <v>#N/A N/A</v>
        <stp/>
        <stp>BDS|9935289017464976634</stp>
        <tr r="OA5" s="29"/>
      </tp>
      <tp t="s">
        <v>#N/A N/A</v>
        <stp/>
        <stp>BDS|7865213284886469356</stp>
        <tr r="KO5" s="9"/>
      </tp>
      <tp t="s">
        <v>#N/A N/A</v>
        <stp/>
        <stp>BDS|1926700392727425033</stp>
        <tr r="OO5" s="45"/>
      </tp>
      <tp t="s">
        <v>#N/A N/A</v>
        <stp/>
        <stp>BDS|8116686014682141519</stp>
        <tr r="GM5" s="13"/>
      </tp>
      <tp t="s">
        <v>#N/A N/A</v>
        <stp/>
        <stp>BDS|5592804058944579450</stp>
        <tr r="MW5" s="8"/>
      </tp>
      <tp t="s">
        <v>#N/A N/A</v>
        <stp/>
        <stp>BDS|1767089600820738955</stp>
        <tr r="TE5" s="49"/>
      </tp>
      <tp t="s">
        <v>#N/A N/A</v>
        <stp/>
        <stp>BDS|9502112846582827697</stp>
        <tr r="PS5" s="16"/>
        <tr r="MG5" s="24"/>
      </tp>
      <tp t="s">
        <v>#N/A N/A</v>
        <stp/>
        <stp>BDS|5994082880280428569</stp>
        <tr r="CM5" s="44"/>
      </tp>
      <tp t="s">
        <v>#N/A N/A</v>
        <stp/>
        <stp>BDS|4683308697087142108</stp>
        <tr r="IU5" s="22"/>
      </tp>
      <tp t="s">
        <v>#N/A N/A</v>
        <stp/>
        <stp>BDS|3767824554027212124</stp>
        <tr r="CM5" s="8"/>
        <tr r="IG5" s="16"/>
        <tr r="KO5" s="34"/>
        <tr r="JK5" s="35"/>
      </tp>
      <tp t="s">
        <v>#N/A N/A</v>
        <stp/>
        <stp>BDS|8411767114693759567</stp>
        <tr r="LS5" s="4"/>
      </tp>
      <tp t="s">
        <v>#N/A N/A</v>
        <stp/>
        <stp>BDS|8823655101626872031</stp>
        <tr r="CM5" s="18"/>
      </tp>
      <tp t="s">
        <v>#N/A N/A</v>
        <stp/>
        <stp>BDS|9269138850727316261</stp>
        <tr r="OA5" s="3"/>
      </tp>
      <tp t="s">
        <v>#N/A N/A</v>
        <stp/>
        <stp>BDS|4416064016678490548</stp>
        <tr r="OA5" s="38"/>
      </tp>
      <tp t="s">
        <v>#N/A N/A</v>
        <stp/>
        <stp>BDS|8445606163197433772</stp>
        <tr r="O5" s="3"/>
        <tr r="VM5" s="46"/>
        <tr r="PS5" s="30"/>
      </tp>
      <tp t="s">
        <v>#N/A N/A</v>
        <stp/>
        <stp>BDS|6518022969340846823</stp>
        <tr r="SQ5" s="16"/>
        <tr r="PE5" s="43"/>
        <tr r="JK5" s="45"/>
      </tp>
      <tp t="s">
        <v>#N/A N/A</v>
        <stp/>
        <stp>BDS|8028032031532369157</stp>
        <tr r="EU5" s="20"/>
      </tp>
      <tp t="s">
        <v>#N/A N/A</v>
        <stp/>
        <stp>BDS|3703369720198294268</stp>
        <tr r="MW5" s="16"/>
      </tp>
      <tp t="s">
        <v>#N/A N/A</v>
        <stp/>
        <stp>BDS|8846447424373590588</stp>
        <tr r="IU5" s="24"/>
      </tp>
      <tp t="s">
        <v>#N/A N/A</v>
        <stp/>
        <stp>BDS|1137472628876461801</stp>
        <tr r="BI5" s="8"/>
        <tr r="BI5" s="16"/>
        <tr r="BI5" s="32"/>
        <tr r="BI5" s="48"/>
      </tp>
      <tp t="s">
        <v>#N/A N/A</v>
        <stp/>
        <stp>BDS|2852640662132185951</stp>
        <tr r="RM5" s="38"/>
      </tp>
      <tp t="s">
        <v>#N/A N/A</v>
        <stp/>
        <stp>BDS|7535202937199010687</stp>
        <tr r="IU5" s="13"/>
      </tp>
      <tp t="s">
        <v>#N/A N/A</v>
        <stp/>
        <stp>BDS|5541977168310641361</stp>
        <tr r="UY5" s="7"/>
      </tp>
      <tp t="s">
        <v>#N/A N/A</v>
        <stp/>
        <stp>BDS|7502099943149580310</stp>
        <tr r="PS5" s="3"/>
        <tr r="SA5" s="14"/>
      </tp>
      <tp t="s">
        <v>#N/A N/A</v>
        <stp/>
        <stp>BDS|7049207822016068893</stp>
        <tr r="GM5" s="28"/>
        <tr r="DA5" s="30"/>
      </tp>
      <tp t="s">
        <v>#N/A N/A</v>
        <stp/>
        <stp>BDS|8600712078114124556</stp>
        <tr r="JK5" s="6"/>
      </tp>
      <tp t="s">
        <v>#N/A N/A</v>
        <stp/>
        <stp>BDS|2895724914404523930</stp>
        <tr r="KO5" s="29"/>
      </tp>
      <tp t="s">
        <v>#N/A N/A</v>
        <stp/>
        <stp>BDS|2973180158619920680</stp>
        <tr r="TU5" s="23"/>
      </tp>
      <tp t="s">
        <v>#N/A N/A</v>
        <stp/>
        <stp>BDS|9726477661493023193</stp>
        <tr r="BW5" s="33"/>
        <tr r="FI5" s="40"/>
      </tp>
      <tp t="s">
        <v>#N/A N/A</v>
        <stp/>
        <stp>BDS|9763506732193850550</stp>
        <tr r="AS5" s="34"/>
      </tp>
      <tp t="s">
        <v>#N/A N/A</v>
        <stp/>
        <stp>BDS|9768152160561840621</stp>
        <tr r="AS5" s="44"/>
      </tp>
      <tp t="s">
        <v>#N/A N/A</v>
        <stp/>
        <stp>BDS|9279296864321633509</stp>
        <tr r="GM5" s="17"/>
        <tr r="BW5" s="44"/>
      </tp>
      <tp t="s">
        <v>#N/A N/A</v>
        <stp/>
        <stp>BDS|5528558340154967905</stp>
        <tr r="BW5" s="34"/>
      </tp>
      <tp t="s">
        <v>#N/A N/A</v>
        <stp/>
        <stp>BDS|6544832472809817950</stp>
        <tr r="CM5" s="4"/>
        <tr r="FY5" s="45"/>
      </tp>
      <tp t="s">
        <v>#N/A N/A</v>
        <stp/>
        <stp>BDS|2905833266642574704</stp>
        <tr r="PE5" s="49"/>
      </tp>
      <tp t="s">
        <v>#N/A N/A</v>
        <stp/>
        <stp>BDS|3020075085187854534</stp>
        <tr r="EU5" s="2"/>
      </tp>
      <tp t="s">
        <v>#N/A N/A</v>
        <stp/>
        <stp>BDS|7415006996527469089</stp>
        <tr r="OO5" s="41"/>
      </tp>
      <tp t="s">
        <v>#N/A N/A</v>
        <stp/>
        <stp>BDS|1020989633455142749</stp>
        <tr r="DA5" s="19"/>
      </tp>
      <tp t="s">
        <v>#N/A N/A</v>
        <stp/>
        <stp>BDS|3719669891580744599</stp>
        <tr r="IU5" s="47"/>
      </tp>
      <tp t="s">
        <v>#N/A N/A</v>
        <stp/>
        <stp>BDS|6311236684196310391</stp>
        <tr r="BW5" s="23"/>
      </tp>
      <tp t="s">
        <v>#N/A N/A</v>
        <stp/>
        <stp>BDS|6562199303446399838</stp>
        <tr r="TU5" s="37"/>
      </tp>
      <tp t="s">
        <v>#N/A N/A</v>
        <stp/>
        <stp>BDS|2737625450010027898</stp>
        <tr r="HC5" s="12"/>
        <tr r="A5" s="15"/>
        <tr r="PE5" s="13"/>
        <tr r="AE5" s="18"/>
        <tr r="FY5" s="34"/>
      </tp>
      <tp t="s">
        <v>#N/A N/A</v>
        <stp/>
        <stp>BDS|8919674671765728544</stp>
        <tr r="MW5" s="24"/>
      </tp>
      <tp t="s">
        <v>#N/A N/A</v>
        <stp/>
        <stp>BDS|1325016292584850550</stp>
        <tr r="A5" s="32"/>
      </tp>
      <tp t="s">
        <v>#N/A N/A</v>
        <stp/>
        <stp>BDS|9721607069879383900</stp>
        <tr r="A5" s="47"/>
        <tr r="IG5" s="14"/>
      </tp>
      <tp t="s">
        <v>#N/A N/A</v>
        <stp/>
        <stp>BDS|3454729255218947082</stp>
        <tr r="SQ5" s="23"/>
      </tp>
      <tp t="s">
        <v>#N/A N/A</v>
        <stp/>
        <stp>BDS|3708916607495365609</stp>
        <tr r="EE5" s="21"/>
        <tr r="BW5" s="38"/>
      </tp>
      <tp t="s">
        <v>#N/A N/A</v>
        <stp/>
        <stp>BDS|4703219347033498877</stp>
        <tr r="HQ5" s="17"/>
      </tp>
      <tp t="s">
        <v>#N/A N/A</v>
        <stp/>
        <stp>BDS|8666476941424093537</stp>
        <tr r="OO5" s="20"/>
      </tp>
      <tp t="s">
        <v>#N/A N/A</v>
        <stp/>
        <stp>BDS|4420471120559992294</stp>
        <tr r="PE5" s="26"/>
        <tr r="JK5" s="41"/>
      </tp>
      <tp t="s">
        <v>#N/A N/A</v>
        <stp/>
        <stp>BDS|4556131202914479835</stp>
        <tr r="QI5" s="17"/>
      </tp>
      <tp t="s">
        <v>#N/A N/A</v>
        <stp/>
        <stp>BDS|2428878044567583015</stp>
        <tr r="TE5" s="4"/>
      </tp>
      <tp t="s">
        <v>#N/A N/A</v>
        <stp/>
        <stp>BDS|1954199096185477528</stp>
        <tr r="GM5" s="20"/>
        <tr r="HQ5" s="25"/>
      </tp>
      <tp t="s">
        <v>#N/A N/A</v>
        <stp/>
        <stp>BDS|3271814929858243895</stp>
        <tr r="EE5" s="47"/>
      </tp>
      <tp t="s">
        <v>#N/A N/A</v>
        <stp/>
        <stp>BDS|3457723326848329720</stp>
        <tr r="SQ5" s="46"/>
      </tp>
      <tp t="s">
        <v>#N/A N/A</v>
        <stp/>
        <stp>BDS|5957545989855011459</stp>
        <tr r="QW5" s="11"/>
      </tp>
      <tp t="s">
        <v>#N/A N/A</v>
        <stp/>
        <stp>BDS|8839278218355812799</stp>
        <tr r="BW5" s="15"/>
      </tp>
      <tp t="s">
        <v>#N/A N/A</v>
        <stp/>
        <stp>BDS|1362164154038135467</stp>
        <tr r="SA5" s="3"/>
        <tr r="LC5" s="6"/>
        <tr r="FI5" s="44"/>
      </tp>
      <tp t="s">
        <v>#N/A N/A</v>
        <stp/>
        <stp>BDS|6590920505631700717</stp>
        <tr r="DA5" s="32"/>
      </tp>
      <tp t="s">
        <v>#N/A N/A</v>
        <stp/>
        <stp>BDS|5993708488131695237</stp>
        <tr r="A5" s="8"/>
      </tp>
      <tp t="s">
        <v>#N/A N/A</v>
        <stp/>
        <stp>BDS|4814132288104626000</stp>
        <tr r="AS5" s="4"/>
      </tp>
      <tp t="s">
        <v>#N/A N/A</v>
        <stp/>
        <stp>BDS|5863516488904261696</stp>
        <tr r="UI5" s="24"/>
      </tp>
      <tp t="s">
        <v>#N/A N/A</v>
        <stp/>
        <stp>BDS|8913105810533569164</stp>
        <tr r="KO5" s="13"/>
      </tp>
      <tp t="s">
        <v>#N/A N/A</v>
        <stp/>
        <stp>BDS|7227787295421083240</stp>
        <tr r="OA5" s="5"/>
      </tp>
      <tp t="s">
        <v>#N/A N/A</v>
        <stp/>
        <stp>BDS|3398452138567203977</stp>
        <tr r="MG5" s="5"/>
      </tp>
      <tp t="s">
        <v>#N/A N/A</v>
        <stp/>
        <stp>BDS|4486175468151496848</stp>
        <tr r="CM5" s="31"/>
      </tp>
      <tp t="s">
        <v>#N/A N/A</v>
        <stp/>
        <stp>BDS|7566711191067635487</stp>
        <tr r="OO5" s="43"/>
      </tp>
      <tp t="s">
        <v>#N/A N/A</v>
        <stp/>
        <stp>BDS|4984918971716108631</stp>
        <tr r="OA5" s="49"/>
      </tp>
      <tp t="s">
        <v>#N/A N/A</v>
        <stp/>
        <stp>BDS|2948089733313815825</stp>
        <tr r="TU5" s="12"/>
        <tr r="FY5" s="29"/>
        <tr r="FY5" s="49"/>
      </tp>
      <tp t="s">
        <v>#N/A N/A</v>
        <stp/>
        <stp>BDS|1232822419216413444</stp>
        <tr r="HQ5" s="32"/>
        <tr r="UI5" s="43"/>
      </tp>
      <tp t="s">
        <v>#N/A N/A</v>
        <stp/>
        <stp>BDS|4954277269343078998</stp>
        <tr r="MW5" s="15"/>
      </tp>
      <tp t="s">
        <v>#N/A N/A</v>
        <stp/>
        <stp>BDS|6760467789834000468</stp>
        <tr r="DQ5" s="6"/>
      </tp>
      <tp t="s">
        <v>#N/A N/A</v>
        <stp/>
        <stp>BDS|4005611954964399991</stp>
        <tr r="EE5" s="41"/>
      </tp>
      <tp t="s">
        <v>#N/A N/A</v>
        <stp/>
        <stp>BDS|7279802811884920058</stp>
        <tr r="NK5" s="26"/>
      </tp>
      <tp t="s">
        <v>#N/A N/A</v>
        <stp/>
        <stp>BDS|9256310449430508405</stp>
        <tr r="TE5" s="2"/>
        <tr r="PS5" s="7"/>
        <tr r="DA5" s="28"/>
        <tr r="MG5" s="30"/>
        <tr r="BW5" s="40"/>
      </tp>
      <tp t="s">
        <v>#N/A N/A</v>
        <stp/>
        <stp>BDS|9188419838343414719</stp>
        <tr r="IU5" s="7"/>
        <tr r="FI5" s="29"/>
      </tp>
      <tp t="s">
        <v>#N/A N/A</v>
        <stp/>
        <stp>BDS|6867444319649113094</stp>
        <tr r="SQ5" s="36"/>
      </tp>
      <tp t="s">
        <v>#N/A N/A</v>
        <stp/>
        <stp>BDS|1445824426586591777</stp>
        <tr r="KO5" s="28"/>
      </tp>
      <tp t="s">
        <v>#N/A N/A</v>
        <stp/>
        <stp>BDS|6168227052492087931</stp>
        <tr r="OO5" s="49"/>
      </tp>
      <tp t="s">
        <v>#N/A N/A</v>
        <stp/>
        <stp>BDS|9731712813233650615</stp>
        <tr r="BW5" s="24"/>
        <tr r="TE5" s="13"/>
      </tp>
      <tp t="s">
        <v>#N/A N/A</v>
        <stp/>
        <stp>BDS|4291594242908370785</stp>
        <tr r="TE5" s="39"/>
      </tp>
      <tp t="s">
        <v>#N/A N/A</v>
        <stp/>
        <stp>BDS|4079837552320477371</stp>
        <tr r="IU5" s="43"/>
      </tp>
      <tp t="s">
        <v>#N/A N/A</v>
        <stp/>
        <stp>BDS|7872519388291337117</stp>
        <tr r="VM5" s="31"/>
      </tp>
      <tp t="s">
        <v>#N/A N/A</v>
        <stp/>
        <stp>BDS|3596307690622455124</stp>
        <tr r="UI5" s="48"/>
      </tp>
      <tp t="s">
        <v>#N/A N/A</v>
        <stp/>
        <stp>BDS|5477364839389182694</stp>
        <tr r="EU5" s="48"/>
      </tp>
      <tp t="s">
        <v>#N/A N/A</v>
        <stp/>
        <stp>BDS|7500748799367340482</stp>
        <tr r="JK5" s="5"/>
      </tp>
      <tp t="s">
        <v>#N/A N/A</v>
        <stp/>
        <stp>BDS|3057373944288485671</stp>
        <tr r="UY5" s="17"/>
      </tp>
      <tp t="s">
        <v>#N/A N/A</v>
        <stp/>
        <stp>BDS|5644673264608721724</stp>
        <tr r="PS5" s="34"/>
      </tp>
      <tp t="s">
        <v>#N/A N/A</v>
        <stp/>
        <stp>BDS|5678465062959380417</stp>
        <tr r="GM5" s="16"/>
      </tp>
      <tp t="s">
        <v>#N/A N/A</v>
        <stp/>
        <stp>BDS|7144942354693674273</stp>
        <tr r="TU5" s="2"/>
        <tr r="LS5" s="3"/>
      </tp>
      <tp t="s">
        <v>#N/A N/A</v>
        <stp/>
        <stp>BDS|3067261197373566159</stp>
        <tr r="HC5" s="28"/>
      </tp>
      <tp t="s">
        <v>#N/A N/A</v>
        <stp/>
        <stp>BDS|8855368869477544035</stp>
        <tr r="RM5" s="33"/>
      </tp>
      <tp t="s">
        <v>#N/A N/A</v>
        <stp/>
        <stp>BDS|5900693122189003233</stp>
        <tr r="LS5" s="5"/>
      </tp>
      <tp t="s">
        <v>#N/A N/A</v>
        <stp/>
        <stp>BDS|6074484289343602319</stp>
        <tr r="UI5" s="22"/>
      </tp>
      <tp t="s">
        <v>#N/A N/A</v>
        <stp/>
        <stp>BDS|8059373164420578700</stp>
        <tr r="AS5" s="9"/>
        <tr r="FI5" s="27"/>
      </tp>
      <tp t="s">
        <v>#N/A N/A</v>
        <stp/>
        <stp>BDS|5326407307922121926</stp>
        <tr r="LC5" s="41"/>
      </tp>
      <tp t="s">
        <v>#N/A N/A</v>
        <stp/>
        <stp>BDS|4018403115709500270</stp>
        <tr r="PE5" s="27"/>
        <tr r="QI5" s="44"/>
      </tp>
      <tp t="s">
        <v>#N/A N/A</v>
        <stp/>
        <stp>BDS|5904739186012959217</stp>
        <tr r="RM5" s="20"/>
      </tp>
      <tp t="s">
        <v>#N/A N/A</v>
        <stp/>
        <stp>BDS|4622943752685658721</stp>
        <tr r="FY5" s="44"/>
      </tp>
      <tp t="s">
        <v>#N/A N/A</v>
        <stp/>
        <stp>BDS|5640638466086397946</stp>
        <tr r="AE5" s="44"/>
      </tp>
      <tp t="s">
        <v>#N/A N/A</v>
        <stp/>
        <stp>BDS|8946998580852017141</stp>
        <tr r="RM5" s="10"/>
      </tp>
      <tp t="s">
        <v>#N/A N/A</v>
        <stp/>
        <stp>BDS|9161653904035291069</stp>
        <tr r="AE5" s="14"/>
      </tp>
      <tp t="s">
        <v>#N/A N/A</v>
        <stp/>
        <stp>BDS|4984432183662964056</stp>
        <tr r="UI5" s="10"/>
        <tr r="LC5" s="18"/>
        <tr r="PS5" s="40"/>
      </tp>
      <tp t="s">
        <v>#N/A N/A</v>
        <stp/>
        <stp>BDS|8138687241715975544</stp>
        <tr r="JK5" s="20"/>
      </tp>
      <tp t="s">
        <v>#N/A N/A</v>
        <stp/>
        <stp>BDS|1536491563441643932</stp>
        <tr r="BW5" s="9"/>
      </tp>
      <tp t="s">
        <v>#N/A N/A</v>
        <stp/>
        <stp>BDS|8404960805923588997</stp>
        <tr r="DQ5" s="39"/>
      </tp>
      <tp t="s">
        <v>#N/A N/A</v>
        <stp/>
        <stp>BDS|6812181848491201912</stp>
        <tr r="AE5" s="11"/>
      </tp>
      <tp t="s">
        <v>#N/A N/A</v>
        <stp/>
        <stp>BDS|7564378169108689160</stp>
        <tr r="EE5" s="14"/>
      </tp>
      <tp t="s">
        <v>#N/A N/A</v>
        <stp/>
        <stp>BDS|9987482843703392197</stp>
        <tr r="DQ5" s="5"/>
      </tp>
      <tp t="s">
        <v>#N/A N/A</v>
        <stp/>
        <stp>BDS|5462878133814993105</stp>
        <tr r="LS5" s="40"/>
      </tp>
      <tp t="s">
        <v>#N/A N/A</v>
        <stp/>
        <stp>BDS|6821663385894152739</stp>
        <tr r="VM5" s="33"/>
      </tp>
      <tp t="s">
        <v>#N/A N/A</v>
        <stp/>
        <stp>BDS|6525461696982898232</stp>
        <tr r="HC5" s="35"/>
      </tp>
      <tp t="s">
        <v>#N/A N/A</v>
        <stp/>
        <stp>BDS|7095044524228717681</stp>
        <tr r="PS5" s="44"/>
      </tp>
      <tp t="s">
        <v>#N/A N/A</v>
        <stp/>
        <stp>BDS|4314420716559890300</stp>
        <tr r="GM5" s="19"/>
      </tp>
      <tp t="s">
        <v>#N/A N/A</v>
        <stp/>
        <stp>BDS|9964111827016118716</stp>
        <tr r="QW5" s="4"/>
        <tr r="SA5" s="44"/>
      </tp>
      <tp t="s">
        <v>#N/A N/A</v>
        <stp/>
        <stp>BDS|4662222274289614392</stp>
        <tr r="A5" s="26"/>
      </tp>
      <tp t="s">
        <v>#N/A N/A</v>
        <stp/>
        <stp>BDS|2277618597317819105</stp>
        <tr r="JK5" s="31"/>
      </tp>
      <tp t="s">
        <v>#N/A N/A</v>
        <stp/>
        <stp>BDS|1846933571914550035</stp>
        <tr r="JK5" s="37"/>
      </tp>
      <tp t="s">
        <v>#N/A N/A</v>
        <stp/>
        <stp>BDS|5206801918590427726</stp>
        <tr r="O5" s="31"/>
      </tp>
      <tp t="s">
        <v>#N/A N/A</v>
        <stp/>
        <stp>BDS|9875266874546474138</stp>
        <tr r="SQ5" s="35"/>
      </tp>
      <tp t="s">
        <v>#N/A N/A</v>
        <stp/>
        <stp>BDS|2919362285095144765</stp>
        <tr r="HC5" s="32"/>
        <tr r="TU5" s="43"/>
      </tp>
      <tp t="s">
        <v>#N/A N/A</v>
        <stp/>
        <stp>BDS|7581904829992512540</stp>
        <tr r="FI5" s="35"/>
      </tp>
      <tp t="s">
        <v>#N/A N/A</v>
        <stp/>
        <stp>BDS|3677321477309665578</stp>
        <tr r="EU5" s="33"/>
      </tp>
      <tp t="s">
        <v>#N/A N/A</v>
        <stp/>
        <stp>BDS|8695142715282203170</stp>
        <tr r="KO5" s="41"/>
      </tp>
      <tp t="s">
        <v>#N/A N/A</v>
        <stp/>
        <stp>BDS|7636817505047904380</stp>
        <tr r="AE5" s="2"/>
      </tp>
      <tp t="s">
        <v>#N/A N/A</v>
        <stp/>
        <stp>BDS|1949714918094492843</stp>
        <tr r="LC5" s="27"/>
      </tp>
      <tp t="s">
        <v>#N/A N/A</v>
        <stp/>
        <stp>BDS|9199477126593963787</stp>
        <tr r="KO5" s="46"/>
      </tp>
      <tp t="s">
        <v>#N/A N/A</v>
        <stp/>
        <stp>BDS|1901905117561771380</stp>
        <tr r="EE5" s="20"/>
      </tp>
      <tp t="s">
        <v>#N/A N/A</v>
        <stp/>
        <stp>BDS|5743442057569188630</stp>
        <tr r="LS5" s="49"/>
      </tp>
      <tp t="s">
        <v>#N/A N/A</v>
        <stp/>
        <stp>BDS|4069910915246618149</stp>
        <tr r="AS5" s="11"/>
      </tp>
      <tp t="s">
        <v>#N/A N/A</v>
        <stp/>
        <stp>BDS|8918588103351737734</stp>
        <tr r="FY5" s="6"/>
      </tp>
      <tp t="s">
        <v>#N/A N/A</v>
        <stp/>
        <stp>BDS|4353945504134564206</stp>
        <tr r="EU5" s="6"/>
        <tr r="JK5" s="47"/>
      </tp>
      <tp t="s">
        <v>#N/A N/A</v>
        <stp/>
        <stp>BDS|7868593584781113008</stp>
        <tr r="A5" s="41"/>
      </tp>
      <tp t="s">
        <v>#N/A N/A</v>
        <stp/>
        <stp>BDS|8486999465104964859</stp>
        <tr r="HC5" s="24"/>
      </tp>
      <tp t="s">
        <v>#N/A N/A</v>
        <stp/>
        <stp>BDS|2351856106381007042</stp>
        <tr r="SQ5" s="4"/>
      </tp>
      <tp t="s">
        <v>#N/A N/A</v>
        <stp/>
        <stp>BDS|8318977717558151364</stp>
        <tr r="AE5" s="42"/>
      </tp>
      <tp t="s">
        <v>#N/A N/A</v>
        <stp/>
        <stp>BDS|3302335775494408852</stp>
        <tr r="BI5" s="28"/>
      </tp>
      <tp t="s">
        <v>#N/A N/A</v>
        <stp/>
        <stp>BDS|5239873193806783953</stp>
        <tr r="DA5" s="45"/>
      </tp>
      <tp t="s">
        <v>#N/A N/A</v>
        <stp/>
        <stp>BDS|5913963329022798741</stp>
        <tr r="TE5" s="20"/>
        <tr r="VM5" s="42"/>
      </tp>
      <tp t="s">
        <v>#N/A N/A</v>
        <stp/>
        <stp>BDS|4399080682736964154</stp>
        <tr r="QI5" s="9"/>
        <tr r="DQ5" s="16"/>
      </tp>
      <tp t="s">
        <v>#N/A N/A</v>
        <stp/>
        <stp>BDS|5703793543554062983</stp>
        <tr r="IU5" s="18"/>
      </tp>
      <tp t="s">
        <v>#N/A N/A</v>
        <stp/>
        <stp>BDS|2494446443819644003</stp>
        <tr r="BI5" s="46"/>
        <tr r="OA5" s="27"/>
        <tr r="RM5" s="19"/>
        <tr r="IG5" s="35"/>
        <tr r="RM5" s="35"/>
      </tp>
      <tp t="s">
        <v>#N/A N/A</v>
        <stp/>
        <stp>BDS|2313722600219247763</stp>
        <tr r="PE5" s="4"/>
        <tr r="LS5" s="46"/>
      </tp>
      <tp t="s">
        <v>#N/A N/A</v>
        <stp/>
        <stp>BDS|4818704753690102208</stp>
        <tr r="MG5" s="47"/>
      </tp>
      <tp t="s">
        <v>#N/A N/A</v>
        <stp/>
        <stp>BDS|3409784441113397745</stp>
        <tr r="AS5" s="17"/>
      </tp>
      <tp t="s">
        <v>#N/A N/A</v>
        <stp/>
        <stp>BDS|8888553219070688882</stp>
        <tr r="JY5" s="24"/>
        <tr r="HQ5" s="38"/>
      </tp>
      <tp t="s">
        <v>#N/A N/A</v>
        <stp/>
        <stp>BDS|7842259942021365476</stp>
        <tr r="LC5" s="33"/>
        <tr r="FI5" s="47"/>
      </tp>
      <tp t="s">
        <v>#N/A N/A</v>
        <stp/>
        <stp>BDS|2222337727835968249</stp>
        <tr r="PS5" s="41"/>
      </tp>
      <tp t="s">
        <v>#N/A N/A</v>
        <stp/>
        <stp>BDS|6276199610104748646</stp>
        <tr r="GM5" s="47"/>
      </tp>
      <tp t="s">
        <v>#N/A N/A</v>
        <stp/>
        <stp>BDS|2310271212397776297</stp>
        <tr r="GM5" s="8"/>
        <tr r="SA5" s="43"/>
      </tp>
      <tp t="s">
        <v>#N/A N/A</v>
        <stp/>
        <stp>BDS|9407805228587753032</stp>
        <tr r="BW5" s="28"/>
      </tp>
      <tp t="s">
        <v>#N/A N/A</v>
        <stp/>
        <stp>BDS|5928902455508298568</stp>
        <tr r="IU5" s="40"/>
      </tp>
      <tp t="s">
        <v>#N/A N/A</v>
        <stp/>
        <stp>BDS|1953504043075021138</stp>
        <tr r="PE5" s="20"/>
      </tp>
      <tp t="s">
        <v>#N/A N/A</v>
        <stp/>
        <stp>BDS|5681833580478589996</stp>
        <tr r="BI5" s="3"/>
      </tp>
      <tp t="s">
        <v>#N/A N/A</v>
        <stp/>
        <stp>BDS|6264280266771558703</stp>
        <tr r="DQ5" s="24"/>
      </tp>
      <tp t="s">
        <v>#N/A N/A</v>
        <stp/>
        <stp>BDS|6909268232444104726</stp>
        <tr r="GM5" s="6"/>
      </tp>
      <tp t="s">
        <v>#N/A N/A</v>
        <stp/>
        <stp>BDS|2801139668469544885</stp>
        <tr r="UI5" s="28"/>
      </tp>
      <tp t="s">
        <v>#N/A N/A</v>
        <stp/>
        <stp>BDS|4545456782564894848</stp>
        <tr r="RM5" s="9"/>
        <tr r="HC5" s="23"/>
        <tr r="HC5" s="29"/>
      </tp>
      <tp t="s">
        <v>#N/A N/A</v>
        <stp/>
        <stp>BDS|7519791546878293867</stp>
        <tr r="QW5" s="45"/>
      </tp>
      <tp t="s">
        <v>#N/A N/A</v>
        <stp/>
        <stp>BDS|2200318369623237070</stp>
        <tr r="UI5" s="45"/>
      </tp>
      <tp t="s">
        <v>#N/A N/A</v>
        <stp/>
        <stp>BDS|3162017518044021271</stp>
        <tr r="FI5" s="42"/>
      </tp>
      <tp t="s">
        <v>#N/A N/A</v>
        <stp/>
        <stp>BDS|2913191839486340263</stp>
        <tr r="UY5" s="4"/>
      </tp>
      <tp t="s">
        <v>#N/A N/A</v>
        <stp/>
        <stp>BDS|3842959014038450719</stp>
        <tr r="JK5" s="16"/>
      </tp>
      <tp t="s">
        <v>#N/A N/A</v>
        <stp/>
        <stp>BDS|3494500178150159504</stp>
        <tr r="IG5" s="9"/>
      </tp>
      <tp t="s">
        <v>#N/A N/A</v>
        <stp/>
        <stp>BDS|5983962590911450064</stp>
        <tr r="RM5" s="2"/>
      </tp>
      <tp t="s">
        <v>#N/A N/A</v>
        <stp/>
        <stp>BDS|1206131843314944462</stp>
        <tr r="FY5" s="36"/>
      </tp>
      <tp t="s">
        <v>#N/A N/A</v>
        <stp/>
        <stp>BDS|2710650673232004530</stp>
        <tr r="OO5" s="26"/>
      </tp>
      <tp t="s">
        <v>#N/A N/A</v>
        <stp/>
        <stp>BDS|8140553541415216851</stp>
        <tr r="HC5" s="9"/>
      </tp>
      <tp t="s">
        <v>#N/A N/A</v>
        <stp/>
        <stp>BDS|1431243643936984586</stp>
        <tr r="KO5" s="30"/>
      </tp>
      <tp t="s">
        <v>#N/A N/A</v>
        <stp/>
        <stp>BDS|5104646530500329446</stp>
        <tr r="MW5" s="36"/>
      </tp>
      <tp t="s">
        <v>#N/A N/A</v>
        <stp/>
        <stp>BDS|7746195501795958759</stp>
        <tr r="TE5" s="23"/>
      </tp>
      <tp t="s">
        <v>#N/A N/A</v>
        <stp/>
        <stp>BDS|8066286828258221419</stp>
        <tr r="AS5" s="23"/>
      </tp>
      <tp t="s">
        <v>#N/A N/A</v>
        <stp/>
        <stp>BDS|1519458842635665076</stp>
        <tr r="HC5" s="15"/>
      </tp>
      <tp t="s">
        <v>#N/A N/A</v>
        <stp/>
        <stp>BDS|2873687713265081408</stp>
        <tr r="OO5" s="23"/>
      </tp>
      <tp t="s">
        <v>#N/A N/A</v>
        <stp/>
        <stp>BDS|4983221208993459175</stp>
        <tr r="BI5" s="14"/>
      </tp>
      <tp t="s">
        <v>#N/A N/A</v>
        <stp/>
        <stp>BDS|3023027347513761023</stp>
        <tr r="AS5" s="39"/>
      </tp>
      <tp t="s">
        <v>#N/A N/A</v>
        <stp/>
        <stp>BDS|4181820533889887291</stp>
        <tr r="UI5" s="41"/>
        <tr r="DA5" s="33"/>
      </tp>
      <tp t="s">
        <v>#N/A N/A</v>
        <stp/>
        <stp>BDS|7257171183833359949</stp>
        <tr r="NK5" s="10"/>
        <tr r="QW5" s="25"/>
      </tp>
      <tp t="s">
        <v>#N/A N/A</v>
        <stp/>
        <stp>BDS|7351029234995480509</stp>
        <tr r="JY5" s="13"/>
      </tp>
      <tp t="s">
        <v>#N/A N/A</v>
        <stp/>
        <stp>BDS|7062924294722088107</stp>
        <tr r="A5" s="35"/>
      </tp>
      <tp t="s">
        <v>#N/A N/A</v>
        <stp/>
        <stp>BDS|3903856580093358494</stp>
        <tr r="O5" s="14"/>
      </tp>
      <tp t="s">
        <v>#N/A N/A</v>
        <stp/>
        <stp>BDS|6796453625211384524</stp>
        <tr r="O5" s="2"/>
        <tr r="AS5" s="26"/>
      </tp>
      <tp t="s">
        <v>#N/A N/A</v>
        <stp/>
        <stp>BDS|7310496795128022683</stp>
        <tr r="PE5" s="44"/>
      </tp>
      <tp t="s">
        <v>#N/A N/A</v>
        <stp/>
        <stp>BDS|9897457797803831350</stp>
        <tr r="PE5" s="6"/>
        <tr r="KO5" s="24"/>
        <tr r="UY5" s="35"/>
      </tp>
      <tp t="s">
        <v>#N/A N/A</v>
        <stp/>
        <stp>BDS|1024103551934204573</stp>
        <tr r="GM5" s="33"/>
      </tp>
      <tp t="s">
        <v>#N/A N/A</v>
        <stp/>
        <stp>BDS|1061593234895957601</stp>
        <tr r="DQ5" s="12"/>
      </tp>
      <tp t="s">
        <v>#N/A N/A</v>
        <stp/>
        <stp>BDS|4635448907733159704</stp>
        <tr r="SA5" s="26"/>
      </tp>
      <tp t="s">
        <v>#N/A N/A</v>
        <stp/>
        <stp>BDS|5790516570967325411</stp>
        <tr r="HQ5" s="26"/>
      </tp>
      <tp t="s">
        <v>#N/A N/A</v>
        <stp/>
        <stp>BDS|1704305824263588733</stp>
        <tr r="A5" s="10"/>
      </tp>
      <tp t="s">
        <v>#N/A N/A</v>
        <stp/>
        <stp>BDS|7673770558573840246</stp>
        <tr r="LS5" s="50"/>
      </tp>
      <tp t="s">
        <v>#N/A N/A</v>
        <stp/>
        <stp>BDS|8665931761672730098</stp>
        <tr r="EE5" s="50"/>
      </tp>
      <tp t="s">
        <v>#N/A N/A</v>
        <stp/>
        <stp>BDS|6634681136404361210</stp>
        <tr r="JK5" s="13"/>
      </tp>
      <tp t="s">
        <v>#N/A N/A</v>
        <stp/>
        <stp>BDS|5039439436903742480</stp>
        <tr r="A5" s="25"/>
      </tp>
      <tp t="s">
        <v>#N/A N/A</v>
        <stp/>
        <stp>BDS|6438611270006664491</stp>
        <tr r="JK5" s="36"/>
      </tp>
      <tp t="s">
        <v>#N/A N/A</v>
        <stp/>
        <stp>BDS|3626761804744865567</stp>
        <tr r="UY5" s="21"/>
        <tr r="UY5" s="34"/>
      </tp>
      <tp t="s">
        <v>#N/A N/A</v>
        <stp/>
        <stp>BDS|4839765771596741738</stp>
        <tr r="PE5" s="8"/>
        <tr r="MW5" s="14"/>
        <tr r="EU5" s="28"/>
        <tr r="TU5" s="50"/>
      </tp>
      <tp t="s">
        <v>#N/A N/A</v>
        <stp/>
        <stp>BDS|9132471095068079987</stp>
        <tr r="GM5" s="11"/>
      </tp>
      <tp t="s">
        <v>#N/A N/A</v>
        <stp/>
        <stp>BDS|7566556078894780446</stp>
        <tr r="OA5" s="43"/>
      </tp>
      <tp t="s">
        <v>#N/A N/A</v>
        <stp/>
        <stp>BDS|5272723120713259690</stp>
        <tr r="IU5" s="34"/>
        <tr r="DA5" s="11"/>
        <tr r="FI5" s="50"/>
      </tp>
      <tp t="s">
        <v>#N/A N/A</v>
        <stp/>
        <stp>BDS|5605599172306272449</stp>
        <tr r="OO5" s="40"/>
      </tp>
      <tp t="s">
        <v>#N/A N/A</v>
        <stp/>
        <stp>BDS|8313020101058002583</stp>
        <tr r="OA5" s="26"/>
      </tp>
      <tp t="s">
        <v>#N/A N/A</v>
        <stp/>
        <stp>BDS|1556832259858699114</stp>
        <tr r="IG5" s="48"/>
      </tp>
      <tp t="s">
        <v>#N/A N/A</v>
        <stp/>
        <stp>BDS|6853156121151144157</stp>
        <tr r="DA5" s="36"/>
      </tp>
      <tp t="s">
        <v>#N/A N/A</v>
        <stp/>
        <stp>BDS|9085626026879551181</stp>
        <tr r="VM5" s="16"/>
        <tr r="VM5" s="48"/>
        <tr r="TE5" s="10"/>
        <tr r="QW5" s="48"/>
      </tp>
      <tp t="s">
        <v>#N/A N/A</v>
        <stp/>
        <stp>BDS|9174476454519240494</stp>
        <tr r="TE5" s="48"/>
      </tp>
      <tp t="s">
        <v>#N/A N/A</v>
        <stp/>
        <stp>BDS|4270343501294675685</stp>
        <tr r="MW5" s="31"/>
      </tp>
      <tp t="s">
        <v>#N/A N/A</v>
        <stp/>
        <stp>BDS|4446544040429949974</stp>
        <tr r="UI5" s="21"/>
        <tr r="O5" s="40"/>
      </tp>
      <tp t="s">
        <v>#N/A N/A</v>
        <stp/>
        <stp>BDS|8016839516584874023</stp>
        <tr r="MG5" s="2"/>
      </tp>
      <tp t="s">
        <v>#N/A N/A</v>
        <stp/>
        <stp>BDS|3880968544493295874</stp>
        <tr r="BW5" s="13"/>
      </tp>
      <tp t="s">
        <v>#N/A N/A</v>
        <stp/>
        <stp>BDS|2143087466654949593</stp>
        <tr r="NK5" s="38"/>
      </tp>
      <tp t="s">
        <v>#N/A N/A</v>
        <stp/>
        <stp>BDS|6566340412070702188</stp>
        <tr r="GM5" s="3"/>
        <tr r="EE5" s="4"/>
        <tr r="OO5" s="10"/>
      </tp>
      <tp t="s">
        <v>#N/A N/A</v>
        <stp/>
        <stp>BDS|8943744793460074322</stp>
        <tr r="BW5" s="14"/>
      </tp>
      <tp t="s">
        <v>#N/A N/A</v>
        <stp/>
        <stp>BDS|5980775943991484243</stp>
        <tr r="LC5" s="19"/>
      </tp>
      <tp t="s">
        <v>#N/A N/A</v>
        <stp/>
        <stp>BDS|7680881974169623416</stp>
        <tr r="OO5" s="37"/>
      </tp>
      <tp t="s">
        <v>#N/A N/A</v>
        <stp/>
        <stp>BDS|3753685102461617164</stp>
        <tr r="KO5" s="44"/>
      </tp>
      <tp t="s">
        <v>#N/A N/A</v>
        <stp/>
        <stp>BDS|4875495168967786435</stp>
        <tr r="QI5" s="32"/>
        <tr r="DQ5" s="45"/>
      </tp>
      <tp t="s">
        <v>#N/A N/A</v>
        <stp/>
        <stp>BDS|4525417364900888352</stp>
        <tr r="NK5" s="8"/>
      </tp>
      <tp t="s">
        <v>#N/A N/A</v>
        <stp/>
        <stp>BDS|8797203542158443337</stp>
        <tr r="PS5" s="46"/>
      </tp>
      <tp t="s">
        <v>#N/A N/A</v>
        <stp/>
        <stp>BDS|8586635033771417939</stp>
        <tr r="BW5" s="37"/>
      </tp>
      <tp t="s">
        <v>#N/A N/A</v>
        <stp/>
        <stp>BDS|6702001255905839395</stp>
        <tr r="TE5" s="21"/>
      </tp>
      <tp t="s">
        <v>#N/A N/A</v>
        <stp/>
        <stp>BDS|2003221146442164348</stp>
        <tr r="JK5" s="24"/>
        <tr r="HC5" s="38"/>
      </tp>
      <tp t="s">
        <v>#N/A N/A</v>
        <stp/>
        <stp>BDS|6857098833618026831</stp>
        <tr r="UI5" s="4"/>
      </tp>
      <tp t="s">
        <v>#N/A N/A</v>
        <stp/>
        <stp>BDS|8748818211580082468</stp>
        <tr r="A5" s="29"/>
        <tr r="UY5" s="12"/>
        <tr r="RM5" s="24"/>
      </tp>
      <tp t="s">
        <v>#N/A N/A</v>
        <stp/>
        <stp>BDS|9321302090260568673</stp>
        <tr r="FI5" s="26"/>
      </tp>
      <tp t="s">
        <v>#N/A N/A</v>
        <stp/>
        <stp>BDS|7664674800772172615</stp>
        <tr r="MW5" s="27"/>
        <tr r="QI5" s="13"/>
      </tp>
      <tp t="s">
        <v>#N/A N/A</v>
        <stp/>
        <stp>BDS|7951192400925782663</stp>
        <tr r="DQ5" s="22"/>
        <tr r="FY5" s="46"/>
        <tr r="QI5" s="38"/>
      </tp>
      <tp t="s">
        <v>#N/A N/A</v>
        <stp/>
        <stp>BDS|9535909767083588012</stp>
        <tr r="IG5" s="6"/>
      </tp>
      <tp t="s">
        <v>#N/A N/A</v>
        <stp/>
        <stp>BDS|2700780054654848157</stp>
        <tr r="DA5" s="3"/>
        <tr r="FI5" s="14"/>
        <tr r="LC5" s="39"/>
      </tp>
      <tp t="s">
        <v>#N/A N/A</v>
        <stp/>
        <stp>BDS|1001203736453079605</stp>
        <tr r="RM5" s="27"/>
      </tp>
      <tp t="s">
        <v>#N/A N/A</v>
        <stp/>
        <stp>BDS|3269074566996432603</stp>
        <tr r="FI5" s="17"/>
      </tp>
      <tp t="s">
        <v>#N/A N/A</v>
        <stp/>
        <stp>BDS|2388147261258029817</stp>
        <tr r="QI5" s="15"/>
        <tr r="HC5" s="44"/>
        <tr r="BI5" s="49"/>
      </tp>
      <tp t="s">
        <v>#N/A N/A</v>
        <stp/>
        <stp>BDS|6350150970681922489</stp>
        <tr r="HQ5" s="33"/>
      </tp>
      <tp t="s">
        <v>#N/A N/A</v>
        <stp/>
        <stp>BDS|9466306096060182641</stp>
        <tr r="PS5" s="35"/>
        <tr r="BW5" s="47"/>
      </tp>
      <tp t="s">
        <v>#N/A N/A</v>
        <stp/>
        <stp>BDS|6407310047982665636</stp>
        <tr r="IU5" s="9"/>
      </tp>
      <tp t="s">
        <v>#N/A N/A</v>
        <stp/>
        <stp>BDS|6579184739356279719</stp>
        <tr r="JK5" s="38"/>
      </tp>
      <tp t="s">
        <v>#N/A N/A</v>
        <stp/>
        <stp>BDS|7017119282268636325</stp>
        <tr r="UY5" s="22"/>
      </tp>
      <tp t="s">
        <v>#N/A N/A</v>
        <stp/>
        <stp>BDS|4275605842982181161</stp>
        <tr r="QI5" s="34"/>
      </tp>
      <tp t="s">
        <v>#N/A N/A</v>
        <stp/>
        <stp>BDS|9713880576187832462</stp>
        <tr r="NK5" s="44"/>
      </tp>
      <tp t="s">
        <v>#N/A N/A</v>
        <stp/>
        <stp>BDS|7253832858578824761</stp>
        <tr r="UY5" s="33"/>
      </tp>
      <tp t="s">
        <v>#N/A N/A</v>
        <stp/>
        <stp>BDS|5204551452365389522</stp>
        <tr r="LC5" s="35"/>
      </tp>
      <tp t="s">
        <v>#N/A N/A</v>
        <stp/>
        <stp>BDS|1853083303300031474</stp>
        <tr r="MW5" s="41"/>
      </tp>
      <tp t="s">
        <v>#N/A N/A</v>
        <stp/>
        <stp>BDS|1120710623039210848</stp>
        <tr r="LS5" s="23"/>
        <tr r="RM5" s="30"/>
      </tp>
      <tp t="s">
        <v>#N/A N/A</v>
        <stp/>
        <stp>BDS|7520741848984534597</stp>
        <tr r="CM5" s="41"/>
      </tp>
      <tp t="s">
        <v>#N/A N/A</v>
        <stp/>
        <stp>BDS|4194649514281704730</stp>
        <tr r="GM5" s="10"/>
      </tp>
      <tp t="s">
        <v>#N/A N/A</v>
        <stp/>
        <stp>BDS|8419803541935988495</stp>
        <tr r="KO5" s="16"/>
        <tr r="QI5" s="31"/>
      </tp>
      <tp t="s">
        <v>#N/A N/A</v>
        <stp/>
        <stp>BDS|4709003411732546266</stp>
        <tr r="GM5" s="22"/>
        <tr r="O5" s="24"/>
      </tp>
      <tp t="s">
        <v>#N/A N/A</v>
        <stp/>
        <stp>BDS|6771793822392441729</stp>
        <tr r="GM5" s="37"/>
      </tp>
      <tp t="s">
        <v>#N/A N/A</v>
        <stp/>
        <stp>BDS|2092416709578248802</stp>
        <tr r="SQ5" s="6"/>
      </tp>
      <tp t="s">
        <v>#N/A N/A</v>
        <stp/>
        <stp>BDS|7310096515700351061</stp>
        <tr r="DQ5" s="43"/>
      </tp>
      <tp t="s">
        <v>#N/A N/A</v>
        <stp/>
        <stp>BDS|5478466850206116497</stp>
        <tr r="LS5" s="8"/>
        <tr r="TU5" s="17"/>
      </tp>
      <tp t="s">
        <v>#N/A N/A</v>
        <stp/>
        <stp>BDS|8137224013734825939</stp>
        <tr r="VM5" s="19"/>
        <tr r="DA5" s="42"/>
      </tp>
      <tp t="s">
        <v>#N/A N/A</v>
        <stp/>
        <stp>BDS|9372823820684311190</stp>
        <tr r="DA5" s="2"/>
      </tp>
      <tp t="s">
        <v>#N/A N/A</v>
        <stp/>
        <stp>BDS|5017097540723650444</stp>
        <tr r="TU5" s="34"/>
        <tr r="JK5" s="42"/>
        <tr r="MW5" s="47"/>
      </tp>
      <tp t="s">
        <v>#N/A N/A</v>
        <stp/>
        <stp>BDS|1883740911043153279</stp>
        <tr r="IG5" s="5"/>
        <tr r="CM5" s="16"/>
        <tr r="JK5" s="15"/>
      </tp>
      <tp t="s">
        <v>#N/A N/A</v>
        <stp/>
        <stp>BDS|1305806148383927893</stp>
        <tr r="DQ5" s="50"/>
      </tp>
      <tp t="s">
        <v>#N/A N/A</v>
        <stp/>
        <stp>BDS|2365781433205139523</stp>
        <tr r="PS5" s="6"/>
        <tr r="LC5" s="24"/>
        <tr r="VM5" s="35"/>
      </tp>
      <tp t="s">
        <v>#N/A N/A</v>
        <stp/>
        <stp>BDS|4056196526822570327</stp>
        <tr r="BI5" s="19"/>
        <tr r="FY5" s="41"/>
        <tr r="AE5" s="47"/>
      </tp>
      <tp t="s">
        <v>#N/A N/A</v>
        <stp/>
        <stp>BDS|3871021479243258195</stp>
        <tr r="SA5" s="11"/>
        <tr r="MG5" s="19"/>
      </tp>
      <tp t="s">
        <v>#N/A N/A</v>
        <stp/>
        <stp>BDS|5918040920409602827</stp>
        <tr r="LS5" s="7"/>
      </tp>
      <tp t="s">
        <v>#N/A N/A</v>
        <stp/>
        <stp>BDS|2848327923634795106</stp>
        <tr r="HC5" s="30"/>
      </tp>
      <tp t="s">
        <v>#N/A N/A</v>
        <stp/>
        <stp>BDS|4407629585305469992</stp>
        <tr r="AS5" s="46"/>
      </tp>
      <tp t="s">
        <v>#N/A N/A</v>
        <stp/>
        <stp>BDS|4828739432264159260</stp>
        <tr r="SQ5" s="19"/>
      </tp>
      <tp t="s">
        <v>#N/A N/A</v>
        <stp/>
        <stp>BDS|3688720177602463799</stp>
        <tr r="A5" s="18"/>
        <tr r="UY5" s="40"/>
      </tp>
      <tp t="s">
        <v>#N/A N/A</v>
        <stp/>
        <stp>BDS|7663397717817784438</stp>
        <tr r="IU5" s="14"/>
        <tr r="O5" s="47"/>
      </tp>
      <tp t="s">
        <v>#N/A N/A</v>
        <stp/>
        <stp>BDS|6025454073085283687</stp>
        <tr r="EE5" s="45"/>
        <tr r="QW5" s="32"/>
      </tp>
      <tp t="s">
        <v>#N/A N/A</v>
        <stp/>
        <stp>BDS|8094194026004185929</stp>
        <tr r="EE5" s="6"/>
      </tp>
      <tp t="s">
        <v>#N/A N/A</v>
        <stp/>
        <stp>BDS|5330898610348027267</stp>
        <tr r="QI5" s="7"/>
      </tp>
      <tp t="s">
        <v>#N/A N/A</v>
        <stp/>
        <stp>BDS|6646889284610199070</stp>
        <tr r="VM5" s="32"/>
      </tp>
      <tp t="s">
        <v>#N/A N/A</v>
        <stp/>
        <stp>BDS|2377114215337443318</stp>
        <tr r="FY5" s="16"/>
      </tp>
      <tp t="s">
        <v>#N/A N/A</v>
        <stp/>
        <stp>BDS|5477694054729903929</stp>
        <tr r="LS5" s="33"/>
      </tp>
      <tp t="s">
        <v>#N/A N/A</v>
        <stp/>
        <stp>BDS|1747224834546228015</stp>
        <tr r="LC5" s="38"/>
      </tp>
      <tp t="s">
        <v>#N/A N/A</v>
        <stp/>
        <stp>BDS|3529917786403354732</stp>
        <tr r="HC5" s="50"/>
      </tp>
      <tp t="s">
        <v>#N/A N/A</v>
        <stp/>
        <stp>BDS|5353419002930740756</stp>
        <tr r="DQ5" s="18"/>
      </tp>
      <tp t="s">
        <v>#N/A N/A</v>
        <stp/>
        <stp>BDS|4826834832210964927</stp>
        <tr r="GM5" s="9"/>
        <tr r="PS5" s="12"/>
        <tr r="VM5" s="9"/>
      </tp>
      <tp t="s">
        <v>#N/A N/A</v>
        <stp/>
        <stp>BDS|2132268860590631022</stp>
        <tr r="JK5" s="40"/>
      </tp>
      <tp t="s">
        <v>#N/A N/A</v>
        <stp/>
        <stp>BDS|4516359247912311772</stp>
        <tr r="EU5" s="11"/>
      </tp>
      <tp t="s">
        <v>#N/A N/A</v>
        <stp/>
        <stp>BDS|9498223285550081538</stp>
        <tr r="RM5" s="3"/>
        <tr r="KO5" s="6"/>
        <tr r="EU5" s="44"/>
      </tp>
      <tp t="s">
        <v>#N/A N/A</v>
        <stp/>
        <stp>BDS|7530138434443038023</stp>
        <tr r="BI5" s="45"/>
        <tr r="SQ5" s="30"/>
      </tp>
      <tp t="s">
        <v>#N/A N/A</v>
        <stp/>
        <stp>BDS|4416024012110751331</stp>
        <tr r="QI5" s="8"/>
      </tp>
      <tp t="s">
        <v>#N/A N/A</v>
        <stp/>
        <stp>BDS|3371025073232403079</stp>
        <tr r="TU5" s="11"/>
        <tr r="A5" s="37"/>
      </tp>
      <tp t="s">
        <v>#N/A N/A</v>
        <stp/>
        <stp>BDS|1099826842272554944</stp>
        <tr r="AE5" s="40"/>
      </tp>
      <tp t="s">
        <v>#N/A N/A</v>
        <stp/>
        <stp>BDS|3558439230162235058</stp>
        <tr r="KO5" s="20"/>
      </tp>
      <tp t="s">
        <v>#N/A N/A</v>
        <stp/>
        <stp>BDS|5312810389027350490</stp>
        <tr r="FI5" s="2"/>
      </tp>
      <tp t="s">
        <v>#N/A N/A</v>
        <stp/>
        <stp>BDS|6210258550707532044</stp>
        <tr r="TE5" s="18"/>
      </tp>
      <tp t="s">
        <v>#N/A N/A</v>
        <stp/>
        <stp>BDS|6032550509950243580</stp>
        <tr r="AS5" s="3"/>
      </tp>
      <tp t="s">
        <v>#N/A N/A</v>
        <stp/>
        <stp>BDS|3776378706204389239</stp>
        <tr r="A5" s="27"/>
      </tp>
      <tp t="s">
        <v>#N/A N/A</v>
        <stp/>
        <stp>BDS|7446511563472366036</stp>
        <tr r="MG5" s="39"/>
      </tp>
      <tp t="s">
        <v>#N/A N/A</v>
        <stp/>
        <stp>BDS|6587845941739220552</stp>
        <tr r="QW5" s="21"/>
      </tp>
      <tp t="s">
        <v>#N/A N/A</v>
        <stp/>
        <stp>BDS|7989294252757083154</stp>
        <tr r="IU5" s="45"/>
      </tp>
      <tp t="s">
        <v>#N/A N/A</v>
        <stp/>
        <stp>BDS|4088353237190743212</stp>
        <tr r="OA5" s="1"/>
      </tp>
      <tp t="s">
        <v>#N/A N/A</v>
        <stp/>
        <stp>BDS|9607234877799099366</stp>
        <tr r="SQ5" s="41"/>
      </tp>
      <tp t="s">
        <v>#N/A N/A</v>
        <stp/>
        <stp>BDS|7591655747345581667</stp>
        <tr r="OA5" s="45"/>
      </tp>
      <tp t="s">
        <v>#N/A N/A</v>
        <stp/>
        <stp>BDS|3936397838470866546</stp>
        <tr r="TE5" s="8"/>
      </tp>
      <tp t="s">
        <v>#N/A N/A</v>
        <stp/>
        <stp>BDS|2009476000340368007</stp>
        <tr r="TE5" s="25"/>
      </tp>
      <tp t="s">
        <v>#N/A N/A</v>
        <stp/>
        <stp>BDS|5449001943456381116</stp>
        <tr r="BW5" s="39"/>
        <tr r="AS5" s="21"/>
        <tr r="IU5" s="29"/>
      </tp>
      <tp t="s">
        <v>#N/A N/A</v>
        <stp/>
        <stp>BDS|6219362215155134750</stp>
        <tr r="LC5" s="17"/>
      </tp>
      <tp t="s">
        <v>#N/A N/A</v>
        <stp/>
        <stp>BDS|5915814923480673874</stp>
        <tr r="EE5" s="8"/>
        <tr r="QW5" s="14"/>
      </tp>
      <tp t="s">
        <v>#N/A N/A</v>
        <stp/>
        <stp>BDS|7275811856018822573</stp>
        <tr r="PE5" s="19"/>
      </tp>
      <tp t="s">
        <v>#N/A N/A</v>
        <stp/>
        <stp>BDS|3184506533480065295</stp>
        <tr r="DA5" s="18"/>
      </tp>
      <tp t="s">
        <v>#N/A N/A</v>
        <stp/>
        <stp>BDS|7912321477920630415</stp>
        <tr r="TE5" s="16"/>
        <tr r="PS5" s="43"/>
        <tr r="JY5" s="45"/>
      </tp>
      <tp t="s">
        <v>#N/A N/A</v>
        <stp/>
        <stp>BDS|9978644893230122141</stp>
        <tr r="A5" s="4"/>
      </tp>
      <tp t="s">
        <v>#N/A N/A</v>
        <stp/>
        <stp>BDS|6698091007378797941</stp>
        <tr r="EE5" s="7"/>
      </tp>
      <tp t="s">
        <v>#N/A N/A</v>
        <stp/>
        <stp>BDS|5219332669551242613</stp>
        <tr r="MW5" s="35"/>
        <tr r="OA5" s="46"/>
      </tp>
      <tp t="s">
        <v>#N/A N/A</v>
        <stp/>
        <stp>BDS|6545936942318901466</stp>
        <tr r="RM5" s="29"/>
      </tp>
      <tp t="s">
        <v>#N/A N/A</v>
        <stp/>
        <stp>BDS|1977772554425704159</stp>
        <tr r="EE5" s="3"/>
      </tp>
      <tp t="s">
        <v>#N/A N/A</v>
        <stp/>
        <stp>BDS|3784246372390843117</stp>
        <tr r="NK5" s="42"/>
      </tp>
      <tp t="s">
        <v>#N/A N/A</v>
        <stp/>
        <stp>BDS|4776315931760717388</stp>
        <tr r="BW5" s="26"/>
      </tp>
      <tp t="s">
        <v>#N/A N/A</v>
        <stp/>
        <stp>BDS|8195862066278918904</stp>
        <tr r="DA5" s="4"/>
        <tr r="GM5" s="45"/>
      </tp>
      <tp t="s">
        <v>#N/A N/A</v>
        <stp/>
        <stp>BDS|2819860393821249570</stp>
        <tr r="OA5" s="24"/>
      </tp>
      <tp t="s">
        <v>#N/A N/A</v>
        <stp/>
        <stp>BDS|9064787888905186493</stp>
        <tr r="UY5" s="44"/>
      </tp>
      <tp t="s">
        <v>#N/A N/A</v>
        <stp/>
        <stp>BDS|7301571159005707527</stp>
        <tr r="IU5" s="32"/>
      </tp>
      <tp t="s">
        <v>#N/A N/A</v>
        <stp/>
        <stp>BDS|5086496521911062504</stp>
        <tr r="JY5" s="12"/>
      </tp>
      <tp t="s">
        <v>#N/A N/A</v>
        <stp/>
        <stp>BDS|7239168958694291077</stp>
        <tr r="HC5" s="7"/>
      </tp>
      <tp t="s">
        <v>#N/A N/A</v>
        <stp/>
        <stp>BDS|2538580042614677004</stp>
        <tr r="HQ5" s="15"/>
      </tp>
      <tp t="s">
        <v>#N/A N/A</v>
        <stp/>
        <stp>BDS|1207772872631717790</stp>
        <tr r="NK5" s="30"/>
      </tp>
      <tp t="s">
        <v>#N/A N/A</v>
        <stp/>
        <stp>BDS|6939134706799292907</stp>
        <tr r="PE5" s="18"/>
      </tp>
      <tp t="s">
        <v>#N/A N/A</v>
        <stp/>
        <stp>BDS|7442042433994579786</stp>
        <tr r="NK5" s="5"/>
      </tp>
      <tp t="s">
        <v>#N/A N/A</v>
        <stp/>
        <stp>BDS|6512073549584214177</stp>
        <tr r="FI5" s="38"/>
      </tp>
      <tp t="s">
        <v>#N/A N/A</v>
        <stp/>
        <stp>BDS|1825721947164607154</stp>
        <tr r="KO5" s="14"/>
      </tp>
      <tp t="s">
        <v>#N/A N/A</v>
        <stp/>
        <stp>BDS|6790507609655640169</stp>
        <tr r="SA5" s="42"/>
      </tp>
      <tp t="s">
        <v>#N/A N/A</v>
        <stp/>
        <stp>BDS|2576729627162477281</stp>
        <tr r="IU5" s="12"/>
      </tp>
      <tp t="s">
        <v>#N/A N/A</v>
        <stp/>
        <stp>BDS|9914095919278067752</stp>
        <tr r="MG5" s="16"/>
        <tr r="FI5" s="25"/>
      </tp>
      <tp t="s">
        <v>#N/A N/A</v>
        <stp/>
        <stp>BDS|9495237389754633049</stp>
        <tr r="RM5" s="18"/>
      </tp>
      <tp t="s">
        <v>#N/A N/A</v>
        <stp/>
        <stp>BDS|5102232879665006268</stp>
        <tr r="OO5" s="19"/>
      </tp>
      <tp t="s">
        <v>#N/A N/A</v>
        <stp/>
        <stp>BDS|2728629778517652369</stp>
        <tr r="TE5" s="24"/>
      </tp>
      <tp t="s">
        <v>#N/A N/A</v>
        <stp/>
        <stp>BDS|5086824281936852466</stp>
        <tr r="TE5" s="1"/>
        <tr r="PS5" s="2"/>
        <tr r="HQ5" s="3"/>
        <tr r="OO5" s="4"/>
        <tr r="O5" s="5"/>
        <tr r="PS5" s="5"/>
        <tr r="O5" s="12"/>
        <tr r="MG5" s="18"/>
        <tr r="IU5" s="19"/>
        <tr r="LC5" s="23"/>
        <tr r="OO5" s="28"/>
        <tr r="BW5" s="31"/>
        <tr r="PS5" s="32"/>
        <tr r="O5" s="34"/>
        <tr r="UI5" s="35"/>
        <tr r="IU5" s="36"/>
        <tr r="DA5" s="38"/>
        <tr r="IU5" s="39"/>
        <tr r="GM5" s="40"/>
        <tr r="IU5" s="42"/>
        <tr r="O5" s="42"/>
        <tr r="FI5" s="49"/>
      </tp>
      <tp t="s">
        <v>#N/A N/A</v>
        <stp/>
        <stp>BDS|8874216075198754297</stp>
        <tr r="UI5" s="32"/>
      </tp>
      <tp t="s">
        <v>#N/A N/A</v>
        <stp/>
        <stp>BDS|4311353579861827658</stp>
        <tr r="JY5" s="16"/>
      </tp>
      <tp t="s">
        <v>#N/A N/A</v>
        <stp/>
        <stp>BDS|6475282996848100298</stp>
        <tr r="BI5" s="11"/>
      </tp>
      <tp t="s">
        <v>#N/A N/A</v>
        <stp/>
        <stp>BDS|4831313396030982956</stp>
        <tr r="LS5" s="1"/>
      </tp>
      <tp t="s">
        <v>#N/A N/A</v>
        <stp/>
        <stp>BDS|8097213201589100422</stp>
        <tr r="DQ5" s="19"/>
        <tr r="QI5" s="36"/>
      </tp>
      <tp t="s">
        <v>#N/A N/A</v>
        <stp/>
        <stp>BDS|3665730877764604073</stp>
        <tr r="PS5" s="13"/>
        <tr r="O5" s="15"/>
        <tr r="HQ5" s="12"/>
        <tr r="AS5" s="18"/>
        <tr r="GM5" s="34"/>
      </tp>
      <tp t="s">
        <v>#N/A N/A</v>
        <stp/>
        <stp>BDS|2325831274362617817</stp>
        <tr r="QI5" s="21"/>
      </tp>
      <tp t="s">
        <v>#N/A N/A</v>
        <stp/>
        <stp>BDS|3055586749391409464</stp>
        <tr r="OO5" s="33"/>
      </tp>
      <tp t="s">
        <v>#N/A N/A</v>
        <stp/>
        <stp>BDS|4014432515890027667</stp>
        <tr r="QW5" s="12"/>
      </tp>
      <tp t="s">
        <v>#N/A N/A</v>
        <stp/>
        <stp>BDS|4421655340634596547</stp>
        <tr r="SA5" s="34"/>
      </tp>
      <tp t="s">
        <v>#N/A N/A</v>
        <stp/>
        <stp>BDS|6152701468646110680</stp>
        <tr r="TU5" s="6"/>
        <tr r="HC5" s="6"/>
        <tr r="BI5" s="18"/>
        <tr r="HC5" s="34"/>
      </tp>
      <tp t="s">
        <v>#N/A N/A</v>
        <stp/>
        <stp>BDS|1000350471556261463</stp>
        <tr r="BW5" s="4"/>
        <tr r="QW5" s="37"/>
        <tr r="TE5" s="22"/>
      </tp>
      <tp t="s">
        <v>#N/A N/A</v>
        <stp/>
        <stp>BDS|5151590536821755598</stp>
        <tr r="LS5" s="37"/>
      </tp>
      <tp t="s">
        <v>#N/A N/A</v>
        <stp/>
        <stp>BDS|9173899626725927161</stp>
        <tr r="FY5" s="25"/>
      </tp>
      <tp t="s">
        <v>#N/A N/A</v>
        <stp/>
        <stp>BDS|8255529956127507827</stp>
        <tr r="SA5" s="32"/>
      </tp>
      <tp t="s">
        <v>#N/A N/A</v>
        <stp/>
        <stp>BDS|3024304565504742535</stp>
        <tr r="VM5" s="30"/>
        <tr r="HQ5" s="16"/>
        <tr r="BW5" s="42"/>
      </tp>
      <tp t="s">
        <v>#N/A N/A</v>
        <stp/>
        <stp>BDS|2210591899021043830</stp>
        <tr r="IG5" s="24"/>
      </tp>
      <tp t="s">
        <v>#N/A N/A</v>
        <stp/>
        <stp>BDS|2285892483180962575</stp>
        <tr r="EE5" s="23"/>
      </tp>
      <tp t="s">
        <v>#N/A N/A</v>
        <stp/>
        <stp>BDS|4956396107955876590</stp>
        <tr r="LS5" s="20"/>
      </tp>
      <tp t="s">
        <v>#N/A N/A</v>
        <stp/>
        <stp>BDS|3184579133977108529</stp>
        <tr r="DA5" s="46"/>
      </tp>
      <tp t="s">
        <v>#N/A N/A</v>
        <stp/>
        <stp>BDS|7109429595874620964</stp>
        <tr r="SQ5" s="37"/>
      </tp>
      <tp t="s">
        <v>#N/A N/A</v>
        <stp/>
        <stp>BDS|2822083537570331639</stp>
        <tr r="UY5" s="16"/>
        <tr r="SQ5" s="10"/>
        <tr r="QI5" s="48"/>
        <tr r="UY5" s="48"/>
      </tp>
      <tp t="s">
        <v>#N/A N/A</v>
        <stp/>
        <stp>BDS|5816085977221519458</stp>
        <tr r="KO5" s="4"/>
        <tr r="QI5" s="16"/>
        <tr r="OA5" s="17"/>
        <tr r="UY5" s="47"/>
      </tp>
      <tp t="s">
        <v>#N/A N/A</v>
        <stp/>
        <stp>BDS|1784637256604782123</stp>
        <tr r="OO5" s="14"/>
      </tp>
      <tp t="s">
        <v>#N/A N/A</v>
        <stp/>
        <stp>BDS|4893901504979015388</stp>
        <tr r="MG5" s="32"/>
      </tp>
      <tp t="s">
        <v>#N/A N/A</v>
        <stp/>
        <stp>BDS|7848216739824717536</stp>
        <tr r="TE5" s="15"/>
      </tp>
      <tp t="s">
        <v>#N/A N/A</v>
        <stp/>
        <stp>BDS|8295365256048644108</stp>
        <tr r="JY5" s="40"/>
      </tp>
      <tp t="s">
        <v>#N/A N/A</v>
        <stp/>
        <stp>BDS|6042411636085100322</stp>
        <tr r="VM5" s="21"/>
        <tr r="VM5" s="34"/>
      </tp>
      <tp t="s">
        <v>#N/A N/A</v>
        <stp/>
        <stp>BDS|4632914587995433715</stp>
        <tr r="HQ5" s="7"/>
      </tp>
      <tp t="s">
        <v>#N/A N/A</v>
        <stp/>
        <stp>BDS|9159950363855504479</stp>
        <tr r="DA5" s="1"/>
      </tp>
      <tp t="s">
        <v>#N/A N/A</v>
        <stp/>
        <stp>BDS|2610273110412286397</stp>
        <tr r="IU5" s="26"/>
      </tp>
      <tp t="s">
        <v>#N/A N/A</v>
        <stp/>
        <stp>BDS|2636233459780607502</stp>
        <tr r="DQ5" s="4"/>
        <tr r="OA5" s="10"/>
        <tr r="FY5" s="3"/>
      </tp>
      <tp t="s">
        <v>#N/A N/A</v>
        <stp/>
        <stp>BDS|9267595651529002010</stp>
        <tr r="O5" s="11"/>
      </tp>
      <tp t="s">
        <v>#N/A N/A</v>
        <stp/>
        <stp>BDS|5072422103809916804</stp>
        <tr r="OO5" s="29"/>
      </tp>
      <tp t="s">
        <v>#N/A N/A</v>
        <stp/>
        <stp>BDS|5125193675395120649</stp>
        <tr r="LS5" s="21"/>
      </tp>
      <tp t="s">
        <v>#N/A N/A</v>
        <stp/>
        <stp>BDS|5047188265927294573</stp>
        <tr r="OA5" s="47"/>
      </tp>
      <tp t="s">
        <v>#N/A N/A</v>
        <stp/>
        <stp>BDS|8127893037284698718</stp>
        <tr r="SA5" s="28"/>
      </tp>
      <tp t="s">
        <v>#N/A N/A</v>
        <stp/>
        <stp>BDS|7156497027323654210</stp>
        <tr r="LS5" s="31"/>
      </tp>
      <tp t="s">
        <v>#N/A N/A</v>
        <stp/>
        <stp>BDS|7260454511590771284</stp>
        <tr r="PS5" s="26"/>
        <tr r="JY5" s="41"/>
      </tp>
      <tp t="s">
        <v>#N/A N/A</v>
        <stp/>
        <stp>BDS|3259725983044885850</stp>
        <tr r="SA5" s="33"/>
      </tp>
      <tp t="s">
        <v>#N/A N/A</v>
        <stp/>
        <stp>BDS|6772281089199189597</stp>
        <tr r="TU5" s="18"/>
        <tr r="EU5" s="43"/>
        <tr r="A5" s="50"/>
      </tp>
      <tp t="s">
        <v>#N/A N/A</v>
        <stp/>
        <stp>BDS|1837321546043456567</stp>
        <tr r="HC5" s="8"/>
      </tp>
      <tp t="s">
        <v>#N/A N/A</v>
        <stp/>
        <stp>BDS|3469830578454741860</stp>
        <tr r="CM5" s="20"/>
      </tp>
      <tp t="s">
        <v>#N/A N/A</v>
        <stp/>
        <stp>BDS|6842352921354324308</stp>
        <tr r="LC5" s="21"/>
        <tr r="FI5" s="31"/>
        <tr r="OO5" s="36"/>
        <tr r="AS5" s="50"/>
      </tp>
      <tp t="s">
        <v>#N/A N/A</v>
        <stp/>
        <stp>BDS|5443683501457388417</stp>
        <tr r="UY5" s="23"/>
      </tp>
      <tp t="s">
        <v>#N/A N/A</v>
        <stp/>
        <stp>BDS|1399406082884945972</stp>
        <tr r="MG5" s="36"/>
      </tp>
      <tp t="s">
        <v>#N/A N/A</v>
        <stp/>
        <stp>BDS|7888215914424117002</stp>
        <tr r="JY5" s="37"/>
      </tp>
      <tp t="s">
        <v>#N/A N/A</v>
        <stp/>
        <stp>BDS|5461305821465840118</stp>
        <tr r="CM5" s="47"/>
      </tp>
      <tp t="s">
        <v>#N/A N/A</v>
        <stp/>
        <stp>BDS|7701806349622120931</stp>
        <tr r="IG5" s="1"/>
      </tp>
      <tp t="s">
        <v>#N/A N/A</v>
        <stp/>
        <stp>BDS|1670386557475576203</stp>
        <tr r="MW5" s="43"/>
      </tp>
      <tp t="s">
        <v>#N/A N/A</v>
        <stp/>
        <stp>BDS|4184470504424163400</stp>
        <tr r="SA5" s="27"/>
      </tp>
      <tp t="s">
        <v>#N/A N/A</v>
        <stp/>
        <stp>BDS|7302237409553864626</stp>
        <tr r="RM5" s="48"/>
      </tp>
      <tp t="s">
        <v>#N/A N/A</v>
        <stp/>
        <stp>BDS|1915618344317861450</stp>
        <tr r="PE5" s="37"/>
      </tp>
      <tp t="s">
        <v>#N/A N/A</v>
        <stp/>
        <stp>BDS|1050715466860350051</stp>
        <tr r="LS5" s="34"/>
        <tr r="LS5" s="9"/>
      </tp>
      <tp t="s">
        <v>#N/A N/A</v>
        <stp/>
        <stp>BDS|5519056941853777275</stp>
        <tr r="SA5" s="36"/>
      </tp>
      <tp t="s">
        <v>#N/A N/A</v>
        <stp/>
        <stp>BDS|2948772729471565639</stp>
        <tr r="EU5" s="4"/>
      </tp>
      <tp t="s">
        <v>#N/A N/A</v>
        <stp/>
        <stp>BDS|2203909942127769869</stp>
        <tr r="UI5" s="7"/>
        <tr r="GM5" s="38"/>
      </tp>
      <tp t="s">
        <v>#N/A N/A</v>
        <stp/>
        <stp>BDS|6321117101642318517</stp>
        <tr r="MG5" s="23"/>
        <tr r="SA5" s="30"/>
      </tp>
      <tp t="s">
        <v>#N/A N/A</v>
        <stp/>
        <stp>BDS|9576722384391598700</stp>
        <tr r="KO5" s="19"/>
      </tp>
      <tp t="s">
        <v>#N/A N/A</v>
        <stp/>
        <stp>BDS|9771391916929853265</stp>
        <tr r="JY5" s="20"/>
      </tp>
      <tp t="s">
        <v>#N/A N/A</v>
        <stp/>
        <stp>BDS|3614178636475909480</stp>
        <tr r="NK5" s="4"/>
      </tp>
      <tp t="s">
        <v>#N/A N/A</v>
        <stp/>
        <stp>BDS|5367056345543674230</stp>
        <tr r="FY5" s="28"/>
        <tr r="CM5" s="30"/>
      </tp>
      <tp t="s">
        <v>#N/A N/A</v>
        <stp/>
        <stp>BDS|8296152926478708317</stp>
        <tr r="UI5" s="37"/>
      </tp>
      <tp t="s">
        <v>#N/A N/A</v>
        <stp/>
        <stp>BDS|4193222441921385365</stp>
        <tr r="TE5" s="46"/>
      </tp>
      <tp t="s">
        <v>#N/A N/A</v>
        <stp/>
        <stp>BDS|6986710324972112199</stp>
        <tr r="TU5" s="7"/>
        <tr r="FY5" s="38"/>
      </tp>
      <tp t="s">
        <v>#N/A N/A</v>
        <stp/>
        <stp>BDS|1403256784203592840</stp>
        <tr r="OO5" s="44"/>
      </tp>
      <tp t="s">
        <v>#N/A N/A</v>
        <stp/>
        <stp>BDS|6362590406421048298</stp>
        <tr r="OO5" s="50"/>
        <tr r="MG5" s="17"/>
      </tp>
      <tp t="s">
        <v>#N/A N/A</v>
        <stp/>
        <stp>BDS|8232480828287600917</stp>
        <tr r="EU5" s="35"/>
      </tp>
      <tp t="s">
        <v>#N/A N/A</v>
        <stp/>
        <stp>BDS|3787220714541835032</stp>
        <tr r="BW5" s="35"/>
      </tp>
      <tp t="s">
        <v>#N/A N/A</v>
        <stp/>
        <stp>BDS|4133332626032905674</stp>
        <tr r="FY5" s="42"/>
      </tp>
      <tp t="s">
        <v>#N/A N/A</v>
        <stp/>
        <stp>BDS|2418159625334961466</stp>
        <tr r="OO5" s="3"/>
      </tp>
      <tp t="s">
        <v>#N/A N/A</v>
        <stp/>
        <stp>BDS|3962179321983593217</stp>
        <tr r="BI5" s="50"/>
      </tp>
      <tp t="s">
        <v>#N/A N/A</v>
        <stp/>
        <stp>BDS|3739782552500155078</stp>
        <tr r="UI5" s="23"/>
      </tp>
      <tp t="s">
        <v>#N/A N/A</v>
        <stp/>
        <stp>BDS|7997419070991717446</stp>
        <tr r="A5" s="44"/>
      </tp>
      <tp t="s">
        <v>#N/A N/A</v>
        <stp/>
        <stp>BDS|8675404801028541591</stp>
        <tr r="FI5" s="1"/>
      </tp>
      <tp t="s">
        <v>#N/A N/A</v>
        <stp/>
        <stp>BDS|7467713641534441188</stp>
        <tr r="TE5" s="36"/>
      </tp>
      <tp t="s">
        <v>#N/A N/A</v>
        <stp/>
        <stp>BDS|2982108266057160366</stp>
        <tr r="OA5" s="13"/>
        <tr r="CM5" s="34"/>
      </tp>
      <tp t="s">
        <v>#N/A N/A</v>
        <stp/>
        <stp>BDS|3075588862104072537</stp>
        <tr r="VM5" s="36"/>
      </tp>
      <tp t="s">
        <v>#N/A N/A</v>
        <stp/>
        <stp>BDS|7039616462703985536</stp>
        <tr r="SA5" s="8"/>
      </tp>
      <tp t="s">
        <v>#N/A N/A</v>
        <stp/>
        <stp>BDS|6021491801443519047</stp>
        <tr r="PS5" s="19"/>
      </tp>
      <tp t="s">
        <v>#N/A N/A</v>
        <stp/>
        <stp>BDS|8035391687441619316</stp>
        <tr r="UI5" s="34"/>
        <tr r="JY5" s="42"/>
        <tr r="NK5" s="47"/>
      </tp>
      <tp t="s">
        <v>#N/A N/A</v>
        <stp/>
        <stp>BDS|1870006292630113943</stp>
        <tr r="MW5" s="21"/>
      </tp>
      <tp t="s">
        <v>#N/A N/A</v>
        <stp/>
        <stp>BDS|8885381786607976520</stp>
        <tr r="JY5" s="21"/>
      </tp>
      <tp t="s">
        <v>#N/A N/A</v>
        <stp/>
        <stp>BDS|3728332045057485286</stp>
        <tr r="OO5" s="24"/>
      </tp>
      <tp t="s">
        <v>#N/A N/A</v>
        <stp/>
        <stp>BDS|4578311833362319799</stp>
        <tr r="QW5" s="42"/>
      </tp>
      <tp t="s">
        <v>#N/A N/A</v>
        <stp/>
        <stp>BDS|8890872431572987059</stp>
        <tr r="CM5" s="46"/>
      </tp>
      <tp t="s">
        <v>#N/A N/A</v>
        <stp/>
        <stp>BDS|5833700816685876741</stp>
        <tr r="GM5" s="25"/>
      </tp>
      <tp t="s">
        <v>#N/A N/A</v>
        <stp/>
        <stp>BDS|7670741960574184302</stp>
        <tr r="NK5" s="11"/>
        <tr r="TE5" s="44"/>
      </tp>
      <tp t="s">
        <v>#N/A N/A</v>
        <stp/>
        <stp>BDS|3875985339389186182</stp>
        <tr r="DQ5" s="2"/>
        <tr r="EU5" s="45"/>
        <tr r="HC5" s="27"/>
      </tp>
      <tp t="s">
        <v>#N/A N/A</v>
        <stp/>
        <stp>BDS|6224209211817034331</stp>
        <tr r="QW5" s="22"/>
      </tp>
      <tp t="s">
        <v>#N/A N/A</v>
        <stp/>
        <stp>BDS|4566364742175831795</stp>
        <tr r="UY5" s="29"/>
      </tp>
      <tp t="s">
        <v>#N/A N/A</v>
        <stp/>
        <stp>BDS|7866852348392367864</stp>
        <tr r="HQ5" s="11"/>
      </tp>
      <tp t="s">
        <v>#N/A N/A</v>
        <stp/>
        <stp>BDS|2792762411723125603</stp>
        <tr r="FY5" s="23"/>
        <tr r="HC5" s="45"/>
      </tp>
      <tp t="s">
        <v>#N/A N/A</v>
        <stp/>
        <stp>BDS|1969258069816013241</stp>
        <tr r="NK5" s="9"/>
        <tr r="O5" s="1"/>
        <tr r="HQ5" s="5"/>
      </tp>
      <tp t="s">
        <v>#N/A N/A</v>
        <stp/>
        <stp>BDS|9974974869272552533</stp>
        <tr r="LC5" s="1"/>
      </tp>
      <tp t="s">
        <v>#N/A N/A</v>
        <stp/>
        <stp>BDS|5682738739359440992</stp>
        <tr r="MG5" s="27"/>
      </tp>
      <tp t="s">
        <v>#N/A N/A</v>
        <stp/>
        <stp>BDS|7396545790883593947</stp>
        <tr r="AS5" s="12"/>
      </tp>
      <tp t="s">
        <v>#N/A N/A</v>
        <stp/>
        <stp>BDS|5731528740272782749</stp>
        <tr r="MW5" s="33"/>
      </tp>
      <tp t="s">
        <v>#N/A N/A</v>
        <stp/>
        <stp>BDS|2698036566354252177</stp>
        <tr r="MG5" s="9"/>
        <tr r="MG5" s="34"/>
      </tp>
      <tp t="s">
        <v>#N/A N/A</v>
        <stp/>
        <stp>BDS|1288656107833281542</stp>
        <tr r="PE5" s="38"/>
      </tp>
      <tp t="s">
        <v>#N/A N/A</v>
        <stp/>
        <stp>BDS|2266264030324443664</stp>
        <tr r="OO5" s="7"/>
      </tp>
      <tp t="s">
        <v>#N/A N/A</v>
        <stp/>
        <stp>BDS|3465430740207930586</stp>
        <tr r="JK5" s="17"/>
      </tp>
      <tp t="s">
        <v>#N/A N/A</v>
        <stp/>
        <stp>BDS|9319067685631497128</stp>
        <tr r="LC5" s="46"/>
      </tp>
      <tp t="s">
        <v>#N/A N/A</v>
        <stp/>
        <stp>BDS|6845303693554551980</stp>
        <tr r="QW5" s="46"/>
      </tp>
      <tp t="s">
        <v>#N/A N/A</v>
        <stp/>
        <stp>BDS|8526038780457363623</stp>
        <tr r="GM5" s="31"/>
        <tr r="MG5" s="14"/>
        <tr r="UI5" s="42"/>
      </tp>
      <tp t="s">
        <v>#N/A N/A</v>
        <stp/>
        <stp>BDS|6411524713892213105</stp>
        <tr r="MW5" s="19"/>
      </tp>
      <tp t="s">
        <v>#N/A N/A</v>
        <stp/>
        <stp>BDS|4206129268631782387</stp>
        <tr r="MW5" s="49"/>
      </tp>
      <tp t="s">
        <v>#N/A N/A</v>
        <stp/>
        <stp>BDS|7808756698248349011</stp>
        <tr r="AE5" s="46"/>
      </tp>
      <tp t="s">
        <v>#N/A N/A</v>
        <stp/>
        <stp>BDS|3708008932004594575</stp>
        <tr r="AE5" s="19"/>
      </tp>
      <tp t="s">
        <v>#N/A N/A</v>
        <stp/>
        <stp>BDS|5795162746496369700</stp>
        <tr r="EE5" s="13"/>
      </tp>
      <tp t="s">
        <v>#N/A N/A</v>
        <stp/>
        <stp>BDS|1492248476233262603</stp>
        <tr r="BW5" s="30"/>
      </tp>
      <tp t="s">
        <v>#N/A N/A</v>
        <stp/>
        <stp>BDS|1922053882528936029</stp>
        <tr r="A5" s="14"/>
      </tp>
      <tp t="s">
        <v>#N/A N/A</v>
        <stp/>
        <stp>BDS|6421404163643097626</stp>
        <tr r="MG5" s="41"/>
      </tp>
      <tp t="s">
        <v>#N/A N/A</v>
        <stp/>
        <stp>BDS|3838383304035916482</stp>
        <tr r="AE5" s="10"/>
        <tr r="QI5" s="28"/>
      </tp>
      <tp t="s">
        <v>#N/A N/A</v>
        <stp/>
        <stp>BDS|3618727551161874180</stp>
        <tr r="JK5" s="43"/>
      </tp>
      <tp t="s">
        <v>#N/A N/A</v>
        <stp/>
        <stp>BDS|4402032454753437323</stp>
        <tr r="LS5" s="12"/>
      </tp>
      <tp t="s">
        <v>#N/A N/A</v>
        <stp/>
        <stp>BDS|8320826800144393681</stp>
        <tr r="NK5" s="15"/>
      </tp>
      <tp t="s">
        <v>#N/A N/A</v>
        <stp/>
        <stp>BDS|3019395567335472105</stp>
        <tr r="NK5" s="49"/>
      </tp>
      <tp t="s">
        <v>#N/A N/A</v>
        <stp/>
        <stp>BDS|2287892240495666963</stp>
        <tr r="KO5" s="11"/>
        <tr r="UY5" s="11"/>
      </tp>
      <tp t="s">
        <v>#N/A N/A</v>
        <stp/>
        <stp>BDS|3523795971916767710</stp>
        <tr r="JK5" s="14"/>
      </tp>
      <tp t="s">
        <v>#N/A N/A</v>
        <stp/>
        <stp>BDS|9439992936890504156</stp>
        <tr r="SA5" s="9"/>
        <tr r="HQ5" s="29"/>
        <tr r="HQ5" s="23"/>
      </tp>
      <tp t="s">
        <v>#N/A N/A</v>
        <stp/>
        <stp>BDS|3668055919272671276</stp>
        <tr r="UI5" s="15"/>
      </tp>
      <tp t="s">
        <v>#N/A N/A</v>
        <stp/>
        <stp>BDS|7409903482154515082</stp>
        <tr r="HQ5" s="24"/>
      </tp>
      <tp t="s">
        <v>#N/A N/A</v>
        <stp/>
        <stp>BDS|6987402430416222508</stp>
        <tr r="EU5" s="12"/>
      </tp>
      <tp t="s">
        <v>#N/A N/A</v>
        <stp/>
        <stp>BDS|3589972628242516867</stp>
        <tr r="TE5" s="47"/>
      </tp>
      <tp t="s">
        <v>#N/A N/A</v>
        <stp/>
        <stp>BDS|8427234179438088777</stp>
        <tr r="BW5" s="25"/>
      </tp>
      <tp t="s">
        <v>#N/A N/A</v>
        <stp/>
        <stp>BDS|6921236450636542564</stp>
        <tr r="LS5" s="22"/>
        <tr r="SQ5" s="32"/>
      </tp>
      <tp t="s">
        <v>#N/A N/A</v>
        <stp/>
        <stp>BDS|1950466765085355402</stp>
        <tr r="SA5" s="1"/>
        <tr r="O5" s="33"/>
        <tr r="SA5" s="41"/>
        <tr r="UI5" s="33"/>
      </tp>
      <tp t="s">
        <v>#N/A N/A</v>
        <stp/>
        <stp>BDS|3233758214035436295</stp>
        <tr r="OA5" s="11"/>
        <tr r="FY5" s="30"/>
        <tr r="EU5" s="34"/>
      </tp>
      <tp t="s">
        <v>#N/A N/A</v>
        <stp/>
        <stp>BDS|8947350493386166612</stp>
        <tr r="VM5" s="27"/>
      </tp>
      <tp t="s">
        <v>#N/A N/A</v>
        <stp/>
        <stp>BDS|2788508920892821509</stp>
        <tr r="EU5" s="32"/>
      </tp>
      <tp t="s">
        <v>#N/A N/A</v>
        <stp/>
        <stp>BDS|9183889621589655814</stp>
        <tr r="QI5" s="29"/>
      </tp>
      <tp t="s">
        <v>#N/A N/A</v>
        <stp/>
        <stp>BDS|3311003629796441528</stp>
        <tr r="HC5" s="11"/>
      </tp>
      <tp t="s">
        <v>#N/A N/A</v>
        <stp/>
        <stp>BDS|7114111408142275665</stp>
        <tr r="BW5" s="45"/>
        <tr r="TE5" s="30"/>
      </tp>
      <tp t="s">
        <v>#N/A N/A</v>
        <stp/>
        <stp>BDS|7862741575403728620</stp>
        <tr r="O5" s="4"/>
      </tp>
      <tp t="s">
        <v>#N/A N/A</v>
        <stp/>
        <stp>BDS|9904021961624324950</stp>
        <tr r="JY5" s="1"/>
      </tp>
      <tp t="s">
        <v>#N/A N/A</v>
        <stp/>
        <stp>BDS|9050474861828959123</stp>
        <tr r="MG5" s="48"/>
      </tp>
      <tp t="s">
        <v>#N/A N/A</v>
        <stp/>
        <stp>BDS|8428297687177745700</stp>
        <tr r="EE5" s="39"/>
      </tp>
      <tp t="s">
        <v>#N/A N/A</v>
        <stp/>
        <stp>BDS|5611088817834072240</stp>
        <tr r="OA5" s="6"/>
        <tr r="CM5" s="29"/>
        <tr r="AE5" s="45"/>
      </tp>
      <tp t="s">
        <v>#N/A N/A</v>
        <stp/>
        <stp>BDS|6306126361526543583</stp>
        <tr r="OO5" s="11"/>
        <tr r="GM5" s="30"/>
        <tr r="FI5" s="34"/>
      </tp>
      <tp t="s">
        <v>#N/A N/A</v>
        <stp/>
        <stp>BDS|5168124978516939708</stp>
        <tr r="DA5" s="49"/>
      </tp>
      <tp t="s">
        <v>#N/A N/A</v>
        <stp/>
        <stp>BDS|7478793338908392949</stp>
        <tr r="SA5" s="5"/>
      </tp>
      <tp t="s">
        <v>#N/A N/A</v>
        <stp/>
        <stp>BDS|8462453075149149073</stp>
        <tr r="KO5" s="33"/>
        <tr r="EU5" s="47"/>
      </tp>
      <tp t="s">
        <v>#N/A N/A</v>
        <stp/>
        <stp>BDS|1982199673761756463</stp>
        <tr r="CM5" s="26"/>
      </tp>
      <tp t="s">
        <v>#N/A N/A</v>
        <stp/>
        <stp>BDS|9479987238911201048</stp>
        <tr r="EE5" s="12"/>
      </tp>
      <tp t="s">
        <v>#N/A N/A</v>
        <stp/>
        <stp>BDS|6775108255967599758</stp>
        <tr r="DQ5" s="21"/>
        <tr r="BI5" s="38"/>
      </tp>
      <tp t="s">
        <v>#N/A N/A</v>
        <stp/>
        <stp>BDS|8321126293707059502</stp>
        <tr r="PS5" s="25"/>
      </tp>
      <tp t="s">
        <v>#N/A N/A</v>
        <stp/>
        <stp>BDS|1802672316815909138</stp>
        <tr r="SA5" s="7"/>
      </tp>
      <tp t="s">
        <v>#N/A N/A</v>
        <stp/>
        <stp>BDS|7860520254170975543</stp>
        <tr r="DQ5" s="46"/>
      </tp>
      <tp t="s">
        <v>#N/A N/A</v>
        <stp/>
        <stp>BDS|3596604761443257276</stp>
        <tr r="OO5" s="34"/>
      </tp>
      <tp t="s">
        <v>#N/A N/A</v>
        <stp/>
        <stp>BDS|4371313407282098741</stp>
        <tr r="QW5" s="39"/>
        <tr r="TE5" s="43"/>
      </tp>
      <tp t="s">
        <v>#N/A N/A</v>
        <stp/>
        <stp>BDS|1663027903732587131</stp>
        <tr r="UI5" s="40"/>
      </tp>
      <tp t="s">
        <v>#N/A N/A</v>
        <stp/>
        <stp>BDS|9388810315381730360</stp>
        <tr r="MW5" s="32"/>
      </tp>
      <tp t="s">
        <v>#N/A N/A</v>
        <stp/>
        <stp>BDS|2244573160116247512</stp>
        <tr r="IG5" s="27"/>
        <tr r="HC5" s="31"/>
      </tp>
      <tp t="s">
        <v>#N/A N/A</v>
        <stp/>
        <stp>BDS|1844491772183224377</stp>
        <tr r="AE5" s="6"/>
      </tp>
      <tp t="s">
        <v>#N/A N/A</v>
        <stp/>
        <stp>BDS|9756922683862445861</stp>
        <tr r="EE5" s="9"/>
      </tp>
      <tp t="s">
        <v>#N/A N/A</v>
        <stp/>
        <stp>BDS|1337929666808588463</stp>
        <tr r="DQ5" s="3"/>
      </tp>
      <tp t="s">
        <v>#N/A N/A</v>
        <stp/>
        <stp>BDS|1710015679911849535</stp>
        <tr r="LS5" s="43"/>
      </tp>
      <tp t="s">
        <v>#N/A N/A</v>
        <stp/>
        <stp>BDS|5464623402758317933</stp>
        <tr r="BW5" s="19"/>
        <tr r="GM5" s="41"/>
        <tr r="AS5" s="47"/>
      </tp>
      <tp t="s">
        <v>#N/A N/A</v>
        <stp/>
        <stp>BDS|5366287577312946010</stp>
        <tr r="AE5" s="13"/>
      </tp>
      <tp t="s">
        <v>#N/A N/A</v>
        <stp/>
        <stp>BDS|4318185058302536038</stp>
        <tr r="JY5" s="3"/>
        <tr r="HQ5" s="10"/>
      </tp>
      <tp t="s">
        <v>#N/A N/A</v>
        <stp/>
        <stp>BDS|2711728810941398738</stp>
        <tr r="TE5" s="12"/>
      </tp>
      <tp t="s">
        <v>#N/A N/A</v>
        <stp/>
        <stp>BDS|4781287680829662437</stp>
        <tr r="IG5" s="7"/>
        <tr r="EU5" s="29"/>
      </tp>
      <tp t="s">
        <v>#N/A N/A</v>
        <stp/>
        <stp>BDS|4457585806703052105</stp>
        <tr r="AS5" s="16"/>
      </tp>
      <tp t="s">
        <v>#N/A N/A</v>
        <stp/>
        <stp>BDS|9808433980155443346</stp>
        <tr r="FI5" s="20"/>
      </tp>
      <tp t="s">
        <v>#N/A N/A</v>
        <stp/>
        <stp>BDS|6979448994470292805</stp>
        <tr r="JK5" s="3"/>
        <tr r="HC5" s="10"/>
      </tp>
      <tp t="s">
        <v>#N/A N/A</v>
        <stp/>
        <stp>BDS|7091475409197175766</stp>
        <tr r="OA5" s="37"/>
      </tp>
      <tp t="s">
        <v>#N/A N/A</v>
        <stp/>
        <stp>BDS|5876506942854179323</stp>
        <tr r="KO5" s="48"/>
      </tp>
      <tp t="s">
        <v>#N/A N/A</v>
        <stp/>
        <stp>BDS|4157980657669505225</stp>
        <tr r="VM5" s="38"/>
      </tp>
      <tp t="s">
        <v>#N/A N/A</v>
        <stp/>
        <stp>BDS|5434017196497264880</stp>
        <tr r="EU5" s="10"/>
      </tp>
      <tp t="s">
        <v>#N/A N/A</v>
        <stp/>
        <stp>BDS|5599630435004840729</stp>
        <tr r="UY5" s="20"/>
      </tp>
      <tp t="s">
        <v>#N/A N/A</v>
        <stp/>
        <stp>BDS|7005874035399458689</stp>
        <tr r="SQ5" s="5"/>
      </tp>
      <tp t="s">
        <v>#N/A N/A</v>
        <stp/>
        <stp>BDS|7899056384198000476</stp>
        <tr r="BI5" s="25"/>
      </tp>
      <tp t="s">
        <v>#N/A N/A</v>
        <stp/>
        <stp>BDS|2760174851793900669</stp>
        <tr r="MG5" s="42"/>
      </tp>
      <tp t="s">
        <v>#N/A N/A</v>
        <stp/>
        <stp>BDS|8340924967486988211</stp>
        <tr r="PS5" s="21"/>
      </tp>
      <tp t="s">
        <v>#N/A N/A</v>
        <stp/>
        <stp>BDS|3739368073346436292</stp>
        <tr r="IG5" s="30"/>
      </tp>
      <tp t="s">
        <v>#N/A N/A</v>
        <stp/>
        <stp>BDS|2874354885218358248</stp>
        <tr r="SA5" s="18"/>
      </tp>
      <tp t="s">
        <v>#N/A N/A</v>
        <stp/>
        <stp>BDS|3547425738562607565</stp>
        <tr r="BI5" s="4"/>
        <tr r="SQ5" s="22"/>
        <tr r="QI5" s="37"/>
      </tp>
      <tp t="s">
        <v>#N/A N/A</v>
        <stp/>
        <stp>BDS|2509822739653316924</stp>
        <tr r="SA5" s="17"/>
      </tp>
      <tp t="s">
        <v>#N/A N/A</v>
        <stp/>
        <stp>BDS|3347590264282598175</stp>
        <tr r="O5" s="30"/>
      </tp>
      <tp t="s">
        <v>#N/A N/A</v>
        <stp/>
        <stp>BDS|2156787968915945542</stp>
        <tr r="BI5" s="23"/>
      </tp>
      <tp t="s">
        <v>#N/A N/A</v>
        <stp/>
        <stp>BDS|2312203309446644502</stp>
        <tr r="FY5" s="21"/>
        <tr r="CM5" s="43"/>
      </tp>
      <tp t="s">
        <v>#N/A N/A</v>
        <stp/>
        <stp>BDS|8281083736161683965</stp>
        <tr r="TE5" s="19"/>
      </tp>
      <tp t="s">
        <v>#N/A N/A</v>
        <stp/>
        <stp>BDS|9828442681340411657</stp>
        <tr r="MW5" s="39"/>
      </tp>
      <tp t="s">
        <v>#N/A N/A</v>
        <stp/>
        <stp>BDS|1790321376167633182</stp>
        <tr r="AS5" s="22"/>
      </tp>
      <tp t="s">
        <v>#N/A N/A</v>
        <stp/>
        <stp>BDS|1703243286520108898</stp>
        <tr r="FY5" s="47"/>
      </tp>
      <tp t="s">
        <v>#N/A N/A</v>
        <stp/>
        <stp>BDS|1218332351536539278</stp>
        <tr r="LC5" s="20"/>
      </tp>
      <tp t="s">
        <v>#N/A N/A</v>
        <stp/>
        <stp>BDS|6600755809314925617</stp>
        <tr r="IG5" s="23"/>
      </tp>
      <tp t="s">
        <v>#N/A N/A</v>
        <stp/>
        <stp>BDS|7078040876470324330</stp>
        <tr r="UI5" s="14"/>
      </tp>
      <tp t="s">
        <v>#N/A N/A</v>
        <stp/>
        <stp>BDS|8177423792780133624</stp>
        <tr r="RM5" s="26"/>
      </tp>
      <tp t="s">
        <v>#N/A N/A</v>
        <stp/>
        <stp>BDS|6641236078827934771</stp>
        <tr r="UY5" s="5"/>
        <tr r="DQ5" s="36"/>
      </tp>
      <tp t="s">
        <v>#N/A N/A</v>
        <stp/>
        <stp>BDS|6339756406372420078</stp>
        <tr r="TE5" s="33"/>
      </tp>
      <tp t="s">
        <v>#N/A N/A</v>
        <stp/>
        <stp>BDS|9018717452530562851</stp>
        <tr r="JY5" s="4"/>
        <tr r="FI5" s="19"/>
        <tr r="O5" s="39"/>
      </tp>
      <tp t="s">
        <v>#N/A N/A</v>
        <stp/>
        <stp>BDS|3449254106142409038</stp>
        <tr r="QI5" s="4"/>
        <tr r="RM5" s="44"/>
      </tp>
      <tp t="s">
        <v>#N/A N/A</v>
        <stp/>
        <stp>BDS|6708908883247637326</stp>
        <tr r="EE5" s="11"/>
      </tp>
      <tp t="s">
        <v>#N/A N/A</v>
        <stp/>
        <stp>BDS|1053935861759598473</stp>
        <tr r="LS5" s="10"/>
      </tp>
      <tp t="s">
        <v>#N/A N/A</v>
        <stp/>
        <stp>BDS|7078987799571016516</stp>
        <tr r="HC5" s="48"/>
      </tp>
      <tp t="s">
        <v>#N/A N/A</v>
        <stp/>
        <stp>BDS|9272205034098453327</stp>
        <tr r="EU5" s="46"/>
      </tp>
      <tp t="s">
        <v>#N/A N/A</v>
        <stp/>
        <stp>BDS|7636457423172177013</stp>
        <tr r="DQ5" s="23"/>
      </tp>
      <tp t="s">
        <v>#N/A N/A</v>
        <stp/>
        <stp>BDS|9284895106320885257</stp>
        <tr r="JK5" s="7"/>
      </tp>
      <tp t="s">
        <v>#N/A N/A</v>
        <stp/>
        <stp>BDS|6831402660005801219</stp>
        <tr r="QW5" s="15"/>
        <tr r="HQ5" s="44"/>
        <tr r="BW5" s="49"/>
      </tp>
      <tp t="s">
        <v>#N/A N/A</v>
        <stp/>
        <stp>BDS|6061590363116903029</stp>
        <tr r="MW5" s="17"/>
      </tp>
      <tp t="s">
        <v>#N/A N/A</v>
        <stp/>
        <stp>BDS|7674461859111114495</stp>
        <tr r="IU5" s="27"/>
        <tr r="HQ5" s="31"/>
      </tp>
      <tp t="s">
        <v>#N/A N/A</v>
        <stp/>
        <stp>BDS|6271173421620630637</stp>
        <tr r="MW5" s="11"/>
        <tr r="SQ5" s="44"/>
      </tp>
      <tp t="s">
        <v>#N/A N/A</v>
        <stp/>
        <stp>BDS|5973452648421116747</stp>
        <tr r="QI5" s="22"/>
      </tp>
      <tp t="s">
        <v>#N/A N/A</v>
        <stp/>
        <stp>BDS|1099111679876902204</stp>
        <tr r="JY5" s="11"/>
      </tp>
      <tp t="s">
        <v>#N/A N/A</v>
        <stp/>
        <stp>BDS|4501402881929190246</stp>
        <tr r="FI5" s="4"/>
      </tp>
      <tp t="s">
        <v>#N/A N/A</v>
        <stp/>
        <stp>BDS|1298552547546647500</stp>
        <tr r="LS5" s="47"/>
      </tp>
      <tp t="s">
        <v>#N/A N/A</v>
        <stp/>
        <stp>BDS|3609269094653150835</stp>
        <tr r="SA5" s="23"/>
      </tp>
      <tp t="s">
        <v>#N/A N/A</v>
        <stp/>
        <stp>BDS|5776220511162652740</stp>
        <tr r="RM5" s="36"/>
      </tp>
      <tp t="s">
        <v>#N/A N/A</v>
        <stp/>
        <stp>BDS|1521062531577777633</stp>
        <tr r="FI5" s="12"/>
      </tp>
      <tp t="s">
        <v>#N/A N/A</v>
        <stp/>
        <stp>BDS|7947109152581410198</stp>
        <tr r="DA5" s="31"/>
      </tp>
      <tp t="s">
        <v>#N/A N/A</v>
        <stp/>
        <stp>BDS|3336320446470109701</stp>
        <tr r="RM5" s="34"/>
      </tp>
      <tp t="s">
        <v>#N/A N/A</v>
        <stp/>
        <stp>BDS|2665520323720322624</stp>
        <tr r="O5" s="49"/>
      </tp>
      <tp t="s">
        <v>#N/A N/A</v>
        <stp/>
        <stp>BDS|4612799888521760977</stp>
        <tr r="HQ5" s="28"/>
      </tp>
      <tp t="s">
        <v>#N/A N/A</v>
        <stp/>
        <stp>BDS|5514664403199200959</stp>
        <tr r="LC5" s="31"/>
      </tp>
      <tp t="s">
        <v>#N/A N/A</v>
        <stp/>
        <stp>BDS|4354681488228045144</stp>
        <tr r="GM5" s="44"/>
      </tp>
      <tp t="s">
        <v>#N/A N/A</v>
        <stp/>
        <stp>BDS|2316573464591183359</stp>
        <tr r="TU5" s="32"/>
      </tp>
      <tp t="s">
        <v>#N/A N/A</v>
        <stp/>
        <stp>BDS|8075977233489446846</stp>
        <tr r="IG5" s="3"/>
        <tr r="MW5" s="29"/>
      </tp>
      <tp t="s">
        <v>#N/A N/A</v>
        <stp/>
        <stp>BDS|4628839596742481428</stp>
        <tr r="LC5" s="47"/>
      </tp>
      <tp t="s">
        <v>#N/A N/A</v>
        <stp/>
        <stp>BDS|3984540195518855455</stp>
        <tr r="LC5" s="43"/>
      </tp>
      <tp t="s">
        <v>#N/A N/A</v>
        <stp/>
        <stp>BDS|53343476185059286</stp>
        <tr r="MG5" s="50"/>
      </tp>
      <tp t="s">
        <v>#N/A N/A</v>
        <stp/>
        <stp>BDS|30825796791735024</stp>
        <tr r="PS5" s="20"/>
      </tp>
      <tp t="s">
        <v>#N/A N/A</v>
        <stp/>
        <stp>BDS|61140481724476972</stp>
        <tr r="KO5" s="32"/>
      </tp>
      <tp t="s">
        <v>#N/A N/A</v>
        <stp/>
        <stp>BDS|82996115029326469</stp>
        <tr r="QI5" s="49"/>
      </tp>
      <tp t="s">
        <v>#N/A N/A</v>
        <stp/>
        <stp>BDS|243475059573315773</stp>
        <tr r="GM5" s="21"/>
        <tr r="DA5" s="43"/>
      </tp>
      <tp t="s">
        <v>#N/A N/A</v>
        <stp/>
        <stp>BDS|277277110262958453</stp>
        <tr r="EU5" s="24"/>
      </tp>
      <tp t="s">
        <v>#N/A N/A</v>
        <stp/>
        <stp>BDS|439677073203625710</stp>
        <tr r="FI5" s="46"/>
      </tp>
      <tp t="s">
        <v>#N/A N/A</v>
        <stp/>
        <stp>BDS|952297459495271628</stp>
        <tr r="DQ5" s="15"/>
        <tr r="PE5" s="48"/>
      </tp>
      <tp t="s">
        <v>#N/A N/A</v>
        <stp/>
        <stp>BDS|682620894923914834</stp>
        <tr r="VM5" s="28"/>
        <tr r="VM5" s="37"/>
        <tr r="VM5" s="43"/>
      </tp>
      <tp t="s">
        <v>#N/A N/A</v>
        <stp/>
        <stp>BDS|130627486122740872</stp>
        <tr r="RM5" s="21"/>
      </tp>
      <tp t="s">
        <v>#N/A N/A</v>
        <stp/>
        <stp>BDS|500018509455785210</stp>
        <tr r="PS5" s="11"/>
      </tp>
      <tp t="s">
        <v>#N/A N/A</v>
        <stp/>
        <stp>BDS|193127669919836933</stp>
        <tr r="DQ5" s="7"/>
      </tp>
      <tp t="s">
        <v>#N/A N/A</v>
        <stp/>
        <stp>BDS|112740958165349112</stp>
        <tr r="MW5" s="13"/>
      </tp>
      <tp t="s">
        <v>#N/A N/A</v>
        <stp/>
        <stp>BDS|680253510606920326</stp>
        <tr r="BI5" s="9"/>
      </tp>
      <tp t="s">
        <v>#N/A N/A</v>
        <stp/>
        <stp>BDS|787899533794131949</stp>
        <tr r="EU5" s="1"/>
      </tp>
      <tp t="s">
        <v>#N/A N/A</v>
        <stp/>
        <stp>BDS|264257406347213396</stp>
        <tr r="OA5" s="20"/>
      </tp>
      <tp t="s">
        <v>#N/A N/A</v>
        <stp/>
        <stp>BDS|744550790232274859</stp>
        <tr r="HC5" s="26"/>
      </tp>
      <tp t="s">
        <v>#N/A N/A</v>
        <stp/>
        <stp>BDS|988951499850119669</stp>
        <tr r="HQ5" s="34"/>
        <tr r="HQ5" s="6"/>
        <tr r="UI5" s="6"/>
        <tr r="BW5" s="18"/>
      </tp>
      <tp t="s">
        <v>#N/A N/A</v>
        <stp/>
        <stp>BDS|505342808672793036</stp>
        <tr r="AE5" s="21"/>
        <tr r="IG5" s="29"/>
        <tr r="BI5" s="39"/>
      </tp>
      <tp t="s">
        <v>#N/A N/A</v>
        <stp/>
        <stp>BDS|302159948542465646</stp>
        <tr r="OA5" s="31"/>
      </tp>
      <tp t="s">
        <v>#N/A N/A</v>
        <stp/>
        <stp>BDS|257256086633272896</stp>
        <tr r="QW5" s="17"/>
      </tp>
      <tp t="s">
        <v>#N/A N/A</v>
        <stp/>
        <stp>BDS|670059418676894675</stp>
        <tr r="DA5" s="6"/>
        <tr r="UI5" s="19"/>
      </tp>
      <tp t="s">
        <v>#N/A N/A</v>
        <stp/>
        <stp>BDS|390421760057562458</stp>
        <tr r="AS5" s="31"/>
      </tp>
      <tp t="s">
        <v>#N/A N/A</v>
        <stp/>
        <stp>BDS|719643506583162466</stp>
        <tr r="JK5" s="50"/>
      </tp>
      <tp t="s">
        <v>#N/A N/A</v>
        <stp/>
        <stp>BDS|102952990272469333</stp>
        <tr r="FY5" s="8"/>
        <tr r="RM5" s="43"/>
      </tp>
      <tp t="s">
        <v>#N/A N/A</v>
        <stp/>
        <stp>BDS|948264787579003372</stp>
        <tr r="AS5" s="5"/>
      </tp>
      <tp t="s">
        <v>#N/A N/A</v>
        <stp/>
        <stp>BDS|416513661066944554</stp>
        <tr r="JY5" s="31"/>
      </tp>
      <tp t="s">
        <v>#N/A N/A</v>
        <stp/>
        <stp>BDS|109634041740880223</stp>
        <tr r="DQ5" s="47"/>
      </tp>
      <tp t="s">
        <v>#N/A N/A</v>
        <stp/>
        <stp>BDS|312506035842590487</stp>
        <tr r="MG5" s="33"/>
      </tp>
      <tp t="s">
        <v>#N/A N/A</v>
        <stp/>
        <stp>BDS|902740215016575084</stp>
        <tr r="RM5" s="32"/>
      </tp>
      <tp t="s">
        <v>#N/A N/A</v>
        <stp/>
        <stp>BDS|796993991834734499</stp>
        <tr r="LC5" s="9"/>
      </tp>
      <tp t="s">
        <v>#N/A N/A</v>
        <stp/>
        <stp>BDS|288633883647685974</stp>
        <tr r="PE5" s="39"/>
      </tp>
      <tp t="s">
        <v>#N/A N/A</v>
        <stp/>
        <stp>BDS|497078661490884526</stp>
        <tr r="DQ5" s="20"/>
      </tp>
      <tp t="s">
        <v>#N/A N/A</v>
        <stp/>
        <stp>BDS|797072149366424155</stp>
        <tr r="UY5" s="38"/>
      </tp>
      <tp t="s">
        <v>#N/A N/A</v>
        <stp/>
        <stp>BDS|947351906038201818</stp>
        <tr r="EE5" s="24"/>
      </tp>
      <tp t="s">
        <v>#N/A N/A</v>
        <stp/>
        <stp>BDS|864799710562391784</stp>
        <tr r="VM5" s="39"/>
      </tp>
      <tp t="s">
        <v>#N/A N/A</v>
        <stp/>
        <stp>BDS|969156820584035475</stp>
        <tr r="PS5" s="8"/>
        <tr r="NK5" s="14"/>
        <tr r="FI5" s="28"/>
        <tr r="UI5" s="50"/>
      </tp>
      <tp t="s">
        <v>#N/A N/A</v>
        <stp/>
        <stp>BDS|806852762339802438</stp>
        <tr r="PE5" s="29"/>
      </tp>
      <tp t="s">
        <v>#N/A N/A</v>
        <stp/>
        <stp>BDS|825049281069965245</stp>
        <tr r="LC5" s="4"/>
        <tr r="QW5" s="16"/>
        <tr r="OO5" s="17"/>
        <tr r="VM5" s="47"/>
      </tp>
      <tp t="s">
        <v>#N/A N/A</v>
        <stp/>
        <stp>BDS|554107435434539559</stp>
        <tr r="SA5" s="29"/>
      </tp>
      <tp t="s">
        <v>#N/A N/A</v>
        <stp/>
        <stp>BDS|412632839101960743</stp>
        <tr r="MG5" s="1"/>
      </tp>
      <tp t="s">
        <v>#N/A N/A</v>
        <stp/>
        <stp>BDS|623483723097791373</stp>
        <tr r="IG5" s="49"/>
      </tp>
      <tp t="s">
        <v>#N/A N/A</v>
        <stp/>
        <stp>BDS|968966003528577342</stp>
        <tr r="QI5" s="23"/>
      </tp>
      <tp t="s">
        <v>#N/A N/A</v>
        <stp/>
        <stp>BDS|798475722264814026</stp>
        <tr r="CM5" s="40"/>
      </tp>
      <tp t="s">
        <v>#N/A N/A</v>
        <stp/>
        <stp>BDS|796417027893123797</stp>
        <tr r="PE5" s="41"/>
      </tp>
      <tp t="s">
        <v>#N/A N/A</v>
        <stp/>
        <stp>BDS|209737579227668574</stp>
        <tr r="A5" s="48"/>
        <tr r="EU5" s="22"/>
        <tr r="MW5" s="23"/>
      </tp>
      <tp t="s">
        <v>#N/A N/A</v>
        <stp/>
        <stp>BDS|863525960197864620</stp>
        <tr r="TU5" s="40"/>
      </tp>
      <tp t="s">
        <v>#N/A N/A</v>
        <stp/>
        <stp>BDS|909243724794346698</stp>
        <tr r="DQ5" s="34"/>
      </tp>
      <tp t="s">
        <v>#N/A N/A</v>
        <stp/>
        <stp>BDS|958979775512536127</stp>
        <tr r="TE5" s="40"/>
      </tp>
      <tp t="s">
        <v>#N/A N/A</v>
        <stp/>
        <stp>BDS|614967779966070555</stp>
        <tr r="DA5" s="5"/>
      </tp>
      <tp t="s">
        <v>#N/A N/A</v>
        <stp/>
        <stp>BDS|270220949538381359</stp>
        <tr r="AS5" s="33"/>
        <tr r="UI5" s="44"/>
      </tp>
      <tp t="s">
        <v>#N/A N/A</v>
        <stp/>
        <stp>BDS|192793603428493245</stp>
        <tr r="VM5" s="13"/>
      </tp>
      <tp t="s">
        <v>#N/A N/A</v>
        <stp/>
        <stp>BDS|465383836539900460</stp>
        <tr r="JY5" s="30"/>
      </tp>
      <tp t="s">
        <v>#N/A N/A</v>
        <stp/>
        <stp>BDS|615618494806429415</stp>
        <tr r="A5" s="20"/>
        <tr r="EU5" s="21"/>
        <tr r="SQ5" s="29"/>
      </tp>
      <tp t="s">
        <v>#N/A N/A</v>
        <stp/>
        <stp>BDS|531990049450614035</stp>
        <tr r="LC5" s="16"/>
        <tr r="QW5" s="31"/>
      </tp>
      <tp t="s">
        <v>#N/A N/A</v>
        <stp/>
        <stp>BDS|563724507299036338</stp>
        <tr r="NK5" s="33"/>
      </tp>
      <tp t="s">
        <v>#N/A N/A</v>
        <stp/>
        <stp>BDS|821312109058535715</stp>
        <tr r="AE5" s="32"/>
      </tp>
      <tp t="s">
        <v>#N/A N/A</v>
        <stp/>
        <stp>BDS|271017690150533559</stp>
        <tr r="LS5" s="44"/>
      </tp>
      <tp t="s">
        <v>#N/A N/A</v>
        <stp/>
        <stp>BDS|267423672395967934</stp>
        <tr r="VM5" s="24"/>
      </tp>
      <tp t="s">
        <v>#N/A N/A</v>
        <stp/>
        <stp>BDS|169229010374348896</stp>
        <tr r="RM5" s="37"/>
      </tp>
      <tp t="s">
        <v>#N/A N/A</v>
        <stp/>
        <stp>BDS|644813928547669289</stp>
        <tr r="JK5" s="33"/>
      </tp>
      <tp t="s">
        <v>#N/A N/A</v>
        <stp/>
        <stp>BDS|703545256848171765</stp>
        <tr r="PS5" s="15"/>
      </tp>
      <tp t="s">
        <v>#N/A N/A</v>
        <stp/>
        <stp>BDS|688149799973858411</stp>
        <tr r="PS5" s="45"/>
      </tp>
      <tp t="s">
        <v>#N/A N/A</v>
        <stp/>
        <stp>BDS|711583719349054240</stp>
        <tr r="IG5" s="11"/>
      </tp>
      <tp t="s">
        <v>#N/A N/A</v>
        <stp/>
        <stp>BDS|817467430951639840</stp>
        <tr r="A5" s="21"/>
      </tp>
      <tp t="s">
        <v>#N/A N/A</v>
        <stp/>
        <stp>BDS|487958626592992735</stp>
        <tr r="O5" s="10"/>
      </tp>
      <tp t="s">
        <v>#N/A N/A</v>
        <stp/>
        <stp>BDS|930859926027688451</stp>
        <tr r="VM5" s="6"/>
      </tp>
      <tp t="s">
        <v>#N/A N/A</v>
        <stp/>
        <stp>BDS|856343661775110984</stp>
        <tr r="IG5" s="18"/>
      </tp>
      <tp t="s">
        <v>#N/A N/A</v>
        <stp/>
        <stp>BDS|347238493006726472</stp>
        <tr r="MW5" s="4"/>
      </tp>
      <tp t="s">
        <v>#N/A N/A</v>
        <stp/>
        <stp>BDS|446486555930400902</stp>
        <tr r="EU5" s="3"/>
      </tp>
      <tp t="s">
        <v>#N/A N/A</v>
        <stp/>
        <stp>BDS|243550947641164897</stp>
        <tr r="JY5" s="2"/>
      </tp>
      <tp t="s">
        <v>#N/A N/A</v>
        <stp/>
        <stp>BDS|286871526804685653</stp>
        <tr r="OO5" s="15"/>
      </tp>
      <tp t="s">
        <v>#N/A N/A</v>
        <stp/>
        <stp>BDS|681033252238635512</stp>
        <tr r="KO5" s="8"/>
      </tp>
      <tp t="s">
        <v>#N/A N/A</v>
        <stp/>
        <stp>BDS|163464051030059962</stp>
        <tr r="RM5" s="13"/>
        <tr r="DQ5" s="32"/>
        <tr r="KO5" s="40"/>
      </tp>
      <tp t="s">
        <v>#N/A N/A</v>
        <stp/>
        <stp>BDS|434637206825931801</stp>
        <tr r="CM5" s="48"/>
      </tp>
      <tp t="s">
        <v>#N/A N/A</v>
        <stp/>
        <stp>BDS|690791347859140181</stp>
        <tr r="SA5" s="2"/>
      </tp>
      <tp t="s">
        <v>#N/A N/A</v>
        <stp/>
        <stp>BDS|425848056562918565</stp>
        <tr r="OA5" s="22"/>
      </tp>
      <tp t="s">
        <v>#N/A N/A</v>
        <stp/>
        <stp>BDS|175944627300961129</stp>
        <tr r="AS5" s="37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B9"/>
  <sheetViews>
    <sheetView tabSelected="1" topLeftCell="BY1" workbookViewId="0">
      <selection activeCell="R7" sqref="R7"/>
    </sheetView>
  </sheetViews>
  <sheetFormatPr defaultRowHeight="15" x14ac:dyDescent="0.25"/>
  <cols>
    <col min="1" max="600" width="14" customWidth="1"/>
  </cols>
  <sheetData>
    <row r="1" spans="1:60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20</v>
      </c>
      <c r="AE2" s="3" t="s">
        <v>21</v>
      </c>
      <c r="BI2" s="3" t="s">
        <v>22</v>
      </c>
      <c r="CM2" s="3" t="s">
        <v>23</v>
      </c>
      <c r="DQ2" s="3" t="s">
        <v>24</v>
      </c>
      <c r="EU2" s="3" t="s">
        <v>25</v>
      </c>
      <c r="FY2" s="3" t="s">
        <v>26</v>
      </c>
      <c r="HC2" s="3" t="s">
        <v>27</v>
      </c>
      <c r="IG2" s="3" t="s">
        <v>28</v>
      </c>
      <c r="JK2" s="3" t="s">
        <v>29</v>
      </c>
      <c r="KO2" s="3" t="s">
        <v>30</v>
      </c>
      <c r="LS2" s="3" t="s">
        <v>31</v>
      </c>
      <c r="MW2" s="3" t="s">
        <v>32</v>
      </c>
      <c r="OA2" s="3" t="s">
        <v>33</v>
      </c>
      <c r="PE2" s="3" t="s">
        <v>34</v>
      </c>
      <c r="QI2" s="3" t="s">
        <v>35</v>
      </c>
      <c r="RM2" s="3" t="s">
        <v>36</v>
      </c>
      <c r="SQ2" s="3" t="s">
        <v>37</v>
      </c>
      <c r="TU2" s="3" t="s">
        <v>38</v>
      </c>
      <c r="UY2" s="3" t="s">
        <v>24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_xll.BDS("STCN US Equity","SUPPLY_CHAIN_SUPPLIERS_ALL_DATA")</f>
        <v>#N/A N/A</v>
      </c>
      <c r="O5" t="str">
        <f>_xll.BDS("STCN US Equity","SUPPLY_CHAIN_CUSTOMERS_ALL_DATA","cols=12;rows=3")</f>
        <v>992 HK Equity</v>
      </c>
      <c r="P5">
        <v>-2.4245362661989844E-14</v>
      </c>
      <c r="R5">
        <v>-2.4245362661989844E-14</v>
      </c>
      <c r="S5" t="s">
        <v>1753</v>
      </c>
      <c r="T5">
        <v>2024</v>
      </c>
      <c r="U5" t="s">
        <v>5150</v>
      </c>
      <c r="V5" s="6">
        <v>45504</v>
      </c>
      <c r="W5">
        <v>3</v>
      </c>
      <c r="X5">
        <v>-2.4245362661989844E-14</v>
      </c>
      <c r="Y5">
        <v>130929</v>
      </c>
      <c r="Z5" t="s">
        <v>2336</v>
      </c>
      <c r="AE5" t="str">
        <f>_xll.BDS("LMND US Equity","SUPPLY_CHAIN_SUPPLIERS_ALL_DATA","cols=12;rows=3")</f>
        <v>1879042D IT Equity</v>
      </c>
      <c r="AG5">
        <v>-2.4245362661989844E-14</v>
      </c>
      <c r="AH5">
        <v>-2.4245362661989844E-14</v>
      </c>
      <c r="AI5" t="s">
        <v>1753</v>
      </c>
      <c r="AJ5">
        <v>2023</v>
      </c>
      <c r="AK5" t="s">
        <v>5917</v>
      </c>
      <c r="AL5" s="6">
        <v>45196</v>
      </c>
      <c r="AM5">
        <v>3</v>
      </c>
      <c r="AN5">
        <v>-2.4245362661989844E-14</v>
      </c>
      <c r="AO5">
        <v>69523688</v>
      </c>
      <c r="AP5" t="s">
        <v>5918</v>
      </c>
      <c r="AS5" t="str">
        <f>_xll.BDS("LMND US Equity","SUPPLY_CHAIN_CUSTOMERS_ALL_DATA")</f>
        <v>#N/A N/A</v>
      </c>
      <c r="BI5" t="str">
        <f>_xll.BDS("2725934Q US Equity","SUPPLY_CHAIN_SUPPLIERS_ALL_DATA")</f>
        <v>#N/A N/A</v>
      </c>
      <c r="BW5" t="str">
        <f>_xll.BDS("2725934Q US Equity","SUPPLY_CHAIN_CUSTOMERS_ALL_DATA")</f>
        <v>#N/A N/A</v>
      </c>
      <c r="CM5" t="str">
        <f>_xll.BDS("KODK US Equity","SUPPLY_CHAIN_SUPPLIERS_ALL_DATA","cols=12;rows=5")</f>
        <v>AX-U CN Equity</v>
      </c>
      <c r="CN5" t="s">
        <v>1940</v>
      </c>
      <c r="CO5">
        <v>1.6</v>
      </c>
      <c r="CP5">
        <v>1.959516</v>
      </c>
      <c r="CQ5" t="s">
        <v>1753</v>
      </c>
      <c r="CR5">
        <v>2024</v>
      </c>
      <c r="CS5" t="s">
        <v>3673</v>
      </c>
      <c r="CT5" s="6">
        <v>45722</v>
      </c>
      <c r="CU5">
        <v>5</v>
      </c>
      <c r="CV5">
        <v>877121.43</v>
      </c>
      <c r="CW5">
        <v>8674508</v>
      </c>
      <c r="CX5" t="s">
        <v>3674</v>
      </c>
      <c r="DA5" t="str">
        <f>_xll.BDS("KODK US Equity","SUPPLY_CHAIN_CUSTOMERS_ALL_DATA","cols=12;rows=5")</f>
        <v>0918800D US Equity</v>
      </c>
      <c r="DB5">
        <v>8.5743050000000007</v>
      </c>
      <c r="DD5">
        <v>-2.4245362661989844E-14</v>
      </c>
      <c r="DE5" t="s">
        <v>1753</v>
      </c>
      <c r="DF5">
        <v>2024</v>
      </c>
      <c r="DG5" t="s">
        <v>4787</v>
      </c>
      <c r="DH5" s="6">
        <v>45733</v>
      </c>
      <c r="DI5">
        <v>5</v>
      </c>
      <c r="DJ5">
        <v>22357500</v>
      </c>
      <c r="DK5">
        <v>38301935</v>
      </c>
      <c r="DL5" t="s">
        <v>4788</v>
      </c>
      <c r="DQ5" t="str">
        <f>_xll.BDS("EMR US Equity","SUPPLY_CHAIN_SUPPLIERS_ALL_DATA","cols=12;rows=5")</f>
        <v>JBL US Equity</v>
      </c>
      <c r="DR5" t="s">
        <v>1752</v>
      </c>
      <c r="DS5">
        <v>0.48485499999999998</v>
      </c>
      <c r="DT5">
        <v>1.7638879999999999</v>
      </c>
      <c r="DU5" t="s">
        <v>1788</v>
      </c>
      <c r="DV5">
        <v>2025</v>
      </c>
      <c r="DW5" t="s">
        <v>2216</v>
      </c>
      <c r="DX5" s="6">
        <v>45867</v>
      </c>
      <c r="DY5">
        <v>5</v>
      </c>
      <c r="DZ5">
        <v>37954448</v>
      </c>
      <c r="EA5">
        <v>117092</v>
      </c>
      <c r="EB5" t="s">
        <v>2217</v>
      </c>
      <c r="EE5" t="str">
        <f>_xll.BDS("EMR US Equity","SUPPLY_CHAIN_CUSTOMERS_ALL_DATA","cols=12;rows=5")</f>
        <v>TMO US Equity</v>
      </c>
      <c r="EF5">
        <v>4.2224550000000001</v>
      </c>
      <c r="EG5" t="s">
        <v>1752</v>
      </c>
      <c r="EH5">
        <v>2.8645350000000001</v>
      </c>
      <c r="EI5" t="s">
        <v>1788</v>
      </c>
      <c r="EJ5">
        <v>2025</v>
      </c>
      <c r="EK5" t="s">
        <v>2208</v>
      </c>
      <c r="EL5" s="6">
        <v>45881</v>
      </c>
      <c r="EM5">
        <v>5</v>
      </c>
      <c r="EN5">
        <v>184647952</v>
      </c>
      <c r="EO5">
        <v>101466</v>
      </c>
      <c r="EP5" t="s">
        <v>4607</v>
      </c>
      <c r="EU5" t="str">
        <f>_xll.BDS("DJ US Equity","SUPPLY_CHAIN_SUPPLIERS_ALL_DATA")</f>
        <v>#N/A N/A</v>
      </c>
      <c r="FI5" t="str">
        <f>_xll.BDS("DJ US Equity","SUPPLY_CHAIN_CUSTOMERS_ALL_DATA")</f>
        <v>#N/A N/A</v>
      </c>
      <c r="FY5" t="str">
        <f>_xll.BDS("ZD US Equity","SUPPLY_CHAIN_SUPPLIERS_ALL_DATA","cols=12;rows=5")</f>
        <v>ANET US Equity</v>
      </c>
      <c r="GA5">
        <v>-2.4245362661989844E-14</v>
      </c>
      <c r="GB5">
        <v>-2.4245362661989844E-14</v>
      </c>
      <c r="GC5" t="s">
        <v>1781</v>
      </c>
      <c r="GD5">
        <v>2025</v>
      </c>
      <c r="GE5" t="s">
        <v>5912</v>
      </c>
      <c r="GF5" s="6">
        <v>45819</v>
      </c>
      <c r="GG5">
        <v>5</v>
      </c>
      <c r="GH5">
        <v>-2.4245362661989844E-14</v>
      </c>
      <c r="GI5">
        <v>16532368</v>
      </c>
      <c r="GJ5" t="s">
        <v>2362</v>
      </c>
      <c r="GM5" t="str">
        <f>_xll.BDS("ZD US Equity","SUPPLY_CHAIN_CUSTOMERS_ALL_DATA","cols=12;rows=5")</f>
        <v>SNX US Equity</v>
      </c>
      <c r="GN5">
        <v>1.1346080000000001</v>
      </c>
      <c r="GO5" t="s">
        <v>1752</v>
      </c>
      <c r="GP5">
        <v>2.5498E-2</v>
      </c>
      <c r="GQ5" t="s">
        <v>1825</v>
      </c>
      <c r="GR5">
        <v>2025</v>
      </c>
      <c r="GS5" t="s">
        <v>1826</v>
      </c>
      <c r="GT5" s="6">
        <v>46056</v>
      </c>
      <c r="GU5">
        <v>5</v>
      </c>
      <c r="GV5">
        <v>4126696</v>
      </c>
      <c r="GW5">
        <v>1499717</v>
      </c>
      <c r="GX5" t="s">
        <v>1827</v>
      </c>
      <c r="HC5" t="str">
        <f>_xll.BDS("CEPH US Equity","SUPPLY_CHAIN_SUPPLIERS_ALL_DATA")</f>
        <v>#N/A N/A</v>
      </c>
      <c r="HQ5" t="str">
        <f>_xll.BDS("CEPH US Equity","SUPPLY_CHAIN_CUSTOMERS_ALL_DATA")</f>
        <v>#N/A N/A</v>
      </c>
      <c r="IG5" t="str">
        <f>_xll.BDS("AMT US Equity","SUPPLY_CHAIN_SUPPLIERS_ALL_DATA","cols=12;rows=5")</f>
        <v>ORCL US Equity</v>
      </c>
      <c r="IH5" t="s">
        <v>1752</v>
      </c>
      <c r="II5">
        <v>9.7300000000000002E-4</v>
      </c>
      <c r="IJ5">
        <v>0.27730500000000002</v>
      </c>
      <c r="IK5" t="s">
        <v>1825</v>
      </c>
      <c r="IL5">
        <v>2025</v>
      </c>
      <c r="IM5" t="s">
        <v>1897</v>
      </c>
      <c r="IN5" s="6">
        <v>45848</v>
      </c>
      <c r="IO5">
        <v>5</v>
      </c>
      <c r="IP5">
        <v>154736</v>
      </c>
      <c r="IQ5">
        <v>101752</v>
      </c>
      <c r="IR5" t="s">
        <v>2109</v>
      </c>
      <c r="IU5" t="str">
        <f>_xll.BDS("AMT US Equity","SUPPLY_CHAIN_CUSTOMERS_ALL_DATA","cols=12;rows=5")</f>
        <v>TMUS US Equity</v>
      </c>
      <c r="IV5">
        <v>18</v>
      </c>
      <c r="IW5" t="s">
        <v>1752</v>
      </c>
      <c r="IX5">
        <v>5.8461829999999999</v>
      </c>
      <c r="IY5" t="s">
        <v>1753</v>
      </c>
      <c r="IZ5">
        <v>2025</v>
      </c>
      <c r="JA5" t="s">
        <v>3012</v>
      </c>
      <c r="JB5" s="6">
        <v>46077</v>
      </c>
      <c r="JC5">
        <v>5</v>
      </c>
      <c r="JD5">
        <v>479007008</v>
      </c>
      <c r="JE5">
        <v>8779219</v>
      </c>
      <c r="JF5" t="s">
        <v>4387</v>
      </c>
      <c r="JK5" t="str">
        <f>_xll.BDS("749001Q US Equity","SUPPLY_CHAIN_SUPPLIERS_ALL_DATA")</f>
        <v>#N/A N/A</v>
      </c>
      <c r="JY5" t="str">
        <f>_xll.BDS("749001Q US Equity","SUPPLY_CHAIN_CUSTOMERS_ALL_DATA")</f>
        <v>#N/A N/A</v>
      </c>
      <c r="KO5" t="str">
        <f>_xll.BDS("ESMK US Equity","SUPPLY_CHAIN_SUPPLIERS_ALL_DATA")</f>
        <v>#N/A N/A</v>
      </c>
      <c r="LC5" t="str">
        <f>_xll.BDS("ESMK US Equity","SUPPLY_CHAIN_CUSTOMERS_ALL_DATA")</f>
        <v>#N/A N/A</v>
      </c>
      <c r="LS5" t="str">
        <f>_xll.BDS("1702253D US Equity","SUPPLY_CHAIN_SUPPLIERS_ALL_DATA")</f>
        <v>#N/A N/A</v>
      </c>
      <c r="MG5" t="str">
        <f>_xll.BDS("1702253D US Equity","SUPPLY_CHAIN_CUSTOMERS_ALL_DATA")</f>
        <v>#N/A N/A</v>
      </c>
      <c r="MW5" t="str">
        <f>_xll.BDS("PNC US Equity","SUPPLY_CHAIN_SUPPLIERS_ALL_DATA","cols=12;rows=5")</f>
        <v>ORCL US Equity</v>
      </c>
      <c r="MX5" t="s">
        <v>1752</v>
      </c>
      <c r="MY5">
        <v>7.3811000000000002E-2</v>
      </c>
      <c r="MZ5">
        <v>0.34656500000000001</v>
      </c>
      <c r="NA5" t="s">
        <v>1825</v>
      </c>
      <c r="NB5">
        <v>2025</v>
      </c>
      <c r="NC5" t="s">
        <v>1897</v>
      </c>
      <c r="ND5" s="6">
        <v>45848</v>
      </c>
      <c r="NE5">
        <v>5</v>
      </c>
      <c r="NF5">
        <v>11738163</v>
      </c>
      <c r="NG5">
        <v>101752</v>
      </c>
      <c r="NH5" t="s">
        <v>2109</v>
      </c>
      <c r="NK5" t="str">
        <f>_xll.BDS("PNC US Equity","SUPPLY_CHAIN_CUSTOMERS_ALL_DATA","cols=12;rows=1")</f>
        <v>4502 JP Equity</v>
      </c>
      <c r="NL5">
        <v>-2.4245362661989844E-14</v>
      </c>
      <c r="NN5">
        <v>-2.4245362661989844E-14</v>
      </c>
      <c r="NO5" t="s">
        <v>1753</v>
      </c>
      <c r="NP5">
        <v>2025</v>
      </c>
      <c r="NQ5" t="s">
        <v>4720</v>
      </c>
      <c r="NR5" s="6">
        <v>45834</v>
      </c>
      <c r="NS5">
        <v>1</v>
      </c>
      <c r="NT5">
        <v>-2.4245362661989844E-14</v>
      </c>
      <c r="NU5">
        <v>114881</v>
      </c>
      <c r="NV5" t="s">
        <v>4721</v>
      </c>
      <c r="OA5" t="str">
        <f>_xll.BDS("OPK US Equity","SUPPLY_CHAIN_SUPPLIERS_ALL_DATA","cols=12;rows=5")</f>
        <v>0257644Z US Equity</v>
      </c>
      <c r="OC5">
        <v>-2.4245362661989844E-14</v>
      </c>
      <c r="OD5">
        <v>-2.4245362661989844E-14</v>
      </c>
      <c r="OE5" t="s">
        <v>1753</v>
      </c>
      <c r="OF5">
        <v>2024</v>
      </c>
      <c r="OG5" t="s">
        <v>3168</v>
      </c>
      <c r="OH5" s="6">
        <v>45719</v>
      </c>
      <c r="OI5">
        <v>5</v>
      </c>
      <c r="OJ5">
        <v>-2.4245362661989844E-14</v>
      </c>
      <c r="OK5">
        <v>949112</v>
      </c>
      <c r="OL5" t="s">
        <v>3169</v>
      </c>
      <c r="OO5" t="str">
        <f>_xll.BDS("OPK US Equity","SUPPLY_CHAIN_CUSTOMERS_ALL_DATA","cols=12;rows=5")</f>
        <v>PFE US Equity</v>
      </c>
      <c r="OP5">
        <v>4.2067360000000003</v>
      </c>
      <c r="OQ5" t="s">
        <v>1752</v>
      </c>
      <c r="OR5">
        <v>0.16805800000000001</v>
      </c>
      <c r="OS5" t="s">
        <v>1753</v>
      </c>
      <c r="OT5">
        <v>2024</v>
      </c>
      <c r="OU5" t="s">
        <v>3168</v>
      </c>
      <c r="OV5" s="6">
        <v>45719</v>
      </c>
      <c r="OW5">
        <v>5</v>
      </c>
      <c r="OX5">
        <v>7500000</v>
      </c>
      <c r="OY5">
        <v>101166</v>
      </c>
      <c r="OZ5" t="s">
        <v>2211</v>
      </c>
      <c r="PE5" t="str">
        <f>_xll.BDS("CVOVQ US Equity","SUPPLY_CHAIN_SUPPLIERS_ALL_DATA","cols=12;rows=1")</f>
        <v>FRSH US Equity</v>
      </c>
      <c r="PG5">
        <v>-2.4245362661989844E-14</v>
      </c>
      <c r="PH5">
        <v>-2.4245362661989844E-14</v>
      </c>
      <c r="PI5" t="s">
        <v>1788</v>
      </c>
      <c r="PJ5">
        <v>2023</v>
      </c>
      <c r="PK5" t="s">
        <v>4990</v>
      </c>
      <c r="PL5" s="6">
        <v>45230</v>
      </c>
      <c r="PM5">
        <v>1</v>
      </c>
      <c r="PN5">
        <v>-2.4245362661989844E-14</v>
      </c>
      <c r="PO5">
        <v>28498368</v>
      </c>
      <c r="PP5" t="s">
        <v>2995</v>
      </c>
      <c r="PS5" t="str">
        <f>_xll.BDS("CVOVQ US Equity","SUPPLY_CHAIN_CUSTOMERS_ALL_DATA")</f>
        <v>#N/A N/A</v>
      </c>
      <c r="QI5" t="str">
        <f>_xll.BDS("ROH US Equity","SUPPLY_CHAIN_SUPPLIERS_ALL_DATA","cols=12;rows=3")</f>
        <v>002741 CH Equity</v>
      </c>
      <c r="QK5">
        <v>-2.4245362661989844E-14</v>
      </c>
      <c r="QL5">
        <v>-2.4245362661989844E-14</v>
      </c>
      <c r="QM5" t="s">
        <v>1842</v>
      </c>
      <c r="QN5">
        <v>2025</v>
      </c>
      <c r="QO5" t="s">
        <v>5788</v>
      </c>
      <c r="QP5" s="6">
        <v>45898</v>
      </c>
      <c r="QQ5">
        <v>3</v>
      </c>
      <c r="QR5">
        <v>-2.4245362661989844E-14</v>
      </c>
      <c r="QS5">
        <v>40199994</v>
      </c>
      <c r="QT5" t="s">
        <v>5789</v>
      </c>
      <c r="QW5" t="str">
        <f>_xll.BDS("ROH US Equity","SUPPLY_CHAIN_CUSTOMERS_ALL_DATA","cols=12;rows=1")</f>
        <v>000990 KS Equity</v>
      </c>
      <c r="QX5">
        <v>-2.4245362661989844E-14</v>
      </c>
      <c r="QZ5">
        <v>-2.4245362661989844E-14</v>
      </c>
      <c r="RA5" t="s">
        <v>1768</v>
      </c>
      <c r="RB5">
        <v>2024</v>
      </c>
      <c r="RC5" t="s">
        <v>5751</v>
      </c>
      <c r="RD5" s="6">
        <v>45610</v>
      </c>
      <c r="RE5">
        <v>1</v>
      </c>
      <c r="RF5">
        <v>-2.4245362661989844E-14</v>
      </c>
      <c r="RG5">
        <v>117587</v>
      </c>
      <c r="RH5" t="s">
        <v>2461</v>
      </c>
      <c r="RM5" t="str">
        <f>_xll.BDS("WBS US Equity","SUPPLY_CHAIN_SUPPLIERS_ALL_DATA","cols=12;rows=2")</f>
        <v>FISV US Equity</v>
      </c>
      <c r="RO5">
        <v>-2.4245362661989844E-14</v>
      </c>
      <c r="RP5">
        <v>-2.4245362661989844E-14</v>
      </c>
      <c r="RQ5" t="s">
        <v>1768</v>
      </c>
      <c r="RR5">
        <v>2023</v>
      </c>
      <c r="RS5" t="s">
        <v>2153</v>
      </c>
      <c r="RT5" s="6">
        <v>45245</v>
      </c>
      <c r="RU5">
        <v>2</v>
      </c>
      <c r="RV5">
        <v>-2.4245362661989844E-14</v>
      </c>
      <c r="RW5">
        <v>103882</v>
      </c>
      <c r="RX5" t="s">
        <v>2154</v>
      </c>
      <c r="SA5" t="str">
        <f>_xll.BDS("WBS US Equity","SUPPLY_CHAIN_CUSTOMERS_ALL_DATA","cols=12;rows=1")</f>
        <v>CNXN US Equity</v>
      </c>
      <c r="SB5">
        <v>-2.4245362661989844E-14</v>
      </c>
      <c r="SD5">
        <v>-2.4245362661989844E-14</v>
      </c>
      <c r="SE5" t="s">
        <v>1781</v>
      </c>
      <c r="SF5">
        <v>2025</v>
      </c>
      <c r="SG5" t="s">
        <v>1961</v>
      </c>
      <c r="SH5" s="6">
        <v>45799</v>
      </c>
      <c r="SI5">
        <v>1</v>
      </c>
      <c r="SJ5">
        <v>-2.4245362661989844E-14</v>
      </c>
      <c r="SK5">
        <v>313021</v>
      </c>
      <c r="SL5" t="s">
        <v>1962</v>
      </c>
      <c r="SQ5" t="str">
        <f>_xll.BDS("nan Equity","SUPPLY_CHAIN_SUPPLIERS_ALL_DATA")</f>
        <v>#N/A N/A</v>
      </c>
      <c r="TE5" t="str">
        <f>_xll.BDS("nan Equity","SUPPLY_CHAIN_CUSTOMERS_ALL_DATA")</f>
        <v>#N/A N/A</v>
      </c>
      <c r="TU5" t="str">
        <f>_xll.BDS("CPF US Equity","SUPPLY_CHAIN_SUPPLIERS_ALL_DATA")</f>
        <v>#N/A N/A</v>
      </c>
      <c r="UI5" t="str">
        <f>_xll.BDS("CPF US Equity","SUPPLY_CHAIN_CUSTOMERS_ALL_DATA")</f>
        <v>#N/A N/A</v>
      </c>
      <c r="UY5" t="str">
        <f>_xll.BDS("EMR US Equity","SUPPLY_CHAIN_SUPPLIERS_ALL_DATA","cols=12;rows=5")</f>
        <v>JBL US Equity</v>
      </c>
      <c r="UZ5" t="s">
        <v>1752</v>
      </c>
      <c r="VA5">
        <v>0.48485499999999998</v>
      </c>
      <c r="VB5">
        <v>1.7638879999999999</v>
      </c>
      <c r="VC5" t="s">
        <v>1788</v>
      </c>
      <c r="VD5">
        <v>2025</v>
      </c>
      <c r="VE5" t="s">
        <v>2216</v>
      </c>
      <c r="VF5" s="6">
        <v>45867</v>
      </c>
      <c r="VG5">
        <v>5</v>
      </c>
      <c r="VH5">
        <v>37954448</v>
      </c>
      <c r="VI5">
        <v>117092</v>
      </c>
      <c r="VJ5" t="s">
        <v>2217</v>
      </c>
      <c r="VM5" t="str">
        <f>_xll.BDS("EMR US Equity","SUPPLY_CHAIN_CUSTOMERS_ALL_DATA","cols=12;rows=5")</f>
        <v>TMO US Equity</v>
      </c>
      <c r="VN5">
        <v>4.2224550000000001</v>
      </c>
      <c r="VO5" t="s">
        <v>1752</v>
      </c>
      <c r="VP5">
        <v>2.8645350000000001</v>
      </c>
      <c r="VQ5" t="s">
        <v>1788</v>
      </c>
      <c r="VR5">
        <v>2025</v>
      </c>
      <c r="VS5" t="s">
        <v>2208</v>
      </c>
      <c r="VT5" s="6">
        <v>45881</v>
      </c>
      <c r="VU5">
        <v>5</v>
      </c>
      <c r="VV5">
        <v>184647952</v>
      </c>
      <c r="VW5">
        <v>101466</v>
      </c>
      <c r="VX5" t="s">
        <v>4607</v>
      </c>
    </row>
    <row r="6" spans="1:600" x14ac:dyDescent="0.25">
      <c r="O6" t="s">
        <v>4138</v>
      </c>
      <c r="P6">
        <v>-2.4245362661989844E-14</v>
      </c>
      <c r="R6">
        <v>-2.4245362661989844E-14</v>
      </c>
      <c r="S6" t="s">
        <v>1774</v>
      </c>
      <c r="T6">
        <v>2024</v>
      </c>
      <c r="U6" t="s">
        <v>4139</v>
      </c>
      <c r="V6" s="6">
        <v>45496</v>
      </c>
      <c r="W6">
        <v>3</v>
      </c>
      <c r="X6">
        <v>-2.4245362661989844E-14</v>
      </c>
      <c r="Y6">
        <v>8339663</v>
      </c>
      <c r="Z6" t="s">
        <v>4140</v>
      </c>
      <c r="AE6" t="s">
        <v>5919</v>
      </c>
      <c r="AG6">
        <v>-2.4245362661989844E-14</v>
      </c>
      <c r="AH6">
        <v>-2.4245362661989844E-14</v>
      </c>
      <c r="AI6" t="s">
        <v>1753</v>
      </c>
      <c r="AJ6">
        <v>2024</v>
      </c>
      <c r="AK6" t="s">
        <v>5920</v>
      </c>
      <c r="AL6" s="6">
        <v>45314</v>
      </c>
      <c r="AM6">
        <v>3</v>
      </c>
      <c r="AN6">
        <v>-2.4245362661989844E-14</v>
      </c>
      <c r="AO6">
        <v>71462708</v>
      </c>
      <c r="AP6" t="s">
        <v>5921</v>
      </c>
      <c r="CM6" t="s">
        <v>4426</v>
      </c>
      <c r="CN6" t="s">
        <v>1752</v>
      </c>
      <c r="CO6">
        <v>7.5620000000000001E-3</v>
      </c>
      <c r="CP6">
        <v>3.5623000000000002E-2</v>
      </c>
      <c r="CQ6" t="s">
        <v>1774</v>
      </c>
      <c r="CR6">
        <v>2025</v>
      </c>
      <c r="CS6" t="s">
        <v>4427</v>
      </c>
      <c r="CT6" s="6">
        <v>45950</v>
      </c>
      <c r="CU6">
        <v>5</v>
      </c>
      <c r="CV6">
        <v>75490.25</v>
      </c>
      <c r="CW6">
        <v>22262012</v>
      </c>
      <c r="CX6" t="s">
        <v>4428</v>
      </c>
      <c r="DA6" t="s">
        <v>1824</v>
      </c>
      <c r="DB6">
        <v>0.759884</v>
      </c>
      <c r="DC6" t="s">
        <v>1752</v>
      </c>
      <c r="DD6">
        <v>1.2630000000000001E-2</v>
      </c>
      <c r="DE6" t="s">
        <v>1825</v>
      </c>
      <c r="DF6">
        <v>2025</v>
      </c>
      <c r="DG6" t="s">
        <v>1826</v>
      </c>
      <c r="DH6" s="6">
        <v>46056</v>
      </c>
      <c r="DI6">
        <v>5</v>
      </c>
      <c r="DJ6">
        <v>2044088</v>
      </c>
      <c r="DK6">
        <v>1499717</v>
      </c>
      <c r="DL6" t="s">
        <v>1827</v>
      </c>
      <c r="DQ6" t="s">
        <v>3186</v>
      </c>
      <c r="DR6" t="s">
        <v>1752</v>
      </c>
      <c r="DS6">
        <v>0.26191500000000001</v>
      </c>
      <c r="DT6">
        <v>0.80558700000000005</v>
      </c>
      <c r="DU6" t="s">
        <v>1781</v>
      </c>
      <c r="DV6">
        <v>2025</v>
      </c>
      <c r="DW6" t="s">
        <v>2208</v>
      </c>
      <c r="DX6" s="6">
        <v>45740</v>
      </c>
      <c r="DY6">
        <v>5</v>
      </c>
      <c r="DZ6">
        <v>17334218</v>
      </c>
      <c r="EA6">
        <v>115110</v>
      </c>
      <c r="EB6" t="s">
        <v>3188</v>
      </c>
      <c r="EE6" t="s">
        <v>1932</v>
      </c>
      <c r="EF6">
        <v>2.5764130000000001</v>
      </c>
      <c r="EG6" t="s">
        <v>1752</v>
      </c>
      <c r="EH6">
        <v>0.42681599999999997</v>
      </c>
      <c r="EI6" t="s">
        <v>1788</v>
      </c>
      <c r="EJ6">
        <v>2025</v>
      </c>
      <c r="EK6" t="s">
        <v>2208</v>
      </c>
      <c r="EL6" s="6">
        <v>45881</v>
      </c>
      <c r="EM6">
        <v>5</v>
      </c>
      <c r="EN6">
        <v>112666544</v>
      </c>
      <c r="EO6">
        <v>100743</v>
      </c>
      <c r="EP6" t="s">
        <v>1934</v>
      </c>
      <c r="FY6" t="s">
        <v>5913</v>
      </c>
      <c r="GA6">
        <v>-2.4245362661989844E-14</v>
      </c>
      <c r="GB6">
        <v>-2.4245362661989844E-14</v>
      </c>
      <c r="GC6" t="s">
        <v>1788</v>
      </c>
      <c r="GD6">
        <v>2025</v>
      </c>
      <c r="GE6" t="s">
        <v>5914</v>
      </c>
      <c r="GF6" s="6">
        <v>45637</v>
      </c>
      <c r="GG6">
        <v>5</v>
      </c>
      <c r="GH6">
        <v>-2.4245362661989844E-14</v>
      </c>
      <c r="GI6">
        <v>28458029</v>
      </c>
      <c r="GJ6" t="s">
        <v>5915</v>
      </c>
      <c r="GM6" t="s">
        <v>1191</v>
      </c>
      <c r="GN6">
        <v>4.8994000000000003E-2</v>
      </c>
      <c r="GO6" t="s">
        <v>1752</v>
      </c>
      <c r="GP6">
        <v>1.2692999999999999E-2</v>
      </c>
      <c r="GQ6" t="s">
        <v>1825</v>
      </c>
      <c r="GR6">
        <v>2025</v>
      </c>
      <c r="GS6" t="s">
        <v>2627</v>
      </c>
      <c r="GT6" s="6">
        <v>46091</v>
      </c>
      <c r="GU6">
        <v>5</v>
      </c>
      <c r="GV6">
        <v>199263</v>
      </c>
      <c r="GW6">
        <v>156637</v>
      </c>
      <c r="GX6" t="s">
        <v>2828</v>
      </c>
      <c r="IG6" t="s">
        <v>5514</v>
      </c>
      <c r="II6">
        <v>-2.4245362661989844E-14</v>
      </c>
      <c r="IJ6">
        <v>-2.4245362661989844E-14</v>
      </c>
      <c r="IK6" t="s">
        <v>1753</v>
      </c>
      <c r="IL6">
        <v>2023</v>
      </c>
      <c r="IM6" t="s">
        <v>5515</v>
      </c>
      <c r="IN6" s="6">
        <v>45042</v>
      </c>
      <c r="IO6">
        <v>5</v>
      </c>
      <c r="IP6">
        <v>-2.4245362661989844E-14</v>
      </c>
      <c r="IQ6">
        <v>19226683</v>
      </c>
      <c r="IR6" t="s">
        <v>5516</v>
      </c>
      <c r="IU6" t="s">
        <v>229</v>
      </c>
      <c r="IV6">
        <v>17</v>
      </c>
      <c r="IW6" t="s">
        <v>1752</v>
      </c>
      <c r="IX6">
        <v>3.5607669999999998</v>
      </c>
      <c r="IY6" t="s">
        <v>1753</v>
      </c>
      <c r="IZ6">
        <v>2025</v>
      </c>
      <c r="JA6" t="s">
        <v>3012</v>
      </c>
      <c r="JB6" s="6">
        <v>46077</v>
      </c>
      <c r="JC6">
        <v>5</v>
      </c>
      <c r="JD6">
        <v>452395488</v>
      </c>
      <c r="JE6">
        <v>101376</v>
      </c>
      <c r="JF6" t="s">
        <v>2334</v>
      </c>
      <c r="MW6" t="s">
        <v>4808</v>
      </c>
      <c r="MX6" t="s">
        <v>1940</v>
      </c>
      <c r="MY6">
        <v>0.58391400000000004</v>
      </c>
      <c r="MZ6">
        <v>3.4025E-2</v>
      </c>
      <c r="NA6" t="s">
        <v>1753</v>
      </c>
      <c r="NB6">
        <v>2025</v>
      </c>
      <c r="NC6" t="s">
        <v>4809</v>
      </c>
      <c r="ND6" s="6">
        <v>46063</v>
      </c>
      <c r="NE6">
        <v>5</v>
      </c>
      <c r="NF6">
        <v>1176750</v>
      </c>
      <c r="NG6">
        <v>143096</v>
      </c>
      <c r="NH6" t="s">
        <v>4810</v>
      </c>
      <c r="OA6" t="s">
        <v>3170</v>
      </c>
      <c r="OC6">
        <v>-2.4245362661989844E-14</v>
      </c>
      <c r="OD6">
        <v>-2.4245362661989844E-14</v>
      </c>
      <c r="OE6" t="s">
        <v>1753</v>
      </c>
      <c r="OF6">
        <v>2024</v>
      </c>
      <c r="OG6" t="s">
        <v>3171</v>
      </c>
      <c r="OH6" s="6">
        <v>45734</v>
      </c>
      <c r="OI6">
        <v>5</v>
      </c>
      <c r="OJ6">
        <v>-2.4245362661989844E-14</v>
      </c>
      <c r="OK6">
        <v>17753383</v>
      </c>
      <c r="OL6" t="s">
        <v>3172</v>
      </c>
      <c r="OO6" t="s">
        <v>4802</v>
      </c>
      <c r="OP6">
        <v>3.3373439999999999</v>
      </c>
      <c r="OR6">
        <v>-2.4245362661989844E-14</v>
      </c>
      <c r="OS6" t="s">
        <v>1753</v>
      </c>
      <c r="OT6">
        <v>2024</v>
      </c>
      <c r="OU6" t="s">
        <v>3168</v>
      </c>
      <c r="OV6" s="6">
        <v>45719</v>
      </c>
      <c r="OW6">
        <v>5</v>
      </c>
      <c r="OX6">
        <v>5950000</v>
      </c>
      <c r="OY6">
        <v>20677318</v>
      </c>
      <c r="OZ6" t="s">
        <v>4803</v>
      </c>
      <c r="QI6" t="s">
        <v>5790</v>
      </c>
      <c r="QK6">
        <v>-2.4245362661989844E-14</v>
      </c>
      <c r="QL6">
        <v>-2.4245362661989844E-14</v>
      </c>
      <c r="QM6" t="s">
        <v>1753</v>
      </c>
      <c r="QN6">
        <v>2022</v>
      </c>
      <c r="QO6" t="s">
        <v>5791</v>
      </c>
      <c r="QP6" s="6">
        <v>45050</v>
      </c>
      <c r="QQ6">
        <v>3</v>
      </c>
      <c r="QR6">
        <v>-2.4245362661989844E-14</v>
      </c>
      <c r="QS6">
        <v>16550453</v>
      </c>
      <c r="QT6" t="s">
        <v>5792</v>
      </c>
      <c r="RM6" t="s">
        <v>3899</v>
      </c>
      <c r="RO6">
        <v>-2.4245362661989844E-14</v>
      </c>
      <c r="RP6">
        <v>-2.4245362661989844E-14</v>
      </c>
      <c r="RQ6" t="s">
        <v>1781</v>
      </c>
      <c r="RR6">
        <v>2024</v>
      </c>
      <c r="RS6" t="s">
        <v>3900</v>
      </c>
      <c r="RT6" s="6">
        <v>45432</v>
      </c>
      <c r="RU6">
        <v>2</v>
      </c>
      <c r="RV6">
        <v>-2.4245362661989844E-14</v>
      </c>
      <c r="RW6">
        <v>1750153</v>
      </c>
      <c r="RX6" t="s">
        <v>3901</v>
      </c>
      <c r="UY6" t="s">
        <v>3186</v>
      </c>
      <c r="UZ6" t="s">
        <v>1752</v>
      </c>
      <c r="VA6">
        <v>0.26191500000000001</v>
      </c>
      <c r="VB6">
        <v>0.80558700000000005</v>
      </c>
      <c r="VC6" t="s">
        <v>1781</v>
      </c>
      <c r="VD6">
        <v>2025</v>
      </c>
      <c r="VE6" t="s">
        <v>2208</v>
      </c>
      <c r="VF6" s="6">
        <v>45740</v>
      </c>
      <c r="VG6">
        <v>5</v>
      </c>
      <c r="VH6">
        <v>17334218</v>
      </c>
      <c r="VI6">
        <v>115110</v>
      </c>
      <c r="VJ6" t="s">
        <v>3188</v>
      </c>
      <c r="VM6" t="s">
        <v>1932</v>
      </c>
      <c r="VN6">
        <v>2.5764130000000001</v>
      </c>
      <c r="VO6" t="s">
        <v>1752</v>
      </c>
      <c r="VP6">
        <v>0.42681599999999997</v>
      </c>
      <c r="VQ6" t="s">
        <v>1788</v>
      </c>
      <c r="VR6">
        <v>2025</v>
      </c>
      <c r="VS6" t="s">
        <v>2208</v>
      </c>
      <c r="VT6" s="6">
        <v>45881</v>
      </c>
      <c r="VU6">
        <v>5</v>
      </c>
      <c r="VV6">
        <v>112666544</v>
      </c>
      <c r="VW6">
        <v>100743</v>
      </c>
      <c r="VX6" t="s">
        <v>1934</v>
      </c>
    </row>
    <row r="7" spans="1:600" x14ac:dyDescent="0.25">
      <c r="O7" t="s">
        <v>2808</v>
      </c>
      <c r="P7">
        <v>-2.4245362661989844E-14</v>
      </c>
      <c r="R7">
        <v>-2.4245362661989844E-14</v>
      </c>
      <c r="S7" t="s">
        <v>1753</v>
      </c>
      <c r="T7">
        <v>2024</v>
      </c>
      <c r="U7" t="s">
        <v>5151</v>
      </c>
      <c r="V7" s="6">
        <v>45331</v>
      </c>
      <c r="W7">
        <v>3</v>
      </c>
      <c r="X7">
        <v>-2.4245362661989844E-14</v>
      </c>
      <c r="Y7">
        <v>101729</v>
      </c>
      <c r="Z7" t="s">
        <v>2810</v>
      </c>
      <c r="AE7" t="s">
        <v>4659</v>
      </c>
      <c r="AG7">
        <v>-2.4245362661989844E-14</v>
      </c>
      <c r="AH7">
        <v>-2.4245362661989844E-14</v>
      </c>
      <c r="AI7" t="s">
        <v>1753</v>
      </c>
      <c r="AJ7">
        <v>2022</v>
      </c>
      <c r="AK7" t="s">
        <v>5922</v>
      </c>
      <c r="AL7" s="6">
        <v>44983</v>
      </c>
      <c r="AM7">
        <v>3</v>
      </c>
      <c r="AN7">
        <v>-2.4245362661989844E-14</v>
      </c>
      <c r="AO7">
        <v>51446588</v>
      </c>
      <c r="AP7" t="s">
        <v>4661</v>
      </c>
      <c r="CM7" t="s">
        <v>4949</v>
      </c>
      <c r="CO7">
        <v>-2.4245362661989844E-14</v>
      </c>
      <c r="CP7">
        <v>-2.4245362661989844E-14</v>
      </c>
      <c r="CQ7" t="s">
        <v>1753</v>
      </c>
      <c r="CR7">
        <v>2021</v>
      </c>
      <c r="CS7" t="s">
        <v>4950</v>
      </c>
      <c r="CT7" s="6">
        <v>44679</v>
      </c>
      <c r="CU7">
        <v>5</v>
      </c>
      <c r="CV7">
        <v>-2.4245362661989844E-14</v>
      </c>
      <c r="CW7">
        <v>12237925</v>
      </c>
      <c r="CX7" t="s">
        <v>4951</v>
      </c>
      <c r="DA7" t="s">
        <v>1954</v>
      </c>
      <c r="DB7">
        <v>0.39695200000000003</v>
      </c>
      <c r="DC7" t="s">
        <v>1752</v>
      </c>
      <c r="DD7">
        <v>2.4049999999999998E-2</v>
      </c>
      <c r="DE7" t="s">
        <v>1781</v>
      </c>
      <c r="DF7">
        <v>2025</v>
      </c>
      <c r="DG7" t="s">
        <v>1955</v>
      </c>
      <c r="DH7" s="6">
        <v>45820</v>
      </c>
      <c r="DI7">
        <v>5</v>
      </c>
      <c r="DJ7">
        <v>980470</v>
      </c>
      <c r="DK7">
        <v>12129192</v>
      </c>
      <c r="DL7" t="s">
        <v>1956</v>
      </c>
      <c r="DQ7" t="s">
        <v>4695</v>
      </c>
      <c r="DR7" t="s">
        <v>1752</v>
      </c>
      <c r="DS7">
        <v>2.1447500000000002</v>
      </c>
      <c r="DT7">
        <v>0.66883300000000001</v>
      </c>
      <c r="DU7" t="s">
        <v>1788</v>
      </c>
      <c r="DV7">
        <v>2025</v>
      </c>
      <c r="DW7" t="s">
        <v>2208</v>
      </c>
      <c r="DX7" s="6">
        <v>45881</v>
      </c>
      <c r="DY7">
        <v>5</v>
      </c>
      <c r="DZ7">
        <v>14391614</v>
      </c>
      <c r="EA7">
        <v>7304202</v>
      </c>
      <c r="EB7" t="s">
        <v>4696</v>
      </c>
      <c r="EE7" t="s">
        <v>3115</v>
      </c>
      <c r="EF7">
        <v>1.2233309999999999</v>
      </c>
      <c r="EG7" t="s">
        <v>1752</v>
      </c>
      <c r="EH7">
        <v>0.77858000000000005</v>
      </c>
      <c r="EI7" t="s">
        <v>1788</v>
      </c>
      <c r="EJ7">
        <v>2025</v>
      </c>
      <c r="EK7" t="s">
        <v>2208</v>
      </c>
      <c r="EL7" s="6">
        <v>45881</v>
      </c>
      <c r="EM7">
        <v>5</v>
      </c>
      <c r="EN7">
        <v>53496264</v>
      </c>
      <c r="EO7">
        <v>9932803</v>
      </c>
      <c r="EP7" t="s">
        <v>3117</v>
      </c>
      <c r="FY7" t="s">
        <v>4485</v>
      </c>
      <c r="GA7">
        <v>-2.4245362661989844E-14</v>
      </c>
      <c r="GB7">
        <v>-2.4245362661989844E-14</v>
      </c>
      <c r="GC7" t="s">
        <v>1774</v>
      </c>
      <c r="GD7">
        <v>2025</v>
      </c>
      <c r="GE7" t="s">
        <v>4486</v>
      </c>
      <c r="GF7" s="6">
        <v>45931</v>
      </c>
      <c r="GG7">
        <v>5</v>
      </c>
      <c r="GH7">
        <v>-2.4245362661989844E-14</v>
      </c>
      <c r="GI7">
        <v>225275</v>
      </c>
      <c r="GJ7" t="s">
        <v>4487</v>
      </c>
      <c r="GM7" t="s">
        <v>5895</v>
      </c>
      <c r="GN7">
        <v>-2.4245362661989844E-14</v>
      </c>
      <c r="GP7">
        <v>-2.4245362661989844E-14</v>
      </c>
      <c r="GQ7" t="s">
        <v>1753</v>
      </c>
      <c r="GR7">
        <v>2024</v>
      </c>
      <c r="GS7" t="s">
        <v>5896</v>
      </c>
      <c r="GT7" s="6">
        <v>45405</v>
      </c>
      <c r="GU7">
        <v>5</v>
      </c>
      <c r="GV7">
        <v>-2.4245362661989844E-14</v>
      </c>
      <c r="GW7">
        <v>49726936</v>
      </c>
      <c r="GX7" t="s">
        <v>5897</v>
      </c>
      <c r="IG7" t="s">
        <v>5517</v>
      </c>
      <c r="II7">
        <v>-2.4245362661989844E-14</v>
      </c>
      <c r="IJ7">
        <v>-2.4245362661989844E-14</v>
      </c>
      <c r="IK7" t="s">
        <v>1753</v>
      </c>
      <c r="IL7">
        <v>2022</v>
      </c>
      <c r="IM7" t="s">
        <v>5518</v>
      </c>
      <c r="IN7" s="6">
        <v>44673</v>
      </c>
      <c r="IO7">
        <v>5</v>
      </c>
      <c r="IP7">
        <v>-2.4245362661989844E-14</v>
      </c>
      <c r="IQ7">
        <v>355575</v>
      </c>
      <c r="IR7" t="s">
        <v>5519</v>
      </c>
      <c r="IU7" t="s">
        <v>1144</v>
      </c>
      <c r="IV7">
        <v>14</v>
      </c>
      <c r="IW7" t="s">
        <v>1752</v>
      </c>
      <c r="IX7">
        <v>2.6252870000000001</v>
      </c>
      <c r="IY7" t="s">
        <v>1753</v>
      </c>
      <c r="IZ7">
        <v>2025</v>
      </c>
      <c r="JA7" t="s">
        <v>3012</v>
      </c>
      <c r="JB7" s="6">
        <v>46077</v>
      </c>
      <c r="JC7">
        <v>5</v>
      </c>
      <c r="JD7">
        <v>372560992</v>
      </c>
      <c r="JE7">
        <v>100185</v>
      </c>
      <c r="JF7" t="s">
        <v>4383</v>
      </c>
      <c r="MW7" t="s">
        <v>2135</v>
      </c>
      <c r="MY7">
        <v>-2.4245362661989844E-14</v>
      </c>
      <c r="MZ7">
        <v>-2.4245362661989844E-14</v>
      </c>
      <c r="NA7" t="s">
        <v>1768</v>
      </c>
      <c r="NB7">
        <v>2023</v>
      </c>
      <c r="NC7" t="s">
        <v>4811</v>
      </c>
      <c r="ND7" s="6">
        <v>45244</v>
      </c>
      <c r="NE7">
        <v>5</v>
      </c>
      <c r="NF7">
        <v>-2.4245362661989844E-14</v>
      </c>
      <c r="NG7">
        <v>118099</v>
      </c>
      <c r="NH7" t="s">
        <v>2137</v>
      </c>
      <c r="OA7" t="s">
        <v>3173</v>
      </c>
      <c r="OC7">
        <v>-2.4245362661989844E-14</v>
      </c>
      <c r="OD7">
        <v>-2.4245362661989844E-14</v>
      </c>
      <c r="OE7" t="s">
        <v>1753</v>
      </c>
      <c r="OF7">
        <v>2022</v>
      </c>
      <c r="OG7" t="s">
        <v>3174</v>
      </c>
      <c r="OH7" s="6">
        <v>44984</v>
      </c>
      <c r="OI7">
        <v>5</v>
      </c>
      <c r="OJ7">
        <v>-2.4245362661989844E-14</v>
      </c>
      <c r="OK7">
        <v>14724367</v>
      </c>
      <c r="OL7" t="s">
        <v>3175</v>
      </c>
      <c r="OO7" t="s">
        <v>531</v>
      </c>
      <c r="OP7">
        <v>1.752807</v>
      </c>
      <c r="OQ7" t="s">
        <v>1752</v>
      </c>
      <c r="OR7">
        <v>8.2275000000000001E-2</v>
      </c>
      <c r="OS7" t="s">
        <v>1753</v>
      </c>
      <c r="OT7">
        <v>2024</v>
      </c>
      <c r="OU7" t="s">
        <v>3168</v>
      </c>
      <c r="OV7" s="6">
        <v>45719</v>
      </c>
      <c r="OW7">
        <v>5</v>
      </c>
      <c r="OX7">
        <v>3125000.75</v>
      </c>
      <c r="OY7">
        <v>100978</v>
      </c>
      <c r="OZ7" t="s">
        <v>3462</v>
      </c>
      <c r="QI7" t="s">
        <v>5793</v>
      </c>
      <c r="QK7">
        <v>-2.4245362661989844E-14</v>
      </c>
      <c r="QL7">
        <v>-2.4245362661989844E-14</v>
      </c>
      <c r="QM7" t="s">
        <v>1753</v>
      </c>
      <c r="QN7">
        <v>2025</v>
      </c>
      <c r="QO7" t="s">
        <v>5794</v>
      </c>
      <c r="QP7" s="6">
        <v>45887</v>
      </c>
      <c r="QQ7">
        <v>3</v>
      </c>
      <c r="QR7">
        <v>-2.4245362661989844E-14</v>
      </c>
      <c r="QS7">
        <v>174466</v>
      </c>
      <c r="QT7" t="s">
        <v>5795</v>
      </c>
      <c r="UY7" t="s">
        <v>4695</v>
      </c>
      <c r="UZ7" t="s">
        <v>1752</v>
      </c>
      <c r="VA7">
        <v>2.1447500000000002</v>
      </c>
      <c r="VB7">
        <v>0.66883300000000001</v>
      </c>
      <c r="VC7" t="s">
        <v>1788</v>
      </c>
      <c r="VD7">
        <v>2025</v>
      </c>
      <c r="VE7" t="s">
        <v>2208</v>
      </c>
      <c r="VF7" s="6">
        <v>45881</v>
      </c>
      <c r="VG7">
        <v>5</v>
      </c>
      <c r="VH7">
        <v>14391614</v>
      </c>
      <c r="VI7">
        <v>7304202</v>
      </c>
      <c r="VJ7" t="s">
        <v>4696</v>
      </c>
      <c r="VM7" t="s">
        <v>3115</v>
      </c>
      <c r="VN7">
        <v>1.2233309999999999</v>
      </c>
      <c r="VO7" t="s">
        <v>1752</v>
      </c>
      <c r="VP7">
        <v>0.77858000000000005</v>
      </c>
      <c r="VQ7" t="s">
        <v>1788</v>
      </c>
      <c r="VR7">
        <v>2025</v>
      </c>
      <c r="VS7" t="s">
        <v>2208</v>
      </c>
      <c r="VT7" s="6">
        <v>45881</v>
      </c>
      <c r="VU7">
        <v>5</v>
      </c>
      <c r="VV7">
        <v>53496264</v>
      </c>
      <c r="VW7">
        <v>9932803</v>
      </c>
      <c r="VX7" t="s">
        <v>3117</v>
      </c>
    </row>
    <row r="8" spans="1:600" x14ac:dyDescent="0.25">
      <c r="CM8" t="s">
        <v>4952</v>
      </c>
      <c r="CO8">
        <v>-2.4245362661989844E-14</v>
      </c>
      <c r="CP8">
        <v>-2.4245362661989844E-14</v>
      </c>
      <c r="CQ8" t="s">
        <v>1768</v>
      </c>
      <c r="CR8">
        <v>2025</v>
      </c>
      <c r="CS8" t="s">
        <v>4953</v>
      </c>
      <c r="CT8" s="6">
        <v>45975</v>
      </c>
      <c r="CU8">
        <v>5</v>
      </c>
      <c r="CV8">
        <v>-2.4245362661989844E-14</v>
      </c>
      <c r="CW8">
        <v>17469696</v>
      </c>
      <c r="CX8" t="s">
        <v>4954</v>
      </c>
      <c r="DA8" t="s">
        <v>2089</v>
      </c>
      <c r="DB8">
        <v>0.14593400000000001</v>
      </c>
      <c r="DC8" t="s">
        <v>1752</v>
      </c>
      <c r="DD8">
        <v>1.9580000000000001E-3</v>
      </c>
      <c r="DE8" t="s">
        <v>1774</v>
      </c>
      <c r="DF8">
        <v>2025</v>
      </c>
      <c r="DG8" t="s">
        <v>2090</v>
      </c>
      <c r="DH8" s="6">
        <v>45919</v>
      </c>
      <c r="DI8">
        <v>5</v>
      </c>
      <c r="DJ8">
        <v>383653.78</v>
      </c>
      <c r="DK8">
        <v>115268</v>
      </c>
      <c r="DL8" t="s">
        <v>2091</v>
      </c>
      <c r="DQ8" t="s">
        <v>4697</v>
      </c>
      <c r="DR8" t="s">
        <v>1752</v>
      </c>
      <c r="DS8">
        <v>0.36666900000000002</v>
      </c>
      <c r="DT8">
        <v>0.66739899999999996</v>
      </c>
      <c r="DU8" t="s">
        <v>1788</v>
      </c>
      <c r="DV8">
        <v>2025</v>
      </c>
      <c r="DW8" t="s">
        <v>2208</v>
      </c>
      <c r="DX8" s="6">
        <v>45881</v>
      </c>
      <c r="DY8">
        <v>5</v>
      </c>
      <c r="DZ8">
        <v>14360758</v>
      </c>
      <c r="EA8">
        <v>116563</v>
      </c>
      <c r="EB8" t="s">
        <v>4698</v>
      </c>
      <c r="EE8" t="s">
        <v>4093</v>
      </c>
      <c r="EF8">
        <v>1.059528</v>
      </c>
      <c r="EG8" t="s">
        <v>1752</v>
      </c>
      <c r="EH8">
        <v>1.4451590000000001</v>
      </c>
      <c r="EI8" t="s">
        <v>1788</v>
      </c>
      <c r="EJ8">
        <v>2025</v>
      </c>
      <c r="EK8" t="s">
        <v>2208</v>
      </c>
      <c r="EL8" s="6">
        <v>45881</v>
      </c>
      <c r="EM8">
        <v>5</v>
      </c>
      <c r="EN8">
        <v>46333160</v>
      </c>
      <c r="EO8">
        <v>47183276</v>
      </c>
      <c r="EP8" t="s">
        <v>4094</v>
      </c>
      <c r="FY8" t="s">
        <v>2524</v>
      </c>
      <c r="GA8">
        <v>-2.4245362661989844E-14</v>
      </c>
      <c r="GB8">
        <v>-2.4245362661989844E-14</v>
      </c>
      <c r="GC8" t="s">
        <v>1788</v>
      </c>
      <c r="GD8">
        <v>2025</v>
      </c>
      <c r="GE8" t="s">
        <v>2525</v>
      </c>
      <c r="GF8" s="6">
        <v>45957</v>
      </c>
      <c r="GG8">
        <v>5</v>
      </c>
      <c r="GH8">
        <v>-2.4245362661989844E-14</v>
      </c>
      <c r="GI8">
        <v>43152573</v>
      </c>
      <c r="GJ8" t="s">
        <v>2526</v>
      </c>
      <c r="GM8" t="s">
        <v>5898</v>
      </c>
      <c r="GN8">
        <v>-2.4245362661989844E-14</v>
      </c>
      <c r="GP8">
        <v>-2.4245362661989844E-14</v>
      </c>
      <c r="GQ8" t="s">
        <v>1753</v>
      </c>
      <c r="GR8">
        <v>2023</v>
      </c>
      <c r="GS8" t="s">
        <v>5899</v>
      </c>
      <c r="GT8" s="6">
        <v>45195</v>
      </c>
      <c r="GU8">
        <v>5</v>
      </c>
      <c r="GV8">
        <v>-2.4245362661989844E-14</v>
      </c>
      <c r="GW8">
        <v>53083024</v>
      </c>
      <c r="GX8" t="s">
        <v>5900</v>
      </c>
      <c r="IG8" t="s">
        <v>5520</v>
      </c>
      <c r="II8">
        <v>-2.4245362661989844E-14</v>
      </c>
      <c r="IJ8">
        <v>-2.4245362661989844E-14</v>
      </c>
      <c r="IK8" t="s">
        <v>1753</v>
      </c>
      <c r="IL8">
        <v>2025</v>
      </c>
      <c r="IM8" t="s">
        <v>5521</v>
      </c>
      <c r="IN8" s="6">
        <v>46066</v>
      </c>
      <c r="IO8">
        <v>5</v>
      </c>
      <c r="IP8">
        <v>-2.4245362661989844E-14</v>
      </c>
      <c r="IQ8">
        <v>49298461</v>
      </c>
      <c r="IR8" t="s">
        <v>5522</v>
      </c>
      <c r="IU8" t="s">
        <v>5290</v>
      </c>
      <c r="IV8">
        <v>10</v>
      </c>
      <c r="IW8" t="s">
        <v>1752</v>
      </c>
      <c r="IX8">
        <v>2.5764330000000002</v>
      </c>
      <c r="IY8" t="s">
        <v>1753</v>
      </c>
      <c r="IZ8">
        <v>2025</v>
      </c>
      <c r="JA8" t="s">
        <v>3012</v>
      </c>
      <c r="JB8" s="6">
        <v>46077</v>
      </c>
      <c r="JC8">
        <v>5</v>
      </c>
      <c r="JD8">
        <v>266115008</v>
      </c>
      <c r="JE8">
        <v>101450</v>
      </c>
      <c r="JF8" t="s">
        <v>5291</v>
      </c>
      <c r="MW8" t="s">
        <v>4812</v>
      </c>
      <c r="MY8">
        <v>-2.4245362661989844E-14</v>
      </c>
      <c r="MZ8">
        <v>-2.4245362661989844E-14</v>
      </c>
      <c r="NA8" t="s">
        <v>1753</v>
      </c>
      <c r="NB8">
        <v>2023</v>
      </c>
      <c r="NC8" t="s">
        <v>4813</v>
      </c>
      <c r="ND8" s="6">
        <v>45188</v>
      </c>
      <c r="NE8">
        <v>5</v>
      </c>
      <c r="NF8">
        <v>-2.4245362661989844E-14</v>
      </c>
      <c r="NG8">
        <v>38550351</v>
      </c>
      <c r="NH8" t="s">
        <v>4814</v>
      </c>
      <c r="OA8" t="s">
        <v>3176</v>
      </c>
      <c r="OC8">
        <v>-2.4245362661989844E-14</v>
      </c>
      <c r="OD8">
        <v>-2.4245362661989844E-14</v>
      </c>
      <c r="OE8" t="s">
        <v>1753</v>
      </c>
      <c r="OF8">
        <v>2024</v>
      </c>
      <c r="OG8" t="s">
        <v>3168</v>
      </c>
      <c r="OH8" s="6">
        <v>45719</v>
      </c>
      <c r="OI8">
        <v>5</v>
      </c>
      <c r="OJ8">
        <v>-2.4245362661989844E-14</v>
      </c>
      <c r="OK8">
        <v>11533178</v>
      </c>
      <c r="OL8" t="s">
        <v>3177</v>
      </c>
      <c r="OO8" t="s">
        <v>3173</v>
      </c>
      <c r="OP8">
        <v>-2.4245362661989844E-14</v>
      </c>
      <c r="OR8">
        <v>-2.4245362661989844E-14</v>
      </c>
      <c r="OS8" t="s">
        <v>1753</v>
      </c>
      <c r="OT8">
        <v>2024</v>
      </c>
      <c r="OU8" t="s">
        <v>3168</v>
      </c>
      <c r="OV8" s="6">
        <v>45719</v>
      </c>
      <c r="OW8">
        <v>5</v>
      </c>
      <c r="OX8">
        <v>-2.4245362661989844E-14</v>
      </c>
      <c r="OY8">
        <v>14724367</v>
      </c>
      <c r="OZ8" t="s">
        <v>3175</v>
      </c>
      <c r="UY8" t="s">
        <v>4697</v>
      </c>
      <c r="UZ8" t="s">
        <v>1752</v>
      </c>
      <c r="VA8">
        <v>0.36666900000000002</v>
      </c>
      <c r="VB8">
        <v>0.66739899999999996</v>
      </c>
      <c r="VC8" t="s">
        <v>1788</v>
      </c>
      <c r="VD8">
        <v>2025</v>
      </c>
      <c r="VE8" t="s">
        <v>2208</v>
      </c>
      <c r="VF8" s="6">
        <v>45881</v>
      </c>
      <c r="VG8">
        <v>5</v>
      </c>
      <c r="VH8">
        <v>14360758</v>
      </c>
      <c r="VI8">
        <v>116563</v>
      </c>
      <c r="VJ8" t="s">
        <v>4698</v>
      </c>
      <c r="VM8" t="s">
        <v>4093</v>
      </c>
      <c r="VN8">
        <v>1.059528</v>
      </c>
      <c r="VO8" t="s">
        <v>1752</v>
      </c>
      <c r="VP8">
        <v>1.4451590000000001</v>
      </c>
      <c r="VQ8" t="s">
        <v>1788</v>
      </c>
      <c r="VR8">
        <v>2025</v>
      </c>
      <c r="VS8" t="s">
        <v>2208</v>
      </c>
      <c r="VT8" s="6">
        <v>45881</v>
      </c>
      <c r="VU8">
        <v>5</v>
      </c>
      <c r="VV8">
        <v>46333160</v>
      </c>
      <c r="VW8">
        <v>47183276</v>
      </c>
      <c r="VX8" t="s">
        <v>4094</v>
      </c>
    </row>
    <row r="9" spans="1:600" x14ac:dyDescent="0.25">
      <c r="CM9" t="s">
        <v>4955</v>
      </c>
      <c r="CO9">
        <v>-2.4245362661989844E-14</v>
      </c>
      <c r="CP9">
        <v>-2.4245362661989844E-14</v>
      </c>
      <c r="CQ9" t="s">
        <v>1753</v>
      </c>
      <c r="CR9">
        <v>2021</v>
      </c>
      <c r="CS9" t="s">
        <v>4956</v>
      </c>
      <c r="CT9" s="6">
        <v>44728</v>
      </c>
      <c r="CU9">
        <v>5</v>
      </c>
      <c r="CV9">
        <v>-2.4245362661989844E-14</v>
      </c>
      <c r="CW9">
        <v>866835</v>
      </c>
      <c r="CX9" t="s">
        <v>4957</v>
      </c>
      <c r="DA9" t="s">
        <v>1960</v>
      </c>
      <c r="DB9">
        <v>0.117287</v>
      </c>
      <c r="DC9" t="s">
        <v>1752</v>
      </c>
      <c r="DD9">
        <v>5.5309999999999998E-2</v>
      </c>
      <c r="DE9" t="s">
        <v>1788</v>
      </c>
      <c r="DF9">
        <v>2025</v>
      </c>
      <c r="DG9" t="s">
        <v>2724</v>
      </c>
      <c r="DH9" s="6">
        <v>46034</v>
      </c>
      <c r="DI9">
        <v>5</v>
      </c>
      <c r="DJ9">
        <v>315501</v>
      </c>
      <c r="DK9">
        <v>313021</v>
      </c>
      <c r="DL9" t="s">
        <v>1962</v>
      </c>
      <c r="DQ9" t="s">
        <v>4534</v>
      </c>
      <c r="DR9" t="s">
        <v>1752</v>
      </c>
      <c r="DS9">
        <v>3.8373949999999999</v>
      </c>
      <c r="DT9">
        <v>0.65883999999999998</v>
      </c>
      <c r="DU9" t="s">
        <v>1781</v>
      </c>
      <c r="DV9">
        <v>2025</v>
      </c>
      <c r="DW9" t="s">
        <v>2208</v>
      </c>
      <c r="DX9" s="6">
        <v>45740</v>
      </c>
      <c r="DY9">
        <v>5</v>
      </c>
      <c r="DZ9">
        <v>14176590</v>
      </c>
      <c r="EA9">
        <v>21813538</v>
      </c>
      <c r="EB9" t="s">
        <v>4536</v>
      </c>
      <c r="EE9" t="s">
        <v>4608</v>
      </c>
      <c r="EF9">
        <v>0.95568799999999998</v>
      </c>
      <c r="EG9" t="s">
        <v>1752</v>
      </c>
      <c r="EH9">
        <v>2.8645339999999999</v>
      </c>
      <c r="EI9" t="s">
        <v>1788</v>
      </c>
      <c r="EJ9">
        <v>2025</v>
      </c>
      <c r="EK9" t="s">
        <v>2208</v>
      </c>
      <c r="EL9" s="6">
        <v>45881</v>
      </c>
      <c r="EM9">
        <v>5</v>
      </c>
      <c r="EN9">
        <v>41792236</v>
      </c>
      <c r="EO9">
        <v>107907</v>
      </c>
      <c r="EP9" t="s">
        <v>4609</v>
      </c>
      <c r="FY9" t="s">
        <v>4838</v>
      </c>
      <c r="GA9">
        <v>-2.4245362661989844E-14</v>
      </c>
      <c r="GB9">
        <v>-2.4245362661989844E-14</v>
      </c>
      <c r="GC9" t="s">
        <v>1788</v>
      </c>
      <c r="GD9">
        <v>2024</v>
      </c>
      <c r="GE9" t="s">
        <v>5916</v>
      </c>
      <c r="GF9" s="6">
        <v>45575</v>
      </c>
      <c r="GG9">
        <v>5</v>
      </c>
      <c r="GH9">
        <v>-2.4245362661989844E-14</v>
      </c>
      <c r="GI9">
        <v>180556</v>
      </c>
      <c r="GJ9" t="s">
        <v>4839</v>
      </c>
      <c r="GM9" t="s">
        <v>5901</v>
      </c>
      <c r="GN9">
        <v>-2.4245362661989844E-14</v>
      </c>
      <c r="GP9">
        <v>-2.4245362661989844E-14</v>
      </c>
      <c r="GQ9" t="s">
        <v>1753</v>
      </c>
      <c r="GR9">
        <v>2024</v>
      </c>
      <c r="GS9" t="s">
        <v>5902</v>
      </c>
      <c r="GT9" s="6">
        <v>45742</v>
      </c>
      <c r="GU9">
        <v>5</v>
      </c>
      <c r="GV9">
        <v>-2.4245362661989844E-14</v>
      </c>
      <c r="GW9">
        <v>328286</v>
      </c>
      <c r="GX9" t="s">
        <v>5903</v>
      </c>
      <c r="IG9" t="s">
        <v>5523</v>
      </c>
      <c r="II9">
        <v>-2.4245362661989844E-14</v>
      </c>
      <c r="IJ9">
        <v>-2.4245362661989844E-14</v>
      </c>
      <c r="IK9" t="s">
        <v>1774</v>
      </c>
      <c r="IL9">
        <v>2026</v>
      </c>
      <c r="IM9" t="s">
        <v>5524</v>
      </c>
      <c r="IN9" s="6">
        <v>45979</v>
      </c>
      <c r="IO9">
        <v>5</v>
      </c>
      <c r="IP9">
        <v>-2.4245362661989844E-14</v>
      </c>
      <c r="IQ9">
        <v>198701</v>
      </c>
      <c r="IR9" t="s">
        <v>5525</v>
      </c>
      <c r="IU9" t="s">
        <v>5292</v>
      </c>
      <c r="IV9">
        <v>6.1642549999999998</v>
      </c>
      <c r="IW9" t="s">
        <v>1752</v>
      </c>
      <c r="IX9">
        <v>2.3822230000000002</v>
      </c>
      <c r="IY9" t="s">
        <v>1788</v>
      </c>
      <c r="IZ9">
        <v>2025</v>
      </c>
      <c r="JA9" t="s">
        <v>5293</v>
      </c>
      <c r="JB9" s="6">
        <v>46041</v>
      </c>
      <c r="JC9">
        <v>5</v>
      </c>
      <c r="JD9">
        <v>167507472</v>
      </c>
      <c r="JE9">
        <v>1745816</v>
      </c>
      <c r="JF9" t="s">
        <v>5294</v>
      </c>
      <c r="MW9" t="s">
        <v>2833</v>
      </c>
      <c r="MY9">
        <v>-2.4245362661989844E-14</v>
      </c>
      <c r="MZ9">
        <v>-2.4245362661989844E-14</v>
      </c>
      <c r="NA9" t="s">
        <v>1753</v>
      </c>
      <c r="NB9">
        <v>2023</v>
      </c>
      <c r="NC9" t="s">
        <v>2834</v>
      </c>
      <c r="ND9" s="6">
        <v>45462</v>
      </c>
      <c r="NE9">
        <v>5</v>
      </c>
      <c r="NF9">
        <v>-2.4245362661989844E-14</v>
      </c>
      <c r="NG9">
        <v>48621208</v>
      </c>
      <c r="NH9" t="s">
        <v>2835</v>
      </c>
      <c r="OA9" t="s">
        <v>3178</v>
      </c>
      <c r="OC9">
        <v>-2.4245362661989844E-14</v>
      </c>
      <c r="OD9">
        <v>-2.4245362661989844E-14</v>
      </c>
      <c r="OE9" t="s">
        <v>1753</v>
      </c>
      <c r="OF9">
        <v>2023</v>
      </c>
      <c r="OG9" t="s">
        <v>3179</v>
      </c>
      <c r="OH9" s="6">
        <v>45069</v>
      </c>
      <c r="OI9">
        <v>5</v>
      </c>
      <c r="OJ9">
        <v>-2.4245362661989844E-14</v>
      </c>
      <c r="OK9">
        <v>69225062</v>
      </c>
      <c r="OL9" t="s">
        <v>3180</v>
      </c>
      <c r="OO9" t="s">
        <v>4804</v>
      </c>
      <c r="OP9">
        <v>-2.4245362661989844E-14</v>
      </c>
      <c r="OR9">
        <v>-2.4245362661989844E-14</v>
      </c>
      <c r="OS9" t="s">
        <v>1753</v>
      </c>
      <c r="OT9">
        <v>2024</v>
      </c>
      <c r="OU9" t="s">
        <v>4805</v>
      </c>
      <c r="OV9" s="6">
        <v>45492</v>
      </c>
      <c r="OW9">
        <v>5</v>
      </c>
      <c r="OX9">
        <v>-2.4245362661989844E-14</v>
      </c>
      <c r="OY9">
        <v>950133</v>
      </c>
      <c r="OZ9" t="s">
        <v>4806</v>
      </c>
      <c r="UY9" t="s">
        <v>4534</v>
      </c>
      <c r="UZ9" t="s">
        <v>1752</v>
      </c>
      <c r="VA9">
        <v>3.8373949999999999</v>
      </c>
      <c r="VB9">
        <v>0.65883999999999998</v>
      </c>
      <c r="VC9" t="s">
        <v>1781</v>
      </c>
      <c r="VD9">
        <v>2025</v>
      </c>
      <c r="VE9" t="s">
        <v>2208</v>
      </c>
      <c r="VF9" s="6">
        <v>45740</v>
      </c>
      <c r="VG9">
        <v>5</v>
      </c>
      <c r="VH9">
        <v>14176590</v>
      </c>
      <c r="VI9">
        <v>21813538</v>
      </c>
      <c r="VJ9" t="s">
        <v>4536</v>
      </c>
      <c r="VM9" t="s">
        <v>4608</v>
      </c>
      <c r="VN9">
        <v>0.95568799999999998</v>
      </c>
      <c r="VO9" t="s">
        <v>1752</v>
      </c>
      <c r="VP9">
        <v>2.8645339999999999</v>
      </c>
      <c r="VQ9" t="s">
        <v>1788</v>
      </c>
      <c r="VR9">
        <v>2025</v>
      </c>
      <c r="VS9" t="s">
        <v>2208</v>
      </c>
      <c r="VT9" s="6">
        <v>45881</v>
      </c>
      <c r="VU9">
        <v>5</v>
      </c>
      <c r="VV9">
        <v>41792236</v>
      </c>
      <c r="VW9">
        <v>107907</v>
      </c>
      <c r="VX9" t="s">
        <v>4609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73</v>
      </c>
      <c r="AE2" s="3" t="s">
        <v>74</v>
      </c>
      <c r="BI2" s="3" t="s">
        <v>75</v>
      </c>
      <c r="CM2" s="3" t="s">
        <v>76</v>
      </c>
      <c r="DQ2" s="3" t="s">
        <v>77</v>
      </c>
      <c r="EU2" s="3" t="s">
        <v>78</v>
      </c>
      <c r="FY2" s="3" t="s">
        <v>79</v>
      </c>
      <c r="HC2" s="3" t="s">
        <v>80</v>
      </c>
      <c r="IG2" s="3" t="s">
        <v>81</v>
      </c>
      <c r="JK2" s="3" t="s">
        <v>82</v>
      </c>
      <c r="KO2" s="3" t="s">
        <v>83</v>
      </c>
      <c r="LS2" s="3" t="s">
        <v>84</v>
      </c>
      <c r="MW2" s="3" t="s">
        <v>85</v>
      </c>
      <c r="OA2" s="3" t="s">
        <v>86</v>
      </c>
      <c r="PE2" s="3" t="s">
        <v>37</v>
      </c>
      <c r="QI2" s="3" t="s">
        <v>27</v>
      </c>
      <c r="RM2" s="3" t="s">
        <v>87</v>
      </c>
      <c r="SQ2" s="3" t="s">
        <v>88</v>
      </c>
      <c r="TU2" s="3" t="s">
        <v>89</v>
      </c>
      <c r="UY2" s="3" t="s">
        <v>90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_xll.BDS("3499164Q US Equity","SUPPLY_CHAIN_SUPPLIERS_ALL_DATA","cols=12;rows=1")</f>
        <v>DELL US Equity</v>
      </c>
      <c r="C5">
        <v>-2.4245362661989844E-14</v>
      </c>
      <c r="D5">
        <v>-2.4245362661989844E-14</v>
      </c>
      <c r="E5" t="s">
        <v>1788</v>
      </c>
      <c r="F5">
        <v>2023</v>
      </c>
      <c r="G5" t="s">
        <v>3017</v>
      </c>
      <c r="H5" s="6">
        <v>44886</v>
      </c>
      <c r="I5">
        <v>1</v>
      </c>
      <c r="J5">
        <v>-2.4245362661989844E-14</v>
      </c>
      <c r="K5">
        <v>50985605</v>
      </c>
      <c r="L5" t="s">
        <v>2424</v>
      </c>
      <c r="O5" t="str">
        <f>_xll.BDS("3499164Q US Equity","SUPPLY_CHAIN_CUSTOMERS_ALL_DATA","cols=12;rows=4")</f>
        <v>6166 TT Equity</v>
      </c>
      <c r="P5">
        <v>-2.4245362661989844E-14</v>
      </c>
      <c r="R5">
        <v>-2.4245362661989844E-14</v>
      </c>
      <c r="S5" t="s">
        <v>1753</v>
      </c>
      <c r="T5">
        <v>2021</v>
      </c>
      <c r="U5" t="s">
        <v>3259</v>
      </c>
      <c r="V5" s="6">
        <v>44714</v>
      </c>
      <c r="W5">
        <v>4</v>
      </c>
      <c r="X5">
        <v>-2.4245362661989844E-14</v>
      </c>
      <c r="Y5">
        <v>870997</v>
      </c>
      <c r="Z5" t="s">
        <v>3260</v>
      </c>
      <c r="AE5" t="str">
        <f>_xll.BDS("ETP US Equity","SUPPLY_CHAIN_SUPPLIERS_ALL_DATA")</f>
        <v>#N/A N/A</v>
      </c>
      <c r="AS5" t="str">
        <f>_xll.BDS("ETP US Equity","SUPPLY_CHAIN_CUSTOMERS_ALL_DATA")</f>
        <v>#N/A N/A</v>
      </c>
      <c r="BI5" t="str">
        <f>_xll.BDS("1524867D US Equity","SUPPLY_CHAIN_SUPPLIERS_ALL_DATA","cols=12;rows=1")</f>
        <v>SLCA US Equity</v>
      </c>
      <c r="BK5">
        <v>-2.4245362661989844E-14</v>
      </c>
      <c r="BL5">
        <v>-2.4245362661989844E-14</v>
      </c>
      <c r="BM5" t="s">
        <v>1753</v>
      </c>
      <c r="BN5">
        <v>2022</v>
      </c>
      <c r="BO5" t="s">
        <v>4566</v>
      </c>
      <c r="BP5" s="6">
        <v>45044</v>
      </c>
      <c r="BQ5">
        <v>1</v>
      </c>
      <c r="BR5">
        <v>-2.4245362661989844E-14</v>
      </c>
      <c r="BS5">
        <v>26290697</v>
      </c>
      <c r="BT5" t="s">
        <v>4567</v>
      </c>
      <c r="BW5" t="str">
        <f>_xll.BDS("1524867D US Equity","SUPPLY_CHAIN_CUSTOMERS_ALL_DATA")</f>
        <v>#N/A N/A</v>
      </c>
      <c r="CM5" t="str">
        <f>_xll.BDS("329556Q US Equity","SUPPLY_CHAIN_SUPPLIERS_ALL_DATA")</f>
        <v>#N/A N/A</v>
      </c>
      <c r="DA5" t="str">
        <f>_xll.BDS("329556Q US Equity","SUPPLY_CHAIN_CUSTOMERS_ALL_DATA","cols=12;rows=1")</f>
        <v>AMRC US Equity</v>
      </c>
      <c r="DB5">
        <v>-2.4245362661989844E-14</v>
      </c>
      <c r="DD5">
        <v>-2.4245362661989844E-14</v>
      </c>
      <c r="DE5" t="s">
        <v>1788</v>
      </c>
      <c r="DF5">
        <v>2023</v>
      </c>
      <c r="DG5" t="s">
        <v>5767</v>
      </c>
      <c r="DH5" s="6">
        <v>45236</v>
      </c>
      <c r="DI5">
        <v>1</v>
      </c>
      <c r="DJ5">
        <v>-2.4245362661989844E-14</v>
      </c>
      <c r="DK5">
        <v>7691283</v>
      </c>
      <c r="DL5" t="s">
        <v>5768</v>
      </c>
      <c r="DQ5" t="str">
        <f>_xll.BDS("IBM US Equity","SUPPLY_CHAIN_SUPPLIERS_ALL_DATA","cols=12;rows=5")</f>
        <v>005930 KS Equity</v>
      </c>
      <c r="DR5" t="s">
        <v>1752</v>
      </c>
      <c r="DS5">
        <v>0.49490499999999998</v>
      </c>
      <c r="DT5">
        <v>4.1423690000000004</v>
      </c>
      <c r="DU5" t="s">
        <v>1781</v>
      </c>
      <c r="DV5">
        <v>2025</v>
      </c>
      <c r="DW5" t="s">
        <v>1869</v>
      </c>
      <c r="DX5" s="6">
        <v>45797</v>
      </c>
      <c r="DY5">
        <v>5</v>
      </c>
      <c r="DZ5">
        <v>269668224</v>
      </c>
      <c r="EA5">
        <v>117929</v>
      </c>
      <c r="EB5" t="s">
        <v>1873</v>
      </c>
      <c r="EE5" t="str">
        <f>_xll.BDS("IBM US Equity","SUPPLY_CHAIN_CUSTOMERS_ALL_DATA","cols=12;rows=5")</f>
        <v>AMZN US Equity</v>
      </c>
      <c r="EF5">
        <v>4.454224</v>
      </c>
      <c r="EG5" t="s">
        <v>1752</v>
      </c>
      <c r="EH5">
        <v>0.84141600000000005</v>
      </c>
      <c r="EI5" t="s">
        <v>1781</v>
      </c>
      <c r="EJ5">
        <v>2025</v>
      </c>
      <c r="EK5" t="s">
        <v>1869</v>
      </c>
      <c r="EL5" s="6">
        <v>45797</v>
      </c>
      <c r="EM5">
        <v>5</v>
      </c>
      <c r="EN5">
        <v>647688704</v>
      </c>
      <c r="EO5">
        <v>216952</v>
      </c>
      <c r="EP5" t="s">
        <v>1899</v>
      </c>
      <c r="EU5" t="str">
        <f>_xll.BDS("FMBI US Equity","SUPPLY_CHAIN_SUPPLIERS_ALL_DATA")</f>
        <v>#N/A N/A</v>
      </c>
      <c r="FI5" t="str">
        <f>_xll.BDS("FMBI US Equity","SUPPLY_CHAIN_CUSTOMERS_ALL_DATA")</f>
        <v>#N/A N/A</v>
      </c>
      <c r="FY5" t="str">
        <f>_xll.BDS("HET US Equity","SUPPLY_CHAIN_SUPPLIERS_ALL_DATA")</f>
        <v>#N/A N/A</v>
      </c>
      <c r="GM5" t="str">
        <f>_xll.BDS("HET US Equity","SUPPLY_CHAIN_CUSTOMERS_ALL_DATA")</f>
        <v>#N/A N/A</v>
      </c>
      <c r="HC5" t="str">
        <f>_xll.BDS("2326248D US Equity","SUPPLY_CHAIN_SUPPLIERS_ALL_DATA")</f>
        <v>#N/A N/A</v>
      </c>
      <c r="HQ5" t="str">
        <f>_xll.BDS("2326248D US Equity","SUPPLY_CHAIN_CUSTOMERS_ALL_DATA")</f>
        <v>#N/A N/A</v>
      </c>
      <c r="IG5" t="str">
        <f>_xll.BDS("ON US Equity","SUPPLY_CHAIN_SUPPLIERS_ALL_DATA","cols=12;rows=5")</f>
        <v>981 HK Equity</v>
      </c>
      <c r="IH5" t="s">
        <v>1752</v>
      </c>
      <c r="II5">
        <v>1.149251</v>
      </c>
      <c r="IJ5">
        <v>2.2420330000000002</v>
      </c>
      <c r="IK5" t="s">
        <v>1781</v>
      </c>
      <c r="IL5">
        <v>2025</v>
      </c>
      <c r="IM5" t="s">
        <v>3482</v>
      </c>
      <c r="IN5" s="6">
        <v>45846</v>
      </c>
      <c r="IO5">
        <v>5</v>
      </c>
      <c r="IP5">
        <v>25825980</v>
      </c>
      <c r="IQ5">
        <v>7039692</v>
      </c>
      <c r="IR5" t="s">
        <v>3483</v>
      </c>
      <c r="IU5" t="str">
        <f>_xll.BDS("ON US Equity","SUPPLY_CHAIN_CUSTOMERS_ALL_DATA","cols=12;rows=5")</f>
        <v>3036 TT Equity</v>
      </c>
      <c r="IV5">
        <v>10.876538999999999</v>
      </c>
      <c r="IW5" t="s">
        <v>1752</v>
      </c>
      <c r="IX5">
        <v>1.98163</v>
      </c>
      <c r="IY5" t="s">
        <v>1774</v>
      </c>
      <c r="IZ5">
        <v>2025</v>
      </c>
      <c r="JA5" t="s">
        <v>4948</v>
      </c>
      <c r="JB5" s="6">
        <v>45943</v>
      </c>
      <c r="JC5">
        <v>5</v>
      </c>
      <c r="JD5">
        <v>159743728</v>
      </c>
      <c r="JE5">
        <v>1459396</v>
      </c>
      <c r="JF5" t="s">
        <v>1925</v>
      </c>
      <c r="JK5" t="str">
        <f>_xll.BDS("MAN US Equity","SUPPLY_CHAIN_SUPPLIERS_ALL_DATA","cols=12;rows=5")</f>
        <v>ORCL US Equity</v>
      </c>
      <c r="JL5" t="s">
        <v>1752</v>
      </c>
      <c r="JM5">
        <v>5.1767000000000001E-2</v>
      </c>
      <c r="JN5">
        <v>0.242704</v>
      </c>
      <c r="JO5" t="s">
        <v>1825</v>
      </c>
      <c r="JP5">
        <v>2025</v>
      </c>
      <c r="JQ5" t="s">
        <v>1897</v>
      </c>
      <c r="JR5" s="6">
        <v>45848</v>
      </c>
      <c r="JS5">
        <v>5</v>
      </c>
      <c r="JT5">
        <v>8232506</v>
      </c>
      <c r="JU5">
        <v>101752</v>
      </c>
      <c r="JV5" t="s">
        <v>2109</v>
      </c>
      <c r="JY5" t="str">
        <f>_xll.BDS("MAN US Equity","SUPPLY_CHAIN_CUSTOMERS_ALL_DATA","cols=12;rows=5")</f>
        <v>0976704D US Equity</v>
      </c>
      <c r="JZ5">
        <v>-2.4245362661989844E-14</v>
      </c>
      <c r="KB5">
        <v>-2.4245362661989844E-14</v>
      </c>
      <c r="KC5" t="s">
        <v>1788</v>
      </c>
      <c r="KD5">
        <v>2024</v>
      </c>
      <c r="KE5" t="s">
        <v>4610</v>
      </c>
      <c r="KF5" s="6">
        <v>45618</v>
      </c>
      <c r="KG5">
        <v>5</v>
      </c>
      <c r="KH5">
        <v>-2.4245362661989844E-14</v>
      </c>
      <c r="KI5">
        <v>40130317</v>
      </c>
      <c r="KJ5" t="s">
        <v>4611</v>
      </c>
      <c r="KO5" t="str">
        <f>_xll.BDS("AZTA US Equity","SUPPLY_CHAIN_SUPPLIERS_ALL_DATA","cols=12;rows=5")</f>
        <v>VACN SW Equity</v>
      </c>
      <c r="KP5" t="s">
        <v>1752</v>
      </c>
      <c r="KQ5">
        <v>4.1763000000000002E-2</v>
      </c>
      <c r="KR5">
        <v>0.156337</v>
      </c>
      <c r="KS5" t="s">
        <v>1774</v>
      </c>
      <c r="KT5">
        <v>2025</v>
      </c>
      <c r="KU5" t="s">
        <v>4739</v>
      </c>
      <c r="KV5" s="6">
        <v>45882</v>
      </c>
      <c r="KW5">
        <v>5</v>
      </c>
      <c r="KX5">
        <v>119027.41</v>
      </c>
      <c r="KY5">
        <v>49328078</v>
      </c>
      <c r="KZ5" t="s">
        <v>4446</v>
      </c>
      <c r="LC5" t="str">
        <f>_xll.BDS("AZTA US Equity","SUPPLY_CHAIN_CUSTOMERS_ALL_DATA","cols=12;rows=5")</f>
        <v>SAN FP Equity</v>
      </c>
      <c r="LD5">
        <v>3.287255</v>
      </c>
      <c r="LE5" t="s">
        <v>1752</v>
      </c>
      <c r="LF5">
        <v>0.11867800000000001</v>
      </c>
      <c r="LG5" t="s">
        <v>1788</v>
      </c>
      <c r="LH5">
        <v>2025</v>
      </c>
      <c r="LI5" t="s">
        <v>4573</v>
      </c>
      <c r="LJ5" s="6">
        <v>45980</v>
      </c>
      <c r="LK5">
        <v>5</v>
      </c>
      <c r="LL5">
        <v>4731741</v>
      </c>
      <c r="LM5">
        <v>815561</v>
      </c>
      <c r="LN5" t="s">
        <v>2338</v>
      </c>
      <c r="LS5" t="str">
        <f>_xll.BDS("1255459D US Equity","SUPPLY_CHAIN_SUPPLIERS_ALL_DATA","cols=12;rows=2")</f>
        <v>CREI LN Equity</v>
      </c>
      <c r="LU5">
        <v>-2.4245362661989844E-14</v>
      </c>
      <c r="LV5">
        <v>-2.4245362661989844E-14</v>
      </c>
      <c r="LW5" t="s">
        <v>1753</v>
      </c>
      <c r="LX5">
        <v>2022</v>
      </c>
      <c r="LY5" t="s">
        <v>5929</v>
      </c>
      <c r="LZ5" s="6">
        <v>44757</v>
      </c>
      <c r="MA5">
        <v>2</v>
      </c>
      <c r="MB5">
        <v>-2.4245362661989844E-14</v>
      </c>
      <c r="MC5">
        <v>39775273</v>
      </c>
      <c r="MD5" t="s">
        <v>5930</v>
      </c>
      <c r="MG5" t="str">
        <f>_xll.BDS("1255459D US Equity","SUPPLY_CHAIN_CUSTOMERS_ALL_DATA","cols=12;rows=5")</f>
        <v>028260 KS Equity</v>
      </c>
      <c r="MH5">
        <v>-2.4245362661989844E-14</v>
      </c>
      <c r="MJ5">
        <v>-2.4245362661989844E-14</v>
      </c>
      <c r="MK5" t="s">
        <v>1768</v>
      </c>
      <c r="ML5">
        <v>2023</v>
      </c>
      <c r="MM5" t="s">
        <v>5347</v>
      </c>
      <c r="MN5" s="6">
        <v>45244</v>
      </c>
      <c r="MO5">
        <v>5</v>
      </c>
      <c r="MP5">
        <v>-2.4245362661989844E-14</v>
      </c>
      <c r="MQ5">
        <v>307967</v>
      </c>
      <c r="MR5" t="s">
        <v>5348</v>
      </c>
      <c r="MW5" t="str">
        <f>_xll.BDS("MXIM US Equity","SUPPLY_CHAIN_SUPPLIERS_ALL_DATA")</f>
        <v>#N/A N/A</v>
      </c>
      <c r="NK5" t="str">
        <f>_xll.BDS("MXIM US Equity","SUPPLY_CHAIN_CUSTOMERS_ALL_DATA")</f>
        <v>#N/A N/A</v>
      </c>
      <c r="OA5" t="str">
        <f>_xll.BDS("TFC US Equity","SUPPLY_CHAIN_SUPPLIERS_ALL_DATA","cols=12;rows=5")</f>
        <v>ADBE US Equity</v>
      </c>
      <c r="OB5" t="s">
        <v>1940</v>
      </c>
      <c r="OC5">
        <v>9.3438999999999994E-2</v>
      </c>
      <c r="OD5">
        <v>0.18883900000000001</v>
      </c>
      <c r="OE5" t="s">
        <v>1774</v>
      </c>
      <c r="OF5">
        <v>2025</v>
      </c>
      <c r="OG5" t="s">
        <v>2126</v>
      </c>
      <c r="OH5" s="6">
        <v>45838</v>
      </c>
      <c r="OI5">
        <v>5</v>
      </c>
      <c r="OJ5">
        <v>5487672</v>
      </c>
      <c r="OK5">
        <v>101689</v>
      </c>
      <c r="OL5" t="s">
        <v>2127</v>
      </c>
      <c r="OO5" t="str">
        <f>_xll.BDS("TFC US Equity","SUPPLY_CHAIN_CUSTOMERS_ALL_DATA","cols=12;rows=1")</f>
        <v>RENG IN Equity</v>
      </c>
      <c r="OP5">
        <v>-2.4245362661989844E-14</v>
      </c>
      <c r="OR5">
        <v>-2.4245362661989844E-14</v>
      </c>
      <c r="OS5" t="s">
        <v>1753</v>
      </c>
      <c r="OT5">
        <v>2025</v>
      </c>
      <c r="OU5" t="s">
        <v>1756</v>
      </c>
      <c r="OV5" s="6">
        <v>45901</v>
      </c>
      <c r="OW5">
        <v>1</v>
      </c>
      <c r="OX5">
        <v>-2.4245362661989844E-14</v>
      </c>
      <c r="OY5">
        <v>182734</v>
      </c>
      <c r="OZ5" t="s">
        <v>1757</v>
      </c>
      <c r="PE5" t="str">
        <f>_xll.BDS("nan Equity","SUPPLY_CHAIN_SUPPLIERS_ALL_DATA")</f>
        <v>#N/A N/A</v>
      </c>
      <c r="PS5" t="str">
        <f>_xll.BDS("nan Equity","SUPPLY_CHAIN_CUSTOMERS_ALL_DATA")</f>
        <v>#N/A N/A</v>
      </c>
      <c r="QI5" t="str">
        <f>_xll.BDS("CEPH US Equity","SUPPLY_CHAIN_SUPPLIERS_ALL_DATA")</f>
        <v>#N/A N/A</v>
      </c>
      <c r="QW5" t="str">
        <f>_xll.BDS("CEPH US Equity","SUPPLY_CHAIN_CUSTOMERS_ALL_DATA")</f>
        <v>#N/A N/A</v>
      </c>
      <c r="RM5" t="str">
        <f>_xll.BDS("PNP US Equity","SUPPLY_CHAIN_SUPPLIERS_ALL_DATA")</f>
        <v>#N/A N/A</v>
      </c>
      <c r="SA5" t="str">
        <f>_xll.BDS("PNP US Equity","SUPPLY_CHAIN_CUSTOMERS_ALL_DATA")</f>
        <v>#N/A N/A</v>
      </c>
      <c r="SQ5" t="str">
        <f>_xll.BDS("OK US Equity","SUPPLY_CHAIN_SUPPLIERS_ALL_DATA")</f>
        <v>#N/A N/A</v>
      </c>
      <c r="TE5" t="str">
        <f>_xll.BDS("OK US Equity","SUPPLY_CHAIN_CUSTOMERS_ALL_DATA")</f>
        <v>#N/A N/A</v>
      </c>
      <c r="TU5" t="str">
        <f>_xll.BDS("0848680D US Equity","SUPPLY_CHAIN_SUPPLIERS_ALL_DATA")</f>
        <v>#N/A N/A</v>
      </c>
      <c r="UI5" t="str">
        <f>_xll.BDS("0848680D US Equity","SUPPLY_CHAIN_CUSTOMERS_ALL_DATA")</f>
        <v>#N/A N/A</v>
      </c>
      <c r="UY5" t="str">
        <f>_xll.BDS("RVTY US Equity","SUPPLY_CHAIN_SUPPLIERS_ALL_DATA","cols=12;rows=5")</f>
        <v>UPS US Equity</v>
      </c>
      <c r="UZ5" t="s">
        <v>1752</v>
      </c>
      <c r="VA5">
        <v>5.5890000000000002E-2</v>
      </c>
      <c r="VB5">
        <v>3.6901579999999998</v>
      </c>
      <c r="VC5" t="s">
        <v>1788</v>
      </c>
      <c r="VD5">
        <v>2025</v>
      </c>
      <c r="VE5" t="s">
        <v>2463</v>
      </c>
      <c r="VF5" s="6">
        <v>46007</v>
      </c>
      <c r="VG5">
        <v>5</v>
      </c>
      <c r="VH5">
        <v>11968844</v>
      </c>
      <c r="VI5">
        <v>143027</v>
      </c>
      <c r="VJ5" t="s">
        <v>2464</v>
      </c>
      <c r="VM5" t="str">
        <f>_xll.BDS("RVTY US Equity","SUPPLY_CHAIN_CUSTOMERS_ALL_DATA","cols=12;rows=5")</f>
        <v>002971 CH Equity</v>
      </c>
      <c r="VN5">
        <v>-2.4245362661989844E-14</v>
      </c>
      <c r="VP5">
        <v>-2.4245362661989844E-14</v>
      </c>
      <c r="VQ5" t="s">
        <v>1842</v>
      </c>
      <c r="VR5">
        <v>2025</v>
      </c>
      <c r="VS5" t="s">
        <v>3808</v>
      </c>
      <c r="VT5" s="6">
        <v>45888</v>
      </c>
      <c r="VU5">
        <v>5</v>
      </c>
      <c r="VV5">
        <v>-2.4245362661989844E-14</v>
      </c>
      <c r="VW5">
        <v>61902583</v>
      </c>
      <c r="VX5" t="s">
        <v>3809</v>
      </c>
    </row>
    <row r="6" spans="1:600" x14ac:dyDescent="0.25">
      <c r="O6" t="s">
        <v>3261</v>
      </c>
      <c r="P6">
        <v>-2.4245362661989844E-14</v>
      </c>
      <c r="R6">
        <v>-2.4245362661989844E-14</v>
      </c>
      <c r="S6" t="s">
        <v>1753</v>
      </c>
      <c r="T6">
        <v>2022</v>
      </c>
      <c r="U6" t="s">
        <v>3262</v>
      </c>
      <c r="V6" s="6">
        <v>44677</v>
      </c>
      <c r="W6">
        <v>4</v>
      </c>
      <c r="X6">
        <v>-2.4245362661989844E-14</v>
      </c>
      <c r="Y6">
        <v>111270</v>
      </c>
      <c r="Z6" t="s">
        <v>3263</v>
      </c>
      <c r="DQ6" t="s">
        <v>229</v>
      </c>
      <c r="DR6" t="s">
        <v>1752</v>
      </c>
      <c r="DS6">
        <v>0.86485599999999996</v>
      </c>
      <c r="DT6">
        <v>4.0630959999999998</v>
      </c>
      <c r="DU6" t="s">
        <v>1781</v>
      </c>
      <c r="DV6">
        <v>2025</v>
      </c>
      <c r="DW6" t="s">
        <v>1869</v>
      </c>
      <c r="DX6" s="6">
        <v>45797</v>
      </c>
      <c r="DY6">
        <v>5</v>
      </c>
      <c r="DZ6">
        <v>264507552</v>
      </c>
      <c r="EA6">
        <v>101376</v>
      </c>
      <c r="EB6" t="s">
        <v>2334</v>
      </c>
      <c r="EE6" t="s">
        <v>226</v>
      </c>
      <c r="EF6">
        <v>3.8131789999999999</v>
      </c>
      <c r="EG6" t="s">
        <v>1752</v>
      </c>
      <c r="EH6">
        <v>2.529652</v>
      </c>
      <c r="EI6" t="s">
        <v>1781</v>
      </c>
      <c r="EJ6">
        <v>2025</v>
      </c>
      <c r="EK6" t="s">
        <v>1869</v>
      </c>
      <c r="EL6" s="6">
        <v>45797</v>
      </c>
      <c r="EM6">
        <v>5</v>
      </c>
      <c r="EN6">
        <v>554474368</v>
      </c>
      <c r="EO6">
        <v>101743</v>
      </c>
      <c r="EP6" t="s">
        <v>2156</v>
      </c>
      <c r="IG6" t="s">
        <v>2277</v>
      </c>
      <c r="IH6" t="s">
        <v>1752</v>
      </c>
      <c r="II6">
        <v>0.60310900000000001</v>
      </c>
      <c r="IJ6">
        <v>1.2434970000000001</v>
      </c>
      <c r="IK6" t="s">
        <v>1788</v>
      </c>
      <c r="IL6">
        <v>2025</v>
      </c>
      <c r="IM6" t="s">
        <v>2278</v>
      </c>
      <c r="IN6" s="6">
        <v>46035</v>
      </c>
      <c r="IO6">
        <v>5</v>
      </c>
      <c r="IP6">
        <v>11983583</v>
      </c>
      <c r="IQ6">
        <v>302680</v>
      </c>
      <c r="IR6" t="s">
        <v>2279</v>
      </c>
      <c r="IU6" t="s">
        <v>1547</v>
      </c>
      <c r="IV6">
        <v>9.0821310000000004</v>
      </c>
      <c r="IW6" t="s">
        <v>1752</v>
      </c>
      <c r="IX6">
        <v>1.98163</v>
      </c>
      <c r="IY6" t="s">
        <v>1774</v>
      </c>
      <c r="IZ6">
        <v>2025</v>
      </c>
      <c r="JA6" t="s">
        <v>4948</v>
      </c>
      <c r="JB6" s="6">
        <v>45943</v>
      </c>
      <c r="JC6">
        <v>5</v>
      </c>
      <c r="JD6">
        <v>133389256</v>
      </c>
      <c r="JE6">
        <v>100115</v>
      </c>
      <c r="JF6" t="s">
        <v>1922</v>
      </c>
      <c r="JK6" t="s">
        <v>3468</v>
      </c>
      <c r="JL6" t="s">
        <v>1752</v>
      </c>
      <c r="JM6">
        <v>0.24406700000000001</v>
      </c>
      <c r="JN6">
        <v>7.6879000000000003E-2</v>
      </c>
      <c r="JO6" t="s">
        <v>1774</v>
      </c>
      <c r="JP6">
        <v>2025</v>
      </c>
      <c r="JQ6" t="s">
        <v>3469</v>
      </c>
      <c r="JR6" s="6">
        <v>45957</v>
      </c>
      <c r="JS6">
        <v>5</v>
      </c>
      <c r="JT6">
        <v>2882298.09</v>
      </c>
      <c r="JU6">
        <v>815087</v>
      </c>
      <c r="JV6" t="s">
        <v>3470</v>
      </c>
      <c r="JY6" t="s">
        <v>4612</v>
      </c>
      <c r="JZ6">
        <v>-2.4245362661989844E-14</v>
      </c>
      <c r="KB6">
        <v>-2.4245362661989844E-14</v>
      </c>
      <c r="KC6" t="s">
        <v>1753</v>
      </c>
      <c r="KD6">
        <v>2021</v>
      </c>
      <c r="KE6" t="s">
        <v>4613</v>
      </c>
      <c r="KF6" s="6">
        <v>44681</v>
      </c>
      <c r="KG6">
        <v>5</v>
      </c>
      <c r="KH6">
        <v>-2.4245362661989844E-14</v>
      </c>
      <c r="KI6">
        <v>21798337</v>
      </c>
      <c r="KJ6" t="s">
        <v>4614</v>
      </c>
      <c r="KO6" t="s">
        <v>4740</v>
      </c>
      <c r="KP6" t="s">
        <v>1752</v>
      </c>
      <c r="KQ6">
        <v>3.2139999999999998E-3</v>
      </c>
      <c r="KR6">
        <v>1.8580000000000001E-3</v>
      </c>
      <c r="KS6" t="s">
        <v>1825</v>
      </c>
      <c r="KT6">
        <v>2024</v>
      </c>
      <c r="KU6" t="s">
        <v>4741</v>
      </c>
      <c r="KV6" s="6">
        <v>45786</v>
      </c>
      <c r="KW6">
        <v>5</v>
      </c>
      <c r="KX6">
        <v>1464.77</v>
      </c>
      <c r="KY6">
        <v>17202339</v>
      </c>
      <c r="KZ6" t="s">
        <v>4742</v>
      </c>
      <c r="LC6" t="s">
        <v>4574</v>
      </c>
      <c r="LD6">
        <v>2.6590280000000002</v>
      </c>
      <c r="LE6" t="s">
        <v>1752</v>
      </c>
      <c r="LF6">
        <v>0.12570500000000001</v>
      </c>
      <c r="LG6" t="s">
        <v>1788</v>
      </c>
      <c r="LH6">
        <v>2025</v>
      </c>
      <c r="LI6" t="s">
        <v>4573</v>
      </c>
      <c r="LJ6" s="6">
        <v>45980</v>
      </c>
      <c r="LK6">
        <v>5</v>
      </c>
      <c r="LL6">
        <v>3827458</v>
      </c>
      <c r="LM6">
        <v>1456450</v>
      </c>
      <c r="LN6" t="s">
        <v>4575</v>
      </c>
      <c r="LS6" t="s">
        <v>4083</v>
      </c>
      <c r="LU6">
        <v>-2.4245362661989844E-14</v>
      </c>
      <c r="LV6">
        <v>-2.4245362661989844E-14</v>
      </c>
      <c r="LW6" t="s">
        <v>1753</v>
      </c>
      <c r="LX6">
        <v>2022</v>
      </c>
      <c r="LY6" t="s">
        <v>5931</v>
      </c>
      <c r="LZ6" s="6">
        <v>44797</v>
      </c>
      <c r="MA6">
        <v>2</v>
      </c>
      <c r="MB6">
        <v>-2.4245362661989844E-14</v>
      </c>
      <c r="MC6">
        <v>42186257</v>
      </c>
      <c r="MD6" t="s">
        <v>4085</v>
      </c>
      <c r="MG6" t="s">
        <v>5349</v>
      </c>
      <c r="MH6">
        <v>-2.4245362661989844E-14</v>
      </c>
      <c r="MJ6">
        <v>-2.4245362661989844E-14</v>
      </c>
      <c r="MK6" t="s">
        <v>1854</v>
      </c>
      <c r="ML6">
        <v>2025</v>
      </c>
      <c r="MM6" t="s">
        <v>5350</v>
      </c>
      <c r="MN6" s="6">
        <v>45792</v>
      </c>
      <c r="MO6">
        <v>5</v>
      </c>
      <c r="MP6">
        <v>-2.4245362661989844E-14</v>
      </c>
      <c r="MQ6">
        <v>25611178</v>
      </c>
      <c r="MR6" t="s">
        <v>5351</v>
      </c>
      <c r="OA6" t="s">
        <v>2128</v>
      </c>
      <c r="OB6" t="s">
        <v>1940</v>
      </c>
      <c r="OC6">
        <v>1.151538</v>
      </c>
      <c r="OD6">
        <v>7.7191999999999997E-2</v>
      </c>
      <c r="OE6" t="s">
        <v>1753</v>
      </c>
      <c r="OF6">
        <v>2024</v>
      </c>
      <c r="OG6" t="s">
        <v>2129</v>
      </c>
      <c r="OH6" s="6">
        <v>45716</v>
      </c>
      <c r="OI6">
        <v>5</v>
      </c>
      <c r="OJ6">
        <v>2317499</v>
      </c>
      <c r="OK6">
        <v>35300053</v>
      </c>
      <c r="OL6" t="s">
        <v>2130</v>
      </c>
      <c r="UY6" t="s">
        <v>3976</v>
      </c>
      <c r="UZ6" t="s">
        <v>1752</v>
      </c>
      <c r="VA6">
        <v>0.31914300000000001</v>
      </c>
      <c r="VB6">
        <v>0.73328199999999999</v>
      </c>
      <c r="VC6" t="s">
        <v>1781</v>
      </c>
      <c r="VD6">
        <v>2025</v>
      </c>
      <c r="VE6" t="s">
        <v>3977</v>
      </c>
      <c r="VF6" s="6">
        <v>45958</v>
      </c>
      <c r="VG6">
        <v>5</v>
      </c>
      <c r="VH6">
        <v>2353606.12</v>
      </c>
      <c r="VI6">
        <v>111769</v>
      </c>
      <c r="VJ6" t="s">
        <v>3978</v>
      </c>
      <c r="VM6" t="s">
        <v>4400</v>
      </c>
      <c r="VN6">
        <v>-2.4245362661989844E-14</v>
      </c>
      <c r="VP6">
        <v>-2.4245362661989844E-14</v>
      </c>
      <c r="VQ6" t="s">
        <v>1753</v>
      </c>
      <c r="VR6">
        <v>2022</v>
      </c>
      <c r="VS6" t="s">
        <v>4401</v>
      </c>
      <c r="VT6" s="6">
        <v>45015</v>
      </c>
      <c r="VU6">
        <v>5</v>
      </c>
      <c r="VV6">
        <v>-2.4245362661989844E-14</v>
      </c>
      <c r="VW6">
        <v>21694063</v>
      </c>
      <c r="VX6" t="s">
        <v>4402</v>
      </c>
    </row>
    <row r="7" spans="1:600" x14ac:dyDescent="0.25">
      <c r="O7" t="s">
        <v>3264</v>
      </c>
      <c r="P7">
        <v>-2.4245362661989844E-14</v>
      </c>
      <c r="R7">
        <v>-2.4245362661989844E-14</v>
      </c>
      <c r="S7" t="s">
        <v>1753</v>
      </c>
      <c r="T7">
        <v>2021</v>
      </c>
      <c r="U7" t="s">
        <v>3265</v>
      </c>
      <c r="V7" s="6">
        <v>44729</v>
      </c>
      <c r="W7">
        <v>4</v>
      </c>
      <c r="X7">
        <v>-2.4245362661989844E-14</v>
      </c>
      <c r="Y7">
        <v>115688</v>
      </c>
      <c r="Z7" t="s">
        <v>3266</v>
      </c>
      <c r="DQ7" t="s">
        <v>1079</v>
      </c>
      <c r="DR7" t="s">
        <v>1752</v>
      </c>
      <c r="DS7">
        <v>0.167933</v>
      </c>
      <c r="DT7">
        <v>4.0156150000000004</v>
      </c>
      <c r="DU7" t="s">
        <v>1781</v>
      </c>
      <c r="DV7">
        <v>2025</v>
      </c>
      <c r="DW7" t="s">
        <v>1869</v>
      </c>
      <c r="DX7" s="6">
        <v>45797</v>
      </c>
      <c r="DY7">
        <v>5</v>
      </c>
      <c r="DZ7">
        <v>261416544</v>
      </c>
      <c r="EA7">
        <v>216952</v>
      </c>
      <c r="EB7" t="s">
        <v>1899</v>
      </c>
      <c r="EE7" t="s">
        <v>1871</v>
      </c>
      <c r="EF7">
        <v>3.1054590000000002</v>
      </c>
      <c r="EG7" t="s">
        <v>1752</v>
      </c>
      <c r="EH7">
        <v>1.2857479999999999</v>
      </c>
      <c r="EI7" t="s">
        <v>1781</v>
      </c>
      <c r="EJ7">
        <v>2025</v>
      </c>
      <c r="EK7" t="s">
        <v>1869</v>
      </c>
      <c r="EL7" s="6">
        <v>45797</v>
      </c>
      <c r="EM7">
        <v>5</v>
      </c>
      <c r="EN7">
        <v>451564800</v>
      </c>
      <c r="EO7">
        <v>117929</v>
      </c>
      <c r="EP7" t="s">
        <v>1873</v>
      </c>
      <c r="IG7" t="s">
        <v>4871</v>
      </c>
      <c r="IH7" t="s">
        <v>1752</v>
      </c>
      <c r="II7">
        <v>0.11007599999999999</v>
      </c>
      <c r="IJ7">
        <v>0.50764399999999998</v>
      </c>
      <c r="IK7" t="s">
        <v>1774</v>
      </c>
      <c r="IL7">
        <v>2026</v>
      </c>
      <c r="IM7" t="s">
        <v>4872</v>
      </c>
      <c r="IN7" s="6">
        <v>45999</v>
      </c>
      <c r="IO7">
        <v>5</v>
      </c>
      <c r="IP7">
        <v>4898794.78</v>
      </c>
      <c r="IQ7">
        <v>114713</v>
      </c>
      <c r="IR7" t="s">
        <v>4873</v>
      </c>
      <c r="IU7" t="s">
        <v>1784</v>
      </c>
      <c r="IV7">
        <v>6.7787360000000003</v>
      </c>
      <c r="IW7" t="s">
        <v>1752</v>
      </c>
      <c r="IX7">
        <v>1.98163</v>
      </c>
      <c r="IY7" t="s">
        <v>1774</v>
      </c>
      <c r="IZ7">
        <v>2025</v>
      </c>
      <c r="JA7" t="s">
        <v>4948</v>
      </c>
      <c r="JB7" s="6">
        <v>45943</v>
      </c>
      <c r="JC7">
        <v>5</v>
      </c>
      <c r="JD7">
        <v>99559296</v>
      </c>
      <c r="JE7">
        <v>100142</v>
      </c>
      <c r="JF7" t="s">
        <v>1786</v>
      </c>
      <c r="JK7" t="s">
        <v>3471</v>
      </c>
      <c r="JM7">
        <v>-2.4245362661989844E-14</v>
      </c>
      <c r="JN7">
        <v>-2.4245362661989844E-14</v>
      </c>
      <c r="JO7" t="s">
        <v>1753</v>
      </c>
      <c r="JP7">
        <v>2026</v>
      </c>
      <c r="JQ7" t="s">
        <v>3472</v>
      </c>
      <c r="JR7" s="6">
        <v>46084</v>
      </c>
      <c r="JS7">
        <v>5</v>
      </c>
      <c r="JT7">
        <v>-2.4245362661989844E-14</v>
      </c>
      <c r="JU7">
        <v>72587839</v>
      </c>
      <c r="JV7" t="s">
        <v>3473</v>
      </c>
      <c r="JY7" t="s">
        <v>1831</v>
      </c>
      <c r="JZ7">
        <v>-2.4245362661989844E-14</v>
      </c>
      <c r="KB7">
        <v>-2.4245362661989844E-14</v>
      </c>
      <c r="KC7" t="s">
        <v>1788</v>
      </c>
      <c r="KD7">
        <v>2024</v>
      </c>
      <c r="KE7" t="s">
        <v>4615</v>
      </c>
      <c r="KF7" s="6">
        <v>45599</v>
      </c>
      <c r="KG7">
        <v>5</v>
      </c>
      <c r="KH7">
        <v>-2.4245362661989844E-14</v>
      </c>
      <c r="KI7">
        <v>876285</v>
      </c>
      <c r="KJ7" t="s">
        <v>1833</v>
      </c>
      <c r="KO7" t="s">
        <v>4743</v>
      </c>
      <c r="KQ7">
        <v>-2.4245362661989844E-14</v>
      </c>
      <c r="KR7">
        <v>-2.4245362661989844E-14</v>
      </c>
      <c r="KS7" t="s">
        <v>1753</v>
      </c>
      <c r="KT7">
        <v>2024</v>
      </c>
      <c r="KU7" t="s">
        <v>4744</v>
      </c>
      <c r="KV7" s="6">
        <v>45769</v>
      </c>
      <c r="KW7">
        <v>5</v>
      </c>
      <c r="KX7">
        <v>-2.4245362661989844E-14</v>
      </c>
      <c r="KY7">
        <v>40367348</v>
      </c>
      <c r="KZ7" t="s">
        <v>4745</v>
      </c>
      <c r="LC7" t="s">
        <v>2574</v>
      </c>
      <c r="LD7">
        <v>2.2756240000000001</v>
      </c>
      <c r="LE7" t="s">
        <v>1752</v>
      </c>
      <c r="LF7">
        <v>0.11694300000000001</v>
      </c>
      <c r="LG7" t="s">
        <v>1788</v>
      </c>
      <c r="LH7">
        <v>2025</v>
      </c>
      <c r="LI7" t="s">
        <v>4573</v>
      </c>
      <c r="LJ7" s="6">
        <v>45980</v>
      </c>
      <c r="LK7">
        <v>5</v>
      </c>
      <c r="LL7">
        <v>3275579</v>
      </c>
      <c r="LM7">
        <v>111093</v>
      </c>
      <c r="LN7" t="s">
        <v>2576</v>
      </c>
      <c r="MG7" t="s">
        <v>5352</v>
      </c>
      <c r="MH7">
        <v>-2.4245362661989844E-14</v>
      </c>
      <c r="MJ7">
        <v>-2.4245362661989844E-14</v>
      </c>
      <c r="MK7" t="s">
        <v>1768</v>
      </c>
      <c r="ML7">
        <v>2025</v>
      </c>
      <c r="MM7" t="s">
        <v>5353</v>
      </c>
      <c r="MN7" s="6">
        <v>45973</v>
      </c>
      <c r="MO7">
        <v>5</v>
      </c>
      <c r="MP7">
        <v>-2.4245362661989844E-14</v>
      </c>
      <c r="MQ7">
        <v>16444455</v>
      </c>
      <c r="MR7" t="s">
        <v>5354</v>
      </c>
      <c r="OA7" t="s">
        <v>1787</v>
      </c>
      <c r="OB7" t="s">
        <v>1940</v>
      </c>
      <c r="OC7">
        <v>0.492811</v>
      </c>
      <c r="OD7">
        <v>2.9784000000000001E-2</v>
      </c>
      <c r="OE7" t="s">
        <v>1781</v>
      </c>
      <c r="OF7">
        <v>2026</v>
      </c>
      <c r="OG7" t="s">
        <v>2131</v>
      </c>
      <c r="OH7" s="6">
        <v>45898</v>
      </c>
      <c r="OI7">
        <v>5</v>
      </c>
      <c r="OJ7">
        <v>889383.69</v>
      </c>
      <c r="OK7">
        <v>178651</v>
      </c>
      <c r="OL7" t="s">
        <v>1790</v>
      </c>
      <c r="UY7" t="s">
        <v>4579</v>
      </c>
      <c r="UZ7" t="s">
        <v>1940</v>
      </c>
      <c r="VA7">
        <v>0.24615000000000001</v>
      </c>
      <c r="VB7">
        <v>0.37029400000000001</v>
      </c>
      <c r="VC7" t="s">
        <v>1753</v>
      </c>
      <c r="VD7">
        <v>2024</v>
      </c>
      <c r="VE7" t="s">
        <v>4580</v>
      </c>
      <c r="VF7" s="6">
        <v>45713</v>
      </c>
      <c r="VG7">
        <v>5</v>
      </c>
      <c r="VH7">
        <v>920250</v>
      </c>
      <c r="VI7">
        <v>386356</v>
      </c>
      <c r="VJ7" t="s">
        <v>4581</v>
      </c>
      <c r="VM7" t="s">
        <v>3396</v>
      </c>
      <c r="VN7">
        <v>-2.4245362661989844E-14</v>
      </c>
      <c r="VP7">
        <v>-2.4245362661989844E-14</v>
      </c>
      <c r="VQ7" t="s">
        <v>1753</v>
      </c>
      <c r="VR7">
        <v>2024</v>
      </c>
      <c r="VS7" t="s">
        <v>4403</v>
      </c>
      <c r="VT7" s="6">
        <v>45783</v>
      </c>
      <c r="VU7">
        <v>5</v>
      </c>
      <c r="VV7">
        <v>-2.4245362661989844E-14</v>
      </c>
      <c r="VW7">
        <v>9152714</v>
      </c>
      <c r="VX7" t="s">
        <v>3398</v>
      </c>
    </row>
    <row r="8" spans="1:600" x14ac:dyDescent="0.25">
      <c r="O8" t="s">
        <v>3267</v>
      </c>
      <c r="P8">
        <v>-2.4245362661989844E-14</v>
      </c>
      <c r="R8">
        <v>-2.4245362661989844E-14</v>
      </c>
      <c r="S8" t="s">
        <v>1753</v>
      </c>
      <c r="T8">
        <v>2021</v>
      </c>
      <c r="U8" t="s">
        <v>3268</v>
      </c>
      <c r="V8" s="6">
        <v>44687</v>
      </c>
      <c r="W8">
        <v>4</v>
      </c>
      <c r="X8">
        <v>-2.4245362661989844E-14</v>
      </c>
      <c r="Y8">
        <v>115518</v>
      </c>
      <c r="Z8" t="s">
        <v>3269</v>
      </c>
      <c r="DQ8" t="s">
        <v>1824</v>
      </c>
      <c r="DR8" t="s">
        <v>1752</v>
      </c>
      <c r="DS8">
        <v>0.893262</v>
      </c>
      <c r="DT8">
        <v>1.9939499999999999</v>
      </c>
      <c r="DU8" t="s">
        <v>1781</v>
      </c>
      <c r="DV8">
        <v>2025</v>
      </c>
      <c r="DW8" t="s">
        <v>1869</v>
      </c>
      <c r="DX8" s="6">
        <v>45797</v>
      </c>
      <c r="DY8">
        <v>5</v>
      </c>
      <c r="DZ8">
        <v>129806144</v>
      </c>
      <c r="EA8">
        <v>1499717</v>
      </c>
      <c r="EB8" t="s">
        <v>1827</v>
      </c>
      <c r="EE8" t="s">
        <v>1547</v>
      </c>
      <c r="EF8">
        <v>0.94301500000000005</v>
      </c>
      <c r="EG8" t="s">
        <v>1752</v>
      </c>
      <c r="EH8">
        <v>2.2702520000000002</v>
      </c>
      <c r="EI8" t="s">
        <v>1781</v>
      </c>
      <c r="EJ8">
        <v>2025</v>
      </c>
      <c r="EK8" t="s">
        <v>2157</v>
      </c>
      <c r="EL8" s="6">
        <v>45784</v>
      </c>
      <c r="EM8">
        <v>5</v>
      </c>
      <c r="EN8">
        <v>137123792</v>
      </c>
      <c r="EO8">
        <v>100115</v>
      </c>
      <c r="EP8" t="s">
        <v>1922</v>
      </c>
      <c r="IG8" t="s">
        <v>4874</v>
      </c>
      <c r="IH8" t="s">
        <v>1752</v>
      </c>
      <c r="II8">
        <v>0.88656199999999996</v>
      </c>
      <c r="IJ8">
        <v>0.361396</v>
      </c>
      <c r="IK8" t="s">
        <v>1825</v>
      </c>
      <c r="IL8">
        <v>2024</v>
      </c>
      <c r="IM8" t="s">
        <v>4875</v>
      </c>
      <c r="IN8" s="6">
        <v>45729</v>
      </c>
      <c r="IO8">
        <v>5</v>
      </c>
      <c r="IP8">
        <v>3413042.89</v>
      </c>
      <c r="IQ8">
        <v>880428</v>
      </c>
      <c r="IR8" t="s">
        <v>4876</v>
      </c>
      <c r="IU8" t="s">
        <v>1952</v>
      </c>
      <c r="IV8">
        <v>4.3691420000000001</v>
      </c>
      <c r="IW8" t="s">
        <v>1752</v>
      </c>
      <c r="IX8">
        <v>0.22909099999999999</v>
      </c>
      <c r="IY8" t="s">
        <v>1774</v>
      </c>
      <c r="IZ8">
        <v>2025</v>
      </c>
      <c r="JA8" t="s">
        <v>4948</v>
      </c>
      <c r="JB8" s="6">
        <v>45943</v>
      </c>
      <c r="JC8">
        <v>5</v>
      </c>
      <c r="JD8">
        <v>64169588</v>
      </c>
      <c r="JE8">
        <v>117621</v>
      </c>
      <c r="JF8" t="s">
        <v>1953</v>
      </c>
      <c r="JK8" t="s">
        <v>3474</v>
      </c>
      <c r="JM8">
        <v>-2.4245362661989844E-14</v>
      </c>
      <c r="JN8">
        <v>-2.4245362661989844E-14</v>
      </c>
      <c r="JO8" t="s">
        <v>1753</v>
      </c>
      <c r="JP8">
        <v>2025</v>
      </c>
      <c r="JQ8" t="s">
        <v>3475</v>
      </c>
      <c r="JR8" s="6">
        <v>45975</v>
      </c>
      <c r="JS8">
        <v>5</v>
      </c>
      <c r="JT8">
        <v>-2.4245362661989844E-14</v>
      </c>
      <c r="JU8">
        <v>36019099</v>
      </c>
      <c r="JV8" t="s">
        <v>3476</v>
      </c>
      <c r="JY8" t="s">
        <v>4616</v>
      </c>
      <c r="JZ8">
        <v>-2.4245362661989844E-14</v>
      </c>
      <c r="KB8">
        <v>-2.4245362661989844E-14</v>
      </c>
      <c r="KC8" t="s">
        <v>1753</v>
      </c>
      <c r="KD8">
        <v>2024</v>
      </c>
      <c r="KE8" t="s">
        <v>4617</v>
      </c>
      <c r="KF8" s="6">
        <v>45716</v>
      </c>
      <c r="KG8">
        <v>5</v>
      </c>
      <c r="KH8">
        <v>-2.4245362661989844E-14</v>
      </c>
      <c r="KI8">
        <v>173064</v>
      </c>
      <c r="KJ8" t="s">
        <v>4618</v>
      </c>
      <c r="KO8" t="s">
        <v>4746</v>
      </c>
      <c r="KQ8">
        <v>-2.4245362661989844E-14</v>
      </c>
      <c r="KR8">
        <v>-2.4245362661989844E-14</v>
      </c>
      <c r="KS8" t="s">
        <v>1753</v>
      </c>
      <c r="KT8">
        <v>2021</v>
      </c>
      <c r="KU8" t="s">
        <v>4747</v>
      </c>
      <c r="KV8" s="6">
        <v>44672</v>
      </c>
      <c r="KW8">
        <v>5</v>
      </c>
      <c r="KX8">
        <v>-2.4245362661989844E-14</v>
      </c>
      <c r="KY8">
        <v>20509304</v>
      </c>
      <c r="KZ8" t="s">
        <v>4748</v>
      </c>
      <c r="LC8" t="s">
        <v>4576</v>
      </c>
      <c r="LD8">
        <v>2.1894499999999999</v>
      </c>
      <c r="LE8" t="s">
        <v>1752</v>
      </c>
      <c r="LF8">
        <v>10.813526</v>
      </c>
      <c r="LG8" t="s">
        <v>1854</v>
      </c>
      <c r="LH8">
        <v>2025</v>
      </c>
      <c r="LI8" t="s">
        <v>4577</v>
      </c>
      <c r="LJ8" s="6">
        <v>45791</v>
      </c>
      <c r="LK8">
        <v>5</v>
      </c>
      <c r="LL8">
        <v>3139431.8</v>
      </c>
      <c r="LM8">
        <v>10162294</v>
      </c>
      <c r="LN8" t="s">
        <v>4578</v>
      </c>
      <c r="MG8" t="s">
        <v>5355</v>
      </c>
      <c r="MH8">
        <v>-2.4245362661989844E-14</v>
      </c>
      <c r="MJ8">
        <v>-2.4245362661989844E-14</v>
      </c>
      <c r="MK8" t="s">
        <v>1753</v>
      </c>
      <c r="ML8">
        <v>2024</v>
      </c>
      <c r="MM8" t="s">
        <v>5356</v>
      </c>
      <c r="MN8" s="6">
        <v>45820</v>
      </c>
      <c r="MO8">
        <v>5</v>
      </c>
      <c r="MP8">
        <v>-2.4245362661989844E-14</v>
      </c>
      <c r="MQ8">
        <v>48621274</v>
      </c>
      <c r="MR8" t="s">
        <v>5357</v>
      </c>
      <c r="OA8" t="s">
        <v>2132</v>
      </c>
      <c r="OC8">
        <v>0.44397199999999998</v>
      </c>
      <c r="OD8">
        <v>-2.4245362661989844E-14</v>
      </c>
      <c r="OE8" t="s">
        <v>1825</v>
      </c>
      <c r="OF8">
        <v>2024</v>
      </c>
      <c r="OG8" t="s">
        <v>2133</v>
      </c>
      <c r="OH8" s="6">
        <v>45699</v>
      </c>
      <c r="OI8">
        <v>5</v>
      </c>
      <c r="OJ8">
        <v>316250</v>
      </c>
      <c r="OK8">
        <v>10086577</v>
      </c>
      <c r="OL8" t="s">
        <v>2134</v>
      </c>
      <c r="UY8" t="s">
        <v>3186</v>
      </c>
      <c r="UZ8" t="s">
        <v>1828</v>
      </c>
      <c r="VA8">
        <v>7.76E-4</v>
      </c>
      <c r="VB8">
        <v>0.29293799999999998</v>
      </c>
      <c r="VC8" t="s">
        <v>1774</v>
      </c>
      <c r="VD8">
        <v>2025</v>
      </c>
      <c r="VE8" t="s">
        <v>3187</v>
      </c>
      <c r="VF8" s="6">
        <v>46024</v>
      </c>
      <c r="VG8">
        <v>5</v>
      </c>
      <c r="VH8">
        <v>54191.5</v>
      </c>
      <c r="VI8">
        <v>115110</v>
      </c>
      <c r="VJ8" t="s">
        <v>3188</v>
      </c>
      <c r="VM8" t="s">
        <v>4404</v>
      </c>
      <c r="VN8">
        <v>-2.4245362661989844E-14</v>
      </c>
      <c r="VP8">
        <v>-2.4245362661989844E-14</v>
      </c>
      <c r="VQ8" t="s">
        <v>1753</v>
      </c>
      <c r="VR8">
        <v>2024</v>
      </c>
      <c r="VS8" t="s">
        <v>4405</v>
      </c>
      <c r="VT8" s="6">
        <v>45742</v>
      </c>
      <c r="VU8">
        <v>5</v>
      </c>
      <c r="VV8">
        <v>-2.4245362661989844E-14</v>
      </c>
      <c r="VW8">
        <v>14195302</v>
      </c>
      <c r="VX8" t="s">
        <v>4406</v>
      </c>
    </row>
    <row r="9" spans="1:600" x14ac:dyDescent="0.25">
      <c r="DQ9" t="s">
        <v>2335</v>
      </c>
      <c r="DR9" t="s">
        <v>1752</v>
      </c>
      <c r="DS9">
        <v>0.59890299999999996</v>
      </c>
      <c r="DT9">
        <v>1.729209</v>
      </c>
      <c r="DU9" t="s">
        <v>1781</v>
      </c>
      <c r="DV9">
        <v>2025</v>
      </c>
      <c r="DW9" t="s">
        <v>1869</v>
      </c>
      <c r="DX9" s="6">
        <v>45797</v>
      </c>
      <c r="DY9">
        <v>5</v>
      </c>
      <c r="DZ9">
        <v>112571504</v>
      </c>
      <c r="EA9">
        <v>130929</v>
      </c>
      <c r="EB9" t="s">
        <v>2336</v>
      </c>
      <c r="EE9" t="s">
        <v>378</v>
      </c>
      <c r="EF9">
        <v>0.76780499999999996</v>
      </c>
      <c r="EG9" t="s">
        <v>1752</v>
      </c>
      <c r="EH9">
        <v>2.2920660000000002</v>
      </c>
      <c r="EI9" t="s">
        <v>1781</v>
      </c>
      <c r="EJ9">
        <v>2025</v>
      </c>
      <c r="EK9" t="s">
        <v>1869</v>
      </c>
      <c r="EL9" s="6">
        <v>45797</v>
      </c>
      <c r="EM9">
        <v>5</v>
      </c>
      <c r="EN9">
        <v>111646528</v>
      </c>
      <c r="EO9">
        <v>69423747</v>
      </c>
      <c r="EP9" t="s">
        <v>2158</v>
      </c>
      <c r="IG9" t="s">
        <v>185</v>
      </c>
      <c r="IH9" t="s">
        <v>1828</v>
      </c>
      <c r="II9">
        <v>0.10218000000000001</v>
      </c>
      <c r="IJ9">
        <v>4.8755769999999998</v>
      </c>
      <c r="IK9" t="s">
        <v>1774</v>
      </c>
      <c r="IL9">
        <v>2026</v>
      </c>
      <c r="IM9" t="s">
        <v>2286</v>
      </c>
      <c r="IN9" s="6">
        <v>46063</v>
      </c>
      <c r="IO9">
        <v>5</v>
      </c>
      <c r="IP9">
        <v>3369024</v>
      </c>
      <c r="IQ9">
        <v>101732</v>
      </c>
      <c r="IR9" t="s">
        <v>2287</v>
      </c>
      <c r="IU9" t="s">
        <v>3166</v>
      </c>
      <c r="IV9">
        <v>2.8023609999999999</v>
      </c>
      <c r="IW9" t="s">
        <v>1752</v>
      </c>
      <c r="IX9">
        <v>0.52624300000000002</v>
      </c>
      <c r="IY9" t="s">
        <v>1774</v>
      </c>
      <c r="IZ9">
        <v>2025</v>
      </c>
      <c r="JA9" t="s">
        <v>4948</v>
      </c>
      <c r="JB9" s="6">
        <v>45943</v>
      </c>
      <c r="JC9">
        <v>5</v>
      </c>
      <c r="JD9">
        <v>41158276</v>
      </c>
      <c r="JE9">
        <v>9568853</v>
      </c>
      <c r="JF9" t="s">
        <v>3167</v>
      </c>
      <c r="JK9" t="s">
        <v>3477</v>
      </c>
      <c r="JM9">
        <v>-2.4245362661989844E-14</v>
      </c>
      <c r="JN9">
        <v>-2.4245362661989844E-14</v>
      </c>
      <c r="JO9" t="s">
        <v>1753</v>
      </c>
      <c r="JP9">
        <v>2025</v>
      </c>
      <c r="JQ9" t="s">
        <v>3478</v>
      </c>
      <c r="JR9" s="6">
        <v>45961</v>
      </c>
      <c r="JS9">
        <v>5</v>
      </c>
      <c r="JT9">
        <v>-2.4245362661989844E-14</v>
      </c>
      <c r="JU9">
        <v>9860126</v>
      </c>
      <c r="JV9" t="s">
        <v>3479</v>
      </c>
      <c r="JY9" t="s">
        <v>77</v>
      </c>
      <c r="JZ9">
        <v>-2.4245362661989844E-14</v>
      </c>
      <c r="KB9">
        <v>-2.4245362661989844E-14</v>
      </c>
      <c r="KC9" t="s">
        <v>1753</v>
      </c>
      <c r="KD9">
        <v>2023</v>
      </c>
      <c r="KE9" t="s">
        <v>4619</v>
      </c>
      <c r="KF9" s="6">
        <v>45398</v>
      </c>
      <c r="KG9">
        <v>5</v>
      </c>
      <c r="KH9">
        <v>-2.4245362661989844E-14</v>
      </c>
      <c r="KI9">
        <v>100801</v>
      </c>
      <c r="KJ9" t="s">
        <v>1870</v>
      </c>
      <c r="KO9" t="s">
        <v>2392</v>
      </c>
      <c r="KQ9">
        <v>-2.4245362661989844E-14</v>
      </c>
      <c r="KR9">
        <v>-2.4245362661989844E-14</v>
      </c>
      <c r="KS9" t="s">
        <v>1753</v>
      </c>
      <c r="KT9">
        <v>2021</v>
      </c>
      <c r="KU9" t="s">
        <v>2393</v>
      </c>
      <c r="KV9" s="6">
        <v>44693</v>
      </c>
      <c r="KW9">
        <v>5</v>
      </c>
      <c r="KX9">
        <v>-2.4245362661989844E-14</v>
      </c>
      <c r="KY9">
        <v>101690</v>
      </c>
      <c r="KZ9" t="s">
        <v>2394</v>
      </c>
      <c r="LC9" t="s">
        <v>2343</v>
      </c>
      <c r="LD9">
        <v>1.9831259999999999</v>
      </c>
      <c r="LE9" t="s">
        <v>1752</v>
      </c>
      <c r="LF9">
        <v>5.6717999999999998E-2</v>
      </c>
      <c r="LG9" t="s">
        <v>1788</v>
      </c>
      <c r="LH9">
        <v>2025</v>
      </c>
      <c r="LI9" t="s">
        <v>4573</v>
      </c>
      <c r="LJ9" s="6">
        <v>45980</v>
      </c>
      <c r="LK9">
        <v>5</v>
      </c>
      <c r="LL9">
        <v>2854551</v>
      </c>
      <c r="LM9">
        <v>115679</v>
      </c>
      <c r="LN9" t="s">
        <v>2344</v>
      </c>
      <c r="MG9" t="s">
        <v>5358</v>
      </c>
      <c r="MH9">
        <v>-2.4245362661989844E-14</v>
      </c>
      <c r="MJ9">
        <v>-2.4245362661989844E-14</v>
      </c>
      <c r="MK9" t="s">
        <v>1753</v>
      </c>
      <c r="ML9">
        <v>2024</v>
      </c>
      <c r="MM9" t="s">
        <v>5359</v>
      </c>
      <c r="MN9" s="6">
        <v>45730</v>
      </c>
      <c r="MO9">
        <v>5</v>
      </c>
      <c r="MP9">
        <v>-2.4245362661989844E-14</v>
      </c>
      <c r="MQ9">
        <v>11486695</v>
      </c>
      <c r="MR9" t="s">
        <v>5360</v>
      </c>
      <c r="OA9" t="s">
        <v>2135</v>
      </c>
      <c r="OC9">
        <v>-2.4245362661989844E-14</v>
      </c>
      <c r="OD9">
        <v>-2.4245362661989844E-14</v>
      </c>
      <c r="OE9" t="s">
        <v>1768</v>
      </c>
      <c r="OF9">
        <v>2025</v>
      </c>
      <c r="OG9" t="s">
        <v>2136</v>
      </c>
      <c r="OH9" s="6">
        <v>45974</v>
      </c>
      <c r="OI9">
        <v>5</v>
      </c>
      <c r="OJ9">
        <v>-2.4245362661989844E-14</v>
      </c>
      <c r="OK9">
        <v>118099</v>
      </c>
      <c r="OL9" t="s">
        <v>2137</v>
      </c>
      <c r="UY9" t="s">
        <v>4582</v>
      </c>
      <c r="VA9">
        <v>-2.4245362661989844E-14</v>
      </c>
      <c r="VB9">
        <v>-2.4245362661989844E-14</v>
      </c>
      <c r="VC9" t="s">
        <v>1753</v>
      </c>
      <c r="VD9">
        <v>2022</v>
      </c>
      <c r="VE9" t="s">
        <v>4583</v>
      </c>
      <c r="VF9" s="6">
        <v>45008</v>
      </c>
      <c r="VG9">
        <v>5</v>
      </c>
      <c r="VH9">
        <v>-2.4245362661989844E-14</v>
      </c>
      <c r="VI9">
        <v>1459297</v>
      </c>
      <c r="VJ9" t="s">
        <v>4584</v>
      </c>
      <c r="VM9" t="s">
        <v>4407</v>
      </c>
      <c r="VN9">
        <v>-2.4245362661989844E-14</v>
      </c>
      <c r="VP9">
        <v>-2.4245362661989844E-14</v>
      </c>
      <c r="VQ9" t="s">
        <v>1753</v>
      </c>
      <c r="VR9">
        <v>2023</v>
      </c>
      <c r="VS9" t="s">
        <v>4408</v>
      </c>
      <c r="VT9" s="6">
        <v>45420</v>
      </c>
      <c r="VU9">
        <v>5</v>
      </c>
      <c r="VV9">
        <v>-2.4245362661989844E-14</v>
      </c>
      <c r="VW9">
        <v>52333389</v>
      </c>
      <c r="VX9" t="s">
        <v>4409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111</v>
      </c>
      <c r="AE2" s="3" t="s">
        <v>112</v>
      </c>
      <c r="BI2" s="3" t="s">
        <v>113</v>
      </c>
      <c r="CM2" s="3" t="s">
        <v>114</v>
      </c>
      <c r="DQ2" s="3" t="s">
        <v>115</v>
      </c>
      <c r="EU2" s="3" t="s">
        <v>116</v>
      </c>
      <c r="FY2" s="3" t="s">
        <v>117</v>
      </c>
      <c r="HC2" s="3" t="s">
        <v>37</v>
      </c>
      <c r="IG2" s="3" t="s">
        <v>118</v>
      </c>
      <c r="JK2" s="3" t="s">
        <v>119</v>
      </c>
      <c r="KO2" s="3" t="s">
        <v>120</v>
      </c>
      <c r="LS2" s="3" t="s">
        <v>89</v>
      </c>
      <c r="MW2" s="3" t="s">
        <v>121</v>
      </c>
      <c r="OA2" s="3" t="s">
        <v>122</v>
      </c>
      <c r="PE2" s="3" t="s">
        <v>123</v>
      </c>
      <c r="QI2" s="3" t="s">
        <v>124</v>
      </c>
      <c r="RM2" s="3" t="s">
        <v>125</v>
      </c>
      <c r="SQ2" s="3" t="s">
        <v>126</v>
      </c>
      <c r="TU2" s="3" t="s">
        <v>127</v>
      </c>
      <c r="UY2" s="3" t="s">
        <v>128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_xll.BDS("NBR US Equity","SUPPLY_CHAIN_SUPPLIERS_ALL_DATA","cols=12;rows=4")</f>
        <v>DNOW US Equity</v>
      </c>
      <c r="B5" t="s">
        <v>1752</v>
      </c>
      <c r="C5">
        <v>8.4705000000000003E-2</v>
      </c>
      <c r="D5">
        <v>0.109191</v>
      </c>
      <c r="E5" t="s">
        <v>1788</v>
      </c>
      <c r="F5">
        <v>2025</v>
      </c>
      <c r="G5" t="s">
        <v>2054</v>
      </c>
      <c r="H5" s="6">
        <v>46027</v>
      </c>
      <c r="I5">
        <v>4</v>
      </c>
      <c r="J5">
        <v>537030</v>
      </c>
      <c r="K5">
        <v>36965288</v>
      </c>
      <c r="L5" t="s">
        <v>2055</v>
      </c>
      <c r="O5" t="str">
        <f>_xll.BDS("NBR US Equity","SUPPLY_CHAIN_CUSTOMERS_ALL_DATA","cols=12;rows=4")</f>
        <v>ARAMCO AB Equity</v>
      </c>
      <c r="P5">
        <v>30</v>
      </c>
      <c r="Q5" t="s">
        <v>1752</v>
      </c>
      <c r="R5">
        <v>0.60292500000000004</v>
      </c>
      <c r="S5" t="s">
        <v>1753</v>
      </c>
      <c r="T5">
        <v>2025</v>
      </c>
      <c r="U5" t="s">
        <v>2139</v>
      </c>
      <c r="V5" s="6">
        <v>46066</v>
      </c>
      <c r="W5">
        <v>4</v>
      </c>
      <c r="X5">
        <v>238851968</v>
      </c>
      <c r="Y5">
        <v>948637</v>
      </c>
      <c r="Z5" t="s">
        <v>2140</v>
      </c>
      <c r="AE5" t="str">
        <f>_xll.BDS("UDI US Equity","SUPPLY_CHAIN_SUPPLIERS_ALL_DATA")</f>
        <v>#N/A N/A</v>
      </c>
      <c r="AS5" t="str">
        <f>_xll.BDS("UDI US Equity","SUPPLY_CHAIN_CUSTOMERS_ALL_DATA")</f>
        <v>#N/A N/A</v>
      </c>
      <c r="BI5" t="str">
        <f>_xll.BDS("LSCC US Equity","SUPPLY_CHAIN_SUPPLIERS_ALL_DATA","cols=12;rows=5")</f>
        <v>2330 TT Equity</v>
      </c>
      <c r="BJ5" t="s">
        <v>1752</v>
      </c>
      <c r="BK5">
        <v>5.5789999999999999E-2</v>
      </c>
      <c r="BL5">
        <v>32.809986000000002</v>
      </c>
      <c r="BM5" t="s">
        <v>1825</v>
      </c>
      <c r="BN5">
        <v>2024</v>
      </c>
      <c r="BO5" t="s">
        <v>3480</v>
      </c>
      <c r="BP5" s="6">
        <v>45741</v>
      </c>
      <c r="BQ5">
        <v>5</v>
      </c>
      <c r="BR5">
        <v>14977326.85</v>
      </c>
      <c r="BS5">
        <v>153737</v>
      </c>
      <c r="BT5" t="s">
        <v>1943</v>
      </c>
      <c r="BW5" t="str">
        <f>_xll.BDS("LSCC US Equity","SUPPLY_CHAIN_CUSTOMERS_ALL_DATA","cols=12;rows=5")</f>
        <v>ARW US Equity</v>
      </c>
      <c r="BX5">
        <v>33.299999</v>
      </c>
      <c r="BY5" t="s">
        <v>1752</v>
      </c>
      <c r="BZ5">
        <v>0.68869000000000002</v>
      </c>
      <c r="CA5" t="s">
        <v>1753</v>
      </c>
      <c r="CB5">
        <v>2024</v>
      </c>
      <c r="CC5" t="s">
        <v>5588</v>
      </c>
      <c r="CD5" s="6">
        <v>45702</v>
      </c>
      <c r="CE5">
        <v>5</v>
      </c>
      <c r="CF5">
        <v>42407632</v>
      </c>
      <c r="CG5">
        <v>100115</v>
      </c>
      <c r="CH5" t="s">
        <v>1922</v>
      </c>
      <c r="CM5" t="str">
        <f>_xll.BDS("JEF US Equity","SUPPLY_CHAIN_SUPPLIERS_ALL_DATA","cols=12;rows=5")</f>
        <v>000063 CH Equity</v>
      </c>
      <c r="CO5">
        <v>-2.4245362661989844E-14</v>
      </c>
      <c r="CP5">
        <v>-2.4245362661989844E-14</v>
      </c>
      <c r="CQ5" t="s">
        <v>1753</v>
      </c>
      <c r="CR5">
        <v>2025</v>
      </c>
      <c r="CS5" t="s">
        <v>3910</v>
      </c>
      <c r="CT5" s="6">
        <v>45904</v>
      </c>
      <c r="CU5">
        <v>5</v>
      </c>
      <c r="CV5">
        <v>-2.4245362661989844E-14</v>
      </c>
      <c r="CW5">
        <v>304299</v>
      </c>
      <c r="CX5" t="s">
        <v>3911</v>
      </c>
      <c r="DA5" t="str">
        <f>_xll.BDS("JEF US Equity","SUPPLY_CHAIN_CUSTOMERS_ALL_DATA")</f>
        <v>#N/A N/A</v>
      </c>
      <c r="DQ5" t="str">
        <f>_xll.BDS("KSPN US Equity","SUPPLY_CHAIN_SUPPLIERS_ALL_DATA","cols=12;rows=1")</f>
        <v>BSEG US Equity</v>
      </c>
      <c r="DS5">
        <v>-2.4245362661989844E-14</v>
      </c>
      <c r="DT5">
        <v>-2.4245362661989844E-14</v>
      </c>
      <c r="DU5" t="s">
        <v>1753</v>
      </c>
      <c r="DV5">
        <v>2024</v>
      </c>
      <c r="DW5" t="s">
        <v>5333</v>
      </c>
      <c r="DX5" s="6">
        <v>45393</v>
      </c>
      <c r="DY5">
        <v>1</v>
      </c>
      <c r="DZ5">
        <v>-2.4245362661989844E-14</v>
      </c>
      <c r="EA5">
        <v>8242539</v>
      </c>
      <c r="EB5" t="s">
        <v>5334</v>
      </c>
      <c r="EE5" t="str">
        <f>_xll.BDS("KSPN US Equity","SUPPLY_CHAIN_CUSTOMERS_ALL_DATA","cols=12;rows=5")</f>
        <v>1023203D US Equity</v>
      </c>
      <c r="EF5">
        <v>-2.4245362661989844E-14</v>
      </c>
      <c r="EH5">
        <v>-2.4245362661989844E-14</v>
      </c>
      <c r="EI5" t="s">
        <v>1753</v>
      </c>
      <c r="EJ5">
        <v>2022</v>
      </c>
      <c r="EK5" t="s">
        <v>5165</v>
      </c>
      <c r="EL5" s="6">
        <v>44680</v>
      </c>
      <c r="EM5">
        <v>5</v>
      </c>
      <c r="EN5">
        <v>-2.4245362661989844E-14</v>
      </c>
      <c r="EO5">
        <v>41174714</v>
      </c>
      <c r="EP5" t="s">
        <v>5166</v>
      </c>
      <c r="EU5" t="str">
        <f>_xll.BDS("FDC US Equity","SUPPLY_CHAIN_SUPPLIERS_ALL_DATA")</f>
        <v>#N/A N/A</v>
      </c>
      <c r="FI5" t="str">
        <f>_xll.BDS("FDC US Equity","SUPPLY_CHAIN_CUSTOMERS_ALL_DATA")</f>
        <v>#N/A N/A</v>
      </c>
      <c r="FY5" t="str">
        <f>_xll.BDS("FNB US Equity","SUPPLY_CHAIN_SUPPLIERS_ALL_DATA","cols=12;rows=1")</f>
        <v>HY US Equity</v>
      </c>
      <c r="GA5">
        <v>-2.4245362661989844E-14</v>
      </c>
      <c r="GB5">
        <v>-2.4245362661989844E-14</v>
      </c>
      <c r="GC5" t="s">
        <v>1753</v>
      </c>
      <c r="GD5">
        <v>2024</v>
      </c>
      <c r="GE5" t="s">
        <v>4822</v>
      </c>
      <c r="GF5" s="6">
        <v>45427</v>
      </c>
      <c r="GG5">
        <v>1</v>
      </c>
      <c r="GH5">
        <v>-2.4245362661989844E-14</v>
      </c>
      <c r="GI5">
        <v>159242</v>
      </c>
      <c r="GJ5" t="s">
        <v>4823</v>
      </c>
      <c r="GM5" t="str">
        <f>_xll.BDS("FNB US Equity","SUPPLY_CHAIN_CUSTOMERS_ALL_DATA")</f>
        <v>#N/A N/A</v>
      </c>
      <c r="HC5" t="str">
        <f>_xll.BDS("nan Equity","SUPPLY_CHAIN_SUPPLIERS_ALL_DATA")</f>
        <v>#N/A N/A</v>
      </c>
      <c r="HQ5" t="str">
        <f>_xll.BDS("nan Equity","SUPPLY_CHAIN_CUSTOMERS_ALL_DATA")</f>
        <v>#N/A N/A</v>
      </c>
      <c r="IG5" t="str">
        <f>_xll.BDS("ILA US Equity","SUPPLY_CHAIN_SUPPLIERS_ALL_DATA")</f>
        <v>#N/A N/A</v>
      </c>
      <c r="IU5" t="str">
        <f>_xll.BDS("ILA US Equity","SUPPLY_CHAIN_CUSTOMERS_ALL_DATA")</f>
        <v>#N/A N/A</v>
      </c>
      <c r="JK5" t="str">
        <f>_xll.BDS("838969Q US Equity","SUPPLY_CHAIN_SUPPLIERS_ALL_DATA")</f>
        <v>#N/A N/A</v>
      </c>
      <c r="JY5" t="str">
        <f>_xll.BDS("838969Q US Equity","SUPPLY_CHAIN_CUSTOMERS_ALL_DATA")</f>
        <v>#N/A N/A</v>
      </c>
      <c r="KO5" t="str">
        <f>_xll.BDS("SEBL US Equity","SUPPLY_CHAIN_SUPPLIERS_ALL_DATA")</f>
        <v>#N/A N/A</v>
      </c>
      <c r="LC5" t="str">
        <f>_xll.BDS("SEBL US Equity","SUPPLY_CHAIN_CUSTOMERS_ALL_DATA")</f>
        <v>#N/A N/A</v>
      </c>
      <c r="LS5" t="str">
        <f>_xll.BDS("0848680D US Equity","SUPPLY_CHAIN_SUPPLIERS_ALL_DATA")</f>
        <v>#N/A N/A</v>
      </c>
      <c r="MG5" t="str">
        <f>_xll.BDS("0848680D US Equity","SUPPLY_CHAIN_CUSTOMERS_ALL_DATA")</f>
        <v>#N/A N/A</v>
      </c>
      <c r="MW5" t="str">
        <f>_xll.BDS("KEX US Equity","SUPPLY_CHAIN_SUPPLIERS_ALL_DATA","cols=12;rows=5")</f>
        <v>ATCOA SS Equity</v>
      </c>
      <c r="MX5" t="s">
        <v>1752</v>
      </c>
      <c r="MY5">
        <v>0.26780799999999999</v>
      </c>
      <c r="MZ5">
        <v>2.0469949999999999</v>
      </c>
      <c r="NA5" t="s">
        <v>1774</v>
      </c>
      <c r="NB5">
        <v>2025</v>
      </c>
      <c r="NC5" t="s">
        <v>5315</v>
      </c>
      <c r="ND5" s="6">
        <v>45957</v>
      </c>
      <c r="NE5">
        <v>5</v>
      </c>
      <c r="NF5">
        <v>11525577.58</v>
      </c>
      <c r="NG5">
        <v>115632</v>
      </c>
      <c r="NH5" t="s">
        <v>5316</v>
      </c>
      <c r="NK5" t="str">
        <f>_xll.BDS("KEX US Equity","SUPPLY_CHAIN_CUSTOMERS_ALL_DATA","cols=12;rows=5")</f>
        <v>CAT US Equity</v>
      </c>
      <c r="NL5">
        <v>0.57430800000000004</v>
      </c>
      <c r="NM5" t="s">
        <v>1752</v>
      </c>
      <c r="NN5">
        <v>4.4089999999999997E-2</v>
      </c>
      <c r="NO5" t="s">
        <v>1774</v>
      </c>
      <c r="NP5">
        <v>2025</v>
      </c>
      <c r="NQ5" t="s">
        <v>1970</v>
      </c>
      <c r="NR5" s="6">
        <v>45876</v>
      </c>
      <c r="NS5">
        <v>5</v>
      </c>
      <c r="NT5">
        <v>4912949</v>
      </c>
      <c r="NU5">
        <v>100285</v>
      </c>
      <c r="NV5" t="s">
        <v>1971</v>
      </c>
      <c r="OA5" t="str">
        <f>_xll.BDS("SYNA US Equity","SUPPLY_CHAIN_SUPPLIERS_ALL_DATA","cols=12;rows=5")</f>
        <v>000810 CH Equity</v>
      </c>
      <c r="OB5" t="s">
        <v>1752</v>
      </c>
      <c r="OC5">
        <v>0.28984300000000002</v>
      </c>
      <c r="OD5">
        <v>0.56943699999999997</v>
      </c>
      <c r="OE5" t="s">
        <v>1788</v>
      </c>
      <c r="OF5">
        <v>2025</v>
      </c>
      <c r="OG5" t="s">
        <v>3216</v>
      </c>
      <c r="OH5" s="6">
        <v>45975</v>
      </c>
      <c r="OI5">
        <v>5</v>
      </c>
      <c r="OJ5">
        <v>956240.94</v>
      </c>
      <c r="OK5">
        <v>330347</v>
      </c>
      <c r="OL5" t="s">
        <v>3217</v>
      </c>
      <c r="OO5" t="str">
        <f>_xll.BDS("SYNA US Equity","SUPPLY_CHAIN_CUSTOMERS_ALL_DATA","cols=12;rows=5")</f>
        <v>DELL US Equity</v>
      </c>
      <c r="OP5">
        <v>11.010524</v>
      </c>
      <c r="OQ5" t="s">
        <v>1752</v>
      </c>
      <c r="OR5">
        <v>0.15040999999999999</v>
      </c>
      <c r="OS5" t="s">
        <v>1781</v>
      </c>
      <c r="OT5">
        <v>2026</v>
      </c>
      <c r="OU5" t="s">
        <v>5088</v>
      </c>
      <c r="OV5" s="6">
        <v>46027</v>
      </c>
      <c r="OW5">
        <v>5</v>
      </c>
      <c r="OX5">
        <v>32205784</v>
      </c>
      <c r="OY5">
        <v>50985605</v>
      </c>
      <c r="OZ5" t="s">
        <v>2424</v>
      </c>
      <c r="PE5" t="str">
        <f>_xll.BDS("PBCT US Equity","SUPPLY_CHAIN_SUPPLIERS_ALL_DATA")</f>
        <v>#N/A N/A</v>
      </c>
      <c r="PS5" t="str">
        <f>_xll.BDS("PBCT US Equity","SUPPLY_CHAIN_CUSTOMERS_ALL_DATA")</f>
        <v>#N/A N/A</v>
      </c>
      <c r="QI5" t="str">
        <f>_xll.BDS("SUPN US Equity","SUPPLY_CHAIN_SUPPLIERS_ALL_DATA","cols=12;rows=5")</f>
        <v>PRIME SP Equity</v>
      </c>
      <c r="QJ5" t="s">
        <v>1940</v>
      </c>
      <c r="QK5">
        <v>2</v>
      </c>
      <c r="QL5">
        <v>0.87668500000000005</v>
      </c>
      <c r="QM5" t="s">
        <v>1753</v>
      </c>
      <c r="QN5">
        <v>2024</v>
      </c>
      <c r="QO5" t="s">
        <v>5134</v>
      </c>
      <c r="QP5" s="6">
        <v>45754</v>
      </c>
      <c r="QQ5">
        <v>5</v>
      </c>
      <c r="QR5">
        <v>704815</v>
      </c>
      <c r="QS5">
        <v>65193455</v>
      </c>
      <c r="QT5" t="s">
        <v>5135</v>
      </c>
      <c r="QW5" t="str">
        <f>_xll.BDS("SUPN US Equity","SUPPLY_CHAIN_CUSTOMERS_ALL_DATA","cols=12;rows=5")</f>
        <v>MCK US Equity</v>
      </c>
      <c r="QX5">
        <v>24.460196</v>
      </c>
      <c r="QY5" t="s">
        <v>1752</v>
      </c>
      <c r="QZ5">
        <v>6.3472000000000001E-2</v>
      </c>
      <c r="RA5" t="s">
        <v>1788</v>
      </c>
      <c r="RB5">
        <v>2025</v>
      </c>
      <c r="RC5" t="s">
        <v>4918</v>
      </c>
      <c r="RD5" s="6">
        <v>46015</v>
      </c>
      <c r="RE5">
        <v>5</v>
      </c>
      <c r="RF5">
        <v>46988768</v>
      </c>
      <c r="RG5">
        <v>154936</v>
      </c>
      <c r="RH5" t="s">
        <v>2342</v>
      </c>
      <c r="RM5" t="str">
        <f>_xll.BDS("SOV US Equity","SUPPLY_CHAIN_SUPPLIERS_ALL_DATA")</f>
        <v>#N/A N/A</v>
      </c>
      <c r="SA5" t="str">
        <f>_xll.BDS("SOV US Equity","SUPPLY_CHAIN_CUSTOMERS_ALL_DATA")</f>
        <v>#N/A N/A</v>
      </c>
      <c r="SQ5" t="str">
        <f>_xll.BDS("WFC US Equity","SUPPLY_CHAIN_SUPPLIERS_ALL_DATA","cols=12;rows=5")</f>
        <v>ADBE US Equity</v>
      </c>
      <c r="SR5" t="s">
        <v>1940</v>
      </c>
      <c r="SS5">
        <v>0.357321</v>
      </c>
      <c r="ST5">
        <v>0.15107200000000001</v>
      </c>
      <c r="SU5" t="s">
        <v>1774</v>
      </c>
      <c r="SV5">
        <v>2025</v>
      </c>
      <c r="SW5" t="s">
        <v>2126</v>
      </c>
      <c r="SX5" s="6">
        <v>45838</v>
      </c>
      <c r="SY5">
        <v>5</v>
      </c>
      <c r="SZ5">
        <v>20985462</v>
      </c>
      <c r="TA5">
        <v>101689</v>
      </c>
      <c r="TB5" t="s">
        <v>2127</v>
      </c>
      <c r="TE5" t="str">
        <f>_xll.BDS("WFC US Equity","SUPPLY_CHAIN_CUSTOMERS_ALL_DATA","cols=12;rows=5")</f>
        <v>CDW US Equity</v>
      </c>
      <c r="TF5">
        <v>4.1894000000000001E-2</v>
      </c>
      <c r="TG5" t="s">
        <v>1752</v>
      </c>
      <c r="TH5">
        <v>0.304456</v>
      </c>
      <c r="TI5" t="s">
        <v>1781</v>
      </c>
      <c r="TJ5">
        <v>2025</v>
      </c>
      <c r="TK5" t="s">
        <v>1955</v>
      </c>
      <c r="TL5" s="6">
        <v>45820</v>
      </c>
      <c r="TM5">
        <v>5</v>
      </c>
      <c r="TN5">
        <v>12412062</v>
      </c>
      <c r="TO5">
        <v>12129192</v>
      </c>
      <c r="TP5" t="s">
        <v>1956</v>
      </c>
      <c r="TU5" t="str">
        <f>_xll.BDS("8397627Q US Equity","SUPPLY_CHAIN_SUPPLIERS_ALL_DATA")</f>
        <v>#N/A N/A</v>
      </c>
      <c r="UI5" t="str">
        <f>_xll.BDS("8397627Q US Equity","SUPPLY_CHAIN_CUSTOMERS_ALL_DATA")</f>
        <v>#N/A N/A</v>
      </c>
      <c r="UY5" t="str">
        <f>_xll.BDS("1799685D US Equity","SUPPLY_CHAIN_SUPPLIERS_ALL_DATA")</f>
        <v>#N/A N/A</v>
      </c>
      <c r="VM5" t="str">
        <f>_xll.BDS("1799685D US Equity","SUPPLY_CHAIN_CUSTOMERS_ALL_DATA")</f>
        <v>#N/A N/A</v>
      </c>
    </row>
    <row r="6" spans="1:600" x14ac:dyDescent="0.25">
      <c r="A6" t="s">
        <v>2056</v>
      </c>
      <c r="B6" t="s">
        <v>1752</v>
      </c>
      <c r="C6">
        <v>4.2249999999999996E-3</v>
      </c>
      <c r="D6">
        <v>9.1559999999999992E-3</v>
      </c>
      <c r="E6" t="s">
        <v>1825</v>
      </c>
      <c r="F6">
        <v>2025</v>
      </c>
      <c r="G6" t="s">
        <v>2057</v>
      </c>
      <c r="H6" s="6">
        <v>46079</v>
      </c>
      <c r="I6">
        <v>4</v>
      </c>
      <c r="J6">
        <v>44531</v>
      </c>
      <c r="K6">
        <v>49689146</v>
      </c>
      <c r="L6" t="s">
        <v>2058</v>
      </c>
      <c r="O6" t="s">
        <v>746</v>
      </c>
      <c r="P6">
        <v>-2.4245362661989844E-14</v>
      </c>
      <c r="R6">
        <v>-2.4245362661989844E-14</v>
      </c>
      <c r="S6" t="s">
        <v>1753</v>
      </c>
      <c r="T6">
        <v>2022</v>
      </c>
      <c r="U6" t="s">
        <v>2141</v>
      </c>
      <c r="V6" s="6">
        <v>44966</v>
      </c>
      <c r="W6">
        <v>4</v>
      </c>
      <c r="X6">
        <v>-2.4245362661989844E-14</v>
      </c>
      <c r="Y6">
        <v>100698</v>
      </c>
      <c r="Z6" t="s">
        <v>2142</v>
      </c>
      <c r="BI6" t="s">
        <v>1871</v>
      </c>
      <c r="BJ6" t="s">
        <v>1752</v>
      </c>
      <c r="BK6">
        <v>5.5970000000000004E-3</v>
      </c>
      <c r="BL6">
        <v>7.593356</v>
      </c>
      <c r="BM6" t="s">
        <v>1774</v>
      </c>
      <c r="BN6">
        <v>2025</v>
      </c>
      <c r="BO6" t="s">
        <v>1872</v>
      </c>
      <c r="BP6" s="6">
        <v>45952</v>
      </c>
      <c r="BQ6">
        <v>5</v>
      </c>
      <c r="BR6">
        <v>2981619.62</v>
      </c>
      <c r="BS6">
        <v>117929</v>
      </c>
      <c r="BT6" t="s">
        <v>1873</v>
      </c>
      <c r="BW6" t="s">
        <v>3382</v>
      </c>
      <c r="BX6">
        <v>31.200001</v>
      </c>
      <c r="BY6" t="s">
        <v>1752</v>
      </c>
      <c r="BZ6">
        <v>6.4958489999999998</v>
      </c>
      <c r="CA6" t="s">
        <v>1753</v>
      </c>
      <c r="CB6">
        <v>2024</v>
      </c>
      <c r="CC6" t="s">
        <v>5588</v>
      </c>
      <c r="CD6" s="6">
        <v>45702</v>
      </c>
      <c r="CE6">
        <v>5</v>
      </c>
      <c r="CF6">
        <v>39733280</v>
      </c>
      <c r="CG6">
        <v>1459418</v>
      </c>
      <c r="CH6" t="s">
        <v>3384</v>
      </c>
      <c r="CM6" t="s">
        <v>3912</v>
      </c>
      <c r="CO6">
        <v>-2.4245362661989844E-14</v>
      </c>
      <c r="CP6">
        <v>-2.4245362661989844E-14</v>
      </c>
      <c r="CQ6" t="s">
        <v>1753</v>
      </c>
      <c r="CR6">
        <v>2026</v>
      </c>
      <c r="CS6" t="s">
        <v>3913</v>
      </c>
      <c r="CT6" s="6">
        <v>46042</v>
      </c>
      <c r="CU6">
        <v>5</v>
      </c>
      <c r="CV6">
        <v>-2.4245362661989844E-14</v>
      </c>
      <c r="CW6">
        <v>9095890</v>
      </c>
      <c r="CX6" t="s">
        <v>3914</v>
      </c>
      <c r="EE6" t="s">
        <v>5167</v>
      </c>
      <c r="EF6">
        <v>-2.4245362661989844E-14</v>
      </c>
      <c r="EH6">
        <v>-2.4245362661989844E-14</v>
      </c>
      <c r="EI6" t="s">
        <v>1753</v>
      </c>
      <c r="EJ6">
        <v>2022</v>
      </c>
      <c r="EK6" t="s">
        <v>5165</v>
      </c>
      <c r="EL6" s="6">
        <v>44680</v>
      </c>
      <c r="EM6">
        <v>5</v>
      </c>
      <c r="EN6">
        <v>-2.4245362661989844E-14</v>
      </c>
      <c r="EO6">
        <v>69475514</v>
      </c>
      <c r="EP6" t="s">
        <v>5168</v>
      </c>
      <c r="MW6" t="s">
        <v>1458</v>
      </c>
      <c r="MX6" t="s">
        <v>1752</v>
      </c>
      <c r="MY6">
        <v>8.7362999999999996E-2</v>
      </c>
      <c r="MZ6">
        <v>1.8640939999999999</v>
      </c>
      <c r="NA6" t="s">
        <v>1788</v>
      </c>
      <c r="NB6">
        <v>2025</v>
      </c>
      <c r="NC6" t="s">
        <v>1829</v>
      </c>
      <c r="ND6" s="6">
        <v>45904</v>
      </c>
      <c r="NE6">
        <v>5</v>
      </c>
      <c r="NF6">
        <v>10499285</v>
      </c>
      <c r="NG6">
        <v>100438</v>
      </c>
      <c r="NH6" t="s">
        <v>1830</v>
      </c>
      <c r="NK6" t="s">
        <v>1458</v>
      </c>
      <c r="NL6">
        <v>0.27057100000000001</v>
      </c>
      <c r="NM6" t="s">
        <v>1940</v>
      </c>
      <c r="NN6">
        <v>0.19019</v>
      </c>
      <c r="NO6" t="s">
        <v>1788</v>
      </c>
      <c r="NP6">
        <v>2025</v>
      </c>
      <c r="NQ6" t="s">
        <v>1829</v>
      </c>
      <c r="NR6" s="6">
        <v>45904</v>
      </c>
      <c r="NS6">
        <v>5</v>
      </c>
      <c r="NT6">
        <v>2314612</v>
      </c>
      <c r="NU6">
        <v>100438</v>
      </c>
      <c r="NV6" t="s">
        <v>1830</v>
      </c>
      <c r="OA6" t="s">
        <v>2280</v>
      </c>
      <c r="OB6" t="s">
        <v>1752</v>
      </c>
      <c r="OC6">
        <v>6.796E-3</v>
      </c>
      <c r="OD6">
        <v>0.54284399999999999</v>
      </c>
      <c r="OE6" t="s">
        <v>1781</v>
      </c>
      <c r="OF6">
        <v>2026</v>
      </c>
      <c r="OG6" t="s">
        <v>2281</v>
      </c>
      <c r="OH6" s="6">
        <v>46079</v>
      </c>
      <c r="OI6">
        <v>5</v>
      </c>
      <c r="OJ6">
        <v>927178</v>
      </c>
      <c r="OK6">
        <v>100995</v>
      </c>
      <c r="OL6" t="s">
        <v>2282</v>
      </c>
      <c r="OO6" t="s">
        <v>411</v>
      </c>
      <c r="OP6">
        <v>9.2024190000000008</v>
      </c>
      <c r="OQ6" t="s">
        <v>1752</v>
      </c>
      <c r="OR6">
        <v>0.230514</v>
      </c>
      <c r="OS6" t="s">
        <v>1781</v>
      </c>
      <c r="OT6">
        <v>2026</v>
      </c>
      <c r="OU6" t="s">
        <v>5088</v>
      </c>
      <c r="OV6" s="6">
        <v>46027</v>
      </c>
      <c r="OW6">
        <v>5</v>
      </c>
      <c r="OX6">
        <v>26917076</v>
      </c>
      <c r="OY6">
        <v>100732</v>
      </c>
      <c r="OZ6" t="s">
        <v>2880</v>
      </c>
      <c r="QI6" t="s">
        <v>1644</v>
      </c>
      <c r="QJ6" t="s">
        <v>1752</v>
      </c>
      <c r="QK6">
        <v>1.299E-3</v>
      </c>
      <c r="QL6">
        <v>7.1459999999999996E-2</v>
      </c>
      <c r="QM6" t="s">
        <v>1788</v>
      </c>
      <c r="QN6">
        <v>2025</v>
      </c>
      <c r="QO6" t="s">
        <v>4339</v>
      </c>
      <c r="QP6" s="6">
        <v>46052</v>
      </c>
      <c r="QQ6">
        <v>5</v>
      </c>
      <c r="QR6">
        <v>13552</v>
      </c>
      <c r="QS6">
        <v>101755</v>
      </c>
      <c r="QT6" t="s">
        <v>5136</v>
      </c>
      <c r="QW6" t="s">
        <v>1545</v>
      </c>
      <c r="QX6">
        <v>21.830175000000001</v>
      </c>
      <c r="QY6" t="s">
        <v>1752</v>
      </c>
      <c r="QZ6">
        <v>5.1917999999999999E-2</v>
      </c>
      <c r="RA6" t="s">
        <v>1788</v>
      </c>
      <c r="RB6">
        <v>2025</v>
      </c>
      <c r="RC6" t="s">
        <v>4918</v>
      </c>
      <c r="RD6" s="6">
        <v>46015</v>
      </c>
      <c r="RE6">
        <v>5</v>
      </c>
      <c r="RF6">
        <v>41936420</v>
      </c>
      <c r="RG6">
        <v>156969</v>
      </c>
      <c r="RH6" t="s">
        <v>2340</v>
      </c>
      <c r="SQ6" t="s">
        <v>1787</v>
      </c>
      <c r="SR6" t="s">
        <v>1940</v>
      </c>
      <c r="SS6">
        <v>5.2993949999999996</v>
      </c>
      <c r="ST6">
        <v>7.1481000000000003E-2</v>
      </c>
      <c r="SU6" t="s">
        <v>1781</v>
      </c>
      <c r="SV6">
        <v>2026</v>
      </c>
      <c r="SW6" t="s">
        <v>2131</v>
      </c>
      <c r="SX6" s="6">
        <v>45898</v>
      </c>
      <c r="SY6">
        <v>5</v>
      </c>
      <c r="SZ6">
        <v>9563900.9100000001</v>
      </c>
      <c r="TA6">
        <v>178651</v>
      </c>
      <c r="TB6" t="s">
        <v>1790</v>
      </c>
      <c r="TE6" t="s">
        <v>1957</v>
      </c>
      <c r="TF6">
        <v>-2.4245362661989844E-14</v>
      </c>
      <c r="TH6">
        <v>-2.4245362661989844E-14</v>
      </c>
      <c r="TI6" t="s">
        <v>1753</v>
      </c>
      <c r="TJ6">
        <v>2024</v>
      </c>
      <c r="TK6" t="s">
        <v>1958</v>
      </c>
      <c r="TL6" s="6">
        <v>45756</v>
      </c>
      <c r="TM6">
        <v>5</v>
      </c>
      <c r="TN6">
        <v>-2.4245362661989844E-14</v>
      </c>
      <c r="TO6">
        <v>23063237</v>
      </c>
      <c r="TP6" t="s">
        <v>1959</v>
      </c>
    </row>
    <row r="7" spans="1:600" x14ac:dyDescent="0.25">
      <c r="A7" t="s">
        <v>2059</v>
      </c>
      <c r="C7">
        <v>-2.4245362661989844E-14</v>
      </c>
      <c r="D7">
        <v>-2.4245362661989844E-14</v>
      </c>
      <c r="E7" t="s">
        <v>1788</v>
      </c>
      <c r="F7">
        <v>2025</v>
      </c>
      <c r="G7" t="s">
        <v>2060</v>
      </c>
      <c r="H7" s="6">
        <v>45991</v>
      </c>
      <c r="I7">
        <v>4</v>
      </c>
      <c r="J7">
        <v>-2.4245362661989844E-14</v>
      </c>
      <c r="K7">
        <v>310043</v>
      </c>
      <c r="L7" t="s">
        <v>2061</v>
      </c>
      <c r="O7" t="s">
        <v>311</v>
      </c>
      <c r="P7">
        <v>-2.4245362661989844E-14</v>
      </c>
      <c r="R7">
        <v>-2.4245362661989844E-14</v>
      </c>
      <c r="S7" t="s">
        <v>1753</v>
      </c>
      <c r="T7">
        <v>2022</v>
      </c>
      <c r="U7" t="s">
        <v>2141</v>
      </c>
      <c r="V7" s="6">
        <v>44966</v>
      </c>
      <c r="W7">
        <v>4</v>
      </c>
      <c r="X7">
        <v>-2.4245362661989844E-14</v>
      </c>
      <c r="Y7">
        <v>100078</v>
      </c>
      <c r="Z7" t="s">
        <v>2040</v>
      </c>
      <c r="BI7" t="s">
        <v>2456</v>
      </c>
      <c r="BJ7" t="s">
        <v>1752</v>
      </c>
      <c r="BK7">
        <v>2.0424000000000001E-2</v>
      </c>
      <c r="BL7">
        <v>2.4779640000000001</v>
      </c>
      <c r="BM7" t="s">
        <v>1781</v>
      </c>
      <c r="BN7">
        <v>2025</v>
      </c>
      <c r="BO7" t="s">
        <v>2457</v>
      </c>
      <c r="BP7" s="6">
        <v>45866</v>
      </c>
      <c r="BQ7">
        <v>5</v>
      </c>
      <c r="BR7">
        <v>951893.78</v>
      </c>
      <c r="BS7">
        <v>7359591</v>
      </c>
      <c r="BT7" t="s">
        <v>2458</v>
      </c>
      <c r="BW7" t="s">
        <v>5589</v>
      </c>
      <c r="BX7">
        <v>11.2</v>
      </c>
      <c r="BY7" t="s">
        <v>1752</v>
      </c>
      <c r="BZ7">
        <v>0.96954200000000001</v>
      </c>
      <c r="CA7" t="s">
        <v>1753</v>
      </c>
      <c r="CB7">
        <v>2024</v>
      </c>
      <c r="CC7" t="s">
        <v>5588</v>
      </c>
      <c r="CD7" s="6">
        <v>45702</v>
      </c>
      <c r="CE7">
        <v>5</v>
      </c>
      <c r="CF7">
        <v>14263228</v>
      </c>
      <c r="CG7">
        <v>44723648</v>
      </c>
      <c r="CH7" t="s">
        <v>5590</v>
      </c>
      <c r="CM7" t="s">
        <v>2381</v>
      </c>
      <c r="CO7">
        <v>-2.4245362661989844E-14</v>
      </c>
      <c r="CP7">
        <v>-2.4245362661989844E-14</v>
      </c>
      <c r="CQ7" t="s">
        <v>1774</v>
      </c>
      <c r="CR7">
        <v>2026</v>
      </c>
      <c r="CS7" t="s">
        <v>3915</v>
      </c>
      <c r="CT7" s="6">
        <v>45966</v>
      </c>
      <c r="CU7">
        <v>5</v>
      </c>
      <c r="CV7">
        <v>-2.4245362661989844E-14</v>
      </c>
      <c r="CW7">
        <v>63052670</v>
      </c>
      <c r="CX7" t="s">
        <v>2383</v>
      </c>
      <c r="EE7" t="s">
        <v>1079</v>
      </c>
      <c r="EF7">
        <v>-2.4245362661989844E-14</v>
      </c>
      <c r="EH7">
        <v>-2.4245362661989844E-14</v>
      </c>
      <c r="EI7" t="s">
        <v>1753</v>
      </c>
      <c r="EJ7">
        <v>2023</v>
      </c>
      <c r="EK7" t="s">
        <v>5169</v>
      </c>
      <c r="EL7" s="6">
        <v>45044</v>
      </c>
      <c r="EM7">
        <v>5</v>
      </c>
      <c r="EN7">
        <v>-2.4245362661989844E-14</v>
      </c>
      <c r="EO7">
        <v>216952</v>
      </c>
      <c r="EP7" t="s">
        <v>1899</v>
      </c>
      <c r="MW7" t="s">
        <v>2512</v>
      </c>
      <c r="MX7" t="s">
        <v>1752</v>
      </c>
      <c r="MY7">
        <v>7.1152999999999994E-2</v>
      </c>
      <c r="MZ7">
        <v>0.80027800000000004</v>
      </c>
      <c r="NA7" t="s">
        <v>1774</v>
      </c>
      <c r="NB7">
        <v>2025</v>
      </c>
      <c r="NC7" t="s">
        <v>2513</v>
      </c>
      <c r="ND7" s="6">
        <v>45873</v>
      </c>
      <c r="NE7">
        <v>5</v>
      </c>
      <c r="NF7">
        <v>4506565.1100000003</v>
      </c>
      <c r="NG7">
        <v>112185</v>
      </c>
      <c r="NH7" t="s">
        <v>2514</v>
      </c>
      <c r="NK7" t="s">
        <v>3286</v>
      </c>
      <c r="NL7">
        <v>-2.4245362661989844E-14</v>
      </c>
      <c r="NN7">
        <v>-2.4245362661989844E-14</v>
      </c>
      <c r="NO7" t="s">
        <v>1781</v>
      </c>
      <c r="NP7">
        <v>2025</v>
      </c>
      <c r="NQ7" t="s">
        <v>5281</v>
      </c>
      <c r="NR7" s="6">
        <v>45808</v>
      </c>
      <c r="NS7">
        <v>5</v>
      </c>
      <c r="NT7">
        <v>-2.4245362661989844E-14</v>
      </c>
      <c r="NU7">
        <v>962195</v>
      </c>
      <c r="NV7" t="s">
        <v>3287</v>
      </c>
      <c r="OA7" t="s">
        <v>3218</v>
      </c>
      <c r="OB7" t="s">
        <v>1752</v>
      </c>
      <c r="OC7">
        <v>0.392036</v>
      </c>
      <c r="OD7">
        <v>0.47954599999999997</v>
      </c>
      <c r="OE7" t="s">
        <v>1788</v>
      </c>
      <c r="OF7">
        <v>2025</v>
      </c>
      <c r="OG7" t="s">
        <v>3219</v>
      </c>
      <c r="OH7" s="6">
        <v>46043</v>
      </c>
      <c r="OI7">
        <v>5</v>
      </c>
      <c r="OJ7">
        <v>804975.8</v>
      </c>
      <c r="OK7">
        <v>834729</v>
      </c>
      <c r="OL7" t="s">
        <v>3220</v>
      </c>
      <c r="OO7" t="s">
        <v>5009</v>
      </c>
      <c r="OP7">
        <v>2.2343220000000001</v>
      </c>
      <c r="OQ7" t="s">
        <v>1752</v>
      </c>
      <c r="OR7">
        <v>7.2056999999999996E-2</v>
      </c>
      <c r="OS7" t="s">
        <v>1781</v>
      </c>
      <c r="OT7">
        <v>2026</v>
      </c>
      <c r="OU7" t="s">
        <v>5088</v>
      </c>
      <c r="OV7" s="6">
        <v>46027</v>
      </c>
      <c r="OW7">
        <v>5</v>
      </c>
      <c r="OX7">
        <v>6535392</v>
      </c>
      <c r="OY7">
        <v>100949</v>
      </c>
      <c r="OZ7" t="s">
        <v>5011</v>
      </c>
      <c r="QI7" t="s">
        <v>376</v>
      </c>
      <c r="QJ7" t="s">
        <v>1752</v>
      </c>
      <c r="QK7">
        <v>1.6119999999999999E-3</v>
      </c>
      <c r="QL7">
        <v>4.5630000000000002E-3</v>
      </c>
      <c r="QM7" t="s">
        <v>1774</v>
      </c>
      <c r="QN7">
        <v>2025</v>
      </c>
      <c r="QO7" t="s">
        <v>5137</v>
      </c>
      <c r="QP7" s="6">
        <v>45889</v>
      </c>
      <c r="QQ7">
        <v>5</v>
      </c>
      <c r="QR7">
        <v>768</v>
      </c>
      <c r="QS7">
        <v>116723</v>
      </c>
      <c r="QT7" t="s">
        <v>5138</v>
      </c>
      <c r="QW7" t="s">
        <v>1461</v>
      </c>
      <c r="QX7">
        <v>20.949631</v>
      </c>
      <c r="QY7" t="s">
        <v>1752</v>
      </c>
      <c r="QZ7">
        <v>6.5237000000000003E-2</v>
      </c>
      <c r="RA7" t="s">
        <v>1788</v>
      </c>
      <c r="RB7">
        <v>2025</v>
      </c>
      <c r="RC7" t="s">
        <v>4918</v>
      </c>
      <c r="RD7" s="6">
        <v>46015</v>
      </c>
      <c r="RE7">
        <v>5</v>
      </c>
      <c r="RF7">
        <v>40244868</v>
      </c>
      <c r="RG7">
        <v>102782</v>
      </c>
      <c r="RH7" t="s">
        <v>1991</v>
      </c>
      <c r="SQ7" t="s">
        <v>2199</v>
      </c>
      <c r="SR7" t="s">
        <v>1940</v>
      </c>
      <c r="SS7">
        <v>0.56072500000000003</v>
      </c>
      <c r="ST7">
        <v>1.5883999999999999E-2</v>
      </c>
      <c r="SU7" t="s">
        <v>1753</v>
      </c>
      <c r="SV7">
        <v>2025</v>
      </c>
      <c r="SW7" t="s">
        <v>2200</v>
      </c>
      <c r="SX7" s="6">
        <v>46066</v>
      </c>
      <c r="SY7">
        <v>5</v>
      </c>
      <c r="SZ7">
        <v>2177750</v>
      </c>
      <c r="TA7">
        <v>126273</v>
      </c>
      <c r="TB7" t="s">
        <v>2201</v>
      </c>
      <c r="TE7" t="s">
        <v>1960</v>
      </c>
      <c r="TF7">
        <v>-2.4245362661989844E-14</v>
      </c>
      <c r="TH7">
        <v>-2.4245362661989844E-14</v>
      </c>
      <c r="TI7" t="s">
        <v>1781</v>
      </c>
      <c r="TJ7">
        <v>2025</v>
      </c>
      <c r="TK7" t="s">
        <v>1961</v>
      </c>
      <c r="TL7" s="6">
        <v>45799</v>
      </c>
      <c r="TM7">
        <v>5</v>
      </c>
      <c r="TN7">
        <v>-2.4245362661989844E-14</v>
      </c>
      <c r="TO7">
        <v>313021</v>
      </c>
      <c r="TP7" t="s">
        <v>1962</v>
      </c>
    </row>
    <row r="8" spans="1:600" x14ac:dyDescent="0.25">
      <c r="A8" t="s">
        <v>2062</v>
      </c>
      <c r="C8">
        <v>-2.4245362661989844E-14</v>
      </c>
      <c r="D8">
        <v>-2.4245362661989844E-14</v>
      </c>
      <c r="E8" t="s">
        <v>1753</v>
      </c>
      <c r="F8">
        <v>2022</v>
      </c>
      <c r="G8" t="s">
        <v>2063</v>
      </c>
      <c r="H8" s="6">
        <v>44967</v>
      </c>
      <c r="I8">
        <v>4</v>
      </c>
      <c r="J8">
        <v>-2.4245362661989844E-14</v>
      </c>
      <c r="K8">
        <v>117782</v>
      </c>
      <c r="L8" t="s">
        <v>2064</v>
      </c>
      <c r="O8" t="s">
        <v>2143</v>
      </c>
      <c r="P8">
        <v>-2.4245362661989844E-14</v>
      </c>
      <c r="R8">
        <v>-2.4245362661989844E-14</v>
      </c>
      <c r="S8" t="s">
        <v>1788</v>
      </c>
      <c r="T8">
        <v>2024</v>
      </c>
      <c r="U8" t="s">
        <v>2144</v>
      </c>
      <c r="V8" s="6">
        <v>45628</v>
      </c>
      <c r="W8">
        <v>4</v>
      </c>
      <c r="X8">
        <v>-2.4245362661989844E-14</v>
      </c>
      <c r="Y8">
        <v>30093415</v>
      </c>
      <c r="Z8" t="s">
        <v>2145</v>
      </c>
      <c r="BI8" t="s">
        <v>2614</v>
      </c>
      <c r="BJ8" t="s">
        <v>1752</v>
      </c>
      <c r="BK8">
        <v>1.7707000000000001E-2</v>
      </c>
      <c r="BL8">
        <v>2.0760290000000001</v>
      </c>
      <c r="BM8" t="s">
        <v>1781</v>
      </c>
      <c r="BN8">
        <v>2025</v>
      </c>
      <c r="BO8" t="s">
        <v>2615</v>
      </c>
      <c r="BP8" s="6">
        <v>45819</v>
      </c>
      <c r="BQ8">
        <v>5</v>
      </c>
      <c r="BR8">
        <v>797493.33</v>
      </c>
      <c r="BS8">
        <v>58244711</v>
      </c>
      <c r="BT8" t="s">
        <v>2616</v>
      </c>
      <c r="BW8" t="s">
        <v>5591</v>
      </c>
      <c r="BX8">
        <v>3.5</v>
      </c>
      <c r="BZ8">
        <v>-2.4245362661989844E-14</v>
      </c>
      <c r="CA8" t="s">
        <v>1753</v>
      </c>
      <c r="CB8">
        <v>2024</v>
      </c>
      <c r="CC8" t="s">
        <v>5588</v>
      </c>
      <c r="CD8" s="6">
        <v>45702</v>
      </c>
      <c r="CE8">
        <v>5</v>
      </c>
      <c r="CF8">
        <v>4457259</v>
      </c>
      <c r="CG8">
        <v>7601610</v>
      </c>
      <c r="CH8" t="s">
        <v>5592</v>
      </c>
      <c r="CM8" t="s">
        <v>3916</v>
      </c>
      <c r="CO8">
        <v>-2.4245362661989844E-14</v>
      </c>
      <c r="CP8">
        <v>-2.4245362661989844E-14</v>
      </c>
      <c r="CQ8" t="s">
        <v>1788</v>
      </c>
      <c r="CR8">
        <v>2025</v>
      </c>
      <c r="CS8" t="s">
        <v>3917</v>
      </c>
      <c r="CT8" s="6">
        <v>45971</v>
      </c>
      <c r="CU8">
        <v>5</v>
      </c>
      <c r="CV8">
        <v>-2.4245362661989844E-14</v>
      </c>
      <c r="CW8">
        <v>45683508</v>
      </c>
      <c r="CX8" t="s">
        <v>3918</v>
      </c>
      <c r="EE8" t="s">
        <v>5170</v>
      </c>
      <c r="EF8">
        <v>-2.4245362661989844E-14</v>
      </c>
      <c r="EH8">
        <v>-2.4245362661989844E-14</v>
      </c>
      <c r="EI8" t="s">
        <v>1753</v>
      </c>
      <c r="EJ8">
        <v>2022</v>
      </c>
      <c r="EK8" t="s">
        <v>5165</v>
      </c>
      <c r="EL8" s="6">
        <v>44680</v>
      </c>
      <c r="EM8">
        <v>5</v>
      </c>
      <c r="EN8">
        <v>-2.4245362661989844E-14</v>
      </c>
      <c r="EO8">
        <v>1409127</v>
      </c>
      <c r="EP8" t="s">
        <v>5171</v>
      </c>
      <c r="MW8" t="s">
        <v>4118</v>
      </c>
      <c r="MX8" t="s">
        <v>1752</v>
      </c>
      <c r="MY8">
        <v>6.4280000000000004E-2</v>
      </c>
      <c r="MZ8">
        <v>0.62224800000000002</v>
      </c>
      <c r="NA8" t="s">
        <v>1774</v>
      </c>
      <c r="NB8">
        <v>2025</v>
      </c>
      <c r="NC8" t="s">
        <v>4119</v>
      </c>
      <c r="ND8" s="6">
        <v>45870</v>
      </c>
      <c r="NE8">
        <v>5</v>
      </c>
      <c r="NF8">
        <v>3187999</v>
      </c>
      <c r="NG8">
        <v>100787</v>
      </c>
      <c r="NH8" t="s">
        <v>4120</v>
      </c>
      <c r="NK8" t="s">
        <v>1791</v>
      </c>
      <c r="NL8">
        <v>-2.4245362661989844E-14</v>
      </c>
      <c r="NN8">
        <v>-2.4245362661989844E-14</v>
      </c>
      <c r="NO8" t="s">
        <v>1753</v>
      </c>
      <c r="NP8">
        <v>2025</v>
      </c>
      <c r="NQ8" t="s">
        <v>5282</v>
      </c>
      <c r="NR8" s="6">
        <v>46070</v>
      </c>
      <c r="NS8">
        <v>5</v>
      </c>
      <c r="NT8">
        <v>-2.4245362661989844E-14</v>
      </c>
      <c r="NU8">
        <v>218252</v>
      </c>
      <c r="NV8" t="s">
        <v>1793</v>
      </c>
      <c r="OA8" t="s">
        <v>2657</v>
      </c>
      <c r="OB8" t="s">
        <v>1752</v>
      </c>
      <c r="OC8">
        <v>0.17952399999999999</v>
      </c>
      <c r="OD8">
        <v>0.19370599999999999</v>
      </c>
      <c r="OE8" t="s">
        <v>1781</v>
      </c>
      <c r="OF8">
        <v>2025</v>
      </c>
      <c r="OG8" t="s">
        <v>2658</v>
      </c>
      <c r="OH8" s="6">
        <v>45785</v>
      </c>
      <c r="OI8">
        <v>5</v>
      </c>
      <c r="OJ8">
        <v>276114.59000000003</v>
      </c>
      <c r="OK8">
        <v>7303046</v>
      </c>
      <c r="OL8" t="s">
        <v>2659</v>
      </c>
      <c r="OO8" t="s">
        <v>5089</v>
      </c>
      <c r="OP8">
        <v>1.9332940000000001</v>
      </c>
      <c r="OQ8" t="s">
        <v>1752</v>
      </c>
      <c r="OR8">
        <v>46.295299999999997</v>
      </c>
      <c r="OS8" t="s">
        <v>1753</v>
      </c>
      <c r="OT8">
        <v>2024</v>
      </c>
      <c r="OU8" t="s">
        <v>5090</v>
      </c>
      <c r="OV8" s="6">
        <v>45820</v>
      </c>
      <c r="OW8">
        <v>5</v>
      </c>
      <c r="OX8">
        <v>5076113.3499999996</v>
      </c>
      <c r="OY8">
        <v>8545739</v>
      </c>
      <c r="OZ8" t="s">
        <v>5091</v>
      </c>
      <c r="QI8" t="s">
        <v>5139</v>
      </c>
      <c r="QK8">
        <v>-2.4245362661989844E-14</v>
      </c>
      <c r="QL8">
        <v>-2.4245362661989844E-14</v>
      </c>
      <c r="QM8" t="s">
        <v>1753</v>
      </c>
      <c r="QN8">
        <v>2025</v>
      </c>
      <c r="QO8" t="s">
        <v>5140</v>
      </c>
      <c r="QP8" s="6">
        <v>46083</v>
      </c>
      <c r="QQ8">
        <v>5</v>
      </c>
      <c r="QR8">
        <v>-2.4245362661989844E-14</v>
      </c>
      <c r="QS8">
        <v>8538176</v>
      </c>
      <c r="QT8" t="s">
        <v>5141</v>
      </c>
      <c r="QW8" t="s">
        <v>1900</v>
      </c>
      <c r="QX8">
        <v>11.327750999999999</v>
      </c>
      <c r="QY8" t="s">
        <v>1752</v>
      </c>
      <c r="QZ8">
        <v>2.4433E-2</v>
      </c>
      <c r="RA8" t="s">
        <v>1788</v>
      </c>
      <c r="RB8">
        <v>2025</v>
      </c>
      <c r="RC8" t="s">
        <v>4918</v>
      </c>
      <c r="RD8" s="6">
        <v>46015</v>
      </c>
      <c r="RE8">
        <v>5</v>
      </c>
      <c r="RF8">
        <v>21760950</v>
      </c>
      <c r="RG8">
        <v>100976</v>
      </c>
      <c r="RH8" t="s">
        <v>1901</v>
      </c>
      <c r="SQ8" t="s">
        <v>2202</v>
      </c>
      <c r="SR8" t="s">
        <v>1940</v>
      </c>
      <c r="SS8">
        <v>0.78817400000000004</v>
      </c>
      <c r="ST8">
        <v>1.4283000000000001E-2</v>
      </c>
      <c r="SU8" t="s">
        <v>1753</v>
      </c>
      <c r="SV8">
        <v>2025</v>
      </c>
      <c r="SW8" t="s">
        <v>2203</v>
      </c>
      <c r="SX8" s="6">
        <v>46058</v>
      </c>
      <c r="SY8">
        <v>5</v>
      </c>
      <c r="SZ8">
        <v>1958250</v>
      </c>
      <c r="TA8">
        <v>106045</v>
      </c>
      <c r="TB8" t="s">
        <v>2204</v>
      </c>
      <c r="TE8" t="s">
        <v>1963</v>
      </c>
      <c r="TF8">
        <v>-2.4245362661989844E-14</v>
      </c>
      <c r="TH8">
        <v>-2.4245362661989844E-14</v>
      </c>
      <c r="TI8" t="s">
        <v>1753</v>
      </c>
      <c r="TJ8">
        <v>2022</v>
      </c>
      <c r="TK8" t="s">
        <v>1964</v>
      </c>
      <c r="TL8" s="6">
        <v>44986</v>
      </c>
      <c r="TM8">
        <v>5</v>
      </c>
      <c r="TN8">
        <v>-2.4245362661989844E-14</v>
      </c>
      <c r="TO8">
        <v>394590</v>
      </c>
      <c r="TP8" t="s">
        <v>1965</v>
      </c>
    </row>
    <row r="9" spans="1:600" x14ac:dyDescent="0.25">
      <c r="BI9" t="s">
        <v>4097</v>
      </c>
      <c r="BJ9" t="s">
        <v>1752</v>
      </c>
      <c r="BK9">
        <v>3.4424000000000003E-2</v>
      </c>
      <c r="BL9">
        <v>1.576192</v>
      </c>
      <c r="BM9" t="s">
        <v>1781</v>
      </c>
      <c r="BN9">
        <v>2025</v>
      </c>
      <c r="BO9" t="s">
        <v>4098</v>
      </c>
      <c r="BP9" s="6">
        <v>45820</v>
      </c>
      <c r="BQ9">
        <v>5</v>
      </c>
      <c r="BR9">
        <v>605484.18000000005</v>
      </c>
      <c r="BS9">
        <v>118133</v>
      </c>
      <c r="BT9" t="s">
        <v>4099</v>
      </c>
      <c r="BW9" t="s">
        <v>1871</v>
      </c>
      <c r="BX9">
        <v>0.85990100000000003</v>
      </c>
      <c r="BY9" t="s">
        <v>1752</v>
      </c>
      <c r="BZ9">
        <v>3.039E-3</v>
      </c>
      <c r="CA9" t="s">
        <v>1774</v>
      </c>
      <c r="CB9">
        <v>2025</v>
      </c>
      <c r="CC9" t="s">
        <v>5593</v>
      </c>
      <c r="CD9" s="6">
        <v>45959</v>
      </c>
      <c r="CE9">
        <v>5</v>
      </c>
      <c r="CF9">
        <v>1066028</v>
      </c>
      <c r="CG9">
        <v>117929</v>
      </c>
      <c r="CH9" t="s">
        <v>1873</v>
      </c>
      <c r="CM9" t="s">
        <v>3183</v>
      </c>
      <c r="CO9">
        <v>-2.4245362661989844E-14</v>
      </c>
      <c r="CP9">
        <v>-2.4245362661989844E-14</v>
      </c>
      <c r="CQ9" t="s">
        <v>1753</v>
      </c>
      <c r="CR9">
        <v>2023</v>
      </c>
      <c r="CS9" t="s">
        <v>3919</v>
      </c>
      <c r="CT9" s="6">
        <v>45377</v>
      </c>
      <c r="CU9">
        <v>5</v>
      </c>
      <c r="CV9">
        <v>-2.4245362661989844E-14</v>
      </c>
      <c r="CW9">
        <v>46286147</v>
      </c>
      <c r="CX9" t="s">
        <v>3185</v>
      </c>
      <c r="EE9" t="s">
        <v>1154</v>
      </c>
      <c r="EF9">
        <v>-2.4245362661989844E-14</v>
      </c>
      <c r="EH9">
        <v>-2.4245362661989844E-14</v>
      </c>
      <c r="EI9" t="s">
        <v>1753</v>
      </c>
      <c r="EJ9">
        <v>2023</v>
      </c>
      <c r="EK9" t="s">
        <v>5169</v>
      </c>
      <c r="EL9" s="6">
        <v>45044</v>
      </c>
      <c r="EM9">
        <v>5</v>
      </c>
      <c r="EN9">
        <v>-2.4245362661989844E-14</v>
      </c>
      <c r="EO9">
        <v>348546</v>
      </c>
      <c r="EP9" t="s">
        <v>4214</v>
      </c>
      <c r="MW9" t="s">
        <v>5317</v>
      </c>
      <c r="MX9" t="s">
        <v>1752</v>
      </c>
      <c r="MY9">
        <v>0.15590599999999999</v>
      </c>
      <c r="MZ9">
        <v>0.47922999999999999</v>
      </c>
      <c r="NA9" t="s">
        <v>1774</v>
      </c>
      <c r="NB9">
        <v>2025</v>
      </c>
      <c r="NC9" t="s">
        <v>5318</v>
      </c>
      <c r="ND9" s="6">
        <v>45862</v>
      </c>
      <c r="NE9">
        <v>5</v>
      </c>
      <c r="NF9">
        <v>2711375.32</v>
      </c>
      <c r="NG9">
        <v>215856</v>
      </c>
      <c r="NH9" t="s">
        <v>5319</v>
      </c>
      <c r="NK9" t="s">
        <v>5283</v>
      </c>
      <c r="NL9">
        <v>-2.4245362661989844E-14</v>
      </c>
      <c r="NN9">
        <v>-2.4245362661989844E-14</v>
      </c>
      <c r="NO9" t="s">
        <v>1774</v>
      </c>
      <c r="NP9">
        <v>2023</v>
      </c>
      <c r="NQ9" t="s">
        <v>5284</v>
      </c>
      <c r="NR9" s="6">
        <v>45148</v>
      </c>
      <c r="NS9">
        <v>5</v>
      </c>
      <c r="NT9">
        <v>-2.4245362661989844E-14</v>
      </c>
      <c r="NU9">
        <v>24447636</v>
      </c>
      <c r="NV9" t="s">
        <v>5285</v>
      </c>
      <c r="OA9" t="s">
        <v>3221</v>
      </c>
      <c r="OB9" t="s">
        <v>1752</v>
      </c>
      <c r="OC9">
        <v>3.0905999999999999E-2</v>
      </c>
      <c r="OD9">
        <v>6.0670000000000003E-3</v>
      </c>
      <c r="OE9" t="s">
        <v>1825</v>
      </c>
      <c r="OF9">
        <v>2024</v>
      </c>
      <c r="OG9" t="s">
        <v>3222</v>
      </c>
      <c r="OH9" s="6">
        <v>45978</v>
      </c>
      <c r="OI9">
        <v>5</v>
      </c>
      <c r="OJ9">
        <v>9418.9599999999991</v>
      </c>
      <c r="OK9">
        <v>17495894</v>
      </c>
      <c r="OL9" t="s">
        <v>3223</v>
      </c>
      <c r="OO9" t="s">
        <v>1871</v>
      </c>
      <c r="OP9">
        <v>1.79253</v>
      </c>
      <c r="OQ9" t="s">
        <v>1752</v>
      </c>
      <c r="OR9">
        <v>1.3831E-2</v>
      </c>
      <c r="OS9" t="s">
        <v>1781</v>
      </c>
      <c r="OT9">
        <v>2026</v>
      </c>
      <c r="OU9" t="s">
        <v>5088</v>
      </c>
      <c r="OV9" s="6">
        <v>46027</v>
      </c>
      <c r="OW9">
        <v>5</v>
      </c>
      <c r="OX9">
        <v>5243150</v>
      </c>
      <c r="OY9">
        <v>117929</v>
      </c>
      <c r="OZ9" t="s">
        <v>1873</v>
      </c>
      <c r="QI9" t="s">
        <v>5142</v>
      </c>
      <c r="QK9">
        <v>-2.4245362661989844E-14</v>
      </c>
      <c r="QL9">
        <v>-2.4245362661989844E-14</v>
      </c>
      <c r="QM9" t="s">
        <v>1753</v>
      </c>
      <c r="QN9">
        <v>2025</v>
      </c>
      <c r="QO9" t="s">
        <v>5140</v>
      </c>
      <c r="QP9" s="6">
        <v>46083</v>
      </c>
      <c r="QQ9">
        <v>5</v>
      </c>
      <c r="QR9">
        <v>-2.4245362661989844E-14</v>
      </c>
      <c r="QS9">
        <v>19506679</v>
      </c>
      <c r="QT9" t="s">
        <v>5143</v>
      </c>
      <c r="QW9" t="s">
        <v>4919</v>
      </c>
      <c r="QX9">
        <v>10.5</v>
      </c>
      <c r="QY9" t="s">
        <v>1752</v>
      </c>
      <c r="QZ9">
        <v>2.9909270000000001</v>
      </c>
      <c r="RA9" t="s">
        <v>1788</v>
      </c>
      <c r="RB9">
        <v>2025</v>
      </c>
      <c r="RC9" t="s">
        <v>4918</v>
      </c>
      <c r="RD9" s="6">
        <v>46015</v>
      </c>
      <c r="RE9">
        <v>5</v>
      </c>
      <c r="RF9">
        <v>20170816</v>
      </c>
      <c r="RG9">
        <v>104597</v>
      </c>
      <c r="RH9" t="s">
        <v>4920</v>
      </c>
      <c r="SQ9" t="s">
        <v>2205</v>
      </c>
      <c r="SR9" t="s">
        <v>1940</v>
      </c>
      <c r="SS9">
        <v>0.777281</v>
      </c>
      <c r="ST9">
        <v>1.0723999999999999E-2</v>
      </c>
      <c r="SU9" t="s">
        <v>1753</v>
      </c>
      <c r="SV9">
        <v>2024</v>
      </c>
      <c r="SW9" t="s">
        <v>2206</v>
      </c>
      <c r="SX9" s="6">
        <v>45694</v>
      </c>
      <c r="SY9">
        <v>5</v>
      </c>
      <c r="SZ9">
        <v>1463750</v>
      </c>
      <c r="TA9">
        <v>106543</v>
      </c>
      <c r="TB9" t="s">
        <v>2207</v>
      </c>
      <c r="TE9" t="s">
        <v>1966</v>
      </c>
      <c r="TF9">
        <v>-2.4245362661989844E-14</v>
      </c>
      <c r="TH9">
        <v>-2.4245362661989844E-14</v>
      </c>
      <c r="TI9" t="s">
        <v>1753</v>
      </c>
      <c r="TJ9">
        <v>2023</v>
      </c>
      <c r="TK9" t="s">
        <v>1967</v>
      </c>
      <c r="TL9" s="6">
        <v>45175</v>
      </c>
      <c r="TM9">
        <v>5</v>
      </c>
      <c r="TN9">
        <v>-2.4245362661989844E-14</v>
      </c>
      <c r="TO9">
        <v>100555</v>
      </c>
      <c r="TP9" t="s">
        <v>1968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149</v>
      </c>
      <c r="AE2" s="3" t="s">
        <v>150</v>
      </c>
      <c r="BI2" s="3" t="s">
        <v>151</v>
      </c>
      <c r="CM2" s="3" t="s">
        <v>152</v>
      </c>
      <c r="DQ2" s="3" t="s">
        <v>117</v>
      </c>
      <c r="EU2" s="3" t="s">
        <v>153</v>
      </c>
      <c r="FY2" s="3" t="s">
        <v>154</v>
      </c>
      <c r="HC2" s="3" t="s">
        <v>86</v>
      </c>
      <c r="IG2" s="3" t="s">
        <v>126</v>
      </c>
      <c r="JK2" s="3" t="s">
        <v>155</v>
      </c>
      <c r="KO2" s="3" t="s">
        <v>156</v>
      </c>
      <c r="LS2" s="3" t="s">
        <v>157</v>
      </c>
      <c r="MW2" s="3" t="s">
        <v>158</v>
      </c>
      <c r="OA2" s="3" t="s">
        <v>37</v>
      </c>
      <c r="PE2" s="3" t="s">
        <v>159</v>
      </c>
      <c r="QI2" s="3" t="s">
        <v>160</v>
      </c>
      <c r="RM2" s="3" t="s">
        <v>161</v>
      </c>
      <c r="SQ2" s="3" t="s">
        <v>162</v>
      </c>
      <c r="TU2" s="3" t="s">
        <v>163</v>
      </c>
      <c r="UY2" s="3" t="s">
        <v>164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_xll.BDS("MITL US Equity","SUPPLY_CHAIN_SUPPLIERS_ALL_DATA","cols=12;rows=5")</f>
        <v>2314 TT Equity</v>
      </c>
      <c r="C5">
        <v>-2.4245362661989844E-14</v>
      </c>
      <c r="D5">
        <v>-2.4245362661989844E-14</v>
      </c>
      <c r="E5" t="s">
        <v>1753</v>
      </c>
      <c r="F5">
        <v>2022</v>
      </c>
      <c r="G5" t="s">
        <v>5659</v>
      </c>
      <c r="H5" s="6">
        <v>45072</v>
      </c>
      <c r="I5">
        <v>5</v>
      </c>
      <c r="J5">
        <v>-2.4245362661989844E-14</v>
      </c>
      <c r="K5">
        <v>117787</v>
      </c>
      <c r="L5" t="s">
        <v>5660</v>
      </c>
      <c r="O5" t="str">
        <f>_xll.BDS("MITL US Equity","SUPPLY_CHAIN_CUSTOMERS_ALL_DATA","cols=12;rows=5")</f>
        <v>4509187Z IM Equity</v>
      </c>
      <c r="P5">
        <v>-2.4245362661989844E-14</v>
      </c>
      <c r="R5">
        <v>-2.4245362661989844E-14</v>
      </c>
      <c r="S5" t="s">
        <v>1753</v>
      </c>
      <c r="T5">
        <v>2025</v>
      </c>
      <c r="U5" t="s">
        <v>5639</v>
      </c>
      <c r="V5" s="6">
        <v>45699</v>
      </c>
      <c r="W5">
        <v>5</v>
      </c>
      <c r="X5">
        <v>-2.4245362661989844E-14</v>
      </c>
      <c r="Y5">
        <v>17555557</v>
      </c>
      <c r="Z5" t="s">
        <v>5640</v>
      </c>
      <c r="AE5" t="str">
        <f>_xll.BDS("PNR US Equity","SUPPLY_CHAIN_SUPPLIERS_ALL_DATA","cols=12;rows=5")</f>
        <v>CTS US Equity</v>
      </c>
      <c r="AF5" t="s">
        <v>1752</v>
      </c>
      <c r="AG5">
        <v>0.174625</v>
      </c>
      <c r="AH5">
        <v>3.6176E-2</v>
      </c>
      <c r="AI5" t="s">
        <v>1781</v>
      </c>
      <c r="AJ5">
        <v>2025</v>
      </c>
      <c r="AK5" t="s">
        <v>3152</v>
      </c>
      <c r="AL5" s="6">
        <v>45787</v>
      </c>
      <c r="AM5">
        <v>5</v>
      </c>
      <c r="AN5">
        <v>219624</v>
      </c>
      <c r="AO5">
        <v>100416</v>
      </c>
      <c r="AP5" t="s">
        <v>3153</v>
      </c>
      <c r="AS5" t="str">
        <f>_xll.BDS("PNR US Equity","SUPPLY_CHAIN_CUSTOMERS_ALL_DATA","cols=12;rows=5")</f>
        <v>POOL US Equity</v>
      </c>
      <c r="AT5">
        <v>14.749428999999999</v>
      </c>
      <c r="AU5" t="s">
        <v>1752</v>
      </c>
      <c r="AV5">
        <v>14.750178999999999</v>
      </c>
      <c r="AW5" t="s">
        <v>1788</v>
      </c>
      <c r="AX5">
        <v>2025</v>
      </c>
      <c r="AY5" t="s">
        <v>5615</v>
      </c>
      <c r="AZ5" s="6">
        <v>46008</v>
      </c>
      <c r="BA5">
        <v>5</v>
      </c>
      <c r="BB5">
        <v>150739168</v>
      </c>
      <c r="BC5">
        <v>171077</v>
      </c>
      <c r="BD5" t="s">
        <v>4376</v>
      </c>
      <c r="BI5" t="str">
        <f>_xll.BDS("MFE US Equity","SUPPLY_CHAIN_SUPPLIERS_ALL_DATA","cols=12;rows=2")</f>
        <v>EMBASSY IN Equity</v>
      </c>
      <c r="BK5">
        <v>-2.4245362661989844E-14</v>
      </c>
      <c r="BL5">
        <v>-2.4245362661989844E-14</v>
      </c>
      <c r="BM5" t="s">
        <v>1753</v>
      </c>
      <c r="BN5">
        <v>2022</v>
      </c>
      <c r="BO5" t="s">
        <v>2382</v>
      </c>
      <c r="BP5" s="6">
        <v>44698</v>
      </c>
      <c r="BQ5">
        <v>2</v>
      </c>
      <c r="BR5">
        <v>-2.4245362661989844E-14</v>
      </c>
      <c r="BS5">
        <v>63052670</v>
      </c>
      <c r="BT5" t="s">
        <v>2383</v>
      </c>
      <c r="BW5" t="str">
        <f>_xll.BDS("MFE US Equity","SUPPLY_CHAIN_CUSTOMERS_ALL_DATA","cols=12;rows=5")</f>
        <v>2760 JP Equity</v>
      </c>
      <c r="BX5">
        <v>-2.4245362661989844E-14</v>
      </c>
      <c r="BZ5">
        <v>-2.4245362661989844E-14</v>
      </c>
      <c r="CA5" t="s">
        <v>1774</v>
      </c>
      <c r="CB5">
        <v>2023</v>
      </c>
      <c r="CC5" t="s">
        <v>1775</v>
      </c>
      <c r="CD5" s="6">
        <v>44865</v>
      </c>
      <c r="CE5">
        <v>5</v>
      </c>
      <c r="CF5">
        <v>-2.4245362661989844E-14</v>
      </c>
      <c r="CG5">
        <v>955442</v>
      </c>
      <c r="CH5" t="s">
        <v>1776</v>
      </c>
      <c r="CM5" t="str">
        <f>_xll.BDS("PRK US Equity","SUPPLY_CHAIN_SUPPLIERS_ALL_DATA","cols=12;rows=1")</f>
        <v>WK US Equity</v>
      </c>
      <c r="CO5">
        <v>-2.4245362661989844E-14</v>
      </c>
      <c r="CP5">
        <v>-2.4245362661989844E-14</v>
      </c>
      <c r="CQ5" t="s">
        <v>1753</v>
      </c>
      <c r="CR5">
        <v>2025</v>
      </c>
      <c r="CS5" t="s">
        <v>2428</v>
      </c>
      <c r="CT5" s="6">
        <v>46072</v>
      </c>
      <c r="CU5">
        <v>1</v>
      </c>
      <c r="CV5">
        <v>-2.4245362661989844E-14</v>
      </c>
      <c r="CW5">
        <v>42839691</v>
      </c>
      <c r="CX5" t="s">
        <v>2429</v>
      </c>
      <c r="DA5" t="str">
        <f>_xll.BDS("PRK US Equity","SUPPLY_CHAIN_CUSTOMERS_ALL_DATA")</f>
        <v>#N/A N/A</v>
      </c>
      <c r="DQ5" t="str">
        <f>_xll.BDS("FNB US Equity","SUPPLY_CHAIN_SUPPLIERS_ALL_DATA","cols=12;rows=1")</f>
        <v>HY US Equity</v>
      </c>
      <c r="DS5">
        <v>-2.4245362661989844E-14</v>
      </c>
      <c r="DT5">
        <v>-2.4245362661989844E-14</v>
      </c>
      <c r="DU5" t="s">
        <v>1753</v>
      </c>
      <c r="DV5">
        <v>2024</v>
      </c>
      <c r="DW5" t="s">
        <v>4822</v>
      </c>
      <c r="DX5" s="6">
        <v>45427</v>
      </c>
      <c r="DY5">
        <v>1</v>
      </c>
      <c r="DZ5">
        <v>-2.4245362661989844E-14</v>
      </c>
      <c r="EA5">
        <v>159242</v>
      </c>
      <c r="EB5" t="s">
        <v>4823</v>
      </c>
      <c r="EE5" t="str">
        <f>_xll.BDS("FNB US Equity","SUPPLY_CHAIN_CUSTOMERS_ALL_DATA")</f>
        <v>#N/A N/A</v>
      </c>
      <c r="EU5" t="str">
        <f>_xll.BDS("KFRC US Equity","SUPPLY_CHAIN_SUPPLIERS_ALL_DATA","cols=12;rows=1")</f>
        <v>DHX US Equity</v>
      </c>
      <c r="EW5">
        <v>-2.4245362661989844E-14</v>
      </c>
      <c r="EX5">
        <v>-2.4245362661989844E-14</v>
      </c>
      <c r="EY5" t="s">
        <v>1753</v>
      </c>
      <c r="EZ5">
        <v>2025</v>
      </c>
      <c r="FA5" t="s">
        <v>4878</v>
      </c>
      <c r="FB5" s="6">
        <v>46065</v>
      </c>
      <c r="FC5">
        <v>1</v>
      </c>
      <c r="FD5">
        <v>-2.4245362661989844E-14</v>
      </c>
      <c r="FE5">
        <v>11213545</v>
      </c>
      <c r="FF5" t="s">
        <v>4879</v>
      </c>
      <c r="FI5" t="str">
        <f>_xll.BDS("KFRC US Equity","SUPPLY_CHAIN_CUSTOMERS_ALL_DATA","cols=12;rows=3")</f>
        <v>079960 KS Equity</v>
      </c>
      <c r="FJ5">
        <v>-2.4245362661989844E-14</v>
      </c>
      <c r="FL5">
        <v>-2.4245362661989844E-14</v>
      </c>
      <c r="FM5" t="s">
        <v>1761</v>
      </c>
      <c r="FN5">
        <v>2022</v>
      </c>
      <c r="FO5" t="s">
        <v>4710</v>
      </c>
      <c r="FP5" s="6">
        <v>44785</v>
      </c>
      <c r="FQ5">
        <v>3</v>
      </c>
      <c r="FR5">
        <v>-2.4245362661989844E-14</v>
      </c>
      <c r="FS5">
        <v>9330627</v>
      </c>
      <c r="FT5" t="s">
        <v>4711</v>
      </c>
      <c r="FY5" t="str">
        <f>_xll.BDS("KRNY US Equity","SUPPLY_CHAIN_SUPPLIERS_ALL_DATA","cols=12;rows=1")</f>
        <v>FISV US Equity</v>
      </c>
      <c r="GA5">
        <v>-2.4245362661989844E-14</v>
      </c>
      <c r="GB5">
        <v>-2.4245362661989844E-14</v>
      </c>
      <c r="GC5" t="s">
        <v>1753</v>
      </c>
      <c r="GD5">
        <v>2022</v>
      </c>
      <c r="GE5" t="s">
        <v>3239</v>
      </c>
      <c r="GF5" s="6">
        <v>44671</v>
      </c>
      <c r="GG5">
        <v>1</v>
      </c>
      <c r="GH5">
        <v>-2.4245362661989844E-14</v>
      </c>
      <c r="GI5">
        <v>103882</v>
      </c>
      <c r="GJ5" t="s">
        <v>2154</v>
      </c>
      <c r="GM5" t="str">
        <f>_xll.BDS("KRNY US Equity","SUPPLY_CHAIN_CUSTOMERS_ALL_DATA")</f>
        <v>#N/A N/A</v>
      </c>
      <c r="HC5" t="str">
        <f>_xll.BDS("TFC US Equity","SUPPLY_CHAIN_SUPPLIERS_ALL_DATA","cols=12;rows=5")</f>
        <v>ADBE US Equity</v>
      </c>
      <c r="HD5" t="s">
        <v>1940</v>
      </c>
      <c r="HE5">
        <v>9.3438999999999994E-2</v>
      </c>
      <c r="HF5">
        <v>0.18883900000000001</v>
      </c>
      <c r="HG5" t="s">
        <v>1774</v>
      </c>
      <c r="HH5">
        <v>2025</v>
      </c>
      <c r="HI5" t="s">
        <v>2126</v>
      </c>
      <c r="HJ5" s="6">
        <v>45838</v>
      </c>
      <c r="HK5">
        <v>5</v>
      </c>
      <c r="HL5">
        <v>5487672</v>
      </c>
      <c r="HM5">
        <v>101689</v>
      </c>
      <c r="HN5" t="s">
        <v>2127</v>
      </c>
      <c r="HQ5" t="str">
        <f>_xll.BDS("TFC US Equity","SUPPLY_CHAIN_CUSTOMERS_ALL_DATA","cols=12;rows=1")</f>
        <v>RENG IN Equity</v>
      </c>
      <c r="HR5">
        <v>-2.4245362661989844E-14</v>
      </c>
      <c r="HT5">
        <v>-2.4245362661989844E-14</v>
      </c>
      <c r="HU5" t="s">
        <v>1753</v>
      </c>
      <c r="HV5">
        <v>2025</v>
      </c>
      <c r="HW5" t="s">
        <v>1756</v>
      </c>
      <c r="HX5" s="6">
        <v>45901</v>
      </c>
      <c r="HY5">
        <v>1</v>
      </c>
      <c r="HZ5">
        <v>-2.4245362661989844E-14</v>
      </c>
      <c r="IA5">
        <v>182734</v>
      </c>
      <c r="IB5" t="s">
        <v>1757</v>
      </c>
      <c r="IG5" t="str">
        <f>_xll.BDS("WFC US Equity","SUPPLY_CHAIN_SUPPLIERS_ALL_DATA","cols=12;rows=5")</f>
        <v>ADBE US Equity</v>
      </c>
      <c r="IH5" t="s">
        <v>1940</v>
      </c>
      <c r="II5">
        <v>0.357321</v>
      </c>
      <c r="IJ5">
        <v>0.15107200000000001</v>
      </c>
      <c r="IK5" t="s">
        <v>1774</v>
      </c>
      <c r="IL5">
        <v>2025</v>
      </c>
      <c r="IM5" t="s">
        <v>2126</v>
      </c>
      <c r="IN5" s="6">
        <v>45838</v>
      </c>
      <c r="IO5">
        <v>5</v>
      </c>
      <c r="IP5">
        <v>20985462</v>
      </c>
      <c r="IQ5">
        <v>101689</v>
      </c>
      <c r="IR5" t="s">
        <v>2127</v>
      </c>
      <c r="IU5" t="str">
        <f>_xll.BDS("WFC US Equity","SUPPLY_CHAIN_CUSTOMERS_ALL_DATA","cols=12;rows=5")</f>
        <v>CDW US Equity</v>
      </c>
      <c r="IV5">
        <v>4.1894000000000001E-2</v>
      </c>
      <c r="IW5" t="s">
        <v>1752</v>
      </c>
      <c r="IX5">
        <v>0.304456</v>
      </c>
      <c r="IY5" t="s">
        <v>1781</v>
      </c>
      <c r="IZ5">
        <v>2025</v>
      </c>
      <c r="JA5" t="s">
        <v>1955</v>
      </c>
      <c r="JB5" s="6">
        <v>45820</v>
      </c>
      <c r="JC5">
        <v>5</v>
      </c>
      <c r="JD5">
        <v>12412062</v>
      </c>
      <c r="JE5">
        <v>12129192</v>
      </c>
      <c r="JF5" t="s">
        <v>1956</v>
      </c>
      <c r="JK5" t="str">
        <f>_xll.BDS("COV US Equity","SUPPLY_CHAIN_SUPPLIERS_ALL_DATA")</f>
        <v>#N/A N/A</v>
      </c>
      <c r="JY5" t="str">
        <f>_xll.BDS("COV US Equity","SUPPLY_CHAIN_CUSTOMERS_ALL_DATA")</f>
        <v>#N/A N/A</v>
      </c>
      <c r="KO5" t="str">
        <f>_xll.BDS("2674129Q US Equity","SUPPLY_CHAIN_SUPPLIERS_ALL_DATA")</f>
        <v>#N/A N/A</v>
      </c>
      <c r="LC5" t="str">
        <f>_xll.BDS("2674129Q US Equity","SUPPLY_CHAIN_CUSTOMERS_ALL_DATA")</f>
        <v>#N/A N/A</v>
      </c>
      <c r="LS5" t="str">
        <f>_xll.BDS("WAL US Equity","SUPPLY_CHAIN_SUPPLIERS_ALL_DATA","cols=12;rows=1")</f>
        <v>CIO US Equity</v>
      </c>
      <c r="LU5">
        <v>-2.4245362661989844E-14</v>
      </c>
      <c r="LV5">
        <v>-2.4245362661989844E-14</v>
      </c>
      <c r="LW5" t="s">
        <v>1781</v>
      </c>
      <c r="LX5">
        <v>2025</v>
      </c>
      <c r="LY5" t="s">
        <v>5594</v>
      </c>
      <c r="LZ5" s="6">
        <v>45779</v>
      </c>
      <c r="MA5">
        <v>1</v>
      </c>
      <c r="MB5">
        <v>-2.4245362661989844E-14</v>
      </c>
      <c r="MC5">
        <v>38586704</v>
      </c>
      <c r="MD5" t="s">
        <v>5595</v>
      </c>
      <c r="MG5" t="str">
        <f>_xll.BDS("WAL US Equity","SUPPLY_CHAIN_CUSTOMERS_ALL_DATA")</f>
        <v>#N/A N/A</v>
      </c>
      <c r="MW5" t="str">
        <f>_xll.BDS("612939Q US Equity","SUPPLY_CHAIN_SUPPLIERS_ALL_DATA")</f>
        <v>#N/A N/A</v>
      </c>
      <c r="NK5" t="str">
        <f>_xll.BDS("612939Q US Equity","SUPPLY_CHAIN_CUSTOMERS_ALL_DATA")</f>
        <v>#N/A N/A</v>
      </c>
      <c r="OA5" t="str">
        <f>_xll.BDS("nan Equity","SUPPLY_CHAIN_SUPPLIERS_ALL_DATA")</f>
        <v>#N/A N/A</v>
      </c>
      <c r="OO5" t="str">
        <f>_xll.BDS("nan Equity","SUPPLY_CHAIN_CUSTOMERS_ALL_DATA")</f>
        <v>#N/A N/A</v>
      </c>
      <c r="PE5" t="str">
        <f>_xll.BDS("OLN US Equity","SUPPLY_CHAIN_SUPPLIERS_ALL_DATA","cols=12;rows=5")</f>
        <v>CNR CN Equity</v>
      </c>
      <c r="PF5" t="s">
        <v>1752</v>
      </c>
      <c r="PG5">
        <v>0.10552499999999999</v>
      </c>
      <c r="PH5">
        <v>0.216527</v>
      </c>
      <c r="PI5" t="s">
        <v>1781</v>
      </c>
      <c r="PJ5">
        <v>2025</v>
      </c>
      <c r="PK5" t="s">
        <v>2070</v>
      </c>
      <c r="PL5" s="6">
        <v>45849</v>
      </c>
      <c r="PM5">
        <v>5</v>
      </c>
      <c r="PN5">
        <v>3238131.22</v>
      </c>
      <c r="PO5">
        <v>179551</v>
      </c>
      <c r="PP5" t="s">
        <v>2071</v>
      </c>
      <c r="PS5" t="str">
        <f>_xll.BDS("OLN US Equity","SUPPLY_CHAIN_CUSTOMERS_ALL_DATA","cols=12;rows=5")</f>
        <v>3352Z US Equity</v>
      </c>
      <c r="PT5">
        <v>11</v>
      </c>
      <c r="PV5">
        <v>-2.4245362661989844E-14</v>
      </c>
      <c r="PW5" t="s">
        <v>1753</v>
      </c>
      <c r="PX5">
        <v>2024</v>
      </c>
      <c r="PY5" t="s">
        <v>2019</v>
      </c>
      <c r="PZ5" s="6">
        <v>45708</v>
      </c>
      <c r="QA5">
        <v>5</v>
      </c>
      <c r="QB5">
        <v>179852752</v>
      </c>
      <c r="QC5">
        <v>218252</v>
      </c>
      <c r="QD5" t="s">
        <v>1793</v>
      </c>
      <c r="QI5" t="str">
        <f>_xll.BDS("1822785D US Equity","SUPPLY_CHAIN_SUPPLIERS_ALL_DATA")</f>
        <v>#N/A N/A</v>
      </c>
      <c r="QW5" t="str">
        <f>_xll.BDS("1822785D US Equity","SUPPLY_CHAIN_CUSTOMERS_ALL_DATA")</f>
        <v>#N/A N/A</v>
      </c>
      <c r="RM5" t="str">
        <f>_xll.BDS("MSCC US Equity","SUPPLY_CHAIN_SUPPLIERS_ALL_DATA","cols=12;rows=1")</f>
        <v>FE US Equity</v>
      </c>
      <c r="RO5">
        <v>-2.4245362661989844E-14</v>
      </c>
      <c r="RP5">
        <v>-2.4245362661989844E-14</v>
      </c>
      <c r="RQ5" t="s">
        <v>1753</v>
      </c>
      <c r="RR5">
        <v>2021</v>
      </c>
      <c r="RS5" t="s">
        <v>2222</v>
      </c>
      <c r="RT5" s="6">
        <v>44693</v>
      </c>
      <c r="RU5">
        <v>1</v>
      </c>
      <c r="RV5">
        <v>-2.4245362661989844E-14</v>
      </c>
      <c r="RW5">
        <v>302916</v>
      </c>
      <c r="RX5" t="s">
        <v>2223</v>
      </c>
      <c r="SA5" t="str">
        <f>_xll.BDS("MSCC US Equity","SUPPLY_CHAIN_CUSTOMERS_ALL_DATA")</f>
        <v>#N/A N/A</v>
      </c>
      <c r="SQ5" t="str">
        <f>_xll.BDS("RBN US Equity","SUPPLY_CHAIN_SUPPLIERS_ALL_DATA")</f>
        <v>#N/A N/A</v>
      </c>
      <c r="TE5" t="str">
        <f>_xll.BDS("RBN US Equity","SUPPLY_CHAIN_CUSTOMERS_ALL_DATA")</f>
        <v>#N/A N/A</v>
      </c>
      <c r="TU5" t="str">
        <f>_xll.BDS("PH US Equity","SUPPLY_CHAIN_SUPPLIERS_ALL_DATA","cols=12;rows=5")</f>
        <v>RBC US Equity</v>
      </c>
      <c r="TV5" t="s">
        <v>1752</v>
      </c>
      <c r="TW5">
        <v>0.98676200000000003</v>
      </c>
      <c r="TX5">
        <v>0.13495099999999999</v>
      </c>
      <c r="TY5" t="s">
        <v>1825</v>
      </c>
      <c r="TZ5">
        <v>2025</v>
      </c>
      <c r="UA5" t="s">
        <v>4048</v>
      </c>
      <c r="UB5" s="6">
        <v>45797</v>
      </c>
      <c r="UC5">
        <v>5</v>
      </c>
      <c r="UD5">
        <v>4319057</v>
      </c>
      <c r="UE5">
        <v>9777162</v>
      </c>
      <c r="UF5" t="s">
        <v>4049</v>
      </c>
      <c r="UI5" t="str">
        <f>_xll.BDS("PH US Equity","SUPPLY_CHAIN_CUSTOMERS_ALL_DATA","cols=12;rows=5")</f>
        <v>BA US Equity</v>
      </c>
      <c r="UJ5">
        <v>3.9296899999999999</v>
      </c>
      <c r="UK5" t="s">
        <v>1752</v>
      </c>
      <c r="UL5">
        <v>0.95998300000000003</v>
      </c>
      <c r="UM5" t="s">
        <v>1825</v>
      </c>
      <c r="UN5">
        <v>2025</v>
      </c>
      <c r="UO5" t="s">
        <v>3031</v>
      </c>
      <c r="UP5" s="6">
        <v>45894</v>
      </c>
      <c r="UQ5">
        <v>5</v>
      </c>
      <c r="UR5">
        <v>195010864</v>
      </c>
      <c r="US5">
        <v>100211</v>
      </c>
      <c r="UT5" t="s">
        <v>3368</v>
      </c>
      <c r="UY5" t="str">
        <f>_xll.BDS("CSL US Equity","SUPPLY_CHAIN_SUPPLIERS_ALL_DATA","cols=12;rows=5")</f>
        <v>PTC US Equity</v>
      </c>
      <c r="UZ5" t="s">
        <v>1752</v>
      </c>
      <c r="VA5">
        <v>0.125775</v>
      </c>
      <c r="VB5">
        <v>0.112715</v>
      </c>
      <c r="VC5" t="s">
        <v>1774</v>
      </c>
      <c r="VD5">
        <v>2025</v>
      </c>
      <c r="VE5" t="s">
        <v>2956</v>
      </c>
      <c r="VF5" s="6">
        <v>45833</v>
      </c>
      <c r="VG5">
        <v>5</v>
      </c>
      <c r="VH5">
        <v>800389</v>
      </c>
      <c r="VI5">
        <v>106173</v>
      </c>
      <c r="VJ5" t="s">
        <v>2957</v>
      </c>
      <c r="VM5" t="str">
        <f>_xll.BDS("CSL US Equity","SUPPLY_CHAIN_CUSTOMERS_ALL_DATA","cols=12;rows=5")</f>
        <v>QXO US Equity</v>
      </c>
      <c r="VN5">
        <v>16.700001</v>
      </c>
      <c r="VO5" t="s">
        <v>1752</v>
      </c>
      <c r="VP5">
        <v>23.196376999999998</v>
      </c>
      <c r="VQ5" t="s">
        <v>1753</v>
      </c>
      <c r="VR5">
        <v>2025</v>
      </c>
      <c r="VS5" t="s">
        <v>5320</v>
      </c>
      <c r="VT5" s="6">
        <v>46066</v>
      </c>
      <c r="VU5">
        <v>5</v>
      </c>
      <c r="VV5">
        <v>209580832</v>
      </c>
      <c r="VW5">
        <v>8143531</v>
      </c>
      <c r="VX5" t="s">
        <v>5321</v>
      </c>
    </row>
    <row r="6" spans="1:600" x14ac:dyDescent="0.25">
      <c r="A6" t="s">
        <v>5661</v>
      </c>
      <c r="C6">
        <v>-2.4245362661989844E-14</v>
      </c>
      <c r="D6">
        <v>-2.4245362661989844E-14</v>
      </c>
      <c r="E6" t="s">
        <v>1781</v>
      </c>
      <c r="F6">
        <v>2024</v>
      </c>
      <c r="G6" t="s">
        <v>5662</v>
      </c>
      <c r="H6" s="6">
        <v>45448</v>
      </c>
      <c r="I6">
        <v>5</v>
      </c>
      <c r="J6">
        <v>-2.4245362661989844E-14</v>
      </c>
      <c r="K6">
        <v>26653335</v>
      </c>
      <c r="L6" t="s">
        <v>5663</v>
      </c>
      <c r="O6" t="s">
        <v>1547</v>
      </c>
      <c r="P6">
        <v>-2.4245362661989844E-14</v>
      </c>
      <c r="R6">
        <v>-2.4245362661989844E-14</v>
      </c>
      <c r="S6" t="s">
        <v>1753</v>
      </c>
      <c r="T6">
        <v>2022</v>
      </c>
      <c r="U6" t="s">
        <v>5641</v>
      </c>
      <c r="V6" s="6">
        <v>44881</v>
      </c>
      <c r="W6">
        <v>5</v>
      </c>
      <c r="X6">
        <v>-2.4245362661989844E-14</v>
      </c>
      <c r="Y6">
        <v>100115</v>
      </c>
      <c r="Z6" t="s">
        <v>1922</v>
      </c>
      <c r="AE6" t="s">
        <v>3154</v>
      </c>
      <c r="AG6">
        <v>-2.4245362661989844E-14</v>
      </c>
      <c r="AH6">
        <v>-2.4245362661989844E-14</v>
      </c>
      <c r="AI6" t="s">
        <v>1788</v>
      </c>
      <c r="AJ6">
        <v>2025</v>
      </c>
      <c r="AK6" t="s">
        <v>3155</v>
      </c>
      <c r="AL6" s="6">
        <v>45995</v>
      </c>
      <c r="AM6">
        <v>5</v>
      </c>
      <c r="AN6">
        <v>-2.4245362661989844E-14</v>
      </c>
      <c r="AO6">
        <v>171042</v>
      </c>
      <c r="AP6" t="s">
        <v>3156</v>
      </c>
      <c r="AS6" t="s">
        <v>1932</v>
      </c>
      <c r="AT6">
        <v>7.985652</v>
      </c>
      <c r="AU6" t="s">
        <v>1752</v>
      </c>
      <c r="AV6">
        <v>0.296377</v>
      </c>
      <c r="AW6" t="s">
        <v>1788</v>
      </c>
      <c r="AX6">
        <v>2025</v>
      </c>
      <c r="AY6" t="s">
        <v>5615</v>
      </c>
      <c r="AZ6" s="6">
        <v>46008</v>
      </c>
      <c r="BA6">
        <v>5</v>
      </c>
      <c r="BB6">
        <v>81613360</v>
      </c>
      <c r="BC6">
        <v>100743</v>
      </c>
      <c r="BD6" t="s">
        <v>1934</v>
      </c>
      <c r="BI6" t="s">
        <v>2384</v>
      </c>
      <c r="BK6">
        <v>-2.4245362661989844E-14</v>
      </c>
      <c r="BL6">
        <v>-2.4245362661989844E-14</v>
      </c>
      <c r="BM6" t="s">
        <v>1753</v>
      </c>
      <c r="BN6">
        <v>2022</v>
      </c>
      <c r="BO6" t="s">
        <v>2385</v>
      </c>
      <c r="BP6" s="6">
        <v>44883</v>
      </c>
      <c r="BQ6">
        <v>2</v>
      </c>
      <c r="BR6">
        <v>-2.4245362661989844E-14</v>
      </c>
      <c r="BS6">
        <v>68965235</v>
      </c>
      <c r="BT6" t="s">
        <v>2386</v>
      </c>
      <c r="BW6" t="s">
        <v>1777</v>
      </c>
      <c r="BX6">
        <v>-2.4245362661989844E-14</v>
      </c>
      <c r="BZ6">
        <v>-2.4245362661989844E-14</v>
      </c>
      <c r="CA6" t="s">
        <v>1753</v>
      </c>
      <c r="CB6">
        <v>2025</v>
      </c>
      <c r="CC6" t="s">
        <v>1778</v>
      </c>
      <c r="CD6" s="6">
        <v>45881</v>
      </c>
      <c r="CE6">
        <v>5</v>
      </c>
      <c r="CF6">
        <v>-2.4245362661989844E-14</v>
      </c>
      <c r="CG6">
        <v>386756</v>
      </c>
      <c r="CH6" t="s">
        <v>1779</v>
      </c>
      <c r="FI6" t="s">
        <v>1791</v>
      </c>
      <c r="FJ6">
        <v>-2.4245362661989844E-14</v>
      </c>
      <c r="FL6">
        <v>-2.4245362661989844E-14</v>
      </c>
      <c r="FM6" t="s">
        <v>1753</v>
      </c>
      <c r="FN6">
        <v>2025</v>
      </c>
      <c r="FO6" t="s">
        <v>4712</v>
      </c>
      <c r="FP6" s="6">
        <v>46073</v>
      </c>
      <c r="FQ6">
        <v>3</v>
      </c>
      <c r="FR6">
        <v>-2.4245362661989844E-14</v>
      </c>
      <c r="FS6">
        <v>218252</v>
      </c>
      <c r="FT6" t="s">
        <v>1793</v>
      </c>
      <c r="HC6" t="s">
        <v>2128</v>
      </c>
      <c r="HD6" t="s">
        <v>1940</v>
      </c>
      <c r="HE6">
        <v>1.151538</v>
      </c>
      <c r="HF6">
        <v>7.7191999999999997E-2</v>
      </c>
      <c r="HG6" t="s">
        <v>1753</v>
      </c>
      <c r="HH6">
        <v>2024</v>
      </c>
      <c r="HI6" t="s">
        <v>2129</v>
      </c>
      <c r="HJ6" s="6">
        <v>45716</v>
      </c>
      <c r="HK6">
        <v>5</v>
      </c>
      <c r="HL6">
        <v>2317499</v>
      </c>
      <c r="HM6">
        <v>35300053</v>
      </c>
      <c r="HN6" t="s">
        <v>2130</v>
      </c>
      <c r="IG6" t="s">
        <v>1787</v>
      </c>
      <c r="IH6" t="s">
        <v>1940</v>
      </c>
      <c r="II6">
        <v>5.2993949999999996</v>
      </c>
      <c r="IJ6">
        <v>7.1481000000000003E-2</v>
      </c>
      <c r="IK6" t="s">
        <v>1781</v>
      </c>
      <c r="IL6">
        <v>2026</v>
      </c>
      <c r="IM6" t="s">
        <v>2131</v>
      </c>
      <c r="IN6" s="6">
        <v>45898</v>
      </c>
      <c r="IO6">
        <v>5</v>
      </c>
      <c r="IP6">
        <v>9563900.9100000001</v>
      </c>
      <c r="IQ6">
        <v>178651</v>
      </c>
      <c r="IR6" t="s">
        <v>1790</v>
      </c>
      <c r="IU6" t="s">
        <v>1957</v>
      </c>
      <c r="IV6">
        <v>-2.4245362661989844E-14</v>
      </c>
      <c r="IX6">
        <v>-2.4245362661989844E-14</v>
      </c>
      <c r="IY6" t="s">
        <v>1753</v>
      </c>
      <c r="IZ6">
        <v>2024</v>
      </c>
      <c r="JA6" t="s">
        <v>1958</v>
      </c>
      <c r="JB6" s="6">
        <v>45756</v>
      </c>
      <c r="JC6">
        <v>5</v>
      </c>
      <c r="JD6">
        <v>-2.4245362661989844E-14</v>
      </c>
      <c r="JE6">
        <v>23063237</v>
      </c>
      <c r="JF6" t="s">
        <v>1959</v>
      </c>
      <c r="PE6" t="s">
        <v>2072</v>
      </c>
      <c r="PF6" t="s">
        <v>1752</v>
      </c>
      <c r="PG6">
        <v>2.7647999999999999E-2</v>
      </c>
      <c r="PH6">
        <v>0.19284299999999999</v>
      </c>
      <c r="PI6" t="s">
        <v>1781</v>
      </c>
      <c r="PJ6">
        <v>2025</v>
      </c>
      <c r="PK6" t="s">
        <v>2073</v>
      </c>
      <c r="PL6" s="6">
        <v>45786</v>
      </c>
      <c r="PM6">
        <v>5</v>
      </c>
      <c r="PN6">
        <v>2883963</v>
      </c>
      <c r="PO6">
        <v>48365107</v>
      </c>
      <c r="PP6" t="s">
        <v>2074</v>
      </c>
      <c r="PS6" t="s">
        <v>2020</v>
      </c>
      <c r="PT6">
        <v>8.0821000000000004E-2</v>
      </c>
      <c r="PU6" t="s">
        <v>1752</v>
      </c>
      <c r="PV6">
        <v>0.110046</v>
      </c>
      <c r="PW6" t="s">
        <v>1774</v>
      </c>
      <c r="PX6">
        <v>2025</v>
      </c>
      <c r="PY6" t="s">
        <v>2021</v>
      </c>
      <c r="PZ6" s="6">
        <v>45909</v>
      </c>
      <c r="QA6">
        <v>5</v>
      </c>
      <c r="QB6">
        <v>1420505.42</v>
      </c>
      <c r="QC6">
        <v>9074473</v>
      </c>
      <c r="QD6" t="s">
        <v>2022</v>
      </c>
      <c r="TU6" t="s">
        <v>5585</v>
      </c>
      <c r="TV6" t="s">
        <v>1752</v>
      </c>
      <c r="TW6">
        <v>0.31048599999999998</v>
      </c>
      <c r="TX6">
        <v>9.8609000000000002E-2</v>
      </c>
      <c r="TY6" t="s">
        <v>1825</v>
      </c>
      <c r="TZ6">
        <v>2025</v>
      </c>
      <c r="UA6" t="s">
        <v>5586</v>
      </c>
      <c r="UB6" s="6">
        <v>45994</v>
      </c>
      <c r="UC6">
        <v>5</v>
      </c>
      <c r="UD6">
        <v>3090155</v>
      </c>
      <c r="UE6">
        <v>132674</v>
      </c>
      <c r="UF6" t="s">
        <v>5587</v>
      </c>
      <c r="UI6" t="s">
        <v>1908</v>
      </c>
      <c r="UJ6">
        <v>3.715757</v>
      </c>
      <c r="UK6" t="s">
        <v>1752</v>
      </c>
      <c r="UL6">
        <v>1.143508</v>
      </c>
      <c r="UM6" t="s">
        <v>1788</v>
      </c>
      <c r="UN6">
        <v>2025</v>
      </c>
      <c r="UO6" t="s">
        <v>3031</v>
      </c>
      <c r="UP6" s="6">
        <v>45782</v>
      </c>
      <c r="UQ6">
        <v>5</v>
      </c>
      <c r="UR6">
        <v>185133936</v>
      </c>
      <c r="US6">
        <v>101555</v>
      </c>
      <c r="UT6" t="s">
        <v>1909</v>
      </c>
      <c r="UY6" t="s">
        <v>5483</v>
      </c>
      <c r="UZ6" t="s">
        <v>1752</v>
      </c>
      <c r="VA6">
        <v>0.106535</v>
      </c>
      <c r="VB6">
        <v>3.3787999999999999E-2</v>
      </c>
      <c r="VC6" t="s">
        <v>1774</v>
      </c>
      <c r="VD6">
        <v>2025</v>
      </c>
      <c r="VE6" t="s">
        <v>5484</v>
      </c>
      <c r="VF6" s="6">
        <v>45880</v>
      </c>
      <c r="VG6">
        <v>5</v>
      </c>
      <c r="VH6">
        <v>306927</v>
      </c>
      <c r="VI6">
        <v>7740212</v>
      </c>
      <c r="VJ6" t="s">
        <v>5485</v>
      </c>
      <c r="VM6" t="s">
        <v>5322</v>
      </c>
      <c r="VN6">
        <v>16.299999</v>
      </c>
      <c r="VP6">
        <v>-2.4245362661989844E-14</v>
      </c>
      <c r="VQ6" t="s">
        <v>1753</v>
      </c>
      <c r="VR6">
        <v>2025</v>
      </c>
      <c r="VS6" t="s">
        <v>5320</v>
      </c>
      <c r="VT6" s="6">
        <v>46066</v>
      </c>
      <c r="VU6">
        <v>5</v>
      </c>
      <c r="VV6">
        <v>204560928</v>
      </c>
      <c r="VW6">
        <v>1714306</v>
      </c>
      <c r="VX6" t="s">
        <v>5323</v>
      </c>
    </row>
    <row r="7" spans="1:600" x14ac:dyDescent="0.25">
      <c r="A7" t="s">
        <v>5664</v>
      </c>
      <c r="C7">
        <v>-2.4245362661989844E-14</v>
      </c>
      <c r="D7">
        <v>-2.4245362661989844E-14</v>
      </c>
      <c r="E7" t="s">
        <v>1753</v>
      </c>
      <c r="F7">
        <v>2023</v>
      </c>
      <c r="G7" t="s">
        <v>5665</v>
      </c>
      <c r="H7" s="6">
        <v>45259</v>
      </c>
      <c r="I7">
        <v>5</v>
      </c>
      <c r="J7">
        <v>-2.4245362661989844E-14</v>
      </c>
      <c r="K7">
        <v>1758259</v>
      </c>
      <c r="L7" t="s">
        <v>5666</v>
      </c>
      <c r="O7" t="s">
        <v>5642</v>
      </c>
      <c r="P7">
        <v>-2.4245362661989844E-14</v>
      </c>
      <c r="R7">
        <v>-2.4245362661989844E-14</v>
      </c>
      <c r="S7" t="s">
        <v>1753</v>
      </c>
      <c r="T7">
        <v>2023</v>
      </c>
      <c r="U7" t="s">
        <v>5643</v>
      </c>
      <c r="V7" s="6">
        <v>45502</v>
      </c>
      <c r="W7">
        <v>5</v>
      </c>
      <c r="X7">
        <v>-2.4245362661989844E-14</v>
      </c>
      <c r="Y7">
        <v>13904020</v>
      </c>
      <c r="Z7" t="s">
        <v>5644</v>
      </c>
      <c r="AE7" t="s">
        <v>3157</v>
      </c>
      <c r="AG7">
        <v>-2.4245362661989844E-14</v>
      </c>
      <c r="AH7">
        <v>-2.4245362661989844E-14</v>
      </c>
      <c r="AI7" t="s">
        <v>1842</v>
      </c>
      <c r="AJ7">
        <v>2025</v>
      </c>
      <c r="AK7" t="s">
        <v>3158</v>
      </c>
      <c r="AL7" s="6">
        <v>45897</v>
      </c>
      <c r="AM7">
        <v>5</v>
      </c>
      <c r="AN7">
        <v>-2.4245362661989844E-14</v>
      </c>
      <c r="AO7">
        <v>53479087</v>
      </c>
      <c r="AP7" t="s">
        <v>3159</v>
      </c>
      <c r="AS7" t="s">
        <v>1937</v>
      </c>
      <c r="AT7">
        <v>4.8252899999999999</v>
      </c>
      <c r="AU7" t="s">
        <v>1752</v>
      </c>
      <c r="AV7">
        <v>0.84980999999999995</v>
      </c>
      <c r="AW7" t="s">
        <v>1788</v>
      </c>
      <c r="AX7">
        <v>2025</v>
      </c>
      <c r="AY7" t="s">
        <v>5615</v>
      </c>
      <c r="AZ7" s="6">
        <v>46008</v>
      </c>
      <c r="BA7">
        <v>5</v>
      </c>
      <c r="BB7">
        <v>49314464</v>
      </c>
      <c r="BC7">
        <v>71547029</v>
      </c>
      <c r="BD7" t="s">
        <v>1938</v>
      </c>
      <c r="BW7" t="s">
        <v>1780</v>
      </c>
      <c r="BX7">
        <v>-2.4245362661989844E-14</v>
      </c>
      <c r="BZ7">
        <v>-2.4245362661989844E-14</v>
      </c>
      <c r="CA7" t="s">
        <v>1781</v>
      </c>
      <c r="CB7">
        <v>2022</v>
      </c>
      <c r="CC7" t="s">
        <v>1782</v>
      </c>
      <c r="CD7" s="6">
        <v>44726</v>
      </c>
      <c r="CE7">
        <v>5</v>
      </c>
      <c r="CF7">
        <v>-2.4245362661989844E-14</v>
      </c>
      <c r="CG7">
        <v>115240</v>
      </c>
      <c r="CH7" t="s">
        <v>1783</v>
      </c>
      <c r="FI7" t="s">
        <v>4713</v>
      </c>
      <c r="FJ7">
        <v>-2.4245362661989844E-14</v>
      </c>
      <c r="FL7">
        <v>-2.4245362661989844E-14</v>
      </c>
      <c r="FM7" t="s">
        <v>1788</v>
      </c>
      <c r="FN7">
        <v>2024</v>
      </c>
      <c r="FO7" t="s">
        <v>4714</v>
      </c>
      <c r="FP7" s="6">
        <v>45498</v>
      </c>
      <c r="FQ7">
        <v>3</v>
      </c>
      <c r="FR7">
        <v>-2.4245362661989844E-14</v>
      </c>
      <c r="FS7">
        <v>24202859</v>
      </c>
      <c r="FT7" t="s">
        <v>4715</v>
      </c>
      <c r="HC7" t="s">
        <v>1787</v>
      </c>
      <c r="HD7" t="s">
        <v>1940</v>
      </c>
      <c r="HE7">
        <v>0.492811</v>
      </c>
      <c r="HF7">
        <v>2.9784000000000001E-2</v>
      </c>
      <c r="HG7" t="s">
        <v>1781</v>
      </c>
      <c r="HH7">
        <v>2026</v>
      </c>
      <c r="HI7" t="s">
        <v>2131</v>
      </c>
      <c r="HJ7" s="6">
        <v>45898</v>
      </c>
      <c r="HK7">
        <v>5</v>
      </c>
      <c r="HL7">
        <v>889383.69</v>
      </c>
      <c r="HM7">
        <v>178651</v>
      </c>
      <c r="HN7" t="s">
        <v>1790</v>
      </c>
      <c r="IG7" t="s">
        <v>2199</v>
      </c>
      <c r="IH7" t="s">
        <v>1940</v>
      </c>
      <c r="II7">
        <v>0.56072500000000003</v>
      </c>
      <c r="IJ7">
        <v>1.5883999999999999E-2</v>
      </c>
      <c r="IK7" t="s">
        <v>1753</v>
      </c>
      <c r="IL7">
        <v>2025</v>
      </c>
      <c r="IM7" t="s">
        <v>2200</v>
      </c>
      <c r="IN7" s="6">
        <v>46066</v>
      </c>
      <c r="IO7">
        <v>5</v>
      </c>
      <c r="IP7">
        <v>2177750</v>
      </c>
      <c r="IQ7">
        <v>126273</v>
      </c>
      <c r="IR7" t="s">
        <v>2201</v>
      </c>
      <c r="IU7" t="s">
        <v>1960</v>
      </c>
      <c r="IV7">
        <v>-2.4245362661989844E-14</v>
      </c>
      <c r="IX7">
        <v>-2.4245362661989844E-14</v>
      </c>
      <c r="IY7" t="s">
        <v>1781</v>
      </c>
      <c r="IZ7">
        <v>2025</v>
      </c>
      <c r="JA7" t="s">
        <v>1961</v>
      </c>
      <c r="JB7" s="6">
        <v>45799</v>
      </c>
      <c r="JC7">
        <v>5</v>
      </c>
      <c r="JD7">
        <v>-2.4245362661989844E-14</v>
      </c>
      <c r="JE7">
        <v>313021</v>
      </c>
      <c r="JF7" t="s">
        <v>1962</v>
      </c>
      <c r="PE7" t="s">
        <v>2075</v>
      </c>
      <c r="PF7" t="s">
        <v>1752</v>
      </c>
      <c r="PG7">
        <v>0.19472700000000001</v>
      </c>
      <c r="PH7">
        <v>0.161498</v>
      </c>
      <c r="PI7" t="s">
        <v>1825</v>
      </c>
      <c r="PJ7">
        <v>2025</v>
      </c>
      <c r="PK7" t="s">
        <v>2076</v>
      </c>
      <c r="PL7" s="6">
        <v>46086</v>
      </c>
      <c r="PM7">
        <v>5</v>
      </c>
      <c r="PN7">
        <v>2638551</v>
      </c>
      <c r="PO7">
        <v>9188256</v>
      </c>
      <c r="PP7" t="s">
        <v>2077</v>
      </c>
      <c r="PS7" t="s">
        <v>2023</v>
      </c>
      <c r="PT7">
        <v>-2.4245362661989844E-14</v>
      </c>
      <c r="PV7">
        <v>-2.4245362661989844E-14</v>
      </c>
      <c r="PW7" t="s">
        <v>1788</v>
      </c>
      <c r="PX7">
        <v>2025</v>
      </c>
      <c r="PY7" t="s">
        <v>2024</v>
      </c>
      <c r="PZ7" s="6">
        <v>45958</v>
      </c>
      <c r="QA7">
        <v>5</v>
      </c>
      <c r="QB7">
        <v>-2.4245362661989844E-14</v>
      </c>
      <c r="QC7">
        <v>962190</v>
      </c>
      <c r="QD7" t="s">
        <v>2025</v>
      </c>
      <c r="TU7" t="s">
        <v>3151</v>
      </c>
      <c r="TV7" t="s">
        <v>1752</v>
      </c>
      <c r="TW7">
        <v>1.8849210000000001</v>
      </c>
      <c r="TX7">
        <v>7.4071999999999999E-2</v>
      </c>
      <c r="TY7" t="s">
        <v>1781</v>
      </c>
      <c r="TZ7">
        <v>2025</v>
      </c>
      <c r="UA7" t="s">
        <v>3152</v>
      </c>
      <c r="UB7" s="6">
        <v>45787</v>
      </c>
      <c r="UC7">
        <v>5</v>
      </c>
      <c r="UD7">
        <v>2370646</v>
      </c>
      <c r="UE7">
        <v>100416</v>
      </c>
      <c r="UF7" t="s">
        <v>3153</v>
      </c>
      <c r="UI7" t="s">
        <v>1831</v>
      </c>
      <c r="UJ7">
        <v>3.3382679999999998</v>
      </c>
      <c r="UK7" t="s">
        <v>1752</v>
      </c>
      <c r="UL7">
        <v>1.066541</v>
      </c>
      <c r="UM7" t="s">
        <v>1825</v>
      </c>
      <c r="UN7">
        <v>2025</v>
      </c>
      <c r="UO7" t="s">
        <v>3031</v>
      </c>
      <c r="UP7" s="6">
        <v>45894</v>
      </c>
      <c r="UQ7">
        <v>5</v>
      </c>
      <c r="UR7">
        <v>165661552</v>
      </c>
      <c r="US7">
        <v>876285</v>
      </c>
      <c r="UT7" t="s">
        <v>1833</v>
      </c>
      <c r="UY7" t="s">
        <v>5486</v>
      </c>
      <c r="VA7">
        <v>-2.4245362661989844E-14</v>
      </c>
      <c r="VB7">
        <v>-2.4245362661989844E-14</v>
      </c>
      <c r="VC7" t="s">
        <v>1842</v>
      </c>
      <c r="VD7">
        <v>2025</v>
      </c>
      <c r="VE7" t="s">
        <v>5487</v>
      </c>
      <c r="VF7" s="6">
        <v>45897</v>
      </c>
      <c r="VG7">
        <v>5</v>
      </c>
      <c r="VH7">
        <v>-2.4245362661989844E-14</v>
      </c>
      <c r="VI7">
        <v>26078613</v>
      </c>
      <c r="VJ7" t="s">
        <v>5488</v>
      </c>
      <c r="VM7" t="s">
        <v>1935</v>
      </c>
      <c r="VN7">
        <v>7.8851519999999997</v>
      </c>
      <c r="VO7" t="s">
        <v>1752</v>
      </c>
      <c r="VP7">
        <v>0.72074199999999999</v>
      </c>
      <c r="VQ7" t="s">
        <v>1774</v>
      </c>
      <c r="VR7">
        <v>2025</v>
      </c>
      <c r="VS7" t="s">
        <v>5324</v>
      </c>
      <c r="VT7" s="6">
        <v>45924</v>
      </c>
      <c r="VU7">
        <v>5</v>
      </c>
      <c r="VV7">
        <v>114295280</v>
      </c>
      <c r="VW7">
        <v>100916</v>
      </c>
      <c r="VX7" t="s">
        <v>1936</v>
      </c>
    </row>
    <row r="8" spans="1:600" x14ac:dyDescent="0.25">
      <c r="A8" t="s">
        <v>2423</v>
      </c>
      <c r="C8">
        <v>-2.4245362661989844E-14</v>
      </c>
      <c r="D8">
        <v>-2.4245362661989844E-14</v>
      </c>
      <c r="E8" t="s">
        <v>1753</v>
      </c>
      <c r="F8">
        <v>2026</v>
      </c>
      <c r="G8" t="s">
        <v>5667</v>
      </c>
      <c r="H8" s="6">
        <v>46071</v>
      </c>
      <c r="I8">
        <v>5</v>
      </c>
      <c r="J8">
        <v>-2.4245362661989844E-14</v>
      </c>
      <c r="K8">
        <v>50985605</v>
      </c>
      <c r="L8" t="s">
        <v>2424</v>
      </c>
      <c r="O8" t="s">
        <v>5645</v>
      </c>
      <c r="P8">
        <v>-2.4245362661989844E-14</v>
      </c>
      <c r="R8">
        <v>-2.4245362661989844E-14</v>
      </c>
      <c r="S8" t="s">
        <v>1753</v>
      </c>
      <c r="T8">
        <v>2023</v>
      </c>
      <c r="U8" t="s">
        <v>5646</v>
      </c>
      <c r="V8" s="6">
        <v>45412</v>
      </c>
      <c r="W8">
        <v>5</v>
      </c>
      <c r="X8">
        <v>-2.4245362661989844E-14</v>
      </c>
      <c r="Y8">
        <v>10418343</v>
      </c>
      <c r="Z8" t="s">
        <v>5647</v>
      </c>
      <c r="AE8" t="s">
        <v>3104</v>
      </c>
      <c r="AG8">
        <v>-2.4245362661989844E-14</v>
      </c>
      <c r="AH8">
        <v>-2.4245362661989844E-14</v>
      </c>
      <c r="AI8" t="s">
        <v>1753</v>
      </c>
      <c r="AJ8">
        <v>2022</v>
      </c>
      <c r="AK8" t="s">
        <v>3105</v>
      </c>
      <c r="AL8" s="6">
        <v>44693</v>
      </c>
      <c r="AM8">
        <v>5</v>
      </c>
      <c r="AN8">
        <v>-2.4245362661989844E-14</v>
      </c>
      <c r="AO8">
        <v>114991</v>
      </c>
      <c r="AP8" t="s">
        <v>3106</v>
      </c>
      <c r="AS8" t="s">
        <v>5616</v>
      </c>
      <c r="AT8">
        <v>2.1826300000000001</v>
      </c>
      <c r="AU8" t="s">
        <v>1752</v>
      </c>
      <c r="AV8">
        <v>7.3750910000000003</v>
      </c>
      <c r="AW8" t="s">
        <v>1788</v>
      </c>
      <c r="AX8">
        <v>2025</v>
      </c>
      <c r="AY8" t="s">
        <v>5615</v>
      </c>
      <c r="AZ8" s="6">
        <v>46008</v>
      </c>
      <c r="BA8">
        <v>5</v>
      </c>
      <c r="BB8">
        <v>22306480</v>
      </c>
      <c r="BC8">
        <v>12459353</v>
      </c>
      <c r="BD8" t="s">
        <v>5617</v>
      </c>
      <c r="BW8" t="s">
        <v>1784</v>
      </c>
      <c r="BX8">
        <v>-2.4245362661989844E-14</v>
      </c>
      <c r="BZ8">
        <v>-2.4245362661989844E-14</v>
      </c>
      <c r="CA8" t="s">
        <v>1753</v>
      </c>
      <c r="CB8">
        <v>2022</v>
      </c>
      <c r="CC8" t="s">
        <v>1785</v>
      </c>
      <c r="CD8" s="6">
        <v>44839</v>
      </c>
      <c r="CE8">
        <v>5</v>
      </c>
      <c r="CF8">
        <v>-2.4245362661989844E-14</v>
      </c>
      <c r="CG8">
        <v>100142</v>
      </c>
      <c r="CH8" t="s">
        <v>1786</v>
      </c>
      <c r="HC8" t="s">
        <v>2132</v>
      </c>
      <c r="HE8">
        <v>0.44397199999999998</v>
      </c>
      <c r="HF8">
        <v>-2.4245362661989844E-14</v>
      </c>
      <c r="HG8" t="s">
        <v>1825</v>
      </c>
      <c r="HH8">
        <v>2024</v>
      </c>
      <c r="HI8" t="s">
        <v>2133</v>
      </c>
      <c r="HJ8" s="6">
        <v>45699</v>
      </c>
      <c r="HK8">
        <v>5</v>
      </c>
      <c r="HL8">
        <v>316250</v>
      </c>
      <c r="HM8">
        <v>10086577</v>
      </c>
      <c r="HN8" t="s">
        <v>2134</v>
      </c>
      <c r="IG8" t="s">
        <v>2202</v>
      </c>
      <c r="IH8" t="s">
        <v>1940</v>
      </c>
      <c r="II8">
        <v>0.78817400000000004</v>
      </c>
      <c r="IJ8">
        <v>1.4283000000000001E-2</v>
      </c>
      <c r="IK8" t="s">
        <v>1753</v>
      </c>
      <c r="IL8">
        <v>2025</v>
      </c>
      <c r="IM8" t="s">
        <v>2203</v>
      </c>
      <c r="IN8" s="6">
        <v>46058</v>
      </c>
      <c r="IO8">
        <v>5</v>
      </c>
      <c r="IP8">
        <v>1958250</v>
      </c>
      <c r="IQ8">
        <v>106045</v>
      </c>
      <c r="IR8" t="s">
        <v>2204</v>
      </c>
      <c r="IU8" t="s">
        <v>1963</v>
      </c>
      <c r="IV8">
        <v>-2.4245362661989844E-14</v>
      </c>
      <c r="IX8">
        <v>-2.4245362661989844E-14</v>
      </c>
      <c r="IY8" t="s">
        <v>1753</v>
      </c>
      <c r="IZ8">
        <v>2022</v>
      </c>
      <c r="JA8" t="s">
        <v>1964</v>
      </c>
      <c r="JB8" s="6">
        <v>44986</v>
      </c>
      <c r="JC8">
        <v>5</v>
      </c>
      <c r="JD8">
        <v>-2.4245362661989844E-14</v>
      </c>
      <c r="JE8">
        <v>394590</v>
      </c>
      <c r="JF8" t="s">
        <v>1965</v>
      </c>
      <c r="PE8" t="s">
        <v>2078</v>
      </c>
      <c r="PF8" t="s">
        <v>1752</v>
      </c>
      <c r="PG8">
        <v>2.3401999999999999E-2</v>
      </c>
      <c r="PH8">
        <v>0.13347899999999999</v>
      </c>
      <c r="PI8" t="s">
        <v>1788</v>
      </c>
      <c r="PJ8">
        <v>2025</v>
      </c>
      <c r="PK8" t="s">
        <v>2079</v>
      </c>
      <c r="PL8" s="6">
        <v>45883</v>
      </c>
      <c r="PM8">
        <v>5</v>
      </c>
      <c r="PN8">
        <v>2161766.35</v>
      </c>
      <c r="PO8">
        <v>815253</v>
      </c>
      <c r="PP8" t="s">
        <v>2080</v>
      </c>
      <c r="PS8" t="s">
        <v>2026</v>
      </c>
      <c r="PT8">
        <v>-2.4245362661989844E-14</v>
      </c>
      <c r="PV8">
        <v>-2.4245362661989844E-14</v>
      </c>
      <c r="PW8" t="s">
        <v>1854</v>
      </c>
      <c r="PX8">
        <v>2025</v>
      </c>
      <c r="PY8" t="s">
        <v>2027</v>
      </c>
      <c r="PZ8" s="6">
        <v>45792</v>
      </c>
      <c r="QA8">
        <v>5</v>
      </c>
      <c r="QB8">
        <v>-2.4245362661989844E-14</v>
      </c>
      <c r="QC8">
        <v>129648</v>
      </c>
      <c r="QD8" t="s">
        <v>2028</v>
      </c>
      <c r="TU8" t="s">
        <v>5579</v>
      </c>
      <c r="TV8" t="s">
        <v>1752</v>
      </c>
      <c r="TW8">
        <v>2.0605950000000002</v>
      </c>
      <c r="TX8">
        <v>6.8046999999999996E-2</v>
      </c>
      <c r="TY8" t="s">
        <v>1781</v>
      </c>
      <c r="TZ8">
        <v>2025</v>
      </c>
      <c r="UA8" t="s">
        <v>5580</v>
      </c>
      <c r="UB8" s="6">
        <v>45814</v>
      </c>
      <c r="UC8">
        <v>5</v>
      </c>
      <c r="UD8">
        <v>2177802</v>
      </c>
      <c r="UE8">
        <v>136312</v>
      </c>
      <c r="UF8" t="s">
        <v>5581</v>
      </c>
      <c r="UI8" t="s">
        <v>3532</v>
      </c>
      <c r="UJ8">
        <v>3.0249090000000001</v>
      </c>
      <c r="UK8" t="s">
        <v>1752</v>
      </c>
      <c r="UL8">
        <v>0.86494400000000005</v>
      </c>
      <c r="UM8" t="s">
        <v>1825</v>
      </c>
      <c r="UN8">
        <v>2025</v>
      </c>
      <c r="UO8" t="s">
        <v>3031</v>
      </c>
      <c r="UP8" s="6">
        <v>45894</v>
      </c>
      <c r="UQ8">
        <v>5</v>
      </c>
      <c r="UR8">
        <v>150111104</v>
      </c>
      <c r="US8">
        <v>156923</v>
      </c>
      <c r="UT8" t="s">
        <v>3533</v>
      </c>
      <c r="UY8" t="s">
        <v>3104</v>
      </c>
      <c r="VA8">
        <v>-2.4245362661989844E-14</v>
      </c>
      <c r="VB8">
        <v>-2.4245362661989844E-14</v>
      </c>
      <c r="VC8" t="s">
        <v>1753</v>
      </c>
      <c r="VD8">
        <v>2022</v>
      </c>
      <c r="VE8" t="s">
        <v>3105</v>
      </c>
      <c r="VF8" s="6">
        <v>44693</v>
      </c>
      <c r="VG8">
        <v>5</v>
      </c>
      <c r="VH8">
        <v>-2.4245362661989844E-14</v>
      </c>
      <c r="VI8">
        <v>114991</v>
      </c>
      <c r="VJ8" t="s">
        <v>3106</v>
      </c>
      <c r="VM8" t="s">
        <v>5325</v>
      </c>
      <c r="VN8">
        <v>3.1613169999999999</v>
      </c>
      <c r="VO8" t="s">
        <v>1752</v>
      </c>
      <c r="VP8">
        <v>2.4374090000000002</v>
      </c>
      <c r="VQ8" t="s">
        <v>1774</v>
      </c>
      <c r="VR8">
        <v>2025</v>
      </c>
      <c r="VS8" t="s">
        <v>5324</v>
      </c>
      <c r="VT8" s="6">
        <v>45924</v>
      </c>
      <c r="VU8">
        <v>5</v>
      </c>
      <c r="VV8">
        <v>45823288</v>
      </c>
      <c r="VW8">
        <v>159161</v>
      </c>
      <c r="VX8" t="s">
        <v>5326</v>
      </c>
    </row>
    <row r="9" spans="1:600" x14ac:dyDescent="0.25">
      <c r="A9" t="s">
        <v>5668</v>
      </c>
      <c r="C9">
        <v>-2.4245362661989844E-14</v>
      </c>
      <c r="D9">
        <v>-2.4245362661989844E-14</v>
      </c>
      <c r="E9" t="s">
        <v>1753</v>
      </c>
      <c r="F9">
        <v>2024</v>
      </c>
      <c r="G9" t="s">
        <v>5669</v>
      </c>
      <c r="H9" s="6">
        <v>45772</v>
      </c>
      <c r="I9">
        <v>5</v>
      </c>
      <c r="J9">
        <v>-2.4245362661989844E-14</v>
      </c>
      <c r="K9">
        <v>30316836</v>
      </c>
      <c r="L9" t="s">
        <v>5670</v>
      </c>
      <c r="O9" t="s">
        <v>1787</v>
      </c>
      <c r="P9">
        <v>-2.4245362661989844E-14</v>
      </c>
      <c r="R9">
        <v>-2.4245362661989844E-14</v>
      </c>
      <c r="S9" t="s">
        <v>1753</v>
      </c>
      <c r="T9">
        <v>2024</v>
      </c>
      <c r="U9" t="s">
        <v>5648</v>
      </c>
      <c r="V9" s="6">
        <v>45538</v>
      </c>
      <c r="W9">
        <v>5</v>
      </c>
      <c r="X9">
        <v>-2.4245362661989844E-14</v>
      </c>
      <c r="Y9">
        <v>178651</v>
      </c>
      <c r="Z9" t="s">
        <v>1790</v>
      </c>
      <c r="AE9" t="s">
        <v>3160</v>
      </c>
      <c r="AG9">
        <v>-2.4245362661989844E-14</v>
      </c>
      <c r="AH9">
        <v>-2.4245362661989844E-14</v>
      </c>
      <c r="AI9" t="s">
        <v>1753</v>
      </c>
      <c r="AJ9">
        <v>2022</v>
      </c>
      <c r="AK9" t="s">
        <v>3161</v>
      </c>
      <c r="AL9" s="6">
        <v>44693</v>
      </c>
      <c r="AM9">
        <v>5</v>
      </c>
      <c r="AN9">
        <v>-2.4245362661989844E-14</v>
      </c>
      <c r="AO9">
        <v>113413</v>
      </c>
      <c r="AP9" t="s">
        <v>3162</v>
      </c>
      <c r="AS9" t="s">
        <v>1935</v>
      </c>
      <c r="AT9">
        <v>1.4166879999999999</v>
      </c>
      <c r="AU9" t="s">
        <v>1752</v>
      </c>
      <c r="AV9">
        <v>0.10570599999999999</v>
      </c>
      <c r="AW9" t="s">
        <v>1788</v>
      </c>
      <c r="AX9">
        <v>2025</v>
      </c>
      <c r="AY9" t="s">
        <v>5615</v>
      </c>
      <c r="AZ9" s="6">
        <v>46008</v>
      </c>
      <c r="BA9">
        <v>5</v>
      </c>
      <c r="BB9">
        <v>14478551</v>
      </c>
      <c r="BC9">
        <v>100916</v>
      </c>
      <c r="BD9" t="s">
        <v>1936</v>
      </c>
      <c r="BW9" t="s">
        <v>1787</v>
      </c>
      <c r="BX9">
        <v>-2.4245362661989844E-14</v>
      </c>
      <c r="BZ9">
        <v>-2.4245362661989844E-14</v>
      </c>
      <c r="CA9" t="s">
        <v>1788</v>
      </c>
      <c r="CB9">
        <v>2025</v>
      </c>
      <c r="CC9" t="s">
        <v>1789</v>
      </c>
      <c r="CD9" s="6">
        <v>45699</v>
      </c>
      <c r="CE9">
        <v>5</v>
      </c>
      <c r="CF9">
        <v>-2.4245362661989844E-14</v>
      </c>
      <c r="CG9">
        <v>178651</v>
      </c>
      <c r="CH9" t="s">
        <v>1790</v>
      </c>
      <c r="HC9" t="s">
        <v>2135</v>
      </c>
      <c r="HE9">
        <v>-2.4245362661989844E-14</v>
      </c>
      <c r="HF9">
        <v>-2.4245362661989844E-14</v>
      </c>
      <c r="HG9" t="s">
        <v>1768</v>
      </c>
      <c r="HH9">
        <v>2025</v>
      </c>
      <c r="HI9" t="s">
        <v>2136</v>
      </c>
      <c r="HJ9" s="6">
        <v>45974</v>
      </c>
      <c r="HK9">
        <v>5</v>
      </c>
      <c r="HL9">
        <v>-2.4245362661989844E-14</v>
      </c>
      <c r="HM9">
        <v>118099</v>
      </c>
      <c r="HN9" t="s">
        <v>2137</v>
      </c>
      <c r="IG9" t="s">
        <v>2205</v>
      </c>
      <c r="IH9" t="s">
        <v>1940</v>
      </c>
      <c r="II9">
        <v>0.777281</v>
      </c>
      <c r="IJ9">
        <v>1.0723999999999999E-2</v>
      </c>
      <c r="IK9" t="s">
        <v>1753</v>
      </c>
      <c r="IL9">
        <v>2024</v>
      </c>
      <c r="IM9" t="s">
        <v>2206</v>
      </c>
      <c r="IN9" s="6">
        <v>45694</v>
      </c>
      <c r="IO9">
        <v>5</v>
      </c>
      <c r="IP9">
        <v>1463750</v>
      </c>
      <c r="IQ9">
        <v>106543</v>
      </c>
      <c r="IR9" t="s">
        <v>2207</v>
      </c>
      <c r="IU9" t="s">
        <v>1966</v>
      </c>
      <c r="IV9">
        <v>-2.4245362661989844E-14</v>
      </c>
      <c r="IX9">
        <v>-2.4245362661989844E-14</v>
      </c>
      <c r="IY9" t="s">
        <v>1753</v>
      </c>
      <c r="IZ9">
        <v>2023</v>
      </c>
      <c r="JA9" t="s">
        <v>1967</v>
      </c>
      <c r="JB9" s="6">
        <v>45175</v>
      </c>
      <c r="JC9">
        <v>5</v>
      </c>
      <c r="JD9">
        <v>-2.4245362661989844E-14</v>
      </c>
      <c r="JE9">
        <v>100555</v>
      </c>
      <c r="JF9" t="s">
        <v>1968</v>
      </c>
      <c r="PE9" t="s">
        <v>2081</v>
      </c>
      <c r="PF9" t="s">
        <v>1940</v>
      </c>
      <c r="PG9">
        <v>1.5393250000000001</v>
      </c>
      <c r="PH9">
        <v>0.45261099999999999</v>
      </c>
      <c r="PI9" t="s">
        <v>1753</v>
      </c>
      <c r="PJ9">
        <v>2024</v>
      </c>
      <c r="PK9" t="s">
        <v>2082</v>
      </c>
      <c r="PL9" s="6">
        <v>45699</v>
      </c>
      <c r="PM9">
        <v>5</v>
      </c>
      <c r="PN9">
        <v>462228.5</v>
      </c>
      <c r="PO9">
        <v>1749265</v>
      </c>
      <c r="PP9" t="s">
        <v>2083</v>
      </c>
      <c r="PS9" t="s">
        <v>2029</v>
      </c>
      <c r="PT9">
        <v>-2.4245362661989844E-14</v>
      </c>
      <c r="PV9">
        <v>-2.4245362661989844E-14</v>
      </c>
      <c r="PW9" t="s">
        <v>1768</v>
      </c>
      <c r="PX9">
        <v>2025</v>
      </c>
      <c r="PY9" t="s">
        <v>2030</v>
      </c>
      <c r="PZ9" s="6">
        <v>45973</v>
      </c>
      <c r="QA9">
        <v>5</v>
      </c>
      <c r="QB9">
        <v>-2.4245362661989844E-14</v>
      </c>
      <c r="QC9">
        <v>117359</v>
      </c>
      <c r="QD9" t="s">
        <v>2031</v>
      </c>
      <c r="TU9" t="s">
        <v>563</v>
      </c>
      <c r="TV9" t="s">
        <v>1752</v>
      </c>
      <c r="TW9">
        <v>1.053598</v>
      </c>
      <c r="TX9">
        <v>6.8002000000000007E-2</v>
      </c>
      <c r="TY9" t="s">
        <v>1774</v>
      </c>
      <c r="TZ9">
        <v>2025</v>
      </c>
      <c r="UA9" t="s">
        <v>4599</v>
      </c>
      <c r="UB9" s="6">
        <v>45911</v>
      </c>
      <c r="UC9">
        <v>5</v>
      </c>
      <c r="UD9">
        <v>2131007</v>
      </c>
      <c r="UE9">
        <v>103317</v>
      </c>
      <c r="UF9" t="s">
        <v>4600</v>
      </c>
      <c r="UI9" t="s">
        <v>1019</v>
      </c>
      <c r="UJ9">
        <v>1.748761</v>
      </c>
      <c r="UK9" t="s">
        <v>1752</v>
      </c>
      <c r="UL9">
        <v>0.78238600000000003</v>
      </c>
      <c r="UM9" t="s">
        <v>1825</v>
      </c>
      <c r="UN9">
        <v>2025</v>
      </c>
      <c r="UO9" t="s">
        <v>3031</v>
      </c>
      <c r="UP9" s="6">
        <v>45894</v>
      </c>
      <c r="UQ9">
        <v>5</v>
      </c>
      <c r="UR9">
        <v>86782264</v>
      </c>
      <c r="US9">
        <v>100631</v>
      </c>
      <c r="UT9" t="s">
        <v>4232</v>
      </c>
      <c r="UY9" t="s">
        <v>2304</v>
      </c>
      <c r="VA9">
        <v>-2.4245362661989844E-14</v>
      </c>
      <c r="VB9">
        <v>-2.4245362661989844E-14</v>
      </c>
      <c r="VC9" t="s">
        <v>1753</v>
      </c>
      <c r="VD9">
        <v>2021</v>
      </c>
      <c r="VE9" t="s">
        <v>2305</v>
      </c>
      <c r="VF9" s="6">
        <v>44693</v>
      </c>
      <c r="VG9">
        <v>5</v>
      </c>
      <c r="VH9">
        <v>-2.4245362661989844E-14</v>
      </c>
      <c r="VI9">
        <v>313098</v>
      </c>
      <c r="VJ9" t="s">
        <v>2306</v>
      </c>
      <c r="VM9" t="s">
        <v>1458</v>
      </c>
      <c r="VN9">
        <v>1.9021250000000001</v>
      </c>
      <c r="VO9" t="s">
        <v>1752</v>
      </c>
      <c r="VP9">
        <v>0.36421799999999999</v>
      </c>
      <c r="VQ9" t="s">
        <v>1788</v>
      </c>
      <c r="VR9">
        <v>2025</v>
      </c>
      <c r="VS9" t="s">
        <v>1829</v>
      </c>
      <c r="VT9" s="6">
        <v>45904</v>
      </c>
      <c r="VU9">
        <v>5</v>
      </c>
      <c r="VV9">
        <v>27571304</v>
      </c>
      <c r="VW9">
        <v>100438</v>
      </c>
      <c r="VX9" t="s">
        <v>1830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170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171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172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173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174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175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176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177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178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179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180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181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182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183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184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37</v>
      </c>
      <c r="AE2" s="3" t="s">
        <v>185</v>
      </c>
      <c r="BI2" s="3" t="s">
        <v>186</v>
      </c>
      <c r="CM2" s="3" t="s">
        <v>187</v>
      </c>
      <c r="DQ2" s="3" t="s">
        <v>188</v>
      </c>
      <c r="EU2" s="3" t="s">
        <v>189</v>
      </c>
      <c r="FY2" s="3" t="s">
        <v>190</v>
      </c>
      <c r="HC2" s="3" t="s">
        <v>20</v>
      </c>
      <c r="IG2" s="3" t="s">
        <v>191</v>
      </c>
      <c r="JK2" s="3" t="s">
        <v>192</v>
      </c>
      <c r="KO2" s="3" t="s">
        <v>193</v>
      </c>
      <c r="LS2" s="3" t="s">
        <v>194</v>
      </c>
      <c r="MW2" s="3" t="s">
        <v>195</v>
      </c>
      <c r="OA2" s="3" t="s">
        <v>196</v>
      </c>
      <c r="PE2" s="3" t="s">
        <v>37</v>
      </c>
      <c r="QI2" s="3" t="s">
        <v>197</v>
      </c>
      <c r="RM2" s="3" t="s">
        <v>198</v>
      </c>
      <c r="SQ2" s="3" t="s">
        <v>199</v>
      </c>
      <c r="TU2" s="3" t="s">
        <v>200</v>
      </c>
      <c r="UY2" s="3" t="s">
        <v>201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_xll.BDS("nan Equity","SUPPLY_CHAIN_SUPPLIERS_ALL_DATA")</f>
        <v>#N/A N/A</v>
      </c>
      <c r="O5" t="str">
        <f>_xll.BDS("nan Equity","SUPPLY_CHAIN_CUSTOMERS_ALL_DATA")</f>
        <v>#N/A N/A</v>
      </c>
      <c r="AE5" t="str">
        <f>_xll.BDS("KLAC US Equity","SUPPLY_CHAIN_SUPPLIERS_ALL_DATA","cols=12;rows=5")</f>
        <v>COHR US Equity</v>
      </c>
      <c r="AF5" t="s">
        <v>1752</v>
      </c>
      <c r="AG5">
        <v>0.72727600000000003</v>
      </c>
      <c r="AH5">
        <v>0.92522099999999996</v>
      </c>
      <c r="AI5" t="s">
        <v>1781</v>
      </c>
      <c r="AJ5">
        <v>2026</v>
      </c>
      <c r="AK5" t="s">
        <v>2175</v>
      </c>
      <c r="AL5" s="6">
        <v>45967</v>
      </c>
      <c r="AM5">
        <v>5</v>
      </c>
      <c r="AN5">
        <v>11501143</v>
      </c>
      <c r="AO5">
        <v>104637</v>
      </c>
      <c r="AP5" t="s">
        <v>2176</v>
      </c>
      <c r="AS5" t="str">
        <f>_xll.BDS("KLAC US Equity","SUPPLY_CHAIN_CUSTOMERS_ALL_DATA","cols=12;rows=5")</f>
        <v>2330 TT Equity</v>
      </c>
      <c r="AT5">
        <v>17.002452999999999</v>
      </c>
      <c r="AU5" t="s">
        <v>1828</v>
      </c>
      <c r="AV5">
        <v>4.8760450000000004</v>
      </c>
      <c r="AW5" t="s">
        <v>1774</v>
      </c>
      <c r="AX5">
        <v>2026</v>
      </c>
      <c r="AY5" t="s">
        <v>2286</v>
      </c>
      <c r="AZ5" s="6">
        <v>46063</v>
      </c>
      <c r="BA5">
        <v>5</v>
      </c>
      <c r="BB5">
        <v>560595648</v>
      </c>
      <c r="BC5">
        <v>153737</v>
      </c>
      <c r="BD5" t="s">
        <v>1943</v>
      </c>
      <c r="BI5" t="str">
        <f>_xll.BDS("ENDPQ US Equity","SUPPLY_CHAIN_SUPPLIERS_ALL_DATA","cols=12;rows=5")</f>
        <v>0177858D US Equity</v>
      </c>
      <c r="BK5">
        <v>-2.4245362661989844E-14</v>
      </c>
      <c r="BL5">
        <v>-2.4245362661989844E-14</v>
      </c>
      <c r="BM5" t="s">
        <v>1788</v>
      </c>
      <c r="BN5">
        <v>2022</v>
      </c>
      <c r="BO5" t="s">
        <v>1986</v>
      </c>
      <c r="BP5" s="6">
        <v>44789</v>
      </c>
      <c r="BQ5">
        <v>5</v>
      </c>
      <c r="BR5">
        <v>-2.4245362661989844E-14</v>
      </c>
      <c r="BS5">
        <v>15116708</v>
      </c>
      <c r="BT5" t="s">
        <v>2189</v>
      </c>
      <c r="BW5" t="str">
        <f>_xll.BDS("ENDPQ US Equity","SUPPLY_CHAIN_CUSTOMERS_ALL_DATA","cols=12;rows=5")</f>
        <v>0219682Z US Equity</v>
      </c>
      <c r="BX5">
        <v>-2.4245362661989844E-14</v>
      </c>
      <c r="BZ5">
        <v>-2.4245362661989844E-14</v>
      </c>
      <c r="CA5" t="s">
        <v>1753</v>
      </c>
      <c r="CB5">
        <v>2023</v>
      </c>
      <c r="CC5" t="s">
        <v>1983</v>
      </c>
      <c r="CD5" s="6">
        <v>45357</v>
      </c>
      <c r="CE5">
        <v>5</v>
      </c>
      <c r="CF5">
        <v>-2.4245362661989844E-14</v>
      </c>
      <c r="CG5">
        <v>962205</v>
      </c>
      <c r="CH5" t="s">
        <v>1984</v>
      </c>
      <c r="CM5" t="str">
        <f>_xll.BDS("SGEN US Equity","SUPPLY_CHAIN_SUPPLIERS_ALL_DATA","cols=12;rows=5")</f>
        <v>0410347D US Equity</v>
      </c>
      <c r="CO5">
        <v>-2.4245362661989844E-14</v>
      </c>
      <c r="CP5">
        <v>-2.4245362661989844E-14</v>
      </c>
      <c r="CQ5" t="s">
        <v>1753</v>
      </c>
      <c r="CR5">
        <v>2022</v>
      </c>
      <c r="CS5" t="s">
        <v>4846</v>
      </c>
      <c r="CT5" s="6">
        <v>44973</v>
      </c>
      <c r="CU5">
        <v>5</v>
      </c>
      <c r="CV5">
        <v>-2.4245362661989844E-14</v>
      </c>
      <c r="CW5">
        <v>20045404</v>
      </c>
      <c r="CX5" t="s">
        <v>5106</v>
      </c>
      <c r="DA5" t="str">
        <f>_xll.BDS("SGEN US Equity","SUPPLY_CHAIN_CUSTOMERS_ALL_DATA","cols=12;rows=5")</f>
        <v>2701832Z LN Equity</v>
      </c>
      <c r="DB5">
        <v>-2.4245362661989844E-14</v>
      </c>
      <c r="DD5">
        <v>-2.4245362661989844E-14</v>
      </c>
      <c r="DE5" t="s">
        <v>1774</v>
      </c>
      <c r="DF5">
        <v>2023</v>
      </c>
      <c r="DG5" t="s">
        <v>4844</v>
      </c>
      <c r="DH5" s="6">
        <v>45140</v>
      </c>
      <c r="DI5">
        <v>5</v>
      </c>
      <c r="DJ5">
        <v>-2.4245362661989844E-14</v>
      </c>
      <c r="DK5">
        <v>14220720</v>
      </c>
      <c r="DL5" t="s">
        <v>4845</v>
      </c>
      <c r="DQ5" t="str">
        <f>_xll.BDS("9995577D US Equity","SUPPLY_CHAIN_SUPPLIERS_ALL_DATA")</f>
        <v>#N/A N/A</v>
      </c>
      <c r="EE5" t="str">
        <f>_xll.BDS("9995577D US Equity","SUPPLY_CHAIN_CUSTOMERS_ALL_DATA")</f>
        <v>#N/A N/A</v>
      </c>
      <c r="EU5" t="str">
        <f>_xll.BDS("0882814D US Equity","SUPPLY_CHAIN_SUPPLIERS_ALL_DATA")</f>
        <v>#N/A N/A</v>
      </c>
      <c r="FI5" t="str">
        <f>_xll.BDS("0882814D US Equity","SUPPLY_CHAIN_CUSTOMERS_ALL_DATA")</f>
        <v>#N/A N/A</v>
      </c>
      <c r="FY5" t="str">
        <f>_xll.BDS("GILD US Equity","SUPPLY_CHAIN_SUPPLIERS_ALL_DATA","cols=12;rows=5")</f>
        <v>JNJ US Equity</v>
      </c>
      <c r="FZ5" t="s">
        <v>1752</v>
      </c>
      <c r="GA5">
        <v>0.39174900000000001</v>
      </c>
      <c r="GB5">
        <v>5.9191529999999997</v>
      </c>
      <c r="GC5" t="s">
        <v>1753</v>
      </c>
      <c r="GD5">
        <v>2025</v>
      </c>
      <c r="GE5" t="s">
        <v>3657</v>
      </c>
      <c r="GF5" s="6">
        <v>46077</v>
      </c>
      <c r="GG5">
        <v>5</v>
      </c>
      <c r="GH5">
        <v>92250000</v>
      </c>
      <c r="GI5">
        <v>100828</v>
      </c>
      <c r="GJ5" t="s">
        <v>2578</v>
      </c>
      <c r="GM5" t="str">
        <f>_xll.BDS("GILD US Equity","SUPPLY_CHAIN_CUSTOMERS_ALL_DATA","cols=12;rows=5")</f>
        <v>CAH US Equity</v>
      </c>
      <c r="GN5">
        <v>29</v>
      </c>
      <c r="GO5" t="s">
        <v>1752</v>
      </c>
      <c r="GP5">
        <v>3.6236459999999999</v>
      </c>
      <c r="GQ5" t="s">
        <v>1753</v>
      </c>
      <c r="GR5">
        <v>2025</v>
      </c>
      <c r="GS5" t="s">
        <v>3657</v>
      </c>
      <c r="GT5" s="6">
        <v>46077</v>
      </c>
      <c r="GU5">
        <v>5</v>
      </c>
      <c r="GV5">
        <v>2134617472</v>
      </c>
      <c r="GW5">
        <v>102782</v>
      </c>
      <c r="GX5" t="s">
        <v>1991</v>
      </c>
      <c r="HC5" t="str">
        <f>_xll.BDS("STCN US Equity","SUPPLY_CHAIN_SUPPLIERS_ALL_DATA")</f>
        <v>#N/A N/A</v>
      </c>
      <c r="HQ5" t="str">
        <f>_xll.BDS("STCN US Equity","SUPPLY_CHAIN_CUSTOMERS_ALL_DATA","cols=12;rows=3")</f>
        <v>992 HK Equity</v>
      </c>
      <c r="HR5">
        <v>-2.4245362661989844E-14</v>
      </c>
      <c r="HT5">
        <v>-2.4245362661989844E-14</v>
      </c>
      <c r="HU5" t="s">
        <v>1753</v>
      </c>
      <c r="HV5">
        <v>2024</v>
      </c>
      <c r="HW5" t="s">
        <v>5150</v>
      </c>
      <c r="HX5" s="6">
        <v>45504</v>
      </c>
      <c r="HY5">
        <v>3</v>
      </c>
      <c r="HZ5">
        <v>-2.4245362661989844E-14</v>
      </c>
      <c r="IA5">
        <v>130929</v>
      </c>
      <c r="IB5" t="s">
        <v>2336</v>
      </c>
      <c r="IG5" t="str">
        <f>_xll.BDS("ABT US Equity","SUPPLY_CHAIN_SUPPLIERS_ALL_DATA","cols=12;rows=5")</f>
        <v>MSFT US Equity</v>
      </c>
      <c r="IH5" t="s">
        <v>1752</v>
      </c>
      <c r="II5">
        <v>5.0347999999999997E-2</v>
      </c>
      <c r="IJ5">
        <v>0.78954400000000002</v>
      </c>
      <c r="IK5" t="s">
        <v>1788</v>
      </c>
      <c r="IL5">
        <v>2025</v>
      </c>
      <c r="IM5" t="s">
        <v>2491</v>
      </c>
      <c r="IN5" s="6">
        <v>45843</v>
      </c>
      <c r="IO5">
        <v>5</v>
      </c>
      <c r="IP5">
        <v>35276832</v>
      </c>
      <c r="IQ5">
        <v>101743</v>
      </c>
      <c r="IR5" t="s">
        <v>2156</v>
      </c>
      <c r="IU5" t="str">
        <f>_xll.BDS("ABT US Equity","SUPPLY_CHAIN_CUSTOMERS_ALL_DATA","cols=12;rows=5")</f>
        <v>SNX US Equity</v>
      </c>
      <c r="IV5">
        <v>0.37113800000000002</v>
      </c>
      <c r="IW5" t="s">
        <v>1752</v>
      </c>
      <c r="IX5">
        <v>0.260712</v>
      </c>
      <c r="IY5" t="s">
        <v>1825</v>
      </c>
      <c r="IZ5">
        <v>2025</v>
      </c>
      <c r="JA5" t="s">
        <v>1826</v>
      </c>
      <c r="JB5" s="6">
        <v>46056</v>
      </c>
      <c r="JC5">
        <v>5</v>
      </c>
      <c r="JD5">
        <v>42194648</v>
      </c>
      <c r="JE5">
        <v>1499717</v>
      </c>
      <c r="JF5" t="s">
        <v>1827</v>
      </c>
      <c r="JK5" t="str">
        <f>_xll.BDS("987200Q US Equity","SUPPLY_CHAIN_SUPPLIERS_ALL_DATA")</f>
        <v>#N/A N/A</v>
      </c>
      <c r="JY5" t="str">
        <f>_xll.BDS("987200Q US Equity","SUPPLY_CHAIN_CUSTOMERS_ALL_DATA")</f>
        <v>#N/A N/A</v>
      </c>
      <c r="KO5" t="str">
        <f>_xll.BDS("IBEMQ US Equity","SUPPLY_CHAIN_SUPPLIERS_ALL_DATA")</f>
        <v>#N/A N/A</v>
      </c>
      <c r="LC5" t="str">
        <f>_xll.BDS("IBEMQ US Equity","SUPPLY_CHAIN_CUSTOMERS_ALL_DATA")</f>
        <v>#N/A N/A</v>
      </c>
      <c r="LS5" t="str">
        <f>_xll.BDS("RBPAA US Equity","SUPPLY_CHAIN_SUPPLIERS_ALL_DATA")</f>
        <v>#N/A N/A</v>
      </c>
      <c r="MG5" t="str">
        <f>_xll.BDS("RBPAA US Equity","SUPPLY_CHAIN_CUSTOMERS_ALL_DATA")</f>
        <v>#N/A N/A</v>
      </c>
      <c r="MW5" t="str">
        <f>_xll.BDS("VIAV US Equity","SUPPLY_CHAIN_SUPPLIERS_ALL_DATA","cols=12;rows=5")</f>
        <v>TCS IN Equity</v>
      </c>
      <c r="MX5" t="s">
        <v>1940</v>
      </c>
      <c r="MY5">
        <v>5.8825000000000002E-2</v>
      </c>
      <c r="MZ5">
        <v>3.4862989999999998</v>
      </c>
      <c r="NA5" t="s">
        <v>1788</v>
      </c>
      <c r="NB5">
        <v>2026</v>
      </c>
      <c r="NC5" t="s">
        <v>3659</v>
      </c>
      <c r="ND5" s="6">
        <v>46058</v>
      </c>
      <c r="NE5">
        <v>5</v>
      </c>
      <c r="NF5">
        <v>4429338.2300000004</v>
      </c>
      <c r="NG5">
        <v>7259059</v>
      </c>
      <c r="NH5" t="s">
        <v>2008</v>
      </c>
      <c r="NK5" t="str">
        <f>_xll.BDS("VIAV US Equity","SUPPLY_CHAIN_CUSTOMERS_ALL_DATA","cols=12;rows=5")</f>
        <v>582647Z SW Equity</v>
      </c>
      <c r="NL5">
        <v>14.345955</v>
      </c>
      <c r="NN5">
        <v>-2.4245362661989844E-14</v>
      </c>
      <c r="NO5" t="s">
        <v>1825</v>
      </c>
      <c r="NP5">
        <v>2025</v>
      </c>
      <c r="NQ5" t="s">
        <v>2641</v>
      </c>
      <c r="NR5" s="6">
        <v>45894</v>
      </c>
      <c r="NS5">
        <v>5</v>
      </c>
      <c r="NT5">
        <v>41675000</v>
      </c>
      <c r="NU5">
        <v>9020850</v>
      </c>
      <c r="NV5" t="s">
        <v>4769</v>
      </c>
      <c r="OA5" t="str">
        <f>_xll.BDS("BKB US Equity","SUPPLY_CHAIN_SUPPLIERS_ALL_DATA")</f>
        <v>#N/A N/A</v>
      </c>
      <c r="OO5" t="str">
        <f>_xll.BDS("BKB US Equity","SUPPLY_CHAIN_CUSTOMERS_ALL_DATA")</f>
        <v>#N/A N/A</v>
      </c>
      <c r="PE5" t="str">
        <f>_xll.BDS("nan Equity","SUPPLY_CHAIN_SUPPLIERS_ALL_DATA")</f>
        <v>#N/A N/A</v>
      </c>
      <c r="PS5" t="str">
        <f>_xll.BDS("nan Equity","SUPPLY_CHAIN_CUSTOMERS_ALL_DATA")</f>
        <v>#N/A N/A</v>
      </c>
      <c r="QI5" t="str">
        <f>_xll.BDS("SCHL US Equity","SUPPLY_CHAIN_SUPPLIERS_ALL_DATA","cols=12;rows=4")</f>
        <v>XPO US Equity</v>
      </c>
      <c r="QJ5" t="s">
        <v>1752</v>
      </c>
      <c r="QK5">
        <v>4.4409999999999996E-3</v>
      </c>
      <c r="QL5">
        <v>4.4560000000000002E-2</v>
      </c>
      <c r="QM5" t="s">
        <v>1774</v>
      </c>
      <c r="QN5">
        <v>2025</v>
      </c>
      <c r="QO5" t="s">
        <v>2245</v>
      </c>
      <c r="QP5" s="6">
        <v>45916</v>
      </c>
      <c r="QQ5">
        <v>4</v>
      </c>
      <c r="QR5">
        <v>92373</v>
      </c>
      <c r="QS5">
        <v>7359873</v>
      </c>
      <c r="QT5" t="s">
        <v>2246</v>
      </c>
      <c r="QW5" t="str">
        <f>_xll.BDS("SCHL US Equity","SUPPLY_CHAIN_CUSTOMERS_ALL_DATA","cols=12;rows=1")</f>
        <v>CNVS US Equity</v>
      </c>
      <c r="QX5">
        <v>-2.4245362661989844E-14</v>
      </c>
      <c r="QZ5">
        <v>-2.4245362661989844E-14</v>
      </c>
      <c r="RA5" t="s">
        <v>1753</v>
      </c>
      <c r="RB5">
        <v>2022</v>
      </c>
      <c r="RC5" t="s">
        <v>5811</v>
      </c>
      <c r="RD5" s="6">
        <v>44743</v>
      </c>
      <c r="RE5">
        <v>1</v>
      </c>
      <c r="RF5">
        <v>-2.4245362661989844E-14</v>
      </c>
      <c r="RG5">
        <v>8334467</v>
      </c>
      <c r="RH5" t="s">
        <v>5812</v>
      </c>
      <c r="RM5" t="str">
        <f>_xll.BDS("IPIXQ US Equity","SUPPLY_CHAIN_SUPPLIERS_ALL_DATA")</f>
        <v>#N/A N/A</v>
      </c>
      <c r="SA5" t="str">
        <f>_xll.BDS("IPIXQ US Equity","SUPPLY_CHAIN_CUSTOMERS_ALL_DATA")</f>
        <v>#N/A N/A</v>
      </c>
      <c r="SQ5" t="str">
        <f>_xll.BDS("CCBI US Equity","SUPPLY_CHAIN_SUPPLIERS_ALL_DATA")</f>
        <v>#N/A N/A</v>
      </c>
      <c r="TE5" t="str">
        <f>_xll.BDS("CCBI US Equity","SUPPLY_CHAIN_CUSTOMERS_ALL_DATA")</f>
        <v>#N/A N/A</v>
      </c>
      <c r="TU5" t="str">
        <f>_xll.BDS("1920486D US Equity","SUPPLY_CHAIN_SUPPLIERS_ALL_DATA")</f>
        <v>#N/A N/A</v>
      </c>
      <c r="UI5" t="str">
        <f>_xll.BDS("1920486D US Equity","SUPPLY_CHAIN_CUSTOMERS_ALL_DATA")</f>
        <v>#N/A N/A</v>
      </c>
      <c r="UY5" t="str">
        <f>_xll.BDS("CMTL US Equity","SUPPLY_CHAIN_SUPPLIERS_ALL_DATA","cols=12;rows=5")</f>
        <v>FEIM US Equity</v>
      </c>
      <c r="UZ5" t="s">
        <v>1752</v>
      </c>
      <c r="VA5">
        <v>3.3870999999999998E-2</v>
      </c>
      <c r="VB5">
        <v>5.326E-3</v>
      </c>
      <c r="VC5" t="s">
        <v>1781</v>
      </c>
      <c r="VD5">
        <v>2026</v>
      </c>
      <c r="VE5" t="s">
        <v>4825</v>
      </c>
      <c r="VF5" s="6">
        <v>45926</v>
      </c>
      <c r="VG5">
        <v>5</v>
      </c>
      <c r="VH5">
        <v>4678</v>
      </c>
      <c r="VI5">
        <v>103815</v>
      </c>
      <c r="VJ5" t="s">
        <v>4826</v>
      </c>
      <c r="VM5" t="str">
        <f>_xll.BDS("CMTL US Equity","SUPPLY_CHAIN_CUSTOMERS_ALL_DATA","cols=12;rows=5")</f>
        <v>3352Z US Equity</v>
      </c>
      <c r="VN5">
        <v>19.518229999999999</v>
      </c>
      <c r="VP5">
        <v>-2.4245362661989844E-14</v>
      </c>
      <c r="VQ5" t="s">
        <v>1781</v>
      </c>
      <c r="VR5">
        <v>2026</v>
      </c>
      <c r="VS5" t="s">
        <v>4381</v>
      </c>
      <c r="VT5" s="6">
        <v>46002</v>
      </c>
      <c r="VU5">
        <v>5</v>
      </c>
      <c r="VV5">
        <v>21671482</v>
      </c>
      <c r="VW5">
        <v>218252</v>
      </c>
      <c r="VX5" t="s">
        <v>1793</v>
      </c>
    </row>
    <row r="6" spans="1:600" x14ac:dyDescent="0.25">
      <c r="AE6" t="s">
        <v>4443</v>
      </c>
      <c r="AF6" t="s">
        <v>1752</v>
      </c>
      <c r="AG6">
        <v>3.0951559999999998</v>
      </c>
      <c r="AH6">
        <v>0.73112999999999995</v>
      </c>
      <c r="AI6" t="s">
        <v>1774</v>
      </c>
      <c r="AJ6">
        <v>2025</v>
      </c>
      <c r="AK6" t="s">
        <v>4739</v>
      </c>
      <c r="AL6" s="6">
        <v>45882</v>
      </c>
      <c r="AM6">
        <v>5</v>
      </c>
      <c r="AN6">
        <v>8821383.5199999996</v>
      </c>
      <c r="AO6">
        <v>49328078</v>
      </c>
      <c r="AP6" t="s">
        <v>4446</v>
      </c>
      <c r="AS6" t="s">
        <v>1871</v>
      </c>
      <c r="AT6">
        <v>11.000161</v>
      </c>
      <c r="AU6" t="s">
        <v>1828</v>
      </c>
      <c r="AV6">
        <v>4.6528710000000002</v>
      </c>
      <c r="AW6" t="s">
        <v>1774</v>
      </c>
      <c r="AX6">
        <v>2026</v>
      </c>
      <c r="AY6" t="s">
        <v>2286</v>
      </c>
      <c r="AZ6" s="6">
        <v>46063</v>
      </c>
      <c r="BA6">
        <v>5</v>
      </c>
      <c r="BB6">
        <v>362691360</v>
      </c>
      <c r="BC6">
        <v>117929</v>
      </c>
      <c r="BD6" t="s">
        <v>1873</v>
      </c>
      <c r="BI6" t="s">
        <v>1764</v>
      </c>
      <c r="BK6">
        <v>-2.4245362661989844E-14</v>
      </c>
      <c r="BL6">
        <v>-2.4245362661989844E-14</v>
      </c>
      <c r="BM6" t="s">
        <v>1753</v>
      </c>
      <c r="BN6">
        <v>2021</v>
      </c>
      <c r="BO6" t="s">
        <v>2190</v>
      </c>
      <c r="BP6" s="6">
        <v>44641</v>
      </c>
      <c r="BQ6">
        <v>5</v>
      </c>
      <c r="BR6">
        <v>-2.4245362661989844E-14</v>
      </c>
      <c r="BS6">
        <v>227699</v>
      </c>
      <c r="BT6" t="s">
        <v>1766</v>
      </c>
      <c r="BW6" t="s">
        <v>1985</v>
      </c>
      <c r="BX6">
        <v>-2.4245362661989844E-14</v>
      </c>
      <c r="BZ6">
        <v>-2.4245362661989844E-14</v>
      </c>
      <c r="CA6" t="s">
        <v>1788</v>
      </c>
      <c r="CB6">
        <v>2022</v>
      </c>
      <c r="CC6" t="s">
        <v>1986</v>
      </c>
      <c r="CD6" s="6">
        <v>44789</v>
      </c>
      <c r="CE6">
        <v>5</v>
      </c>
      <c r="CF6">
        <v>-2.4245362661989844E-14</v>
      </c>
      <c r="CG6">
        <v>17074135</v>
      </c>
      <c r="CH6" t="s">
        <v>1987</v>
      </c>
      <c r="CM6" t="s">
        <v>4719</v>
      </c>
      <c r="CO6">
        <v>-2.4245362661989844E-14</v>
      </c>
      <c r="CP6">
        <v>-2.4245362661989844E-14</v>
      </c>
      <c r="CQ6" t="s">
        <v>1788</v>
      </c>
      <c r="CR6">
        <v>2023</v>
      </c>
      <c r="CS6" t="s">
        <v>4847</v>
      </c>
      <c r="CT6" s="6">
        <v>45231</v>
      </c>
      <c r="CU6">
        <v>5</v>
      </c>
      <c r="CV6">
        <v>-2.4245362661989844E-14</v>
      </c>
      <c r="CW6">
        <v>114881</v>
      </c>
      <c r="CX6" t="s">
        <v>4721</v>
      </c>
      <c r="DA6" t="s">
        <v>1791</v>
      </c>
      <c r="DB6">
        <v>-2.4245362661989844E-14</v>
      </c>
      <c r="DD6">
        <v>-2.4245362661989844E-14</v>
      </c>
      <c r="DE6" t="s">
        <v>1753</v>
      </c>
      <c r="DF6">
        <v>2022</v>
      </c>
      <c r="DG6" t="s">
        <v>4846</v>
      </c>
      <c r="DH6" s="6">
        <v>44973</v>
      </c>
      <c r="DI6">
        <v>5</v>
      </c>
      <c r="DJ6">
        <v>-2.4245362661989844E-14</v>
      </c>
      <c r="DK6">
        <v>218252</v>
      </c>
      <c r="DL6" t="s">
        <v>1793</v>
      </c>
      <c r="FY6" t="s">
        <v>5378</v>
      </c>
      <c r="FZ6" t="s">
        <v>1752</v>
      </c>
      <c r="GA6">
        <v>87.357474999999994</v>
      </c>
      <c r="GB6">
        <v>4.166086</v>
      </c>
      <c r="GC6" t="s">
        <v>1753</v>
      </c>
      <c r="GD6">
        <v>2024</v>
      </c>
      <c r="GE6" t="s">
        <v>5379</v>
      </c>
      <c r="GF6" s="6">
        <v>45744</v>
      </c>
      <c r="GG6">
        <v>5</v>
      </c>
      <c r="GH6">
        <v>65124360</v>
      </c>
      <c r="GI6">
        <v>1421851</v>
      </c>
      <c r="GJ6" t="s">
        <v>5380</v>
      </c>
      <c r="GM6" t="s">
        <v>2341</v>
      </c>
      <c r="GN6">
        <v>24</v>
      </c>
      <c r="GO6" t="s">
        <v>1752</v>
      </c>
      <c r="GP6">
        <v>1.8410839999999999</v>
      </c>
      <c r="GQ6" t="s">
        <v>1753</v>
      </c>
      <c r="GR6">
        <v>2025</v>
      </c>
      <c r="GS6" t="s">
        <v>3657</v>
      </c>
      <c r="GT6" s="6">
        <v>46077</v>
      </c>
      <c r="GU6">
        <v>5</v>
      </c>
      <c r="GV6">
        <v>1766579968</v>
      </c>
      <c r="GW6">
        <v>154936</v>
      </c>
      <c r="GX6" t="s">
        <v>2342</v>
      </c>
      <c r="HQ6" t="s">
        <v>4138</v>
      </c>
      <c r="HR6">
        <v>-2.4245362661989844E-14</v>
      </c>
      <c r="HT6">
        <v>-2.4245362661989844E-14</v>
      </c>
      <c r="HU6" t="s">
        <v>1774</v>
      </c>
      <c r="HV6">
        <v>2024</v>
      </c>
      <c r="HW6" t="s">
        <v>4139</v>
      </c>
      <c r="HX6" s="6">
        <v>45496</v>
      </c>
      <c r="HY6">
        <v>3</v>
      </c>
      <c r="HZ6">
        <v>-2.4245362661989844E-14</v>
      </c>
      <c r="IA6">
        <v>8339663</v>
      </c>
      <c r="IB6" t="s">
        <v>4140</v>
      </c>
      <c r="IG6" t="s">
        <v>3204</v>
      </c>
      <c r="IH6" t="s">
        <v>1940</v>
      </c>
      <c r="II6">
        <v>9.5382999999999996E-2</v>
      </c>
      <c r="IJ6">
        <v>1.0817209999999999</v>
      </c>
      <c r="IK6" t="s">
        <v>1781</v>
      </c>
      <c r="IL6">
        <v>2026</v>
      </c>
      <c r="IM6" t="s">
        <v>3205</v>
      </c>
      <c r="IN6" s="6">
        <v>45973</v>
      </c>
      <c r="IO6">
        <v>5</v>
      </c>
      <c r="IP6">
        <v>32671380.140000001</v>
      </c>
      <c r="IQ6">
        <v>16857643</v>
      </c>
      <c r="IR6" t="s">
        <v>3206</v>
      </c>
      <c r="IU6" t="s">
        <v>1643</v>
      </c>
      <c r="IV6">
        <v>0.16034200000000001</v>
      </c>
      <c r="IW6" t="s">
        <v>1752</v>
      </c>
      <c r="IX6">
        <v>12.286398</v>
      </c>
      <c r="IY6" t="s">
        <v>1753</v>
      </c>
      <c r="IZ6">
        <v>2025</v>
      </c>
      <c r="JA6" t="s">
        <v>1754</v>
      </c>
      <c r="JB6" s="6">
        <v>45856</v>
      </c>
      <c r="JC6">
        <v>5</v>
      </c>
      <c r="JD6">
        <v>17393065.039999999</v>
      </c>
      <c r="JE6">
        <v>169572</v>
      </c>
      <c r="JF6" t="s">
        <v>4220</v>
      </c>
      <c r="MW6" t="s">
        <v>772</v>
      </c>
      <c r="MX6" t="s">
        <v>1752</v>
      </c>
      <c r="MY6">
        <v>7.7144000000000004E-2</v>
      </c>
      <c r="MZ6">
        <v>0.39272200000000002</v>
      </c>
      <c r="NA6" t="s">
        <v>1781</v>
      </c>
      <c r="NB6">
        <v>2025</v>
      </c>
      <c r="NC6" t="s">
        <v>2953</v>
      </c>
      <c r="ND6" s="6">
        <v>45793</v>
      </c>
      <c r="NE6">
        <v>5</v>
      </c>
      <c r="NF6">
        <v>487368</v>
      </c>
      <c r="NG6">
        <v>102417</v>
      </c>
      <c r="NH6" t="s">
        <v>2954</v>
      </c>
      <c r="NK6" t="s">
        <v>484</v>
      </c>
      <c r="NL6">
        <v>3.4109419999999999</v>
      </c>
      <c r="NM6" t="s">
        <v>1752</v>
      </c>
      <c r="NN6">
        <v>1.9692000000000001E-2</v>
      </c>
      <c r="NO6" t="s">
        <v>1825</v>
      </c>
      <c r="NP6">
        <v>2025</v>
      </c>
      <c r="NQ6" t="s">
        <v>2641</v>
      </c>
      <c r="NR6" s="6">
        <v>45894</v>
      </c>
      <c r="NS6">
        <v>5</v>
      </c>
      <c r="NT6">
        <v>9908787</v>
      </c>
      <c r="NU6">
        <v>101695</v>
      </c>
      <c r="NV6" t="s">
        <v>3011</v>
      </c>
      <c r="QI6" t="s">
        <v>4877</v>
      </c>
      <c r="QK6">
        <v>-2.4245362661989844E-14</v>
      </c>
      <c r="QL6">
        <v>-2.4245362661989844E-14</v>
      </c>
      <c r="QM6" t="s">
        <v>1781</v>
      </c>
      <c r="QN6">
        <v>2024</v>
      </c>
      <c r="QO6" t="s">
        <v>5905</v>
      </c>
      <c r="QP6" s="6">
        <v>45420</v>
      </c>
      <c r="QQ6">
        <v>4</v>
      </c>
      <c r="QR6">
        <v>-2.4245362661989844E-14</v>
      </c>
      <c r="QS6">
        <v>11213545</v>
      </c>
      <c r="QT6" t="s">
        <v>4879</v>
      </c>
      <c r="UY6" t="s">
        <v>4827</v>
      </c>
      <c r="VA6">
        <v>-2.4245362661989844E-14</v>
      </c>
      <c r="VB6">
        <v>-2.4245362661989844E-14</v>
      </c>
      <c r="VC6" t="s">
        <v>1753</v>
      </c>
      <c r="VD6">
        <v>2023</v>
      </c>
      <c r="VE6" t="s">
        <v>4828</v>
      </c>
      <c r="VF6" s="6">
        <v>45212</v>
      </c>
      <c r="VG6">
        <v>5</v>
      </c>
      <c r="VH6">
        <v>-2.4245362661989844E-14</v>
      </c>
      <c r="VI6">
        <v>45503453</v>
      </c>
      <c r="VJ6" t="s">
        <v>4829</v>
      </c>
      <c r="VM6" t="s">
        <v>1144</v>
      </c>
      <c r="VN6">
        <v>9.4819270000000007</v>
      </c>
      <c r="VO6" t="s">
        <v>1828</v>
      </c>
      <c r="VP6">
        <v>0.29003299999999999</v>
      </c>
      <c r="VQ6" t="s">
        <v>1788</v>
      </c>
      <c r="VR6">
        <v>2025</v>
      </c>
      <c r="VS6" t="s">
        <v>4382</v>
      </c>
      <c r="VT6" s="6">
        <v>45848</v>
      </c>
      <c r="VU6">
        <v>5</v>
      </c>
      <c r="VV6">
        <v>12021851</v>
      </c>
      <c r="VW6">
        <v>100185</v>
      </c>
      <c r="VX6" t="s">
        <v>4383</v>
      </c>
    </row>
    <row r="7" spans="1:600" x14ac:dyDescent="0.25">
      <c r="AE7" t="s">
        <v>5198</v>
      </c>
      <c r="AF7" t="s">
        <v>1752</v>
      </c>
      <c r="AG7">
        <v>1.640188</v>
      </c>
      <c r="AH7">
        <v>0.67292700000000005</v>
      </c>
      <c r="AI7" t="s">
        <v>1788</v>
      </c>
      <c r="AJ7">
        <v>2025</v>
      </c>
      <c r="AK7" t="s">
        <v>5199</v>
      </c>
      <c r="AL7" s="6">
        <v>46036</v>
      </c>
      <c r="AM7">
        <v>5</v>
      </c>
      <c r="AN7">
        <v>8364959</v>
      </c>
      <c r="AO7">
        <v>8597928</v>
      </c>
      <c r="AP7" t="s">
        <v>5200</v>
      </c>
      <c r="AS7" t="s">
        <v>2280</v>
      </c>
      <c r="AT7">
        <v>4.9560279999999999</v>
      </c>
      <c r="AU7" t="s">
        <v>1828</v>
      </c>
      <c r="AV7">
        <v>3.032241</v>
      </c>
      <c r="AW7" t="s">
        <v>1774</v>
      </c>
      <c r="AX7">
        <v>2026</v>
      </c>
      <c r="AY7" t="s">
        <v>2286</v>
      </c>
      <c r="AZ7" s="6">
        <v>46063</v>
      </c>
      <c r="BA7">
        <v>5</v>
      </c>
      <c r="BB7">
        <v>163407472</v>
      </c>
      <c r="BC7">
        <v>100995</v>
      </c>
      <c r="BD7" t="s">
        <v>2282</v>
      </c>
      <c r="BI7" t="s">
        <v>2191</v>
      </c>
      <c r="BK7">
        <v>-2.4245362661989844E-14</v>
      </c>
      <c r="BL7">
        <v>-2.4245362661989844E-14</v>
      </c>
      <c r="BM7" t="s">
        <v>1788</v>
      </c>
      <c r="BN7">
        <v>2022</v>
      </c>
      <c r="BO7" t="s">
        <v>1986</v>
      </c>
      <c r="BP7" s="6">
        <v>44789</v>
      </c>
      <c r="BQ7">
        <v>5</v>
      </c>
      <c r="BR7">
        <v>-2.4245362661989844E-14</v>
      </c>
      <c r="BS7">
        <v>33866804</v>
      </c>
      <c r="BT7" t="s">
        <v>2192</v>
      </c>
      <c r="BW7" t="s">
        <v>1791</v>
      </c>
      <c r="BX7">
        <v>-2.4245362661989844E-14</v>
      </c>
      <c r="BZ7">
        <v>-2.4245362661989844E-14</v>
      </c>
      <c r="CA7" t="s">
        <v>1753</v>
      </c>
      <c r="CB7">
        <v>2023</v>
      </c>
      <c r="CC7" t="s">
        <v>1983</v>
      </c>
      <c r="CD7" s="6">
        <v>45357</v>
      </c>
      <c r="CE7">
        <v>5</v>
      </c>
      <c r="CF7">
        <v>-2.4245362661989844E-14</v>
      </c>
      <c r="CG7">
        <v>218252</v>
      </c>
      <c r="CH7" t="s">
        <v>1793</v>
      </c>
      <c r="CM7" t="s">
        <v>4848</v>
      </c>
      <c r="CO7">
        <v>-2.4245362661989844E-14</v>
      </c>
      <c r="CP7">
        <v>-2.4245362661989844E-14</v>
      </c>
      <c r="CQ7" t="s">
        <v>1842</v>
      </c>
      <c r="CR7">
        <v>2024</v>
      </c>
      <c r="CS7" t="s">
        <v>5107</v>
      </c>
      <c r="CT7" s="6">
        <v>45231</v>
      </c>
      <c r="CU7">
        <v>5</v>
      </c>
      <c r="CV7">
        <v>-2.4245362661989844E-14</v>
      </c>
      <c r="CW7">
        <v>115174</v>
      </c>
      <c r="CX7" t="s">
        <v>4849</v>
      </c>
      <c r="DA7" t="s">
        <v>4719</v>
      </c>
      <c r="DB7">
        <v>-2.4245362661989844E-14</v>
      </c>
      <c r="DD7">
        <v>-2.4245362661989844E-14</v>
      </c>
      <c r="DE7" t="s">
        <v>1788</v>
      </c>
      <c r="DF7">
        <v>2023</v>
      </c>
      <c r="DG7" t="s">
        <v>4847</v>
      </c>
      <c r="DH7" s="6">
        <v>45231</v>
      </c>
      <c r="DI7">
        <v>5</v>
      </c>
      <c r="DJ7">
        <v>-2.4245362661989844E-14</v>
      </c>
      <c r="DK7">
        <v>114881</v>
      </c>
      <c r="DL7" t="s">
        <v>4721</v>
      </c>
      <c r="FY7" t="s">
        <v>5381</v>
      </c>
      <c r="FZ7" t="s">
        <v>1752</v>
      </c>
      <c r="GA7">
        <v>0.48287799999999997</v>
      </c>
      <c r="GB7">
        <v>1.7965990000000001</v>
      </c>
      <c r="GC7" t="s">
        <v>1753</v>
      </c>
      <c r="GD7">
        <v>2025</v>
      </c>
      <c r="GE7" t="s">
        <v>3657</v>
      </c>
      <c r="GF7" s="6">
        <v>46077</v>
      </c>
      <c r="GG7">
        <v>5</v>
      </c>
      <c r="GH7">
        <v>28000000</v>
      </c>
      <c r="GI7">
        <v>153205</v>
      </c>
      <c r="GJ7" t="s">
        <v>5382</v>
      </c>
      <c r="GM7" t="s">
        <v>1545</v>
      </c>
      <c r="GN7">
        <v>21</v>
      </c>
      <c r="GO7" t="s">
        <v>1752</v>
      </c>
      <c r="GP7">
        <v>1.9704660000000001</v>
      </c>
      <c r="GQ7" t="s">
        <v>1753</v>
      </c>
      <c r="GR7">
        <v>2025</v>
      </c>
      <c r="GS7" t="s">
        <v>3657</v>
      </c>
      <c r="GT7" s="6">
        <v>46077</v>
      </c>
      <c r="GU7">
        <v>5</v>
      </c>
      <c r="GV7">
        <v>1545757440</v>
      </c>
      <c r="GW7">
        <v>156969</v>
      </c>
      <c r="GX7" t="s">
        <v>2340</v>
      </c>
      <c r="HQ7" t="s">
        <v>2808</v>
      </c>
      <c r="HR7">
        <v>-2.4245362661989844E-14</v>
      </c>
      <c r="HT7">
        <v>-2.4245362661989844E-14</v>
      </c>
      <c r="HU7" t="s">
        <v>1753</v>
      </c>
      <c r="HV7">
        <v>2024</v>
      </c>
      <c r="HW7" t="s">
        <v>5151</v>
      </c>
      <c r="HX7" s="6">
        <v>45331</v>
      </c>
      <c r="HY7">
        <v>3</v>
      </c>
      <c r="HZ7">
        <v>-2.4245362661989844E-14</v>
      </c>
      <c r="IA7">
        <v>101729</v>
      </c>
      <c r="IB7" t="s">
        <v>2810</v>
      </c>
      <c r="IG7" t="s">
        <v>3444</v>
      </c>
      <c r="IH7" t="s">
        <v>1752</v>
      </c>
      <c r="II7">
        <v>0.54199799999999998</v>
      </c>
      <c r="IJ7">
        <v>0.58194000000000001</v>
      </c>
      <c r="IK7" t="s">
        <v>1774</v>
      </c>
      <c r="IL7">
        <v>2026</v>
      </c>
      <c r="IM7" t="s">
        <v>3445</v>
      </c>
      <c r="IN7" s="6">
        <v>46071</v>
      </c>
      <c r="IO7">
        <v>5</v>
      </c>
      <c r="IP7">
        <v>29533472</v>
      </c>
      <c r="IQ7">
        <v>61417091</v>
      </c>
      <c r="IR7" t="s">
        <v>3446</v>
      </c>
      <c r="IU7" t="s">
        <v>4221</v>
      </c>
      <c r="IV7">
        <v>4.6823999999999998E-2</v>
      </c>
      <c r="IW7" t="s">
        <v>1752</v>
      </c>
      <c r="IX7">
        <v>12.031086999999999</v>
      </c>
      <c r="IY7" t="s">
        <v>1753</v>
      </c>
      <c r="IZ7">
        <v>2024</v>
      </c>
      <c r="JA7" t="s">
        <v>4222</v>
      </c>
      <c r="JB7" s="6">
        <v>45785</v>
      </c>
      <c r="JC7">
        <v>5</v>
      </c>
      <c r="JD7">
        <v>5010938.38</v>
      </c>
      <c r="JE7">
        <v>33604341</v>
      </c>
      <c r="JF7" t="s">
        <v>4223</v>
      </c>
      <c r="MW7" t="s">
        <v>4958</v>
      </c>
      <c r="MX7" t="s">
        <v>1752</v>
      </c>
      <c r="MY7">
        <v>1.5336000000000001E-2</v>
      </c>
      <c r="MZ7">
        <v>6.4000000000000005E-4</v>
      </c>
      <c r="NA7" t="s">
        <v>1825</v>
      </c>
      <c r="NB7">
        <v>2025</v>
      </c>
      <c r="NC7" t="s">
        <v>4959</v>
      </c>
      <c r="ND7" s="6">
        <v>45984</v>
      </c>
      <c r="NE7">
        <v>5</v>
      </c>
      <c r="NF7">
        <v>777.3</v>
      </c>
      <c r="NG7">
        <v>31895721</v>
      </c>
      <c r="NH7" t="s">
        <v>4960</v>
      </c>
      <c r="NK7" t="s">
        <v>229</v>
      </c>
      <c r="NL7">
        <v>3.3635120000000001</v>
      </c>
      <c r="NM7" t="s">
        <v>1828</v>
      </c>
      <c r="NN7">
        <v>0.192884</v>
      </c>
      <c r="NO7" t="s">
        <v>1825</v>
      </c>
      <c r="NP7">
        <v>2025</v>
      </c>
      <c r="NQ7" t="s">
        <v>2641</v>
      </c>
      <c r="NR7" s="6">
        <v>45894</v>
      </c>
      <c r="NS7">
        <v>5</v>
      </c>
      <c r="NT7">
        <v>9771002</v>
      </c>
      <c r="NU7">
        <v>101376</v>
      </c>
      <c r="NV7" t="s">
        <v>2334</v>
      </c>
      <c r="QI7" t="s">
        <v>5906</v>
      </c>
      <c r="QK7">
        <v>-2.4245362661989844E-14</v>
      </c>
      <c r="QL7">
        <v>-2.4245362661989844E-14</v>
      </c>
      <c r="QM7" t="s">
        <v>1753</v>
      </c>
      <c r="QN7">
        <v>2022</v>
      </c>
      <c r="QO7" t="s">
        <v>5907</v>
      </c>
      <c r="QP7" s="6">
        <v>44846</v>
      </c>
      <c r="QQ7">
        <v>4</v>
      </c>
      <c r="QR7">
        <v>-2.4245362661989844E-14</v>
      </c>
      <c r="QS7">
        <v>8494807</v>
      </c>
      <c r="QT7" t="s">
        <v>5908</v>
      </c>
      <c r="UY7" t="s">
        <v>4830</v>
      </c>
      <c r="VA7">
        <v>-2.4245362661989844E-14</v>
      </c>
      <c r="VB7">
        <v>-2.4245362661989844E-14</v>
      </c>
      <c r="VC7" t="s">
        <v>1753</v>
      </c>
      <c r="VD7">
        <v>2023</v>
      </c>
      <c r="VE7" t="s">
        <v>4831</v>
      </c>
      <c r="VF7" s="6">
        <v>45280</v>
      </c>
      <c r="VG7">
        <v>5</v>
      </c>
      <c r="VH7">
        <v>-2.4245362661989844E-14</v>
      </c>
      <c r="VI7">
        <v>46370187</v>
      </c>
      <c r="VJ7" t="s">
        <v>4832</v>
      </c>
      <c r="VM7" t="s">
        <v>229</v>
      </c>
      <c r="VN7">
        <v>6.6615520000000004</v>
      </c>
      <c r="VO7" t="s">
        <v>1828</v>
      </c>
      <c r="VP7">
        <v>0.16672699999999999</v>
      </c>
      <c r="VQ7" t="s">
        <v>1788</v>
      </c>
      <c r="VR7">
        <v>2025</v>
      </c>
      <c r="VS7" t="s">
        <v>4382</v>
      </c>
      <c r="VT7" s="6">
        <v>45848</v>
      </c>
      <c r="VU7">
        <v>5</v>
      </c>
      <c r="VV7">
        <v>8445982</v>
      </c>
      <c r="VW7">
        <v>101376</v>
      </c>
      <c r="VX7" t="s">
        <v>2334</v>
      </c>
    </row>
    <row r="8" spans="1:600" x14ac:dyDescent="0.25">
      <c r="AE8" t="s">
        <v>533</v>
      </c>
      <c r="AF8" t="s">
        <v>1752</v>
      </c>
      <c r="AG8">
        <v>0.83339099999999999</v>
      </c>
      <c r="AH8">
        <v>0.66348700000000005</v>
      </c>
      <c r="AI8" t="s">
        <v>1781</v>
      </c>
      <c r="AJ8">
        <v>2025</v>
      </c>
      <c r="AK8" t="s">
        <v>3838</v>
      </c>
      <c r="AL8" s="6">
        <v>45813</v>
      </c>
      <c r="AM8">
        <v>5</v>
      </c>
      <c r="AN8">
        <v>7800540</v>
      </c>
      <c r="AO8">
        <v>302946</v>
      </c>
      <c r="AP8" t="s">
        <v>5201</v>
      </c>
      <c r="AS8" t="s">
        <v>2808</v>
      </c>
      <c r="AT8">
        <v>4.8534379999999997</v>
      </c>
      <c r="AU8" t="s">
        <v>1828</v>
      </c>
      <c r="AV8">
        <v>4.5878709999999998</v>
      </c>
      <c r="AW8" t="s">
        <v>1774</v>
      </c>
      <c r="AX8">
        <v>2026</v>
      </c>
      <c r="AY8" t="s">
        <v>2286</v>
      </c>
      <c r="AZ8" s="6">
        <v>46063</v>
      </c>
      <c r="BA8">
        <v>5</v>
      </c>
      <c r="BB8">
        <v>160024944</v>
      </c>
      <c r="BC8">
        <v>101729</v>
      </c>
      <c r="BD8" t="s">
        <v>2810</v>
      </c>
      <c r="BI8" t="s">
        <v>2193</v>
      </c>
      <c r="BK8">
        <v>-2.4245362661989844E-14</v>
      </c>
      <c r="BL8">
        <v>-2.4245362661989844E-14</v>
      </c>
      <c r="BM8" t="s">
        <v>1788</v>
      </c>
      <c r="BN8">
        <v>2023</v>
      </c>
      <c r="BO8" t="s">
        <v>2194</v>
      </c>
      <c r="BP8" s="6">
        <v>45236</v>
      </c>
      <c r="BQ8">
        <v>5</v>
      </c>
      <c r="BR8">
        <v>-2.4245362661989844E-14</v>
      </c>
      <c r="BS8">
        <v>62555598</v>
      </c>
      <c r="BT8" t="s">
        <v>2195</v>
      </c>
      <c r="BW8" t="s">
        <v>1988</v>
      </c>
      <c r="BX8">
        <v>-2.4245362661989844E-14</v>
      </c>
      <c r="BZ8">
        <v>-2.4245362661989844E-14</v>
      </c>
      <c r="CA8" t="s">
        <v>1753</v>
      </c>
      <c r="CB8">
        <v>2025</v>
      </c>
      <c r="CC8" t="s">
        <v>1989</v>
      </c>
      <c r="CD8" s="6">
        <v>45832</v>
      </c>
      <c r="CE8">
        <v>5</v>
      </c>
      <c r="CF8">
        <v>-2.4245362661989844E-14</v>
      </c>
      <c r="CG8">
        <v>114396</v>
      </c>
      <c r="CH8" t="s">
        <v>1990</v>
      </c>
      <c r="CM8" t="s">
        <v>5108</v>
      </c>
      <c r="CO8">
        <v>-2.4245362661989844E-14</v>
      </c>
      <c r="CP8">
        <v>-2.4245362661989844E-14</v>
      </c>
      <c r="CQ8" t="s">
        <v>1788</v>
      </c>
      <c r="CR8">
        <v>2022</v>
      </c>
      <c r="CS8" t="s">
        <v>5109</v>
      </c>
      <c r="CT8" s="6">
        <v>44861</v>
      </c>
      <c r="CU8">
        <v>5</v>
      </c>
      <c r="CV8">
        <v>-2.4245362661989844E-14</v>
      </c>
      <c r="CW8">
        <v>957280</v>
      </c>
      <c r="CX8" t="s">
        <v>5110</v>
      </c>
      <c r="DA8" t="s">
        <v>4848</v>
      </c>
      <c r="DB8">
        <v>-2.4245362661989844E-14</v>
      </c>
      <c r="DD8">
        <v>-2.4245362661989844E-14</v>
      </c>
      <c r="DE8" t="s">
        <v>1788</v>
      </c>
      <c r="DF8">
        <v>2023</v>
      </c>
      <c r="DG8" t="s">
        <v>4847</v>
      </c>
      <c r="DH8" s="6">
        <v>45231</v>
      </c>
      <c r="DI8">
        <v>5</v>
      </c>
      <c r="DJ8">
        <v>-2.4245362661989844E-14</v>
      </c>
      <c r="DK8">
        <v>115174</v>
      </c>
      <c r="DL8" t="s">
        <v>4849</v>
      </c>
      <c r="FY8" t="s">
        <v>5383</v>
      </c>
      <c r="FZ8" t="s">
        <v>2407</v>
      </c>
      <c r="GA8">
        <v>100</v>
      </c>
      <c r="GB8">
        <v>1.9316489999999999</v>
      </c>
      <c r="GC8" t="s">
        <v>1788</v>
      </c>
      <c r="GD8">
        <v>2025</v>
      </c>
      <c r="GE8" t="s">
        <v>5384</v>
      </c>
      <c r="GF8" s="6">
        <v>45959</v>
      </c>
      <c r="GG8">
        <v>5</v>
      </c>
      <c r="GH8">
        <v>26000000</v>
      </c>
      <c r="GI8">
        <v>50914233</v>
      </c>
      <c r="GJ8" t="s">
        <v>5385</v>
      </c>
      <c r="GM8" t="s">
        <v>5805</v>
      </c>
      <c r="GN8">
        <v>-2.4245362661989844E-14</v>
      </c>
      <c r="GP8">
        <v>-2.4245362661989844E-14</v>
      </c>
      <c r="GQ8" t="s">
        <v>1753</v>
      </c>
      <c r="GR8">
        <v>2022</v>
      </c>
      <c r="GS8" t="s">
        <v>5806</v>
      </c>
      <c r="GT8" s="6">
        <v>44979</v>
      </c>
      <c r="GU8">
        <v>5</v>
      </c>
      <c r="GV8">
        <v>-2.4245362661989844E-14</v>
      </c>
      <c r="GW8">
        <v>29217228</v>
      </c>
      <c r="GX8" t="s">
        <v>5807</v>
      </c>
      <c r="IG8" t="s">
        <v>2950</v>
      </c>
      <c r="IH8" t="s">
        <v>1752</v>
      </c>
      <c r="II8">
        <v>0.634911</v>
      </c>
      <c r="IJ8">
        <v>0.46775099999999997</v>
      </c>
      <c r="IK8" t="s">
        <v>1825</v>
      </c>
      <c r="IL8">
        <v>2025</v>
      </c>
      <c r="IM8" t="s">
        <v>2951</v>
      </c>
      <c r="IN8" s="6">
        <v>46072</v>
      </c>
      <c r="IO8">
        <v>5</v>
      </c>
      <c r="IP8">
        <v>23653411.170000002</v>
      </c>
      <c r="IQ8">
        <v>70579391</v>
      </c>
      <c r="IR8" t="s">
        <v>2952</v>
      </c>
      <c r="IU8" t="s">
        <v>4224</v>
      </c>
      <c r="IV8">
        <v>1.312E-2</v>
      </c>
      <c r="IW8" t="s">
        <v>1752</v>
      </c>
      <c r="IX8">
        <v>1.7301280000000001</v>
      </c>
      <c r="IY8" t="s">
        <v>1768</v>
      </c>
      <c r="IZ8">
        <v>2025</v>
      </c>
      <c r="JA8" t="s">
        <v>4225</v>
      </c>
      <c r="JB8" s="6">
        <v>45975</v>
      </c>
      <c r="JC8">
        <v>5</v>
      </c>
      <c r="JD8">
        <v>1435299.06</v>
      </c>
      <c r="JE8">
        <v>12025725</v>
      </c>
      <c r="JF8" t="s">
        <v>4226</v>
      </c>
      <c r="MW8" t="s">
        <v>4961</v>
      </c>
      <c r="MY8">
        <v>-2.4245362661989844E-14</v>
      </c>
      <c r="MZ8">
        <v>-2.4245362661989844E-14</v>
      </c>
      <c r="NA8" t="s">
        <v>1753</v>
      </c>
      <c r="NB8">
        <v>2026</v>
      </c>
      <c r="NC8" t="s">
        <v>4962</v>
      </c>
      <c r="ND8" s="6">
        <v>46042</v>
      </c>
      <c r="NE8">
        <v>5</v>
      </c>
      <c r="NF8">
        <v>-2.4245362661989844E-14</v>
      </c>
      <c r="NG8">
        <v>69341782</v>
      </c>
      <c r="NH8" t="s">
        <v>4963</v>
      </c>
      <c r="NK8" t="s">
        <v>378</v>
      </c>
      <c r="NL8">
        <v>2.8136109999999999</v>
      </c>
      <c r="NM8" t="s">
        <v>1752</v>
      </c>
      <c r="NN8">
        <v>0.16223799999999999</v>
      </c>
      <c r="NO8" t="s">
        <v>1825</v>
      </c>
      <c r="NP8">
        <v>2025</v>
      </c>
      <c r="NQ8" t="s">
        <v>2641</v>
      </c>
      <c r="NR8" s="6">
        <v>45894</v>
      </c>
      <c r="NS8">
        <v>5</v>
      </c>
      <c r="NT8">
        <v>8173540</v>
      </c>
      <c r="NU8">
        <v>69423747</v>
      </c>
      <c r="NV8" t="s">
        <v>2158</v>
      </c>
      <c r="QI8" t="s">
        <v>5909</v>
      </c>
      <c r="QK8">
        <v>-2.4245362661989844E-14</v>
      </c>
      <c r="QL8">
        <v>-2.4245362661989844E-14</v>
      </c>
      <c r="QM8" t="s">
        <v>1774</v>
      </c>
      <c r="QN8">
        <v>2025</v>
      </c>
      <c r="QO8" t="s">
        <v>5910</v>
      </c>
      <c r="QP8" s="6">
        <v>45604</v>
      </c>
      <c r="QQ8">
        <v>4</v>
      </c>
      <c r="QR8">
        <v>-2.4245362661989844E-14</v>
      </c>
      <c r="QS8">
        <v>1459175</v>
      </c>
      <c r="QT8" t="s">
        <v>5911</v>
      </c>
      <c r="UY8" t="s">
        <v>4833</v>
      </c>
      <c r="VA8">
        <v>-2.4245362661989844E-14</v>
      </c>
      <c r="VB8">
        <v>-2.4245362661989844E-14</v>
      </c>
      <c r="VC8" t="s">
        <v>1753</v>
      </c>
      <c r="VD8">
        <v>2023</v>
      </c>
      <c r="VE8" t="s">
        <v>4828</v>
      </c>
      <c r="VF8" s="6">
        <v>45212</v>
      </c>
      <c r="VG8">
        <v>5</v>
      </c>
      <c r="VH8">
        <v>-2.4245362661989844E-14</v>
      </c>
      <c r="VI8">
        <v>48039422</v>
      </c>
      <c r="VJ8" t="s">
        <v>4834</v>
      </c>
      <c r="VM8" t="s">
        <v>4384</v>
      </c>
      <c r="VN8">
        <v>4.4135520000000001</v>
      </c>
      <c r="VO8" t="s">
        <v>1828</v>
      </c>
      <c r="VP8">
        <v>0.193355</v>
      </c>
      <c r="VQ8" t="s">
        <v>1788</v>
      </c>
      <c r="VR8">
        <v>2025</v>
      </c>
      <c r="VS8" t="s">
        <v>4382</v>
      </c>
      <c r="VT8" s="6">
        <v>45848</v>
      </c>
      <c r="VU8">
        <v>5</v>
      </c>
      <c r="VV8">
        <v>5595810</v>
      </c>
      <c r="VW8">
        <v>13965309</v>
      </c>
      <c r="VX8" t="s">
        <v>4385</v>
      </c>
    </row>
    <row r="9" spans="1:600" x14ac:dyDescent="0.25">
      <c r="AE9" t="s">
        <v>4083</v>
      </c>
      <c r="AF9" t="s">
        <v>1752</v>
      </c>
      <c r="AG9">
        <v>0.17536599999999999</v>
      </c>
      <c r="AH9">
        <v>7.5305999999999998E-2</v>
      </c>
      <c r="AI9" t="s">
        <v>1781</v>
      </c>
      <c r="AJ9">
        <v>2026</v>
      </c>
      <c r="AK9" t="s">
        <v>4084</v>
      </c>
      <c r="AL9" s="6">
        <v>45967</v>
      </c>
      <c r="AM9">
        <v>5</v>
      </c>
      <c r="AN9">
        <v>936104</v>
      </c>
      <c r="AO9">
        <v>42186257</v>
      </c>
      <c r="AP9" t="s">
        <v>4085</v>
      </c>
      <c r="AS9" t="s">
        <v>2268</v>
      </c>
      <c r="AT9">
        <v>3.2340970000000002</v>
      </c>
      <c r="AU9" t="s">
        <v>1828</v>
      </c>
      <c r="AV9">
        <v>2.9382419999999998</v>
      </c>
      <c r="AW9" t="s">
        <v>1774</v>
      </c>
      <c r="AX9">
        <v>2026</v>
      </c>
      <c r="AY9" t="s">
        <v>2286</v>
      </c>
      <c r="AZ9" s="6">
        <v>46063</v>
      </c>
      <c r="BA9">
        <v>5</v>
      </c>
      <c r="BB9">
        <v>106632896</v>
      </c>
      <c r="BC9">
        <v>193974</v>
      </c>
      <c r="BD9" t="s">
        <v>2270</v>
      </c>
      <c r="BI9" t="s">
        <v>2196</v>
      </c>
      <c r="BK9">
        <v>-2.4245362661989844E-14</v>
      </c>
      <c r="BL9">
        <v>-2.4245362661989844E-14</v>
      </c>
      <c r="BM9" t="s">
        <v>1753</v>
      </c>
      <c r="BN9">
        <v>2023</v>
      </c>
      <c r="BO9" t="s">
        <v>2197</v>
      </c>
      <c r="BP9" s="6">
        <v>45042</v>
      </c>
      <c r="BQ9">
        <v>5</v>
      </c>
      <c r="BR9">
        <v>-2.4245362661989844E-14</v>
      </c>
      <c r="BS9">
        <v>66992559</v>
      </c>
      <c r="BT9" t="s">
        <v>2198</v>
      </c>
      <c r="BW9" t="s">
        <v>1461</v>
      </c>
      <c r="BX9">
        <v>-2.4245362661989844E-14</v>
      </c>
      <c r="BZ9">
        <v>-2.4245362661989844E-14</v>
      </c>
      <c r="CA9" t="s">
        <v>1753</v>
      </c>
      <c r="CB9">
        <v>2023</v>
      </c>
      <c r="CC9" t="s">
        <v>1983</v>
      </c>
      <c r="CD9" s="6">
        <v>45357</v>
      </c>
      <c r="CE9">
        <v>5</v>
      </c>
      <c r="CF9">
        <v>-2.4245362661989844E-14</v>
      </c>
      <c r="CG9">
        <v>102782</v>
      </c>
      <c r="CH9" t="s">
        <v>1991</v>
      </c>
      <c r="CM9" t="s">
        <v>5111</v>
      </c>
      <c r="CO9">
        <v>-2.4245362661989844E-14</v>
      </c>
      <c r="CP9">
        <v>-2.4245362661989844E-14</v>
      </c>
      <c r="CQ9" t="s">
        <v>1753</v>
      </c>
      <c r="CR9">
        <v>2022</v>
      </c>
      <c r="CS9" t="s">
        <v>4846</v>
      </c>
      <c r="CT9" s="6">
        <v>44973</v>
      </c>
      <c r="CU9">
        <v>5</v>
      </c>
      <c r="CV9">
        <v>-2.4245362661989844E-14</v>
      </c>
      <c r="CW9">
        <v>24584101</v>
      </c>
      <c r="CX9" t="s">
        <v>5112</v>
      </c>
      <c r="DA9" t="s">
        <v>4850</v>
      </c>
      <c r="DB9">
        <v>-2.4245362661989844E-14</v>
      </c>
      <c r="DD9">
        <v>-2.4245362661989844E-14</v>
      </c>
      <c r="DE9" t="s">
        <v>1753</v>
      </c>
      <c r="DF9">
        <v>2022</v>
      </c>
      <c r="DG9" t="s">
        <v>4851</v>
      </c>
      <c r="DH9" s="6">
        <v>44679</v>
      </c>
      <c r="DI9">
        <v>5</v>
      </c>
      <c r="DJ9">
        <v>-2.4245362661989844E-14</v>
      </c>
      <c r="DK9">
        <v>47826561</v>
      </c>
      <c r="DL9" t="s">
        <v>4852</v>
      </c>
      <c r="FY9" t="s">
        <v>5386</v>
      </c>
      <c r="FZ9" t="s">
        <v>1752</v>
      </c>
      <c r="GA9">
        <v>1.03163</v>
      </c>
      <c r="GB9">
        <v>1.307437</v>
      </c>
      <c r="GC9" t="s">
        <v>1788</v>
      </c>
      <c r="GD9">
        <v>2025</v>
      </c>
      <c r="GE9" t="s">
        <v>5387</v>
      </c>
      <c r="GF9" s="6">
        <v>46073</v>
      </c>
      <c r="GG9">
        <v>5</v>
      </c>
      <c r="GH9">
        <v>21191403.109999999</v>
      </c>
      <c r="GI9">
        <v>156276</v>
      </c>
      <c r="GJ9" t="s">
        <v>5388</v>
      </c>
      <c r="GM9" t="s">
        <v>5808</v>
      </c>
      <c r="GN9">
        <v>-2.4245362661989844E-14</v>
      </c>
      <c r="GP9">
        <v>-2.4245362661989844E-14</v>
      </c>
      <c r="GQ9" t="s">
        <v>1753</v>
      </c>
      <c r="GR9">
        <v>2022</v>
      </c>
      <c r="GS9" t="s">
        <v>5809</v>
      </c>
      <c r="GT9" s="6">
        <v>44788</v>
      </c>
      <c r="GU9">
        <v>5</v>
      </c>
      <c r="GV9">
        <v>-2.4245362661989844E-14</v>
      </c>
      <c r="GW9">
        <v>67962950</v>
      </c>
      <c r="GX9" t="s">
        <v>5810</v>
      </c>
      <c r="IG9" t="s">
        <v>5092</v>
      </c>
      <c r="IH9" t="s">
        <v>1752</v>
      </c>
      <c r="II9">
        <v>0.81015999999999999</v>
      </c>
      <c r="IJ9">
        <v>0.38313000000000003</v>
      </c>
      <c r="IK9" t="s">
        <v>1788</v>
      </c>
      <c r="IL9">
        <v>2025</v>
      </c>
      <c r="IM9" t="s">
        <v>5093</v>
      </c>
      <c r="IN9" s="6">
        <v>46050</v>
      </c>
      <c r="IO9">
        <v>5</v>
      </c>
      <c r="IP9">
        <v>19443840</v>
      </c>
      <c r="IQ9">
        <v>32348903</v>
      </c>
      <c r="IR9" t="s">
        <v>5094</v>
      </c>
      <c r="IU9" t="s">
        <v>4227</v>
      </c>
      <c r="IV9">
        <v>1.312E-2</v>
      </c>
      <c r="IW9" t="s">
        <v>1752</v>
      </c>
      <c r="IX9">
        <v>1.9811540000000001</v>
      </c>
      <c r="IY9" t="s">
        <v>1768</v>
      </c>
      <c r="IZ9">
        <v>2025</v>
      </c>
      <c r="JA9" t="s">
        <v>4228</v>
      </c>
      <c r="JB9" s="6">
        <v>45975</v>
      </c>
      <c r="JC9">
        <v>5</v>
      </c>
      <c r="JD9">
        <v>1435298.82</v>
      </c>
      <c r="JE9">
        <v>128948</v>
      </c>
      <c r="JF9" t="s">
        <v>4229</v>
      </c>
      <c r="MW9" t="s">
        <v>4559</v>
      </c>
      <c r="MY9">
        <v>-2.4245362661989844E-14</v>
      </c>
      <c r="MZ9">
        <v>-2.4245362661989844E-14</v>
      </c>
      <c r="NA9" t="s">
        <v>1753</v>
      </c>
      <c r="NB9">
        <v>2021</v>
      </c>
      <c r="NC9" t="s">
        <v>4560</v>
      </c>
      <c r="ND9" s="6">
        <v>44693</v>
      </c>
      <c r="NE9">
        <v>5</v>
      </c>
      <c r="NF9">
        <v>-2.4245362661989844E-14</v>
      </c>
      <c r="NG9">
        <v>54282724</v>
      </c>
      <c r="NH9" t="s">
        <v>4561</v>
      </c>
      <c r="NK9" t="s">
        <v>3675</v>
      </c>
      <c r="NL9">
        <v>2.2803619999999998</v>
      </c>
      <c r="NM9" t="s">
        <v>1752</v>
      </c>
      <c r="NN9">
        <v>0.22684099999999999</v>
      </c>
      <c r="NO9" t="s">
        <v>1825</v>
      </c>
      <c r="NP9">
        <v>2025</v>
      </c>
      <c r="NQ9" t="s">
        <v>2641</v>
      </c>
      <c r="NR9" s="6">
        <v>45894</v>
      </c>
      <c r="NS9">
        <v>5</v>
      </c>
      <c r="NT9">
        <v>6624452</v>
      </c>
      <c r="NU9">
        <v>115790</v>
      </c>
      <c r="NV9" t="s">
        <v>3677</v>
      </c>
      <c r="UY9" t="s">
        <v>4835</v>
      </c>
      <c r="VA9">
        <v>-2.4245362661989844E-14</v>
      </c>
      <c r="VB9">
        <v>-2.4245362661989844E-14</v>
      </c>
      <c r="VC9" t="s">
        <v>1753</v>
      </c>
      <c r="VD9">
        <v>2023</v>
      </c>
      <c r="VE9" t="s">
        <v>4828</v>
      </c>
      <c r="VF9" s="6">
        <v>45212</v>
      </c>
      <c r="VG9">
        <v>5</v>
      </c>
      <c r="VH9">
        <v>-2.4245362661989844E-14</v>
      </c>
      <c r="VI9">
        <v>66901364</v>
      </c>
      <c r="VJ9" t="s">
        <v>4836</v>
      </c>
      <c r="VM9" t="s">
        <v>4386</v>
      </c>
      <c r="VN9">
        <v>3.73787</v>
      </c>
      <c r="VO9" t="s">
        <v>1828</v>
      </c>
      <c r="VP9">
        <v>0.193355</v>
      </c>
      <c r="VQ9" t="s">
        <v>1788</v>
      </c>
      <c r="VR9">
        <v>2025</v>
      </c>
      <c r="VS9" t="s">
        <v>4382</v>
      </c>
      <c r="VT9" s="6">
        <v>45848</v>
      </c>
      <c r="VU9">
        <v>5</v>
      </c>
      <c r="VV9">
        <v>4739133</v>
      </c>
      <c r="VW9">
        <v>8779219</v>
      </c>
      <c r="VX9" t="s">
        <v>4387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203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204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205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206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207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208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209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210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211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212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213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214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215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216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217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218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219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220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221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222</v>
      </c>
      <c r="AE2" s="3" t="s">
        <v>223</v>
      </c>
      <c r="BI2" s="3" t="s">
        <v>224</v>
      </c>
      <c r="CM2" s="3" t="s">
        <v>225</v>
      </c>
      <c r="DQ2" s="3" t="s">
        <v>226</v>
      </c>
      <c r="EU2" s="3" t="s">
        <v>227</v>
      </c>
      <c r="FY2" s="3" t="s">
        <v>228</v>
      </c>
      <c r="HC2" s="3" t="s">
        <v>229</v>
      </c>
      <c r="IG2" s="3" t="s">
        <v>230</v>
      </c>
      <c r="JK2" s="3" t="s">
        <v>231</v>
      </c>
      <c r="KO2" s="3" t="s">
        <v>125</v>
      </c>
      <c r="LS2" s="3" t="s">
        <v>232</v>
      </c>
      <c r="MW2" s="3" t="s">
        <v>233</v>
      </c>
      <c r="OA2" s="3" t="s">
        <v>234</v>
      </c>
      <c r="PE2" s="3" t="s">
        <v>235</v>
      </c>
      <c r="QI2" s="3" t="s">
        <v>236</v>
      </c>
      <c r="RM2" s="3" t="s">
        <v>237</v>
      </c>
      <c r="SQ2" s="3" t="s">
        <v>238</v>
      </c>
      <c r="TU2" s="3" t="s">
        <v>229</v>
      </c>
      <c r="UY2" s="3" t="s">
        <v>239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_xll.BDS("VPHM US Equity","SUPPLY_CHAIN_SUPPLIERS_ALL_DATA")</f>
        <v>#N/A N/A</v>
      </c>
      <c r="O5" t="str">
        <f>_xll.BDS("VPHM US Equity","SUPPLY_CHAIN_CUSTOMERS_ALL_DATA")</f>
        <v>#N/A N/A</v>
      </c>
      <c r="AE5" t="str">
        <f>_xll.BDS("MTCH US Equity","SUPPLY_CHAIN_SUPPLIERS_ALL_DATA","cols=12;rows=5")</f>
        <v>053300 KS Equity</v>
      </c>
      <c r="AG5">
        <v>-2.4245362661989844E-14</v>
      </c>
      <c r="AH5">
        <v>-2.4245362661989844E-14</v>
      </c>
      <c r="AI5" t="s">
        <v>1768</v>
      </c>
      <c r="AJ5">
        <v>2025</v>
      </c>
      <c r="AK5" t="s">
        <v>3134</v>
      </c>
      <c r="AL5" s="6">
        <v>45974</v>
      </c>
      <c r="AM5">
        <v>5</v>
      </c>
      <c r="AN5">
        <v>-2.4245362661989844E-14</v>
      </c>
      <c r="AO5">
        <v>23189849</v>
      </c>
      <c r="AP5" t="s">
        <v>3135</v>
      </c>
      <c r="AS5" t="str">
        <f>_xll.BDS("MTCH US Equity","SUPPLY_CHAIN_CUSTOMERS_ALL_DATA","cols=12;rows=3")</f>
        <v>AAPL US Equity</v>
      </c>
      <c r="AT5">
        <v>-2.4245362661989844E-14</v>
      </c>
      <c r="AV5">
        <v>-2.4245362661989844E-14</v>
      </c>
      <c r="AW5" t="s">
        <v>1774</v>
      </c>
      <c r="AX5">
        <v>2024</v>
      </c>
      <c r="AY5" t="s">
        <v>4967</v>
      </c>
      <c r="AZ5" s="6">
        <v>45505</v>
      </c>
      <c r="BA5">
        <v>3</v>
      </c>
      <c r="BB5">
        <v>-2.4245362661989844E-14</v>
      </c>
      <c r="BC5">
        <v>101695</v>
      </c>
      <c r="BD5" t="s">
        <v>3011</v>
      </c>
      <c r="BI5" t="str">
        <f>_xll.BDS("HI US Equity","SUPPLY_CHAIN_SUPPLIERS_ALL_DATA","cols=12;rows=5")</f>
        <v>1551592D US Equity</v>
      </c>
      <c r="BK5">
        <v>-2.4245362661989844E-14</v>
      </c>
      <c r="BL5">
        <v>-2.4245362661989844E-14</v>
      </c>
      <c r="BM5" t="s">
        <v>1753</v>
      </c>
      <c r="BN5">
        <v>2022</v>
      </c>
      <c r="BO5" t="s">
        <v>4757</v>
      </c>
      <c r="BP5" s="6">
        <v>44915</v>
      </c>
      <c r="BQ5">
        <v>5</v>
      </c>
      <c r="BR5">
        <v>-2.4245362661989844E-14</v>
      </c>
      <c r="BS5">
        <v>55889377</v>
      </c>
      <c r="BT5" t="s">
        <v>4758</v>
      </c>
      <c r="BW5" t="str">
        <f>_xll.BDS("HI US Equity","SUPPLY_CHAIN_CUSTOMERS_ALL_DATA","cols=12;rows=5")</f>
        <v>4614Z US Equity</v>
      </c>
      <c r="BX5">
        <v>-2.4245362661989844E-14</v>
      </c>
      <c r="BZ5">
        <v>-2.4245362661989844E-14</v>
      </c>
      <c r="CA5" t="s">
        <v>1774</v>
      </c>
      <c r="CB5">
        <v>2024</v>
      </c>
      <c r="CC5" t="s">
        <v>4775</v>
      </c>
      <c r="CD5" s="6">
        <v>45426</v>
      </c>
      <c r="CE5">
        <v>5</v>
      </c>
      <c r="CF5">
        <v>-2.4245362661989844E-14</v>
      </c>
      <c r="CG5">
        <v>143018</v>
      </c>
      <c r="CH5" t="s">
        <v>4776</v>
      </c>
      <c r="CM5" t="str">
        <f>_xll.BDS("2596516D US Equity","SUPPLY_CHAIN_SUPPLIERS_ALL_DATA")</f>
        <v>#N/A N/A</v>
      </c>
      <c r="DA5" t="str">
        <f>_xll.BDS("2596516D US Equity","SUPPLY_CHAIN_CUSTOMERS_ALL_DATA")</f>
        <v>#N/A N/A</v>
      </c>
      <c r="DQ5" t="str">
        <f>_xll.BDS("MSFT US Equity","SUPPLY_CHAIN_SUPPLIERS_ALL_DATA","cols=12;rows=5")</f>
        <v>NVDA US Equity</v>
      </c>
      <c r="DR5" t="s">
        <v>1828</v>
      </c>
      <c r="DS5">
        <v>22.047934000000001</v>
      </c>
      <c r="DT5">
        <v>50.276459000000003</v>
      </c>
      <c r="DU5" t="s">
        <v>1825</v>
      </c>
      <c r="DV5">
        <v>2026</v>
      </c>
      <c r="DW5" t="s">
        <v>2352</v>
      </c>
      <c r="DX5" s="6">
        <v>46087</v>
      </c>
      <c r="DY5">
        <v>5</v>
      </c>
      <c r="DZ5">
        <v>15020595200</v>
      </c>
      <c r="EA5">
        <v>313657</v>
      </c>
      <c r="EB5" t="s">
        <v>2353</v>
      </c>
      <c r="EE5" t="str">
        <f>_xll.BDS("MSFT US Equity","SUPPLY_CHAIN_CUSTOMERS_ALL_DATA","cols=12;rows=5")</f>
        <v>SNX US Equity</v>
      </c>
      <c r="EF5">
        <v>0.94513400000000003</v>
      </c>
      <c r="EG5" t="s">
        <v>1752</v>
      </c>
      <c r="EH5">
        <v>4.7461719999999996</v>
      </c>
      <c r="EI5" t="s">
        <v>1825</v>
      </c>
      <c r="EJ5">
        <v>2025</v>
      </c>
      <c r="EK5" t="s">
        <v>1826</v>
      </c>
      <c r="EL5" s="6">
        <v>46056</v>
      </c>
      <c r="EM5">
        <v>5</v>
      </c>
      <c r="EN5">
        <v>768139008</v>
      </c>
      <c r="EO5">
        <v>1499717</v>
      </c>
      <c r="EP5" t="s">
        <v>1827</v>
      </c>
      <c r="EU5" t="str">
        <f>_xll.BDS("SUG US Equity","SUPPLY_CHAIN_SUPPLIERS_ALL_DATA")</f>
        <v>#N/A N/A</v>
      </c>
      <c r="FI5" t="str">
        <f>_xll.BDS("SUG US Equity","SUPPLY_CHAIN_CUSTOMERS_ALL_DATA")</f>
        <v>#N/A N/A</v>
      </c>
      <c r="FY5" t="str">
        <f>_xll.BDS("1715651D US Equity","SUPPLY_CHAIN_SUPPLIERS_ALL_DATA","cols=12;rows=1")</f>
        <v>FE US Equity</v>
      </c>
      <c r="GA5">
        <v>-2.4245362661989844E-14</v>
      </c>
      <c r="GB5">
        <v>-2.4245362661989844E-14</v>
      </c>
      <c r="GC5" t="s">
        <v>1753</v>
      </c>
      <c r="GD5">
        <v>2021</v>
      </c>
      <c r="GE5" t="s">
        <v>2222</v>
      </c>
      <c r="GF5" s="6">
        <v>44693</v>
      </c>
      <c r="GG5">
        <v>1</v>
      </c>
      <c r="GH5">
        <v>-2.4245362661989844E-14</v>
      </c>
      <c r="GI5">
        <v>302916</v>
      </c>
      <c r="GJ5" t="s">
        <v>2223</v>
      </c>
      <c r="GM5" t="str">
        <f>_xll.BDS("1715651D US Equity","SUPPLY_CHAIN_CUSTOMERS_ALL_DATA")</f>
        <v>#N/A N/A</v>
      </c>
      <c r="HC5" t="str">
        <f>_xll.BDS("T US Equity","SUPPLY_CHAIN_SUPPLIERS_ALL_DATA","cols=12;rows=5")</f>
        <v>AAPL US Equity</v>
      </c>
      <c r="HD5" t="s">
        <v>1752</v>
      </c>
      <c r="HE5">
        <v>1.2812509999999999</v>
      </c>
      <c r="HF5">
        <v>9.9289989999999992</v>
      </c>
      <c r="HG5" t="s">
        <v>1774</v>
      </c>
      <c r="HH5">
        <v>2025</v>
      </c>
      <c r="HI5" t="s">
        <v>3698</v>
      </c>
      <c r="HJ5" s="6">
        <v>45863</v>
      </c>
      <c r="HK5">
        <v>5</v>
      </c>
      <c r="HL5">
        <v>1221788160</v>
      </c>
      <c r="HM5">
        <v>101695</v>
      </c>
      <c r="HN5" t="s">
        <v>3011</v>
      </c>
      <c r="HQ5" t="str">
        <f>_xll.BDS("T US Equity","SUPPLY_CHAIN_CUSTOMERS_ALL_DATA","cols=12;rows=5")</f>
        <v>IBM US Equity</v>
      </c>
      <c r="HR5">
        <v>0.86485599999999996</v>
      </c>
      <c r="HS5" t="s">
        <v>1752</v>
      </c>
      <c r="HT5">
        <v>4.0630959999999998</v>
      </c>
      <c r="HU5" t="s">
        <v>1781</v>
      </c>
      <c r="HV5">
        <v>2025</v>
      </c>
      <c r="HW5" t="s">
        <v>1869</v>
      </c>
      <c r="HX5" s="6">
        <v>45797</v>
      </c>
      <c r="HY5">
        <v>5</v>
      </c>
      <c r="HZ5">
        <v>264507552</v>
      </c>
      <c r="IA5">
        <v>100801</v>
      </c>
      <c r="IB5" t="s">
        <v>1870</v>
      </c>
      <c r="IG5" t="str">
        <f>_xll.BDS("LQI US Equity","SUPPLY_CHAIN_SUPPLIERS_ALL_DATA")</f>
        <v>#N/A N/A</v>
      </c>
      <c r="IU5" t="str">
        <f>_xll.BDS("LQI US Equity","SUPPLY_CHAIN_CUSTOMERS_ALL_DATA")</f>
        <v>#N/A N/A</v>
      </c>
      <c r="JK5" t="str">
        <f>_xll.BDS("EXPE US Equity","SUPPLY_CHAIN_SUPPLIERS_ALL_DATA","cols=12;rows=5")</f>
        <v>TRIP US Equity</v>
      </c>
      <c r="JL5" t="s">
        <v>1940</v>
      </c>
      <c r="JM5">
        <v>13.251785999999999</v>
      </c>
      <c r="JN5">
        <v>3.008667</v>
      </c>
      <c r="JO5" t="s">
        <v>1774</v>
      </c>
      <c r="JP5">
        <v>2025</v>
      </c>
      <c r="JQ5" t="s">
        <v>3129</v>
      </c>
      <c r="JR5" s="6">
        <v>45896</v>
      </c>
      <c r="JS5">
        <v>5</v>
      </c>
      <c r="JT5">
        <v>70101952</v>
      </c>
      <c r="JU5">
        <v>12130356</v>
      </c>
      <c r="JV5" t="s">
        <v>3130</v>
      </c>
      <c r="JY5" t="str">
        <f>_xll.BDS("EXPE US Equity","SUPPLY_CHAIN_CUSTOMERS_ALL_DATA","cols=12;rows=5")</f>
        <v>2731 TT Equity</v>
      </c>
      <c r="JZ5">
        <v>-2.4245362661989844E-14</v>
      </c>
      <c r="KB5">
        <v>-2.4245362661989844E-14</v>
      </c>
      <c r="KC5" t="s">
        <v>1753</v>
      </c>
      <c r="KD5">
        <v>2024</v>
      </c>
      <c r="KE5" t="s">
        <v>4862</v>
      </c>
      <c r="KF5" s="6">
        <v>45787</v>
      </c>
      <c r="KG5">
        <v>5</v>
      </c>
      <c r="KH5">
        <v>-2.4245362661989844E-14</v>
      </c>
      <c r="KI5">
        <v>22394869</v>
      </c>
      <c r="KJ5" t="s">
        <v>4863</v>
      </c>
      <c r="KO5" t="str">
        <f>_xll.BDS("SOV US Equity","SUPPLY_CHAIN_SUPPLIERS_ALL_DATA")</f>
        <v>#N/A N/A</v>
      </c>
      <c r="LC5" t="str">
        <f>_xll.BDS("SOV US Equity","SUPPLY_CHAIN_CUSTOMERS_ALL_DATA")</f>
        <v>#N/A N/A</v>
      </c>
      <c r="LS5" t="str">
        <f>_xll.BDS("SGU US Equity","SUPPLY_CHAIN_SUPPLIERS_ALL_DATA","cols=12;rows=5")</f>
        <v>13277Z US Equity</v>
      </c>
      <c r="LU5">
        <v>-2.4245362661989844E-14</v>
      </c>
      <c r="LV5">
        <v>-2.4245362661989844E-14</v>
      </c>
      <c r="LW5" t="s">
        <v>1753</v>
      </c>
      <c r="LX5">
        <v>2022</v>
      </c>
      <c r="LY5" t="s">
        <v>4749</v>
      </c>
      <c r="LZ5" s="6">
        <v>44902</v>
      </c>
      <c r="MA5">
        <v>5</v>
      </c>
      <c r="MB5">
        <v>-2.4245362661989844E-14</v>
      </c>
      <c r="MC5">
        <v>358242</v>
      </c>
      <c r="MD5" t="s">
        <v>4750</v>
      </c>
      <c r="MG5" t="str">
        <f>_xll.BDS("SGU US Equity","SUPPLY_CHAIN_CUSTOMERS_ALL_DATA")</f>
        <v>#N/A N/A</v>
      </c>
      <c r="MW5" t="str">
        <f>_xll.BDS("3029830Q US Equity","SUPPLY_CHAIN_SUPPLIERS_ALL_DATA")</f>
        <v>#N/A N/A</v>
      </c>
      <c r="NK5" t="str">
        <f>_xll.BDS("3029830Q US Equity","SUPPLY_CHAIN_CUSTOMERS_ALL_DATA")</f>
        <v>#N/A N/A</v>
      </c>
      <c r="OA5" t="str">
        <f>_xll.BDS("OCR US Equity","SUPPLY_CHAIN_SUPPLIERS_ALL_DATA")</f>
        <v>#N/A N/A</v>
      </c>
      <c r="OO5" t="str">
        <f>_xll.BDS("OCR US Equity","SUPPLY_CHAIN_CUSTOMERS_ALL_DATA","cols=12;rows=2")</f>
        <v>3176 TT Equity</v>
      </c>
      <c r="OP5">
        <v>-2.4245362661989844E-14</v>
      </c>
      <c r="OR5">
        <v>-2.4245362661989844E-14</v>
      </c>
      <c r="OS5" t="s">
        <v>1753</v>
      </c>
      <c r="OT5">
        <v>2021</v>
      </c>
      <c r="OU5" t="s">
        <v>3639</v>
      </c>
      <c r="OV5" s="6">
        <v>44699</v>
      </c>
      <c r="OW5">
        <v>2</v>
      </c>
      <c r="OX5">
        <v>-2.4245362661989844E-14</v>
      </c>
      <c r="OY5">
        <v>7254096</v>
      </c>
      <c r="OZ5" t="s">
        <v>3640</v>
      </c>
      <c r="PE5" t="str">
        <f>_xll.BDS("2860436Q US Equity","SUPPLY_CHAIN_SUPPLIERS_ALL_DATA")</f>
        <v>#N/A N/A</v>
      </c>
      <c r="PS5" t="str">
        <f>_xll.BDS("2860436Q US Equity","SUPPLY_CHAIN_CUSTOMERS_ALL_DATA")</f>
        <v>#N/A N/A</v>
      </c>
      <c r="QI5" t="str">
        <f>_xll.BDS("ABCB US Equity","SUPPLY_CHAIN_SUPPLIERS_ALL_DATA","cols=12;rows=1")</f>
        <v>5158754Z SS Equity</v>
      </c>
      <c r="QK5">
        <v>-2.4245362661989844E-14</v>
      </c>
      <c r="QL5">
        <v>-2.4245362661989844E-14</v>
      </c>
      <c r="QM5" t="s">
        <v>1753</v>
      </c>
      <c r="QN5">
        <v>2024</v>
      </c>
      <c r="QO5" t="s">
        <v>2842</v>
      </c>
      <c r="QP5" s="6">
        <v>45411</v>
      </c>
      <c r="QQ5">
        <v>1</v>
      </c>
      <c r="QR5">
        <v>-2.4245362661989844E-14</v>
      </c>
      <c r="QS5">
        <v>21680435</v>
      </c>
      <c r="QT5" t="s">
        <v>2843</v>
      </c>
      <c r="QW5" t="str">
        <f>_xll.BDS("ABCB US Equity","SUPPLY_CHAIN_CUSTOMERS_ALL_DATA")</f>
        <v>#N/A N/A</v>
      </c>
      <c r="RM5" t="str">
        <f>_xll.BDS("GEO US Equity","SUPPLY_CHAIN_SUPPLIERS_ALL_DATA","cols=12;rows=1")</f>
        <v>VSEE US Equity</v>
      </c>
      <c r="RO5">
        <v>-2.4245362661989844E-14</v>
      </c>
      <c r="RP5">
        <v>-2.4245362661989844E-14</v>
      </c>
      <c r="RQ5" t="s">
        <v>1753</v>
      </c>
      <c r="RR5">
        <v>2025</v>
      </c>
      <c r="RS5" t="s">
        <v>3668</v>
      </c>
      <c r="RT5" s="6">
        <v>45749</v>
      </c>
      <c r="RU5">
        <v>1</v>
      </c>
      <c r="RV5">
        <v>-2.4245362661989844E-14</v>
      </c>
      <c r="RW5">
        <v>69780054</v>
      </c>
      <c r="RX5" t="s">
        <v>3669</v>
      </c>
      <c r="SA5" t="str">
        <f>_xll.BDS("GEO US Equity","SUPPLY_CHAIN_CUSTOMERS_ALL_DATA","cols=12;rows=5")</f>
        <v>3352Z US Equity</v>
      </c>
      <c r="SB5">
        <v>62</v>
      </c>
      <c r="SD5">
        <v>-2.4245362661989844E-14</v>
      </c>
      <c r="SE5" t="s">
        <v>1753</v>
      </c>
      <c r="SF5">
        <v>2024</v>
      </c>
      <c r="SG5" t="s">
        <v>3609</v>
      </c>
      <c r="SH5" s="6">
        <v>45716</v>
      </c>
      <c r="SI5">
        <v>5</v>
      </c>
      <c r="SJ5">
        <v>375673824</v>
      </c>
      <c r="SK5">
        <v>218252</v>
      </c>
      <c r="SL5" t="s">
        <v>1793</v>
      </c>
      <c r="SQ5" t="str">
        <f>_xll.BDS("OMTR US Equity","SUPPLY_CHAIN_SUPPLIERS_ALL_DATA")</f>
        <v>#N/A N/A</v>
      </c>
      <c r="TE5" t="str">
        <f>_xll.BDS("OMTR US Equity","SUPPLY_CHAIN_CUSTOMERS_ALL_DATA")</f>
        <v>#N/A N/A</v>
      </c>
      <c r="TU5" t="str">
        <f>_xll.BDS("T US Equity","SUPPLY_CHAIN_SUPPLIERS_ALL_DATA","cols=12;rows=5")</f>
        <v>AAPL US Equity</v>
      </c>
      <c r="TV5" t="s">
        <v>1752</v>
      </c>
      <c r="TW5">
        <v>1.2812509999999999</v>
      </c>
      <c r="TX5">
        <v>9.9289989999999992</v>
      </c>
      <c r="TY5" t="s">
        <v>1774</v>
      </c>
      <c r="TZ5">
        <v>2025</v>
      </c>
      <c r="UA5" t="s">
        <v>3698</v>
      </c>
      <c r="UB5" s="6">
        <v>45863</v>
      </c>
      <c r="UC5">
        <v>5</v>
      </c>
      <c r="UD5">
        <v>1221788160</v>
      </c>
      <c r="UE5">
        <v>101695</v>
      </c>
      <c r="UF5" t="s">
        <v>3011</v>
      </c>
      <c r="UI5" t="str">
        <f>_xll.BDS("T US Equity","SUPPLY_CHAIN_CUSTOMERS_ALL_DATA","cols=12;rows=5")</f>
        <v>IBM US Equity</v>
      </c>
      <c r="UJ5">
        <v>0.86485599999999996</v>
      </c>
      <c r="UK5" t="s">
        <v>1752</v>
      </c>
      <c r="UL5">
        <v>4.0630959999999998</v>
      </c>
      <c r="UM5" t="s">
        <v>1781</v>
      </c>
      <c r="UN5">
        <v>2025</v>
      </c>
      <c r="UO5" t="s">
        <v>1869</v>
      </c>
      <c r="UP5" s="6">
        <v>45797</v>
      </c>
      <c r="UQ5">
        <v>5</v>
      </c>
      <c r="UR5">
        <v>264507552</v>
      </c>
      <c r="US5">
        <v>100801</v>
      </c>
      <c r="UT5" t="s">
        <v>1870</v>
      </c>
      <c r="UY5" t="str">
        <f>_xll.BDS("MCF US Equity","SUPPLY_CHAIN_SUPPLIERS_ALL_DATA")</f>
        <v>#N/A N/A</v>
      </c>
      <c r="VM5" t="str">
        <f>_xll.BDS("MCF US Equity","SUPPLY_CHAIN_CUSTOMERS_ALL_DATA")</f>
        <v>#N/A N/A</v>
      </c>
    </row>
    <row r="6" spans="1:600" x14ac:dyDescent="0.25">
      <c r="AE6" t="s">
        <v>3136</v>
      </c>
      <c r="AG6">
        <v>-2.4245362661989844E-14</v>
      </c>
      <c r="AH6">
        <v>-2.4245362661989844E-14</v>
      </c>
      <c r="AI6" t="s">
        <v>1753</v>
      </c>
      <c r="AJ6">
        <v>2023</v>
      </c>
      <c r="AK6" t="s">
        <v>3137</v>
      </c>
      <c r="AL6" s="6">
        <v>45373</v>
      </c>
      <c r="AM6">
        <v>5</v>
      </c>
      <c r="AN6">
        <v>-2.4245362661989844E-14</v>
      </c>
      <c r="AO6">
        <v>1459277</v>
      </c>
      <c r="AP6" t="s">
        <v>3138</v>
      </c>
      <c r="AS6" t="s">
        <v>2628</v>
      </c>
      <c r="AT6">
        <v>-2.4245362661989844E-14</v>
      </c>
      <c r="AV6">
        <v>-2.4245362661989844E-14</v>
      </c>
      <c r="AW6" t="s">
        <v>1774</v>
      </c>
      <c r="AX6">
        <v>2024</v>
      </c>
      <c r="AY6" t="s">
        <v>4967</v>
      </c>
      <c r="AZ6" s="6">
        <v>45505</v>
      </c>
      <c r="BA6">
        <v>3</v>
      </c>
      <c r="BB6">
        <v>-2.4245362661989844E-14</v>
      </c>
      <c r="BC6">
        <v>46946968</v>
      </c>
      <c r="BD6" t="s">
        <v>2629</v>
      </c>
      <c r="BI6" t="s">
        <v>4759</v>
      </c>
      <c r="BK6">
        <v>-2.4245362661989844E-14</v>
      </c>
      <c r="BL6">
        <v>-2.4245362661989844E-14</v>
      </c>
      <c r="BM6" t="s">
        <v>1788</v>
      </c>
      <c r="BN6">
        <v>2024</v>
      </c>
      <c r="BO6" t="s">
        <v>4760</v>
      </c>
      <c r="BP6" s="6">
        <v>45623</v>
      </c>
      <c r="BQ6">
        <v>5</v>
      </c>
      <c r="BR6">
        <v>-2.4245362661989844E-14</v>
      </c>
      <c r="BS6">
        <v>29963275</v>
      </c>
      <c r="BT6" t="s">
        <v>4761</v>
      </c>
      <c r="BW6" t="s">
        <v>4777</v>
      </c>
      <c r="BX6">
        <v>-2.4245362661989844E-14</v>
      </c>
      <c r="BZ6">
        <v>-2.4245362661989844E-14</v>
      </c>
      <c r="CA6" t="s">
        <v>1753</v>
      </c>
      <c r="CB6">
        <v>2024</v>
      </c>
      <c r="CC6" t="s">
        <v>4778</v>
      </c>
      <c r="CD6" s="6">
        <v>45744</v>
      </c>
      <c r="CE6">
        <v>5</v>
      </c>
      <c r="CF6">
        <v>-2.4245362661989844E-14</v>
      </c>
      <c r="CG6">
        <v>48503357</v>
      </c>
      <c r="CH6" t="s">
        <v>4779</v>
      </c>
      <c r="DQ6" t="s">
        <v>3923</v>
      </c>
      <c r="DR6" t="s">
        <v>1828</v>
      </c>
      <c r="DS6">
        <v>5.2401160000000004</v>
      </c>
      <c r="DT6">
        <v>17.831610000000001</v>
      </c>
      <c r="DU6" t="s">
        <v>1774</v>
      </c>
      <c r="DV6">
        <v>2025</v>
      </c>
      <c r="DW6" t="s">
        <v>3924</v>
      </c>
      <c r="DX6" s="6">
        <v>45889</v>
      </c>
      <c r="DY6">
        <v>5</v>
      </c>
      <c r="DZ6">
        <v>3047941433.54</v>
      </c>
      <c r="EA6">
        <v>119133</v>
      </c>
      <c r="EB6" t="s">
        <v>3925</v>
      </c>
      <c r="EE6" t="s">
        <v>1191</v>
      </c>
      <c r="EF6">
        <v>0.67946300000000004</v>
      </c>
      <c r="EG6" t="s">
        <v>1752</v>
      </c>
      <c r="EH6">
        <v>32</v>
      </c>
      <c r="EI6" t="s">
        <v>1753</v>
      </c>
      <c r="EJ6">
        <v>2025</v>
      </c>
      <c r="EK6" t="s">
        <v>2626</v>
      </c>
      <c r="EL6" s="6">
        <v>46065</v>
      </c>
      <c r="EM6">
        <v>5</v>
      </c>
      <c r="EN6">
        <v>518860224</v>
      </c>
      <c r="EO6">
        <v>156637</v>
      </c>
      <c r="EP6" t="s">
        <v>2828</v>
      </c>
      <c r="HC6" t="s">
        <v>1871</v>
      </c>
      <c r="HD6" t="s">
        <v>1752</v>
      </c>
      <c r="HE6">
        <v>2.0413640000000002</v>
      </c>
      <c r="HF6">
        <v>9.0393749999999997</v>
      </c>
      <c r="HG6" t="s">
        <v>1774</v>
      </c>
      <c r="HH6">
        <v>2025</v>
      </c>
      <c r="HI6" t="s">
        <v>3698</v>
      </c>
      <c r="HJ6" s="6">
        <v>45863</v>
      </c>
      <c r="HK6">
        <v>5</v>
      </c>
      <c r="HL6">
        <v>1112317696</v>
      </c>
      <c r="HM6">
        <v>117929</v>
      </c>
      <c r="HN6" t="s">
        <v>1873</v>
      </c>
      <c r="HQ6" t="s">
        <v>1824</v>
      </c>
      <c r="HR6">
        <v>0.112041</v>
      </c>
      <c r="HS6" t="s">
        <v>1752</v>
      </c>
      <c r="HT6">
        <v>0.211726</v>
      </c>
      <c r="HU6" t="s">
        <v>1825</v>
      </c>
      <c r="HV6">
        <v>2025</v>
      </c>
      <c r="HW6" t="s">
        <v>1826</v>
      </c>
      <c r="HX6" s="6">
        <v>46056</v>
      </c>
      <c r="HY6">
        <v>5</v>
      </c>
      <c r="HZ6">
        <v>34266560</v>
      </c>
      <c r="IA6">
        <v>1499717</v>
      </c>
      <c r="IB6" t="s">
        <v>1827</v>
      </c>
      <c r="JK6" t="s">
        <v>1554</v>
      </c>
      <c r="JL6" t="s">
        <v>1828</v>
      </c>
      <c r="JM6">
        <v>8.4566000000000002E-2</v>
      </c>
      <c r="JN6">
        <v>17.413955999999999</v>
      </c>
      <c r="JO6" t="s">
        <v>1825</v>
      </c>
      <c r="JP6">
        <v>2025</v>
      </c>
      <c r="JQ6" t="s">
        <v>2352</v>
      </c>
      <c r="JR6" s="6">
        <v>45720</v>
      </c>
      <c r="JS6">
        <v>5</v>
      </c>
      <c r="JT6">
        <v>33260652</v>
      </c>
      <c r="JU6">
        <v>313657</v>
      </c>
      <c r="JV6" t="s">
        <v>2353</v>
      </c>
      <c r="JY6" t="s">
        <v>4675</v>
      </c>
      <c r="JZ6">
        <v>-2.4245362661989844E-14</v>
      </c>
      <c r="KB6">
        <v>-2.4245362661989844E-14</v>
      </c>
      <c r="KC6" t="s">
        <v>1753</v>
      </c>
      <c r="KD6">
        <v>2025</v>
      </c>
      <c r="KE6" t="s">
        <v>4864</v>
      </c>
      <c r="KF6" s="6">
        <v>45917</v>
      </c>
      <c r="KG6">
        <v>5</v>
      </c>
      <c r="KH6">
        <v>-2.4245362661989844E-14</v>
      </c>
      <c r="KI6">
        <v>100024</v>
      </c>
      <c r="KJ6" t="s">
        <v>4677</v>
      </c>
      <c r="LS6" t="s">
        <v>2138</v>
      </c>
      <c r="LU6">
        <v>-2.4245362661989844E-14</v>
      </c>
      <c r="LV6">
        <v>-2.4245362661989844E-14</v>
      </c>
      <c r="LW6" t="s">
        <v>1753</v>
      </c>
      <c r="LX6">
        <v>2025</v>
      </c>
      <c r="LY6" t="s">
        <v>4751</v>
      </c>
      <c r="LZ6" s="6">
        <v>46000</v>
      </c>
      <c r="MA6">
        <v>5</v>
      </c>
      <c r="MB6">
        <v>-2.4245362661989844E-14</v>
      </c>
      <c r="MC6">
        <v>948637</v>
      </c>
      <c r="MD6" t="s">
        <v>2140</v>
      </c>
      <c r="OO6" t="s">
        <v>3641</v>
      </c>
      <c r="OP6">
        <v>-2.4245362661989844E-14</v>
      </c>
      <c r="OR6">
        <v>-2.4245362661989844E-14</v>
      </c>
      <c r="OS6" t="s">
        <v>1774</v>
      </c>
      <c r="OT6">
        <v>2025</v>
      </c>
      <c r="OU6" t="s">
        <v>3642</v>
      </c>
      <c r="OV6" s="6">
        <v>45847</v>
      </c>
      <c r="OW6">
        <v>2</v>
      </c>
      <c r="OX6">
        <v>-2.4245362661989844E-14</v>
      </c>
      <c r="OY6">
        <v>11131878</v>
      </c>
      <c r="OZ6" t="s">
        <v>3643</v>
      </c>
      <c r="SA6" t="s">
        <v>1794</v>
      </c>
      <c r="SB6">
        <v>-2.4245362661989844E-14</v>
      </c>
      <c r="SD6">
        <v>-2.4245362661989844E-14</v>
      </c>
      <c r="SE6" t="s">
        <v>1753</v>
      </c>
      <c r="SF6">
        <v>2025</v>
      </c>
      <c r="SG6" t="s">
        <v>3610</v>
      </c>
      <c r="SH6" s="6">
        <v>45736</v>
      </c>
      <c r="SI6">
        <v>5</v>
      </c>
      <c r="SJ6">
        <v>-2.4245362661989844E-14</v>
      </c>
      <c r="SK6">
        <v>18782064</v>
      </c>
      <c r="SL6" t="s">
        <v>1796</v>
      </c>
      <c r="TU6" t="s">
        <v>1871</v>
      </c>
      <c r="TV6" t="s">
        <v>1752</v>
      </c>
      <c r="TW6">
        <v>2.0413640000000002</v>
      </c>
      <c r="TX6">
        <v>9.0393749999999997</v>
      </c>
      <c r="TY6" t="s">
        <v>1774</v>
      </c>
      <c r="TZ6">
        <v>2025</v>
      </c>
      <c r="UA6" t="s">
        <v>3698</v>
      </c>
      <c r="UB6" s="6">
        <v>45863</v>
      </c>
      <c r="UC6">
        <v>5</v>
      </c>
      <c r="UD6">
        <v>1112317696</v>
      </c>
      <c r="UE6">
        <v>117929</v>
      </c>
      <c r="UF6" t="s">
        <v>1873</v>
      </c>
      <c r="UI6" t="s">
        <v>1824</v>
      </c>
      <c r="UJ6">
        <v>0.112041</v>
      </c>
      <c r="UK6" t="s">
        <v>1752</v>
      </c>
      <c r="UL6">
        <v>0.211726</v>
      </c>
      <c r="UM6" t="s">
        <v>1825</v>
      </c>
      <c r="UN6">
        <v>2025</v>
      </c>
      <c r="UO6" t="s">
        <v>1826</v>
      </c>
      <c r="UP6" s="6">
        <v>46056</v>
      </c>
      <c r="UQ6">
        <v>5</v>
      </c>
      <c r="UR6">
        <v>34266560</v>
      </c>
      <c r="US6">
        <v>1499717</v>
      </c>
      <c r="UT6" t="s">
        <v>1827</v>
      </c>
    </row>
    <row r="7" spans="1:600" x14ac:dyDescent="0.25">
      <c r="AE7" t="s">
        <v>3139</v>
      </c>
      <c r="AG7">
        <v>-2.4245362661989844E-14</v>
      </c>
      <c r="AH7">
        <v>-2.4245362661989844E-14</v>
      </c>
      <c r="AI7" t="s">
        <v>1753</v>
      </c>
      <c r="AJ7">
        <v>2022</v>
      </c>
      <c r="AK7" t="s">
        <v>3140</v>
      </c>
      <c r="AL7" s="6">
        <v>44736</v>
      </c>
      <c r="AM7">
        <v>5</v>
      </c>
      <c r="AN7">
        <v>-2.4245362661989844E-14</v>
      </c>
      <c r="AO7">
        <v>114629</v>
      </c>
      <c r="AP7" t="s">
        <v>3141</v>
      </c>
      <c r="AS7" t="s">
        <v>4968</v>
      </c>
      <c r="AT7">
        <v>-2.4245362661989844E-14</v>
      </c>
      <c r="AV7">
        <v>-2.4245362661989844E-14</v>
      </c>
      <c r="AW7" t="s">
        <v>1788</v>
      </c>
      <c r="AX7">
        <v>2022</v>
      </c>
      <c r="AY7" t="s">
        <v>4969</v>
      </c>
      <c r="AZ7" s="6">
        <v>44870</v>
      </c>
      <c r="BA7">
        <v>3</v>
      </c>
      <c r="BB7">
        <v>-2.4245362661989844E-14</v>
      </c>
      <c r="BC7">
        <v>67335162</v>
      </c>
      <c r="BD7" t="s">
        <v>4970</v>
      </c>
      <c r="BI7" t="s">
        <v>4762</v>
      </c>
      <c r="BK7">
        <v>-2.4245362661989844E-14</v>
      </c>
      <c r="BL7">
        <v>-2.4245362661989844E-14</v>
      </c>
      <c r="BM7" t="s">
        <v>1842</v>
      </c>
      <c r="BN7">
        <v>2024</v>
      </c>
      <c r="BO7" t="s">
        <v>4763</v>
      </c>
      <c r="BP7" s="6">
        <v>45729</v>
      </c>
      <c r="BQ7">
        <v>5</v>
      </c>
      <c r="BR7">
        <v>-2.4245362661989844E-14</v>
      </c>
      <c r="BS7">
        <v>21769185</v>
      </c>
      <c r="BT7" t="s">
        <v>4764</v>
      </c>
      <c r="BW7" t="s">
        <v>3989</v>
      </c>
      <c r="BX7">
        <v>-2.4245362661989844E-14</v>
      </c>
      <c r="BZ7">
        <v>-2.4245362661989844E-14</v>
      </c>
      <c r="CA7" t="s">
        <v>1774</v>
      </c>
      <c r="CB7">
        <v>2024</v>
      </c>
      <c r="CC7" t="s">
        <v>4775</v>
      </c>
      <c r="CD7" s="6">
        <v>45426</v>
      </c>
      <c r="CE7">
        <v>5</v>
      </c>
      <c r="CF7">
        <v>-2.4245362661989844E-14</v>
      </c>
      <c r="CG7">
        <v>115114</v>
      </c>
      <c r="CH7" t="s">
        <v>3990</v>
      </c>
      <c r="DQ7" t="s">
        <v>2268</v>
      </c>
      <c r="DR7" t="s">
        <v>1828</v>
      </c>
      <c r="DS7">
        <v>8.8760320000000004</v>
      </c>
      <c r="DT7">
        <v>5.0127040000000003</v>
      </c>
      <c r="DU7" t="s">
        <v>1788</v>
      </c>
      <c r="DV7">
        <v>2025</v>
      </c>
      <c r="DW7" t="s">
        <v>2487</v>
      </c>
      <c r="DX7" s="6">
        <v>46080</v>
      </c>
      <c r="DY7">
        <v>5</v>
      </c>
      <c r="DZ7">
        <v>1565479588.27</v>
      </c>
      <c r="EA7">
        <v>193974</v>
      </c>
      <c r="EB7" t="s">
        <v>2270</v>
      </c>
      <c r="EE7" t="s">
        <v>3249</v>
      </c>
      <c r="EF7">
        <v>0.257766</v>
      </c>
      <c r="EG7" t="s">
        <v>1752</v>
      </c>
      <c r="EH7">
        <v>3.7523520000000001</v>
      </c>
      <c r="EI7" t="s">
        <v>1774</v>
      </c>
      <c r="EJ7">
        <v>2025</v>
      </c>
      <c r="EK7" t="s">
        <v>3250</v>
      </c>
      <c r="EL7" s="6">
        <v>45910</v>
      </c>
      <c r="EM7">
        <v>5</v>
      </c>
      <c r="EN7">
        <v>197200308.5</v>
      </c>
      <c r="EO7">
        <v>193775</v>
      </c>
      <c r="EP7" t="s">
        <v>3251</v>
      </c>
      <c r="HC7" t="s">
        <v>3014</v>
      </c>
      <c r="HD7" t="s">
        <v>1828</v>
      </c>
      <c r="HE7">
        <v>13.01698</v>
      </c>
      <c r="HF7">
        <v>13.663121</v>
      </c>
      <c r="HG7" t="s">
        <v>1788</v>
      </c>
      <c r="HH7">
        <v>2025</v>
      </c>
      <c r="HI7" t="s">
        <v>3015</v>
      </c>
      <c r="HJ7" s="6">
        <v>46029</v>
      </c>
      <c r="HK7">
        <v>5</v>
      </c>
      <c r="HL7">
        <v>769456564.02999997</v>
      </c>
      <c r="HM7">
        <v>115705</v>
      </c>
      <c r="HN7" t="s">
        <v>3016</v>
      </c>
      <c r="HQ7" t="s">
        <v>1875</v>
      </c>
      <c r="HR7">
        <v>3.6669E-2</v>
      </c>
      <c r="HS7" t="s">
        <v>1752</v>
      </c>
      <c r="HT7">
        <v>1.85477</v>
      </c>
      <c r="HU7" t="s">
        <v>1788</v>
      </c>
      <c r="HV7">
        <v>2025</v>
      </c>
      <c r="HW7" t="s">
        <v>1876</v>
      </c>
      <c r="HX7" s="6">
        <v>45840</v>
      </c>
      <c r="HY7">
        <v>5</v>
      </c>
      <c r="HZ7">
        <v>11214774</v>
      </c>
      <c r="IA7">
        <v>136424</v>
      </c>
      <c r="IB7" t="s">
        <v>1877</v>
      </c>
      <c r="JK7" t="s">
        <v>3131</v>
      </c>
      <c r="JL7" t="s">
        <v>1940</v>
      </c>
      <c r="JM7">
        <v>5.7837880000000004</v>
      </c>
      <c r="JN7">
        <v>0.227356</v>
      </c>
      <c r="JO7" t="s">
        <v>1842</v>
      </c>
      <c r="JP7">
        <v>2025</v>
      </c>
      <c r="JQ7" t="s">
        <v>3132</v>
      </c>
      <c r="JR7" s="6">
        <v>45881</v>
      </c>
      <c r="JS7">
        <v>5</v>
      </c>
      <c r="JT7">
        <v>4953328.4800000004</v>
      </c>
      <c r="JU7">
        <v>111471</v>
      </c>
      <c r="JV7" t="s">
        <v>3133</v>
      </c>
      <c r="JY7" t="s">
        <v>4865</v>
      </c>
      <c r="JZ7">
        <v>-2.4245362661989844E-14</v>
      </c>
      <c r="KB7">
        <v>-2.4245362661989844E-14</v>
      </c>
      <c r="KC7" t="s">
        <v>1753</v>
      </c>
      <c r="KD7">
        <v>2023</v>
      </c>
      <c r="KE7" t="s">
        <v>4866</v>
      </c>
      <c r="KF7" s="6">
        <v>45331</v>
      </c>
      <c r="KG7">
        <v>5</v>
      </c>
      <c r="KH7">
        <v>-2.4245362661989844E-14</v>
      </c>
      <c r="KI7">
        <v>100061</v>
      </c>
      <c r="KJ7" t="s">
        <v>4867</v>
      </c>
      <c r="LS7" t="s">
        <v>4752</v>
      </c>
      <c r="LU7">
        <v>-2.4245362661989844E-14</v>
      </c>
      <c r="LV7">
        <v>-2.4245362661989844E-14</v>
      </c>
      <c r="LW7" t="s">
        <v>1753</v>
      </c>
      <c r="LX7">
        <v>2022</v>
      </c>
      <c r="LY7" t="s">
        <v>4753</v>
      </c>
      <c r="LZ7" s="6">
        <v>44990</v>
      </c>
      <c r="MA7">
        <v>5</v>
      </c>
      <c r="MB7">
        <v>-2.4245362661989844E-14</v>
      </c>
      <c r="MC7">
        <v>319200</v>
      </c>
      <c r="MD7" t="s">
        <v>4754</v>
      </c>
      <c r="SA7" t="s">
        <v>3611</v>
      </c>
      <c r="SB7">
        <v>-2.4245362661989844E-14</v>
      </c>
      <c r="SD7">
        <v>-2.4245362661989844E-14</v>
      </c>
      <c r="SE7" t="s">
        <v>1753</v>
      </c>
      <c r="SF7">
        <v>2024</v>
      </c>
      <c r="SG7" t="s">
        <v>3609</v>
      </c>
      <c r="SH7" s="6">
        <v>45716</v>
      </c>
      <c r="SI7">
        <v>5</v>
      </c>
      <c r="SJ7">
        <v>-2.4245362661989844E-14</v>
      </c>
      <c r="SK7">
        <v>18621631</v>
      </c>
      <c r="SL7" t="s">
        <v>3612</v>
      </c>
      <c r="TU7" t="s">
        <v>3014</v>
      </c>
      <c r="TV7" t="s">
        <v>1828</v>
      </c>
      <c r="TW7">
        <v>13.01698</v>
      </c>
      <c r="TX7">
        <v>13.663121</v>
      </c>
      <c r="TY7" t="s">
        <v>1788</v>
      </c>
      <c r="TZ7">
        <v>2025</v>
      </c>
      <c r="UA7" t="s">
        <v>3015</v>
      </c>
      <c r="UB7" s="6">
        <v>46029</v>
      </c>
      <c r="UC7">
        <v>5</v>
      </c>
      <c r="UD7">
        <v>769456564.02999997</v>
      </c>
      <c r="UE7">
        <v>115705</v>
      </c>
      <c r="UF7" t="s">
        <v>3016</v>
      </c>
      <c r="UI7" t="s">
        <v>1875</v>
      </c>
      <c r="UJ7">
        <v>3.6669E-2</v>
      </c>
      <c r="UK7" t="s">
        <v>1752</v>
      </c>
      <c r="UL7">
        <v>1.85477</v>
      </c>
      <c r="UM7" t="s">
        <v>1788</v>
      </c>
      <c r="UN7">
        <v>2025</v>
      </c>
      <c r="UO7" t="s">
        <v>1876</v>
      </c>
      <c r="UP7" s="6">
        <v>45840</v>
      </c>
      <c r="UQ7">
        <v>5</v>
      </c>
      <c r="UR7">
        <v>11214774</v>
      </c>
      <c r="US7">
        <v>136424</v>
      </c>
      <c r="UT7" t="s">
        <v>1877</v>
      </c>
    </row>
    <row r="8" spans="1:600" x14ac:dyDescent="0.25">
      <c r="AE8" t="s">
        <v>484</v>
      </c>
      <c r="AG8">
        <v>-2.4245362661989844E-14</v>
      </c>
      <c r="AH8">
        <v>-2.4245362661989844E-14</v>
      </c>
      <c r="AI8" t="s">
        <v>1788</v>
      </c>
      <c r="AJ8">
        <v>2025</v>
      </c>
      <c r="AK8" t="s">
        <v>3142</v>
      </c>
      <c r="AL8" s="6">
        <v>45966</v>
      </c>
      <c r="AM8">
        <v>5</v>
      </c>
      <c r="AN8">
        <v>-2.4245362661989844E-14</v>
      </c>
      <c r="AO8">
        <v>101695</v>
      </c>
      <c r="AP8" t="s">
        <v>3011</v>
      </c>
      <c r="BI8" t="s">
        <v>3104</v>
      </c>
      <c r="BK8">
        <v>-2.4245362661989844E-14</v>
      </c>
      <c r="BL8">
        <v>-2.4245362661989844E-14</v>
      </c>
      <c r="BM8" t="s">
        <v>1753</v>
      </c>
      <c r="BN8">
        <v>2022</v>
      </c>
      <c r="BO8" t="s">
        <v>3105</v>
      </c>
      <c r="BP8" s="6">
        <v>44693</v>
      </c>
      <c r="BQ8">
        <v>5</v>
      </c>
      <c r="BR8">
        <v>-2.4245362661989844E-14</v>
      </c>
      <c r="BS8">
        <v>114991</v>
      </c>
      <c r="BT8" t="s">
        <v>3106</v>
      </c>
      <c r="BW8" t="s">
        <v>484</v>
      </c>
      <c r="BX8">
        <v>-2.4245362661989844E-14</v>
      </c>
      <c r="BZ8">
        <v>-2.4245362661989844E-14</v>
      </c>
      <c r="CA8" t="s">
        <v>1774</v>
      </c>
      <c r="CB8">
        <v>2024</v>
      </c>
      <c r="CC8" t="s">
        <v>4775</v>
      </c>
      <c r="CD8" s="6">
        <v>45426</v>
      </c>
      <c r="CE8">
        <v>5</v>
      </c>
      <c r="CF8">
        <v>-2.4245362661989844E-14</v>
      </c>
      <c r="CG8">
        <v>101695</v>
      </c>
      <c r="CH8" t="s">
        <v>3011</v>
      </c>
      <c r="DQ8" t="s">
        <v>5923</v>
      </c>
      <c r="DR8" t="s">
        <v>1752</v>
      </c>
      <c r="DS8">
        <v>10.491263999999999</v>
      </c>
      <c r="DT8">
        <v>3.784764</v>
      </c>
      <c r="DU8" t="s">
        <v>1774</v>
      </c>
      <c r="DV8">
        <v>2025</v>
      </c>
      <c r="DW8" t="s">
        <v>5924</v>
      </c>
      <c r="DX8" s="6">
        <v>45891</v>
      </c>
      <c r="DY8">
        <v>5</v>
      </c>
      <c r="DZ8">
        <v>909613718.26999998</v>
      </c>
      <c r="EA8">
        <v>12279743</v>
      </c>
      <c r="EB8" t="s">
        <v>5925</v>
      </c>
      <c r="EE8" t="s">
        <v>3435</v>
      </c>
      <c r="EF8">
        <v>0.24043100000000001</v>
      </c>
      <c r="EG8" t="s">
        <v>1752</v>
      </c>
      <c r="EH8">
        <v>7.9492950000000002</v>
      </c>
      <c r="EI8" t="s">
        <v>1774</v>
      </c>
      <c r="EJ8">
        <v>2025</v>
      </c>
      <c r="EK8" t="s">
        <v>3436</v>
      </c>
      <c r="EL8" s="6">
        <v>46008</v>
      </c>
      <c r="EM8">
        <v>5</v>
      </c>
      <c r="EN8">
        <v>184870547.49000001</v>
      </c>
      <c r="EO8">
        <v>349049</v>
      </c>
      <c r="EP8" t="s">
        <v>3437</v>
      </c>
      <c r="HC8" t="s">
        <v>28</v>
      </c>
      <c r="HD8" t="s">
        <v>1752</v>
      </c>
      <c r="HE8">
        <v>17</v>
      </c>
      <c r="HF8">
        <v>3.5607669999999998</v>
      </c>
      <c r="HG8" t="s">
        <v>1753</v>
      </c>
      <c r="HH8">
        <v>2025</v>
      </c>
      <c r="HI8" t="s">
        <v>3012</v>
      </c>
      <c r="HJ8" s="6">
        <v>46077</v>
      </c>
      <c r="HK8">
        <v>5</v>
      </c>
      <c r="HL8">
        <v>452395488</v>
      </c>
      <c r="HM8">
        <v>210870</v>
      </c>
      <c r="HN8" t="s">
        <v>3013</v>
      </c>
      <c r="HQ8" t="s">
        <v>1784</v>
      </c>
      <c r="HR8">
        <v>1.3672E-2</v>
      </c>
      <c r="HS8" t="s">
        <v>1752</v>
      </c>
      <c r="HT8">
        <v>7.3932999999999999E-2</v>
      </c>
      <c r="HU8" t="s">
        <v>1774</v>
      </c>
      <c r="HV8">
        <v>2026</v>
      </c>
      <c r="HW8" t="s">
        <v>1874</v>
      </c>
      <c r="HX8" s="6">
        <v>46063</v>
      </c>
      <c r="HY8">
        <v>5</v>
      </c>
      <c r="HZ8">
        <v>4181589</v>
      </c>
      <c r="IA8">
        <v>100142</v>
      </c>
      <c r="IB8" t="s">
        <v>1786</v>
      </c>
      <c r="JK8" t="s">
        <v>2202</v>
      </c>
      <c r="JL8" t="s">
        <v>1940</v>
      </c>
      <c r="JM8">
        <v>1.7655179999999999</v>
      </c>
      <c r="JN8">
        <v>0.19648399999999999</v>
      </c>
      <c r="JO8" t="s">
        <v>1753</v>
      </c>
      <c r="JP8">
        <v>2025</v>
      </c>
      <c r="JQ8" t="s">
        <v>2203</v>
      </c>
      <c r="JR8" s="6">
        <v>46058</v>
      </c>
      <c r="JS8">
        <v>5</v>
      </c>
      <c r="JT8">
        <v>4386500</v>
      </c>
      <c r="JU8">
        <v>106045</v>
      </c>
      <c r="JV8" t="s">
        <v>2204</v>
      </c>
      <c r="JY8" t="s">
        <v>2758</v>
      </c>
      <c r="JZ8">
        <v>-2.4245362661989844E-14</v>
      </c>
      <c r="KB8">
        <v>-2.4245362661989844E-14</v>
      </c>
      <c r="KC8" t="s">
        <v>1753</v>
      </c>
      <c r="KD8">
        <v>2025</v>
      </c>
      <c r="KE8" t="s">
        <v>4868</v>
      </c>
      <c r="KF8" s="6">
        <v>45714</v>
      </c>
      <c r="KG8">
        <v>5</v>
      </c>
      <c r="KH8">
        <v>-2.4245362661989844E-14</v>
      </c>
      <c r="KI8">
        <v>101374</v>
      </c>
      <c r="KJ8" t="s">
        <v>2760</v>
      </c>
      <c r="LS8" t="s">
        <v>4755</v>
      </c>
      <c r="LU8">
        <v>-2.4245362661989844E-14</v>
      </c>
      <c r="LV8">
        <v>-2.4245362661989844E-14</v>
      </c>
      <c r="LW8" t="s">
        <v>1753</v>
      </c>
      <c r="LX8">
        <v>2022</v>
      </c>
      <c r="LY8" t="s">
        <v>4749</v>
      </c>
      <c r="LZ8" s="6">
        <v>44902</v>
      </c>
      <c r="MA8">
        <v>5</v>
      </c>
      <c r="MB8">
        <v>-2.4245362661989844E-14</v>
      </c>
      <c r="MC8">
        <v>9772779</v>
      </c>
      <c r="MD8" t="s">
        <v>4756</v>
      </c>
      <c r="SA8" t="s">
        <v>1797</v>
      </c>
      <c r="SB8">
        <v>-2.4245362661989844E-14</v>
      </c>
      <c r="SD8">
        <v>-2.4245362661989844E-14</v>
      </c>
      <c r="SE8" t="s">
        <v>1753</v>
      </c>
      <c r="SF8">
        <v>2024</v>
      </c>
      <c r="SG8" t="s">
        <v>3609</v>
      </c>
      <c r="SH8" s="6">
        <v>45716</v>
      </c>
      <c r="SI8">
        <v>5</v>
      </c>
      <c r="SJ8">
        <v>-2.4245362661989844E-14</v>
      </c>
      <c r="SK8">
        <v>17712908</v>
      </c>
      <c r="SL8" t="s">
        <v>1798</v>
      </c>
      <c r="TU8" t="s">
        <v>28</v>
      </c>
      <c r="TV8" t="s">
        <v>1752</v>
      </c>
      <c r="TW8">
        <v>17</v>
      </c>
      <c r="TX8">
        <v>3.5607669999999998</v>
      </c>
      <c r="TY8" t="s">
        <v>1753</v>
      </c>
      <c r="TZ8">
        <v>2025</v>
      </c>
      <c r="UA8" t="s">
        <v>3012</v>
      </c>
      <c r="UB8" s="6">
        <v>46077</v>
      </c>
      <c r="UC8">
        <v>5</v>
      </c>
      <c r="UD8">
        <v>452395488</v>
      </c>
      <c r="UE8">
        <v>210870</v>
      </c>
      <c r="UF8" t="s">
        <v>3013</v>
      </c>
      <c r="UI8" t="s">
        <v>1784</v>
      </c>
      <c r="UJ8">
        <v>1.3672E-2</v>
      </c>
      <c r="UK8" t="s">
        <v>1752</v>
      </c>
      <c r="UL8">
        <v>7.3932999999999999E-2</v>
      </c>
      <c r="UM8" t="s">
        <v>1774</v>
      </c>
      <c r="UN8">
        <v>2026</v>
      </c>
      <c r="UO8" t="s">
        <v>1874</v>
      </c>
      <c r="UP8" s="6">
        <v>46063</v>
      </c>
      <c r="UQ8">
        <v>5</v>
      </c>
      <c r="UR8">
        <v>4181589</v>
      </c>
      <c r="US8">
        <v>100142</v>
      </c>
      <c r="UT8" t="s">
        <v>1786</v>
      </c>
    </row>
    <row r="9" spans="1:600" x14ac:dyDescent="0.25">
      <c r="AE9" t="s">
        <v>3143</v>
      </c>
      <c r="AG9">
        <v>-2.4245362661989844E-14</v>
      </c>
      <c r="AH9">
        <v>-2.4245362661989844E-14</v>
      </c>
      <c r="AI9" t="s">
        <v>1753</v>
      </c>
      <c r="AJ9">
        <v>2022</v>
      </c>
      <c r="AK9" t="s">
        <v>3144</v>
      </c>
      <c r="AL9" s="6">
        <v>45016</v>
      </c>
      <c r="AM9">
        <v>5</v>
      </c>
      <c r="AN9">
        <v>-2.4245362661989844E-14</v>
      </c>
      <c r="AO9">
        <v>9840510</v>
      </c>
      <c r="AP9" t="s">
        <v>3145</v>
      </c>
      <c r="BI9" t="s">
        <v>2304</v>
      </c>
      <c r="BK9">
        <v>-2.4245362661989844E-14</v>
      </c>
      <c r="BL9">
        <v>-2.4245362661989844E-14</v>
      </c>
      <c r="BM9" t="s">
        <v>1753</v>
      </c>
      <c r="BN9">
        <v>2021</v>
      </c>
      <c r="BO9" t="s">
        <v>2305</v>
      </c>
      <c r="BP9" s="6">
        <v>44693</v>
      </c>
      <c r="BQ9">
        <v>5</v>
      </c>
      <c r="BR9">
        <v>-2.4245362661989844E-14</v>
      </c>
      <c r="BS9">
        <v>313098</v>
      </c>
      <c r="BT9" t="s">
        <v>2306</v>
      </c>
      <c r="BW9" t="s">
        <v>3444</v>
      </c>
      <c r="BX9">
        <v>-2.4245362661989844E-14</v>
      </c>
      <c r="BZ9">
        <v>-2.4245362661989844E-14</v>
      </c>
      <c r="CA9" t="s">
        <v>1774</v>
      </c>
      <c r="CB9">
        <v>2024</v>
      </c>
      <c r="CC9" t="s">
        <v>4775</v>
      </c>
      <c r="CD9" s="6">
        <v>45426</v>
      </c>
      <c r="CE9">
        <v>5</v>
      </c>
      <c r="CF9">
        <v>-2.4245362661989844E-14</v>
      </c>
      <c r="CG9">
        <v>61417091</v>
      </c>
      <c r="CH9" t="s">
        <v>3446</v>
      </c>
      <c r="DQ9" t="s">
        <v>5926</v>
      </c>
      <c r="DR9" t="s">
        <v>1752</v>
      </c>
      <c r="DS9">
        <v>67</v>
      </c>
      <c r="DT9">
        <v>3.5827270000000002</v>
      </c>
      <c r="DU9" t="s">
        <v>1753</v>
      </c>
      <c r="DV9">
        <v>2025</v>
      </c>
      <c r="DW9" t="s">
        <v>5927</v>
      </c>
      <c r="DX9" s="6">
        <v>46083</v>
      </c>
      <c r="DY9">
        <v>5</v>
      </c>
      <c r="DZ9">
        <v>859442496</v>
      </c>
      <c r="EA9">
        <v>69597326</v>
      </c>
      <c r="EB9" t="s">
        <v>5928</v>
      </c>
      <c r="EE9" t="s">
        <v>2750</v>
      </c>
      <c r="EF9">
        <v>0.23485800000000001</v>
      </c>
      <c r="EG9" t="s">
        <v>1752</v>
      </c>
      <c r="EH9">
        <v>0.132383</v>
      </c>
      <c r="EI9" t="s">
        <v>1788</v>
      </c>
      <c r="EJ9">
        <v>2025</v>
      </c>
      <c r="EK9" t="s">
        <v>2491</v>
      </c>
      <c r="EL9" s="6">
        <v>45843</v>
      </c>
      <c r="EM9">
        <v>5</v>
      </c>
      <c r="EN9">
        <v>164555600</v>
      </c>
      <c r="EO9">
        <v>101616</v>
      </c>
      <c r="EP9" t="s">
        <v>2752</v>
      </c>
      <c r="HC9" t="s">
        <v>1741</v>
      </c>
      <c r="HD9" t="s">
        <v>1828</v>
      </c>
      <c r="HE9">
        <v>24.9</v>
      </c>
      <c r="HF9">
        <v>7.4053610000000001</v>
      </c>
      <c r="HG9" t="s">
        <v>1788</v>
      </c>
      <c r="HH9">
        <v>2026</v>
      </c>
      <c r="HI9" t="s">
        <v>2365</v>
      </c>
      <c r="HJ9" s="6">
        <v>45981</v>
      </c>
      <c r="HK9">
        <v>5</v>
      </c>
      <c r="HL9">
        <v>361900000</v>
      </c>
      <c r="HM9">
        <v>100487</v>
      </c>
      <c r="HN9" t="s">
        <v>2231</v>
      </c>
      <c r="HQ9" t="s">
        <v>3343</v>
      </c>
      <c r="HR9">
        <v>7.0479999999999996E-3</v>
      </c>
      <c r="HS9" t="s">
        <v>1752</v>
      </c>
      <c r="HT9">
        <v>0.37631900000000001</v>
      </c>
      <c r="HU9" t="s">
        <v>1825</v>
      </c>
      <c r="HV9">
        <v>2024</v>
      </c>
      <c r="HW9" t="s">
        <v>3630</v>
      </c>
      <c r="HX9" s="6">
        <v>45742</v>
      </c>
      <c r="HY9">
        <v>5</v>
      </c>
      <c r="HZ9">
        <v>2163480.08</v>
      </c>
      <c r="IA9">
        <v>153672</v>
      </c>
      <c r="IB9" t="s">
        <v>3345</v>
      </c>
      <c r="JK9" t="s">
        <v>2125</v>
      </c>
      <c r="JL9" t="s">
        <v>1940</v>
      </c>
      <c r="JM9">
        <v>6.8681000000000006E-2</v>
      </c>
      <c r="JN9">
        <v>0.18884100000000001</v>
      </c>
      <c r="JO9" t="s">
        <v>1774</v>
      </c>
      <c r="JP9">
        <v>2025</v>
      </c>
      <c r="JQ9" t="s">
        <v>2126</v>
      </c>
      <c r="JR9" s="6">
        <v>45838</v>
      </c>
      <c r="JS9">
        <v>5</v>
      </c>
      <c r="JT9">
        <v>4033635</v>
      </c>
      <c r="JU9">
        <v>101689</v>
      </c>
      <c r="JV9" t="s">
        <v>2127</v>
      </c>
      <c r="JY9" t="s">
        <v>4869</v>
      </c>
      <c r="JZ9">
        <v>-2.4245362661989844E-14</v>
      </c>
      <c r="KB9">
        <v>-2.4245362661989844E-14</v>
      </c>
      <c r="KC9" t="s">
        <v>1753</v>
      </c>
      <c r="KD9">
        <v>2023</v>
      </c>
      <c r="KE9" t="s">
        <v>4864</v>
      </c>
      <c r="KF9" s="6">
        <v>45265</v>
      </c>
      <c r="KG9">
        <v>5</v>
      </c>
      <c r="KH9">
        <v>-2.4245362661989844E-14</v>
      </c>
      <c r="KI9">
        <v>11379994</v>
      </c>
      <c r="KJ9" t="s">
        <v>4870</v>
      </c>
      <c r="LS9" t="s">
        <v>2036</v>
      </c>
      <c r="LU9">
        <v>-2.4245362661989844E-14</v>
      </c>
      <c r="LV9">
        <v>-2.4245362661989844E-14</v>
      </c>
      <c r="LW9" t="s">
        <v>1753</v>
      </c>
      <c r="LX9">
        <v>2025</v>
      </c>
      <c r="LY9" t="s">
        <v>4751</v>
      </c>
      <c r="LZ9" s="6">
        <v>46000</v>
      </c>
      <c r="MA9">
        <v>5</v>
      </c>
      <c r="MB9">
        <v>-2.4245362661989844E-14</v>
      </c>
      <c r="MC9">
        <v>9268711</v>
      </c>
      <c r="MD9" t="s">
        <v>2037</v>
      </c>
      <c r="SA9" t="s">
        <v>3613</v>
      </c>
      <c r="SB9">
        <v>-2.4245362661989844E-14</v>
      </c>
      <c r="SD9">
        <v>-2.4245362661989844E-14</v>
      </c>
      <c r="SE9" t="s">
        <v>1753</v>
      </c>
      <c r="SF9">
        <v>2024</v>
      </c>
      <c r="SG9" t="s">
        <v>3609</v>
      </c>
      <c r="SH9" s="6">
        <v>45716</v>
      </c>
      <c r="SI9">
        <v>5</v>
      </c>
      <c r="SJ9">
        <v>-2.4245362661989844E-14</v>
      </c>
      <c r="SK9">
        <v>17712880</v>
      </c>
      <c r="SL9" t="s">
        <v>3614</v>
      </c>
      <c r="TU9" t="s">
        <v>1741</v>
      </c>
      <c r="TV9" t="s">
        <v>1828</v>
      </c>
      <c r="TW9">
        <v>24.9</v>
      </c>
      <c r="TX9">
        <v>7.4053610000000001</v>
      </c>
      <c r="TY9" t="s">
        <v>1788</v>
      </c>
      <c r="TZ9">
        <v>2026</v>
      </c>
      <c r="UA9" t="s">
        <v>2365</v>
      </c>
      <c r="UB9" s="6">
        <v>45981</v>
      </c>
      <c r="UC9">
        <v>5</v>
      </c>
      <c r="UD9">
        <v>361900000</v>
      </c>
      <c r="UE9">
        <v>100487</v>
      </c>
      <c r="UF9" t="s">
        <v>2231</v>
      </c>
      <c r="UI9" t="s">
        <v>3343</v>
      </c>
      <c r="UJ9">
        <v>7.0479999999999996E-3</v>
      </c>
      <c r="UK9" t="s">
        <v>1752</v>
      </c>
      <c r="UL9">
        <v>0.37631900000000001</v>
      </c>
      <c r="UM9" t="s">
        <v>1825</v>
      </c>
      <c r="UN9">
        <v>2024</v>
      </c>
      <c r="UO9" t="s">
        <v>3630</v>
      </c>
      <c r="UP9" s="6">
        <v>45742</v>
      </c>
      <c r="UQ9">
        <v>5</v>
      </c>
      <c r="UR9">
        <v>2163480.08</v>
      </c>
      <c r="US9">
        <v>153672</v>
      </c>
      <c r="UT9" t="s">
        <v>3345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241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242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243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244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245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246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247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248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249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250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251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252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253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254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255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256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257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258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259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260</v>
      </c>
      <c r="AE2" s="3" t="s">
        <v>261</v>
      </c>
      <c r="BI2" s="3" t="s">
        <v>262</v>
      </c>
      <c r="CM2" s="3" t="s">
        <v>263</v>
      </c>
      <c r="DQ2" s="3" t="s">
        <v>264</v>
      </c>
      <c r="EU2" s="3" t="s">
        <v>265</v>
      </c>
      <c r="FY2" s="3" t="s">
        <v>266</v>
      </c>
      <c r="HC2" s="3" t="s">
        <v>267</v>
      </c>
      <c r="IG2" s="3" t="s">
        <v>268</v>
      </c>
      <c r="JK2" s="3" t="s">
        <v>269</v>
      </c>
      <c r="KO2" s="3" t="s">
        <v>270</v>
      </c>
      <c r="LS2" s="3" t="s">
        <v>271</v>
      </c>
      <c r="MW2" s="3" t="s">
        <v>272</v>
      </c>
      <c r="OA2" s="3" t="s">
        <v>273</v>
      </c>
      <c r="PE2" s="3" t="s">
        <v>88</v>
      </c>
      <c r="QI2" s="3" t="s">
        <v>274</v>
      </c>
      <c r="RM2" s="3" t="s">
        <v>275</v>
      </c>
      <c r="SQ2" s="3" t="s">
        <v>276</v>
      </c>
      <c r="TU2" s="3" t="s">
        <v>277</v>
      </c>
      <c r="UY2" s="3" t="s">
        <v>278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_xll.BDS("GE US Equity","SUPPLY_CHAIN_SUPPLIERS_ALL_DATA","cols=12;rows=5")</f>
        <v>SAF FP Equity</v>
      </c>
      <c r="B5" t="s">
        <v>1752</v>
      </c>
      <c r="C5">
        <v>7.9101749999999997</v>
      </c>
      <c r="D5">
        <v>9.7364909999999991</v>
      </c>
      <c r="E5" t="s">
        <v>1774</v>
      </c>
      <c r="F5">
        <v>2025</v>
      </c>
      <c r="G5" t="s">
        <v>2600</v>
      </c>
      <c r="H5" s="6">
        <v>45874</v>
      </c>
      <c r="I5">
        <v>5</v>
      </c>
      <c r="J5">
        <v>666294015.34000003</v>
      </c>
      <c r="K5">
        <v>115519</v>
      </c>
      <c r="L5" t="s">
        <v>2601</v>
      </c>
      <c r="O5" t="str">
        <f>_xll.BDS("GE US Equity","SUPPLY_CHAIN_CUSTOMERS_ALL_DATA","cols=12;rows=5")</f>
        <v>3352Z US Equity</v>
      </c>
      <c r="P5">
        <v>10</v>
      </c>
      <c r="R5">
        <v>-2.4245362661989844E-14</v>
      </c>
      <c r="S5" t="s">
        <v>1753</v>
      </c>
      <c r="T5">
        <v>2025</v>
      </c>
      <c r="U5" t="s">
        <v>4410</v>
      </c>
      <c r="V5" s="6">
        <v>46051</v>
      </c>
      <c r="W5">
        <v>5</v>
      </c>
      <c r="X5">
        <v>1146375040</v>
      </c>
      <c r="Y5">
        <v>218252</v>
      </c>
      <c r="Z5" t="s">
        <v>1793</v>
      </c>
      <c r="AE5" t="str">
        <f>_xll.BDS("TWX US Equity","SUPPLY_CHAIN_SUPPLIERS_ALL_DATA")</f>
        <v>#N/A N/A</v>
      </c>
      <c r="AS5" t="str">
        <f>_xll.BDS("TWX US Equity","SUPPLY_CHAIN_CUSTOMERS_ALL_DATA")</f>
        <v>#N/A N/A</v>
      </c>
      <c r="BI5" t="str">
        <f>_xll.BDS("EFSC US Equity","SUPPLY_CHAIN_SUPPLIERS_ALL_DATA")</f>
        <v>#N/A N/A</v>
      </c>
      <c r="BW5" t="str">
        <f>_xll.BDS("EFSC US Equity","SUPPLY_CHAIN_CUSTOMERS_ALL_DATA")</f>
        <v>#N/A N/A</v>
      </c>
      <c r="CM5" t="str">
        <f>_xll.BDS("YDKN US Equity","SUPPLY_CHAIN_SUPPLIERS_ALL_DATA")</f>
        <v>#N/A N/A</v>
      </c>
      <c r="DA5" t="str">
        <f>_xll.BDS("YDKN US Equity","SUPPLY_CHAIN_CUSTOMERS_ALL_DATA")</f>
        <v>#N/A N/A</v>
      </c>
      <c r="DQ5" t="str">
        <f>_xll.BDS("CF US Equity","SUPPLY_CHAIN_SUPPLIERS_ALL_DATA","cols=12;rows=5")</f>
        <v>JMAT LN Equity</v>
      </c>
      <c r="DR5" t="s">
        <v>1752</v>
      </c>
      <c r="DS5">
        <v>5.9544E-2</v>
      </c>
      <c r="DT5">
        <v>0.21159</v>
      </c>
      <c r="DU5" t="s">
        <v>1825</v>
      </c>
      <c r="DV5">
        <v>2025</v>
      </c>
      <c r="DW5" t="s">
        <v>5618</v>
      </c>
      <c r="DX5" s="6">
        <v>45943</v>
      </c>
      <c r="DY5">
        <v>5</v>
      </c>
      <c r="DZ5">
        <v>2266158.48</v>
      </c>
      <c r="EA5">
        <v>111810</v>
      </c>
      <c r="EB5" t="s">
        <v>5619</v>
      </c>
      <c r="EE5" t="str">
        <f>_xll.BDS("CF US Equity","SUPPLY_CHAIN_CUSTOMERS_ALL_DATA","cols=12;rows=5")</f>
        <v>7165Z US Equity</v>
      </c>
      <c r="EF5">
        <v>12</v>
      </c>
      <c r="EG5" t="s">
        <v>1752</v>
      </c>
      <c r="EH5">
        <v>1.997665</v>
      </c>
      <c r="EI5" t="s">
        <v>1753</v>
      </c>
      <c r="EJ5">
        <v>2024</v>
      </c>
      <c r="EK5" t="s">
        <v>5489</v>
      </c>
      <c r="EL5" s="6">
        <v>45708</v>
      </c>
      <c r="EM5">
        <v>5</v>
      </c>
      <c r="EN5">
        <v>178080000</v>
      </c>
      <c r="EO5">
        <v>201737</v>
      </c>
      <c r="EP5" t="s">
        <v>5490</v>
      </c>
      <c r="EU5" t="str">
        <f>_xll.BDS("JNJ US Equity","SUPPLY_CHAIN_SUPPLIERS_ALL_DATA","cols=12;rows=5")</f>
        <v>GMAB DC Equity</v>
      </c>
      <c r="EV5" t="s">
        <v>2407</v>
      </c>
      <c r="EW5">
        <v>66.998047</v>
      </c>
      <c r="EX5">
        <v>11.040321</v>
      </c>
      <c r="EY5" t="s">
        <v>1753</v>
      </c>
      <c r="EZ5">
        <v>2024</v>
      </c>
      <c r="FA5" t="s">
        <v>3409</v>
      </c>
      <c r="FB5" s="6">
        <v>45701</v>
      </c>
      <c r="FC5">
        <v>5</v>
      </c>
      <c r="FD5">
        <v>522920364.22000003</v>
      </c>
      <c r="FE5">
        <v>1405715</v>
      </c>
      <c r="FF5" t="s">
        <v>3410</v>
      </c>
      <c r="FI5" t="str">
        <f>_xll.BDS("JNJ US Equity","SUPPLY_CHAIN_CUSTOMERS_ALL_DATA","cols=12;rows=5")</f>
        <v>MCK US Equity</v>
      </c>
      <c r="FJ5">
        <v>20.476745999999999</v>
      </c>
      <c r="FK5" t="s">
        <v>1752</v>
      </c>
      <c r="FL5">
        <v>6.636412</v>
      </c>
      <c r="FM5" t="s">
        <v>1788</v>
      </c>
      <c r="FN5">
        <v>2025</v>
      </c>
      <c r="FO5" t="s">
        <v>2577</v>
      </c>
      <c r="FP5" s="6">
        <v>46018</v>
      </c>
      <c r="FQ5">
        <v>5</v>
      </c>
      <c r="FR5">
        <v>4912985600</v>
      </c>
      <c r="FS5">
        <v>154936</v>
      </c>
      <c r="FT5" t="s">
        <v>2342</v>
      </c>
      <c r="FY5" t="str">
        <f>_xll.BDS("PPBI US Equity","SUPPLY_CHAIN_SUPPLIERS_ALL_DATA","cols=12;rows=1")</f>
        <v>MUST SP Equity</v>
      </c>
      <c r="GA5">
        <v>-2.4245362661989844E-14</v>
      </c>
      <c r="GB5">
        <v>-2.4245362661989844E-14</v>
      </c>
      <c r="GC5" t="s">
        <v>1753</v>
      </c>
      <c r="GD5">
        <v>2024</v>
      </c>
      <c r="GE5" t="s">
        <v>3184</v>
      </c>
      <c r="GF5" s="6">
        <v>45762</v>
      </c>
      <c r="GG5">
        <v>1</v>
      </c>
      <c r="GH5">
        <v>-2.4245362661989844E-14</v>
      </c>
      <c r="GI5">
        <v>46286147</v>
      </c>
      <c r="GJ5" t="s">
        <v>3185</v>
      </c>
      <c r="GM5" t="str">
        <f>_xll.BDS("PPBI US Equity","SUPPLY_CHAIN_CUSTOMERS_ALL_DATA")</f>
        <v>#N/A N/A</v>
      </c>
      <c r="HC5" t="str">
        <f>_xll.BDS("EPAC US Equity","SUPPLY_CHAIN_SUPPLIERS_ALL_DATA","cols=12;rows=5")</f>
        <v>002536 CH Equity</v>
      </c>
      <c r="HE5">
        <v>-2.4245362661989844E-14</v>
      </c>
      <c r="HF5">
        <v>-2.4245362661989844E-14</v>
      </c>
      <c r="HG5" t="s">
        <v>1753</v>
      </c>
      <c r="HH5">
        <v>2024</v>
      </c>
      <c r="HI5" t="s">
        <v>5231</v>
      </c>
      <c r="HJ5" s="6">
        <v>45734</v>
      </c>
      <c r="HK5">
        <v>5</v>
      </c>
      <c r="HL5">
        <v>-2.4245362661989844E-14</v>
      </c>
      <c r="HM5">
        <v>21833158</v>
      </c>
      <c r="HN5" t="s">
        <v>5232</v>
      </c>
      <c r="HQ5" t="str">
        <f>_xll.BDS("EPAC US Equity","SUPPLY_CHAIN_CUSTOMERS_ALL_DATA","cols=12;rows=5")</f>
        <v>DE US Equity</v>
      </c>
      <c r="HR5">
        <v>2.5167009999999999</v>
      </c>
      <c r="HS5" t="s">
        <v>1752</v>
      </c>
      <c r="HT5">
        <v>5.2748000000000003E-2</v>
      </c>
      <c r="HU5" t="s">
        <v>1788</v>
      </c>
      <c r="HV5">
        <v>2025</v>
      </c>
      <c r="HW5" t="s">
        <v>1829</v>
      </c>
      <c r="HX5" s="6">
        <v>45904</v>
      </c>
      <c r="HY5">
        <v>5</v>
      </c>
      <c r="HZ5">
        <v>3993024</v>
      </c>
      <c r="IA5">
        <v>100438</v>
      </c>
      <c r="IB5" t="s">
        <v>1830</v>
      </c>
      <c r="IG5" t="str">
        <f>_xll.BDS("1280712D US Equity","SUPPLY_CHAIN_SUPPLIERS_ALL_DATA")</f>
        <v>#N/A N/A</v>
      </c>
      <c r="IU5" t="str">
        <f>_xll.BDS("1280712D US Equity","SUPPLY_CHAIN_CUSTOMERS_ALL_DATA")</f>
        <v>#N/A N/A</v>
      </c>
      <c r="JK5" t="str">
        <f>_xll.BDS("EQC US Equity","SUPPLY_CHAIN_SUPPLIERS_ALL_DATA")</f>
        <v>#N/A N/A</v>
      </c>
      <c r="JY5" t="str">
        <f>_xll.BDS("EQC US Equity","SUPPLY_CHAIN_CUSTOMERS_ALL_DATA","cols=12;rows=5")</f>
        <v>0712582D US Equity</v>
      </c>
      <c r="JZ5">
        <v>-2.4245362661989844E-14</v>
      </c>
      <c r="KB5">
        <v>-2.4245362661989844E-14</v>
      </c>
      <c r="KC5" t="s">
        <v>1788</v>
      </c>
      <c r="KD5">
        <v>2024</v>
      </c>
      <c r="KE5" t="s">
        <v>4699</v>
      </c>
      <c r="KF5" s="6">
        <v>45589</v>
      </c>
      <c r="KG5">
        <v>5</v>
      </c>
      <c r="KH5">
        <v>-2.4245362661989844E-14</v>
      </c>
      <c r="KI5">
        <v>34370587</v>
      </c>
      <c r="KJ5" t="s">
        <v>4700</v>
      </c>
      <c r="KO5" t="str">
        <f>_xll.BDS("AVNT US Equity","SUPPLY_CHAIN_SUPPLIERS_ALL_DATA","cols=12;rows=5")</f>
        <v>DOW US Equity</v>
      </c>
      <c r="KP5" t="s">
        <v>1752</v>
      </c>
      <c r="KQ5">
        <v>8.8497999999999993E-2</v>
      </c>
      <c r="KR5">
        <v>1.690933</v>
      </c>
      <c r="KS5" t="s">
        <v>1781</v>
      </c>
      <c r="KT5">
        <v>2025</v>
      </c>
      <c r="KU5" t="s">
        <v>2073</v>
      </c>
      <c r="KV5" s="6">
        <v>45786</v>
      </c>
      <c r="KW5">
        <v>5</v>
      </c>
      <c r="KX5">
        <v>9231226</v>
      </c>
      <c r="KY5">
        <v>48365107</v>
      </c>
      <c r="KZ5" t="s">
        <v>2074</v>
      </c>
      <c r="LC5" t="str">
        <f>_xll.BDS("AVNT US Equity","SUPPLY_CHAIN_CUSTOMERS_ALL_DATA","cols=12;rows=5")</f>
        <v>TSLA US Equity</v>
      </c>
      <c r="LD5">
        <v>2.576384</v>
      </c>
      <c r="LE5" t="s">
        <v>1752</v>
      </c>
      <c r="LF5">
        <v>9.0582999999999997E-2</v>
      </c>
      <c r="LG5" t="s">
        <v>1788</v>
      </c>
      <c r="LH5">
        <v>2025</v>
      </c>
      <c r="LI5" t="s">
        <v>4092</v>
      </c>
      <c r="LJ5" s="6">
        <v>45978</v>
      </c>
      <c r="LK5">
        <v>5</v>
      </c>
      <c r="LL5">
        <v>20871288</v>
      </c>
      <c r="LM5">
        <v>11948451</v>
      </c>
      <c r="LN5" t="s">
        <v>4765</v>
      </c>
      <c r="LS5" t="str">
        <f>_xll.BDS("TFSM US Equity","SUPPLY_CHAIN_SUPPLIERS_ALL_DATA")</f>
        <v>#N/A N/A</v>
      </c>
      <c r="MG5" t="str">
        <f>_xll.BDS("TFSM US Equity","SUPPLY_CHAIN_CUSTOMERS_ALL_DATA")</f>
        <v>#N/A N/A</v>
      </c>
      <c r="MW5" t="str">
        <f>_xll.BDS("PXP US Equity","SUPPLY_CHAIN_SUPPLIERS_ALL_DATA")</f>
        <v>#N/A N/A</v>
      </c>
      <c r="NK5" t="str">
        <f>_xll.BDS("PXP US Equity","SUPPLY_CHAIN_CUSTOMERS_ALL_DATA")</f>
        <v>#N/A N/A</v>
      </c>
      <c r="OA5" t="str">
        <f>_xll.BDS("EQR US Equity","SUPPLY_CHAIN_SUPPLIERS_ALL_DATA","cols=12;rows=2")</f>
        <v>BLNK US Equity</v>
      </c>
      <c r="OC5">
        <v>-2.4245362661989844E-14</v>
      </c>
      <c r="OD5">
        <v>-2.4245362661989844E-14</v>
      </c>
      <c r="OE5" t="s">
        <v>1753</v>
      </c>
      <c r="OF5">
        <v>2024</v>
      </c>
      <c r="OG5" t="s">
        <v>3124</v>
      </c>
      <c r="OH5" s="6">
        <v>45756</v>
      </c>
      <c r="OI5">
        <v>2</v>
      </c>
      <c r="OJ5">
        <v>-2.4245362661989844E-14</v>
      </c>
      <c r="OK5">
        <v>14520400</v>
      </c>
      <c r="OL5" t="s">
        <v>3125</v>
      </c>
      <c r="OO5" t="str">
        <f>_xll.BDS("EQR US Equity","SUPPLY_CHAIN_CUSTOMERS_ALL_DATA")</f>
        <v>#N/A N/A</v>
      </c>
      <c r="PE5" t="str">
        <f>_xll.BDS("OK US Equity","SUPPLY_CHAIN_SUPPLIERS_ALL_DATA")</f>
        <v>#N/A N/A</v>
      </c>
      <c r="PS5" t="str">
        <f>_xll.BDS("OK US Equity","SUPPLY_CHAIN_CUSTOMERS_ALL_DATA")</f>
        <v>#N/A N/A</v>
      </c>
      <c r="QI5" t="str">
        <f>_xll.BDS("CITGQ US Equity","SUPPLY_CHAIN_SUPPLIERS_ALL_DATA")</f>
        <v>#N/A N/A</v>
      </c>
      <c r="QW5" t="str">
        <f>_xll.BDS("CITGQ US Equity","SUPPLY_CHAIN_CUSTOMERS_ALL_DATA")</f>
        <v>#N/A N/A</v>
      </c>
      <c r="RM5" t="str">
        <f>_xll.BDS("NUVA US Equity","SUPPLY_CHAIN_SUPPLIERS_ALL_DATA","cols=12;rows=5")</f>
        <v>1783 TT Equity</v>
      </c>
      <c r="RO5">
        <v>-2.4245362661989844E-14</v>
      </c>
      <c r="RP5">
        <v>-2.4245362661989844E-14</v>
      </c>
      <c r="RQ5" t="s">
        <v>1753</v>
      </c>
      <c r="RR5">
        <v>2022</v>
      </c>
      <c r="RS5" t="s">
        <v>4773</v>
      </c>
      <c r="RT5" s="6">
        <v>45077</v>
      </c>
      <c r="RU5">
        <v>5</v>
      </c>
      <c r="RV5">
        <v>-2.4245362661989844E-14</v>
      </c>
      <c r="RW5">
        <v>17237961</v>
      </c>
      <c r="RX5" t="s">
        <v>4774</v>
      </c>
      <c r="SA5" t="str">
        <f>_xll.BDS("NUVA US Equity","SUPPLY_CHAIN_CUSTOMERS_ALL_DATA","cols=12;rows=1")</f>
        <v>1783 TT Equity</v>
      </c>
      <c r="SB5">
        <v>-2.4245362661989844E-14</v>
      </c>
      <c r="SD5">
        <v>-2.4245362661989844E-14</v>
      </c>
      <c r="SE5" t="s">
        <v>1753</v>
      </c>
      <c r="SF5">
        <v>2022</v>
      </c>
      <c r="SG5" t="s">
        <v>4773</v>
      </c>
      <c r="SH5" s="6">
        <v>45077</v>
      </c>
      <c r="SI5">
        <v>1</v>
      </c>
      <c r="SJ5">
        <v>-2.4245362661989844E-14</v>
      </c>
      <c r="SK5">
        <v>17237961</v>
      </c>
      <c r="SL5" t="s">
        <v>4774</v>
      </c>
      <c r="SQ5" t="str">
        <f>_xll.BDS("ELME US Equity","SUPPLY_CHAIN_SUPPLIERS_ALL_DATA","cols=12;rows=3")</f>
        <v>114208Z US Equity</v>
      </c>
      <c r="SS5">
        <v>-2.4245362661989844E-14</v>
      </c>
      <c r="ST5">
        <v>-2.4245362661989844E-14</v>
      </c>
      <c r="SU5" t="s">
        <v>1753</v>
      </c>
      <c r="SV5">
        <v>2023</v>
      </c>
      <c r="SW5" t="s">
        <v>4971</v>
      </c>
      <c r="SX5" s="6">
        <v>45338</v>
      </c>
      <c r="SY5">
        <v>3</v>
      </c>
      <c r="SZ5">
        <v>-2.4245362661989844E-14</v>
      </c>
      <c r="TA5">
        <v>7807920</v>
      </c>
      <c r="TB5" t="s">
        <v>4972</v>
      </c>
      <c r="TE5" t="str">
        <f>_xll.BDS("ELME US Equity","SUPPLY_CHAIN_CUSTOMERS_ALL_DATA")</f>
        <v>#N/A N/A</v>
      </c>
      <c r="TU5" t="str">
        <f>_xll.BDS("ELAN US Equity","SUPPLY_CHAIN_SUPPLIERS_ALL_DATA","cols=12;rows=5")</f>
        <v>PCRX US Equity</v>
      </c>
      <c r="TV5" t="s">
        <v>1752</v>
      </c>
      <c r="TW5">
        <v>1.5</v>
      </c>
      <c r="TX5">
        <v>0.50806399999999996</v>
      </c>
      <c r="TY5" t="s">
        <v>1788</v>
      </c>
      <c r="TZ5">
        <v>2025</v>
      </c>
      <c r="UA5" t="s">
        <v>3963</v>
      </c>
      <c r="UB5" s="6">
        <v>45985</v>
      </c>
      <c r="UC5">
        <v>5</v>
      </c>
      <c r="UD5">
        <v>2692740</v>
      </c>
      <c r="UE5">
        <v>11772550</v>
      </c>
      <c r="UF5" t="s">
        <v>3964</v>
      </c>
      <c r="UI5" t="str">
        <f>_xll.BDS("ELAN US Equity","SUPPLY_CHAIN_CUSTOMERS_ALL_DATA","cols=12;rows=5")</f>
        <v>COR US Equity</v>
      </c>
      <c r="UJ5">
        <v>11</v>
      </c>
      <c r="UK5" t="s">
        <v>1752</v>
      </c>
      <c r="UL5">
        <v>0.166542</v>
      </c>
      <c r="UM5" t="s">
        <v>1753</v>
      </c>
      <c r="UN5">
        <v>2024</v>
      </c>
      <c r="UO5" t="s">
        <v>3733</v>
      </c>
      <c r="UP5" s="6">
        <v>45713</v>
      </c>
      <c r="UQ5">
        <v>5</v>
      </c>
      <c r="UR5">
        <v>122072496</v>
      </c>
      <c r="US5">
        <v>156969</v>
      </c>
      <c r="UT5" t="s">
        <v>2340</v>
      </c>
      <c r="UY5" t="str">
        <f>_xll.BDS("AVID US Equity","SUPPLY_CHAIN_SUPPLIERS_ALL_DATA","cols=12;rows=5")</f>
        <v>0230214D LN Equity</v>
      </c>
      <c r="VA5">
        <v>-2.4245362661989844E-14</v>
      </c>
      <c r="VB5">
        <v>-2.4245362661989844E-14</v>
      </c>
      <c r="VC5" t="s">
        <v>1753</v>
      </c>
      <c r="VD5">
        <v>2023</v>
      </c>
      <c r="VE5" t="s">
        <v>4623</v>
      </c>
      <c r="VF5" s="6">
        <v>45034</v>
      </c>
      <c r="VG5">
        <v>5</v>
      </c>
      <c r="VH5">
        <v>-2.4245362661989844E-14</v>
      </c>
      <c r="VI5">
        <v>27703404</v>
      </c>
      <c r="VJ5" t="s">
        <v>3195</v>
      </c>
      <c r="VM5" t="str">
        <f>_xll.BDS("AVID US Equity","SUPPLY_CHAIN_CUSTOMERS_ALL_DATA","cols=12;rows=5")</f>
        <v>0790631D IM Equity</v>
      </c>
      <c r="VN5">
        <v>-2.4245362661989844E-14</v>
      </c>
      <c r="VP5">
        <v>-2.4245362661989844E-14</v>
      </c>
      <c r="VQ5" t="s">
        <v>1753</v>
      </c>
      <c r="VR5">
        <v>2022</v>
      </c>
      <c r="VS5" t="s">
        <v>4623</v>
      </c>
      <c r="VT5" s="6">
        <v>44664</v>
      </c>
      <c r="VU5">
        <v>5</v>
      </c>
      <c r="VV5">
        <v>-2.4245362661989844E-14</v>
      </c>
      <c r="VW5">
        <v>17593321</v>
      </c>
      <c r="VX5" t="s">
        <v>4624</v>
      </c>
    </row>
    <row r="6" spans="1:600" x14ac:dyDescent="0.25">
      <c r="A6" t="s">
        <v>2602</v>
      </c>
      <c r="B6" t="s">
        <v>1752</v>
      </c>
      <c r="C6">
        <v>13.760432</v>
      </c>
      <c r="D6">
        <v>4.7536569999999996</v>
      </c>
      <c r="E6" t="s">
        <v>1774</v>
      </c>
      <c r="F6">
        <v>2025</v>
      </c>
      <c r="G6" t="s">
        <v>2603</v>
      </c>
      <c r="H6" s="6">
        <v>45937</v>
      </c>
      <c r="I6">
        <v>5</v>
      </c>
      <c r="J6">
        <v>325305405.77999997</v>
      </c>
      <c r="K6">
        <v>8445936</v>
      </c>
      <c r="L6" t="s">
        <v>2604</v>
      </c>
      <c r="O6" t="s">
        <v>3366</v>
      </c>
      <c r="P6">
        <v>9.2636719999999997</v>
      </c>
      <c r="Q6" t="s">
        <v>1752</v>
      </c>
      <c r="R6">
        <v>5.0267530000000002</v>
      </c>
      <c r="S6" t="s">
        <v>1774</v>
      </c>
      <c r="T6">
        <v>2025</v>
      </c>
      <c r="U6" t="s">
        <v>2518</v>
      </c>
      <c r="V6" s="6">
        <v>45888</v>
      </c>
      <c r="W6">
        <v>5</v>
      </c>
      <c r="X6">
        <v>1021134592</v>
      </c>
      <c r="Y6">
        <v>100211</v>
      </c>
      <c r="Z6" t="s">
        <v>3368</v>
      </c>
      <c r="DQ6" t="s">
        <v>2078</v>
      </c>
      <c r="DR6" t="s">
        <v>1752</v>
      </c>
      <c r="DS6">
        <v>1.6277E-2</v>
      </c>
      <c r="DT6">
        <v>0.13252800000000001</v>
      </c>
      <c r="DU6" t="s">
        <v>1788</v>
      </c>
      <c r="DV6">
        <v>2025</v>
      </c>
      <c r="DW6" t="s">
        <v>2079</v>
      </c>
      <c r="DX6" s="6">
        <v>45883</v>
      </c>
      <c r="DY6">
        <v>5</v>
      </c>
      <c r="DZ6">
        <v>1503592.18</v>
      </c>
      <c r="EA6">
        <v>815253</v>
      </c>
      <c r="EB6" t="s">
        <v>2080</v>
      </c>
      <c r="EE6" t="s">
        <v>5491</v>
      </c>
      <c r="EF6">
        <v>-2.4245362661989844E-14</v>
      </c>
      <c r="EH6">
        <v>-2.4245362661989844E-14</v>
      </c>
      <c r="EI6" t="s">
        <v>1753</v>
      </c>
      <c r="EJ6">
        <v>2023</v>
      </c>
      <c r="EK6" t="s">
        <v>5492</v>
      </c>
      <c r="EL6" s="6">
        <v>45183</v>
      </c>
      <c r="EM6">
        <v>5</v>
      </c>
      <c r="EN6">
        <v>-2.4245362661989844E-14</v>
      </c>
      <c r="EO6">
        <v>129309</v>
      </c>
      <c r="EP6" t="s">
        <v>5493</v>
      </c>
      <c r="EU6" t="s">
        <v>2215</v>
      </c>
      <c r="EV6" t="s">
        <v>1752</v>
      </c>
      <c r="EW6">
        <v>6.6266720000000001</v>
      </c>
      <c r="EX6">
        <v>6.8004179999999996</v>
      </c>
      <c r="EY6" t="s">
        <v>1788</v>
      </c>
      <c r="EZ6">
        <v>2025</v>
      </c>
      <c r="FA6" t="s">
        <v>2216</v>
      </c>
      <c r="FB6" s="6">
        <v>45867</v>
      </c>
      <c r="FC6">
        <v>5</v>
      </c>
      <c r="FD6">
        <v>518735872</v>
      </c>
      <c r="FE6">
        <v>117092</v>
      </c>
      <c r="FF6" t="s">
        <v>2217</v>
      </c>
      <c r="FI6" t="s">
        <v>1545</v>
      </c>
      <c r="FJ6">
        <v>15.549336</v>
      </c>
      <c r="FK6" t="s">
        <v>1752</v>
      </c>
      <c r="FL6">
        <v>4.6186980000000002</v>
      </c>
      <c r="FM6" t="s">
        <v>1788</v>
      </c>
      <c r="FN6">
        <v>2025</v>
      </c>
      <c r="FO6" t="s">
        <v>2577</v>
      </c>
      <c r="FP6" s="6">
        <v>46018</v>
      </c>
      <c r="FQ6">
        <v>5</v>
      </c>
      <c r="FR6">
        <v>3730752256</v>
      </c>
      <c r="FS6">
        <v>156969</v>
      </c>
      <c r="FT6" t="s">
        <v>2340</v>
      </c>
      <c r="HC6" t="s">
        <v>1180</v>
      </c>
      <c r="HE6">
        <v>-2.4245362661989844E-14</v>
      </c>
      <c r="HF6">
        <v>-2.4245362661989844E-14</v>
      </c>
      <c r="HG6" t="s">
        <v>1753</v>
      </c>
      <c r="HH6">
        <v>2021</v>
      </c>
      <c r="HI6" t="s">
        <v>2395</v>
      </c>
      <c r="HJ6" s="6">
        <v>44693</v>
      </c>
      <c r="HK6">
        <v>5</v>
      </c>
      <c r="HL6">
        <v>-2.4245362661989844E-14</v>
      </c>
      <c r="HM6">
        <v>100193</v>
      </c>
      <c r="HN6" t="s">
        <v>1951</v>
      </c>
      <c r="HQ6" t="s">
        <v>4253</v>
      </c>
      <c r="HR6">
        <v>1.666426</v>
      </c>
      <c r="HS6" t="s">
        <v>1752</v>
      </c>
      <c r="HT6">
        <v>0.10184799999999999</v>
      </c>
      <c r="HU6" t="s">
        <v>1788</v>
      </c>
      <c r="HV6">
        <v>2025</v>
      </c>
      <c r="HW6" t="s">
        <v>4807</v>
      </c>
      <c r="HX6" s="6">
        <v>45852</v>
      </c>
      <c r="HY6">
        <v>5</v>
      </c>
      <c r="HZ6">
        <v>2643968</v>
      </c>
      <c r="IA6">
        <v>100673</v>
      </c>
      <c r="IB6" t="s">
        <v>4254</v>
      </c>
      <c r="JY6" t="s">
        <v>4701</v>
      </c>
      <c r="JZ6">
        <v>-2.4245362661989844E-14</v>
      </c>
      <c r="KB6">
        <v>-2.4245362661989844E-14</v>
      </c>
      <c r="KC6" t="s">
        <v>1788</v>
      </c>
      <c r="KD6">
        <v>2024</v>
      </c>
      <c r="KE6" t="s">
        <v>4699</v>
      </c>
      <c r="KF6" s="6">
        <v>45589</v>
      </c>
      <c r="KG6">
        <v>5</v>
      </c>
      <c r="KH6">
        <v>-2.4245362661989844E-14</v>
      </c>
      <c r="KI6">
        <v>355697</v>
      </c>
      <c r="KJ6" t="s">
        <v>4702</v>
      </c>
      <c r="KO6" t="s">
        <v>3120</v>
      </c>
      <c r="KP6" t="s">
        <v>1752</v>
      </c>
      <c r="KQ6">
        <v>4.3320999999999998E-2</v>
      </c>
      <c r="KR6">
        <v>1.3286020000000001</v>
      </c>
      <c r="KS6" t="s">
        <v>1788</v>
      </c>
      <c r="KT6">
        <v>2025</v>
      </c>
      <c r="KU6" t="s">
        <v>4092</v>
      </c>
      <c r="KV6" s="6">
        <v>45978</v>
      </c>
      <c r="KW6">
        <v>5</v>
      </c>
      <c r="KX6">
        <v>7253170</v>
      </c>
      <c r="KY6">
        <v>115694</v>
      </c>
      <c r="KZ6" t="s">
        <v>3122</v>
      </c>
      <c r="LC6" t="s">
        <v>522</v>
      </c>
      <c r="LD6">
        <v>1.4378150000000001</v>
      </c>
      <c r="LE6" t="s">
        <v>1752</v>
      </c>
      <c r="LF6">
        <v>0.171872</v>
      </c>
      <c r="LG6" t="s">
        <v>1788</v>
      </c>
      <c r="LH6">
        <v>2025</v>
      </c>
      <c r="LI6" t="s">
        <v>4092</v>
      </c>
      <c r="LJ6" s="6">
        <v>45978</v>
      </c>
      <c r="LK6">
        <v>5</v>
      </c>
      <c r="LL6">
        <v>11647739</v>
      </c>
      <c r="LM6">
        <v>101073</v>
      </c>
      <c r="LN6" t="s">
        <v>2441</v>
      </c>
      <c r="OA6" t="s">
        <v>3126</v>
      </c>
      <c r="OC6">
        <v>-2.4245362661989844E-14</v>
      </c>
      <c r="OD6">
        <v>-2.4245362661989844E-14</v>
      </c>
      <c r="OE6" t="s">
        <v>1781</v>
      </c>
      <c r="OF6">
        <v>2024</v>
      </c>
      <c r="OG6" t="s">
        <v>3127</v>
      </c>
      <c r="OH6" s="6">
        <v>45420</v>
      </c>
      <c r="OI6">
        <v>2</v>
      </c>
      <c r="OJ6">
        <v>-2.4245362661989844E-14</v>
      </c>
      <c r="OK6">
        <v>69417624</v>
      </c>
      <c r="OL6" t="s">
        <v>3128</v>
      </c>
      <c r="RM6" t="s">
        <v>3104</v>
      </c>
      <c r="RO6">
        <v>-2.4245362661989844E-14</v>
      </c>
      <c r="RP6">
        <v>-2.4245362661989844E-14</v>
      </c>
      <c r="RQ6" t="s">
        <v>1753</v>
      </c>
      <c r="RR6">
        <v>2022</v>
      </c>
      <c r="RS6" t="s">
        <v>3105</v>
      </c>
      <c r="RT6" s="6">
        <v>44693</v>
      </c>
      <c r="RU6">
        <v>5</v>
      </c>
      <c r="RV6">
        <v>-2.4245362661989844E-14</v>
      </c>
      <c r="RW6">
        <v>114991</v>
      </c>
      <c r="RX6" t="s">
        <v>3106</v>
      </c>
      <c r="SQ6" t="s">
        <v>4973</v>
      </c>
      <c r="SS6">
        <v>-2.4245362661989844E-14</v>
      </c>
      <c r="ST6">
        <v>-2.4245362661989844E-14</v>
      </c>
      <c r="SU6" t="s">
        <v>1753</v>
      </c>
      <c r="SV6">
        <v>2023</v>
      </c>
      <c r="SW6" t="s">
        <v>4971</v>
      </c>
      <c r="SX6" s="6">
        <v>45338</v>
      </c>
      <c r="SY6">
        <v>3</v>
      </c>
      <c r="SZ6">
        <v>-2.4245362661989844E-14</v>
      </c>
      <c r="TA6">
        <v>24839047</v>
      </c>
      <c r="TB6" t="s">
        <v>4974</v>
      </c>
      <c r="TU6" t="s">
        <v>2343</v>
      </c>
      <c r="TV6" t="s">
        <v>1752</v>
      </c>
      <c r="TW6">
        <v>1.8308999999999999E-2</v>
      </c>
      <c r="TX6">
        <v>0.42219499999999999</v>
      </c>
      <c r="TY6" t="s">
        <v>1774</v>
      </c>
      <c r="TZ6">
        <v>2025</v>
      </c>
      <c r="UA6" t="s">
        <v>3417</v>
      </c>
      <c r="UB6" s="6">
        <v>45929</v>
      </c>
      <c r="UC6">
        <v>5</v>
      </c>
      <c r="UD6">
        <v>2228298.9900000002</v>
      </c>
      <c r="UE6">
        <v>115679</v>
      </c>
      <c r="UF6" t="s">
        <v>2344</v>
      </c>
      <c r="UI6" t="s">
        <v>3734</v>
      </c>
      <c r="UJ6">
        <v>-2.4245362661989844E-14</v>
      </c>
      <c r="UL6">
        <v>-2.4245362661989844E-14</v>
      </c>
      <c r="UM6" t="s">
        <v>1753</v>
      </c>
      <c r="UN6">
        <v>2022</v>
      </c>
      <c r="UO6" t="s">
        <v>3735</v>
      </c>
      <c r="UP6" s="6">
        <v>45043</v>
      </c>
      <c r="UQ6">
        <v>5</v>
      </c>
      <c r="UR6">
        <v>-2.4245362661989844E-14</v>
      </c>
      <c r="US6">
        <v>40318345</v>
      </c>
      <c r="UT6" t="s">
        <v>3736</v>
      </c>
      <c r="UY6" t="s">
        <v>4853</v>
      </c>
      <c r="VA6">
        <v>-2.4245362661989844E-14</v>
      </c>
      <c r="VB6">
        <v>-2.4245362661989844E-14</v>
      </c>
      <c r="VC6" t="s">
        <v>1753</v>
      </c>
      <c r="VD6">
        <v>2023</v>
      </c>
      <c r="VE6" t="s">
        <v>4623</v>
      </c>
      <c r="VF6" s="6">
        <v>45034</v>
      </c>
      <c r="VG6">
        <v>5</v>
      </c>
      <c r="VH6">
        <v>-2.4245362661989844E-14</v>
      </c>
      <c r="VI6">
        <v>36301666</v>
      </c>
      <c r="VJ6" t="s">
        <v>4854</v>
      </c>
      <c r="VM6" t="s">
        <v>4625</v>
      </c>
      <c r="VN6">
        <v>-2.4245362661989844E-14</v>
      </c>
      <c r="VP6">
        <v>-2.4245362661989844E-14</v>
      </c>
      <c r="VQ6" t="s">
        <v>1753</v>
      </c>
      <c r="VR6">
        <v>2022</v>
      </c>
      <c r="VS6" t="s">
        <v>4623</v>
      </c>
      <c r="VT6" s="6">
        <v>44658</v>
      </c>
      <c r="VU6">
        <v>5</v>
      </c>
      <c r="VV6">
        <v>-2.4245362661989844E-14</v>
      </c>
      <c r="VW6">
        <v>14360489</v>
      </c>
      <c r="VX6" t="s">
        <v>4626</v>
      </c>
    </row>
    <row r="7" spans="1:600" x14ac:dyDescent="0.25">
      <c r="A7" t="s">
        <v>2605</v>
      </c>
      <c r="B7" t="s">
        <v>1752</v>
      </c>
      <c r="C7">
        <v>11</v>
      </c>
      <c r="D7">
        <v>3.1337429999999999</v>
      </c>
      <c r="E7" t="s">
        <v>1753</v>
      </c>
      <c r="F7">
        <v>2025</v>
      </c>
      <c r="G7" t="s">
        <v>2606</v>
      </c>
      <c r="H7" s="6">
        <v>46065</v>
      </c>
      <c r="I7">
        <v>5</v>
      </c>
      <c r="J7">
        <v>226930000</v>
      </c>
      <c r="K7">
        <v>59099358</v>
      </c>
      <c r="L7" t="s">
        <v>2607</v>
      </c>
      <c r="O7" t="s">
        <v>1831</v>
      </c>
      <c r="P7">
        <v>4.5319979999999997</v>
      </c>
      <c r="Q7" t="s">
        <v>1752</v>
      </c>
      <c r="R7">
        <v>3.2162160000000002</v>
      </c>
      <c r="S7" t="s">
        <v>1774</v>
      </c>
      <c r="T7">
        <v>2025</v>
      </c>
      <c r="U7" t="s">
        <v>2518</v>
      </c>
      <c r="V7" s="6">
        <v>45888</v>
      </c>
      <c r="W7">
        <v>5</v>
      </c>
      <c r="X7">
        <v>499562144</v>
      </c>
      <c r="Y7">
        <v>876285</v>
      </c>
      <c r="Z7" t="s">
        <v>1833</v>
      </c>
      <c r="DQ7" t="s">
        <v>4334</v>
      </c>
      <c r="DR7" t="s">
        <v>1752</v>
      </c>
      <c r="DS7">
        <v>1.9196999999999999E-2</v>
      </c>
      <c r="DT7">
        <v>6.7048999999999997E-2</v>
      </c>
      <c r="DU7" t="s">
        <v>1788</v>
      </c>
      <c r="DV7">
        <v>2025</v>
      </c>
      <c r="DW7" t="s">
        <v>4335</v>
      </c>
      <c r="DX7" s="6">
        <v>45993</v>
      </c>
      <c r="DY7">
        <v>5</v>
      </c>
      <c r="DZ7">
        <v>688596</v>
      </c>
      <c r="EA7">
        <v>100415</v>
      </c>
      <c r="EB7" t="s">
        <v>4336</v>
      </c>
      <c r="EE7" t="s">
        <v>5494</v>
      </c>
      <c r="EF7">
        <v>-2.4245362661989844E-14</v>
      </c>
      <c r="EH7">
        <v>-2.4245362661989844E-14</v>
      </c>
      <c r="EI7" t="s">
        <v>1753</v>
      </c>
      <c r="EJ7">
        <v>2024</v>
      </c>
      <c r="EK7" t="s">
        <v>5495</v>
      </c>
      <c r="EL7" s="6">
        <v>45719</v>
      </c>
      <c r="EM7">
        <v>5</v>
      </c>
      <c r="EN7">
        <v>-2.4245362661989844E-14</v>
      </c>
      <c r="EO7">
        <v>9248766</v>
      </c>
      <c r="EP7" t="s">
        <v>5496</v>
      </c>
      <c r="EU7" t="s">
        <v>3411</v>
      </c>
      <c r="EV7" t="s">
        <v>1752</v>
      </c>
      <c r="EW7">
        <v>1.3419449999999999</v>
      </c>
      <c r="EX7">
        <v>2.7987500000000001</v>
      </c>
      <c r="EY7" t="s">
        <v>1825</v>
      </c>
      <c r="EZ7">
        <v>2025</v>
      </c>
      <c r="FA7" t="s">
        <v>3412</v>
      </c>
      <c r="FB7" s="6">
        <v>46077</v>
      </c>
      <c r="FC7">
        <v>5</v>
      </c>
      <c r="FD7">
        <v>223004416</v>
      </c>
      <c r="FE7">
        <v>28046509</v>
      </c>
      <c r="FF7" t="s">
        <v>3413</v>
      </c>
      <c r="FI7" t="s">
        <v>1461</v>
      </c>
      <c r="FJ7">
        <v>12.373919000000001</v>
      </c>
      <c r="FK7" t="s">
        <v>1752</v>
      </c>
      <c r="FL7">
        <v>4.81257</v>
      </c>
      <c r="FM7" t="s">
        <v>1788</v>
      </c>
      <c r="FN7">
        <v>2025</v>
      </c>
      <c r="FO7" t="s">
        <v>2577</v>
      </c>
      <c r="FP7" s="6">
        <v>46018</v>
      </c>
      <c r="FQ7">
        <v>5</v>
      </c>
      <c r="FR7">
        <v>2968874496</v>
      </c>
      <c r="FS7">
        <v>102782</v>
      </c>
      <c r="FT7" t="s">
        <v>1991</v>
      </c>
      <c r="HC7" t="s">
        <v>3099</v>
      </c>
      <c r="HE7">
        <v>-2.4245362661989844E-14</v>
      </c>
      <c r="HF7">
        <v>-2.4245362661989844E-14</v>
      </c>
      <c r="HG7" t="s">
        <v>1753</v>
      </c>
      <c r="HH7">
        <v>2021</v>
      </c>
      <c r="HI7" t="s">
        <v>3100</v>
      </c>
      <c r="HJ7" s="6">
        <v>44693</v>
      </c>
      <c r="HK7">
        <v>5</v>
      </c>
      <c r="HL7">
        <v>-2.4245362661989844E-14</v>
      </c>
      <c r="HM7">
        <v>100760</v>
      </c>
      <c r="HN7" t="s">
        <v>3101</v>
      </c>
      <c r="HQ7" t="s">
        <v>1969</v>
      </c>
      <c r="HR7">
        <v>1.2414179999999999</v>
      </c>
      <c r="HS7" t="s">
        <v>1752</v>
      </c>
      <c r="HT7">
        <v>2.12E-2</v>
      </c>
      <c r="HU7" t="s">
        <v>1788</v>
      </c>
      <c r="HV7">
        <v>2025</v>
      </c>
      <c r="HW7" t="s">
        <v>4807</v>
      </c>
      <c r="HX7" s="6">
        <v>45852</v>
      </c>
      <c r="HY7">
        <v>5</v>
      </c>
      <c r="HZ7">
        <v>1969646</v>
      </c>
      <c r="IA7">
        <v>100285</v>
      </c>
      <c r="IB7" t="s">
        <v>1971</v>
      </c>
      <c r="JY7" t="s">
        <v>4703</v>
      </c>
      <c r="JZ7">
        <v>-2.4245362661989844E-14</v>
      </c>
      <c r="KB7">
        <v>-2.4245362661989844E-14</v>
      </c>
      <c r="KC7" t="s">
        <v>1788</v>
      </c>
      <c r="KD7">
        <v>2024</v>
      </c>
      <c r="KE7" t="s">
        <v>4699</v>
      </c>
      <c r="KF7" s="6">
        <v>45589</v>
      </c>
      <c r="KG7">
        <v>5</v>
      </c>
      <c r="KH7">
        <v>-2.4245362661989844E-14</v>
      </c>
      <c r="KI7">
        <v>47042322</v>
      </c>
      <c r="KJ7" t="s">
        <v>4704</v>
      </c>
      <c r="KO7" t="s">
        <v>4093</v>
      </c>
      <c r="KP7" t="s">
        <v>1752</v>
      </c>
      <c r="KQ7">
        <v>0.183146</v>
      </c>
      <c r="KR7">
        <v>1.243093</v>
      </c>
      <c r="KS7" t="s">
        <v>1788</v>
      </c>
      <c r="KT7">
        <v>2025</v>
      </c>
      <c r="KU7" t="s">
        <v>4092</v>
      </c>
      <c r="KV7" s="6">
        <v>45978</v>
      </c>
      <c r="KW7">
        <v>5</v>
      </c>
      <c r="KX7">
        <v>6786355</v>
      </c>
      <c r="KY7">
        <v>47183276</v>
      </c>
      <c r="KZ7" t="s">
        <v>4094</v>
      </c>
      <c r="LC7" t="s">
        <v>4005</v>
      </c>
      <c r="LD7">
        <v>0.66042199999999995</v>
      </c>
      <c r="LE7" t="s">
        <v>1752</v>
      </c>
      <c r="LF7">
        <v>0.171872</v>
      </c>
      <c r="LG7" t="s">
        <v>1788</v>
      </c>
      <c r="LH7">
        <v>2025</v>
      </c>
      <c r="LI7" t="s">
        <v>4092</v>
      </c>
      <c r="LJ7" s="6">
        <v>45978</v>
      </c>
      <c r="LK7">
        <v>5</v>
      </c>
      <c r="LL7">
        <v>5350079</v>
      </c>
      <c r="LM7">
        <v>115414</v>
      </c>
      <c r="LN7" t="s">
        <v>4007</v>
      </c>
      <c r="RM7" t="s">
        <v>2392</v>
      </c>
      <c r="RO7">
        <v>-2.4245362661989844E-14</v>
      </c>
      <c r="RP7">
        <v>-2.4245362661989844E-14</v>
      </c>
      <c r="RQ7" t="s">
        <v>1753</v>
      </c>
      <c r="RR7">
        <v>2021</v>
      </c>
      <c r="RS7" t="s">
        <v>2393</v>
      </c>
      <c r="RT7" s="6">
        <v>44693</v>
      </c>
      <c r="RU7">
        <v>5</v>
      </c>
      <c r="RV7">
        <v>-2.4245362661989844E-14</v>
      </c>
      <c r="RW7">
        <v>101690</v>
      </c>
      <c r="RX7" t="s">
        <v>2394</v>
      </c>
      <c r="SQ7" t="s">
        <v>4975</v>
      </c>
      <c r="SS7">
        <v>-2.4245362661989844E-14</v>
      </c>
      <c r="ST7">
        <v>-2.4245362661989844E-14</v>
      </c>
      <c r="SU7" t="s">
        <v>1753</v>
      </c>
      <c r="SV7">
        <v>2024</v>
      </c>
      <c r="SW7" t="s">
        <v>4976</v>
      </c>
      <c r="SX7" s="6">
        <v>45702</v>
      </c>
      <c r="SY7">
        <v>3</v>
      </c>
      <c r="SZ7">
        <v>-2.4245362661989844E-14</v>
      </c>
      <c r="TA7">
        <v>18525660</v>
      </c>
      <c r="TB7" t="s">
        <v>4977</v>
      </c>
      <c r="TU7" t="s">
        <v>3965</v>
      </c>
      <c r="TV7" t="s">
        <v>1752</v>
      </c>
      <c r="TW7">
        <v>36.324852</v>
      </c>
      <c r="TX7">
        <v>0.37194199999999999</v>
      </c>
      <c r="TY7" t="s">
        <v>1753</v>
      </c>
      <c r="TZ7">
        <v>2024</v>
      </c>
      <c r="UA7" t="s">
        <v>3966</v>
      </c>
      <c r="UB7" s="6">
        <v>45742</v>
      </c>
      <c r="UC7">
        <v>5</v>
      </c>
      <c r="UD7">
        <v>1864489.21</v>
      </c>
      <c r="UE7">
        <v>17037571</v>
      </c>
      <c r="UF7" t="s">
        <v>3967</v>
      </c>
      <c r="UI7" t="s">
        <v>3737</v>
      </c>
      <c r="UJ7">
        <v>-2.4245362661989844E-14</v>
      </c>
      <c r="UL7">
        <v>-2.4245362661989844E-14</v>
      </c>
      <c r="UM7" t="s">
        <v>1753</v>
      </c>
      <c r="UN7">
        <v>2025</v>
      </c>
      <c r="UO7" t="s">
        <v>3738</v>
      </c>
      <c r="UP7" s="6">
        <v>46000</v>
      </c>
      <c r="UQ7">
        <v>5</v>
      </c>
      <c r="UR7">
        <v>-2.4245362661989844E-14</v>
      </c>
      <c r="US7">
        <v>328879</v>
      </c>
      <c r="UT7" t="s">
        <v>3739</v>
      </c>
      <c r="UY7" t="s">
        <v>4855</v>
      </c>
      <c r="VA7">
        <v>-2.4245362661989844E-14</v>
      </c>
      <c r="VB7">
        <v>-2.4245362661989844E-14</v>
      </c>
      <c r="VC7" t="s">
        <v>1753</v>
      </c>
      <c r="VD7">
        <v>2023</v>
      </c>
      <c r="VE7" t="s">
        <v>4623</v>
      </c>
      <c r="VF7" s="6">
        <v>45034</v>
      </c>
      <c r="VG7">
        <v>5</v>
      </c>
      <c r="VH7">
        <v>-2.4245362661989844E-14</v>
      </c>
      <c r="VI7">
        <v>43689027</v>
      </c>
      <c r="VJ7" t="s">
        <v>4856</v>
      </c>
      <c r="VM7" t="s">
        <v>1954</v>
      </c>
      <c r="VN7">
        <v>-2.4245362661989844E-14</v>
      </c>
      <c r="VP7">
        <v>-2.4245362661989844E-14</v>
      </c>
      <c r="VQ7" t="s">
        <v>1788</v>
      </c>
      <c r="VR7">
        <v>2022</v>
      </c>
      <c r="VS7" t="s">
        <v>4627</v>
      </c>
      <c r="VT7" s="6">
        <v>44957</v>
      </c>
      <c r="VU7">
        <v>5</v>
      </c>
      <c r="VV7">
        <v>-2.4245362661989844E-14</v>
      </c>
      <c r="VW7">
        <v>12129192</v>
      </c>
      <c r="VX7" t="s">
        <v>1956</v>
      </c>
    </row>
    <row r="8" spans="1:600" x14ac:dyDescent="0.25">
      <c r="A8" t="s">
        <v>2608</v>
      </c>
      <c r="B8" t="s">
        <v>1752</v>
      </c>
      <c r="C8">
        <v>8.8672269999999997</v>
      </c>
      <c r="D8">
        <v>1.980351</v>
      </c>
      <c r="E8" t="s">
        <v>1774</v>
      </c>
      <c r="F8">
        <v>2025</v>
      </c>
      <c r="G8" t="s">
        <v>2609</v>
      </c>
      <c r="H8" s="6">
        <v>45922</v>
      </c>
      <c r="I8">
        <v>5</v>
      </c>
      <c r="J8">
        <v>135574848</v>
      </c>
      <c r="K8">
        <v>11937231</v>
      </c>
      <c r="L8" t="s">
        <v>2610</v>
      </c>
      <c r="O8" t="s">
        <v>4352</v>
      </c>
      <c r="P8">
        <v>3.2472560000000001</v>
      </c>
      <c r="Q8" t="s">
        <v>1752</v>
      </c>
      <c r="R8">
        <v>2.573108</v>
      </c>
      <c r="S8" t="s">
        <v>1774</v>
      </c>
      <c r="T8">
        <v>2025</v>
      </c>
      <c r="U8" t="s">
        <v>2518</v>
      </c>
      <c r="V8" s="6">
        <v>45888</v>
      </c>
      <c r="W8">
        <v>5</v>
      </c>
      <c r="X8">
        <v>357945024</v>
      </c>
      <c r="Y8">
        <v>10451815</v>
      </c>
      <c r="Z8" t="s">
        <v>4353</v>
      </c>
      <c r="DQ8" t="s">
        <v>5620</v>
      </c>
      <c r="DS8">
        <v>-2.4245362661989844E-14</v>
      </c>
      <c r="DT8">
        <v>-2.4245362661989844E-14</v>
      </c>
      <c r="DU8" t="s">
        <v>1753</v>
      </c>
      <c r="DV8">
        <v>2023</v>
      </c>
      <c r="DW8" t="s">
        <v>5492</v>
      </c>
      <c r="DX8" s="6">
        <v>45183</v>
      </c>
      <c r="DY8">
        <v>5</v>
      </c>
      <c r="DZ8">
        <v>-2.4245362661989844E-14</v>
      </c>
      <c r="EA8">
        <v>114170</v>
      </c>
      <c r="EB8" t="s">
        <v>5621</v>
      </c>
      <c r="EE8" t="s">
        <v>5497</v>
      </c>
      <c r="EF8">
        <v>-2.4245362661989844E-14</v>
      </c>
      <c r="EH8">
        <v>-2.4245362661989844E-14</v>
      </c>
      <c r="EI8" t="s">
        <v>1753</v>
      </c>
      <c r="EJ8">
        <v>2025</v>
      </c>
      <c r="EK8" t="s">
        <v>5498</v>
      </c>
      <c r="EL8" s="6">
        <v>45974</v>
      </c>
      <c r="EM8">
        <v>5</v>
      </c>
      <c r="EN8">
        <v>-2.4245362661989844E-14</v>
      </c>
      <c r="EO8">
        <v>112845</v>
      </c>
      <c r="EP8" t="s">
        <v>5499</v>
      </c>
      <c r="EU8" t="s">
        <v>3414</v>
      </c>
      <c r="EV8" t="s">
        <v>1752</v>
      </c>
      <c r="EW8">
        <v>49.056618</v>
      </c>
      <c r="EX8">
        <v>2.3797060000000001</v>
      </c>
      <c r="EY8" t="s">
        <v>1788</v>
      </c>
      <c r="EZ8">
        <v>2025</v>
      </c>
      <c r="FA8" t="s">
        <v>3415</v>
      </c>
      <c r="FB8" s="6">
        <v>46050</v>
      </c>
      <c r="FC8">
        <v>5</v>
      </c>
      <c r="FD8">
        <v>173789936</v>
      </c>
      <c r="FE8">
        <v>1753841</v>
      </c>
      <c r="FF8" t="s">
        <v>3416</v>
      </c>
      <c r="FI8" t="s">
        <v>3276</v>
      </c>
      <c r="FJ8">
        <v>2.966253</v>
      </c>
      <c r="FK8" t="s">
        <v>1752</v>
      </c>
      <c r="FL8">
        <v>1.12304</v>
      </c>
      <c r="FM8" t="s">
        <v>1788</v>
      </c>
      <c r="FN8">
        <v>2025</v>
      </c>
      <c r="FO8" t="s">
        <v>2577</v>
      </c>
      <c r="FP8" s="6">
        <v>46018</v>
      </c>
      <c r="FQ8">
        <v>5</v>
      </c>
      <c r="FR8">
        <v>711693056</v>
      </c>
      <c r="FS8">
        <v>60401289</v>
      </c>
      <c r="FT8" t="s">
        <v>3278</v>
      </c>
      <c r="HC8" t="s">
        <v>5233</v>
      </c>
      <c r="HE8">
        <v>-2.4245362661989844E-14</v>
      </c>
      <c r="HF8">
        <v>-2.4245362661989844E-14</v>
      </c>
      <c r="HG8" t="s">
        <v>1753</v>
      </c>
      <c r="HH8">
        <v>2021</v>
      </c>
      <c r="HI8" t="s">
        <v>5234</v>
      </c>
      <c r="HJ8" s="6">
        <v>44693</v>
      </c>
      <c r="HK8">
        <v>5</v>
      </c>
      <c r="HL8">
        <v>-2.4245362661989844E-14</v>
      </c>
      <c r="HM8">
        <v>101674</v>
      </c>
      <c r="HN8" t="s">
        <v>5235</v>
      </c>
      <c r="HQ8" t="s">
        <v>3291</v>
      </c>
      <c r="HR8">
        <v>0.67298800000000003</v>
      </c>
      <c r="HS8" t="s">
        <v>1752</v>
      </c>
      <c r="HT8">
        <v>0.13158600000000001</v>
      </c>
      <c r="HU8" t="s">
        <v>1788</v>
      </c>
      <c r="HV8">
        <v>2025</v>
      </c>
      <c r="HW8" t="s">
        <v>4807</v>
      </c>
      <c r="HX8" s="6">
        <v>45852</v>
      </c>
      <c r="HY8">
        <v>5</v>
      </c>
      <c r="HZ8">
        <v>1067769</v>
      </c>
      <c r="IA8">
        <v>100181</v>
      </c>
      <c r="IB8" t="s">
        <v>3293</v>
      </c>
      <c r="JY8" t="s">
        <v>4705</v>
      </c>
      <c r="JZ8">
        <v>-2.4245362661989844E-14</v>
      </c>
      <c r="KB8">
        <v>-2.4245362661989844E-14</v>
      </c>
      <c r="KC8" t="s">
        <v>1788</v>
      </c>
      <c r="KD8">
        <v>2024</v>
      </c>
      <c r="KE8" t="s">
        <v>4699</v>
      </c>
      <c r="KF8" s="6">
        <v>45589</v>
      </c>
      <c r="KG8">
        <v>5</v>
      </c>
      <c r="KH8">
        <v>-2.4245362661989844E-14</v>
      </c>
      <c r="KI8">
        <v>51787691</v>
      </c>
      <c r="KJ8" t="s">
        <v>4706</v>
      </c>
      <c r="KO8" t="s">
        <v>3115</v>
      </c>
      <c r="KP8" t="s">
        <v>1752</v>
      </c>
      <c r="KQ8">
        <v>7.4870000000000006E-2</v>
      </c>
      <c r="KR8">
        <v>1.0597099999999999</v>
      </c>
      <c r="KS8" t="s">
        <v>1788</v>
      </c>
      <c r="KT8">
        <v>2025</v>
      </c>
      <c r="KU8" t="s">
        <v>4092</v>
      </c>
      <c r="KV8" s="6">
        <v>45978</v>
      </c>
      <c r="KW8">
        <v>5</v>
      </c>
      <c r="KX8">
        <v>5785222</v>
      </c>
      <c r="KY8">
        <v>9932803</v>
      </c>
      <c r="KZ8" t="s">
        <v>3117</v>
      </c>
      <c r="LC8" t="s">
        <v>450</v>
      </c>
      <c r="LD8">
        <v>0.34853400000000001</v>
      </c>
      <c r="LE8" t="s">
        <v>1752</v>
      </c>
      <c r="LF8">
        <v>9.1314999999999993E-2</v>
      </c>
      <c r="LG8" t="s">
        <v>1788</v>
      </c>
      <c r="LH8">
        <v>2025</v>
      </c>
      <c r="LI8" t="s">
        <v>4092</v>
      </c>
      <c r="LJ8" s="6">
        <v>45978</v>
      </c>
      <c r="LK8">
        <v>5</v>
      </c>
      <c r="LL8">
        <v>2823474</v>
      </c>
      <c r="LM8">
        <v>100183</v>
      </c>
      <c r="LN8" t="s">
        <v>4766</v>
      </c>
      <c r="RM8" t="s">
        <v>2221</v>
      </c>
      <c r="RO8">
        <v>-2.4245362661989844E-14</v>
      </c>
      <c r="RP8">
        <v>-2.4245362661989844E-14</v>
      </c>
      <c r="RQ8" t="s">
        <v>1753</v>
      </c>
      <c r="RR8">
        <v>2021</v>
      </c>
      <c r="RS8" t="s">
        <v>2222</v>
      </c>
      <c r="RT8" s="6">
        <v>44693</v>
      </c>
      <c r="RU8">
        <v>5</v>
      </c>
      <c r="RV8">
        <v>-2.4245362661989844E-14</v>
      </c>
      <c r="RW8">
        <v>302916</v>
      </c>
      <c r="RX8" t="s">
        <v>2223</v>
      </c>
      <c r="TU8" t="s">
        <v>3968</v>
      </c>
      <c r="TW8">
        <v>-2.4245362661989844E-14</v>
      </c>
      <c r="TX8">
        <v>-2.4245362661989844E-14</v>
      </c>
      <c r="TY8" t="s">
        <v>1788</v>
      </c>
      <c r="TZ8">
        <v>2025</v>
      </c>
      <c r="UA8" t="s">
        <v>3969</v>
      </c>
      <c r="UB8" s="6">
        <v>45691</v>
      </c>
      <c r="UC8">
        <v>5</v>
      </c>
      <c r="UD8">
        <v>-2.4245362661989844E-14</v>
      </c>
      <c r="UE8">
        <v>1481585</v>
      </c>
      <c r="UF8" t="s">
        <v>3970</v>
      </c>
      <c r="UI8" t="s">
        <v>3740</v>
      </c>
      <c r="UJ8">
        <v>-2.4245362661989844E-14</v>
      </c>
      <c r="UL8">
        <v>-2.4245362661989844E-14</v>
      </c>
      <c r="UM8" t="s">
        <v>1753</v>
      </c>
      <c r="UN8">
        <v>2025</v>
      </c>
      <c r="UO8" t="s">
        <v>3741</v>
      </c>
      <c r="UP8" s="6">
        <v>45936</v>
      </c>
      <c r="UQ8">
        <v>5</v>
      </c>
      <c r="UR8">
        <v>-2.4245362661989844E-14</v>
      </c>
      <c r="US8">
        <v>7414072</v>
      </c>
      <c r="UT8" t="s">
        <v>3742</v>
      </c>
      <c r="UY8" t="s">
        <v>4857</v>
      </c>
      <c r="VA8">
        <v>-2.4245362661989844E-14</v>
      </c>
      <c r="VB8">
        <v>-2.4245362661989844E-14</v>
      </c>
      <c r="VC8" t="s">
        <v>1753</v>
      </c>
      <c r="VD8">
        <v>2023</v>
      </c>
      <c r="VE8" t="s">
        <v>4623</v>
      </c>
      <c r="VF8" s="6">
        <v>45034</v>
      </c>
      <c r="VG8">
        <v>5</v>
      </c>
      <c r="VH8">
        <v>-2.4245362661989844E-14</v>
      </c>
      <c r="VI8">
        <v>70080738</v>
      </c>
      <c r="VJ8" t="s">
        <v>4858</v>
      </c>
      <c r="VM8" t="s">
        <v>1960</v>
      </c>
      <c r="VN8">
        <v>-2.4245362661989844E-14</v>
      </c>
      <c r="VP8">
        <v>-2.4245362661989844E-14</v>
      </c>
      <c r="VQ8" t="s">
        <v>1781</v>
      </c>
      <c r="VR8">
        <v>2025</v>
      </c>
      <c r="VS8" t="s">
        <v>1961</v>
      </c>
      <c r="VT8" s="6">
        <v>45799</v>
      </c>
      <c r="VU8">
        <v>5</v>
      </c>
      <c r="VV8">
        <v>-2.4245362661989844E-14</v>
      </c>
      <c r="VW8">
        <v>313021</v>
      </c>
      <c r="VX8" t="s">
        <v>1962</v>
      </c>
    </row>
    <row r="9" spans="1:600" x14ac:dyDescent="0.25">
      <c r="A9" t="s">
        <v>2611</v>
      </c>
      <c r="B9" t="s">
        <v>1752</v>
      </c>
      <c r="C9">
        <v>9.9027270000000005</v>
      </c>
      <c r="D9">
        <v>1.5774429999999999</v>
      </c>
      <c r="E9" t="s">
        <v>1774</v>
      </c>
      <c r="F9">
        <v>2025</v>
      </c>
      <c r="G9" t="s">
        <v>2612</v>
      </c>
      <c r="H9" s="6">
        <v>45904</v>
      </c>
      <c r="I9">
        <v>5</v>
      </c>
      <c r="J9">
        <v>107991712</v>
      </c>
      <c r="K9">
        <v>187877</v>
      </c>
      <c r="L9" t="s">
        <v>2613</v>
      </c>
      <c r="O9" t="s">
        <v>4411</v>
      </c>
      <c r="P9">
        <v>3.0622020000000001</v>
      </c>
      <c r="Q9" t="s">
        <v>1752</v>
      </c>
      <c r="R9">
        <v>2.546176</v>
      </c>
      <c r="S9" t="s">
        <v>1774</v>
      </c>
      <c r="T9">
        <v>2025</v>
      </c>
      <c r="U9" t="s">
        <v>2518</v>
      </c>
      <c r="V9" s="6">
        <v>45888</v>
      </c>
      <c r="W9">
        <v>5</v>
      </c>
      <c r="X9">
        <v>337546528</v>
      </c>
      <c r="Y9">
        <v>100090</v>
      </c>
      <c r="Z9" t="s">
        <v>4412</v>
      </c>
      <c r="DQ9" t="s">
        <v>5622</v>
      </c>
      <c r="DS9">
        <v>-2.4245362661989844E-14</v>
      </c>
      <c r="DT9">
        <v>-2.4245362661989844E-14</v>
      </c>
      <c r="DU9" t="s">
        <v>1753</v>
      </c>
      <c r="DV9">
        <v>2021</v>
      </c>
      <c r="DW9" t="s">
        <v>5623</v>
      </c>
      <c r="DX9" s="6">
        <v>44693</v>
      </c>
      <c r="DY9">
        <v>5</v>
      </c>
      <c r="DZ9">
        <v>-2.4245362661989844E-14</v>
      </c>
      <c r="EA9">
        <v>108393</v>
      </c>
      <c r="EB9" t="s">
        <v>5624</v>
      </c>
      <c r="EE9" t="s">
        <v>3771</v>
      </c>
      <c r="EF9">
        <v>-2.4245362661989844E-14</v>
      </c>
      <c r="EH9">
        <v>-2.4245362661989844E-14</v>
      </c>
      <c r="EI9" t="s">
        <v>1753</v>
      </c>
      <c r="EJ9">
        <v>2024</v>
      </c>
      <c r="EK9" t="s">
        <v>5492</v>
      </c>
      <c r="EL9" s="6">
        <v>45498</v>
      </c>
      <c r="EM9">
        <v>5</v>
      </c>
      <c r="EN9">
        <v>-2.4245362661989844E-14</v>
      </c>
      <c r="EO9">
        <v>100546</v>
      </c>
      <c r="EP9" t="s">
        <v>3773</v>
      </c>
      <c r="EU9" t="s">
        <v>2343</v>
      </c>
      <c r="EV9" t="s">
        <v>1752</v>
      </c>
      <c r="EW9">
        <v>1.017503</v>
      </c>
      <c r="EX9">
        <v>1.621964</v>
      </c>
      <c r="EY9" t="s">
        <v>1774</v>
      </c>
      <c r="EZ9">
        <v>2025</v>
      </c>
      <c r="FA9" t="s">
        <v>3417</v>
      </c>
      <c r="FB9" s="6">
        <v>45929</v>
      </c>
      <c r="FC9">
        <v>5</v>
      </c>
      <c r="FD9">
        <v>123835292.08</v>
      </c>
      <c r="FE9">
        <v>115679</v>
      </c>
      <c r="FF9" t="s">
        <v>2344</v>
      </c>
      <c r="FI9" t="s">
        <v>2089</v>
      </c>
      <c r="FJ9">
        <v>2.108371</v>
      </c>
      <c r="FK9" t="s">
        <v>1752</v>
      </c>
      <c r="FL9">
        <v>2.5571009999999998</v>
      </c>
      <c r="FM9" t="s">
        <v>1774</v>
      </c>
      <c r="FN9">
        <v>2025</v>
      </c>
      <c r="FO9" t="s">
        <v>2090</v>
      </c>
      <c r="FP9" s="6">
        <v>45919</v>
      </c>
      <c r="FQ9">
        <v>5</v>
      </c>
      <c r="FR9">
        <v>501043244.87</v>
      </c>
      <c r="FS9">
        <v>115268</v>
      </c>
      <c r="FT9" t="s">
        <v>2091</v>
      </c>
      <c r="HC9" t="s">
        <v>5236</v>
      </c>
      <c r="HE9">
        <v>-2.4245362661989844E-14</v>
      </c>
      <c r="HF9">
        <v>-2.4245362661989844E-14</v>
      </c>
      <c r="HG9" t="s">
        <v>1753</v>
      </c>
      <c r="HH9">
        <v>2022</v>
      </c>
      <c r="HI9" t="s">
        <v>5237</v>
      </c>
      <c r="HJ9" s="6">
        <v>45000</v>
      </c>
      <c r="HK9">
        <v>5</v>
      </c>
      <c r="HL9">
        <v>-2.4245362661989844E-14</v>
      </c>
      <c r="HM9">
        <v>358169</v>
      </c>
      <c r="HN9" t="s">
        <v>5238</v>
      </c>
      <c r="HQ9" t="s">
        <v>3799</v>
      </c>
      <c r="HR9">
        <v>0.47555700000000001</v>
      </c>
      <c r="HS9" t="s">
        <v>1752</v>
      </c>
      <c r="HT9">
        <v>0.13158600000000001</v>
      </c>
      <c r="HU9" t="s">
        <v>1788</v>
      </c>
      <c r="HV9">
        <v>2025</v>
      </c>
      <c r="HW9" t="s">
        <v>4807</v>
      </c>
      <c r="HX9" s="6">
        <v>45852</v>
      </c>
      <c r="HY9">
        <v>5</v>
      </c>
      <c r="HZ9">
        <v>754523</v>
      </c>
      <c r="IA9">
        <v>171397</v>
      </c>
      <c r="IB9" t="s">
        <v>3801</v>
      </c>
      <c r="JY9" t="s">
        <v>4707</v>
      </c>
      <c r="JZ9">
        <v>-2.4245362661989844E-14</v>
      </c>
      <c r="KB9">
        <v>-2.4245362661989844E-14</v>
      </c>
      <c r="KC9" t="s">
        <v>1753</v>
      </c>
      <c r="KD9">
        <v>2022</v>
      </c>
      <c r="KE9" t="s">
        <v>4708</v>
      </c>
      <c r="KF9" s="6">
        <v>44966</v>
      </c>
      <c r="KG9">
        <v>5</v>
      </c>
      <c r="KH9">
        <v>-2.4245362661989844E-14</v>
      </c>
      <c r="KI9">
        <v>179421</v>
      </c>
      <c r="KJ9" t="s">
        <v>4709</v>
      </c>
      <c r="KO9" t="s">
        <v>4095</v>
      </c>
      <c r="KP9" t="s">
        <v>1752</v>
      </c>
      <c r="KQ9">
        <v>0.16591400000000001</v>
      </c>
      <c r="KR9">
        <v>0.77667900000000001</v>
      </c>
      <c r="KS9" t="s">
        <v>1788</v>
      </c>
      <c r="KT9">
        <v>2025</v>
      </c>
      <c r="KU9" t="s">
        <v>4092</v>
      </c>
      <c r="KV9" s="6">
        <v>45978</v>
      </c>
      <c r="KW9">
        <v>5</v>
      </c>
      <c r="KX9">
        <v>4240085</v>
      </c>
      <c r="KY9">
        <v>10108180</v>
      </c>
      <c r="KZ9" t="s">
        <v>4096</v>
      </c>
      <c r="LC9" t="s">
        <v>4767</v>
      </c>
      <c r="LD9">
        <v>0.232825</v>
      </c>
      <c r="LE9" t="s">
        <v>1752</v>
      </c>
      <c r="LF9">
        <v>2.0143000000000001E-2</v>
      </c>
      <c r="LG9" t="s">
        <v>1788</v>
      </c>
      <c r="LH9">
        <v>2025</v>
      </c>
      <c r="LI9" t="s">
        <v>4092</v>
      </c>
      <c r="LJ9" s="6">
        <v>45978</v>
      </c>
      <c r="LK9">
        <v>5</v>
      </c>
      <c r="LL9">
        <v>1886115</v>
      </c>
      <c r="LM9">
        <v>156049</v>
      </c>
      <c r="LN9" t="s">
        <v>4768</v>
      </c>
      <c r="RM9" t="s">
        <v>5078</v>
      </c>
      <c r="RO9">
        <v>-2.4245362661989844E-14</v>
      </c>
      <c r="RP9">
        <v>-2.4245362661989844E-14</v>
      </c>
      <c r="RQ9" t="s">
        <v>1753</v>
      </c>
      <c r="RR9">
        <v>2021</v>
      </c>
      <c r="RS9" t="s">
        <v>5079</v>
      </c>
      <c r="RT9" s="6">
        <v>44693</v>
      </c>
      <c r="RU9">
        <v>5</v>
      </c>
      <c r="RV9">
        <v>-2.4245362661989844E-14</v>
      </c>
      <c r="RW9">
        <v>350245</v>
      </c>
      <c r="RX9" t="s">
        <v>5080</v>
      </c>
      <c r="TU9" t="s">
        <v>3971</v>
      </c>
      <c r="TW9">
        <v>-2.4245362661989844E-14</v>
      </c>
      <c r="TX9">
        <v>-2.4245362661989844E-14</v>
      </c>
      <c r="TY9" t="s">
        <v>1753</v>
      </c>
      <c r="TZ9">
        <v>2025</v>
      </c>
      <c r="UA9" t="s">
        <v>3972</v>
      </c>
      <c r="UB9" s="6">
        <v>45856</v>
      </c>
      <c r="UC9">
        <v>5</v>
      </c>
      <c r="UD9">
        <v>-2.4245362661989844E-14</v>
      </c>
      <c r="UE9">
        <v>60781365</v>
      </c>
      <c r="UF9" t="s">
        <v>3973</v>
      </c>
      <c r="UI9" t="s">
        <v>3743</v>
      </c>
      <c r="UJ9">
        <v>-2.4245362661989844E-14</v>
      </c>
      <c r="UL9">
        <v>-2.4245362661989844E-14</v>
      </c>
      <c r="UM9" t="s">
        <v>1753</v>
      </c>
      <c r="UN9">
        <v>2023</v>
      </c>
      <c r="UO9" t="s">
        <v>3744</v>
      </c>
      <c r="UP9" s="6">
        <v>45167</v>
      </c>
      <c r="UQ9">
        <v>5</v>
      </c>
      <c r="UR9">
        <v>-2.4245362661989844E-14</v>
      </c>
      <c r="US9">
        <v>328882</v>
      </c>
      <c r="UT9" t="s">
        <v>3745</v>
      </c>
      <c r="UY9" t="s">
        <v>4859</v>
      </c>
      <c r="VA9">
        <v>-2.4245362661989844E-14</v>
      </c>
      <c r="VB9">
        <v>-2.4245362661989844E-14</v>
      </c>
      <c r="VC9" t="s">
        <v>1761</v>
      </c>
      <c r="VD9">
        <v>2023</v>
      </c>
      <c r="VE9" t="s">
        <v>4860</v>
      </c>
      <c r="VF9" s="6">
        <v>45152</v>
      </c>
      <c r="VG9">
        <v>5</v>
      </c>
      <c r="VH9">
        <v>-2.4245362661989844E-14</v>
      </c>
      <c r="VI9">
        <v>14195694</v>
      </c>
      <c r="VJ9" t="s">
        <v>4861</v>
      </c>
      <c r="VM9" t="s">
        <v>4628</v>
      </c>
      <c r="VN9">
        <v>-2.4245362661989844E-14</v>
      </c>
      <c r="VP9">
        <v>-2.4245362661989844E-14</v>
      </c>
      <c r="VQ9" t="s">
        <v>1753</v>
      </c>
      <c r="VR9">
        <v>2023</v>
      </c>
      <c r="VS9" t="s">
        <v>4623</v>
      </c>
      <c r="VT9" s="6">
        <v>45187</v>
      </c>
      <c r="VU9">
        <v>5</v>
      </c>
      <c r="VV9">
        <v>-2.4245362661989844E-14</v>
      </c>
      <c r="VW9">
        <v>8512046</v>
      </c>
      <c r="VX9" t="s">
        <v>4629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280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281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282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283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284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285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286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287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288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289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290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291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292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293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294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295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296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297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298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299</v>
      </c>
      <c r="AE2" s="3" t="s">
        <v>300</v>
      </c>
      <c r="BI2" s="3" t="s">
        <v>301</v>
      </c>
      <c r="CM2" s="3" t="s">
        <v>302</v>
      </c>
      <c r="DQ2" s="3" t="s">
        <v>303</v>
      </c>
      <c r="EU2" s="3" t="s">
        <v>304</v>
      </c>
      <c r="FY2" s="3" t="s">
        <v>305</v>
      </c>
      <c r="HC2" s="3" t="s">
        <v>306</v>
      </c>
      <c r="IG2" s="3" t="s">
        <v>307</v>
      </c>
      <c r="JK2" s="3" t="s">
        <v>265</v>
      </c>
      <c r="KO2" s="3" t="s">
        <v>308</v>
      </c>
      <c r="LS2" s="3" t="s">
        <v>309</v>
      </c>
      <c r="MW2" s="3" t="s">
        <v>310</v>
      </c>
      <c r="OA2" s="3" t="s">
        <v>311</v>
      </c>
      <c r="PE2" s="3" t="s">
        <v>312</v>
      </c>
      <c r="QI2" s="3" t="s">
        <v>313</v>
      </c>
      <c r="RM2" s="3" t="s">
        <v>314</v>
      </c>
      <c r="SQ2" s="3" t="s">
        <v>315</v>
      </c>
      <c r="TU2" s="3" t="s">
        <v>316</v>
      </c>
      <c r="UY2" s="3" t="s">
        <v>86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_xll.BDS("2568368D US Equity","SUPPLY_CHAIN_SUPPLIERS_ALL_DATA")</f>
        <v>#N/A N/A</v>
      </c>
      <c r="O5" t="str">
        <f>_xll.BDS("2568368D US Equity","SUPPLY_CHAIN_CUSTOMERS_ALL_DATA")</f>
        <v>#N/A N/A</v>
      </c>
      <c r="AE5" t="str">
        <f>_xll.BDS("PBI US Equity","SUPPLY_CHAIN_SUPPLIERS_ALL_DATA","cols=12;rows=5")</f>
        <v>XPO US Equity</v>
      </c>
      <c r="AF5" t="s">
        <v>1752</v>
      </c>
      <c r="AG5">
        <v>3.0370000000000002E-3</v>
      </c>
      <c r="AH5">
        <v>2.9465999999999999E-2</v>
      </c>
      <c r="AI5" t="s">
        <v>1774</v>
      </c>
      <c r="AJ5">
        <v>2025</v>
      </c>
      <c r="AK5" t="s">
        <v>2245</v>
      </c>
      <c r="AL5" s="6">
        <v>45916</v>
      </c>
      <c r="AM5">
        <v>5</v>
      </c>
      <c r="AN5">
        <v>63170</v>
      </c>
      <c r="AO5">
        <v>7359873</v>
      </c>
      <c r="AP5" t="s">
        <v>2246</v>
      </c>
      <c r="AS5" t="str">
        <f>_xll.BDS("PBI US Equity","SUPPLY_CHAIN_CUSTOMERS_ALL_DATA","cols=12;rows=5")</f>
        <v>0228856Z US Equity</v>
      </c>
      <c r="AT5">
        <v>-2.4245362661989844E-14</v>
      </c>
      <c r="AV5">
        <v>-2.4245362661989844E-14</v>
      </c>
      <c r="AW5" t="s">
        <v>1753</v>
      </c>
      <c r="AX5">
        <v>2023</v>
      </c>
      <c r="AY5" t="s">
        <v>3822</v>
      </c>
      <c r="AZ5" s="6">
        <v>45077</v>
      </c>
      <c r="BA5">
        <v>5</v>
      </c>
      <c r="BB5">
        <v>-2.4245362661989844E-14</v>
      </c>
      <c r="BC5">
        <v>227296</v>
      </c>
      <c r="BD5" t="s">
        <v>3285</v>
      </c>
      <c r="BI5" t="str">
        <f>_xll.BDS("VLY US Equity","SUPPLY_CHAIN_SUPPLIERS_ALL_DATA","cols=12;rows=2")</f>
        <v>VNO US Equity</v>
      </c>
      <c r="BK5">
        <v>-2.4245362661989844E-14</v>
      </c>
      <c r="BL5">
        <v>-2.4245362661989844E-14</v>
      </c>
      <c r="BM5" t="s">
        <v>1753</v>
      </c>
      <c r="BN5">
        <v>2022</v>
      </c>
      <c r="BO5" t="s">
        <v>2470</v>
      </c>
      <c r="BP5" s="6">
        <v>44970</v>
      </c>
      <c r="BQ5">
        <v>2</v>
      </c>
      <c r="BR5">
        <v>-2.4245362661989844E-14</v>
      </c>
      <c r="BS5">
        <v>101608</v>
      </c>
      <c r="BT5" t="s">
        <v>2471</v>
      </c>
      <c r="BW5" t="str">
        <f>_xll.BDS("VLY US Equity","SUPPLY_CHAIN_CUSTOMERS_ALL_DATA")</f>
        <v>#N/A N/A</v>
      </c>
      <c r="CM5" t="str">
        <f>_xll.BDS("WSBC US Equity","SUPPLY_CHAIN_SUPPLIERS_ALL_DATA")</f>
        <v>#N/A N/A</v>
      </c>
      <c r="DA5" t="str">
        <f>_xll.BDS("WSBC US Equity","SUPPLY_CHAIN_CUSTOMERS_ALL_DATA","cols=12;rows=2")</f>
        <v>NINE CN Equity</v>
      </c>
      <c r="DB5">
        <v>-2.4245362661989844E-14</v>
      </c>
      <c r="DD5">
        <v>-2.4245362661989844E-14</v>
      </c>
      <c r="DE5" t="s">
        <v>1753</v>
      </c>
      <c r="DF5">
        <v>2023</v>
      </c>
      <c r="DG5" t="s">
        <v>4133</v>
      </c>
      <c r="DH5" s="6">
        <v>44967</v>
      </c>
      <c r="DI5">
        <v>2</v>
      </c>
      <c r="DJ5">
        <v>-2.4245362661989844E-14</v>
      </c>
      <c r="DK5">
        <v>67289203</v>
      </c>
      <c r="DL5" t="s">
        <v>4134</v>
      </c>
      <c r="DQ5" t="str">
        <f>_xll.BDS("NOV US Equity","SUPPLY_CHAIN_SUPPLIERS_ALL_DATA","cols=12;rows=5")</f>
        <v>OERL SW Equity</v>
      </c>
      <c r="DR5" t="s">
        <v>1752</v>
      </c>
      <c r="DS5">
        <v>0.48962800000000001</v>
      </c>
      <c r="DT5">
        <v>0.18532199999999999</v>
      </c>
      <c r="DU5" t="s">
        <v>1825</v>
      </c>
      <c r="DV5">
        <v>2024</v>
      </c>
      <c r="DW5" t="s">
        <v>2248</v>
      </c>
      <c r="DX5" s="6">
        <v>45719</v>
      </c>
      <c r="DY5">
        <v>5</v>
      </c>
      <c r="DZ5">
        <v>3366520.82</v>
      </c>
      <c r="EA5">
        <v>117826</v>
      </c>
      <c r="EB5" t="s">
        <v>2249</v>
      </c>
      <c r="EE5" t="str">
        <f>_xll.BDS("NOV US Equity","SUPPLY_CHAIN_CUSTOMERS_ALL_DATA","cols=12;rows=5")</f>
        <v>329180 KS Equity</v>
      </c>
      <c r="EF5">
        <v>-2.4245362661989844E-14</v>
      </c>
      <c r="EH5">
        <v>-2.4245362661989844E-14</v>
      </c>
      <c r="EI5" t="s">
        <v>1768</v>
      </c>
      <c r="EJ5">
        <v>2022</v>
      </c>
      <c r="EK5" t="s">
        <v>5335</v>
      </c>
      <c r="EL5" s="6">
        <v>44879</v>
      </c>
      <c r="EM5">
        <v>5</v>
      </c>
      <c r="EN5">
        <v>-2.4245362661989844E-14</v>
      </c>
      <c r="EO5">
        <v>65893902</v>
      </c>
      <c r="EP5" t="s">
        <v>5336</v>
      </c>
      <c r="EU5" t="str">
        <f>_xll.BDS("VECO US Equity","SUPPLY_CHAIN_SUPPLIERS_ALL_DATA","cols=12;rows=5")</f>
        <v>IPGP US Equity</v>
      </c>
      <c r="EV5" t="s">
        <v>1752</v>
      </c>
      <c r="EW5">
        <v>0.73257499999999998</v>
      </c>
      <c r="EX5">
        <v>1.871335</v>
      </c>
      <c r="EY5" t="s">
        <v>1788</v>
      </c>
      <c r="EZ5">
        <v>2025</v>
      </c>
      <c r="FA5" t="s">
        <v>5215</v>
      </c>
      <c r="FB5" s="6">
        <v>46049</v>
      </c>
      <c r="FC5">
        <v>5</v>
      </c>
      <c r="FD5">
        <v>1837239</v>
      </c>
      <c r="FE5">
        <v>7001397</v>
      </c>
      <c r="FF5" t="s">
        <v>5216</v>
      </c>
      <c r="FI5" t="str">
        <f>_xll.BDS("VECO US Equity","SUPPLY_CHAIN_CUSTOMERS_ALL_DATA","cols=12;rows=5")</f>
        <v>2330 TT Equity</v>
      </c>
      <c r="FJ5">
        <v>11.367259000000001</v>
      </c>
      <c r="FK5" t="s">
        <v>1828</v>
      </c>
      <c r="FL5">
        <v>0.19634099999999999</v>
      </c>
      <c r="FM5" t="s">
        <v>1788</v>
      </c>
      <c r="FN5">
        <v>2025</v>
      </c>
      <c r="FO5" t="s">
        <v>4843</v>
      </c>
      <c r="FP5" s="6">
        <v>45986</v>
      </c>
      <c r="FQ5">
        <v>5</v>
      </c>
      <c r="FR5">
        <v>18856124</v>
      </c>
      <c r="FS5">
        <v>153737</v>
      </c>
      <c r="FT5" t="s">
        <v>1943</v>
      </c>
      <c r="FY5" t="str">
        <f>_xll.BDS("MBFI US Equity","SUPPLY_CHAIN_SUPPLIERS_ALL_DATA")</f>
        <v>#N/A N/A</v>
      </c>
      <c r="GM5" t="str">
        <f>_xll.BDS("MBFI US Equity","SUPPLY_CHAIN_CUSTOMERS_ALL_DATA")</f>
        <v>#N/A N/A</v>
      </c>
      <c r="HC5" t="str">
        <f>_xll.BDS("NWACQ US Equity","SUPPLY_CHAIN_SUPPLIERS_ALL_DATA")</f>
        <v>#N/A N/A</v>
      </c>
      <c r="HQ5" t="str">
        <f>_xll.BDS("NWACQ US Equity","SUPPLY_CHAIN_CUSTOMERS_ALL_DATA")</f>
        <v>#N/A N/A</v>
      </c>
      <c r="IG5" t="str">
        <f>_xll.BDS("ZION US Equity","SUPPLY_CHAIN_SUPPLIERS_ALL_DATA","cols=12;rows=2")</f>
        <v>MUST SP Equity</v>
      </c>
      <c r="II5">
        <v>-2.4245362661989844E-14</v>
      </c>
      <c r="IJ5">
        <v>-2.4245362661989844E-14</v>
      </c>
      <c r="IK5" t="s">
        <v>1753</v>
      </c>
      <c r="IL5">
        <v>2024</v>
      </c>
      <c r="IM5" t="s">
        <v>3184</v>
      </c>
      <c r="IN5" s="6">
        <v>45762</v>
      </c>
      <c r="IO5">
        <v>2</v>
      </c>
      <c r="IP5">
        <v>-2.4245362661989844E-14</v>
      </c>
      <c r="IQ5">
        <v>46286147</v>
      </c>
      <c r="IR5" t="s">
        <v>3185</v>
      </c>
      <c r="IU5" t="str">
        <f>_xll.BDS("ZION US Equity","SUPPLY_CHAIN_CUSTOMERS_ALL_DATA")</f>
        <v>#N/A N/A</v>
      </c>
      <c r="JK5" t="str">
        <f>_xll.BDS("JNJ US Equity","SUPPLY_CHAIN_SUPPLIERS_ALL_DATA","cols=12;rows=5")</f>
        <v>GMAB DC Equity</v>
      </c>
      <c r="JL5" t="s">
        <v>2407</v>
      </c>
      <c r="JM5">
        <v>66.998047</v>
      </c>
      <c r="JN5">
        <v>11.040321</v>
      </c>
      <c r="JO5" t="s">
        <v>1753</v>
      </c>
      <c r="JP5">
        <v>2024</v>
      </c>
      <c r="JQ5" t="s">
        <v>3409</v>
      </c>
      <c r="JR5" s="6">
        <v>45701</v>
      </c>
      <c r="JS5">
        <v>5</v>
      </c>
      <c r="JT5">
        <v>522920364.22000003</v>
      </c>
      <c r="JU5">
        <v>1405715</v>
      </c>
      <c r="JV5" t="s">
        <v>3410</v>
      </c>
      <c r="JY5" t="str">
        <f>_xll.BDS("JNJ US Equity","SUPPLY_CHAIN_CUSTOMERS_ALL_DATA","cols=12;rows=5")</f>
        <v>MCK US Equity</v>
      </c>
      <c r="JZ5">
        <v>20.476745999999999</v>
      </c>
      <c r="KA5" t="s">
        <v>1752</v>
      </c>
      <c r="KB5">
        <v>6.636412</v>
      </c>
      <c r="KC5" t="s">
        <v>1788</v>
      </c>
      <c r="KD5">
        <v>2025</v>
      </c>
      <c r="KE5" t="s">
        <v>2577</v>
      </c>
      <c r="KF5" s="6">
        <v>46018</v>
      </c>
      <c r="KG5">
        <v>5</v>
      </c>
      <c r="KH5">
        <v>4912985600</v>
      </c>
      <c r="KI5">
        <v>154936</v>
      </c>
      <c r="KJ5" t="s">
        <v>2342</v>
      </c>
      <c r="KO5" t="str">
        <f>_xll.BDS("INTU US Equity","SUPPLY_CHAIN_SUPPLIERS_ALL_DATA","cols=12;rows=5")</f>
        <v>EMBASSY IN Equity</v>
      </c>
      <c r="KP5" t="s">
        <v>1940</v>
      </c>
      <c r="KQ5">
        <v>1.3256429999999999</v>
      </c>
      <c r="KR5">
        <v>9.8097000000000004E-2</v>
      </c>
      <c r="KS5" t="s">
        <v>1753</v>
      </c>
      <c r="KT5">
        <v>2025</v>
      </c>
      <c r="KU5" t="s">
        <v>5885</v>
      </c>
      <c r="KV5" s="6">
        <v>45817</v>
      </c>
      <c r="KW5">
        <v>5</v>
      </c>
      <c r="KX5">
        <v>1583580.52</v>
      </c>
      <c r="KY5">
        <v>63052670</v>
      </c>
      <c r="KZ5" t="s">
        <v>2383</v>
      </c>
      <c r="LC5" t="str">
        <f>_xll.BDS("INTU US Equity","SUPPLY_CHAIN_CUSTOMERS_ALL_DATA","cols=12;rows=5")</f>
        <v>SNX US Equity</v>
      </c>
      <c r="LD5">
        <v>0.41684900000000003</v>
      </c>
      <c r="LE5" t="s">
        <v>1752</v>
      </c>
      <c r="LF5">
        <v>0.100063</v>
      </c>
      <c r="LG5" t="s">
        <v>1825</v>
      </c>
      <c r="LH5">
        <v>2025</v>
      </c>
      <c r="LI5" t="s">
        <v>1826</v>
      </c>
      <c r="LJ5" s="6">
        <v>46056</v>
      </c>
      <c r="LK5">
        <v>5</v>
      </c>
      <c r="LL5">
        <v>16194586</v>
      </c>
      <c r="LM5">
        <v>1499717</v>
      </c>
      <c r="LN5" t="s">
        <v>1827</v>
      </c>
      <c r="LS5" t="str">
        <f>_xll.BDS("LLY US Equity","SUPPLY_CHAIN_SUPPLIERS_ALL_DATA","cols=12;rows=5")</f>
        <v>RIGL US Equity</v>
      </c>
      <c r="LT5" t="s">
        <v>1752</v>
      </c>
      <c r="LU5">
        <v>39</v>
      </c>
      <c r="LV5">
        <v>1.782985</v>
      </c>
      <c r="LW5" t="s">
        <v>1774</v>
      </c>
      <c r="LX5">
        <v>2025</v>
      </c>
      <c r="LY5" t="s">
        <v>4023</v>
      </c>
      <c r="LZ5" s="6">
        <v>45874</v>
      </c>
      <c r="MA5">
        <v>5</v>
      </c>
      <c r="MB5">
        <v>39657152</v>
      </c>
      <c r="MC5">
        <v>1176875</v>
      </c>
      <c r="MD5" t="s">
        <v>4024</v>
      </c>
      <c r="MG5" t="str">
        <f>_xll.BDS("LLY US Equity","SUPPLY_CHAIN_CUSTOMERS_ALL_DATA","cols=12;rows=5")</f>
        <v>MCK US Equity</v>
      </c>
      <c r="MH5">
        <v>23.281113000000001</v>
      </c>
      <c r="MI5" t="s">
        <v>1752</v>
      </c>
      <c r="MJ5">
        <v>5.5350809999999999</v>
      </c>
      <c r="MK5" t="s">
        <v>1788</v>
      </c>
      <c r="ML5">
        <v>2025</v>
      </c>
      <c r="MM5" t="s">
        <v>3438</v>
      </c>
      <c r="MN5" s="6">
        <v>46041</v>
      </c>
      <c r="MO5">
        <v>5</v>
      </c>
      <c r="MP5">
        <v>4097661952</v>
      </c>
      <c r="MQ5">
        <v>154936</v>
      </c>
      <c r="MR5" t="s">
        <v>2342</v>
      </c>
      <c r="MW5" t="str">
        <f>_xll.BDS("MR US Equity","SUPPLY_CHAIN_SUPPLIERS_ALL_DATA")</f>
        <v>#N/A N/A</v>
      </c>
      <c r="NK5" t="str">
        <f>_xll.BDS("MR US Equity","SUPPLY_CHAIN_CUSTOMERS_ALL_DATA")</f>
        <v>#N/A N/A</v>
      </c>
      <c r="OA5" t="str">
        <f>_xll.BDS("HES US Equity","SUPPLY_CHAIN_SUPPLIERS_ALL_DATA","cols=12;rows=5")</f>
        <v>HESM US Equity</v>
      </c>
      <c r="OB5" t="s">
        <v>1752</v>
      </c>
      <c r="OC5">
        <v>98</v>
      </c>
      <c r="OD5">
        <v>31.992795999999998</v>
      </c>
      <c r="OE5" t="s">
        <v>1753</v>
      </c>
      <c r="OF5">
        <v>2024</v>
      </c>
      <c r="OG5" t="s">
        <v>5307</v>
      </c>
      <c r="OH5" s="6">
        <v>45715</v>
      </c>
      <c r="OI5">
        <v>5</v>
      </c>
      <c r="OJ5">
        <v>366397504</v>
      </c>
      <c r="OK5">
        <v>66604464</v>
      </c>
      <c r="OL5" t="s">
        <v>5308</v>
      </c>
      <c r="OO5" t="str">
        <f>_xll.BDS("HES US Equity","SUPPLY_CHAIN_CUSTOMERS_ALL_DATA")</f>
        <v>#N/A N/A</v>
      </c>
      <c r="PE5" t="str">
        <f>_xll.BDS("UMPQ US Equity","SUPPLY_CHAIN_SUPPLIERS_ALL_DATA")</f>
        <v>#N/A N/A</v>
      </c>
      <c r="PS5" t="str">
        <f>_xll.BDS("UMPQ US Equity","SUPPLY_CHAIN_CUSTOMERS_ALL_DATA")</f>
        <v>#N/A N/A</v>
      </c>
      <c r="QI5" t="str">
        <f>_xll.BDS("TRMB US Equity","SUPPLY_CHAIN_SUPPLIERS_ALL_DATA","cols=12;rows=5")</f>
        <v>JBL US Equity</v>
      </c>
      <c r="QJ5" t="s">
        <v>1752</v>
      </c>
      <c r="QK5">
        <v>9.3519000000000005E-2</v>
      </c>
      <c r="QL5">
        <v>2.616393</v>
      </c>
      <c r="QM5" t="s">
        <v>1788</v>
      </c>
      <c r="QN5">
        <v>2025</v>
      </c>
      <c r="QO5" t="s">
        <v>2216</v>
      </c>
      <c r="QP5" s="6">
        <v>45867</v>
      </c>
      <c r="QQ5">
        <v>5</v>
      </c>
      <c r="QR5">
        <v>7320667</v>
      </c>
      <c r="QS5">
        <v>117092</v>
      </c>
      <c r="QT5" t="s">
        <v>2217</v>
      </c>
      <c r="QW5" t="str">
        <f>_xll.BDS("TRMB US Equity","SUPPLY_CHAIN_CUSTOMERS_ALL_DATA","cols=12;rows=5")</f>
        <v>PCAR US Equity</v>
      </c>
      <c r="QX5">
        <v>0.42499100000000001</v>
      </c>
      <c r="QY5" t="s">
        <v>1752</v>
      </c>
      <c r="QZ5">
        <v>6.3576999999999995E-2</v>
      </c>
      <c r="RA5" t="s">
        <v>1825</v>
      </c>
      <c r="RB5">
        <v>2024</v>
      </c>
      <c r="RC5" t="s">
        <v>2818</v>
      </c>
      <c r="RD5" s="6">
        <v>45743</v>
      </c>
      <c r="RE5">
        <v>5</v>
      </c>
      <c r="RF5">
        <v>4179361</v>
      </c>
      <c r="RG5">
        <v>101754</v>
      </c>
      <c r="RH5" t="s">
        <v>2819</v>
      </c>
      <c r="RM5" t="str">
        <f>_xll.BDS("MTN US Equity","SUPPLY_CHAIN_SUPPLIERS_ALL_DATA","cols=12;rows=5")</f>
        <v>EXTR US Equity</v>
      </c>
      <c r="RN5" t="s">
        <v>1828</v>
      </c>
      <c r="RO5">
        <v>0.441917</v>
      </c>
      <c r="RP5">
        <v>1.91289</v>
      </c>
      <c r="RQ5" t="s">
        <v>1781</v>
      </c>
      <c r="RR5">
        <v>2026</v>
      </c>
      <c r="RS5" t="s">
        <v>2643</v>
      </c>
      <c r="RT5" s="6">
        <v>46049</v>
      </c>
      <c r="RU5">
        <v>5</v>
      </c>
      <c r="RV5">
        <v>1371025</v>
      </c>
      <c r="RW5">
        <v>386537</v>
      </c>
      <c r="RX5" t="s">
        <v>2644</v>
      </c>
      <c r="SA5" t="str">
        <f>_xll.BDS("MTN US Equity","SUPPLY_CHAIN_CUSTOMERS_ALL_DATA","cols=12;rows=1")</f>
        <v>GPRO US Equity</v>
      </c>
      <c r="SB5">
        <v>-2.4245362661989844E-14</v>
      </c>
      <c r="SD5">
        <v>-2.4245362661989844E-14</v>
      </c>
      <c r="SE5" t="s">
        <v>1825</v>
      </c>
      <c r="SF5">
        <v>2023</v>
      </c>
      <c r="SG5" t="s">
        <v>5152</v>
      </c>
      <c r="SH5" s="6">
        <v>45352</v>
      </c>
      <c r="SI5">
        <v>1</v>
      </c>
      <c r="SJ5">
        <v>-2.4245362661989844E-14</v>
      </c>
      <c r="SK5">
        <v>24300121</v>
      </c>
      <c r="SL5" t="s">
        <v>4927</v>
      </c>
      <c r="SQ5" t="str">
        <f>_xll.BDS("NDSN US Equity","SUPPLY_CHAIN_SUPPLIERS_ALL_DATA","cols=12;rows=5")</f>
        <v>6605 TT Equity</v>
      </c>
      <c r="SS5">
        <v>-2.4245362661989844E-14</v>
      </c>
      <c r="ST5">
        <v>-2.4245362661989844E-14</v>
      </c>
      <c r="SU5" t="s">
        <v>1774</v>
      </c>
      <c r="SV5">
        <v>2024</v>
      </c>
      <c r="SW5" t="s">
        <v>3102</v>
      </c>
      <c r="SX5" s="6">
        <v>45554</v>
      </c>
      <c r="SY5">
        <v>5</v>
      </c>
      <c r="SZ5">
        <v>-2.4245362661989844E-14</v>
      </c>
      <c r="TA5">
        <v>7981990</v>
      </c>
      <c r="TB5" t="s">
        <v>3103</v>
      </c>
      <c r="TE5" t="str">
        <f>_xll.BDS("NDSN US Equity","SUPPLY_CHAIN_CUSTOMERS_ALL_DATA","cols=12;rows=5")</f>
        <v>000782 CH Equity</v>
      </c>
      <c r="TF5">
        <v>-2.4245362661989844E-14</v>
      </c>
      <c r="TH5">
        <v>-2.4245362661989844E-14</v>
      </c>
      <c r="TI5" t="s">
        <v>1753</v>
      </c>
      <c r="TJ5">
        <v>2023</v>
      </c>
      <c r="TK5" t="s">
        <v>4683</v>
      </c>
      <c r="TL5" s="6">
        <v>45379</v>
      </c>
      <c r="TM5">
        <v>5</v>
      </c>
      <c r="TN5">
        <v>-2.4245362661989844E-14</v>
      </c>
      <c r="TO5">
        <v>221510</v>
      </c>
      <c r="TP5" t="s">
        <v>4684</v>
      </c>
      <c r="TU5" t="str">
        <f>_xll.BDS("ISIL US Equity","SUPPLY_CHAIN_SUPPLIERS_ALL_DATA","cols=12;rows=1")</f>
        <v>FE US Equity</v>
      </c>
      <c r="TW5">
        <v>-2.4245362661989844E-14</v>
      </c>
      <c r="TX5">
        <v>-2.4245362661989844E-14</v>
      </c>
      <c r="TY5" t="s">
        <v>1753</v>
      </c>
      <c r="TZ5">
        <v>2021</v>
      </c>
      <c r="UA5" t="s">
        <v>2222</v>
      </c>
      <c r="UB5" s="6">
        <v>44693</v>
      </c>
      <c r="UC5">
        <v>1</v>
      </c>
      <c r="UD5">
        <v>-2.4245362661989844E-14</v>
      </c>
      <c r="UE5">
        <v>302916</v>
      </c>
      <c r="UF5" t="s">
        <v>2223</v>
      </c>
      <c r="UI5" t="str">
        <f>_xll.BDS("ISIL US Equity","SUPPLY_CHAIN_CUSTOMERS_ALL_DATA")</f>
        <v>#N/A N/A</v>
      </c>
      <c r="UY5" t="str">
        <f>_xll.BDS("TFC US Equity","SUPPLY_CHAIN_SUPPLIERS_ALL_DATA","cols=12;rows=5")</f>
        <v>ADBE US Equity</v>
      </c>
      <c r="UZ5" t="s">
        <v>1940</v>
      </c>
      <c r="VA5">
        <v>9.3438999999999994E-2</v>
      </c>
      <c r="VB5">
        <v>0.18883900000000001</v>
      </c>
      <c r="VC5" t="s">
        <v>1774</v>
      </c>
      <c r="VD5">
        <v>2025</v>
      </c>
      <c r="VE5" t="s">
        <v>2126</v>
      </c>
      <c r="VF5" s="6">
        <v>45838</v>
      </c>
      <c r="VG5">
        <v>5</v>
      </c>
      <c r="VH5">
        <v>5487672</v>
      </c>
      <c r="VI5">
        <v>101689</v>
      </c>
      <c r="VJ5" t="s">
        <v>2127</v>
      </c>
      <c r="VM5" t="str">
        <f>_xll.BDS("TFC US Equity","SUPPLY_CHAIN_CUSTOMERS_ALL_DATA","cols=12;rows=1")</f>
        <v>RENG IN Equity</v>
      </c>
      <c r="VN5">
        <v>-2.4245362661989844E-14</v>
      </c>
      <c r="VP5">
        <v>-2.4245362661989844E-14</v>
      </c>
      <c r="VQ5" t="s">
        <v>1753</v>
      </c>
      <c r="VR5">
        <v>2025</v>
      </c>
      <c r="VS5" t="s">
        <v>1756</v>
      </c>
      <c r="VT5" s="6">
        <v>45901</v>
      </c>
      <c r="VU5">
        <v>1</v>
      </c>
      <c r="VV5">
        <v>-2.4245362661989844E-14</v>
      </c>
      <c r="VW5">
        <v>182734</v>
      </c>
      <c r="VX5" t="s">
        <v>1757</v>
      </c>
    </row>
    <row r="6" spans="1:600" x14ac:dyDescent="0.25">
      <c r="AE6" t="s">
        <v>3402</v>
      </c>
      <c r="AG6">
        <v>-2.4245362661989844E-14</v>
      </c>
      <c r="AH6">
        <v>-2.4245362661989844E-14</v>
      </c>
      <c r="AI6" t="s">
        <v>1753</v>
      </c>
      <c r="AJ6">
        <v>2023</v>
      </c>
      <c r="AK6" t="s">
        <v>3403</v>
      </c>
      <c r="AL6" s="6">
        <v>45299</v>
      </c>
      <c r="AM6">
        <v>5</v>
      </c>
      <c r="AN6">
        <v>-2.4245362661989844E-14</v>
      </c>
      <c r="AO6">
        <v>39932009</v>
      </c>
      <c r="AP6" t="s">
        <v>3404</v>
      </c>
      <c r="AS6" t="s">
        <v>3823</v>
      </c>
      <c r="AT6">
        <v>-2.4245362661989844E-14</v>
      </c>
      <c r="AV6">
        <v>-2.4245362661989844E-14</v>
      </c>
      <c r="AW6" t="s">
        <v>1753</v>
      </c>
      <c r="AX6">
        <v>2025</v>
      </c>
      <c r="AY6" t="s">
        <v>3822</v>
      </c>
      <c r="AZ6" s="6">
        <v>45687</v>
      </c>
      <c r="BA6">
        <v>5</v>
      </c>
      <c r="BB6">
        <v>-2.4245362661989844E-14</v>
      </c>
      <c r="BC6">
        <v>67173125</v>
      </c>
      <c r="BD6" t="s">
        <v>3824</v>
      </c>
      <c r="BI6" t="s">
        <v>1110</v>
      </c>
      <c r="BK6">
        <v>-2.4245362661989844E-14</v>
      </c>
      <c r="BL6">
        <v>-2.4245362661989844E-14</v>
      </c>
      <c r="BM6" t="s">
        <v>1774</v>
      </c>
      <c r="BN6">
        <v>2023</v>
      </c>
      <c r="BO6" t="s">
        <v>2226</v>
      </c>
      <c r="BP6" s="6">
        <v>45174</v>
      </c>
      <c r="BQ6">
        <v>2</v>
      </c>
      <c r="BR6">
        <v>-2.4245362661989844E-14</v>
      </c>
      <c r="BS6">
        <v>202476</v>
      </c>
      <c r="BT6" t="s">
        <v>2227</v>
      </c>
      <c r="DA6" t="s">
        <v>4135</v>
      </c>
      <c r="DB6">
        <v>-2.4245362661989844E-14</v>
      </c>
      <c r="DD6">
        <v>-2.4245362661989844E-14</v>
      </c>
      <c r="DE6" t="s">
        <v>1753</v>
      </c>
      <c r="DF6">
        <v>2023</v>
      </c>
      <c r="DG6" t="s">
        <v>4136</v>
      </c>
      <c r="DH6" s="6">
        <v>44991</v>
      </c>
      <c r="DI6">
        <v>2</v>
      </c>
      <c r="DJ6">
        <v>-2.4245362661989844E-14</v>
      </c>
      <c r="DK6">
        <v>57471390</v>
      </c>
      <c r="DL6" t="s">
        <v>4137</v>
      </c>
      <c r="DQ6" t="s">
        <v>2053</v>
      </c>
      <c r="DR6" t="s">
        <v>1752</v>
      </c>
      <c r="DS6">
        <v>0.52293800000000001</v>
      </c>
      <c r="DT6">
        <v>0.187949</v>
      </c>
      <c r="DU6" t="s">
        <v>1788</v>
      </c>
      <c r="DV6">
        <v>2025</v>
      </c>
      <c r="DW6" t="s">
        <v>2054</v>
      </c>
      <c r="DX6" s="6">
        <v>46027</v>
      </c>
      <c r="DY6">
        <v>5</v>
      </c>
      <c r="DZ6">
        <v>3315427</v>
      </c>
      <c r="EA6">
        <v>36965288</v>
      </c>
      <c r="EB6" t="s">
        <v>2055</v>
      </c>
      <c r="EE6" t="s">
        <v>5337</v>
      </c>
      <c r="EF6">
        <v>-2.4245362661989844E-14</v>
      </c>
      <c r="EH6">
        <v>-2.4245362661989844E-14</v>
      </c>
      <c r="EI6" t="s">
        <v>1753</v>
      </c>
      <c r="EJ6">
        <v>2023</v>
      </c>
      <c r="EK6" t="s">
        <v>5338</v>
      </c>
      <c r="EL6" s="6">
        <v>45028</v>
      </c>
      <c r="EM6">
        <v>5</v>
      </c>
      <c r="EN6">
        <v>-2.4245362661989844E-14</v>
      </c>
      <c r="EO6">
        <v>21481240</v>
      </c>
      <c r="EP6" t="s">
        <v>5339</v>
      </c>
      <c r="EU6" t="s">
        <v>4740</v>
      </c>
      <c r="EV6" t="s">
        <v>1752</v>
      </c>
      <c r="EW6">
        <v>6.6901000000000002E-2</v>
      </c>
      <c r="EX6">
        <v>3.0339000000000001E-2</v>
      </c>
      <c r="EY6" t="s">
        <v>1825</v>
      </c>
      <c r="EZ6">
        <v>2024</v>
      </c>
      <c r="FA6" t="s">
        <v>4741</v>
      </c>
      <c r="FB6" s="6">
        <v>45786</v>
      </c>
      <c r="FC6">
        <v>5</v>
      </c>
      <c r="FD6">
        <v>30489.83</v>
      </c>
      <c r="FE6">
        <v>17202339</v>
      </c>
      <c r="FF6" t="s">
        <v>4742</v>
      </c>
      <c r="FI6" t="s">
        <v>1871</v>
      </c>
      <c r="FJ6">
        <v>9.5185999999999993</v>
      </c>
      <c r="FK6" t="s">
        <v>1828</v>
      </c>
      <c r="FL6">
        <v>0.20255999999999999</v>
      </c>
      <c r="FM6" t="s">
        <v>1788</v>
      </c>
      <c r="FN6">
        <v>2025</v>
      </c>
      <c r="FO6" t="s">
        <v>4843</v>
      </c>
      <c r="FP6" s="6">
        <v>45986</v>
      </c>
      <c r="FQ6">
        <v>5</v>
      </c>
      <c r="FR6">
        <v>15789549</v>
      </c>
      <c r="FS6">
        <v>117929</v>
      </c>
      <c r="FT6" t="s">
        <v>1873</v>
      </c>
      <c r="IG6" t="s">
        <v>4665</v>
      </c>
      <c r="II6">
        <v>-2.4245362661989844E-14</v>
      </c>
      <c r="IJ6">
        <v>-2.4245362661989844E-14</v>
      </c>
      <c r="IK6" t="s">
        <v>1753</v>
      </c>
      <c r="IL6">
        <v>2023</v>
      </c>
      <c r="IM6" t="s">
        <v>4694</v>
      </c>
      <c r="IN6" s="6">
        <v>45336</v>
      </c>
      <c r="IO6">
        <v>2</v>
      </c>
      <c r="IP6">
        <v>-2.4245362661989844E-14</v>
      </c>
      <c r="IQ6">
        <v>20828779</v>
      </c>
      <c r="IR6" t="s">
        <v>4667</v>
      </c>
      <c r="JK6" t="s">
        <v>2215</v>
      </c>
      <c r="JL6" t="s">
        <v>1752</v>
      </c>
      <c r="JM6">
        <v>6.6266720000000001</v>
      </c>
      <c r="JN6">
        <v>6.8004179999999996</v>
      </c>
      <c r="JO6" t="s">
        <v>1788</v>
      </c>
      <c r="JP6">
        <v>2025</v>
      </c>
      <c r="JQ6" t="s">
        <v>2216</v>
      </c>
      <c r="JR6" s="6">
        <v>45867</v>
      </c>
      <c r="JS6">
        <v>5</v>
      </c>
      <c r="JT6">
        <v>518735872</v>
      </c>
      <c r="JU6">
        <v>117092</v>
      </c>
      <c r="JV6" t="s">
        <v>2217</v>
      </c>
      <c r="JY6" t="s">
        <v>1545</v>
      </c>
      <c r="JZ6">
        <v>15.549336</v>
      </c>
      <c r="KA6" t="s">
        <v>1752</v>
      </c>
      <c r="KB6">
        <v>4.6186980000000002</v>
      </c>
      <c r="KC6" t="s">
        <v>1788</v>
      </c>
      <c r="KD6">
        <v>2025</v>
      </c>
      <c r="KE6" t="s">
        <v>2577</v>
      </c>
      <c r="KF6" s="6">
        <v>46018</v>
      </c>
      <c r="KG6">
        <v>5</v>
      </c>
      <c r="KH6">
        <v>3730752256</v>
      </c>
      <c r="KI6">
        <v>156969</v>
      </c>
      <c r="KJ6" t="s">
        <v>2340</v>
      </c>
      <c r="KO6" t="s">
        <v>3525</v>
      </c>
      <c r="KP6" t="s">
        <v>1752</v>
      </c>
      <c r="KQ6">
        <v>0.14291699999999999</v>
      </c>
      <c r="KR6">
        <v>0.121508</v>
      </c>
      <c r="KS6" t="s">
        <v>1781</v>
      </c>
      <c r="KT6">
        <v>2025</v>
      </c>
      <c r="KU6" t="s">
        <v>3526</v>
      </c>
      <c r="KV6" s="6">
        <v>45834</v>
      </c>
      <c r="KW6">
        <v>5</v>
      </c>
      <c r="KX6">
        <v>1450806</v>
      </c>
      <c r="KY6">
        <v>393374</v>
      </c>
      <c r="KZ6" t="s">
        <v>3527</v>
      </c>
      <c r="LC6" t="s">
        <v>1960</v>
      </c>
      <c r="LD6">
        <v>4.1230000000000003E-2</v>
      </c>
      <c r="LE6" t="s">
        <v>1752</v>
      </c>
      <c r="LF6">
        <v>0.280804</v>
      </c>
      <c r="LG6" t="s">
        <v>1788</v>
      </c>
      <c r="LH6">
        <v>2025</v>
      </c>
      <c r="LI6" t="s">
        <v>2724</v>
      </c>
      <c r="LJ6" s="6">
        <v>46034</v>
      </c>
      <c r="LK6">
        <v>5</v>
      </c>
      <c r="LL6">
        <v>1601771</v>
      </c>
      <c r="LM6">
        <v>313021</v>
      </c>
      <c r="LN6" t="s">
        <v>1962</v>
      </c>
      <c r="LS6" t="s">
        <v>4025</v>
      </c>
      <c r="LT6" t="s">
        <v>1752</v>
      </c>
      <c r="LU6">
        <v>2.8125499999999999</v>
      </c>
      <c r="LV6">
        <v>1.308325</v>
      </c>
      <c r="LW6" t="s">
        <v>1753</v>
      </c>
      <c r="LX6">
        <v>2025</v>
      </c>
      <c r="LY6" t="s">
        <v>4026</v>
      </c>
      <c r="LZ6" s="6">
        <v>46063</v>
      </c>
      <c r="MA6">
        <v>5</v>
      </c>
      <c r="MB6">
        <v>36150000</v>
      </c>
      <c r="MC6">
        <v>126255</v>
      </c>
      <c r="MD6" t="s">
        <v>4027</v>
      </c>
      <c r="MG6" t="s">
        <v>1545</v>
      </c>
      <c r="MH6">
        <v>22.163627999999999</v>
      </c>
      <c r="MI6" t="s">
        <v>1752</v>
      </c>
      <c r="MJ6">
        <v>4.8294360000000003</v>
      </c>
      <c r="MK6" t="s">
        <v>1788</v>
      </c>
      <c r="ML6">
        <v>2025</v>
      </c>
      <c r="MM6" t="s">
        <v>3438</v>
      </c>
      <c r="MN6" s="6">
        <v>46041</v>
      </c>
      <c r="MO6">
        <v>5</v>
      </c>
      <c r="MP6">
        <v>3900975616</v>
      </c>
      <c r="MQ6">
        <v>156969</v>
      </c>
      <c r="MR6" t="s">
        <v>2340</v>
      </c>
      <c r="OA6" t="s">
        <v>993</v>
      </c>
      <c r="OB6" t="s">
        <v>1828</v>
      </c>
      <c r="OC6">
        <v>5.1084389999999997</v>
      </c>
      <c r="OD6">
        <v>2.769495</v>
      </c>
      <c r="OE6" t="s">
        <v>1825</v>
      </c>
      <c r="OF6">
        <v>2024</v>
      </c>
      <c r="OG6" t="s">
        <v>2034</v>
      </c>
      <c r="OH6" s="6">
        <v>45763</v>
      </c>
      <c r="OI6">
        <v>5</v>
      </c>
      <c r="OJ6">
        <v>48632340</v>
      </c>
      <c r="OK6">
        <v>119077</v>
      </c>
      <c r="OL6" t="s">
        <v>4188</v>
      </c>
      <c r="QI6" t="s">
        <v>2212</v>
      </c>
      <c r="QJ6" t="s">
        <v>1752</v>
      </c>
      <c r="QK6">
        <v>8.0958000000000002E-2</v>
      </c>
      <c r="QL6">
        <v>1.7563219999999999</v>
      </c>
      <c r="QM6" t="s">
        <v>1788</v>
      </c>
      <c r="QN6">
        <v>2025</v>
      </c>
      <c r="QO6" t="s">
        <v>2213</v>
      </c>
      <c r="QP6" s="6">
        <v>45763</v>
      </c>
      <c r="QQ6">
        <v>5</v>
      </c>
      <c r="QR6">
        <v>5307606</v>
      </c>
      <c r="QS6">
        <v>136547</v>
      </c>
      <c r="QT6" t="s">
        <v>2214</v>
      </c>
      <c r="QW6" t="s">
        <v>1969</v>
      </c>
      <c r="QX6">
        <v>0.29904199999999997</v>
      </c>
      <c r="QY6" t="s">
        <v>1752</v>
      </c>
      <c r="QZ6">
        <v>2.2558999999999999E-2</v>
      </c>
      <c r="RA6" t="s">
        <v>1774</v>
      </c>
      <c r="RB6">
        <v>2025</v>
      </c>
      <c r="RC6" t="s">
        <v>1970</v>
      </c>
      <c r="RD6" s="6">
        <v>45876</v>
      </c>
      <c r="RE6">
        <v>5</v>
      </c>
      <c r="RF6">
        <v>2513749</v>
      </c>
      <c r="RG6">
        <v>100285</v>
      </c>
      <c r="RH6" t="s">
        <v>1971</v>
      </c>
      <c r="RM6" t="s">
        <v>4925</v>
      </c>
      <c r="RN6" t="s">
        <v>1752</v>
      </c>
      <c r="RO6">
        <v>2.7209999999999999E-3</v>
      </c>
      <c r="RP6">
        <v>9.7000000000000005E-4</v>
      </c>
      <c r="RQ6" t="s">
        <v>1825</v>
      </c>
      <c r="RR6">
        <v>2024</v>
      </c>
      <c r="RS6" t="s">
        <v>4926</v>
      </c>
      <c r="RT6" s="6">
        <v>45772</v>
      </c>
      <c r="RU6">
        <v>5</v>
      </c>
      <c r="RV6">
        <v>5466</v>
      </c>
      <c r="RW6">
        <v>24300121</v>
      </c>
      <c r="RX6" t="s">
        <v>4927</v>
      </c>
      <c r="SQ6" t="s">
        <v>3104</v>
      </c>
      <c r="SS6">
        <v>-2.4245362661989844E-14</v>
      </c>
      <c r="ST6">
        <v>-2.4245362661989844E-14</v>
      </c>
      <c r="SU6" t="s">
        <v>1753</v>
      </c>
      <c r="SV6">
        <v>2022</v>
      </c>
      <c r="SW6" t="s">
        <v>3105</v>
      </c>
      <c r="SX6" s="6">
        <v>44693</v>
      </c>
      <c r="SY6">
        <v>5</v>
      </c>
      <c r="SZ6">
        <v>-2.4245362661989844E-14</v>
      </c>
      <c r="TA6">
        <v>114991</v>
      </c>
      <c r="TB6" t="s">
        <v>3106</v>
      </c>
      <c r="TE6" t="s">
        <v>4685</v>
      </c>
      <c r="TF6">
        <v>-2.4245362661989844E-14</v>
      </c>
      <c r="TH6">
        <v>-2.4245362661989844E-14</v>
      </c>
      <c r="TI6" t="s">
        <v>1753</v>
      </c>
      <c r="TJ6">
        <v>2023</v>
      </c>
      <c r="TK6" t="s">
        <v>4686</v>
      </c>
      <c r="TL6" s="6">
        <v>45394</v>
      </c>
      <c r="TM6">
        <v>5</v>
      </c>
      <c r="TN6">
        <v>-2.4245362661989844E-14</v>
      </c>
      <c r="TO6">
        <v>69690125</v>
      </c>
      <c r="TP6" t="s">
        <v>4687</v>
      </c>
      <c r="UY6" t="s">
        <v>2128</v>
      </c>
      <c r="UZ6" t="s">
        <v>1940</v>
      </c>
      <c r="VA6">
        <v>1.151538</v>
      </c>
      <c r="VB6">
        <v>7.7191999999999997E-2</v>
      </c>
      <c r="VC6" t="s">
        <v>1753</v>
      </c>
      <c r="VD6">
        <v>2024</v>
      </c>
      <c r="VE6" t="s">
        <v>2129</v>
      </c>
      <c r="VF6" s="6">
        <v>45716</v>
      </c>
      <c r="VG6">
        <v>5</v>
      </c>
      <c r="VH6">
        <v>2317499</v>
      </c>
      <c r="VI6">
        <v>35300053</v>
      </c>
      <c r="VJ6" t="s">
        <v>2130</v>
      </c>
    </row>
    <row r="7" spans="1:600" x14ac:dyDescent="0.25">
      <c r="AE7" t="s">
        <v>3405</v>
      </c>
      <c r="AG7">
        <v>-2.4245362661989844E-14</v>
      </c>
      <c r="AH7">
        <v>-2.4245362661989844E-14</v>
      </c>
      <c r="AI7" t="s">
        <v>1753</v>
      </c>
      <c r="AJ7">
        <v>2023</v>
      </c>
      <c r="AK7" t="s">
        <v>3406</v>
      </c>
      <c r="AL7" s="6">
        <v>45300</v>
      </c>
      <c r="AM7">
        <v>5</v>
      </c>
      <c r="AN7">
        <v>-2.4245362661989844E-14</v>
      </c>
      <c r="AO7">
        <v>61989641</v>
      </c>
      <c r="AP7" t="s">
        <v>3407</v>
      </c>
      <c r="AS7" t="s">
        <v>1791</v>
      </c>
      <c r="AT7">
        <v>-2.4245362661989844E-14</v>
      </c>
      <c r="AV7">
        <v>-2.4245362661989844E-14</v>
      </c>
      <c r="AW7" t="s">
        <v>1753</v>
      </c>
      <c r="AX7">
        <v>2023</v>
      </c>
      <c r="AY7" t="s">
        <v>3822</v>
      </c>
      <c r="AZ7" s="6">
        <v>45077</v>
      </c>
      <c r="BA7">
        <v>5</v>
      </c>
      <c r="BB7">
        <v>-2.4245362661989844E-14</v>
      </c>
      <c r="BC7">
        <v>218252</v>
      </c>
      <c r="BD7" t="s">
        <v>1793</v>
      </c>
      <c r="DQ7" t="s">
        <v>4047</v>
      </c>
      <c r="DR7" t="s">
        <v>1752</v>
      </c>
      <c r="DS7">
        <v>0.26110299999999997</v>
      </c>
      <c r="DT7">
        <v>6.7391999999999994E-2</v>
      </c>
      <c r="DU7" t="s">
        <v>1774</v>
      </c>
      <c r="DV7">
        <v>2026</v>
      </c>
      <c r="DW7" t="s">
        <v>4048</v>
      </c>
      <c r="DX7" s="6">
        <v>45966</v>
      </c>
      <c r="DY7">
        <v>5</v>
      </c>
      <c r="DZ7">
        <v>1188802</v>
      </c>
      <c r="EA7">
        <v>9777162</v>
      </c>
      <c r="EB7" t="s">
        <v>4049</v>
      </c>
      <c r="EE7" t="s">
        <v>5340</v>
      </c>
      <c r="EF7">
        <v>-2.4245362661989844E-14</v>
      </c>
      <c r="EH7">
        <v>-2.4245362661989844E-14</v>
      </c>
      <c r="EI7" t="s">
        <v>1753</v>
      </c>
      <c r="EJ7">
        <v>2022</v>
      </c>
      <c r="EK7" t="s">
        <v>5341</v>
      </c>
      <c r="EL7" s="6">
        <v>45174</v>
      </c>
      <c r="EM7">
        <v>5</v>
      </c>
      <c r="EN7">
        <v>-2.4245362661989844E-14</v>
      </c>
      <c r="EO7">
        <v>70808467</v>
      </c>
      <c r="EP7" t="s">
        <v>5342</v>
      </c>
      <c r="EU7" t="s">
        <v>4440</v>
      </c>
      <c r="EW7">
        <v>-2.4245362661989844E-14</v>
      </c>
      <c r="EX7">
        <v>-2.4245362661989844E-14</v>
      </c>
      <c r="EY7" t="s">
        <v>1781</v>
      </c>
      <c r="EZ7">
        <v>2024</v>
      </c>
      <c r="FA7" t="s">
        <v>4441</v>
      </c>
      <c r="FB7" s="6">
        <v>45442</v>
      </c>
      <c r="FC7">
        <v>5</v>
      </c>
      <c r="FD7">
        <v>-2.4245362661989844E-14</v>
      </c>
      <c r="FE7">
        <v>942421</v>
      </c>
      <c r="FF7" t="s">
        <v>4442</v>
      </c>
      <c r="FI7" t="s">
        <v>2280</v>
      </c>
      <c r="FJ7">
        <v>6.9090730000000002</v>
      </c>
      <c r="FK7" t="s">
        <v>1828</v>
      </c>
      <c r="FL7">
        <v>0.20255999999999999</v>
      </c>
      <c r="FM7" t="s">
        <v>1788</v>
      </c>
      <c r="FN7">
        <v>2025</v>
      </c>
      <c r="FO7" t="s">
        <v>4843</v>
      </c>
      <c r="FP7" s="6">
        <v>45986</v>
      </c>
      <c r="FQ7">
        <v>5</v>
      </c>
      <c r="FR7">
        <v>11460839</v>
      </c>
      <c r="FS7">
        <v>100995</v>
      </c>
      <c r="FT7" t="s">
        <v>2282</v>
      </c>
      <c r="JK7" t="s">
        <v>3411</v>
      </c>
      <c r="JL7" t="s">
        <v>1752</v>
      </c>
      <c r="JM7">
        <v>1.3419449999999999</v>
      </c>
      <c r="JN7">
        <v>2.7987500000000001</v>
      </c>
      <c r="JO7" t="s">
        <v>1825</v>
      </c>
      <c r="JP7">
        <v>2025</v>
      </c>
      <c r="JQ7" t="s">
        <v>3412</v>
      </c>
      <c r="JR7" s="6">
        <v>46077</v>
      </c>
      <c r="JS7">
        <v>5</v>
      </c>
      <c r="JT7">
        <v>223004416</v>
      </c>
      <c r="JU7">
        <v>28046509</v>
      </c>
      <c r="JV7" t="s">
        <v>3413</v>
      </c>
      <c r="JY7" t="s">
        <v>1461</v>
      </c>
      <c r="JZ7">
        <v>12.373919000000001</v>
      </c>
      <c r="KA7" t="s">
        <v>1752</v>
      </c>
      <c r="KB7">
        <v>4.81257</v>
      </c>
      <c r="KC7" t="s">
        <v>1788</v>
      </c>
      <c r="KD7">
        <v>2025</v>
      </c>
      <c r="KE7" t="s">
        <v>2577</v>
      </c>
      <c r="KF7" s="6">
        <v>46018</v>
      </c>
      <c r="KG7">
        <v>5</v>
      </c>
      <c r="KH7">
        <v>2968874496</v>
      </c>
      <c r="KI7">
        <v>102782</v>
      </c>
      <c r="KJ7" t="s">
        <v>1991</v>
      </c>
      <c r="KO7" t="s">
        <v>5886</v>
      </c>
      <c r="KP7" t="s">
        <v>1752</v>
      </c>
      <c r="KQ7">
        <v>7.3709999999999999E-3</v>
      </c>
      <c r="KR7">
        <v>9.8589999999999997E-3</v>
      </c>
      <c r="KS7" t="s">
        <v>1788</v>
      </c>
      <c r="KT7">
        <v>2025</v>
      </c>
      <c r="KU7" t="s">
        <v>5887</v>
      </c>
      <c r="KV7" s="6">
        <v>46042</v>
      </c>
      <c r="KW7">
        <v>5</v>
      </c>
      <c r="KX7">
        <v>87058</v>
      </c>
      <c r="KY7">
        <v>16555266</v>
      </c>
      <c r="KZ7" t="s">
        <v>5888</v>
      </c>
      <c r="LC7" t="s">
        <v>1954</v>
      </c>
      <c r="LD7">
        <v>3.1623999999999999E-2</v>
      </c>
      <c r="LE7" t="s">
        <v>1752</v>
      </c>
      <c r="LF7">
        <v>6.0149000000000001E-2</v>
      </c>
      <c r="LG7" t="s">
        <v>1781</v>
      </c>
      <c r="LH7">
        <v>2025</v>
      </c>
      <c r="LI7" t="s">
        <v>1955</v>
      </c>
      <c r="LJ7" s="6">
        <v>45820</v>
      </c>
      <c r="LK7">
        <v>5</v>
      </c>
      <c r="LL7">
        <v>2452154</v>
      </c>
      <c r="LM7">
        <v>12129192</v>
      </c>
      <c r="LN7" t="s">
        <v>1956</v>
      </c>
      <c r="LS7" t="s">
        <v>4028</v>
      </c>
      <c r="LT7" t="s">
        <v>1752</v>
      </c>
      <c r="LU7">
        <v>13.694044</v>
      </c>
      <c r="LV7">
        <v>1.0251479999999999</v>
      </c>
      <c r="LW7" t="s">
        <v>1753</v>
      </c>
      <c r="LX7">
        <v>2024</v>
      </c>
      <c r="LY7" t="s">
        <v>4029</v>
      </c>
      <c r="LZ7" s="6">
        <v>45735</v>
      </c>
      <c r="MA7">
        <v>5</v>
      </c>
      <c r="MB7">
        <v>21575000</v>
      </c>
      <c r="MC7">
        <v>10664510</v>
      </c>
      <c r="MD7" t="s">
        <v>4030</v>
      </c>
      <c r="MG7" t="s">
        <v>1461</v>
      </c>
      <c r="MH7">
        <v>19.020800000000001</v>
      </c>
      <c r="MI7" t="s">
        <v>1752</v>
      </c>
      <c r="MJ7">
        <v>5.4268320000000001</v>
      </c>
      <c r="MK7" t="s">
        <v>1788</v>
      </c>
      <c r="ML7">
        <v>2025</v>
      </c>
      <c r="MM7" t="s">
        <v>3438</v>
      </c>
      <c r="MN7" s="6">
        <v>46041</v>
      </c>
      <c r="MO7">
        <v>5</v>
      </c>
      <c r="MP7">
        <v>3347812864</v>
      </c>
      <c r="MQ7">
        <v>102782</v>
      </c>
      <c r="MR7" t="s">
        <v>1991</v>
      </c>
      <c r="OA7" t="s">
        <v>3660</v>
      </c>
      <c r="OB7" t="s">
        <v>1828</v>
      </c>
      <c r="OC7">
        <v>1.420428</v>
      </c>
      <c r="OD7">
        <v>1.4465920000000001</v>
      </c>
      <c r="OE7" t="s">
        <v>1825</v>
      </c>
      <c r="OF7">
        <v>2024</v>
      </c>
      <c r="OG7" t="s">
        <v>3661</v>
      </c>
      <c r="OH7" s="6">
        <v>45784</v>
      </c>
      <c r="OI7">
        <v>5</v>
      </c>
      <c r="OJ7">
        <v>14850928.77</v>
      </c>
      <c r="OK7">
        <v>115557</v>
      </c>
      <c r="OL7" t="s">
        <v>3662</v>
      </c>
      <c r="QI7" t="s">
        <v>5085</v>
      </c>
      <c r="QJ7" t="s">
        <v>1752</v>
      </c>
      <c r="QK7">
        <v>1.4304829999999999</v>
      </c>
      <c r="QL7">
        <v>1.098568</v>
      </c>
      <c r="QM7" t="s">
        <v>1781</v>
      </c>
      <c r="QN7">
        <v>2025</v>
      </c>
      <c r="QO7" t="s">
        <v>5086</v>
      </c>
      <c r="QP7" s="6">
        <v>45825</v>
      </c>
      <c r="QQ7">
        <v>5</v>
      </c>
      <c r="QR7">
        <v>3073793</v>
      </c>
      <c r="QS7">
        <v>13830095</v>
      </c>
      <c r="QT7" t="s">
        <v>5087</v>
      </c>
      <c r="QW7" t="s">
        <v>5035</v>
      </c>
      <c r="QX7">
        <v>-2.4245362661989844E-14</v>
      </c>
      <c r="QZ7">
        <v>-2.4245362661989844E-14</v>
      </c>
      <c r="RA7" t="s">
        <v>1753</v>
      </c>
      <c r="RB7">
        <v>2024</v>
      </c>
      <c r="RC7" t="s">
        <v>5036</v>
      </c>
      <c r="RD7" s="6">
        <v>45419</v>
      </c>
      <c r="RE7">
        <v>5</v>
      </c>
      <c r="RF7">
        <v>-2.4245362661989844E-14</v>
      </c>
      <c r="RG7">
        <v>28514365</v>
      </c>
      <c r="RH7" t="s">
        <v>5037</v>
      </c>
      <c r="RM7" t="s">
        <v>4928</v>
      </c>
      <c r="RO7">
        <v>-2.4245362661989844E-14</v>
      </c>
      <c r="RP7">
        <v>-2.4245362661989844E-14</v>
      </c>
      <c r="RQ7" t="s">
        <v>1753</v>
      </c>
      <c r="RR7">
        <v>2025</v>
      </c>
      <c r="RS7" t="s">
        <v>4929</v>
      </c>
      <c r="RT7" s="6">
        <v>45954</v>
      </c>
      <c r="RU7">
        <v>5</v>
      </c>
      <c r="RV7">
        <v>-2.4245362661989844E-14</v>
      </c>
      <c r="RW7">
        <v>100741</v>
      </c>
      <c r="RX7" t="s">
        <v>4930</v>
      </c>
      <c r="SQ7" t="s">
        <v>2307</v>
      </c>
      <c r="SS7">
        <v>-2.4245362661989844E-14</v>
      </c>
      <c r="ST7">
        <v>-2.4245362661989844E-14</v>
      </c>
      <c r="SU7" t="s">
        <v>1753</v>
      </c>
      <c r="SV7">
        <v>2021</v>
      </c>
      <c r="SW7" t="s">
        <v>2308</v>
      </c>
      <c r="SX7" s="6">
        <v>44693</v>
      </c>
      <c r="SY7">
        <v>5</v>
      </c>
      <c r="SZ7">
        <v>-2.4245362661989844E-14</v>
      </c>
      <c r="TA7">
        <v>100060</v>
      </c>
      <c r="TB7" t="s">
        <v>2309</v>
      </c>
      <c r="TE7" t="s">
        <v>4688</v>
      </c>
      <c r="TF7">
        <v>-2.4245362661989844E-14</v>
      </c>
      <c r="TH7">
        <v>-2.4245362661989844E-14</v>
      </c>
      <c r="TI7" t="s">
        <v>1842</v>
      </c>
      <c r="TJ7">
        <v>2023</v>
      </c>
      <c r="TK7" t="s">
        <v>4689</v>
      </c>
      <c r="TL7" s="6">
        <v>45167</v>
      </c>
      <c r="TM7">
        <v>5</v>
      </c>
      <c r="TN7">
        <v>-2.4245362661989844E-14</v>
      </c>
      <c r="TO7">
        <v>17857490</v>
      </c>
      <c r="TP7" t="s">
        <v>4690</v>
      </c>
      <c r="UY7" t="s">
        <v>1787</v>
      </c>
      <c r="UZ7" t="s">
        <v>1940</v>
      </c>
      <c r="VA7">
        <v>0.492811</v>
      </c>
      <c r="VB7">
        <v>2.9784000000000001E-2</v>
      </c>
      <c r="VC7" t="s">
        <v>1781</v>
      </c>
      <c r="VD7">
        <v>2026</v>
      </c>
      <c r="VE7" t="s">
        <v>2131</v>
      </c>
      <c r="VF7" s="6">
        <v>45898</v>
      </c>
      <c r="VG7">
        <v>5</v>
      </c>
      <c r="VH7">
        <v>889383.69</v>
      </c>
      <c r="VI7">
        <v>178651</v>
      </c>
      <c r="VJ7" t="s">
        <v>1790</v>
      </c>
    </row>
    <row r="8" spans="1:600" x14ac:dyDescent="0.25">
      <c r="AE8" t="s">
        <v>2689</v>
      </c>
      <c r="AG8">
        <v>-2.4245362661989844E-14</v>
      </c>
      <c r="AH8">
        <v>-2.4245362661989844E-14</v>
      </c>
      <c r="AI8" t="s">
        <v>1753</v>
      </c>
      <c r="AJ8">
        <v>2025</v>
      </c>
      <c r="AK8" t="s">
        <v>3408</v>
      </c>
      <c r="AL8" s="6">
        <v>46072</v>
      </c>
      <c r="AM8">
        <v>5</v>
      </c>
      <c r="AN8">
        <v>-2.4245362661989844E-14</v>
      </c>
      <c r="AO8">
        <v>957754</v>
      </c>
      <c r="AP8" t="s">
        <v>2690</v>
      </c>
      <c r="AS8" t="s">
        <v>3825</v>
      </c>
      <c r="AT8">
        <v>-2.4245362661989844E-14</v>
      </c>
      <c r="AV8">
        <v>-2.4245362661989844E-14</v>
      </c>
      <c r="AW8" t="s">
        <v>1753</v>
      </c>
      <c r="AX8">
        <v>2022</v>
      </c>
      <c r="AY8" t="s">
        <v>3822</v>
      </c>
      <c r="AZ8" s="6">
        <v>44712</v>
      </c>
      <c r="BA8">
        <v>5</v>
      </c>
      <c r="BB8">
        <v>-2.4245362661989844E-14</v>
      </c>
      <c r="BC8">
        <v>136160</v>
      </c>
      <c r="BD8" t="s">
        <v>3826</v>
      </c>
      <c r="DQ8" t="s">
        <v>4570</v>
      </c>
      <c r="DR8" t="s">
        <v>1752</v>
      </c>
      <c r="DS8">
        <v>9.0144000000000002E-2</v>
      </c>
      <c r="DT8">
        <v>1.3390000000000001E-2</v>
      </c>
      <c r="DU8" t="s">
        <v>1774</v>
      </c>
      <c r="DV8">
        <v>2026</v>
      </c>
      <c r="DW8" t="s">
        <v>4571</v>
      </c>
      <c r="DX8" s="6">
        <v>46035</v>
      </c>
      <c r="DY8">
        <v>5</v>
      </c>
      <c r="DZ8">
        <v>236200</v>
      </c>
      <c r="EA8">
        <v>105325</v>
      </c>
      <c r="EB8" t="s">
        <v>4572</v>
      </c>
      <c r="EE8" t="s">
        <v>5343</v>
      </c>
      <c r="EF8">
        <v>-2.4245362661989844E-14</v>
      </c>
      <c r="EH8">
        <v>-2.4245362661989844E-14</v>
      </c>
      <c r="EI8" t="s">
        <v>1753</v>
      </c>
      <c r="EJ8">
        <v>2023</v>
      </c>
      <c r="EK8" t="s">
        <v>5344</v>
      </c>
      <c r="EL8" s="6">
        <v>45377</v>
      </c>
      <c r="EM8">
        <v>5</v>
      </c>
      <c r="EN8">
        <v>-2.4245362661989844E-14</v>
      </c>
      <c r="EO8">
        <v>24248093</v>
      </c>
      <c r="EP8" t="s">
        <v>5345</v>
      </c>
      <c r="EU8" t="s">
        <v>5217</v>
      </c>
      <c r="EW8">
        <v>-2.4245362661989844E-14</v>
      </c>
      <c r="EX8">
        <v>-2.4245362661989844E-14</v>
      </c>
      <c r="EY8" t="s">
        <v>1753</v>
      </c>
      <c r="EZ8">
        <v>2021</v>
      </c>
      <c r="FA8" t="s">
        <v>5218</v>
      </c>
      <c r="FB8" s="6">
        <v>44693</v>
      </c>
      <c r="FC8">
        <v>5</v>
      </c>
      <c r="FD8">
        <v>-2.4245362661989844E-14</v>
      </c>
      <c r="FE8">
        <v>109221</v>
      </c>
      <c r="FF8" t="s">
        <v>5219</v>
      </c>
      <c r="FI8" t="s">
        <v>2268</v>
      </c>
      <c r="FJ8">
        <v>4.4315990000000003</v>
      </c>
      <c r="FK8" t="s">
        <v>1828</v>
      </c>
      <c r="FL8">
        <v>0.20255999999999999</v>
      </c>
      <c r="FM8" t="s">
        <v>1788</v>
      </c>
      <c r="FN8">
        <v>2025</v>
      </c>
      <c r="FO8" t="s">
        <v>4843</v>
      </c>
      <c r="FP8" s="6">
        <v>45986</v>
      </c>
      <c r="FQ8">
        <v>5</v>
      </c>
      <c r="FR8">
        <v>7351181</v>
      </c>
      <c r="FS8">
        <v>193974</v>
      </c>
      <c r="FT8" t="s">
        <v>2270</v>
      </c>
      <c r="JK8" t="s">
        <v>3414</v>
      </c>
      <c r="JL8" t="s">
        <v>1752</v>
      </c>
      <c r="JM8">
        <v>49.056618</v>
      </c>
      <c r="JN8">
        <v>2.3797060000000001</v>
      </c>
      <c r="JO8" t="s">
        <v>1788</v>
      </c>
      <c r="JP8">
        <v>2025</v>
      </c>
      <c r="JQ8" t="s">
        <v>3415</v>
      </c>
      <c r="JR8" s="6">
        <v>46050</v>
      </c>
      <c r="JS8">
        <v>5</v>
      </c>
      <c r="JT8">
        <v>173789936</v>
      </c>
      <c r="JU8">
        <v>1753841</v>
      </c>
      <c r="JV8" t="s">
        <v>3416</v>
      </c>
      <c r="JY8" t="s">
        <v>3276</v>
      </c>
      <c r="JZ8">
        <v>2.966253</v>
      </c>
      <c r="KA8" t="s">
        <v>1752</v>
      </c>
      <c r="KB8">
        <v>1.12304</v>
      </c>
      <c r="KC8" t="s">
        <v>1788</v>
      </c>
      <c r="KD8">
        <v>2025</v>
      </c>
      <c r="KE8" t="s">
        <v>2577</v>
      </c>
      <c r="KF8" s="6">
        <v>46018</v>
      </c>
      <c r="KG8">
        <v>5</v>
      </c>
      <c r="KH8">
        <v>711693056</v>
      </c>
      <c r="KI8">
        <v>60401289</v>
      </c>
      <c r="KJ8" t="s">
        <v>3278</v>
      </c>
      <c r="KO8" t="s">
        <v>5889</v>
      </c>
      <c r="KQ8">
        <v>-2.4245362661989844E-14</v>
      </c>
      <c r="KR8">
        <v>-2.4245362661989844E-14</v>
      </c>
      <c r="KS8" t="s">
        <v>1753</v>
      </c>
      <c r="KT8">
        <v>2023</v>
      </c>
      <c r="KU8" t="s">
        <v>5890</v>
      </c>
      <c r="KV8" s="6">
        <v>45181</v>
      </c>
      <c r="KW8">
        <v>5</v>
      </c>
      <c r="KX8">
        <v>-2.4245362661989844E-14</v>
      </c>
      <c r="KY8">
        <v>17613018</v>
      </c>
      <c r="KZ8" t="s">
        <v>5891</v>
      </c>
      <c r="LC8" t="s">
        <v>484</v>
      </c>
      <c r="LD8">
        <v>-2.4245362661989844E-14</v>
      </c>
      <c r="LF8">
        <v>-2.4245362661989844E-14</v>
      </c>
      <c r="LG8" t="s">
        <v>1753</v>
      </c>
      <c r="LH8">
        <v>2025</v>
      </c>
      <c r="LI8" t="s">
        <v>5815</v>
      </c>
      <c r="LJ8" s="6">
        <v>45903</v>
      </c>
      <c r="LK8">
        <v>5</v>
      </c>
      <c r="LL8">
        <v>-2.4245362661989844E-14</v>
      </c>
      <c r="LM8">
        <v>101695</v>
      </c>
      <c r="LN8" t="s">
        <v>3011</v>
      </c>
      <c r="LS8" t="s">
        <v>487</v>
      </c>
      <c r="LT8" t="s">
        <v>2407</v>
      </c>
      <c r="LU8">
        <v>2.0662310000000002</v>
      </c>
      <c r="LV8">
        <v>0.63925799999999999</v>
      </c>
      <c r="LW8" t="s">
        <v>1774</v>
      </c>
      <c r="LX8">
        <v>2025</v>
      </c>
      <c r="LY8" t="s">
        <v>2410</v>
      </c>
      <c r="LZ8" s="6">
        <v>45921</v>
      </c>
      <c r="MA8">
        <v>5</v>
      </c>
      <c r="MB8">
        <v>21326292</v>
      </c>
      <c r="MC8">
        <v>963610</v>
      </c>
      <c r="MD8" t="s">
        <v>2411</v>
      </c>
      <c r="MG8" t="s">
        <v>3818</v>
      </c>
      <c r="MH8">
        <v>5.4489999999999998</v>
      </c>
      <c r="MJ8">
        <v>-2.4245362661989844E-14</v>
      </c>
      <c r="MK8" t="s">
        <v>1788</v>
      </c>
      <c r="ML8">
        <v>2025</v>
      </c>
      <c r="MM8" t="s">
        <v>3438</v>
      </c>
      <c r="MN8" s="6">
        <v>46041</v>
      </c>
      <c r="MO8">
        <v>5</v>
      </c>
      <c r="MP8">
        <v>959067584</v>
      </c>
      <c r="MQ8">
        <v>199844</v>
      </c>
      <c r="MR8" t="s">
        <v>3819</v>
      </c>
      <c r="OA8" t="s">
        <v>5309</v>
      </c>
      <c r="OB8" t="s">
        <v>1940</v>
      </c>
      <c r="OC8">
        <v>8.8000000000000007</v>
      </c>
      <c r="OD8">
        <v>10.665008</v>
      </c>
      <c r="OE8" t="s">
        <v>1753</v>
      </c>
      <c r="OF8">
        <v>2024</v>
      </c>
      <c r="OG8" t="s">
        <v>5310</v>
      </c>
      <c r="OH8" s="6">
        <v>45700</v>
      </c>
      <c r="OI8">
        <v>5</v>
      </c>
      <c r="OJ8">
        <v>13121516.84</v>
      </c>
      <c r="OK8">
        <v>202552</v>
      </c>
      <c r="OL8" t="s">
        <v>5311</v>
      </c>
      <c r="QI8" t="s">
        <v>772</v>
      </c>
      <c r="QJ8" t="s">
        <v>1752</v>
      </c>
      <c r="QK8">
        <v>0.46083499999999999</v>
      </c>
      <c r="QL8">
        <v>1.0405249999999999</v>
      </c>
      <c r="QM8" t="s">
        <v>1781</v>
      </c>
      <c r="QN8">
        <v>2025</v>
      </c>
      <c r="QO8" t="s">
        <v>2953</v>
      </c>
      <c r="QP8" s="6">
        <v>45793</v>
      </c>
      <c r="QQ8">
        <v>5</v>
      </c>
      <c r="QR8">
        <v>2911390</v>
      </c>
      <c r="QS8">
        <v>102417</v>
      </c>
      <c r="QT8" t="s">
        <v>2954</v>
      </c>
      <c r="QW8" t="s">
        <v>5038</v>
      </c>
      <c r="QX8">
        <v>-2.4245362661989844E-14</v>
      </c>
      <c r="QZ8">
        <v>-2.4245362661989844E-14</v>
      </c>
      <c r="RA8" t="s">
        <v>1753</v>
      </c>
      <c r="RB8">
        <v>2024</v>
      </c>
      <c r="RC8" t="s">
        <v>5039</v>
      </c>
      <c r="RD8" s="6">
        <v>45772</v>
      </c>
      <c r="RE8">
        <v>5</v>
      </c>
      <c r="RF8">
        <v>-2.4245362661989844E-14</v>
      </c>
      <c r="RG8">
        <v>117606</v>
      </c>
      <c r="RH8" t="s">
        <v>5040</v>
      </c>
      <c r="RM8" t="s">
        <v>4931</v>
      </c>
      <c r="RO8">
        <v>-2.4245362661989844E-14</v>
      </c>
      <c r="RP8">
        <v>-2.4245362661989844E-14</v>
      </c>
      <c r="RQ8" t="s">
        <v>1753</v>
      </c>
      <c r="RR8">
        <v>2025</v>
      </c>
      <c r="RS8" t="s">
        <v>4932</v>
      </c>
      <c r="RT8" s="6">
        <v>45800</v>
      </c>
      <c r="RU8">
        <v>5</v>
      </c>
      <c r="RV8">
        <v>-2.4245362661989844E-14</v>
      </c>
      <c r="RW8">
        <v>106119</v>
      </c>
      <c r="RX8" t="s">
        <v>4933</v>
      </c>
      <c r="SQ8" t="s">
        <v>2392</v>
      </c>
      <c r="SS8">
        <v>-2.4245362661989844E-14</v>
      </c>
      <c r="ST8">
        <v>-2.4245362661989844E-14</v>
      </c>
      <c r="SU8" t="s">
        <v>1753</v>
      </c>
      <c r="SV8">
        <v>2021</v>
      </c>
      <c r="SW8" t="s">
        <v>2393</v>
      </c>
      <c r="SX8" s="6">
        <v>44693</v>
      </c>
      <c r="SY8">
        <v>5</v>
      </c>
      <c r="SZ8">
        <v>-2.4245362661989844E-14</v>
      </c>
      <c r="TA8">
        <v>101690</v>
      </c>
      <c r="TB8" t="s">
        <v>2394</v>
      </c>
      <c r="TE8" t="s">
        <v>4587</v>
      </c>
      <c r="TF8">
        <v>-2.4245362661989844E-14</v>
      </c>
      <c r="TH8">
        <v>-2.4245362661989844E-14</v>
      </c>
      <c r="TI8" t="s">
        <v>1768</v>
      </c>
      <c r="TJ8">
        <v>2025</v>
      </c>
      <c r="TK8" t="s">
        <v>4588</v>
      </c>
      <c r="TL8" s="6">
        <v>45975</v>
      </c>
      <c r="TM8">
        <v>5</v>
      </c>
      <c r="TN8">
        <v>-2.4245362661989844E-14</v>
      </c>
      <c r="TO8">
        <v>866542</v>
      </c>
      <c r="TP8" t="s">
        <v>4589</v>
      </c>
      <c r="UY8" t="s">
        <v>2132</v>
      </c>
      <c r="VA8">
        <v>0.44397199999999998</v>
      </c>
      <c r="VB8">
        <v>-2.4245362661989844E-14</v>
      </c>
      <c r="VC8" t="s">
        <v>1825</v>
      </c>
      <c r="VD8">
        <v>2024</v>
      </c>
      <c r="VE8" t="s">
        <v>2133</v>
      </c>
      <c r="VF8" s="6">
        <v>45699</v>
      </c>
      <c r="VG8">
        <v>5</v>
      </c>
      <c r="VH8">
        <v>316250</v>
      </c>
      <c r="VI8">
        <v>10086577</v>
      </c>
      <c r="VJ8" t="s">
        <v>2134</v>
      </c>
    </row>
    <row r="9" spans="1:600" x14ac:dyDescent="0.25">
      <c r="AE9" t="s">
        <v>2304</v>
      </c>
      <c r="AG9">
        <v>-2.4245362661989844E-14</v>
      </c>
      <c r="AH9">
        <v>-2.4245362661989844E-14</v>
      </c>
      <c r="AI9" t="s">
        <v>1753</v>
      </c>
      <c r="AJ9">
        <v>2021</v>
      </c>
      <c r="AK9" t="s">
        <v>2305</v>
      </c>
      <c r="AL9" s="6">
        <v>44693</v>
      </c>
      <c r="AM9">
        <v>5</v>
      </c>
      <c r="AN9">
        <v>-2.4245362661989844E-14</v>
      </c>
      <c r="AO9">
        <v>313098</v>
      </c>
      <c r="AP9" t="s">
        <v>2306</v>
      </c>
      <c r="AS9" t="s">
        <v>1960</v>
      </c>
      <c r="AT9">
        <v>-2.4245362661989844E-14</v>
      </c>
      <c r="AV9">
        <v>-2.4245362661989844E-14</v>
      </c>
      <c r="AW9" t="s">
        <v>1781</v>
      </c>
      <c r="AX9">
        <v>2025</v>
      </c>
      <c r="AY9" t="s">
        <v>1961</v>
      </c>
      <c r="AZ9" s="6">
        <v>45799</v>
      </c>
      <c r="BA9">
        <v>5</v>
      </c>
      <c r="BB9">
        <v>-2.4245362661989844E-14</v>
      </c>
      <c r="BC9">
        <v>313021</v>
      </c>
      <c r="BD9" t="s">
        <v>1962</v>
      </c>
      <c r="DQ9" t="s">
        <v>2180</v>
      </c>
      <c r="DR9" t="s">
        <v>1752</v>
      </c>
      <c r="DS9">
        <v>3.5172000000000002E-2</v>
      </c>
      <c r="DT9">
        <v>2.8899999999999998E-4</v>
      </c>
      <c r="DU9" t="s">
        <v>1825</v>
      </c>
      <c r="DV9">
        <v>2024</v>
      </c>
      <c r="DW9" t="s">
        <v>2181</v>
      </c>
      <c r="DX9" s="6">
        <v>45770</v>
      </c>
      <c r="DY9">
        <v>5</v>
      </c>
      <c r="DZ9">
        <v>5248</v>
      </c>
      <c r="EA9">
        <v>1176738</v>
      </c>
      <c r="EB9" t="s">
        <v>2182</v>
      </c>
      <c r="EE9" t="s">
        <v>2053</v>
      </c>
      <c r="EF9">
        <v>-2.4245362661989844E-14</v>
      </c>
      <c r="EH9">
        <v>-2.4245362661989844E-14</v>
      </c>
      <c r="EI9" t="s">
        <v>1753</v>
      </c>
      <c r="EJ9">
        <v>2024</v>
      </c>
      <c r="EK9" t="s">
        <v>5346</v>
      </c>
      <c r="EL9" s="6">
        <v>45726</v>
      </c>
      <c r="EM9">
        <v>5</v>
      </c>
      <c r="EN9">
        <v>-2.4245362661989844E-14</v>
      </c>
      <c r="EO9">
        <v>36965288</v>
      </c>
      <c r="EP9" t="s">
        <v>2055</v>
      </c>
      <c r="EU9" t="s">
        <v>3582</v>
      </c>
      <c r="EW9">
        <v>-2.4245362661989844E-14</v>
      </c>
      <c r="EX9">
        <v>-2.4245362661989844E-14</v>
      </c>
      <c r="EY9" t="s">
        <v>1753</v>
      </c>
      <c r="EZ9">
        <v>2021</v>
      </c>
      <c r="FA9" t="s">
        <v>3583</v>
      </c>
      <c r="FB9" s="6">
        <v>44693</v>
      </c>
      <c r="FC9">
        <v>5</v>
      </c>
      <c r="FD9">
        <v>-2.4245362661989844E-14</v>
      </c>
      <c r="FE9">
        <v>107603</v>
      </c>
      <c r="FF9" t="s">
        <v>3584</v>
      </c>
      <c r="FI9" t="s">
        <v>2808</v>
      </c>
      <c r="FJ9">
        <v>2.9612059999999998</v>
      </c>
      <c r="FK9" t="s">
        <v>1828</v>
      </c>
      <c r="FL9">
        <v>0.20255999999999999</v>
      </c>
      <c r="FM9" t="s">
        <v>1788</v>
      </c>
      <c r="FN9">
        <v>2025</v>
      </c>
      <c r="FO9" t="s">
        <v>4843</v>
      </c>
      <c r="FP9" s="6">
        <v>45986</v>
      </c>
      <c r="FQ9">
        <v>5</v>
      </c>
      <c r="FR9">
        <v>4912078</v>
      </c>
      <c r="FS9">
        <v>101729</v>
      </c>
      <c r="FT9" t="s">
        <v>2810</v>
      </c>
      <c r="JK9" t="s">
        <v>2343</v>
      </c>
      <c r="JL9" t="s">
        <v>1752</v>
      </c>
      <c r="JM9">
        <v>1.017503</v>
      </c>
      <c r="JN9">
        <v>1.621964</v>
      </c>
      <c r="JO9" t="s">
        <v>1774</v>
      </c>
      <c r="JP9">
        <v>2025</v>
      </c>
      <c r="JQ9" t="s">
        <v>3417</v>
      </c>
      <c r="JR9" s="6">
        <v>45929</v>
      </c>
      <c r="JS9">
        <v>5</v>
      </c>
      <c r="JT9">
        <v>123835292.08</v>
      </c>
      <c r="JU9">
        <v>115679</v>
      </c>
      <c r="JV9" t="s">
        <v>2344</v>
      </c>
      <c r="JY9" t="s">
        <v>2089</v>
      </c>
      <c r="JZ9">
        <v>2.108371</v>
      </c>
      <c r="KA9" t="s">
        <v>1752</v>
      </c>
      <c r="KB9">
        <v>2.5571009999999998</v>
      </c>
      <c r="KC9" t="s">
        <v>1774</v>
      </c>
      <c r="KD9">
        <v>2025</v>
      </c>
      <c r="KE9" t="s">
        <v>2090</v>
      </c>
      <c r="KF9" s="6">
        <v>45919</v>
      </c>
      <c r="KG9">
        <v>5</v>
      </c>
      <c r="KH9">
        <v>501043244.87</v>
      </c>
      <c r="KI9">
        <v>115268</v>
      </c>
      <c r="KJ9" t="s">
        <v>2091</v>
      </c>
      <c r="KO9" t="s">
        <v>5892</v>
      </c>
      <c r="KQ9">
        <v>-2.4245362661989844E-14</v>
      </c>
      <c r="KR9">
        <v>-2.4245362661989844E-14</v>
      </c>
      <c r="KS9" t="s">
        <v>1753</v>
      </c>
      <c r="KT9">
        <v>2023</v>
      </c>
      <c r="KU9" t="s">
        <v>5893</v>
      </c>
      <c r="KV9" s="6">
        <v>45195</v>
      </c>
      <c r="KW9">
        <v>5</v>
      </c>
      <c r="KX9">
        <v>-2.4245362661989844E-14</v>
      </c>
      <c r="KY9">
        <v>54341795</v>
      </c>
      <c r="KZ9" t="s">
        <v>5894</v>
      </c>
      <c r="LC9" t="s">
        <v>667</v>
      </c>
      <c r="LD9">
        <v>-2.4245362661989844E-14</v>
      </c>
      <c r="LF9">
        <v>-2.4245362661989844E-14</v>
      </c>
      <c r="LG9" t="s">
        <v>1753</v>
      </c>
      <c r="LH9">
        <v>2023</v>
      </c>
      <c r="LI9" t="s">
        <v>5803</v>
      </c>
      <c r="LJ9" s="6">
        <v>45049</v>
      </c>
      <c r="LK9">
        <v>5</v>
      </c>
      <c r="LL9">
        <v>-2.4245362661989844E-14</v>
      </c>
      <c r="LM9">
        <v>100137</v>
      </c>
      <c r="LN9" t="s">
        <v>5816</v>
      </c>
      <c r="LS9" t="s">
        <v>4031</v>
      </c>
      <c r="LT9" t="s">
        <v>1940</v>
      </c>
      <c r="LU9">
        <v>2.8060939999999999</v>
      </c>
      <c r="LV9">
        <v>0.76549599999999995</v>
      </c>
      <c r="LW9" t="s">
        <v>1753</v>
      </c>
      <c r="LX9">
        <v>2025</v>
      </c>
      <c r="LY9" t="s">
        <v>4032</v>
      </c>
      <c r="LZ9" s="6">
        <v>46048</v>
      </c>
      <c r="MA9">
        <v>5</v>
      </c>
      <c r="MB9">
        <v>21232000</v>
      </c>
      <c r="MC9">
        <v>216867</v>
      </c>
      <c r="MD9" t="s">
        <v>4033</v>
      </c>
      <c r="MG9" t="s">
        <v>3820</v>
      </c>
      <c r="MH9">
        <v>0.28446199999999999</v>
      </c>
      <c r="MI9" t="s">
        <v>1752</v>
      </c>
      <c r="MJ9">
        <v>0.82704999999999995</v>
      </c>
      <c r="MK9" t="s">
        <v>1788</v>
      </c>
      <c r="ML9">
        <v>2025</v>
      </c>
      <c r="MM9" t="s">
        <v>3438</v>
      </c>
      <c r="MN9" s="6">
        <v>46041</v>
      </c>
      <c r="MO9">
        <v>5</v>
      </c>
      <c r="MP9">
        <v>50067588</v>
      </c>
      <c r="MQ9">
        <v>169936</v>
      </c>
      <c r="MR9" t="s">
        <v>3821</v>
      </c>
      <c r="OA9" t="s">
        <v>5312</v>
      </c>
      <c r="OB9" t="s">
        <v>1828</v>
      </c>
      <c r="OC9">
        <v>2.1049389999999999</v>
      </c>
      <c r="OD9">
        <v>0.42377599999999999</v>
      </c>
      <c r="OE9" t="s">
        <v>1825</v>
      </c>
      <c r="OF9">
        <v>2024</v>
      </c>
      <c r="OG9" t="s">
        <v>5313</v>
      </c>
      <c r="OH9" s="6">
        <v>45735</v>
      </c>
      <c r="OI9">
        <v>5</v>
      </c>
      <c r="OJ9">
        <v>7441507</v>
      </c>
      <c r="OK9">
        <v>26548450</v>
      </c>
      <c r="OL9" t="s">
        <v>5314</v>
      </c>
      <c r="QI9" t="s">
        <v>2635</v>
      </c>
      <c r="QJ9" t="s">
        <v>1752</v>
      </c>
      <c r="QK9">
        <v>1.3946E-2</v>
      </c>
      <c r="QL9">
        <v>5.7611000000000002E-2</v>
      </c>
      <c r="QM9" t="s">
        <v>1788</v>
      </c>
      <c r="QN9">
        <v>2025</v>
      </c>
      <c r="QO9" t="s">
        <v>2636</v>
      </c>
      <c r="QP9" s="6">
        <v>45905</v>
      </c>
      <c r="QQ9">
        <v>5</v>
      </c>
      <c r="QR9">
        <v>160043</v>
      </c>
      <c r="QS9">
        <v>104365</v>
      </c>
      <c r="QT9" t="s">
        <v>2637</v>
      </c>
      <c r="QW9" t="s">
        <v>5041</v>
      </c>
      <c r="QX9">
        <v>-2.4245362661989844E-14</v>
      </c>
      <c r="QZ9">
        <v>-2.4245362661989844E-14</v>
      </c>
      <c r="RA9" t="s">
        <v>1753</v>
      </c>
      <c r="RB9">
        <v>2023</v>
      </c>
      <c r="RC9" t="s">
        <v>5036</v>
      </c>
      <c r="RD9" s="6">
        <v>44987</v>
      </c>
      <c r="RE9">
        <v>5</v>
      </c>
      <c r="RF9">
        <v>-2.4245362661989844E-14</v>
      </c>
      <c r="RG9">
        <v>69924675</v>
      </c>
      <c r="RH9" t="s">
        <v>5042</v>
      </c>
      <c r="RM9" t="s">
        <v>4934</v>
      </c>
      <c r="RO9">
        <v>-2.4245362661989844E-14</v>
      </c>
      <c r="RP9">
        <v>-2.4245362661989844E-14</v>
      </c>
      <c r="RQ9" t="s">
        <v>1753</v>
      </c>
      <c r="RR9">
        <v>2022</v>
      </c>
      <c r="RS9" t="s">
        <v>4935</v>
      </c>
      <c r="RT9" s="6">
        <v>44902</v>
      </c>
      <c r="RU9">
        <v>5</v>
      </c>
      <c r="RV9">
        <v>-2.4245362661989844E-14</v>
      </c>
      <c r="RW9">
        <v>108664</v>
      </c>
      <c r="RX9" t="s">
        <v>4936</v>
      </c>
      <c r="SQ9" t="s">
        <v>3107</v>
      </c>
      <c r="SS9">
        <v>-2.4245362661989844E-14</v>
      </c>
      <c r="ST9">
        <v>-2.4245362661989844E-14</v>
      </c>
      <c r="SU9" t="s">
        <v>1753</v>
      </c>
      <c r="SV9">
        <v>2021</v>
      </c>
      <c r="SW9" t="s">
        <v>3108</v>
      </c>
      <c r="SX9" s="6">
        <v>44693</v>
      </c>
      <c r="SY9">
        <v>5</v>
      </c>
      <c r="SZ9">
        <v>-2.4245362661989844E-14</v>
      </c>
      <c r="TA9">
        <v>310116</v>
      </c>
      <c r="TB9" t="s">
        <v>3109</v>
      </c>
      <c r="TE9" t="s">
        <v>4691</v>
      </c>
      <c r="TF9">
        <v>-2.4245362661989844E-14</v>
      </c>
      <c r="TH9">
        <v>-2.4245362661989844E-14</v>
      </c>
      <c r="TI9" t="s">
        <v>1753</v>
      </c>
      <c r="TJ9">
        <v>2021</v>
      </c>
      <c r="TK9" t="s">
        <v>4692</v>
      </c>
      <c r="TL9" s="6">
        <v>44679</v>
      </c>
      <c r="TM9">
        <v>5</v>
      </c>
      <c r="TN9">
        <v>-2.4245362661989844E-14</v>
      </c>
      <c r="TO9">
        <v>40639056</v>
      </c>
      <c r="TP9" t="s">
        <v>4693</v>
      </c>
      <c r="UY9" t="s">
        <v>2135</v>
      </c>
      <c r="VA9">
        <v>-2.4245362661989844E-14</v>
      </c>
      <c r="VB9">
        <v>-2.4245362661989844E-14</v>
      </c>
      <c r="VC9" t="s">
        <v>1768</v>
      </c>
      <c r="VD9">
        <v>2025</v>
      </c>
      <c r="VE9" t="s">
        <v>2136</v>
      </c>
      <c r="VF9" s="6">
        <v>45974</v>
      </c>
      <c r="VG9">
        <v>5</v>
      </c>
      <c r="VH9">
        <v>-2.4245362661989844E-14</v>
      </c>
      <c r="VI9">
        <v>118099</v>
      </c>
      <c r="VJ9" t="s">
        <v>2137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318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319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320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321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322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323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324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325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326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327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328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329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330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331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332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333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334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335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336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80</v>
      </c>
      <c r="AE2" s="3" t="s">
        <v>337</v>
      </c>
      <c r="BI2" s="3" t="s">
        <v>338</v>
      </c>
      <c r="CM2" s="3" t="s">
        <v>86</v>
      </c>
      <c r="DQ2" s="3" t="s">
        <v>339</v>
      </c>
      <c r="EU2" s="3" t="s">
        <v>340</v>
      </c>
      <c r="FY2" s="3" t="s">
        <v>341</v>
      </c>
      <c r="HC2" s="3" t="s">
        <v>342</v>
      </c>
      <c r="IG2" s="3" t="s">
        <v>343</v>
      </c>
      <c r="JK2" s="3" t="s">
        <v>344</v>
      </c>
      <c r="KO2" s="3" t="s">
        <v>345</v>
      </c>
      <c r="LS2" s="3" t="s">
        <v>346</v>
      </c>
      <c r="MW2" s="3" t="s">
        <v>20</v>
      </c>
      <c r="OA2" s="3" t="s">
        <v>347</v>
      </c>
      <c r="PE2" s="3" t="s">
        <v>348</v>
      </c>
      <c r="QI2" s="3" t="s">
        <v>349</v>
      </c>
      <c r="RM2" s="3" t="s">
        <v>350</v>
      </c>
      <c r="SQ2" s="3" t="s">
        <v>83</v>
      </c>
      <c r="TU2" s="3" t="s">
        <v>351</v>
      </c>
      <c r="UY2" s="3" t="s">
        <v>341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_xll.BDS("2326248D US Equity","SUPPLY_CHAIN_SUPPLIERS_ALL_DATA")</f>
        <v>#N/A N/A</v>
      </c>
      <c r="O5" t="str">
        <f>_xll.BDS("2326248D US Equity","SUPPLY_CHAIN_CUSTOMERS_ALL_DATA")</f>
        <v>#N/A N/A</v>
      </c>
      <c r="AE5" t="str">
        <f>_xll.BDS("CFR US Equity","SUPPLY_CHAIN_SUPPLIERS_ALL_DATA","cols=12;rows=4")</f>
        <v>INFO IN Equity</v>
      </c>
      <c r="AF5" t="s">
        <v>1940</v>
      </c>
      <c r="AG5">
        <v>0.140711</v>
      </c>
      <c r="AH5">
        <v>1.91015</v>
      </c>
      <c r="AI5" t="s">
        <v>1825</v>
      </c>
      <c r="AJ5">
        <v>2025</v>
      </c>
      <c r="AK5" t="s">
        <v>3019</v>
      </c>
      <c r="AL5" s="6">
        <v>45810</v>
      </c>
      <c r="AM5">
        <v>4</v>
      </c>
      <c r="AN5">
        <v>6650110.3899999997</v>
      </c>
      <c r="AO5">
        <v>174545</v>
      </c>
      <c r="AP5" t="s">
        <v>3020</v>
      </c>
      <c r="AS5" t="str">
        <f>_xll.BDS("CFR US Equity","SUPPLY_CHAIN_CUSTOMERS_ALL_DATA")</f>
        <v>#N/A N/A</v>
      </c>
      <c r="BI5" t="str">
        <f>_xll.BDS("TPB US Equity","SUPPLY_CHAIN_SUPPLIERS_ALL_DATA","cols=12;rows=5")</f>
        <v>1410917D US Equity</v>
      </c>
      <c r="BK5">
        <v>-2.4245362661989844E-14</v>
      </c>
      <c r="BL5">
        <v>-2.4245362661989844E-14</v>
      </c>
      <c r="BM5" t="s">
        <v>1753</v>
      </c>
      <c r="BN5">
        <v>2025</v>
      </c>
      <c r="BO5" t="s">
        <v>4205</v>
      </c>
      <c r="BP5" s="6">
        <v>45783</v>
      </c>
      <c r="BQ5">
        <v>5</v>
      </c>
      <c r="BR5">
        <v>-2.4245362661989844E-14</v>
      </c>
      <c r="BS5">
        <v>50088511</v>
      </c>
      <c r="BT5" t="s">
        <v>4206</v>
      </c>
      <c r="BW5" t="str">
        <f>_xll.BDS("TPB US Equity","SUPPLY_CHAIN_CUSTOMERS_ALL_DATA","cols=12;rows=3")</f>
        <v>2771531Z SM Equity</v>
      </c>
      <c r="BX5">
        <v>-2.4245362661989844E-14</v>
      </c>
      <c r="BZ5">
        <v>-2.4245362661989844E-14</v>
      </c>
      <c r="CA5" t="s">
        <v>1753</v>
      </c>
      <c r="CB5">
        <v>2021</v>
      </c>
      <c r="CC5" t="s">
        <v>5286</v>
      </c>
      <c r="CD5" s="6">
        <v>44631</v>
      </c>
      <c r="CE5">
        <v>3</v>
      </c>
      <c r="CF5">
        <v>-2.4245362661989844E-14</v>
      </c>
      <c r="CG5">
        <v>14496467</v>
      </c>
      <c r="CH5" t="s">
        <v>4209</v>
      </c>
      <c r="CM5" t="str">
        <f>_xll.BDS("TFC US Equity","SUPPLY_CHAIN_SUPPLIERS_ALL_DATA","cols=12;rows=5")</f>
        <v>ADBE US Equity</v>
      </c>
      <c r="CN5" t="s">
        <v>1940</v>
      </c>
      <c r="CO5">
        <v>9.3438999999999994E-2</v>
      </c>
      <c r="CP5">
        <v>0.18883900000000001</v>
      </c>
      <c r="CQ5" t="s">
        <v>1774</v>
      </c>
      <c r="CR5">
        <v>2025</v>
      </c>
      <c r="CS5" t="s">
        <v>2126</v>
      </c>
      <c r="CT5" s="6">
        <v>45838</v>
      </c>
      <c r="CU5">
        <v>5</v>
      </c>
      <c r="CV5">
        <v>5487672</v>
      </c>
      <c r="CW5">
        <v>101689</v>
      </c>
      <c r="CX5" t="s">
        <v>2127</v>
      </c>
      <c r="DA5" t="str">
        <f>_xll.BDS("TFC US Equity","SUPPLY_CHAIN_CUSTOMERS_ALL_DATA","cols=12;rows=1")</f>
        <v>RENG IN Equity</v>
      </c>
      <c r="DB5">
        <v>-2.4245362661989844E-14</v>
      </c>
      <c r="DD5">
        <v>-2.4245362661989844E-14</v>
      </c>
      <c r="DE5" t="s">
        <v>1753</v>
      </c>
      <c r="DF5">
        <v>2025</v>
      </c>
      <c r="DG5" t="s">
        <v>1756</v>
      </c>
      <c r="DH5" s="6">
        <v>45901</v>
      </c>
      <c r="DI5">
        <v>1</v>
      </c>
      <c r="DJ5">
        <v>-2.4245362661989844E-14</v>
      </c>
      <c r="DK5">
        <v>182734</v>
      </c>
      <c r="DL5" t="s">
        <v>1757</v>
      </c>
      <c r="DQ5" t="str">
        <f>_xll.BDS("MDF US Equity","SUPPLY_CHAIN_SUPPLIERS_ALL_DATA")</f>
        <v>#N/A N/A</v>
      </c>
      <c r="EE5" t="str">
        <f>_xll.BDS("MDF US Equity","SUPPLY_CHAIN_CUSTOMERS_ALL_DATA")</f>
        <v>#N/A N/A</v>
      </c>
      <c r="EU5" t="str">
        <f>_xll.BDS("IBOC US Equity","SUPPLY_CHAIN_SUPPLIERS_ALL_DATA","cols=12;rows=1")</f>
        <v>CSGS US Equity</v>
      </c>
      <c r="EW5">
        <v>-2.4245362661989844E-14</v>
      </c>
      <c r="EX5">
        <v>-2.4245362661989844E-14</v>
      </c>
      <c r="EY5" t="s">
        <v>1825</v>
      </c>
      <c r="EZ5">
        <v>2026</v>
      </c>
      <c r="FA5" t="s">
        <v>3097</v>
      </c>
      <c r="FB5" s="6">
        <v>46078</v>
      </c>
      <c r="FC5">
        <v>1</v>
      </c>
      <c r="FD5">
        <v>-2.4245362661989844E-14</v>
      </c>
      <c r="FE5">
        <v>171490</v>
      </c>
      <c r="FF5" t="s">
        <v>3098</v>
      </c>
      <c r="FI5" t="str">
        <f>_xll.BDS("IBOC US Equity","SUPPLY_CHAIN_CUSTOMERS_ALL_DATA")</f>
        <v>#N/A N/A</v>
      </c>
      <c r="FY5" t="str">
        <f>_xll.BDS("MTB US Equity","SUPPLY_CHAIN_SUPPLIERS_ALL_DATA","cols=12;rows=5")</f>
        <v>ORCL US Equity</v>
      </c>
      <c r="FZ5" t="s">
        <v>1752</v>
      </c>
      <c r="GA5">
        <v>1.9734999999999999E-2</v>
      </c>
      <c r="GB5">
        <v>0.221799</v>
      </c>
      <c r="GC5" t="s">
        <v>1825</v>
      </c>
      <c r="GD5">
        <v>2025</v>
      </c>
      <c r="GE5" t="s">
        <v>1897</v>
      </c>
      <c r="GF5" s="6">
        <v>45848</v>
      </c>
      <c r="GG5">
        <v>5</v>
      </c>
      <c r="GH5">
        <v>3138457</v>
      </c>
      <c r="GI5">
        <v>101752</v>
      </c>
      <c r="GJ5" t="s">
        <v>2109</v>
      </c>
      <c r="GM5" t="str">
        <f>_xll.BDS("MTB US Equity","SUPPLY_CHAIN_CUSTOMERS_ALL_DATA","cols=12;rows=3")</f>
        <v>2610 TT Equity</v>
      </c>
      <c r="GN5">
        <v>-2.4245362661989844E-14</v>
      </c>
      <c r="GP5">
        <v>-2.4245362661989844E-14</v>
      </c>
      <c r="GQ5" t="s">
        <v>1753</v>
      </c>
      <c r="GR5">
        <v>2024</v>
      </c>
      <c r="GS5" t="s">
        <v>3846</v>
      </c>
      <c r="GT5" s="6">
        <v>45786</v>
      </c>
      <c r="GU5">
        <v>3</v>
      </c>
      <c r="GV5">
        <v>-2.4245362661989844E-14</v>
      </c>
      <c r="GW5">
        <v>129514</v>
      </c>
      <c r="GX5" t="s">
        <v>3847</v>
      </c>
      <c r="HC5" t="str">
        <f>_xll.BDS("TRV US Equity","SUPPLY_CHAIN_SUPPLIERS_ALL_DATA","cols=12;rows=5")</f>
        <v>1892140D US Equity</v>
      </c>
      <c r="HE5">
        <v>-2.4245362661989844E-14</v>
      </c>
      <c r="HF5">
        <v>-2.4245362661989844E-14</v>
      </c>
      <c r="HG5" t="s">
        <v>1753</v>
      </c>
      <c r="HH5">
        <v>2025</v>
      </c>
      <c r="HI5" t="s">
        <v>4506</v>
      </c>
      <c r="HJ5" s="6">
        <v>46037</v>
      </c>
      <c r="HK5">
        <v>5</v>
      </c>
      <c r="HL5">
        <v>-2.4245362661989844E-14</v>
      </c>
      <c r="HM5">
        <v>69602734</v>
      </c>
      <c r="HN5" t="s">
        <v>4507</v>
      </c>
      <c r="HQ5" t="str">
        <f>_xll.BDS("TRV US Equity","SUPPLY_CHAIN_CUSTOMERS_ALL_DATA")</f>
        <v>#N/A N/A</v>
      </c>
      <c r="IG5" t="str">
        <f>_xll.BDS("WNC US Equity","SUPPLY_CHAIN_SUPPLIERS_ALL_DATA","cols=12;rows=5")</f>
        <v>DOW US Equity</v>
      </c>
      <c r="IH5" t="s">
        <v>1752</v>
      </c>
      <c r="II5">
        <v>9.9710999999999994E-2</v>
      </c>
      <c r="IJ5">
        <v>2.7820559999999999</v>
      </c>
      <c r="IK5" t="s">
        <v>1781</v>
      </c>
      <c r="IL5">
        <v>2025</v>
      </c>
      <c r="IM5" t="s">
        <v>2073</v>
      </c>
      <c r="IN5" s="6">
        <v>45786</v>
      </c>
      <c r="IO5">
        <v>5</v>
      </c>
      <c r="IP5">
        <v>10400854</v>
      </c>
      <c r="IQ5">
        <v>48365107</v>
      </c>
      <c r="IR5" t="s">
        <v>2074</v>
      </c>
      <c r="IU5" t="str">
        <f>_xll.BDS("WNC US Equity","SUPPLY_CHAIN_CUSTOMERS_ALL_DATA","cols=12;rows=5")</f>
        <v>HTZ US Equity</v>
      </c>
      <c r="IV5">
        <v>0.28826099999999999</v>
      </c>
      <c r="IW5" t="s">
        <v>1828</v>
      </c>
      <c r="IX5">
        <v>4.3067000000000001E-2</v>
      </c>
      <c r="IY5" t="s">
        <v>1774</v>
      </c>
      <c r="IZ5">
        <v>2025</v>
      </c>
      <c r="JA5" t="s">
        <v>3324</v>
      </c>
      <c r="JB5" s="6">
        <v>45890</v>
      </c>
      <c r="JC5">
        <v>5</v>
      </c>
      <c r="JD5">
        <v>1322588</v>
      </c>
      <c r="JE5">
        <v>48467156</v>
      </c>
      <c r="JF5" t="s">
        <v>3325</v>
      </c>
      <c r="JK5" t="str">
        <f>_xll.BDS("ONIT US Equity","SUPPLY_CHAIN_SUPPLIERS_ALL_DATA","cols=12;rows=2")</f>
        <v>MDC US Equity</v>
      </c>
      <c r="JL5" t="s">
        <v>1752</v>
      </c>
      <c r="JM5">
        <v>0.40972700000000001</v>
      </c>
      <c r="JN5">
        <v>3.2498580000000001</v>
      </c>
      <c r="JO5" t="s">
        <v>1753</v>
      </c>
      <c r="JP5">
        <v>2024</v>
      </c>
      <c r="JQ5" t="s">
        <v>5534</v>
      </c>
      <c r="JR5" s="6">
        <v>45699</v>
      </c>
      <c r="JS5">
        <v>2</v>
      </c>
      <c r="JT5">
        <v>5566194.5</v>
      </c>
      <c r="JU5">
        <v>100965</v>
      </c>
      <c r="JV5" t="s">
        <v>5535</v>
      </c>
      <c r="JY5" t="str">
        <f>_xll.BDS("ONIT US Equity","SUPPLY_CHAIN_CUSTOMERS_ALL_DATA","cols=12;rows=1")</f>
        <v>MNTX US Equity</v>
      </c>
      <c r="JZ5">
        <v>-2.4245362661989844E-14</v>
      </c>
      <c r="KB5">
        <v>-2.4245362661989844E-14</v>
      </c>
      <c r="KC5" t="s">
        <v>1753</v>
      </c>
      <c r="KD5">
        <v>2024</v>
      </c>
      <c r="KE5" t="s">
        <v>5671</v>
      </c>
      <c r="KF5" s="6">
        <v>45544</v>
      </c>
      <c r="KG5">
        <v>1</v>
      </c>
      <c r="KH5">
        <v>-2.4245362661989844E-14</v>
      </c>
      <c r="KI5">
        <v>9168340</v>
      </c>
      <c r="KJ5" t="s">
        <v>5672</v>
      </c>
      <c r="KO5" t="str">
        <f>_xll.BDS("CVX US Equity","SUPPLY_CHAIN_SUPPLIERS_ALL_DATA","cols=12;rows=5")</f>
        <v>RIG US Equity</v>
      </c>
      <c r="KP5" t="s">
        <v>1828</v>
      </c>
      <c r="KQ5">
        <v>14.893827999999999</v>
      </c>
      <c r="KR5">
        <v>3.5820059999999998</v>
      </c>
      <c r="KS5" t="s">
        <v>1825</v>
      </c>
      <c r="KT5">
        <v>2025</v>
      </c>
      <c r="KU5" t="s">
        <v>2034</v>
      </c>
      <c r="KV5" s="6">
        <v>46090</v>
      </c>
      <c r="KW5">
        <v>5</v>
      </c>
      <c r="KX5">
        <v>155342624</v>
      </c>
      <c r="KY5">
        <v>119077</v>
      </c>
      <c r="KZ5" t="s">
        <v>4188</v>
      </c>
      <c r="LC5" t="str">
        <f>_xll.BDS("CVX US Equity","SUPPLY_CHAIN_CUSTOMERS_ALL_DATA","cols=12;rows=5")</f>
        <v>UGPA3 BZ Equity</v>
      </c>
      <c r="LD5">
        <v>8.6980000000000002E-2</v>
      </c>
      <c r="LE5" t="s">
        <v>1752</v>
      </c>
      <c r="LF5">
        <v>0.76061900000000005</v>
      </c>
      <c r="LG5" t="s">
        <v>1753</v>
      </c>
      <c r="LH5">
        <v>2024</v>
      </c>
      <c r="LI5" t="s">
        <v>5500</v>
      </c>
      <c r="LJ5" s="6">
        <v>45770</v>
      </c>
      <c r="LK5">
        <v>5</v>
      </c>
      <c r="LL5">
        <v>43856224.539999999</v>
      </c>
      <c r="LM5">
        <v>825248</v>
      </c>
      <c r="LN5" t="s">
        <v>5501</v>
      </c>
      <c r="LS5" t="str">
        <f>_xll.BDS("DKS US Equity","SUPPLY_CHAIN_SUPPLIERS_ALL_DATA","cols=12;rows=5")</f>
        <v>NKE US Equity</v>
      </c>
      <c r="LT5" t="s">
        <v>1752</v>
      </c>
      <c r="LU5">
        <v>5.2345969999999999</v>
      </c>
      <c r="LV5">
        <v>22.013415999999999</v>
      </c>
      <c r="LW5" t="s">
        <v>1774</v>
      </c>
      <c r="LX5">
        <v>2025</v>
      </c>
      <c r="LY5" t="s">
        <v>2440</v>
      </c>
      <c r="LZ5" s="6">
        <v>46020</v>
      </c>
      <c r="MA5">
        <v>5</v>
      </c>
      <c r="MB5">
        <v>613494784</v>
      </c>
      <c r="MC5">
        <v>101073</v>
      </c>
      <c r="MD5" t="s">
        <v>2441</v>
      </c>
      <c r="MG5" t="str">
        <f>_xll.BDS("DKS US Equity","SUPPLY_CHAIN_CUSTOMERS_ALL_DATA","cols=12;rows=4")</f>
        <v>1545896D US Equity</v>
      </c>
      <c r="MH5">
        <v>-2.4245362661989844E-14</v>
      </c>
      <c r="MJ5">
        <v>-2.4245362661989844E-14</v>
      </c>
      <c r="MK5" t="s">
        <v>1753</v>
      </c>
      <c r="ML5">
        <v>2024</v>
      </c>
      <c r="MM5" t="s">
        <v>1803</v>
      </c>
      <c r="MN5" s="6">
        <v>45398</v>
      </c>
      <c r="MO5">
        <v>4</v>
      </c>
      <c r="MP5">
        <v>-2.4245362661989844E-14</v>
      </c>
      <c r="MQ5">
        <v>55456893</v>
      </c>
      <c r="MR5" t="s">
        <v>1804</v>
      </c>
      <c r="MW5" t="str">
        <f>_xll.BDS("STCN US Equity","SUPPLY_CHAIN_SUPPLIERS_ALL_DATA")</f>
        <v>#N/A N/A</v>
      </c>
      <c r="NK5" t="str">
        <f>_xll.BDS("STCN US Equity","SUPPLY_CHAIN_CUSTOMERS_ALL_DATA","cols=12;rows=3")</f>
        <v>992 HK Equity</v>
      </c>
      <c r="NL5">
        <v>-2.4245362661989844E-14</v>
      </c>
      <c r="NN5">
        <v>-2.4245362661989844E-14</v>
      </c>
      <c r="NO5" t="s">
        <v>1753</v>
      </c>
      <c r="NP5">
        <v>2024</v>
      </c>
      <c r="NQ5" t="s">
        <v>5150</v>
      </c>
      <c r="NR5" s="6">
        <v>45504</v>
      </c>
      <c r="NS5">
        <v>3</v>
      </c>
      <c r="NT5">
        <v>-2.4245362661989844E-14</v>
      </c>
      <c r="NU5">
        <v>130929</v>
      </c>
      <c r="NV5" t="s">
        <v>2336</v>
      </c>
      <c r="OA5" t="str">
        <f>_xll.BDS("JPM US Equity","SUPPLY_CHAIN_SUPPLIERS_ALL_DATA","cols=12;rows=5")</f>
        <v>LUV US Equity</v>
      </c>
      <c r="OC5">
        <v>10.404375</v>
      </c>
      <c r="OD5">
        <v>-2.4245362661989844E-14</v>
      </c>
      <c r="OE5" t="s">
        <v>1788</v>
      </c>
      <c r="OF5">
        <v>2025</v>
      </c>
      <c r="OG5" t="s">
        <v>2759</v>
      </c>
      <c r="OH5" s="6">
        <v>45953</v>
      </c>
      <c r="OI5">
        <v>5</v>
      </c>
      <c r="OJ5">
        <v>723000000</v>
      </c>
      <c r="OK5">
        <v>101374</v>
      </c>
      <c r="OL5" t="s">
        <v>2760</v>
      </c>
      <c r="OO5" t="str">
        <f>_xll.BDS("JPM US Equity","SUPPLY_CHAIN_CUSTOMERS_ALL_DATA","cols=12;rows=5")</f>
        <v>000737 CH Equity</v>
      </c>
      <c r="OP5">
        <v>-2.4245362661989844E-14</v>
      </c>
      <c r="OR5">
        <v>-2.4245362661989844E-14</v>
      </c>
      <c r="OS5" t="s">
        <v>1753</v>
      </c>
      <c r="OT5">
        <v>2022</v>
      </c>
      <c r="OU5" t="s">
        <v>4979</v>
      </c>
      <c r="OV5" s="6">
        <v>45027</v>
      </c>
      <c r="OW5">
        <v>5</v>
      </c>
      <c r="OX5">
        <v>-2.4245362661989844E-14</v>
      </c>
      <c r="OY5">
        <v>223099</v>
      </c>
      <c r="OZ5" t="s">
        <v>4980</v>
      </c>
      <c r="PE5" t="str">
        <f>_xll.BDS("PB US Equity","SUPPLY_CHAIN_SUPPLIERS_ALL_DATA")</f>
        <v>#N/A N/A</v>
      </c>
      <c r="PS5" t="str">
        <f>_xll.BDS("PB US Equity","SUPPLY_CHAIN_CUSTOMERS_ALL_DATA")</f>
        <v>#N/A N/A</v>
      </c>
      <c r="QI5" t="str">
        <f>_xll.BDS("NUAN US Equity","SUPPLY_CHAIN_SUPPLIERS_ALL_DATA")</f>
        <v>#N/A N/A</v>
      </c>
      <c r="QW5" t="str">
        <f>_xll.BDS("NUAN US Equity","SUPPLY_CHAIN_CUSTOMERS_ALL_DATA")</f>
        <v>#N/A N/A</v>
      </c>
      <c r="RM5" t="str">
        <f>_xll.BDS("JNY US Equity","SUPPLY_CHAIN_SUPPLIERS_ALL_DATA")</f>
        <v>#N/A N/A</v>
      </c>
      <c r="SA5" t="str">
        <f>_xll.BDS("JNY US Equity","SUPPLY_CHAIN_CUSTOMERS_ALL_DATA","cols=12;rows=1")</f>
        <v>MAPI IJ Equity</v>
      </c>
      <c r="SB5">
        <v>-2.4245362661989844E-14</v>
      </c>
      <c r="SD5">
        <v>-2.4245362661989844E-14</v>
      </c>
      <c r="SE5" t="s">
        <v>1753</v>
      </c>
      <c r="SF5">
        <v>2023</v>
      </c>
      <c r="SG5" t="s">
        <v>1919</v>
      </c>
      <c r="SH5" s="6">
        <v>45412</v>
      </c>
      <c r="SI5">
        <v>1</v>
      </c>
      <c r="SJ5">
        <v>-2.4245362661989844E-14</v>
      </c>
      <c r="SK5">
        <v>9183698</v>
      </c>
      <c r="SL5" t="s">
        <v>1920</v>
      </c>
      <c r="SQ5" t="str">
        <f>_xll.BDS("AZTA US Equity","SUPPLY_CHAIN_SUPPLIERS_ALL_DATA","cols=12;rows=5")</f>
        <v>VACN SW Equity</v>
      </c>
      <c r="SR5" t="s">
        <v>1752</v>
      </c>
      <c r="SS5">
        <v>4.1763000000000002E-2</v>
      </c>
      <c r="ST5">
        <v>0.156337</v>
      </c>
      <c r="SU5" t="s">
        <v>1774</v>
      </c>
      <c r="SV5">
        <v>2025</v>
      </c>
      <c r="SW5" t="s">
        <v>4739</v>
      </c>
      <c r="SX5" s="6">
        <v>45882</v>
      </c>
      <c r="SY5">
        <v>5</v>
      </c>
      <c r="SZ5">
        <v>119027.41</v>
      </c>
      <c r="TA5">
        <v>49328078</v>
      </c>
      <c r="TB5" t="s">
        <v>4446</v>
      </c>
      <c r="TE5" t="str">
        <f>_xll.BDS("AZTA US Equity","SUPPLY_CHAIN_CUSTOMERS_ALL_DATA","cols=12;rows=5")</f>
        <v>SAN FP Equity</v>
      </c>
      <c r="TF5">
        <v>3.287255</v>
      </c>
      <c r="TG5" t="s">
        <v>1752</v>
      </c>
      <c r="TH5">
        <v>0.11867800000000001</v>
      </c>
      <c r="TI5" t="s">
        <v>1788</v>
      </c>
      <c r="TJ5">
        <v>2025</v>
      </c>
      <c r="TK5" t="s">
        <v>4573</v>
      </c>
      <c r="TL5" s="6">
        <v>45980</v>
      </c>
      <c r="TM5">
        <v>5</v>
      </c>
      <c r="TN5">
        <v>4731741</v>
      </c>
      <c r="TO5">
        <v>815561</v>
      </c>
      <c r="TP5" t="s">
        <v>2338</v>
      </c>
      <c r="TU5" t="str">
        <f>_xll.BDS("STL US Equity","SUPPLY_CHAIN_SUPPLIERS_ALL_DATA")</f>
        <v>#N/A N/A</v>
      </c>
      <c r="UI5" t="str">
        <f>_xll.BDS("STL US Equity","SUPPLY_CHAIN_CUSTOMERS_ALL_DATA")</f>
        <v>#N/A N/A</v>
      </c>
      <c r="UY5" t="str">
        <f>_xll.BDS("MTB US Equity","SUPPLY_CHAIN_SUPPLIERS_ALL_DATA","cols=12;rows=5")</f>
        <v>ORCL US Equity</v>
      </c>
      <c r="UZ5" t="s">
        <v>1752</v>
      </c>
      <c r="VA5">
        <v>1.9734999999999999E-2</v>
      </c>
      <c r="VB5">
        <v>0.221799</v>
      </c>
      <c r="VC5" t="s">
        <v>1825</v>
      </c>
      <c r="VD5">
        <v>2025</v>
      </c>
      <c r="VE5" t="s">
        <v>1897</v>
      </c>
      <c r="VF5" s="6">
        <v>45848</v>
      </c>
      <c r="VG5">
        <v>5</v>
      </c>
      <c r="VH5">
        <v>3138457</v>
      </c>
      <c r="VI5">
        <v>101752</v>
      </c>
      <c r="VJ5" t="s">
        <v>2109</v>
      </c>
      <c r="VM5" t="str">
        <f>_xll.BDS("MTB US Equity","SUPPLY_CHAIN_CUSTOMERS_ALL_DATA","cols=12;rows=3")</f>
        <v>2610 TT Equity</v>
      </c>
      <c r="VN5">
        <v>-2.4245362661989844E-14</v>
      </c>
      <c r="VP5">
        <v>-2.4245362661989844E-14</v>
      </c>
      <c r="VQ5" t="s">
        <v>1753</v>
      </c>
      <c r="VR5">
        <v>2024</v>
      </c>
      <c r="VS5" t="s">
        <v>3846</v>
      </c>
      <c r="VT5" s="6">
        <v>45786</v>
      </c>
      <c r="VU5">
        <v>3</v>
      </c>
      <c r="VV5">
        <v>-2.4245362661989844E-14</v>
      </c>
      <c r="VW5">
        <v>129514</v>
      </c>
      <c r="VX5" t="s">
        <v>3847</v>
      </c>
    </row>
    <row r="6" spans="1:600" x14ac:dyDescent="0.25">
      <c r="AE6" t="s">
        <v>3021</v>
      </c>
      <c r="AF6" t="s">
        <v>1940</v>
      </c>
      <c r="AG6">
        <v>1.2710490000000001</v>
      </c>
      <c r="AH6">
        <v>0.15052699999999999</v>
      </c>
      <c r="AI6" t="s">
        <v>1753</v>
      </c>
      <c r="AJ6">
        <v>2024</v>
      </c>
      <c r="AK6" t="s">
        <v>3022</v>
      </c>
      <c r="AL6" s="6">
        <v>45733</v>
      </c>
      <c r="AM6">
        <v>4</v>
      </c>
      <c r="AN6">
        <v>490250</v>
      </c>
      <c r="AO6">
        <v>9012118</v>
      </c>
      <c r="AP6" t="s">
        <v>3023</v>
      </c>
      <c r="BI6" t="s">
        <v>4207</v>
      </c>
      <c r="BK6">
        <v>-2.4245362661989844E-14</v>
      </c>
      <c r="BL6">
        <v>-2.4245362661989844E-14</v>
      </c>
      <c r="BM6" t="s">
        <v>1753</v>
      </c>
      <c r="BN6">
        <v>2023</v>
      </c>
      <c r="BO6" t="s">
        <v>4208</v>
      </c>
      <c r="BP6" s="6">
        <v>45351</v>
      </c>
      <c r="BQ6">
        <v>5</v>
      </c>
      <c r="BR6">
        <v>-2.4245362661989844E-14</v>
      </c>
      <c r="BS6">
        <v>14496467</v>
      </c>
      <c r="BT6" t="s">
        <v>4209</v>
      </c>
      <c r="BW6" t="s">
        <v>1079</v>
      </c>
      <c r="BX6">
        <v>-2.4245362661989844E-14</v>
      </c>
      <c r="BZ6">
        <v>-2.4245362661989844E-14</v>
      </c>
      <c r="CA6" t="s">
        <v>1753</v>
      </c>
      <c r="CB6">
        <v>2024</v>
      </c>
      <c r="CC6" t="s">
        <v>5287</v>
      </c>
      <c r="CD6" s="6">
        <v>45722</v>
      </c>
      <c r="CE6">
        <v>3</v>
      </c>
      <c r="CF6">
        <v>-2.4245362661989844E-14</v>
      </c>
      <c r="CG6">
        <v>216952</v>
      </c>
      <c r="CH6" t="s">
        <v>1899</v>
      </c>
      <c r="CM6" t="s">
        <v>2128</v>
      </c>
      <c r="CN6" t="s">
        <v>1940</v>
      </c>
      <c r="CO6">
        <v>1.151538</v>
      </c>
      <c r="CP6">
        <v>7.7191999999999997E-2</v>
      </c>
      <c r="CQ6" t="s">
        <v>1753</v>
      </c>
      <c r="CR6">
        <v>2024</v>
      </c>
      <c r="CS6" t="s">
        <v>2129</v>
      </c>
      <c r="CT6" s="6">
        <v>45716</v>
      </c>
      <c r="CU6">
        <v>5</v>
      </c>
      <c r="CV6">
        <v>2317499</v>
      </c>
      <c r="CW6">
        <v>35300053</v>
      </c>
      <c r="CX6" t="s">
        <v>2130</v>
      </c>
      <c r="FY6" t="s">
        <v>4053</v>
      </c>
      <c r="GA6">
        <v>-2.4245362661989844E-14</v>
      </c>
      <c r="GB6">
        <v>-2.4245362661989844E-14</v>
      </c>
      <c r="GC6" t="s">
        <v>1753</v>
      </c>
      <c r="GD6">
        <v>2024</v>
      </c>
      <c r="GE6" t="s">
        <v>4054</v>
      </c>
      <c r="GF6" s="6">
        <v>45716</v>
      </c>
      <c r="GG6">
        <v>5</v>
      </c>
      <c r="GH6">
        <v>-2.4245362661989844E-14</v>
      </c>
      <c r="GI6">
        <v>119752</v>
      </c>
      <c r="GJ6" t="s">
        <v>4055</v>
      </c>
      <c r="GM6" t="s">
        <v>3848</v>
      </c>
      <c r="GN6">
        <v>-2.4245362661989844E-14</v>
      </c>
      <c r="GP6">
        <v>-2.4245362661989844E-14</v>
      </c>
      <c r="GQ6" t="s">
        <v>1753</v>
      </c>
      <c r="GR6">
        <v>2024</v>
      </c>
      <c r="GS6" t="s">
        <v>3849</v>
      </c>
      <c r="GT6" s="6">
        <v>45779</v>
      </c>
      <c r="GU6">
        <v>3</v>
      </c>
      <c r="GV6">
        <v>-2.4245362661989844E-14</v>
      </c>
      <c r="GW6">
        <v>918740</v>
      </c>
      <c r="GX6" t="s">
        <v>3850</v>
      </c>
      <c r="HC6" t="s">
        <v>4450</v>
      </c>
      <c r="HE6">
        <v>-2.4245362661989844E-14</v>
      </c>
      <c r="HF6">
        <v>-2.4245362661989844E-14</v>
      </c>
      <c r="HG6" t="s">
        <v>1781</v>
      </c>
      <c r="HH6">
        <v>2024</v>
      </c>
      <c r="HI6" t="s">
        <v>4508</v>
      </c>
      <c r="HJ6" s="6">
        <v>45421</v>
      </c>
      <c r="HK6">
        <v>5</v>
      </c>
      <c r="HL6">
        <v>-2.4245362661989844E-14</v>
      </c>
      <c r="HM6">
        <v>65608618</v>
      </c>
      <c r="HN6" t="s">
        <v>4452</v>
      </c>
      <c r="IG6" t="s">
        <v>3510</v>
      </c>
      <c r="IH6" t="s">
        <v>1752</v>
      </c>
      <c r="II6">
        <v>2.6619E-2</v>
      </c>
      <c r="IJ6">
        <v>0.551172</v>
      </c>
      <c r="IK6" t="s">
        <v>1774</v>
      </c>
      <c r="IL6">
        <v>2025</v>
      </c>
      <c r="IM6" t="s">
        <v>3511</v>
      </c>
      <c r="IN6" s="6">
        <v>45880</v>
      </c>
      <c r="IO6">
        <v>5</v>
      </c>
      <c r="IP6">
        <v>2300680</v>
      </c>
      <c r="IQ6">
        <v>100419</v>
      </c>
      <c r="IR6" t="s">
        <v>3512</v>
      </c>
      <c r="IU6" t="s">
        <v>5836</v>
      </c>
      <c r="IV6">
        <v>-2.4245362661989844E-14</v>
      </c>
      <c r="IX6">
        <v>-2.4245362661989844E-14</v>
      </c>
      <c r="IY6" t="s">
        <v>1753</v>
      </c>
      <c r="IZ6">
        <v>2025</v>
      </c>
      <c r="JA6" t="s">
        <v>5837</v>
      </c>
      <c r="JB6" s="6">
        <v>46071</v>
      </c>
      <c r="JC6">
        <v>5</v>
      </c>
      <c r="JD6">
        <v>-2.4245362661989844E-14</v>
      </c>
      <c r="JE6">
        <v>26639404</v>
      </c>
      <c r="JF6" t="s">
        <v>5838</v>
      </c>
      <c r="JK6" t="s">
        <v>5536</v>
      </c>
      <c r="JM6">
        <v>-2.4245362661989844E-14</v>
      </c>
      <c r="JN6">
        <v>-2.4245362661989844E-14</v>
      </c>
      <c r="JO6" t="s">
        <v>1753</v>
      </c>
      <c r="JP6">
        <v>2025</v>
      </c>
      <c r="JQ6" t="s">
        <v>5537</v>
      </c>
      <c r="JR6" s="6">
        <v>45842</v>
      </c>
      <c r="JS6">
        <v>2</v>
      </c>
      <c r="JT6">
        <v>-2.4245362661989844E-14</v>
      </c>
      <c r="JU6">
        <v>65708544</v>
      </c>
      <c r="JV6" t="s">
        <v>5538</v>
      </c>
      <c r="KO6" t="s">
        <v>4115</v>
      </c>
      <c r="KP6" t="s">
        <v>1828</v>
      </c>
      <c r="KQ6">
        <v>3.5035419999999999</v>
      </c>
      <c r="KR6">
        <v>2.537461</v>
      </c>
      <c r="KS6" t="s">
        <v>1788</v>
      </c>
      <c r="KT6">
        <v>2025</v>
      </c>
      <c r="KU6" t="s">
        <v>4116</v>
      </c>
      <c r="KV6" s="6">
        <v>45971</v>
      </c>
      <c r="KW6">
        <v>5</v>
      </c>
      <c r="KX6">
        <v>104340384</v>
      </c>
      <c r="KY6">
        <v>7912227</v>
      </c>
      <c r="KZ6" t="s">
        <v>4117</v>
      </c>
      <c r="LC6" t="s">
        <v>5502</v>
      </c>
      <c r="LD6">
        <v>1.7881000000000001E-2</v>
      </c>
      <c r="LE6" t="s">
        <v>1752</v>
      </c>
      <c r="LF6">
        <v>0.27887899999999999</v>
      </c>
      <c r="LG6" t="s">
        <v>1774</v>
      </c>
      <c r="LH6">
        <v>2025</v>
      </c>
      <c r="LI6" t="s">
        <v>5503</v>
      </c>
      <c r="LJ6" s="6">
        <v>45882</v>
      </c>
      <c r="LK6">
        <v>5</v>
      </c>
      <c r="LL6">
        <v>8645070.5399999991</v>
      </c>
      <c r="LM6">
        <v>115777</v>
      </c>
      <c r="LN6" t="s">
        <v>5504</v>
      </c>
      <c r="LS6" t="s">
        <v>2442</v>
      </c>
      <c r="LT6" t="s">
        <v>1752</v>
      </c>
      <c r="LU6">
        <v>9.0064019999999996</v>
      </c>
      <c r="LV6">
        <v>26.710256999999999</v>
      </c>
      <c r="LW6" t="s">
        <v>1774</v>
      </c>
      <c r="LX6">
        <v>2025</v>
      </c>
      <c r="LY6" t="s">
        <v>2443</v>
      </c>
      <c r="LZ6" s="6">
        <v>45939</v>
      </c>
      <c r="MA6">
        <v>5</v>
      </c>
      <c r="MB6">
        <v>604328326.45000005</v>
      </c>
      <c r="MC6">
        <v>180001</v>
      </c>
      <c r="MD6" t="s">
        <v>2444</v>
      </c>
      <c r="MG6" t="s">
        <v>1805</v>
      </c>
      <c r="MH6">
        <v>-2.4245362661989844E-14</v>
      </c>
      <c r="MJ6">
        <v>-2.4245362661989844E-14</v>
      </c>
      <c r="MK6" t="s">
        <v>1781</v>
      </c>
      <c r="ML6">
        <v>2025</v>
      </c>
      <c r="MM6" t="s">
        <v>1806</v>
      </c>
      <c r="MN6" s="6">
        <v>45778</v>
      </c>
      <c r="MO6">
        <v>4</v>
      </c>
      <c r="MP6">
        <v>-2.4245362661989844E-14</v>
      </c>
      <c r="MQ6">
        <v>41633687</v>
      </c>
      <c r="MR6" t="s">
        <v>1807</v>
      </c>
      <c r="NK6" t="s">
        <v>4138</v>
      </c>
      <c r="NL6">
        <v>-2.4245362661989844E-14</v>
      </c>
      <c r="NN6">
        <v>-2.4245362661989844E-14</v>
      </c>
      <c r="NO6" t="s">
        <v>1774</v>
      </c>
      <c r="NP6">
        <v>2024</v>
      </c>
      <c r="NQ6" t="s">
        <v>4139</v>
      </c>
      <c r="NR6" s="6">
        <v>45496</v>
      </c>
      <c r="NS6">
        <v>3</v>
      </c>
      <c r="NT6">
        <v>-2.4245362661989844E-14</v>
      </c>
      <c r="NU6">
        <v>8339663</v>
      </c>
      <c r="NV6" t="s">
        <v>4140</v>
      </c>
      <c r="OA6" t="s">
        <v>921</v>
      </c>
      <c r="OB6" t="s">
        <v>1752</v>
      </c>
      <c r="OC6">
        <v>11</v>
      </c>
      <c r="OD6">
        <v>2.6129229999999999</v>
      </c>
      <c r="OE6" t="s">
        <v>1753</v>
      </c>
      <c r="OF6">
        <v>2025</v>
      </c>
      <c r="OG6" t="s">
        <v>3146</v>
      </c>
      <c r="OH6" s="6">
        <v>46072</v>
      </c>
      <c r="OI6">
        <v>5</v>
      </c>
      <c r="OJ6">
        <v>624750000</v>
      </c>
      <c r="OK6">
        <v>101068</v>
      </c>
      <c r="OL6" t="s">
        <v>3147</v>
      </c>
      <c r="OO6" t="s">
        <v>4981</v>
      </c>
      <c r="OP6">
        <v>-2.4245362661989844E-14</v>
      </c>
      <c r="OR6">
        <v>-2.4245362661989844E-14</v>
      </c>
      <c r="OS6" t="s">
        <v>1753</v>
      </c>
      <c r="OT6">
        <v>2026</v>
      </c>
      <c r="OU6" t="s">
        <v>4982</v>
      </c>
      <c r="OV6" s="6">
        <v>46076</v>
      </c>
      <c r="OW6">
        <v>5</v>
      </c>
      <c r="OX6">
        <v>-2.4245362661989844E-14</v>
      </c>
      <c r="OY6">
        <v>70451011</v>
      </c>
      <c r="OZ6" t="s">
        <v>4983</v>
      </c>
      <c r="SQ6" t="s">
        <v>4740</v>
      </c>
      <c r="SR6" t="s">
        <v>1752</v>
      </c>
      <c r="SS6">
        <v>3.2139999999999998E-3</v>
      </c>
      <c r="ST6">
        <v>1.8580000000000001E-3</v>
      </c>
      <c r="SU6" t="s">
        <v>1825</v>
      </c>
      <c r="SV6">
        <v>2024</v>
      </c>
      <c r="SW6" t="s">
        <v>4741</v>
      </c>
      <c r="SX6" s="6">
        <v>45786</v>
      </c>
      <c r="SY6">
        <v>5</v>
      </c>
      <c r="SZ6">
        <v>1464.77</v>
      </c>
      <c r="TA6">
        <v>17202339</v>
      </c>
      <c r="TB6" t="s">
        <v>4742</v>
      </c>
      <c r="TE6" t="s">
        <v>4574</v>
      </c>
      <c r="TF6">
        <v>2.6590280000000002</v>
      </c>
      <c r="TG6" t="s">
        <v>1752</v>
      </c>
      <c r="TH6">
        <v>0.12570500000000001</v>
      </c>
      <c r="TI6" t="s">
        <v>1788</v>
      </c>
      <c r="TJ6">
        <v>2025</v>
      </c>
      <c r="TK6" t="s">
        <v>4573</v>
      </c>
      <c r="TL6" s="6">
        <v>45980</v>
      </c>
      <c r="TM6">
        <v>5</v>
      </c>
      <c r="TN6">
        <v>3827458</v>
      </c>
      <c r="TO6">
        <v>1456450</v>
      </c>
      <c r="TP6" t="s">
        <v>4575</v>
      </c>
      <c r="UY6" t="s">
        <v>4053</v>
      </c>
      <c r="VA6">
        <v>-2.4245362661989844E-14</v>
      </c>
      <c r="VB6">
        <v>-2.4245362661989844E-14</v>
      </c>
      <c r="VC6" t="s">
        <v>1753</v>
      </c>
      <c r="VD6">
        <v>2024</v>
      </c>
      <c r="VE6" t="s">
        <v>4054</v>
      </c>
      <c r="VF6" s="6">
        <v>45716</v>
      </c>
      <c r="VG6">
        <v>5</v>
      </c>
      <c r="VH6">
        <v>-2.4245362661989844E-14</v>
      </c>
      <c r="VI6">
        <v>119752</v>
      </c>
      <c r="VJ6" t="s">
        <v>4055</v>
      </c>
      <c r="VM6" t="s">
        <v>3848</v>
      </c>
      <c r="VN6">
        <v>-2.4245362661989844E-14</v>
      </c>
      <c r="VP6">
        <v>-2.4245362661989844E-14</v>
      </c>
      <c r="VQ6" t="s">
        <v>1753</v>
      </c>
      <c r="VR6">
        <v>2024</v>
      </c>
      <c r="VS6" t="s">
        <v>3849</v>
      </c>
      <c r="VT6" s="6">
        <v>45779</v>
      </c>
      <c r="VU6">
        <v>3</v>
      </c>
      <c r="VV6">
        <v>-2.4245362661989844E-14</v>
      </c>
      <c r="VW6">
        <v>918740</v>
      </c>
      <c r="VX6" t="s">
        <v>3850</v>
      </c>
    </row>
    <row r="7" spans="1:600" x14ac:dyDescent="0.25">
      <c r="AE7" t="s">
        <v>2132</v>
      </c>
      <c r="AG7">
        <v>-2.4245362661989844E-14</v>
      </c>
      <c r="AH7">
        <v>-2.4245362661989844E-14</v>
      </c>
      <c r="AI7" t="s">
        <v>1753</v>
      </c>
      <c r="AJ7">
        <v>2022</v>
      </c>
      <c r="AK7" t="s">
        <v>3024</v>
      </c>
      <c r="AL7" s="6">
        <v>44971</v>
      </c>
      <c r="AM7">
        <v>4</v>
      </c>
      <c r="AN7">
        <v>-2.4245362661989844E-14</v>
      </c>
      <c r="AO7">
        <v>10086577</v>
      </c>
      <c r="AP7" t="s">
        <v>2134</v>
      </c>
      <c r="BI7" t="s">
        <v>1079</v>
      </c>
      <c r="BK7">
        <v>-2.4245362661989844E-14</v>
      </c>
      <c r="BL7">
        <v>-2.4245362661989844E-14</v>
      </c>
      <c r="BM7" t="s">
        <v>1781</v>
      </c>
      <c r="BN7">
        <v>2023</v>
      </c>
      <c r="BO7" t="s">
        <v>4210</v>
      </c>
      <c r="BP7" s="6">
        <v>45110</v>
      </c>
      <c r="BQ7">
        <v>5</v>
      </c>
      <c r="BR7">
        <v>-2.4245362661989844E-14</v>
      </c>
      <c r="BS7">
        <v>216952</v>
      </c>
      <c r="BT7" t="s">
        <v>1899</v>
      </c>
      <c r="BW7" t="s">
        <v>5288</v>
      </c>
      <c r="BX7">
        <v>-2.4245362661989844E-14</v>
      </c>
      <c r="BZ7">
        <v>-2.4245362661989844E-14</v>
      </c>
      <c r="CA7" t="s">
        <v>1753</v>
      </c>
      <c r="CB7">
        <v>2022</v>
      </c>
      <c r="CC7" t="s">
        <v>4212</v>
      </c>
      <c r="CD7" s="6">
        <v>45000</v>
      </c>
      <c r="CE7">
        <v>3</v>
      </c>
      <c r="CF7">
        <v>-2.4245362661989844E-14</v>
      </c>
      <c r="CG7">
        <v>967323</v>
      </c>
      <c r="CH7" t="s">
        <v>5289</v>
      </c>
      <c r="CM7" t="s">
        <v>1787</v>
      </c>
      <c r="CN7" t="s">
        <v>1940</v>
      </c>
      <c r="CO7">
        <v>0.492811</v>
      </c>
      <c r="CP7">
        <v>2.9784000000000001E-2</v>
      </c>
      <c r="CQ7" t="s">
        <v>1781</v>
      </c>
      <c r="CR7">
        <v>2026</v>
      </c>
      <c r="CS7" t="s">
        <v>2131</v>
      </c>
      <c r="CT7" s="6">
        <v>45898</v>
      </c>
      <c r="CU7">
        <v>5</v>
      </c>
      <c r="CV7">
        <v>889383.69</v>
      </c>
      <c r="CW7">
        <v>178651</v>
      </c>
      <c r="CX7" t="s">
        <v>1790</v>
      </c>
      <c r="FY7" t="s">
        <v>2942</v>
      </c>
      <c r="GA7">
        <v>-2.4245362661989844E-14</v>
      </c>
      <c r="GB7">
        <v>-2.4245362661989844E-14</v>
      </c>
      <c r="GC7" t="s">
        <v>1781</v>
      </c>
      <c r="GD7">
        <v>2025</v>
      </c>
      <c r="GE7" t="s">
        <v>4056</v>
      </c>
      <c r="GF7" s="6">
        <v>45845</v>
      </c>
      <c r="GG7">
        <v>5</v>
      </c>
      <c r="GH7">
        <v>-2.4245362661989844E-14</v>
      </c>
      <c r="GI7">
        <v>115265</v>
      </c>
      <c r="GJ7" t="s">
        <v>2943</v>
      </c>
      <c r="GM7" t="s">
        <v>3851</v>
      </c>
      <c r="GN7">
        <v>-2.4245362661989844E-14</v>
      </c>
      <c r="GP7">
        <v>-2.4245362661989844E-14</v>
      </c>
      <c r="GQ7" t="s">
        <v>1753</v>
      </c>
      <c r="GR7">
        <v>2025</v>
      </c>
      <c r="GS7" t="s">
        <v>3852</v>
      </c>
      <c r="GT7" s="6">
        <v>46056</v>
      </c>
      <c r="GU7">
        <v>3</v>
      </c>
      <c r="GV7">
        <v>-2.4245362661989844E-14</v>
      </c>
      <c r="GW7">
        <v>163441</v>
      </c>
      <c r="GX7" t="s">
        <v>3853</v>
      </c>
      <c r="HC7" t="s">
        <v>3123</v>
      </c>
      <c r="HE7">
        <v>-2.4245362661989844E-14</v>
      </c>
      <c r="HF7">
        <v>-2.4245362661989844E-14</v>
      </c>
      <c r="HG7" t="s">
        <v>1825</v>
      </c>
      <c r="HH7">
        <v>2022</v>
      </c>
      <c r="HI7" t="s">
        <v>4509</v>
      </c>
      <c r="HJ7" s="6">
        <v>45011</v>
      </c>
      <c r="HK7">
        <v>5</v>
      </c>
      <c r="HL7">
        <v>-2.4245362661989844E-14</v>
      </c>
      <c r="HM7">
        <v>14520400</v>
      </c>
      <c r="HN7" t="s">
        <v>3125</v>
      </c>
      <c r="IG7" t="s">
        <v>2894</v>
      </c>
      <c r="IH7" t="s">
        <v>1752</v>
      </c>
      <c r="II7">
        <v>7.0999000000000007E-2</v>
      </c>
      <c r="IJ7">
        <v>0.35770299999999999</v>
      </c>
      <c r="IK7" t="s">
        <v>1774</v>
      </c>
      <c r="IL7">
        <v>2025</v>
      </c>
      <c r="IM7" t="s">
        <v>2895</v>
      </c>
      <c r="IN7" s="6">
        <v>45950</v>
      </c>
      <c r="IO7">
        <v>5</v>
      </c>
      <c r="IP7">
        <v>1493109</v>
      </c>
      <c r="IQ7">
        <v>30243935</v>
      </c>
      <c r="IR7" t="s">
        <v>2896</v>
      </c>
      <c r="IU7" t="s">
        <v>5839</v>
      </c>
      <c r="IV7">
        <v>-2.4245362661989844E-14</v>
      </c>
      <c r="IX7">
        <v>-2.4245362661989844E-14</v>
      </c>
      <c r="IY7" t="s">
        <v>1753</v>
      </c>
      <c r="IZ7">
        <v>2023</v>
      </c>
      <c r="JA7" t="s">
        <v>5840</v>
      </c>
      <c r="JB7" s="6">
        <v>45345</v>
      </c>
      <c r="JC7">
        <v>5</v>
      </c>
      <c r="JD7">
        <v>-2.4245362661989844E-14</v>
      </c>
      <c r="JE7">
        <v>19518019</v>
      </c>
      <c r="JF7" t="s">
        <v>5841</v>
      </c>
      <c r="KO7" t="s">
        <v>4189</v>
      </c>
      <c r="KP7" t="s">
        <v>1752</v>
      </c>
      <c r="KQ7">
        <v>13</v>
      </c>
      <c r="KR7">
        <v>0.25396000000000002</v>
      </c>
      <c r="KS7" t="s">
        <v>1753</v>
      </c>
      <c r="KT7">
        <v>2024</v>
      </c>
      <c r="KU7" t="s">
        <v>4190</v>
      </c>
      <c r="KV7" s="6">
        <v>45715</v>
      </c>
      <c r="KW7">
        <v>5</v>
      </c>
      <c r="KX7">
        <v>98048960</v>
      </c>
      <c r="KY7">
        <v>101024</v>
      </c>
      <c r="KZ7" t="s">
        <v>4191</v>
      </c>
      <c r="LC7" t="s">
        <v>5505</v>
      </c>
      <c r="LD7">
        <v>1.465E-2</v>
      </c>
      <c r="LE7" t="s">
        <v>1752</v>
      </c>
      <c r="LF7">
        <v>56.435763999999999</v>
      </c>
      <c r="LG7" t="s">
        <v>1753</v>
      </c>
      <c r="LH7">
        <v>2024</v>
      </c>
      <c r="LI7" t="s">
        <v>5506</v>
      </c>
      <c r="LJ7" s="6">
        <v>45782</v>
      </c>
      <c r="LK7">
        <v>5</v>
      </c>
      <c r="LL7">
        <v>6975801.29</v>
      </c>
      <c r="LM7">
        <v>193841</v>
      </c>
      <c r="LN7" t="s">
        <v>5507</v>
      </c>
      <c r="LS7" t="s">
        <v>2445</v>
      </c>
      <c r="LT7" t="s">
        <v>1752</v>
      </c>
      <c r="LU7">
        <v>3.3420920000000001</v>
      </c>
      <c r="LV7">
        <v>3.086319</v>
      </c>
      <c r="LW7" t="s">
        <v>1788</v>
      </c>
      <c r="LX7">
        <v>2025</v>
      </c>
      <c r="LY7" t="s">
        <v>2446</v>
      </c>
      <c r="LZ7" s="6">
        <v>46071</v>
      </c>
      <c r="MA7">
        <v>5</v>
      </c>
      <c r="MB7">
        <v>86097820.459999993</v>
      </c>
      <c r="MC7">
        <v>118392</v>
      </c>
      <c r="MD7" t="s">
        <v>2447</v>
      </c>
      <c r="MG7" t="s">
        <v>1808</v>
      </c>
      <c r="MH7">
        <v>-2.4245362661989844E-14</v>
      </c>
      <c r="MJ7">
        <v>-2.4245362661989844E-14</v>
      </c>
      <c r="MK7" t="s">
        <v>1774</v>
      </c>
      <c r="ML7">
        <v>2026</v>
      </c>
      <c r="MM7" t="s">
        <v>1809</v>
      </c>
      <c r="MN7" s="6">
        <v>45946</v>
      </c>
      <c r="MO7">
        <v>4</v>
      </c>
      <c r="MP7">
        <v>-2.4245362661989844E-14</v>
      </c>
      <c r="MQ7">
        <v>23852826</v>
      </c>
      <c r="MR7" t="s">
        <v>1810</v>
      </c>
      <c r="NK7" t="s">
        <v>2808</v>
      </c>
      <c r="NL7">
        <v>-2.4245362661989844E-14</v>
      </c>
      <c r="NN7">
        <v>-2.4245362661989844E-14</v>
      </c>
      <c r="NO7" t="s">
        <v>1753</v>
      </c>
      <c r="NP7">
        <v>2024</v>
      </c>
      <c r="NQ7" t="s">
        <v>5151</v>
      </c>
      <c r="NR7" s="6">
        <v>45331</v>
      </c>
      <c r="NS7">
        <v>3</v>
      </c>
      <c r="NT7">
        <v>-2.4245362661989844E-14</v>
      </c>
      <c r="NU7">
        <v>101729</v>
      </c>
      <c r="NV7" t="s">
        <v>2810</v>
      </c>
      <c r="OA7" t="s">
        <v>3148</v>
      </c>
      <c r="OB7" t="s">
        <v>1752</v>
      </c>
      <c r="OC7">
        <v>20</v>
      </c>
      <c r="OD7">
        <v>1.2621329999999999</v>
      </c>
      <c r="OE7" t="s">
        <v>1753</v>
      </c>
      <c r="OF7">
        <v>2024</v>
      </c>
      <c r="OG7" t="s">
        <v>3149</v>
      </c>
      <c r="OH7" s="6">
        <v>45742</v>
      </c>
      <c r="OI7">
        <v>5</v>
      </c>
      <c r="OJ7">
        <v>289649984</v>
      </c>
      <c r="OK7">
        <v>71080909</v>
      </c>
      <c r="OL7" t="s">
        <v>3150</v>
      </c>
      <c r="OO7" t="s">
        <v>4984</v>
      </c>
      <c r="OP7">
        <v>-2.4245362661989844E-14</v>
      </c>
      <c r="OR7">
        <v>-2.4245362661989844E-14</v>
      </c>
      <c r="OS7" t="s">
        <v>1753</v>
      </c>
      <c r="OT7">
        <v>2023</v>
      </c>
      <c r="OU7" t="s">
        <v>4985</v>
      </c>
      <c r="OV7" s="6">
        <v>45196</v>
      </c>
      <c r="OW7">
        <v>5</v>
      </c>
      <c r="OX7">
        <v>-2.4245362661989844E-14</v>
      </c>
      <c r="OY7">
        <v>7362545</v>
      </c>
      <c r="OZ7" t="s">
        <v>4986</v>
      </c>
      <c r="SQ7" t="s">
        <v>4743</v>
      </c>
      <c r="SS7">
        <v>-2.4245362661989844E-14</v>
      </c>
      <c r="ST7">
        <v>-2.4245362661989844E-14</v>
      </c>
      <c r="SU7" t="s">
        <v>1753</v>
      </c>
      <c r="SV7">
        <v>2024</v>
      </c>
      <c r="SW7" t="s">
        <v>4744</v>
      </c>
      <c r="SX7" s="6">
        <v>45769</v>
      </c>
      <c r="SY7">
        <v>5</v>
      </c>
      <c r="SZ7">
        <v>-2.4245362661989844E-14</v>
      </c>
      <c r="TA7">
        <v>40367348</v>
      </c>
      <c r="TB7" t="s">
        <v>4745</v>
      </c>
      <c r="TE7" t="s">
        <v>2574</v>
      </c>
      <c r="TF7">
        <v>2.2756240000000001</v>
      </c>
      <c r="TG7" t="s">
        <v>1752</v>
      </c>
      <c r="TH7">
        <v>0.11694300000000001</v>
      </c>
      <c r="TI7" t="s">
        <v>1788</v>
      </c>
      <c r="TJ7">
        <v>2025</v>
      </c>
      <c r="TK7" t="s">
        <v>4573</v>
      </c>
      <c r="TL7" s="6">
        <v>45980</v>
      </c>
      <c r="TM7">
        <v>5</v>
      </c>
      <c r="TN7">
        <v>3275579</v>
      </c>
      <c r="TO7">
        <v>111093</v>
      </c>
      <c r="TP7" t="s">
        <v>2576</v>
      </c>
      <c r="UY7" t="s">
        <v>2942</v>
      </c>
      <c r="VA7">
        <v>-2.4245362661989844E-14</v>
      </c>
      <c r="VB7">
        <v>-2.4245362661989844E-14</v>
      </c>
      <c r="VC7" t="s">
        <v>1781</v>
      </c>
      <c r="VD7">
        <v>2025</v>
      </c>
      <c r="VE7" t="s">
        <v>4056</v>
      </c>
      <c r="VF7" s="6">
        <v>45845</v>
      </c>
      <c r="VG7">
        <v>5</v>
      </c>
      <c r="VH7">
        <v>-2.4245362661989844E-14</v>
      </c>
      <c r="VI7">
        <v>115265</v>
      </c>
      <c r="VJ7" t="s">
        <v>2943</v>
      </c>
      <c r="VM7" t="s">
        <v>3851</v>
      </c>
      <c r="VN7">
        <v>-2.4245362661989844E-14</v>
      </c>
      <c r="VP7">
        <v>-2.4245362661989844E-14</v>
      </c>
      <c r="VQ7" t="s">
        <v>1753</v>
      </c>
      <c r="VR7">
        <v>2025</v>
      </c>
      <c r="VS7" t="s">
        <v>3852</v>
      </c>
      <c r="VT7" s="6">
        <v>46056</v>
      </c>
      <c r="VU7">
        <v>3</v>
      </c>
      <c r="VV7">
        <v>-2.4245362661989844E-14</v>
      </c>
      <c r="VW7">
        <v>163441</v>
      </c>
      <c r="VX7" t="s">
        <v>3853</v>
      </c>
    </row>
    <row r="8" spans="1:600" x14ac:dyDescent="0.25">
      <c r="AE8" t="s">
        <v>3025</v>
      </c>
      <c r="AG8">
        <v>-2.4245362661989844E-14</v>
      </c>
      <c r="AH8">
        <v>-2.4245362661989844E-14</v>
      </c>
      <c r="AI8" t="s">
        <v>1774</v>
      </c>
      <c r="AJ8">
        <v>2026</v>
      </c>
      <c r="AK8" t="s">
        <v>3026</v>
      </c>
      <c r="AL8" s="6">
        <v>46058</v>
      </c>
      <c r="AM8">
        <v>4</v>
      </c>
      <c r="AN8">
        <v>-2.4245362661989844E-14</v>
      </c>
      <c r="AO8">
        <v>171398</v>
      </c>
      <c r="AP8" t="s">
        <v>3027</v>
      </c>
      <c r="BI8" t="s">
        <v>4211</v>
      </c>
      <c r="BK8">
        <v>-2.4245362661989844E-14</v>
      </c>
      <c r="BL8">
        <v>-2.4245362661989844E-14</v>
      </c>
      <c r="BM8" t="s">
        <v>1753</v>
      </c>
      <c r="BN8">
        <v>2022</v>
      </c>
      <c r="BO8" t="s">
        <v>4212</v>
      </c>
      <c r="BP8" s="6">
        <v>45000</v>
      </c>
      <c r="BQ8">
        <v>5</v>
      </c>
      <c r="BR8">
        <v>-2.4245362661989844E-14</v>
      </c>
      <c r="BS8">
        <v>135710</v>
      </c>
      <c r="BT8" t="s">
        <v>4213</v>
      </c>
      <c r="CM8" t="s">
        <v>2132</v>
      </c>
      <c r="CO8">
        <v>0.44397199999999998</v>
      </c>
      <c r="CP8">
        <v>-2.4245362661989844E-14</v>
      </c>
      <c r="CQ8" t="s">
        <v>1825</v>
      </c>
      <c r="CR8">
        <v>2024</v>
      </c>
      <c r="CS8" t="s">
        <v>2133</v>
      </c>
      <c r="CT8" s="6">
        <v>45699</v>
      </c>
      <c r="CU8">
        <v>5</v>
      </c>
      <c r="CV8">
        <v>316250</v>
      </c>
      <c r="CW8">
        <v>10086577</v>
      </c>
      <c r="CX8" t="s">
        <v>2134</v>
      </c>
      <c r="FY8" t="s">
        <v>4057</v>
      </c>
      <c r="GA8">
        <v>-2.4245362661989844E-14</v>
      </c>
      <c r="GB8">
        <v>-2.4245362661989844E-14</v>
      </c>
      <c r="GC8" t="s">
        <v>1788</v>
      </c>
      <c r="GD8">
        <v>2022</v>
      </c>
      <c r="GE8" t="s">
        <v>4058</v>
      </c>
      <c r="GF8" s="6">
        <v>44866</v>
      </c>
      <c r="GG8">
        <v>5</v>
      </c>
      <c r="GH8">
        <v>-2.4245362661989844E-14</v>
      </c>
      <c r="GI8">
        <v>67334057</v>
      </c>
      <c r="GJ8" t="s">
        <v>4059</v>
      </c>
      <c r="HC8" t="s">
        <v>4510</v>
      </c>
      <c r="HE8">
        <v>-2.4245362661989844E-14</v>
      </c>
      <c r="HF8">
        <v>-2.4245362661989844E-14</v>
      </c>
      <c r="HG8" t="s">
        <v>1753</v>
      </c>
      <c r="HH8">
        <v>2024</v>
      </c>
      <c r="HI8" t="s">
        <v>4511</v>
      </c>
      <c r="HJ8" s="6">
        <v>45719</v>
      </c>
      <c r="HK8">
        <v>5</v>
      </c>
      <c r="HL8">
        <v>-2.4245362661989844E-14</v>
      </c>
      <c r="HM8">
        <v>71713725</v>
      </c>
      <c r="HN8" t="s">
        <v>4512</v>
      </c>
      <c r="IG8" t="s">
        <v>4260</v>
      </c>
      <c r="IH8" t="s">
        <v>1752</v>
      </c>
      <c r="II8">
        <v>1.2685E-2</v>
      </c>
      <c r="IJ8">
        <v>0.24801799999999999</v>
      </c>
      <c r="IK8" t="s">
        <v>1825</v>
      </c>
      <c r="IL8">
        <v>2024</v>
      </c>
      <c r="IM8" t="s">
        <v>4261</v>
      </c>
      <c r="IN8" s="6">
        <v>45762</v>
      </c>
      <c r="IO8">
        <v>5</v>
      </c>
      <c r="IP8">
        <v>928213.73</v>
      </c>
      <c r="IQ8">
        <v>115439</v>
      </c>
      <c r="IR8" t="s">
        <v>4262</v>
      </c>
      <c r="IU8" t="s">
        <v>5842</v>
      </c>
      <c r="IV8">
        <v>-2.4245362661989844E-14</v>
      </c>
      <c r="IX8">
        <v>-2.4245362661989844E-14</v>
      </c>
      <c r="IY8" t="s">
        <v>1753</v>
      </c>
      <c r="IZ8">
        <v>2025</v>
      </c>
      <c r="JA8" t="s">
        <v>5837</v>
      </c>
      <c r="JB8" s="6">
        <v>46071</v>
      </c>
      <c r="JC8">
        <v>5</v>
      </c>
      <c r="JD8">
        <v>-2.4245362661989844E-14</v>
      </c>
      <c r="JE8">
        <v>17449017</v>
      </c>
      <c r="JF8" t="s">
        <v>5843</v>
      </c>
      <c r="KO8" t="s">
        <v>1027</v>
      </c>
      <c r="KP8" t="s">
        <v>1828</v>
      </c>
      <c r="KQ8">
        <v>0.69574199999999997</v>
      </c>
      <c r="KR8">
        <v>1.510599</v>
      </c>
      <c r="KS8" t="s">
        <v>1788</v>
      </c>
      <c r="KT8">
        <v>2025</v>
      </c>
      <c r="KU8" t="s">
        <v>3057</v>
      </c>
      <c r="KV8" s="6">
        <v>45985</v>
      </c>
      <c r="KW8">
        <v>5</v>
      </c>
      <c r="KX8">
        <v>62115848</v>
      </c>
      <c r="KY8">
        <v>101318</v>
      </c>
      <c r="KZ8" t="s">
        <v>3058</v>
      </c>
      <c r="LC8" t="s">
        <v>5508</v>
      </c>
      <c r="LD8">
        <v>1.655E-3</v>
      </c>
      <c r="LE8" t="s">
        <v>1752</v>
      </c>
      <c r="LF8">
        <v>0.59815600000000002</v>
      </c>
      <c r="LG8" t="s">
        <v>1768</v>
      </c>
      <c r="LH8">
        <v>2025</v>
      </c>
      <c r="LI8" t="s">
        <v>5509</v>
      </c>
      <c r="LJ8" s="6">
        <v>45958</v>
      </c>
      <c r="LK8">
        <v>5</v>
      </c>
      <c r="LL8">
        <v>766849.86</v>
      </c>
      <c r="LM8">
        <v>153668</v>
      </c>
      <c r="LN8" t="s">
        <v>5510</v>
      </c>
      <c r="LS8" t="s">
        <v>2448</v>
      </c>
      <c r="LT8" t="s">
        <v>1752</v>
      </c>
      <c r="LU8">
        <v>6.322203</v>
      </c>
      <c r="LV8">
        <v>3.0248159999999999</v>
      </c>
      <c r="LW8" t="s">
        <v>1774</v>
      </c>
      <c r="LX8">
        <v>2025</v>
      </c>
      <c r="LY8" t="s">
        <v>2449</v>
      </c>
      <c r="LZ8" s="6">
        <v>46003</v>
      </c>
      <c r="MA8">
        <v>5</v>
      </c>
      <c r="MB8">
        <v>84298992</v>
      </c>
      <c r="MC8">
        <v>9996472</v>
      </c>
      <c r="MD8" t="s">
        <v>2450</v>
      </c>
      <c r="MG8" t="s">
        <v>1811</v>
      </c>
      <c r="MH8">
        <v>-2.4245362661989844E-14</v>
      </c>
      <c r="MJ8">
        <v>-2.4245362661989844E-14</v>
      </c>
      <c r="MK8" t="s">
        <v>1753</v>
      </c>
      <c r="ML8">
        <v>2025</v>
      </c>
      <c r="MM8" t="s">
        <v>1812</v>
      </c>
      <c r="MN8" s="6">
        <v>46008</v>
      </c>
      <c r="MO8">
        <v>4</v>
      </c>
      <c r="MP8">
        <v>-2.4245362661989844E-14</v>
      </c>
      <c r="MQ8">
        <v>72618645</v>
      </c>
      <c r="MR8" t="s">
        <v>1813</v>
      </c>
      <c r="OA8" t="s">
        <v>385</v>
      </c>
      <c r="OB8" t="s">
        <v>1752</v>
      </c>
      <c r="OC8">
        <v>0.35996400000000001</v>
      </c>
      <c r="OD8">
        <v>0.24259500000000001</v>
      </c>
      <c r="OE8" t="s">
        <v>1825</v>
      </c>
      <c r="OF8">
        <v>2025</v>
      </c>
      <c r="OG8" t="s">
        <v>1897</v>
      </c>
      <c r="OH8" s="6">
        <v>45848</v>
      </c>
      <c r="OI8">
        <v>5</v>
      </c>
      <c r="OJ8">
        <v>57245076</v>
      </c>
      <c r="OK8">
        <v>101752</v>
      </c>
      <c r="OL8" t="s">
        <v>2109</v>
      </c>
      <c r="OO8" t="s">
        <v>1791</v>
      </c>
      <c r="OP8">
        <v>-2.4245362661989844E-14</v>
      </c>
      <c r="OR8">
        <v>-2.4245362661989844E-14</v>
      </c>
      <c r="OS8" t="s">
        <v>1753</v>
      </c>
      <c r="OT8">
        <v>2023</v>
      </c>
      <c r="OU8" t="s">
        <v>4985</v>
      </c>
      <c r="OV8" s="6">
        <v>45196</v>
      </c>
      <c r="OW8">
        <v>5</v>
      </c>
      <c r="OX8">
        <v>-2.4245362661989844E-14</v>
      </c>
      <c r="OY8">
        <v>218252</v>
      </c>
      <c r="OZ8" t="s">
        <v>1793</v>
      </c>
      <c r="SQ8" t="s">
        <v>4746</v>
      </c>
      <c r="SS8">
        <v>-2.4245362661989844E-14</v>
      </c>
      <c r="ST8">
        <v>-2.4245362661989844E-14</v>
      </c>
      <c r="SU8" t="s">
        <v>1753</v>
      </c>
      <c r="SV8">
        <v>2021</v>
      </c>
      <c r="SW8" t="s">
        <v>4747</v>
      </c>
      <c r="SX8" s="6">
        <v>44672</v>
      </c>
      <c r="SY8">
        <v>5</v>
      </c>
      <c r="SZ8">
        <v>-2.4245362661989844E-14</v>
      </c>
      <c r="TA8">
        <v>20509304</v>
      </c>
      <c r="TB8" t="s">
        <v>4748</v>
      </c>
      <c r="TE8" t="s">
        <v>4576</v>
      </c>
      <c r="TF8">
        <v>2.1894499999999999</v>
      </c>
      <c r="TG8" t="s">
        <v>1752</v>
      </c>
      <c r="TH8">
        <v>10.813526</v>
      </c>
      <c r="TI8" t="s">
        <v>1854</v>
      </c>
      <c r="TJ8">
        <v>2025</v>
      </c>
      <c r="TK8" t="s">
        <v>4577</v>
      </c>
      <c r="TL8" s="6">
        <v>45791</v>
      </c>
      <c r="TM8">
        <v>5</v>
      </c>
      <c r="TN8">
        <v>3139431.8</v>
      </c>
      <c r="TO8">
        <v>10162294</v>
      </c>
      <c r="TP8" t="s">
        <v>4578</v>
      </c>
      <c r="UY8" t="s">
        <v>4057</v>
      </c>
      <c r="VA8">
        <v>-2.4245362661989844E-14</v>
      </c>
      <c r="VB8">
        <v>-2.4245362661989844E-14</v>
      </c>
      <c r="VC8" t="s">
        <v>1788</v>
      </c>
      <c r="VD8">
        <v>2022</v>
      </c>
      <c r="VE8" t="s">
        <v>4058</v>
      </c>
      <c r="VF8" s="6">
        <v>44866</v>
      </c>
      <c r="VG8">
        <v>5</v>
      </c>
      <c r="VH8">
        <v>-2.4245362661989844E-14</v>
      </c>
      <c r="VI8">
        <v>67334057</v>
      </c>
      <c r="VJ8" t="s">
        <v>4059</v>
      </c>
    </row>
    <row r="9" spans="1:600" x14ac:dyDescent="0.25">
      <c r="BI9" t="s">
        <v>1154</v>
      </c>
      <c r="BK9">
        <v>-2.4245362661989844E-14</v>
      </c>
      <c r="BL9">
        <v>-2.4245362661989844E-14</v>
      </c>
      <c r="BM9" t="s">
        <v>1781</v>
      </c>
      <c r="BN9">
        <v>2023</v>
      </c>
      <c r="BO9" t="s">
        <v>4210</v>
      </c>
      <c r="BP9" s="6">
        <v>45110</v>
      </c>
      <c r="BQ9">
        <v>5</v>
      </c>
      <c r="BR9">
        <v>-2.4245362661989844E-14</v>
      </c>
      <c r="BS9">
        <v>348546</v>
      </c>
      <c r="BT9" t="s">
        <v>4214</v>
      </c>
      <c r="CM9" t="s">
        <v>2135</v>
      </c>
      <c r="CO9">
        <v>-2.4245362661989844E-14</v>
      </c>
      <c r="CP9">
        <v>-2.4245362661989844E-14</v>
      </c>
      <c r="CQ9" t="s">
        <v>1768</v>
      </c>
      <c r="CR9">
        <v>2025</v>
      </c>
      <c r="CS9" t="s">
        <v>2136</v>
      </c>
      <c r="CT9" s="6">
        <v>45974</v>
      </c>
      <c r="CU9">
        <v>5</v>
      </c>
      <c r="CV9">
        <v>-2.4245362661989844E-14</v>
      </c>
      <c r="CW9">
        <v>118099</v>
      </c>
      <c r="CX9" t="s">
        <v>2137</v>
      </c>
      <c r="FY9" t="s">
        <v>2242</v>
      </c>
      <c r="GA9">
        <v>-2.4245362661989844E-14</v>
      </c>
      <c r="GB9">
        <v>-2.4245362661989844E-14</v>
      </c>
      <c r="GC9" t="s">
        <v>1781</v>
      </c>
      <c r="GD9">
        <v>2025</v>
      </c>
      <c r="GE9" t="s">
        <v>2243</v>
      </c>
      <c r="GF9" s="6">
        <v>45784</v>
      </c>
      <c r="GG9">
        <v>5</v>
      </c>
      <c r="GH9">
        <v>-2.4245362661989844E-14</v>
      </c>
      <c r="GI9">
        <v>69762655</v>
      </c>
      <c r="GJ9" t="s">
        <v>2244</v>
      </c>
      <c r="HC9" t="s">
        <v>4513</v>
      </c>
      <c r="HE9">
        <v>-2.4245362661989844E-14</v>
      </c>
      <c r="HF9">
        <v>-2.4245362661989844E-14</v>
      </c>
      <c r="HG9" t="s">
        <v>1788</v>
      </c>
      <c r="HH9">
        <v>2023</v>
      </c>
      <c r="HI9" t="s">
        <v>4514</v>
      </c>
      <c r="HJ9" s="6">
        <v>45272</v>
      </c>
      <c r="HK9">
        <v>5</v>
      </c>
      <c r="HL9">
        <v>-2.4245362661989844E-14</v>
      </c>
      <c r="HM9">
        <v>30906467</v>
      </c>
      <c r="HN9" t="s">
        <v>4515</v>
      </c>
      <c r="IG9" t="s">
        <v>701</v>
      </c>
      <c r="IH9" t="s">
        <v>1752</v>
      </c>
      <c r="II9">
        <v>1.7850999999999999E-2</v>
      </c>
      <c r="IJ9">
        <v>0.19522999999999999</v>
      </c>
      <c r="IK9" t="s">
        <v>1774</v>
      </c>
      <c r="IL9">
        <v>2025</v>
      </c>
      <c r="IM9" t="s">
        <v>5225</v>
      </c>
      <c r="IN9" s="6">
        <v>45937</v>
      </c>
      <c r="IO9">
        <v>5</v>
      </c>
      <c r="IP9">
        <v>814920</v>
      </c>
      <c r="IQ9">
        <v>194694</v>
      </c>
      <c r="IR9" t="s">
        <v>5831</v>
      </c>
      <c r="IU9" t="s">
        <v>5844</v>
      </c>
      <c r="IV9">
        <v>-2.4245362661989844E-14</v>
      </c>
      <c r="IX9">
        <v>-2.4245362661989844E-14</v>
      </c>
      <c r="IY9" t="s">
        <v>1753</v>
      </c>
      <c r="IZ9">
        <v>2025</v>
      </c>
      <c r="JA9" t="s">
        <v>5837</v>
      </c>
      <c r="JB9" s="6">
        <v>46071</v>
      </c>
      <c r="JC9">
        <v>5</v>
      </c>
      <c r="JD9">
        <v>-2.4245362661989844E-14</v>
      </c>
      <c r="JE9">
        <v>30830510</v>
      </c>
      <c r="JF9" t="s">
        <v>5845</v>
      </c>
      <c r="KO9" t="s">
        <v>4192</v>
      </c>
      <c r="KP9" t="s">
        <v>1752</v>
      </c>
      <c r="KQ9">
        <v>28</v>
      </c>
      <c r="KR9">
        <v>0.140787</v>
      </c>
      <c r="KS9" t="s">
        <v>1753</v>
      </c>
      <c r="KT9">
        <v>2024</v>
      </c>
      <c r="KU9" t="s">
        <v>4193</v>
      </c>
      <c r="KV9" s="6">
        <v>45729</v>
      </c>
      <c r="KW9">
        <v>5</v>
      </c>
      <c r="KX9">
        <v>54355072</v>
      </c>
      <c r="KY9">
        <v>54325602</v>
      </c>
      <c r="KZ9" t="s">
        <v>4194</v>
      </c>
      <c r="LC9" t="s">
        <v>5511</v>
      </c>
      <c r="LD9">
        <v>-2.4245362661989844E-14</v>
      </c>
      <c r="LF9">
        <v>-2.4245362661989844E-14</v>
      </c>
      <c r="LG9" t="s">
        <v>1768</v>
      </c>
      <c r="LH9">
        <v>2023</v>
      </c>
      <c r="LI9" t="s">
        <v>5512</v>
      </c>
      <c r="LJ9" s="6">
        <v>45244</v>
      </c>
      <c r="LK9">
        <v>5</v>
      </c>
      <c r="LL9">
        <v>-2.4245362661989844E-14</v>
      </c>
      <c r="LM9">
        <v>129148</v>
      </c>
      <c r="LN9" t="s">
        <v>5513</v>
      </c>
      <c r="LS9" t="s">
        <v>2451</v>
      </c>
      <c r="LT9" t="s">
        <v>1752</v>
      </c>
      <c r="LU9">
        <v>2.5339670000000001</v>
      </c>
      <c r="LV9">
        <v>2.9338739999999999</v>
      </c>
      <c r="LW9" t="s">
        <v>1774</v>
      </c>
      <c r="LX9">
        <v>2026</v>
      </c>
      <c r="LY9" t="s">
        <v>2452</v>
      </c>
      <c r="LZ9" s="6">
        <v>45946</v>
      </c>
      <c r="MA9">
        <v>5</v>
      </c>
      <c r="MB9">
        <v>67342504</v>
      </c>
      <c r="MC9">
        <v>12146979</v>
      </c>
      <c r="MD9" t="s">
        <v>2453</v>
      </c>
      <c r="OA9" t="s">
        <v>2125</v>
      </c>
      <c r="OB9" t="s">
        <v>1940</v>
      </c>
      <c r="OC9">
        <v>0.60699000000000003</v>
      </c>
      <c r="OD9">
        <v>0.15107200000000001</v>
      </c>
      <c r="OE9" t="s">
        <v>1774</v>
      </c>
      <c r="OF9">
        <v>2025</v>
      </c>
      <c r="OG9" t="s">
        <v>2126</v>
      </c>
      <c r="OH9" s="6">
        <v>45838</v>
      </c>
      <c r="OI9">
        <v>5</v>
      </c>
      <c r="OJ9">
        <v>35648524</v>
      </c>
      <c r="OK9">
        <v>101689</v>
      </c>
      <c r="OL9" t="s">
        <v>2127</v>
      </c>
      <c r="OO9" t="s">
        <v>4987</v>
      </c>
      <c r="OP9">
        <v>-2.4245362661989844E-14</v>
      </c>
      <c r="OR9">
        <v>-2.4245362661989844E-14</v>
      </c>
      <c r="OS9" t="s">
        <v>1753</v>
      </c>
      <c r="OT9">
        <v>2023</v>
      </c>
      <c r="OU9" t="s">
        <v>4988</v>
      </c>
      <c r="OV9" s="6">
        <v>45189</v>
      </c>
      <c r="OW9">
        <v>5</v>
      </c>
      <c r="OX9">
        <v>-2.4245362661989844E-14</v>
      </c>
      <c r="OY9">
        <v>118666</v>
      </c>
      <c r="OZ9" t="s">
        <v>4989</v>
      </c>
      <c r="SQ9" t="s">
        <v>2392</v>
      </c>
      <c r="SS9">
        <v>-2.4245362661989844E-14</v>
      </c>
      <c r="ST9">
        <v>-2.4245362661989844E-14</v>
      </c>
      <c r="SU9" t="s">
        <v>1753</v>
      </c>
      <c r="SV9">
        <v>2021</v>
      </c>
      <c r="SW9" t="s">
        <v>2393</v>
      </c>
      <c r="SX9" s="6">
        <v>44693</v>
      </c>
      <c r="SY9">
        <v>5</v>
      </c>
      <c r="SZ9">
        <v>-2.4245362661989844E-14</v>
      </c>
      <c r="TA9">
        <v>101690</v>
      </c>
      <c r="TB9" t="s">
        <v>2394</v>
      </c>
      <c r="TE9" t="s">
        <v>2343</v>
      </c>
      <c r="TF9">
        <v>1.9831259999999999</v>
      </c>
      <c r="TG9" t="s">
        <v>1752</v>
      </c>
      <c r="TH9">
        <v>5.6717999999999998E-2</v>
      </c>
      <c r="TI9" t="s">
        <v>1788</v>
      </c>
      <c r="TJ9">
        <v>2025</v>
      </c>
      <c r="TK9" t="s">
        <v>4573</v>
      </c>
      <c r="TL9" s="6">
        <v>45980</v>
      </c>
      <c r="TM9">
        <v>5</v>
      </c>
      <c r="TN9">
        <v>2854551</v>
      </c>
      <c r="TO9">
        <v>115679</v>
      </c>
      <c r="TP9" t="s">
        <v>2344</v>
      </c>
      <c r="UY9" t="s">
        <v>2242</v>
      </c>
      <c r="VA9">
        <v>-2.4245362661989844E-14</v>
      </c>
      <c r="VB9">
        <v>-2.4245362661989844E-14</v>
      </c>
      <c r="VC9" t="s">
        <v>1781</v>
      </c>
      <c r="VD9">
        <v>2025</v>
      </c>
      <c r="VE9" t="s">
        <v>2243</v>
      </c>
      <c r="VF9" s="6">
        <v>45784</v>
      </c>
      <c r="VG9">
        <v>5</v>
      </c>
      <c r="VH9">
        <v>-2.4245362661989844E-14</v>
      </c>
      <c r="VI9">
        <v>69762655</v>
      </c>
      <c r="VJ9" t="s">
        <v>2244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353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354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355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356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357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358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359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360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361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362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363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364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365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366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367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368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369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370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371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372</v>
      </c>
      <c r="AE2" s="3" t="s">
        <v>373</v>
      </c>
      <c r="BI2" s="3" t="s">
        <v>374</v>
      </c>
      <c r="CM2" s="3" t="s">
        <v>375</v>
      </c>
      <c r="DQ2" s="3" t="s">
        <v>86</v>
      </c>
      <c r="EU2" s="3" t="s">
        <v>376</v>
      </c>
      <c r="FY2" s="3" t="s">
        <v>377</v>
      </c>
      <c r="HC2" s="3" t="s">
        <v>119</v>
      </c>
      <c r="IG2" s="3" t="s">
        <v>378</v>
      </c>
      <c r="JK2" s="3" t="s">
        <v>265</v>
      </c>
      <c r="KO2" s="3" t="s">
        <v>379</v>
      </c>
      <c r="LS2" s="3" t="s">
        <v>380</v>
      </c>
      <c r="MW2" s="3" t="s">
        <v>381</v>
      </c>
      <c r="OA2" s="3" t="s">
        <v>117</v>
      </c>
      <c r="PE2" s="3" t="s">
        <v>382</v>
      </c>
      <c r="QI2" s="3" t="s">
        <v>383</v>
      </c>
      <c r="RM2" s="3" t="s">
        <v>384</v>
      </c>
      <c r="SQ2" s="3" t="s">
        <v>385</v>
      </c>
      <c r="TU2" s="3" t="s">
        <v>386</v>
      </c>
      <c r="UY2" s="3" t="s">
        <v>387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_xll.BDS("WAMUQ US Equity","SUPPLY_CHAIN_SUPPLIERS_ALL_DATA")</f>
        <v>#N/A N/A</v>
      </c>
      <c r="O5" t="str">
        <f>_xll.BDS("WAMUQ US Equity","SUPPLY_CHAIN_CUSTOMERS_ALL_DATA")</f>
        <v>#N/A N/A</v>
      </c>
      <c r="AE5" t="str">
        <f>_xll.BDS("RC US Equity","SUPPLY_CHAIN_SUPPLIERS_ALL_DATA")</f>
        <v>#N/A N/A</v>
      </c>
      <c r="AS5" t="str">
        <f>_xll.BDS("RC US Equity","SUPPLY_CHAIN_CUSTOMERS_ALL_DATA")</f>
        <v>#N/A N/A</v>
      </c>
      <c r="BI5" t="str">
        <f>_xll.BDS("27749Z US Equity","SUPPLY_CHAIN_SUPPLIERS_ALL_DATA")</f>
        <v>#N/A N/A</v>
      </c>
      <c r="BW5" t="str">
        <f>_xll.BDS("27749Z US Equity","SUPPLY_CHAIN_CUSTOMERS_ALL_DATA")</f>
        <v>#N/A N/A</v>
      </c>
      <c r="CM5" t="str">
        <f>_xll.BDS("HAIN US Equity","SUPPLY_CHAIN_SUPPLIERS_ALL_DATA","cols=12;rows=5")</f>
        <v>KDP US Equity</v>
      </c>
      <c r="CN5" t="s">
        <v>1752</v>
      </c>
      <c r="CO5">
        <v>9.7248000000000001E-2</v>
      </c>
      <c r="CP5">
        <v>1.220845</v>
      </c>
      <c r="CQ5" t="s">
        <v>1774</v>
      </c>
      <c r="CR5">
        <v>2025</v>
      </c>
      <c r="CS5" t="s">
        <v>5055</v>
      </c>
      <c r="CT5" s="6">
        <v>45908</v>
      </c>
      <c r="CU5">
        <v>5</v>
      </c>
      <c r="CV5">
        <v>3732135</v>
      </c>
      <c r="CW5">
        <v>12271051</v>
      </c>
      <c r="CX5" t="s">
        <v>5056</v>
      </c>
      <c r="DA5" t="str">
        <f>_xll.BDS("HAIN US Equity","SUPPLY_CHAIN_CUSTOMERS_ALL_DATA","cols=12;rows=5")</f>
        <v>WMT US Equity</v>
      </c>
      <c r="DB5">
        <v>18</v>
      </c>
      <c r="DC5" t="s">
        <v>1752</v>
      </c>
      <c r="DD5">
        <v>5.3932000000000001E-2</v>
      </c>
      <c r="DE5" t="s">
        <v>1753</v>
      </c>
      <c r="DF5">
        <v>2025</v>
      </c>
      <c r="DG5" t="s">
        <v>5099</v>
      </c>
      <c r="DH5" s="6">
        <v>45915</v>
      </c>
      <c r="DI5">
        <v>5</v>
      </c>
      <c r="DJ5">
        <v>70190096</v>
      </c>
      <c r="DK5">
        <v>101616</v>
      </c>
      <c r="DL5" t="s">
        <v>2752</v>
      </c>
      <c r="DQ5" t="str">
        <f>_xll.BDS("TFC US Equity","SUPPLY_CHAIN_SUPPLIERS_ALL_DATA","cols=12;rows=5")</f>
        <v>ADBE US Equity</v>
      </c>
      <c r="DR5" t="s">
        <v>1940</v>
      </c>
      <c r="DS5">
        <v>9.3438999999999994E-2</v>
      </c>
      <c r="DT5">
        <v>0.18883900000000001</v>
      </c>
      <c r="DU5" t="s">
        <v>1774</v>
      </c>
      <c r="DV5">
        <v>2025</v>
      </c>
      <c r="DW5" t="s">
        <v>2126</v>
      </c>
      <c r="DX5" s="6">
        <v>45838</v>
      </c>
      <c r="DY5">
        <v>5</v>
      </c>
      <c r="DZ5">
        <v>5487672</v>
      </c>
      <c r="EA5">
        <v>101689</v>
      </c>
      <c r="EB5" t="s">
        <v>2127</v>
      </c>
      <c r="EE5" t="str">
        <f>_xll.BDS("TFC US Equity","SUPPLY_CHAIN_CUSTOMERS_ALL_DATA","cols=12;rows=1")</f>
        <v>RENG IN Equity</v>
      </c>
      <c r="EF5">
        <v>-2.4245362661989844E-14</v>
      </c>
      <c r="EH5">
        <v>-2.4245362661989844E-14</v>
      </c>
      <c r="EI5" t="s">
        <v>1753</v>
      </c>
      <c r="EJ5">
        <v>2025</v>
      </c>
      <c r="EK5" t="s">
        <v>1756</v>
      </c>
      <c r="EL5" s="6">
        <v>45901</v>
      </c>
      <c r="EM5">
        <v>1</v>
      </c>
      <c r="EN5">
        <v>-2.4245362661989844E-14</v>
      </c>
      <c r="EO5">
        <v>182734</v>
      </c>
      <c r="EP5" t="s">
        <v>1757</v>
      </c>
      <c r="EU5" t="str">
        <f>_xll.BDS("LGND US Equity","SUPPLY_CHAIN_SUPPLIERS_ALL_DATA","cols=12;rows=5")</f>
        <v>1108Z PL Equity</v>
      </c>
      <c r="EW5">
        <v>-2.4245362661989844E-14</v>
      </c>
      <c r="EX5">
        <v>-2.4245362661989844E-14</v>
      </c>
      <c r="EY5" t="s">
        <v>1753</v>
      </c>
      <c r="EZ5">
        <v>2025</v>
      </c>
      <c r="FA5" t="s">
        <v>4553</v>
      </c>
      <c r="FB5" s="6">
        <v>46080</v>
      </c>
      <c r="FC5">
        <v>5</v>
      </c>
      <c r="FD5">
        <v>-2.4245362661989844E-14</v>
      </c>
      <c r="FE5">
        <v>7000430</v>
      </c>
      <c r="FF5" t="s">
        <v>4554</v>
      </c>
      <c r="FI5" t="str">
        <f>_xll.BDS("LGND US Equity","SUPPLY_CHAIN_CUSTOMERS_ALL_DATA","cols=12;rows=5")</f>
        <v>AMGN US Equity</v>
      </c>
      <c r="FJ5">
        <v>13.24197</v>
      </c>
      <c r="FK5" t="s">
        <v>1752</v>
      </c>
      <c r="FL5">
        <v>0.29492400000000002</v>
      </c>
      <c r="FM5" t="s">
        <v>1753</v>
      </c>
      <c r="FN5">
        <v>2025</v>
      </c>
      <c r="FO5" t="s">
        <v>4553</v>
      </c>
      <c r="FP5" s="6">
        <v>46080</v>
      </c>
      <c r="FQ5">
        <v>5</v>
      </c>
      <c r="FR5">
        <v>8875000</v>
      </c>
      <c r="FS5">
        <v>101693</v>
      </c>
      <c r="FT5" t="s">
        <v>5557</v>
      </c>
      <c r="FY5" t="str">
        <f>_xll.BDS("TISI US Equity","SUPPLY_CHAIN_SUPPLIERS_ALL_DATA","cols=12;rows=4")</f>
        <v>CNP US Equity</v>
      </c>
      <c r="GA5">
        <v>-2.4245362661989844E-14</v>
      </c>
      <c r="GB5">
        <v>-2.4245362661989844E-14</v>
      </c>
      <c r="GC5" t="s">
        <v>1753</v>
      </c>
      <c r="GD5">
        <v>2021</v>
      </c>
      <c r="GE5" t="s">
        <v>3100</v>
      </c>
      <c r="GF5" s="6">
        <v>44693</v>
      </c>
      <c r="GG5">
        <v>4</v>
      </c>
      <c r="GH5">
        <v>-2.4245362661989844E-14</v>
      </c>
      <c r="GI5">
        <v>100760</v>
      </c>
      <c r="GJ5" t="s">
        <v>3101</v>
      </c>
      <c r="GM5" t="str">
        <f>_xll.BDS("TISI US Equity","SUPPLY_CHAIN_CUSTOMERS_ALL_DATA","cols=12;rows=5")</f>
        <v>KBR US Equity</v>
      </c>
      <c r="GN5">
        <v>2.4455439999999999</v>
      </c>
      <c r="GO5" t="s">
        <v>1752</v>
      </c>
      <c r="GP5">
        <v>0.36495699999999998</v>
      </c>
      <c r="GQ5" t="s">
        <v>1774</v>
      </c>
      <c r="GR5">
        <v>2025</v>
      </c>
      <c r="GS5" t="s">
        <v>5296</v>
      </c>
      <c r="GT5" s="6">
        <v>45925</v>
      </c>
      <c r="GU5">
        <v>5</v>
      </c>
      <c r="GV5">
        <v>6065585</v>
      </c>
      <c r="GW5">
        <v>10659312</v>
      </c>
      <c r="GX5" t="s">
        <v>5297</v>
      </c>
      <c r="HC5" t="str">
        <f>_xll.BDS("838969Q US Equity","SUPPLY_CHAIN_SUPPLIERS_ALL_DATA")</f>
        <v>#N/A N/A</v>
      </c>
      <c r="HQ5" t="str">
        <f>_xll.BDS("838969Q US Equity","SUPPLY_CHAIN_CUSTOMERS_ALL_DATA")</f>
        <v>#N/A N/A</v>
      </c>
      <c r="IG5" t="str">
        <f>_xll.BDS("CSCO US Equity","SUPPLY_CHAIN_SUPPLIERS_ALL_DATA","cols=12;rows=5")</f>
        <v>NVDA US Equity</v>
      </c>
      <c r="IH5" t="s">
        <v>1752</v>
      </c>
      <c r="II5">
        <v>0.44414500000000001</v>
      </c>
      <c r="IJ5">
        <v>5.627351</v>
      </c>
      <c r="IK5" t="s">
        <v>1825</v>
      </c>
      <c r="IL5">
        <v>2026</v>
      </c>
      <c r="IM5" t="s">
        <v>2352</v>
      </c>
      <c r="IN5" s="6">
        <v>46087</v>
      </c>
      <c r="IO5">
        <v>5</v>
      </c>
      <c r="IP5">
        <v>302582656</v>
      </c>
      <c r="IQ5">
        <v>313657</v>
      </c>
      <c r="IR5" t="s">
        <v>2353</v>
      </c>
      <c r="IU5" t="str">
        <f>_xll.BDS("CSCO US Equity","SUPPLY_CHAIN_CUSTOMERS_ALL_DATA","cols=12;rows=5")</f>
        <v>SNX US Equity</v>
      </c>
      <c r="IV5">
        <v>3.3352200000000001</v>
      </c>
      <c r="IW5" t="s">
        <v>1752</v>
      </c>
      <c r="IX5">
        <v>3.067034</v>
      </c>
      <c r="IY5" t="s">
        <v>1825</v>
      </c>
      <c r="IZ5">
        <v>2025</v>
      </c>
      <c r="JA5" t="s">
        <v>1826</v>
      </c>
      <c r="JB5" s="6">
        <v>46056</v>
      </c>
      <c r="JC5">
        <v>5</v>
      </c>
      <c r="JD5">
        <v>496380736</v>
      </c>
      <c r="JE5">
        <v>1499717</v>
      </c>
      <c r="JF5" t="s">
        <v>1827</v>
      </c>
      <c r="JK5" t="str">
        <f>_xll.BDS("JNJ US Equity","SUPPLY_CHAIN_SUPPLIERS_ALL_DATA","cols=12;rows=5")</f>
        <v>GMAB DC Equity</v>
      </c>
      <c r="JL5" t="s">
        <v>2407</v>
      </c>
      <c r="JM5">
        <v>66.998047</v>
      </c>
      <c r="JN5">
        <v>11.040321</v>
      </c>
      <c r="JO5" t="s">
        <v>1753</v>
      </c>
      <c r="JP5">
        <v>2024</v>
      </c>
      <c r="JQ5" t="s">
        <v>3409</v>
      </c>
      <c r="JR5" s="6">
        <v>45701</v>
      </c>
      <c r="JS5">
        <v>5</v>
      </c>
      <c r="JT5">
        <v>522920364.22000003</v>
      </c>
      <c r="JU5">
        <v>1405715</v>
      </c>
      <c r="JV5" t="s">
        <v>3410</v>
      </c>
      <c r="JY5" t="str">
        <f>_xll.BDS("JNJ US Equity","SUPPLY_CHAIN_CUSTOMERS_ALL_DATA","cols=12;rows=5")</f>
        <v>MCK US Equity</v>
      </c>
      <c r="JZ5">
        <v>20.476745999999999</v>
      </c>
      <c r="KA5" t="s">
        <v>1752</v>
      </c>
      <c r="KB5">
        <v>6.636412</v>
      </c>
      <c r="KC5" t="s">
        <v>1788</v>
      </c>
      <c r="KD5">
        <v>2025</v>
      </c>
      <c r="KE5" t="s">
        <v>2577</v>
      </c>
      <c r="KF5" s="6">
        <v>46018</v>
      </c>
      <c r="KG5">
        <v>5</v>
      </c>
      <c r="KH5">
        <v>4912985600</v>
      </c>
      <c r="KI5">
        <v>154936</v>
      </c>
      <c r="KJ5" t="s">
        <v>2342</v>
      </c>
      <c r="KO5" t="str">
        <f>_xll.BDS("SFNT US Equity","SUPPLY_CHAIN_SUPPLIERS_ALL_DATA")</f>
        <v>#N/A N/A</v>
      </c>
      <c r="LC5" t="str">
        <f>_xll.BDS("SFNT US Equity","SUPPLY_CHAIN_CUSTOMERS_ALL_DATA")</f>
        <v>#N/A N/A</v>
      </c>
      <c r="LS5" t="str">
        <f>_xll.BDS("EMN US Equity","SUPPLY_CHAIN_SUPPLIERS_ALL_DATA","cols=12;rows=5")</f>
        <v>AI FP Equity</v>
      </c>
      <c r="LT5" t="s">
        <v>1752</v>
      </c>
      <c r="LU5">
        <v>0.110859</v>
      </c>
      <c r="LV5">
        <v>0.48419400000000001</v>
      </c>
      <c r="LW5" t="s">
        <v>1774</v>
      </c>
      <c r="LX5">
        <v>2025</v>
      </c>
      <c r="LY5" t="s">
        <v>5181</v>
      </c>
      <c r="LZ5" s="6">
        <v>45910</v>
      </c>
      <c r="MA5">
        <v>5</v>
      </c>
      <c r="MB5">
        <v>8620046.4000000004</v>
      </c>
      <c r="MC5">
        <v>115230</v>
      </c>
      <c r="MD5" t="s">
        <v>5182</v>
      </c>
      <c r="MG5" t="str">
        <f>_xll.BDS("EMN US Equity","SUPPLY_CHAIN_CUSTOMERS_ALL_DATA","cols=12;rows=5")</f>
        <v>JNJ US Equity</v>
      </c>
      <c r="MH5">
        <v>2.321053</v>
      </c>
      <c r="MI5" t="s">
        <v>1752</v>
      </c>
      <c r="MJ5">
        <v>0.69984400000000002</v>
      </c>
      <c r="MK5" t="s">
        <v>1788</v>
      </c>
      <c r="ML5">
        <v>2025</v>
      </c>
      <c r="MM5" t="s">
        <v>4978</v>
      </c>
      <c r="MN5" s="6">
        <v>46018</v>
      </c>
      <c r="MO5">
        <v>5</v>
      </c>
      <c r="MP5">
        <v>51109588</v>
      </c>
      <c r="MQ5">
        <v>100828</v>
      </c>
      <c r="MR5" t="s">
        <v>2578</v>
      </c>
      <c r="MW5" t="str">
        <f>_xll.BDS("1260972D US Equity","SUPPLY_CHAIN_SUPPLIERS_ALL_DATA")</f>
        <v>#N/A N/A</v>
      </c>
      <c r="NK5" t="str">
        <f>_xll.BDS("1260972D US Equity","SUPPLY_CHAIN_CUSTOMERS_ALL_DATA")</f>
        <v>#N/A N/A</v>
      </c>
      <c r="OA5" t="str">
        <f>_xll.BDS("FNB US Equity","SUPPLY_CHAIN_SUPPLIERS_ALL_DATA","cols=12;rows=1")</f>
        <v>HY US Equity</v>
      </c>
      <c r="OC5">
        <v>-2.4245362661989844E-14</v>
      </c>
      <c r="OD5">
        <v>-2.4245362661989844E-14</v>
      </c>
      <c r="OE5" t="s">
        <v>1753</v>
      </c>
      <c r="OF5">
        <v>2024</v>
      </c>
      <c r="OG5" t="s">
        <v>4822</v>
      </c>
      <c r="OH5" s="6">
        <v>45427</v>
      </c>
      <c r="OI5">
        <v>1</v>
      </c>
      <c r="OJ5">
        <v>-2.4245362661989844E-14</v>
      </c>
      <c r="OK5">
        <v>159242</v>
      </c>
      <c r="OL5" t="s">
        <v>4823</v>
      </c>
      <c r="OO5" t="str">
        <f>_xll.BDS("FNB US Equity","SUPPLY_CHAIN_CUSTOMERS_ALL_DATA")</f>
        <v>#N/A N/A</v>
      </c>
      <c r="PE5" t="str">
        <f>_xll.BDS("UBNK US Equity","SUPPLY_CHAIN_SUPPLIERS_ALL_DATA")</f>
        <v>#N/A N/A</v>
      </c>
      <c r="PS5" t="str">
        <f>_xll.BDS("UBNK US Equity","SUPPLY_CHAIN_CUSTOMERS_ALL_DATA")</f>
        <v>#N/A N/A</v>
      </c>
      <c r="QI5" t="str">
        <f>_xll.BDS("MDAS US Equity","SUPPLY_CHAIN_SUPPLIERS_ALL_DATA","cols=12;rows=5")</f>
        <v>300760 CH Equity</v>
      </c>
      <c r="QK5">
        <v>-2.4245362661989844E-14</v>
      </c>
      <c r="QL5">
        <v>-2.4245362661989844E-14</v>
      </c>
      <c r="QM5" t="s">
        <v>1753</v>
      </c>
      <c r="QN5">
        <v>2021</v>
      </c>
      <c r="QO5" t="s">
        <v>5410</v>
      </c>
      <c r="QP5" s="6">
        <v>44670</v>
      </c>
      <c r="QQ5">
        <v>5</v>
      </c>
      <c r="QR5">
        <v>-2.4245362661989844E-14</v>
      </c>
      <c r="QS5">
        <v>23463925</v>
      </c>
      <c r="QT5" t="s">
        <v>5411</v>
      </c>
      <c r="QW5" t="str">
        <f>_xll.BDS("MDAS US Equity","SUPPLY_CHAIN_CUSTOMERS_ALL_DATA")</f>
        <v>#N/A N/A</v>
      </c>
      <c r="RM5" t="str">
        <f>_xll.BDS("1778808D US Equity","SUPPLY_CHAIN_SUPPLIERS_ALL_DATA")</f>
        <v>#N/A N/A</v>
      </c>
      <c r="SA5" t="str">
        <f>_xll.BDS("1778808D US Equity","SUPPLY_CHAIN_CUSTOMERS_ALL_DATA")</f>
        <v>#N/A N/A</v>
      </c>
      <c r="SQ5" t="str">
        <f>_xll.BDS("ORCL US Equity","SUPPLY_CHAIN_SUPPLIERS_ALL_DATA","cols=12;rows=5")</f>
        <v>NVDA US Equity</v>
      </c>
      <c r="SR5" t="s">
        <v>1828</v>
      </c>
      <c r="SS5">
        <v>1.9751799999999999</v>
      </c>
      <c r="ST5">
        <v>11.182838</v>
      </c>
      <c r="SU5" t="s">
        <v>1825</v>
      </c>
      <c r="SV5">
        <v>2026</v>
      </c>
      <c r="SW5" t="s">
        <v>2352</v>
      </c>
      <c r="SX5" s="6">
        <v>46087</v>
      </c>
      <c r="SY5">
        <v>5</v>
      </c>
      <c r="SZ5">
        <v>1345630848</v>
      </c>
      <c r="TA5">
        <v>313657</v>
      </c>
      <c r="TB5" t="s">
        <v>2353</v>
      </c>
      <c r="TE5" t="str">
        <f>_xll.BDS("ORCL US Equity","SUPPLY_CHAIN_CUSTOMERS_ALL_DATA","cols=12;rows=5")</f>
        <v>ACN US Equity</v>
      </c>
      <c r="TF5">
        <v>1.9061380000000001</v>
      </c>
      <c r="TG5" t="s">
        <v>1752</v>
      </c>
      <c r="TH5">
        <v>2.7725070000000001</v>
      </c>
      <c r="TI5" t="s">
        <v>1825</v>
      </c>
      <c r="TJ5">
        <v>2025</v>
      </c>
      <c r="TK5" t="s">
        <v>1897</v>
      </c>
      <c r="TL5" s="6">
        <v>45848</v>
      </c>
      <c r="TM5">
        <v>5</v>
      </c>
      <c r="TN5">
        <v>303133120</v>
      </c>
      <c r="TO5">
        <v>300787</v>
      </c>
      <c r="TP5" t="s">
        <v>1898</v>
      </c>
      <c r="TU5" t="str">
        <f>_xll.BDS("SSB US Equity","SUPPLY_CHAIN_SUPPLIERS_ALL_DATA","cols=12;rows=4")</f>
        <v>BLND US Equity</v>
      </c>
      <c r="TW5">
        <v>-2.4245362661989844E-14</v>
      </c>
      <c r="TX5">
        <v>-2.4245362661989844E-14</v>
      </c>
      <c r="TY5" t="s">
        <v>1781</v>
      </c>
      <c r="TZ5">
        <v>2025</v>
      </c>
      <c r="UA5" t="s">
        <v>3979</v>
      </c>
      <c r="UB5" s="6">
        <v>45785</v>
      </c>
      <c r="UC5">
        <v>4</v>
      </c>
      <c r="UD5">
        <v>-2.4245362661989844E-14</v>
      </c>
      <c r="UE5">
        <v>42447088</v>
      </c>
      <c r="UF5" t="s">
        <v>3980</v>
      </c>
      <c r="UI5" t="str">
        <f>_xll.BDS("SSB US Equity","SUPPLY_CHAIN_CUSTOMERS_ALL_DATA")</f>
        <v>#N/A N/A</v>
      </c>
      <c r="UY5" t="str">
        <f>_xll.BDS("FGPRQ US Equity","SUPPLY_CHAIN_SUPPLIERS_ALL_DATA")</f>
        <v>#N/A N/A</v>
      </c>
      <c r="VM5" t="str">
        <f>_xll.BDS("FGPRQ US Equity","SUPPLY_CHAIN_CUSTOMERS_ALL_DATA")</f>
        <v>#N/A N/A</v>
      </c>
    </row>
    <row r="6" spans="1:600" x14ac:dyDescent="0.25">
      <c r="CM6" t="s">
        <v>5057</v>
      </c>
      <c r="CN6" t="s">
        <v>1752</v>
      </c>
      <c r="CO6">
        <v>2.9522E-2</v>
      </c>
      <c r="CP6">
        <v>0.77918900000000002</v>
      </c>
      <c r="CQ6" t="s">
        <v>1825</v>
      </c>
      <c r="CR6">
        <v>2024</v>
      </c>
      <c r="CS6" t="s">
        <v>5058</v>
      </c>
      <c r="CT6" s="6">
        <v>45723</v>
      </c>
      <c r="CU6">
        <v>5</v>
      </c>
      <c r="CV6">
        <v>2727265.79</v>
      </c>
      <c r="CW6">
        <v>193359</v>
      </c>
      <c r="CX6" t="s">
        <v>5059</v>
      </c>
      <c r="DA6" t="s">
        <v>1111</v>
      </c>
      <c r="DB6">
        <v>4.1230320000000003</v>
      </c>
      <c r="DC6" t="s">
        <v>1752</v>
      </c>
      <c r="DD6">
        <v>8.7944999999999995E-2</v>
      </c>
      <c r="DE6" t="s">
        <v>1781</v>
      </c>
      <c r="DF6">
        <v>2026</v>
      </c>
      <c r="DG6" t="s">
        <v>5100</v>
      </c>
      <c r="DH6" s="6">
        <v>45979</v>
      </c>
      <c r="DI6">
        <v>5</v>
      </c>
      <c r="DJ6">
        <v>15167934</v>
      </c>
      <c r="DK6">
        <v>101433</v>
      </c>
      <c r="DL6" t="s">
        <v>5101</v>
      </c>
      <c r="DQ6" t="s">
        <v>2128</v>
      </c>
      <c r="DR6" t="s">
        <v>1940</v>
      </c>
      <c r="DS6">
        <v>1.151538</v>
      </c>
      <c r="DT6">
        <v>7.7191999999999997E-2</v>
      </c>
      <c r="DU6" t="s">
        <v>1753</v>
      </c>
      <c r="DV6">
        <v>2024</v>
      </c>
      <c r="DW6" t="s">
        <v>2129</v>
      </c>
      <c r="DX6" s="6">
        <v>45716</v>
      </c>
      <c r="DY6">
        <v>5</v>
      </c>
      <c r="DZ6">
        <v>2317499</v>
      </c>
      <c r="EA6">
        <v>35300053</v>
      </c>
      <c r="EB6" t="s">
        <v>2130</v>
      </c>
      <c r="EU6" t="s">
        <v>4555</v>
      </c>
      <c r="EW6">
        <v>-2.4245362661989844E-14</v>
      </c>
      <c r="EX6">
        <v>-2.4245362661989844E-14</v>
      </c>
      <c r="EY6" t="s">
        <v>1753</v>
      </c>
      <c r="EZ6">
        <v>2024</v>
      </c>
      <c r="FA6" t="s">
        <v>4556</v>
      </c>
      <c r="FB6" s="6">
        <v>45733</v>
      </c>
      <c r="FC6">
        <v>5</v>
      </c>
      <c r="FD6">
        <v>-2.4245362661989844E-14</v>
      </c>
      <c r="FE6">
        <v>898673</v>
      </c>
      <c r="FF6" t="s">
        <v>4557</v>
      </c>
      <c r="FI6" t="s">
        <v>5558</v>
      </c>
      <c r="FJ6">
        <v>12.570546</v>
      </c>
      <c r="FK6" t="s">
        <v>1752</v>
      </c>
      <c r="FL6">
        <v>3.5888119999999999</v>
      </c>
      <c r="FM6" t="s">
        <v>1753</v>
      </c>
      <c r="FN6">
        <v>2025</v>
      </c>
      <c r="FO6" t="s">
        <v>4553</v>
      </c>
      <c r="FP6" s="6">
        <v>46080</v>
      </c>
      <c r="FQ6">
        <v>5</v>
      </c>
      <c r="FR6">
        <v>8425000</v>
      </c>
      <c r="FS6">
        <v>117886</v>
      </c>
      <c r="FT6" t="s">
        <v>5559</v>
      </c>
      <c r="FY6" t="s">
        <v>4060</v>
      </c>
      <c r="GA6">
        <v>-2.4245362661989844E-14</v>
      </c>
      <c r="GB6">
        <v>-2.4245362661989844E-14</v>
      </c>
      <c r="GC6" t="s">
        <v>1753</v>
      </c>
      <c r="GD6">
        <v>2021</v>
      </c>
      <c r="GE6" t="s">
        <v>4061</v>
      </c>
      <c r="GF6" s="6">
        <v>44693</v>
      </c>
      <c r="GG6">
        <v>4</v>
      </c>
      <c r="GH6">
        <v>-2.4245362661989844E-14</v>
      </c>
      <c r="GI6">
        <v>100532</v>
      </c>
      <c r="GJ6" t="s">
        <v>4062</v>
      </c>
      <c r="GM6" t="s">
        <v>5298</v>
      </c>
      <c r="GN6">
        <v>-2.4245362661989844E-14</v>
      </c>
      <c r="GP6">
        <v>-2.4245362661989844E-14</v>
      </c>
      <c r="GQ6" t="s">
        <v>1781</v>
      </c>
      <c r="GR6">
        <v>2024</v>
      </c>
      <c r="GS6" t="s">
        <v>5299</v>
      </c>
      <c r="GT6" s="6">
        <v>45433</v>
      </c>
      <c r="GU6">
        <v>5</v>
      </c>
      <c r="GV6">
        <v>-2.4245362661989844E-14</v>
      </c>
      <c r="GW6">
        <v>26621896</v>
      </c>
      <c r="GX6" t="s">
        <v>5300</v>
      </c>
      <c r="IG6" t="s">
        <v>3923</v>
      </c>
      <c r="IH6" t="s">
        <v>1752</v>
      </c>
      <c r="II6">
        <v>0.347161</v>
      </c>
      <c r="IJ6">
        <v>4.1422239999999997</v>
      </c>
      <c r="IK6" t="s">
        <v>1774</v>
      </c>
      <c r="IL6">
        <v>2025</v>
      </c>
      <c r="IM6" t="s">
        <v>3924</v>
      </c>
      <c r="IN6" s="6">
        <v>45889</v>
      </c>
      <c r="IO6">
        <v>5</v>
      </c>
      <c r="IP6">
        <v>201928052.13999999</v>
      </c>
      <c r="IQ6">
        <v>119133</v>
      </c>
      <c r="IR6" t="s">
        <v>3925</v>
      </c>
      <c r="IU6" t="s">
        <v>226</v>
      </c>
      <c r="IV6">
        <v>2.8732120000000001</v>
      </c>
      <c r="IW6" t="s">
        <v>1828</v>
      </c>
      <c r="IX6">
        <v>2.4006630000000002</v>
      </c>
      <c r="IY6" t="s">
        <v>1774</v>
      </c>
      <c r="IZ6">
        <v>2025</v>
      </c>
      <c r="JA6" t="s">
        <v>4893</v>
      </c>
      <c r="JB6" s="6">
        <v>45783</v>
      </c>
      <c r="JC6">
        <v>5</v>
      </c>
      <c r="JD6">
        <v>401991104</v>
      </c>
      <c r="JE6">
        <v>101743</v>
      </c>
      <c r="JF6" t="s">
        <v>2156</v>
      </c>
      <c r="JK6" t="s">
        <v>2215</v>
      </c>
      <c r="JL6" t="s">
        <v>1752</v>
      </c>
      <c r="JM6">
        <v>6.6266720000000001</v>
      </c>
      <c r="JN6">
        <v>6.8004179999999996</v>
      </c>
      <c r="JO6" t="s">
        <v>1788</v>
      </c>
      <c r="JP6">
        <v>2025</v>
      </c>
      <c r="JQ6" t="s">
        <v>2216</v>
      </c>
      <c r="JR6" s="6">
        <v>45867</v>
      </c>
      <c r="JS6">
        <v>5</v>
      </c>
      <c r="JT6">
        <v>518735872</v>
      </c>
      <c r="JU6">
        <v>117092</v>
      </c>
      <c r="JV6" t="s">
        <v>2217</v>
      </c>
      <c r="JY6" t="s">
        <v>1545</v>
      </c>
      <c r="JZ6">
        <v>15.549336</v>
      </c>
      <c r="KA6" t="s">
        <v>1752</v>
      </c>
      <c r="KB6">
        <v>4.6186980000000002</v>
      </c>
      <c r="KC6" t="s">
        <v>1788</v>
      </c>
      <c r="KD6">
        <v>2025</v>
      </c>
      <c r="KE6" t="s">
        <v>2577</v>
      </c>
      <c r="KF6" s="6">
        <v>46018</v>
      </c>
      <c r="KG6">
        <v>5</v>
      </c>
      <c r="KH6">
        <v>3730752256</v>
      </c>
      <c r="KI6">
        <v>156969</v>
      </c>
      <c r="KJ6" t="s">
        <v>2340</v>
      </c>
      <c r="LS6" t="s">
        <v>5183</v>
      </c>
      <c r="LT6" t="s">
        <v>1752</v>
      </c>
      <c r="LU6">
        <v>0.23335</v>
      </c>
      <c r="LV6">
        <v>0.39701999999999998</v>
      </c>
      <c r="LW6" t="s">
        <v>1774</v>
      </c>
      <c r="LX6">
        <v>2025</v>
      </c>
      <c r="LY6" t="s">
        <v>5184</v>
      </c>
      <c r="LZ6" s="6">
        <v>45778</v>
      </c>
      <c r="MA6">
        <v>5</v>
      </c>
      <c r="MB6">
        <v>6840655</v>
      </c>
      <c r="MC6">
        <v>100019</v>
      </c>
      <c r="MD6" t="s">
        <v>5185</v>
      </c>
      <c r="MG6" t="s">
        <v>4633</v>
      </c>
      <c r="MH6">
        <v>2.0834760000000001</v>
      </c>
      <c r="MI6" t="s">
        <v>1752</v>
      </c>
      <c r="MJ6">
        <v>0.33438400000000001</v>
      </c>
      <c r="MK6" t="s">
        <v>1788</v>
      </c>
      <c r="ML6">
        <v>2025</v>
      </c>
      <c r="MM6" t="s">
        <v>4978</v>
      </c>
      <c r="MN6" s="6">
        <v>46018</v>
      </c>
      <c r="MO6">
        <v>5</v>
      </c>
      <c r="MP6">
        <v>45878144</v>
      </c>
      <c r="MQ6">
        <v>112571</v>
      </c>
      <c r="MR6" t="s">
        <v>4635</v>
      </c>
      <c r="QI6" t="s">
        <v>2304</v>
      </c>
      <c r="QK6">
        <v>-2.4245362661989844E-14</v>
      </c>
      <c r="QL6">
        <v>-2.4245362661989844E-14</v>
      </c>
      <c r="QM6" t="s">
        <v>1753</v>
      </c>
      <c r="QN6">
        <v>2021</v>
      </c>
      <c r="QO6" t="s">
        <v>2305</v>
      </c>
      <c r="QP6" s="6">
        <v>44693</v>
      </c>
      <c r="QQ6">
        <v>5</v>
      </c>
      <c r="QR6">
        <v>-2.4245362661989844E-14</v>
      </c>
      <c r="QS6">
        <v>313098</v>
      </c>
      <c r="QT6" t="s">
        <v>2306</v>
      </c>
      <c r="SQ6" t="s">
        <v>2354</v>
      </c>
      <c r="SR6" t="s">
        <v>1828</v>
      </c>
      <c r="SS6">
        <v>3.5808580000000001</v>
      </c>
      <c r="ST6">
        <v>3.236755</v>
      </c>
      <c r="SU6" t="s">
        <v>1774</v>
      </c>
      <c r="SV6">
        <v>2025</v>
      </c>
      <c r="SW6" t="s">
        <v>2355</v>
      </c>
      <c r="SX6" s="6">
        <v>45947</v>
      </c>
      <c r="SY6">
        <v>5</v>
      </c>
      <c r="SZ6">
        <v>275188928</v>
      </c>
      <c r="TA6">
        <v>100010</v>
      </c>
      <c r="TB6" t="s">
        <v>2356</v>
      </c>
      <c r="TE6" t="s">
        <v>1079</v>
      </c>
      <c r="TF6">
        <v>1.3419890000000001</v>
      </c>
      <c r="TG6" t="s">
        <v>1752</v>
      </c>
      <c r="TH6">
        <v>0.27725100000000003</v>
      </c>
      <c r="TI6" t="s">
        <v>1825</v>
      </c>
      <c r="TJ6">
        <v>2025</v>
      </c>
      <c r="TK6" t="s">
        <v>1897</v>
      </c>
      <c r="TL6" s="6">
        <v>45848</v>
      </c>
      <c r="TM6">
        <v>5</v>
      </c>
      <c r="TN6">
        <v>213416512</v>
      </c>
      <c r="TO6">
        <v>216952</v>
      </c>
      <c r="TP6" t="s">
        <v>1899</v>
      </c>
      <c r="TU6" t="s">
        <v>3183</v>
      </c>
      <c r="TW6">
        <v>-2.4245362661989844E-14</v>
      </c>
      <c r="TX6">
        <v>-2.4245362661989844E-14</v>
      </c>
      <c r="TY6" t="s">
        <v>1753</v>
      </c>
      <c r="TZ6">
        <v>2024</v>
      </c>
      <c r="UA6" t="s">
        <v>3184</v>
      </c>
      <c r="UB6" s="6">
        <v>45762</v>
      </c>
      <c r="UC6">
        <v>4</v>
      </c>
      <c r="UD6">
        <v>-2.4245362661989844E-14</v>
      </c>
      <c r="UE6">
        <v>46286147</v>
      </c>
      <c r="UF6" t="s">
        <v>3185</v>
      </c>
    </row>
    <row r="7" spans="1:600" x14ac:dyDescent="0.25">
      <c r="CM7" t="s">
        <v>5060</v>
      </c>
      <c r="CN7" t="s">
        <v>1752</v>
      </c>
      <c r="CO7">
        <v>9.2974000000000001E-2</v>
      </c>
      <c r="CP7">
        <v>6.1322000000000002E-2</v>
      </c>
      <c r="CQ7" t="s">
        <v>1781</v>
      </c>
      <c r="CR7">
        <v>2025</v>
      </c>
      <c r="CS7" t="s">
        <v>5061</v>
      </c>
      <c r="CT7" s="6">
        <v>45846</v>
      </c>
      <c r="CU7">
        <v>5</v>
      </c>
      <c r="CV7">
        <v>187462</v>
      </c>
      <c r="CW7">
        <v>107051</v>
      </c>
      <c r="CX7" t="s">
        <v>5062</v>
      </c>
      <c r="DA7" t="s">
        <v>5102</v>
      </c>
      <c r="DB7">
        <v>3.278454</v>
      </c>
      <c r="DC7" t="s">
        <v>1752</v>
      </c>
      <c r="DD7">
        <v>0.18093100000000001</v>
      </c>
      <c r="DE7" t="s">
        <v>1781</v>
      </c>
      <c r="DF7">
        <v>2026</v>
      </c>
      <c r="DG7" t="s">
        <v>5100</v>
      </c>
      <c r="DH7" s="6">
        <v>45979</v>
      </c>
      <c r="DI7">
        <v>5</v>
      </c>
      <c r="DJ7">
        <v>12060875</v>
      </c>
      <c r="DK7">
        <v>194534</v>
      </c>
      <c r="DL7" t="s">
        <v>5103</v>
      </c>
      <c r="DQ7" t="s">
        <v>1787</v>
      </c>
      <c r="DR7" t="s">
        <v>1940</v>
      </c>
      <c r="DS7">
        <v>0.492811</v>
      </c>
      <c r="DT7">
        <v>2.9784000000000001E-2</v>
      </c>
      <c r="DU7" t="s">
        <v>1781</v>
      </c>
      <c r="DV7">
        <v>2026</v>
      </c>
      <c r="DW7" t="s">
        <v>2131</v>
      </c>
      <c r="DX7" s="6">
        <v>45898</v>
      </c>
      <c r="DY7">
        <v>5</v>
      </c>
      <c r="DZ7">
        <v>889383.69</v>
      </c>
      <c r="EA7">
        <v>178651</v>
      </c>
      <c r="EB7" t="s">
        <v>1790</v>
      </c>
      <c r="EU7" t="s">
        <v>1457</v>
      </c>
      <c r="EW7">
        <v>-2.4245362661989844E-14</v>
      </c>
      <c r="EX7">
        <v>-2.4245362661989844E-14</v>
      </c>
      <c r="EY7" t="s">
        <v>1788</v>
      </c>
      <c r="EZ7">
        <v>2024</v>
      </c>
      <c r="FA7" t="s">
        <v>4558</v>
      </c>
      <c r="FB7" s="6">
        <v>45604</v>
      </c>
      <c r="FC7">
        <v>5</v>
      </c>
      <c r="FD7">
        <v>-2.4245362661989844E-14</v>
      </c>
      <c r="FE7">
        <v>100225</v>
      </c>
      <c r="FF7" t="s">
        <v>2497</v>
      </c>
      <c r="FI7" t="s">
        <v>531</v>
      </c>
      <c r="FJ7">
        <v>12.048328</v>
      </c>
      <c r="FK7" t="s">
        <v>1752</v>
      </c>
      <c r="FL7">
        <v>0.19716800000000001</v>
      </c>
      <c r="FM7" t="s">
        <v>1753</v>
      </c>
      <c r="FN7">
        <v>2025</v>
      </c>
      <c r="FO7" t="s">
        <v>4553</v>
      </c>
      <c r="FP7" s="6">
        <v>46080</v>
      </c>
      <c r="FQ7">
        <v>5</v>
      </c>
      <c r="FR7">
        <v>8075000</v>
      </c>
      <c r="FS7">
        <v>100978</v>
      </c>
      <c r="FT7" t="s">
        <v>3462</v>
      </c>
      <c r="FY7" t="s">
        <v>4063</v>
      </c>
      <c r="GA7">
        <v>-2.4245362661989844E-14</v>
      </c>
      <c r="GB7">
        <v>-2.4245362661989844E-14</v>
      </c>
      <c r="GC7" t="s">
        <v>1753</v>
      </c>
      <c r="GD7">
        <v>2024</v>
      </c>
      <c r="GE7" t="s">
        <v>4064</v>
      </c>
      <c r="GF7" s="6">
        <v>45645</v>
      </c>
      <c r="GG7">
        <v>4</v>
      </c>
      <c r="GH7">
        <v>-2.4245362661989844E-14</v>
      </c>
      <c r="GI7">
        <v>385808</v>
      </c>
      <c r="GJ7" t="s">
        <v>4065</v>
      </c>
      <c r="GM7" t="s">
        <v>5301</v>
      </c>
      <c r="GN7">
        <v>-2.4245362661989844E-14</v>
      </c>
      <c r="GP7">
        <v>-2.4245362661989844E-14</v>
      </c>
      <c r="GQ7" t="s">
        <v>1781</v>
      </c>
      <c r="GR7">
        <v>2024</v>
      </c>
      <c r="GS7" t="s">
        <v>5299</v>
      </c>
      <c r="GT7" s="6">
        <v>45433</v>
      </c>
      <c r="GU7">
        <v>5</v>
      </c>
      <c r="GV7">
        <v>-2.4245362661989844E-14</v>
      </c>
      <c r="GW7">
        <v>117924</v>
      </c>
      <c r="GX7" t="s">
        <v>5302</v>
      </c>
      <c r="IG7" t="s">
        <v>1941</v>
      </c>
      <c r="IH7" t="s">
        <v>1752</v>
      </c>
      <c r="II7">
        <v>0.664825</v>
      </c>
      <c r="IJ7">
        <v>3.6327410000000002</v>
      </c>
      <c r="IK7" t="s">
        <v>1825</v>
      </c>
      <c r="IL7">
        <v>2024</v>
      </c>
      <c r="IM7" t="s">
        <v>3480</v>
      </c>
      <c r="IN7" s="6">
        <v>45741</v>
      </c>
      <c r="IO7">
        <v>5</v>
      </c>
      <c r="IP7">
        <v>178478249.27000001</v>
      </c>
      <c r="IQ7">
        <v>153737</v>
      </c>
      <c r="IR7" t="s">
        <v>1943</v>
      </c>
      <c r="IU7" t="s">
        <v>1871</v>
      </c>
      <c r="IV7">
        <v>2.64514</v>
      </c>
      <c r="IW7" t="s">
        <v>1752</v>
      </c>
      <c r="IX7">
        <v>1.094911</v>
      </c>
      <c r="IY7" t="s">
        <v>1774</v>
      </c>
      <c r="IZ7">
        <v>2025</v>
      </c>
      <c r="JA7" t="s">
        <v>4893</v>
      </c>
      <c r="JB7" s="6">
        <v>45783</v>
      </c>
      <c r="JC7">
        <v>5</v>
      </c>
      <c r="JD7">
        <v>370081536</v>
      </c>
      <c r="JE7">
        <v>117929</v>
      </c>
      <c r="JF7" t="s">
        <v>1873</v>
      </c>
      <c r="JK7" t="s">
        <v>3411</v>
      </c>
      <c r="JL7" t="s">
        <v>1752</v>
      </c>
      <c r="JM7">
        <v>1.3419449999999999</v>
      </c>
      <c r="JN7">
        <v>2.7987500000000001</v>
      </c>
      <c r="JO7" t="s">
        <v>1825</v>
      </c>
      <c r="JP7">
        <v>2025</v>
      </c>
      <c r="JQ7" t="s">
        <v>3412</v>
      </c>
      <c r="JR7" s="6">
        <v>46077</v>
      </c>
      <c r="JS7">
        <v>5</v>
      </c>
      <c r="JT7">
        <v>223004416</v>
      </c>
      <c r="JU7">
        <v>28046509</v>
      </c>
      <c r="JV7" t="s">
        <v>3413</v>
      </c>
      <c r="JY7" t="s">
        <v>1461</v>
      </c>
      <c r="JZ7">
        <v>12.373919000000001</v>
      </c>
      <c r="KA7" t="s">
        <v>1752</v>
      </c>
      <c r="KB7">
        <v>4.81257</v>
      </c>
      <c r="KC7" t="s">
        <v>1788</v>
      </c>
      <c r="KD7">
        <v>2025</v>
      </c>
      <c r="KE7" t="s">
        <v>2577</v>
      </c>
      <c r="KF7" s="6">
        <v>46018</v>
      </c>
      <c r="KG7">
        <v>5</v>
      </c>
      <c r="KH7">
        <v>2968874496</v>
      </c>
      <c r="KI7">
        <v>102782</v>
      </c>
      <c r="KJ7" t="s">
        <v>1991</v>
      </c>
      <c r="LS7" t="s">
        <v>5186</v>
      </c>
      <c r="LT7" t="s">
        <v>1752</v>
      </c>
      <c r="LU7">
        <v>2.1453500000000001</v>
      </c>
      <c r="LV7">
        <v>0.15345800000000001</v>
      </c>
      <c r="LW7" t="s">
        <v>1842</v>
      </c>
      <c r="LX7">
        <v>2025</v>
      </c>
      <c r="LY7" t="s">
        <v>5187</v>
      </c>
      <c r="LZ7" s="6">
        <v>46002</v>
      </c>
      <c r="MA7">
        <v>5</v>
      </c>
      <c r="MB7">
        <v>2657961.7200000002</v>
      </c>
      <c r="MC7">
        <v>23632129</v>
      </c>
      <c r="MD7" t="s">
        <v>5188</v>
      </c>
      <c r="MG7" t="s">
        <v>1831</v>
      </c>
      <c r="MH7">
        <v>1.9821549999999999</v>
      </c>
      <c r="MI7" t="s">
        <v>1752</v>
      </c>
      <c r="MJ7">
        <v>0.25070100000000001</v>
      </c>
      <c r="MK7" t="s">
        <v>1788</v>
      </c>
      <c r="ML7">
        <v>2025</v>
      </c>
      <c r="MM7" t="s">
        <v>4978</v>
      </c>
      <c r="MN7" s="6">
        <v>46018</v>
      </c>
      <c r="MO7">
        <v>5</v>
      </c>
      <c r="MP7">
        <v>43647052</v>
      </c>
      <c r="MQ7">
        <v>876285</v>
      </c>
      <c r="MR7" t="s">
        <v>1833</v>
      </c>
      <c r="QI7" t="s">
        <v>1180</v>
      </c>
      <c r="QK7">
        <v>-2.4245362661989844E-14</v>
      </c>
      <c r="QL7">
        <v>-2.4245362661989844E-14</v>
      </c>
      <c r="QM7" t="s">
        <v>1753</v>
      </c>
      <c r="QN7">
        <v>2021</v>
      </c>
      <c r="QO7" t="s">
        <v>2395</v>
      </c>
      <c r="QP7" s="6">
        <v>44693</v>
      </c>
      <c r="QQ7">
        <v>5</v>
      </c>
      <c r="QR7">
        <v>-2.4245362661989844E-14</v>
      </c>
      <c r="QS7">
        <v>100193</v>
      </c>
      <c r="QT7" t="s">
        <v>1951</v>
      </c>
      <c r="SQ7" t="s">
        <v>2357</v>
      </c>
      <c r="SR7" t="s">
        <v>1828</v>
      </c>
      <c r="SS7">
        <v>0.91127400000000003</v>
      </c>
      <c r="ST7">
        <v>1.364298</v>
      </c>
      <c r="SU7" t="s">
        <v>1825</v>
      </c>
      <c r="SV7">
        <v>2025</v>
      </c>
      <c r="SW7" t="s">
        <v>2358</v>
      </c>
      <c r="SX7" s="6">
        <v>46010</v>
      </c>
      <c r="SY7">
        <v>5</v>
      </c>
      <c r="SZ7">
        <v>164166016</v>
      </c>
      <c r="TA7">
        <v>59907412</v>
      </c>
      <c r="TB7" t="s">
        <v>2359</v>
      </c>
      <c r="TE7" t="s">
        <v>1824</v>
      </c>
      <c r="TF7">
        <v>1.0301469999999999</v>
      </c>
      <c r="TG7" t="s">
        <v>1752</v>
      </c>
      <c r="TH7">
        <v>1.0221020000000001</v>
      </c>
      <c r="TI7" t="s">
        <v>1825</v>
      </c>
      <c r="TJ7">
        <v>2025</v>
      </c>
      <c r="TK7" t="s">
        <v>1826</v>
      </c>
      <c r="TL7" s="6">
        <v>46056</v>
      </c>
      <c r="TM7">
        <v>5</v>
      </c>
      <c r="TN7">
        <v>165420976</v>
      </c>
      <c r="TO7">
        <v>1499717</v>
      </c>
      <c r="TP7" t="s">
        <v>1827</v>
      </c>
      <c r="TU7" t="s">
        <v>3981</v>
      </c>
      <c r="TW7">
        <v>-2.4245362661989844E-14</v>
      </c>
      <c r="TX7">
        <v>-2.4245362661989844E-14</v>
      </c>
      <c r="TY7" t="s">
        <v>1753</v>
      </c>
      <c r="TZ7">
        <v>2024</v>
      </c>
      <c r="UA7" t="s">
        <v>3982</v>
      </c>
      <c r="UB7" s="6">
        <v>45743</v>
      </c>
      <c r="UC7">
        <v>4</v>
      </c>
      <c r="UD7">
        <v>-2.4245362661989844E-14</v>
      </c>
      <c r="UE7">
        <v>33322594</v>
      </c>
      <c r="UF7" t="s">
        <v>3983</v>
      </c>
    </row>
    <row r="8" spans="1:600" x14ac:dyDescent="0.25">
      <c r="CM8" t="s">
        <v>4426</v>
      </c>
      <c r="CN8" t="s">
        <v>1752</v>
      </c>
      <c r="CO8">
        <v>8.6669999999999994E-3</v>
      </c>
      <c r="CP8">
        <v>2.9950000000000001E-2</v>
      </c>
      <c r="CQ8" t="s">
        <v>1774</v>
      </c>
      <c r="CR8">
        <v>2025</v>
      </c>
      <c r="CS8" t="s">
        <v>4427</v>
      </c>
      <c r="CT8" s="6">
        <v>45950</v>
      </c>
      <c r="CU8">
        <v>5</v>
      </c>
      <c r="CV8">
        <v>86521.79</v>
      </c>
      <c r="CW8">
        <v>22262012</v>
      </c>
      <c r="CX8" t="s">
        <v>4428</v>
      </c>
      <c r="DA8" t="s">
        <v>2086</v>
      </c>
      <c r="DB8">
        <v>2.684606</v>
      </c>
      <c r="DC8" t="s">
        <v>1752</v>
      </c>
      <c r="DD8">
        <v>5.1091999999999999E-2</v>
      </c>
      <c r="DE8" t="s">
        <v>1781</v>
      </c>
      <c r="DF8">
        <v>2026</v>
      </c>
      <c r="DG8" t="s">
        <v>5100</v>
      </c>
      <c r="DH8" s="6">
        <v>45979</v>
      </c>
      <c r="DI8">
        <v>5</v>
      </c>
      <c r="DJ8">
        <v>9876209</v>
      </c>
      <c r="DK8">
        <v>115643</v>
      </c>
      <c r="DL8" t="s">
        <v>2088</v>
      </c>
      <c r="DQ8" t="s">
        <v>2132</v>
      </c>
      <c r="DS8">
        <v>0.44397199999999998</v>
      </c>
      <c r="DT8">
        <v>-2.4245362661989844E-14</v>
      </c>
      <c r="DU8" t="s">
        <v>1825</v>
      </c>
      <c r="DV8">
        <v>2024</v>
      </c>
      <c r="DW8" t="s">
        <v>2133</v>
      </c>
      <c r="DX8" s="6">
        <v>45699</v>
      </c>
      <c r="DY8">
        <v>5</v>
      </c>
      <c r="DZ8">
        <v>316250</v>
      </c>
      <c r="EA8">
        <v>10086577</v>
      </c>
      <c r="EB8" t="s">
        <v>2134</v>
      </c>
      <c r="EU8" t="s">
        <v>2663</v>
      </c>
      <c r="EW8">
        <v>-2.4245362661989844E-14</v>
      </c>
      <c r="EX8">
        <v>-2.4245362661989844E-14</v>
      </c>
      <c r="EY8" t="s">
        <v>1753</v>
      </c>
      <c r="EZ8">
        <v>2021</v>
      </c>
      <c r="FA8" t="s">
        <v>2664</v>
      </c>
      <c r="FB8" s="6">
        <v>44693</v>
      </c>
      <c r="FC8">
        <v>5</v>
      </c>
      <c r="FD8">
        <v>-2.4245362661989844E-14</v>
      </c>
      <c r="FE8">
        <v>100481</v>
      </c>
      <c r="FF8" t="s">
        <v>2665</v>
      </c>
      <c r="FI8" t="s">
        <v>5560</v>
      </c>
      <c r="FJ8">
        <v>11.936424000000001</v>
      </c>
      <c r="FL8">
        <v>-2.4245362661989844E-14</v>
      </c>
      <c r="FM8" t="s">
        <v>1753</v>
      </c>
      <c r="FN8">
        <v>2025</v>
      </c>
      <c r="FO8" t="s">
        <v>4553</v>
      </c>
      <c r="FP8" s="6">
        <v>46080</v>
      </c>
      <c r="FQ8">
        <v>5</v>
      </c>
      <c r="FR8">
        <v>8000000</v>
      </c>
      <c r="FS8">
        <v>8094743</v>
      </c>
      <c r="FT8" t="s">
        <v>5561</v>
      </c>
      <c r="FY8" t="s">
        <v>2648</v>
      </c>
      <c r="GA8">
        <v>-2.4245362661989844E-14</v>
      </c>
      <c r="GB8">
        <v>-2.4245362661989844E-14</v>
      </c>
      <c r="GC8" t="s">
        <v>1753</v>
      </c>
      <c r="GD8">
        <v>2021</v>
      </c>
      <c r="GE8" t="s">
        <v>2649</v>
      </c>
      <c r="GF8" s="6">
        <v>44693</v>
      </c>
      <c r="GG8">
        <v>4</v>
      </c>
      <c r="GH8">
        <v>-2.4245362661989844E-14</v>
      </c>
      <c r="GI8">
        <v>101225</v>
      </c>
      <c r="GJ8" t="s">
        <v>2650</v>
      </c>
      <c r="GM8" t="s">
        <v>5303</v>
      </c>
      <c r="GN8">
        <v>-2.4245362661989844E-14</v>
      </c>
      <c r="GP8">
        <v>-2.4245362661989844E-14</v>
      </c>
      <c r="GQ8" t="s">
        <v>1781</v>
      </c>
      <c r="GR8">
        <v>2024</v>
      </c>
      <c r="GS8" t="s">
        <v>5299</v>
      </c>
      <c r="GT8" s="6">
        <v>45433</v>
      </c>
      <c r="GU8">
        <v>5</v>
      </c>
      <c r="GV8">
        <v>-2.4245362661989844E-14</v>
      </c>
      <c r="GW8">
        <v>24929141</v>
      </c>
      <c r="GX8" t="s">
        <v>5304</v>
      </c>
      <c r="IG8" t="s">
        <v>2212</v>
      </c>
      <c r="IH8" t="s">
        <v>1752</v>
      </c>
      <c r="II8">
        <v>2.6461350000000001</v>
      </c>
      <c r="IJ8">
        <v>3.5549309999999998</v>
      </c>
      <c r="IK8" t="s">
        <v>1788</v>
      </c>
      <c r="IL8">
        <v>2025</v>
      </c>
      <c r="IM8" t="s">
        <v>2213</v>
      </c>
      <c r="IN8" s="6">
        <v>45763</v>
      </c>
      <c r="IO8">
        <v>5</v>
      </c>
      <c r="IP8">
        <v>173480608</v>
      </c>
      <c r="IQ8">
        <v>136547</v>
      </c>
      <c r="IR8" t="s">
        <v>2214</v>
      </c>
      <c r="IU8" t="s">
        <v>1079</v>
      </c>
      <c r="IV8">
        <v>2.5842719999999999</v>
      </c>
      <c r="IW8" t="s">
        <v>1828</v>
      </c>
      <c r="IX8">
        <v>1.4451639999999999</v>
      </c>
      <c r="IY8" t="s">
        <v>1774</v>
      </c>
      <c r="IZ8">
        <v>2025</v>
      </c>
      <c r="JA8" t="s">
        <v>4893</v>
      </c>
      <c r="JB8" s="6">
        <v>45783</v>
      </c>
      <c r="JC8">
        <v>5</v>
      </c>
      <c r="JD8">
        <v>361565504</v>
      </c>
      <c r="JE8">
        <v>216952</v>
      </c>
      <c r="JF8" t="s">
        <v>1899</v>
      </c>
      <c r="JK8" t="s">
        <v>3414</v>
      </c>
      <c r="JL8" t="s">
        <v>1752</v>
      </c>
      <c r="JM8">
        <v>49.056618</v>
      </c>
      <c r="JN8">
        <v>2.3797060000000001</v>
      </c>
      <c r="JO8" t="s">
        <v>1788</v>
      </c>
      <c r="JP8">
        <v>2025</v>
      </c>
      <c r="JQ8" t="s">
        <v>3415</v>
      </c>
      <c r="JR8" s="6">
        <v>46050</v>
      </c>
      <c r="JS8">
        <v>5</v>
      </c>
      <c r="JT8">
        <v>173789936</v>
      </c>
      <c r="JU8">
        <v>1753841</v>
      </c>
      <c r="JV8" t="s">
        <v>3416</v>
      </c>
      <c r="JY8" t="s">
        <v>3276</v>
      </c>
      <c r="JZ8">
        <v>2.966253</v>
      </c>
      <c r="KA8" t="s">
        <v>1752</v>
      </c>
      <c r="KB8">
        <v>1.12304</v>
      </c>
      <c r="KC8" t="s">
        <v>1788</v>
      </c>
      <c r="KD8">
        <v>2025</v>
      </c>
      <c r="KE8" t="s">
        <v>2577</v>
      </c>
      <c r="KF8" s="6">
        <v>46018</v>
      </c>
      <c r="KG8">
        <v>5</v>
      </c>
      <c r="KH8">
        <v>711693056</v>
      </c>
      <c r="KI8">
        <v>60401289</v>
      </c>
      <c r="KJ8" t="s">
        <v>3278</v>
      </c>
      <c r="LS8" t="s">
        <v>5189</v>
      </c>
      <c r="LT8" t="s">
        <v>1752</v>
      </c>
      <c r="LU8">
        <v>0.46399000000000001</v>
      </c>
      <c r="LV8">
        <v>6.2393999999999998E-2</v>
      </c>
      <c r="LW8" t="s">
        <v>1753</v>
      </c>
      <c r="LX8">
        <v>2024</v>
      </c>
      <c r="LY8" t="s">
        <v>5190</v>
      </c>
      <c r="LZ8" s="6">
        <v>45709</v>
      </c>
      <c r="MA8">
        <v>5</v>
      </c>
      <c r="MB8">
        <v>1106249.5</v>
      </c>
      <c r="MC8">
        <v>102469</v>
      </c>
      <c r="MD8" t="s">
        <v>5191</v>
      </c>
      <c r="MG8" t="s">
        <v>1113</v>
      </c>
      <c r="MH8">
        <v>1.490785</v>
      </c>
      <c r="MI8" t="s">
        <v>1752</v>
      </c>
      <c r="MJ8">
        <v>0.31898799999999999</v>
      </c>
      <c r="MK8" t="s">
        <v>1788</v>
      </c>
      <c r="ML8">
        <v>2025</v>
      </c>
      <c r="MM8" t="s">
        <v>4978</v>
      </c>
      <c r="MN8" s="6">
        <v>46018</v>
      </c>
      <c r="MO8">
        <v>5</v>
      </c>
      <c r="MP8">
        <v>32827086</v>
      </c>
      <c r="MQ8">
        <v>101215</v>
      </c>
      <c r="MR8" t="s">
        <v>3111</v>
      </c>
      <c r="QI8" t="s">
        <v>2663</v>
      </c>
      <c r="QK8">
        <v>-2.4245362661989844E-14</v>
      </c>
      <c r="QL8">
        <v>-2.4245362661989844E-14</v>
      </c>
      <c r="QM8" t="s">
        <v>1753</v>
      </c>
      <c r="QN8">
        <v>2021</v>
      </c>
      <c r="QO8" t="s">
        <v>2664</v>
      </c>
      <c r="QP8" s="6">
        <v>44693</v>
      </c>
      <c r="QQ8">
        <v>5</v>
      </c>
      <c r="QR8">
        <v>-2.4245362661989844E-14</v>
      </c>
      <c r="QS8">
        <v>100481</v>
      </c>
      <c r="QT8" t="s">
        <v>2665</v>
      </c>
      <c r="SQ8" t="s">
        <v>2360</v>
      </c>
      <c r="SR8" t="s">
        <v>1828</v>
      </c>
      <c r="SS8">
        <v>6.234559</v>
      </c>
      <c r="ST8">
        <v>1.5138720000000001</v>
      </c>
      <c r="SU8" t="s">
        <v>1774</v>
      </c>
      <c r="SV8">
        <v>2025</v>
      </c>
      <c r="SW8" t="s">
        <v>2361</v>
      </c>
      <c r="SX8" s="6">
        <v>45897</v>
      </c>
      <c r="SY8">
        <v>5</v>
      </c>
      <c r="SZ8">
        <v>137459552</v>
      </c>
      <c r="TA8">
        <v>16532368</v>
      </c>
      <c r="TB8" t="s">
        <v>2362</v>
      </c>
      <c r="TE8" t="s">
        <v>1900</v>
      </c>
      <c r="TF8">
        <v>0.69902799999999998</v>
      </c>
      <c r="TG8" t="s">
        <v>1752</v>
      </c>
      <c r="TH8">
        <v>0.138625</v>
      </c>
      <c r="TI8" t="s">
        <v>1825</v>
      </c>
      <c r="TJ8">
        <v>2025</v>
      </c>
      <c r="TK8" t="s">
        <v>1897</v>
      </c>
      <c r="TL8" s="6">
        <v>45848</v>
      </c>
      <c r="TM8">
        <v>5</v>
      </c>
      <c r="TN8">
        <v>111166424</v>
      </c>
      <c r="TO8">
        <v>100976</v>
      </c>
      <c r="TP8" t="s">
        <v>1901</v>
      </c>
      <c r="TU8" t="s">
        <v>1110</v>
      </c>
      <c r="TW8">
        <v>-2.4245362661989844E-14</v>
      </c>
      <c r="TX8">
        <v>-2.4245362661989844E-14</v>
      </c>
      <c r="TY8" t="s">
        <v>1774</v>
      </c>
      <c r="TZ8">
        <v>2023</v>
      </c>
      <c r="UA8" t="s">
        <v>2226</v>
      </c>
      <c r="UB8" s="6">
        <v>45174</v>
      </c>
      <c r="UC8">
        <v>4</v>
      </c>
      <c r="UD8">
        <v>-2.4245362661989844E-14</v>
      </c>
      <c r="UE8">
        <v>202476</v>
      </c>
      <c r="UF8" t="s">
        <v>2227</v>
      </c>
    </row>
    <row r="9" spans="1:600" x14ac:dyDescent="0.25">
      <c r="CM9" t="s">
        <v>5063</v>
      </c>
      <c r="CO9">
        <v>-2.4245362661989844E-14</v>
      </c>
      <c r="CP9">
        <v>-2.4245362661989844E-14</v>
      </c>
      <c r="CQ9" t="s">
        <v>1753</v>
      </c>
      <c r="CR9">
        <v>2024</v>
      </c>
      <c r="CS9" t="s">
        <v>5064</v>
      </c>
      <c r="CT9" s="6">
        <v>45531</v>
      </c>
      <c r="CU9">
        <v>5</v>
      </c>
      <c r="CV9">
        <v>-2.4245362661989844E-14</v>
      </c>
      <c r="CW9">
        <v>7191034</v>
      </c>
      <c r="CX9" t="s">
        <v>5065</v>
      </c>
      <c r="DA9" t="s">
        <v>5104</v>
      </c>
      <c r="DB9">
        <v>2.1512410000000002</v>
      </c>
      <c r="DC9" t="s">
        <v>1752</v>
      </c>
      <c r="DD9">
        <v>0.18093100000000001</v>
      </c>
      <c r="DE9" t="s">
        <v>1781</v>
      </c>
      <c r="DF9">
        <v>2026</v>
      </c>
      <c r="DG9" t="s">
        <v>5100</v>
      </c>
      <c r="DH9" s="6">
        <v>45979</v>
      </c>
      <c r="DI9">
        <v>5</v>
      </c>
      <c r="DJ9">
        <v>7914050</v>
      </c>
      <c r="DK9">
        <v>25874174</v>
      </c>
      <c r="DL9" t="s">
        <v>5105</v>
      </c>
      <c r="DQ9" t="s">
        <v>2135</v>
      </c>
      <c r="DS9">
        <v>-2.4245362661989844E-14</v>
      </c>
      <c r="DT9">
        <v>-2.4245362661989844E-14</v>
      </c>
      <c r="DU9" t="s">
        <v>1768</v>
      </c>
      <c r="DV9">
        <v>2025</v>
      </c>
      <c r="DW9" t="s">
        <v>2136</v>
      </c>
      <c r="DX9" s="6">
        <v>45974</v>
      </c>
      <c r="DY9">
        <v>5</v>
      </c>
      <c r="DZ9">
        <v>-2.4245362661989844E-14</v>
      </c>
      <c r="EA9">
        <v>118099</v>
      </c>
      <c r="EB9" t="s">
        <v>2137</v>
      </c>
      <c r="EU9" t="s">
        <v>4559</v>
      </c>
      <c r="EW9">
        <v>-2.4245362661989844E-14</v>
      </c>
      <c r="EX9">
        <v>-2.4245362661989844E-14</v>
      </c>
      <c r="EY9" t="s">
        <v>1753</v>
      </c>
      <c r="EZ9">
        <v>2021</v>
      </c>
      <c r="FA9" t="s">
        <v>4560</v>
      </c>
      <c r="FB9" s="6">
        <v>44693</v>
      </c>
      <c r="FC9">
        <v>5</v>
      </c>
      <c r="FD9">
        <v>-2.4245362661989844E-14</v>
      </c>
      <c r="FE9">
        <v>54282724</v>
      </c>
      <c r="FF9" t="s">
        <v>4561</v>
      </c>
      <c r="FI9" t="s">
        <v>5562</v>
      </c>
      <c r="FJ9">
        <v>4.9610760000000003</v>
      </c>
      <c r="FK9" t="s">
        <v>1752</v>
      </c>
      <c r="FL9">
        <v>2.6425800000000002</v>
      </c>
      <c r="FM9" t="s">
        <v>1753</v>
      </c>
      <c r="FN9">
        <v>2025</v>
      </c>
      <c r="FO9" t="s">
        <v>4553</v>
      </c>
      <c r="FP9" s="6">
        <v>46080</v>
      </c>
      <c r="FQ9">
        <v>5</v>
      </c>
      <c r="FR9">
        <v>3325000</v>
      </c>
      <c r="FS9">
        <v>9640935</v>
      </c>
      <c r="FT9" t="s">
        <v>5563</v>
      </c>
      <c r="GM9" t="s">
        <v>5305</v>
      </c>
      <c r="GN9">
        <v>-2.4245362661989844E-14</v>
      </c>
      <c r="GP9">
        <v>-2.4245362661989844E-14</v>
      </c>
      <c r="GQ9" t="s">
        <v>1781</v>
      </c>
      <c r="GR9">
        <v>2024</v>
      </c>
      <c r="GS9" t="s">
        <v>5299</v>
      </c>
      <c r="GT9" s="6">
        <v>45433</v>
      </c>
      <c r="GU9">
        <v>5</v>
      </c>
      <c r="GV9">
        <v>-2.4245362661989844E-14</v>
      </c>
      <c r="GW9">
        <v>31068408</v>
      </c>
      <c r="GX9" t="s">
        <v>5306</v>
      </c>
      <c r="IG9" t="s">
        <v>5694</v>
      </c>
      <c r="IH9" t="s">
        <v>1752</v>
      </c>
      <c r="II9">
        <v>18.200001</v>
      </c>
      <c r="IJ9">
        <v>3.1899000000000002</v>
      </c>
      <c r="IK9" t="s">
        <v>1753</v>
      </c>
      <c r="IL9">
        <v>2025</v>
      </c>
      <c r="IM9" t="s">
        <v>5695</v>
      </c>
      <c r="IN9" s="6">
        <v>45888</v>
      </c>
      <c r="IO9">
        <v>5</v>
      </c>
      <c r="IP9">
        <v>155579376</v>
      </c>
      <c r="IQ9">
        <v>9858567</v>
      </c>
      <c r="IR9" t="s">
        <v>5696</v>
      </c>
      <c r="IU9" t="s">
        <v>229</v>
      </c>
      <c r="IV9">
        <v>1.966375</v>
      </c>
      <c r="IW9" t="s">
        <v>1828</v>
      </c>
      <c r="IX9">
        <v>5.4308940000000003</v>
      </c>
      <c r="IY9" t="s">
        <v>1774</v>
      </c>
      <c r="IZ9">
        <v>2025</v>
      </c>
      <c r="JA9" t="s">
        <v>4893</v>
      </c>
      <c r="JB9" s="6">
        <v>45783</v>
      </c>
      <c r="JC9">
        <v>5</v>
      </c>
      <c r="JD9">
        <v>275115520</v>
      </c>
      <c r="JE9">
        <v>101376</v>
      </c>
      <c r="JF9" t="s">
        <v>2334</v>
      </c>
      <c r="JK9" t="s">
        <v>2343</v>
      </c>
      <c r="JL9" t="s">
        <v>1752</v>
      </c>
      <c r="JM9">
        <v>1.017503</v>
      </c>
      <c r="JN9">
        <v>1.621964</v>
      </c>
      <c r="JO9" t="s">
        <v>1774</v>
      </c>
      <c r="JP9">
        <v>2025</v>
      </c>
      <c r="JQ9" t="s">
        <v>3417</v>
      </c>
      <c r="JR9" s="6">
        <v>45929</v>
      </c>
      <c r="JS9">
        <v>5</v>
      </c>
      <c r="JT9">
        <v>123835292.08</v>
      </c>
      <c r="JU9">
        <v>115679</v>
      </c>
      <c r="JV9" t="s">
        <v>2344</v>
      </c>
      <c r="JY9" t="s">
        <v>2089</v>
      </c>
      <c r="JZ9">
        <v>2.108371</v>
      </c>
      <c r="KA9" t="s">
        <v>1752</v>
      </c>
      <c r="KB9">
        <v>2.5571009999999998</v>
      </c>
      <c r="KC9" t="s">
        <v>1774</v>
      </c>
      <c r="KD9">
        <v>2025</v>
      </c>
      <c r="KE9" t="s">
        <v>2090</v>
      </c>
      <c r="KF9" s="6">
        <v>45919</v>
      </c>
      <c r="KG9">
        <v>5</v>
      </c>
      <c r="KH9">
        <v>501043244.87</v>
      </c>
      <c r="KI9">
        <v>115268</v>
      </c>
      <c r="KJ9" t="s">
        <v>2091</v>
      </c>
      <c r="LS9" t="s">
        <v>4334</v>
      </c>
      <c r="LT9" t="s">
        <v>1752</v>
      </c>
      <c r="LU9">
        <v>2.4084999999999999E-2</v>
      </c>
      <c r="LV9">
        <v>4.8836999999999998E-2</v>
      </c>
      <c r="LW9" t="s">
        <v>1788</v>
      </c>
      <c r="LX9">
        <v>2025</v>
      </c>
      <c r="LY9" t="s">
        <v>4335</v>
      </c>
      <c r="LZ9" s="6">
        <v>45993</v>
      </c>
      <c r="MA9">
        <v>5</v>
      </c>
      <c r="MB9">
        <v>863929</v>
      </c>
      <c r="MC9">
        <v>100415</v>
      </c>
      <c r="MD9" t="s">
        <v>4336</v>
      </c>
      <c r="MG9" t="s">
        <v>411</v>
      </c>
      <c r="MH9">
        <v>1.3051170000000001</v>
      </c>
      <c r="MI9" t="s">
        <v>1752</v>
      </c>
      <c r="MJ9">
        <v>0.246114</v>
      </c>
      <c r="MK9" t="s">
        <v>1788</v>
      </c>
      <c r="ML9">
        <v>2025</v>
      </c>
      <c r="MM9" t="s">
        <v>4978</v>
      </c>
      <c r="MN9" s="6">
        <v>46018</v>
      </c>
      <c r="MO9">
        <v>5</v>
      </c>
      <c r="MP9">
        <v>28738676</v>
      </c>
      <c r="MQ9">
        <v>100732</v>
      </c>
      <c r="MR9" t="s">
        <v>2880</v>
      </c>
      <c r="QI9" t="s">
        <v>5412</v>
      </c>
      <c r="QK9">
        <v>-2.4245362661989844E-14</v>
      </c>
      <c r="QL9">
        <v>-2.4245362661989844E-14</v>
      </c>
      <c r="QM9" t="s">
        <v>1753</v>
      </c>
      <c r="QN9">
        <v>2021</v>
      </c>
      <c r="QO9" t="s">
        <v>5413</v>
      </c>
      <c r="QP9" s="6">
        <v>44693</v>
      </c>
      <c r="QQ9">
        <v>5</v>
      </c>
      <c r="QR9">
        <v>-2.4245362661989844E-14</v>
      </c>
      <c r="QS9">
        <v>100382</v>
      </c>
      <c r="QT9" t="s">
        <v>5414</v>
      </c>
      <c r="SQ9" t="s">
        <v>1386</v>
      </c>
      <c r="SR9" t="s">
        <v>1828</v>
      </c>
      <c r="SS9">
        <v>3.6037650000000001</v>
      </c>
      <c r="ST9">
        <v>0.90356199999999998</v>
      </c>
      <c r="SU9" t="s">
        <v>1774</v>
      </c>
      <c r="SV9">
        <v>2026</v>
      </c>
      <c r="SW9" t="s">
        <v>2363</v>
      </c>
      <c r="SX9" s="6">
        <v>46059</v>
      </c>
      <c r="SY9">
        <v>5</v>
      </c>
      <c r="SZ9">
        <v>108725592</v>
      </c>
      <c r="TA9">
        <v>101643</v>
      </c>
      <c r="TB9" t="s">
        <v>2364</v>
      </c>
      <c r="TE9" t="s">
        <v>1902</v>
      </c>
      <c r="TF9">
        <v>0.66108800000000001</v>
      </c>
      <c r="TG9" t="s">
        <v>1752</v>
      </c>
      <c r="TH9">
        <v>0.122531</v>
      </c>
      <c r="TI9" t="s">
        <v>1825</v>
      </c>
      <c r="TJ9">
        <v>2025</v>
      </c>
      <c r="TK9" t="s">
        <v>1897</v>
      </c>
      <c r="TL9" s="6">
        <v>45848</v>
      </c>
      <c r="TM9">
        <v>5</v>
      </c>
      <c r="TN9">
        <v>105132824</v>
      </c>
      <c r="TO9">
        <v>101548</v>
      </c>
      <c r="TP9" t="s">
        <v>1903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389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390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391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392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393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394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395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396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397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398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399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400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401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402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403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404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405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406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407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408</v>
      </c>
      <c r="AE2" s="3" t="s">
        <v>409</v>
      </c>
      <c r="BI2" s="3" t="s">
        <v>410</v>
      </c>
      <c r="CM2" s="3" t="s">
        <v>411</v>
      </c>
      <c r="DQ2" s="3" t="s">
        <v>412</v>
      </c>
      <c r="EU2" s="3" t="s">
        <v>413</v>
      </c>
      <c r="FY2" s="3" t="s">
        <v>414</v>
      </c>
      <c r="HC2" s="3" t="s">
        <v>415</v>
      </c>
      <c r="IG2" s="3" t="s">
        <v>416</v>
      </c>
      <c r="JK2" s="3" t="s">
        <v>417</v>
      </c>
      <c r="KO2" s="3" t="s">
        <v>418</v>
      </c>
      <c r="LS2" s="3" t="s">
        <v>161</v>
      </c>
      <c r="MW2" s="3" t="s">
        <v>419</v>
      </c>
      <c r="OA2" s="3" t="s">
        <v>420</v>
      </c>
      <c r="PE2" s="3" t="s">
        <v>421</v>
      </c>
      <c r="QI2" s="3" t="s">
        <v>422</v>
      </c>
      <c r="RM2" s="3" t="s">
        <v>423</v>
      </c>
      <c r="SQ2" s="3" t="s">
        <v>424</v>
      </c>
      <c r="TU2" s="3" t="s">
        <v>425</v>
      </c>
      <c r="UY2" s="3" t="s">
        <v>418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_xll.BDS("3388162Z US Equity","SUPPLY_CHAIN_SUPPLIERS_ALL_DATA")</f>
        <v>#N/A N/A</v>
      </c>
      <c r="O5" t="str">
        <f>_xll.BDS("3388162Z US Equity","SUPPLY_CHAIN_CUSTOMERS_ALL_DATA")</f>
        <v>#N/A N/A</v>
      </c>
      <c r="AE5" t="str">
        <f>_xll.BDS("3461945Q US Equity","SUPPLY_CHAIN_SUPPLIERS_ALL_DATA")</f>
        <v>#N/A N/A</v>
      </c>
      <c r="AS5" t="str">
        <f>_xll.BDS("3461945Q US Equity","SUPPLY_CHAIN_CUSTOMERS_ALL_DATA")</f>
        <v>#N/A N/A</v>
      </c>
      <c r="BI5" t="str">
        <f>_xll.BDS("TCR US Equity","SUPPLY_CHAIN_SUPPLIERS_ALL_DATA")</f>
        <v>#N/A N/A</v>
      </c>
      <c r="BW5" t="str">
        <f>_xll.BDS("TCR US Equity","SUPPLY_CHAIN_CUSTOMERS_ALL_DATA")</f>
        <v>#N/A N/A</v>
      </c>
      <c r="CM5" t="str">
        <f>_xll.BDS("HPQ US Equity","SUPPLY_CHAIN_SUPPLIERS_ALL_DATA","cols=12;rows=5")</f>
        <v>2356 TT Equity</v>
      </c>
      <c r="CN5" t="s">
        <v>1752</v>
      </c>
      <c r="CO5">
        <v>36.343342</v>
      </c>
      <c r="CP5">
        <v>18.051394999999999</v>
      </c>
      <c r="CQ5" t="s">
        <v>1788</v>
      </c>
      <c r="CR5">
        <v>2025</v>
      </c>
      <c r="CS5" t="s">
        <v>4293</v>
      </c>
      <c r="CT5" s="6">
        <v>46035</v>
      </c>
      <c r="CU5">
        <v>5</v>
      </c>
      <c r="CV5">
        <v>2141270971.6500001</v>
      </c>
      <c r="CW5">
        <v>193712</v>
      </c>
      <c r="CX5" t="s">
        <v>4294</v>
      </c>
      <c r="DA5" t="str">
        <f>_xll.BDS("HPQ US Equity","SUPPLY_CHAIN_CUSTOMERS_ALL_DATA","cols=12;rows=5")</f>
        <v>SNX US Equity</v>
      </c>
      <c r="DB5">
        <v>12</v>
      </c>
      <c r="DC5" t="s">
        <v>1752</v>
      </c>
      <c r="DD5">
        <v>11.690618000000001</v>
      </c>
      <c r="DE5" t="s">
        <v>1753</v>
      </c>
      <c r="DF5">
        <v>2025</v>
      </c>
      <c r="DG5" t="s">
        <v>3503</v>
      </c>
      <c r="DH5" s="6">
        <v>46001</v>
      </c>
      <c r="DI5">
        <v>5</v>
      </c>
      <c r="DJ5">
        <v>1658850048</v>
      </c>
      <c r="DK5">
        <v>1499717</v>
      </c>
      <c r="DL5" t="s">
        <v>1827</v>
      </c>
      <c r="DQ5" t="str">
        <f>_xll.BDS("1577770D US Equity","SUPPLY_CHAIN_SUPPLIERS_ALL_DATA")</f>
        <v>#N/A N/A</v>
      </c>
      <c r="EE5" t="str">
        <f>_xll.BDS("1577770D US Equity","SUPPLY_CHAIN_CUSTOMERS_ALL_DATA")</f>
        <v>#N/A N/A</v>
      </c>
      <c r="EU5" t="str">
        <f>_xll.BDS("ELNK US Equity","SUPPLY_CHAIN_SUPPLIERS_ALL_DATA")</f>
        <v>#N/A N/A</v>
      </c>
      <c r="FI5" t="str">
        <f>_xll.BDS("ELNK US Equity","SUPPLY_CHAIN_CUSTOMERS_ALL_DATA")</f>
        <v>#N/A N/A</v>
      </c>
      <c r="FY5" t="str">
        <f>_xll.BDS("PRTK US Equity","SUPPLY_CHAIN_SUPPLIERS_ALL_DATA","cols=12;rows=5")</f>
        <v>0141656D LN Equity</v>
      </c>
      <c r="GA5">
        <v>-2.4245362661989844E-14</v>
      </c>
      <c r="GB5">
        <v>-2.4245362661989844E-14</v>
      </c>
      <c r="GC5" t="s">
        <v>1753</v>
      </c>
      <c r="GD5">
        <v>2022</v>
      </c>
      <c r="GE5" t="s">
        <v>5649</v>
      </c>
      <c r="GF5" s="6">
        <v>45001</v>
      </c>
      <c r="GG5">
        <v>5</v>
      </c>
      <c r="GH5">
        <v>-2.4245362661989844E-14</v>
      </c>
      <c r="GI5">
        <v>21207701</v>
      </c>
      <c r="GJ5" t="s">
        <v>5650</v>
      </c>
      <c r="GM5" t="str">
        <f>_xll.BDS("PRTK US Equity","SUPPLY_CHAIN_CUSTOMERS_ALL_DATA","cols=12;rows=5")</f>
        <v>0219354Z US Equity</v>
      </c>
      <c r="GN5">
        <v>-2.4245362661989844E-14</v>
      </c>
      <c r="GP5">
        <v>-2.4245362661989844E-14</v>
      </c>
      <c r="GQ5" t="s">
        <v>1753</v>
      </c>
      <c r="GR5">
        <v>2023</v>
      </c>
      <c r="GS5" t="s">
        <v>5705</v>
      </c>
      <c r="GT5" s="6">
        <v>45117</v>
      </c>
      <c r="GU5">
        <v>5</v>
      </c>
      <c r="GV5">
        <v>-2.4245362661989844E-14</v>
      </c>
      <c r="GW5">
        <v>962208</v>
      </c>
      <c r="GX5" t="s">
        <v>2431</v>
      </c>
      <c r="HC5" t="str">
        <f>_xll.BDS("EGHDQ US Equity","SUPPLY_CHAIN_SUPPLIERS_ALL_DATA")</f>
        <v>#N/A N/A</v>
      </c>
      <c r="HQ5" t="str">
        <f>_xll.BDS("EGHDQ US Equity","SUPPLY_CHAIN_CUSTOMERS_ALL_DATA")</f>
        <v>#N/A N/A</v>
      </c>
      <c r="IG5" t="str">
        <f>_xll.BDS("1715399D US Equity","SUPPLY_CHAIN_SUPPLIERS_ALL_DATA")</f>
        <v>#N/A N/A</v>
      </c>
      <c r="IU5" t="str">
        <f>_xll.BDS("1715399D US Equity","SUPPLY_CHAIN_CUSTOMERS_ALL_DATA")</f>
        <v>#N/A N/A</v>
      </c>
      <c r="JK5" t="str">
        <f>_xll.BDS("SPNX US Equity","SUPPLY_CHAIN_SUPPLIERS_ALL_DATA","cols=12;rows=1")</f>
        <v>UDT IN Equity</v>
      </c>
      <c r="JM5">
        <v>-2.4245362661989844E-14</v>
      </c>
      <c r="JN5">
        <v>-2.4245362661989844E-14</v>
      </c>
      <c r="JO5" t="s">
        <v>1753</v>
      </c>
      <c r="JP5">
        <v>2022</v>
      </c>
      <c r="JQ5" t="s">
        <v>5196</v>
      </c>
      <c r="JR5" s="6">
        <v>44707</v>
      </c>
      <c r="JS5">
        <v>1</v>
      </c>
      <c r="JT5">
        <v>-2.4245362661989844E-14</v>
      </c>
      <c r="JU5">
        <v>223746</v>
      </c>
      <c r="JV5" t="s">
        <v>5197</v>
      </c>
      <c r="JY5" t="str">
        <f>_xll.BDS("SPNX US Equity","SUPPLY_CHAIN_CUSTOMERS_ALL_DATA","cols=12;rows=1")</f>
        <v>PETR4 BZ Equity</v>
      </c>
      <c r="JZ5">
        <v>-2.4245362661989844E-14</v>
      </c>
      <c r="KB5">
        <v>-2.4245362661989844E-14</v>
      </c>
      <c r="KC5" t="s">
        <v>1774</v>
      </c>
      <c r="KD5">
        <v>2025</v>
      </c>
      <c r="KE5" t="s">
        <v>4821</v>
      </c>
      <c r="KF5" s="6">
        <v>45966</v>
      </c>
      <c r="KG5">
        <v>1</v>
      </c>
      <c r="KH5">
        <v>-2.4245362661989844E-14</v>
      </c>
      <c r="KI5">
        <v>136114</v>
      </c>
      <c r="KJ5" t="s">
        <v>2033</v>
      </c>
      <c r="KO5" t="str">
        <f>_xll.BDS("CNSL US Equity","SUPPLY_CHAIN_SUPPLIERS_ALL_DATA","cols=12;rows=5")</f>
        <v>DY US Equity</v>
      </c>
      <c r="KP5" t="s">
        <v>1828</v>
      </c>
      <c r="KQ5">
        <v>0.457036</v>
      </c>
      <c r="KR5">
        <v>4.6460840000000001</v>
      </c>
      <c r="KS5" t="s">
        <v>1825</v>
      </c>
      <c r="KT5">
        <v>2025</v>
      </c>
      <c r="KU5" t="s">
        <v>4066</v>
      </c>
      <c r="KV5" s="6">
        <v>45756</v>
      </c>
      <c r="KW5">
        <v>5</v>
      </c>
      <c r="KX5">
        <v>4956674</v>
      </c>
      <c r="KY5">
        <v>100487</v>
      </c>
      <c r="KZ5" t="s">
        <v>2231</v>
      </c>
      <c r="LC5" t="str">
        <f>_xll.BDS("CNSL US Equity","SUPPLY_CHAIN_CUSTOMERS_ALL_DATA","cols=12;rows=2")</f>
        <v>SCSC US Equity</v>
      </c>
      <c r="LD5">
        <v>-2.4245362661989844E-14</v>
      </c>
      <c r="LF5">
        <v>-2.4245362661989844E-14</v>
      </c>
      <c r="LG5" t="s">
        <v>1781</v>
      </c>
      <c r="LH5">
        <v>2024</v>
      </c>
      <c r="LI5" t="s">
        <v>4620</v>
      </c>
      <c r="LJ5" s="6">
        <v>45265</v>
      </c>
      <c r="LK5">
        <v>2</v>
      </c>
      <c r="LL5">
        <v>-2.4245362661989844E-14</v>
      </c>
      <c r="LM5">
        <v>136424</v>
      </c>
      <c r="LN5" t="s">
        <v>1877</v>
      </c>
      <c r="LS5" t="str">
        <f>_xll.BDS("MSCC US Equity","SUPPLY_CHAIN_SUPPLIERS_ALL_DATA","cols=12;rows=1")</f>
        <v>FE US Equity</v>
      </c>
      <c r="LU5">
        <v>-2.4245362661989844E-14</v>
      </c>
      <c r="LV5">
        <v>-2.4245362661989844E-14</v>
      </c>
      <c r="LW5" t="s">
        <v>1753</v>
      </c>
      <c r="LX5">
        <v>2021</v>
      </c>
      <c r="LY5" t="s">
        <v>2222</v>
      </c>
      <c r="LZ5" s="6">
        <v>44693</v>
      </c>
      <c r="MA5">
        <v>1</v>
      </c>
      <c r="MB5">
        <v>-2.4245362661989844E-14</v>
      </c>
      <c r="MC5">
        <v>302916</v>
      </c>
      <c r="MD5" t="s">
        <v>2223</v>
      </c>
      <c r="MG5" t="str">
        <f>_xll.BDS("MSCC US Equity","SUPPLY_CHAIN_CUSTOMERS_ALL_DATA")</f>
        <v>#N/A N/A</v>
      </c>
      <c r="MW5" t="str">
        <f>_xll.BDS("NFB US Equity","SUPPLY_CHAIN_SUPPLIERS_ALL_DATA")</f>
        <v>#N/A N/A</v>
      </c>
      <c r="NK5" t="str">
        <f>_xll.BDS("NFB US Equity","SUPPLY_CHAIN_CUSTOMERS_ALL_DATA")</f>
        <v>#N/A N/A</v>
      </c>
      <c r="OA5" t="str">
        <f>_xll.BDS("BUSE US Equity","SUPPLY_CHAIN_SUPPLIERS_ALL_DATA")</f>
        <v>#N/A N/A</v>
      </c>
      <c r="OO5" t="str">
        <f>_xll.BDS("BUSE US Equity","SUPPLY_CHAIN_CUSTOMERS_ALL_DATA")</f>
        <v>#N/A N/A</v>
      </c>
      <c r="PE5" t="str">
        <f>_xll.BDS("CBF US Equity","SUPPLY_CHAIN_SUPPLIERS_ALL_DATA")</f>
        <v>#N/A N/A</v>
      </c>
      <c r="PS5" t="str">
        <f>_xll.BDS("CBF US Equity","SUPPLY_CHAIN_CUSTOMERS_ALL_DATA")</f>
        <v>#N/A N/A</v>
      </c>
      <c r="QI5" t="str">
        <f>_xll.BDS("IDNX US Equity","SUPPLY_CHAIN_SUPPLIERS_ALL_DATA")</f>
        <v>#N/A N/A</v>
      </c>
      <c r="QW5" t="str">
        <f>_xll.BDS("IDNX US Equity","SUPPLY_CHAIN_CUSTOMERS_ALL_DATA")</f>
        <v>#N/A N/A</v>
      </c>
      <c r="RM5" t="str">
        <f>_xll.BDS("AMAT US Equity","SUPPLY_CHAIN_SUPPLIERS_ALL_DATA","cols=12;rows=5")</f>
        <v>UCTT US Equity</v>
      </c>
      <c r="RN5" t="s">
        <v>1752</v>
      </c>
      <c r="RO5">
        <v>21.700001</v>
      </c>
      <c r="RP5">
        <v>3.0809289999999998</v>
      </c>
      <c r="RQ5" t="s">
        <v>1753</v>
      </c>
      <c r="RR5">
        <v>2025</v>
      </c>
      <c r="RS5" t="s">
        <v>5539</v>
      </c>
      <c r="RT5" s="6">
        <v>46076</v>
      </c>
      <c r="RU5">
        <v>5</v>
      </c>
      <c r="RV5">
        <v>111429504</v>
      </c>
      <c r="RW5">
        <v>8597928</v>
      </c>
      <c r="RX5" t="s">
        <v>5200</v>
      </c>
      <c r="SA5" t="str">
        <f>_xll.BDS("AMAT US Equity","SUPPLY_CHAIN_CUSTOMERS_ALL_DATA","cols=12;rows=5")</f>
        <v>2330 TT Equity</v>
      </c>
      <c r="SB5">
        <v>18</v>
      </c>
      <c r="SC5" t="s">
        <v>1828</v>
      </c>
      <c r="SD5">
        <v>15.083428</v>
      </c>
      <c r="SE5" t="s">
        <v>1761</v>
      </c>
      <c r="SF5">
        <v>2025</v>
      </c>
      <c r="SG5" t="s">
        <v>5365</v>
      </c>
      <c r="SH5" s="6">
        <v>45799</v>
      </c>
      <c r="SI5">
        <v>5</v>
      </c>
      <c r="SJ5">
        <v>1283939968</v>
      </c>
      <c r="SK5">
        <v>153737</v>
      </c>
      <c r="SL5" t="s">
        <v>1943</v>
      </c>
      <c r="SQ5" t="str">
        <f>_xll.BDS("SPOK US Equity","SUPPLY_CHAIN_SUPPLIERS_ALL_DATA","cols=12;rows=1")</f>
        <v>STRO NO Equity</v>
      </c>
      <c r="SR5" t="s">
        <v>1752</v>
      </c>
      <c r="SS5">
        <v>2.5666999999999999E-2</v>
      </c>
      <c r="ST5">
        <v>5.9221000000000003E-2</v>
      </c>
      <c r="SU5" t="s">
        <v>1753</v>
      </c>
      <c r="SV5">
        <v>2024</v>
      </c>
      <c r="SW5" t="s">
        <v>5276</v>
      </c>
      <c r="SX5" s="6">
        <v>45737</v>
      </c>
      <c r="SY5">
        <v>1</v>
      </c>
      <c r="SZ5">
        <v>7811.86</v>
      </c>
      <c r="TA5">
        <v>7314498</v>
      </c>
      <c r="TB5" t="s">
        <v>5277</v>
      </c>
      <c r="TE5" t="str">
        <f>_xll.BDS("SPOK US Equity","SUPPLY_CHAIN_CUSTOMERS_ALL_DATA","cols=12;rows=5")</f>
        <v>STRO NO Equity</v>
      </c>
      <c r="TF5">
        <v>0.21418699999999999</v>
      </c>
      <c r="TG5" t="s">
        <v>1752</v>
      </c>
      <c r="TH5">
        <v>0.40713199999999999</v>
      </c>
      <c r="TI5" t="s">
        <v>1753</v>
      </c>
      <c r="TJ5">
        <v>2024</v>
      </c>
      <c r="TK5" t="s">
        <v>5276</v>
      </c>
      <c r="TL5" s="6">
        <v>45737</v>
      </c>
      <c r="TM5">
        <v>5</v>
      </c>
      <c r="TN5">
        <v>73747.69</v>
      </c>
      <c r="TO5">
        <v>7314498</v>
      </c>
      <c r="TP5" t="s">
        <v>5277</v>
      </c>
      <c r="TU5" t="str">
        <f>_xll.BDS("BSX US Equity","SUPPLY_CHAIN_SUPPLIERS_ALL_DATA","cols=12;rows=5")</f>
        <v>FLEX US Equity</v>
      </c>
      <c r="TV5" t="s">
        <v>1752</v>
      </c>
      <c r="TW5">
        <v>0.45866000000000001</v>
      </c>
      <c r="TX5">
        <v>2.0511430000000002</v>
      </c>
      <c r="TY5" t="s">
        <v>1788</v>
      </c>
      <c r="TZ5">
        <v>2025</v>
      </c>
      <c r="UA5" t="s">
        <v>2213</v>
      </c>
      <c r="UB5" s="6">
        <v>45763</v>
      </c>
      <c r="UC5">
        <v>5</v>
      </c>
      <c r="UD5">
        <v>30069750</v>
      </c>
      <c r="UE5">
        <v>136547</v>
      </c>
      <c r="UF5" t="s">
        <v>2214</v>
      </c>
      <c r="UI5" t="str">
        <f>_xll.BDS("BSX US Equity","SUPPLY_CHAIN_CUSTOMERS_ALL_DATA","cols=12;rows=5")</f>
        <v>000078 CH Equity</v>
      </c>
      <c r="UJ5">
        <v>-2.4245362661989844E-14</v>
      </c>
      <c r="UL5">
        <v>-2.4245362661989844E-14</v>
      </c>
      <c r="UM5" t="s">
        <v>1842</v>
      </c>
      <c r="UN5">
        <v>2025</v>
      </c>
      <c r="UO5" t="s">
        <v>4585</v>
      </c>
      <c r="UP5" s="6">
        <v>45898</v>
      </c>
      <c r="UQ5">
        <v>5</v>
      </c>
      <c r="UR5">
        <v>-2.4245362661989844E-14</v>
      </c>
      <c r="US5">
        <v>812235</v>
      </c>
      <c r="UT5" t="s">
        <v>4586</v>
      </c>
      <c r="UY5" t="str">
        <f>_xll.BDS("CNSL US Equity","SUPPLY_CHAIN_SUPPLIERS_ALL_DATA","cols=12;rows=5")</f>
        <v>DY US Equity</v>
      </c>
      <c r="UZ5" t="s">
        <v>1828</v>
      </c>
      <c r="VA5">
        <v>0.457036</v>
      </c>
      <c r="VB5">
        <v>4.6460840000000001</v>
      </c>
      <c r="VC5" t="s">
        <v>1825</v>
      </c>
      <c r="VD5">
        <v>2025</v>
      </c>
      <c r="VE5" t="s">
        <v>4066</v>
      </c>
      <c r="VF5" s="6">
        <v>45756</v>
      </c>
      <c r="VG5">
        <v>5</v>
      </c>
      <c r="VH5">
        <v>4956674</v>
      </c>
      <c r="VI5">
        <v>100487</v>
      </c>
      <c r="VJ5" t="s">
        <v>2231</v>
      </c>
      <c r="VM5" t="str">
        <f>_xll.BDS("CNSL US Equity","SUPPLY_CHAIN_CUSTOMERS_ALL_DATA","cols=12;rows=2")</f>
        <v>SCSC US Equity</v>
      </c>
      <c r="VN5">
        <v>-2.4245362661989844E-14</v>
      </c>
      <c r="VP5">
        <v>-2.4245362661989844E-14</v>
      </c>
      <c r="VQ5" t="s">
        <v>1781</v>
      </c>
      <c r="VR5">
        <v>2024</v>
      </c>
      <c r="VS5" t="s">
        <v>4620</v>
      </c>
      <c r="VT5" s="6">
        <v>45265</v>
      </c>
      <c r="VU5">
        <v>2</v>
      </c>
      <c r="VV5">
        <v>-2.4245362661989844E-14</v>
      </c>
      <c r="VW5">
        <v>136424</v>
      </c>
      <c r="VX5" t="s">
        <v>1877</v>
      </c>
    </row>
    <row r="6" spans="1:600" x14ac:dyDescent="0.25">
      <c r="CM6" t="s">
        <v>2808</v>
      </c>
      <c r="CN6" t="s">
        <v>1752</v>
      </c>
      <c r="CO6">
        <v>12.003353000000001</v>
      </c>
      <c r="CP6">
        <v>14.056165999999999</v>
      </c>
      <c r="CQ6" t="s">
        <v>1825</v>
      </c>
      <c r="CR6">
        <v>2025</v>
      </c>
      <c r="CS6" t="s">
        <v>4295</v>
      </c>
      <c r="CT6" s="6">
        <v>46048</v>
      </c>
      <c r="CU6">
        <v>5</v>
      </c>
      <c r="CV6">
        <v>1641338496</v>
      </c>
      <c r="CW6">
        <v>101729</v>
      </c>
      <c r="CX6" t="s">
        <v>2810</v>
      </c>
      <c r="DA6" t="s">
        <v>3207</v>
      </c>
      <c r="DB6">
        <v>1.5894710000000001</v>
      </c>
      <c r="DC6" t="s">
        <v>1752</v>
      </c>
      <c r="DD6">
        <v>2.6168589999999998</v>
      </c>
      <c r="DE6" t="s">
        <v>1774</v>
      </c>
      <c r="DF6">
        <v>2026</v>
      </c>
      <c r="DG6" t="s">
        <v>3208</v>
      </c>
      <c r="DH6" s="6">
        <v>45932</v>
      </c>
      <c r="DI6">
        <v>5</v>
      </c>
      <c r="DJ6">
        <v>221445152</v>
      </c>
      <c r="DK6">
        <v>100197</v>
      </c>
      <c r="DL6" t="s">
        <v>3209</v>
      </c>
      <c r="FY6" t="s">
        <v>5651</v>
      </c>
      <c r="GA6">
        <v>-2.4245362661989844E-14</v>
      </c>
      <c r="GB6">
        <v>-2.4245362661989844E-14</v>
      </c>
      <c r="GC6" t="s">
        <v>1753</v>
      </c>
      <c r="GD6">
        <v>2022</v>
      </c>
      <c r="GE6" t="s">
        <v>5649</v>
      </c>
      <c r="GF6" s="6">
        <v>45001</v>
      </c>
      <c r="GG6">
        <v>5</v>
      </c>
      <c r="GH6">
        <v>-2.4245362661989844E-14</v>
      </c>
      <c r="GI6">
        <v>12810766</v>
      </c>
      <c r="GJ6" t="s">
        <v>5652</v>
      </c>
      <c r="GM6" t="s">
        <v>5706</v>
      </c>
      <c r="GN6">
        <v>-2.4245362661989844E-14</v>
      </c>
      <c r="GP6">
        <v>-2.4245362661989844E-14</v>
      </c>
      <c r="GQ6" t="s">
        <v>1753</v>
      </c>
      <c r="GR6">
        <v>2023</v>
      </c>
      <c r="GS6" t="s">
        <v>5705</v>
      </c>
      <c r="GT6" s="6">
        <v>45117</v>
      </c>
      <c r="GU6">
        <v>5</v>
      </c>
      <c r="GV6">
        <v>-2.4245362661989844E-14</v>
      </c>
      <c r="GW6">
        <v>34150885</v>
      </c>
      <c r="GX6" t="s">
        <v>5707</v>
      </c>
      <c r="KO6" t="s">
        <v>3053</v>
      </c>
      <c r="KP6" t="s">
        <v>1828</v>
      </c>
      <c r="KQ6">
        <v>4.9496999999999999E-2</v>
      </c>
      <c r="KR6">
        <v>0.59395500000000001</v>
      </c>
      <c r="KS6" t="s">
        <v>1781</v>
      </c>
      <c r="KT6">
        <v>2025</v>
      </c>
      <c r="KU6" t="s">
        <v>4067</v>
      </c>
      <c r="KV6" s="6">
        <v>45847</v>
      </c>
      <c r="KW6">
        <v>5</v>
      </c>
      <c r="KX6">
        <v>633661</v>
      </c>
      <c r="KY6">
        <v>929589</v>
      </c>
      <c r="KZ6" t="s">
        <v>3055</v>
      </c>
      <c r="LC6" t="s">
        <v>4621</v>
      </c>
      <c r="LD6">
        <v>-2.4245362661989844E-14</v>
      </c>
      <c r="LF6">
        <v>-2.4245362661989844E-14</v>
      </c>
      <c r="LG6" t="s">
        <v>1753</v>
      </c>
      <c r="LH6">
        <v>2022</v>
      </c>
      <c r="LI6" t="s">
        <v>4072</v>
      </c>
      <c r="LJ6" s="6">
        <v>44705</v>
      </c>
      <c r="LK6">
        <v>2</v>
      </c>
      <c r="LL6">
        <v>-2.4245362661989844E-14</v>
      </c>
      <c r="LM6">
        <v>1067639</v>
      </c>
      <c r="LN6" t="s">
        <v>4622</v>
      </c>
      <c r="RM6" t="s">
        <v>5462</v>
      </c>
      <c r="RN6" t="s">
        <v>1752</v>
      </c>
      <c r="RO6">
        <v>3.0541680000000002</v>
      </c>
      <c r="RP6">
        <v>2.7595510000000001</v>
      </c>
      <c r="RQ6" t="s">
        <v>1788</v>
      </c>
      <c r="RR6">
        <v>2025</v>
      </c>
      <c r="RS6" t="s">
        <v>5463</v>
      </c>
      <c r="RT6" s="6">
        <v>46013</v>
      </c>
      <c r="RU6">
        <v>5</v>
      </c>
      <c r="RV6">
        <v>97550128</v>
      </c>
      <c r="RW6">
        <v>349266</v>
      </c>
      <c r="RX6" t="s">
        <v>5464</v>
      </c>
      <c r="SA6" t="s">
        <v>1871</v>
      </c>
      <c r="SB6">
        <v>17</v>
      </c>
      <c r="SC6" t="s">
        <v>1828</v>
      </c>
      <c r="SD6">
        <v>13.483905</v>
      </c>
      <c r="SE6" t="s">
        <v>1761</v>
      </c>
      <c r="SF6">
        <v>2025</v>
      </c>
      <c r="SG6" t="s">
        <v>5365</v>
      </c>
      <c r="SH6" s="6">
        <v>45799</v>
      </c>
      <c r="SI6">
        <v>5</v>
      </c>
      <c r="SJ6">
        <v>1212610048</v>
      </c>
      <c r="SK6">
        <v>117929</v>
      </c>
      <c r="SL6" t="s">
        <v>1873</v>
      </c>
      <c r="TE6" t="s">
        <v>5752</v>
      </c>
      <c r="TF6">
        <v>-2.4245362661989844E-14</v>
      </c>
      <c r="TH6">
        <v>-2.4245362661989844E-14</v>
      </c>
      <c r="TI6" t="s">
        <v>1753</v>
      </c>
      <c r="TJ6">
        <v>2022</v>
      </c>
      <c r="TK6" t="s">
        <v>5753</v>
      </c>
      <c r="TL6" s="6">
        <v>44676</v>
      </c>
      <c r="TM6">
        <v>5</v>
      </c>
      <c r="TN6">
        <v>-2.4245362661989844E-14</v>
      </c>
      <c r="TO6">
        <v>34839478</v>
      </c>
      <c r="TP6" t="s">
        <v>5754</v>
      </c>
      <c r="TU6" t="s">
        <v>2215</v>
      </c>
      <c r="TV6" t="s">
        <v>1752</v>
      </c>
      <c r="TW6">
        <v>0.108844</v>
      </c>
      <c r="TX6">
        <v>0.58639399999999997</v>
      </c>
      <c r="TY6" t="s">
        <v>1788</v>
      </c>
      <c r="TZ6">
        <v>2025</v>
      </c>
      <c r="UA6" t="s">
        <v>2216</v>
      </c>
      <c r="UB6" s="6">
        <v>45867</v>
      </c>
      <c r="UC6">
        <v>5</v>
      </c>
      <c r="UD6">
        <v>8520308</v>
      </c>
      <c r="UE6">
        <v>117092</v>
      </c>
      <c r="UF6" t="s">
        <v>2217</v>
      </c>
      <c r="UI6" t="s">
        <v>4587</v>
      </c>
      <c r="UJ6">
        <v>-2.4245362661989844E-14</v>
      </c>
      <c r="UL6">
        <v>-2.4245362661989844E-14</v>
      </c>
      <c r="UM6" t="s">
        <v>1768</v>
      </c>
      <c r="UN6">
        <v>2025</v>
      </c>
      <c r="UO6" t="s">
        <v>4588</v>
      </c>
      <c r="UP6" s="6">
        <v>45975</v>
      </c>
      <c r="UQ6">
        <v>5</v>
      </c>
      <c r="UR6">
        <v>-2.4245362661989844E-14</v>
      </c>
      <c r="US6">
        <v>866542</v>
      </c>
      <c r="UT6" t="s">
        <v>4589</v>
      </c>
      <c r="UY6" t="s">
        <v>3053</v>
      </c>
      <c r="UZ6" t="s">
        <v>1828</v>
      </c>
      <c r="VA6">
        <v>4.9496999999999999E-2</v>
      </c>
      <c r="VB6">
        <v>0.59395500000000001</v>
      </c>
      <c r="VC6" t="s">
        <v>1781</v>
      </c>
      <c r="VD6">
        <v>2025</v>
      </c>
      <c r="VE6" t="s">
        <v>4067</v>
      </c>
      <c r="VF6" s="6">
        <v>45847</v>
      </c>
      <c r="VG6">
        <v>5</v>
      </c>
      <c r="VH6">
        <v>633661</v>
      </c>
      <c r="VI6">
        <v>929589</v>
      </c>
      <c r="VJ6" t="s">
        <v>3055</v>
      </c>
      <c r="VM6" t="s">
        <v>4621</v>
      </c>
      <c r="VN6">
        <v>-2.4245362661989844E-14</v>
      </c>
      <c r="VP6">
        <v>-2.4245362661989844E-14</v>
      </c>
      <c r="VQ6" t="s">
        <v>1753</v>
      </c>
      <c r="VR6">
        <v>2022</v>
      </c>
      <c r="VS6" t="s">
        <v>4072</v>
      </c>
      <c r="VT6" s="6">
        <v>44705</v>
      </c>
      <c r="VU6">
        <v>2</v>
      </c>
      <c r="VV6">
        <v>-2.4245362661989844E-14</v>
      </c>
      <c r="VW6">
        <v>1067639</v>
      </c>
      <c r="VX6" t="s">
        <v>4622</v>
      </c>
    </row>
    <row r="7" spans="1:600" x14ac:dyDescent="0.25">
      <c r="CM7" t="s">
        <v>4296</v>
      </c>
      <c r="CN7" t="s">
        <v>1752</v>
      </c>
      <c r="CO7">
        <v>6.8536460000000003</v>
      </c>
      <c r="CP7">
        <v>9.6768190000000001</v>
      </c>
      <c r="CQ7" t="s">
        <v>1781</v>
      </c>
      <c r="CR7">
        <v>2025</v>
      </c>
      <c r="CS7" t="s">
        <v>4297</v>
      </c>
      <c r="CT7" s="6">
        <v>45812</v>
      </c>
      <c r="CU7">
        <v>5</v>
      </c>
      <c r="CV7">
        <v>1011895282.72</v>
      </c>
      <c r="CW7">
        <v>330541</v>
      </c>
      <c r="CX7" t="s">
        <v>4298</v>
      </c>
      <c r="DA7" t="s">
        <v>3504</v>
      </c>
      <c r="DB7">
        <v>1.3641749999999999</v>
      </c>
      <c r="DC7" t="s">
        <v>1752</v>
      </c>
      <c r="DD7">
        <v>0.69426200000000005</v>
      </c>
      <c r="DE7" t="s">
        <v>1781</v>
      </c>
      <c r="DF7">
        <v>2025</v>
      </c>
      <c r="DG7" t="s">
        <v>3505</v>
      </c>
      <c r="DH7" s="6">
        <v>45797</v>
      </c>
      <c r="DI7">
        <v>5</v>
      </c>
      <c r="DJ7">
        <v>183924678.06999999</v>
      </c>
      <c r="DK7">
        <v>223340</v>
      </c>
      <c r="DL7" t="s">
        <v>3506</v>
      </c>
      <c r="FY7" t="s">
        <v>5653</v>
      </c>
      <c r="GA7">
        <v>-2.4245362661989844E-14</v>
      </c>
      <c r="GB7">
        <v>-2.4245362661989844E-14</v>
      </c>
      <c r="GC7" t="s">
        <v>1753</v>
      </c>
      <c r="GD7">
        <v>2022</v>
      </c>
      <c r="GE7" t="s">
        <v>5649</v>
      </c>
      <c r="GF7" s="6">
        <v>45001</v>
      </c>
      <c r="GG7">
        <v>5</v>
      </c>
      <c r="GH7">
        <v>-2.4245362661989844E-14</v>
      </c>
      <c r="GI7">
        <v>956327</v>
      </c>
      <c r="GJ7" t="s">
        <v>5654</v>
      </c>
      <c r="GM7" t="s">
        <v>4802</v>
      </c>
      <c r="GN7">
        <v>-2.4245362661989844E-14</v>
      </c>
      <c r="GP7">
        <v>-2.4245362661989844E-14</v>
      </c>
      <c r="GQ7" t="s">
        <v>1753</v>
      </c>
      <c r="GR7">
        <v>2023</v>
      </c>
      <c r="GS7" t="s">
        <v>5705</v>
      </c>
      <c r="GT7" s="6">
        <v>45117</v>
      </c>
      <c r="GU7">
        <v>5</v>
      </c>
      <c r="GV7">
        <v>-2.4245362661989844E-14</v>
      </c>
      <c r="GW7">
        <v>20677318</v>
      </c>
      <c r="GX7" t="s">
        <v>4803</v>
      </c>
      <c r="KO7" t="s">
        <v>4068</v>
      </c>
      <c r="KP7" t="s">
        <v>1828</v>
      </c>
      <c r="KQ7">
        <v>3.4476E-2</v>
      </c>
      <c r="KR7">
        <v>0.363265</v>
      </c>
      <c r="KS7" t="s">
        <v>1825</v>
      </c>
      <c r="KT7">
        <v>2024</v>
      </c>
      <c r="KU7" t="s">
        <v>4069</v>
      </c>
      <c r="KV7" s="6">
        <v>45687</v>
      </c>
      <c r="KW7">
        <v>5</v>
      </c>
      <c r="KX7">
        <v>387549</v>
      </c>
      <c r="KY7">
        <v>211040</v>
      </c>
      <c r="KZ7" t="s">
        <v>4070</v>
      </c>
      <c r="RM7" t="s">
        <v>5540</v>
      </c>
      <c r="RN7" t="s">
        <v>1752</v>
      </c>
      <c r="RO7">
        <v>26</v>
      </c>
      <c r="RP7">
        <v>2.6673879999999999</v>
      </c>
      <c r="RQ7" t="s">
        <v>1753</v>
      </c>
      <c r="RR7">
        <v>2024</v>
      </c>
      <c r="RS7" t="s">
        <v>5541</v>
      </c>
      <c r="RT7" s="6">
        <v>45706</v>
      </c>
      <c r="RU7">
        <v>5</v>
      </c>
      <c r="RV7">
        <v>96332728</v>
      </c>
      <c r="RW7">
        <v>171252</v>
      </c>
      <c r="RX7" t="s">
        <v>5542</v>
      </c>
      <c r="SA7" t="s">
        <v>2280</v>
      </c>
      <c r="SB7">
        <v>3.1587649999999998</v>
      </c>
      <c r="SC7" t="s">
        <v>1828</v>
      </c>
      <c r="SD7">
        <v>4.0765820000000001</v>
      </c>
      <c r="SE7" t="s">
        <v>1788</v>
      </c>
      <c r="SF7">
        <v>2025</v>
      </c>
      <c r="SG7" t="s">
        <v>5366</v>
      </c>
      <c r="SH7" s="6">
        <v>45931</v>
      </c>
      <c r="SI7">
        <v>5</v>
      </c>
      <c r="SJ7">
        <v>230653024</v>
      </c>
      <c r="SK7">
        <v>100995</v>
      </c>
      <c r="SL7" t="s">
        <v>2282</v>
      </c>
      <c r="TE7" t="s">
        <v>5755</v>
      </c>
      <c r="TF7">
        <v>-2.4245362661989844E-14</v>
      </c>
      <c r="TH7">
        <v>-2.4245362661989844E-14</v>
      </c>
      <c r="TI7" t="s">
        <v>1753</v>
      </c>
      <c r="TJ7">
        <v>2022</v>
      </c>
      <c r="TK7" t="s">
        <v>5753</v>
      </c>
      <c r="TL7" s="6">
        <v>44676</v>
      </c>
      <c r="TM7">
        <v>5</v>
      </c>
      <c r="TN7">
        <v>-2.4245362661989844E-14</v>
      </c>
      <c r="TO7">
        <v>34988392</v>
      </c>
      <c r="TP7" t="s">
        <v>5756</v>
      </c>
      <c r="TU7" t="s">
        <v>4074</v>
      </c>
      <c r="TV7" t="s">
        <v>1752</v>
      </c>
      <c r="TW7">
        <v>0.82896099999999995</v>
      </c>
      <c r="TX7">
        <v>0.29375299999999999</v>
      </c>
      <c r="TY7" t="s">
        <v>1774</v>
      </c>
      <c r="TZ7">
        <v>2025</v>
      </c>
      <c r="UA7" t="s">
        <v>4075</v>
      </c>
      <c r="UB7" s="6">
        <v>45867</v>
      </c>
      <c r="UC7">
        <v>5</v>
      </c>
      <c r="UD7">
        <v>4597625.84</v>
      </c>
      <c r="UE7">
        <v>157487</v>
      </c>
      <c r="UF7" t="s">
        <v>4076</v>
      </c>
      <c r="UI7" t="s">
        <v>4590</v>
      </c>
      <c r="UJ7">
        <v>-2.4245362661989844E-14</v>
      </c>
      <c r="UL7">
        <v>-2.4245362661989844E-14</v>
      </c>
      <c r="UM7" t="s">
        <v>1768</v>
      </c>
      <c r="UN7">
        <v>2025</v>
      </c>
      <c r="UO7" t="s">
        <v>4591</v>
      </c>
      <c r="UP7" s="6">
        <v>45975</v>
      </c>
      <c r="UQ7">
        <v>5</v>
      </c>
      <c r="UR7">
        <v>-2.4245362661989844E-14</v>
      </c>
      <c r="US7">
        <v>16631023</v>
      </c>
      <c r="UT7" t="s">
        <v>4592</v>
      </c>
      <c r="UY7" t="s">
        <v>4068</v>
      </c>
      <c r="UZ7" t="s">
        <v>1828</v>
      </c>
      <c r="VA7">
        <v>3.4476E-2</v>
      </c>
      <c r="VB7">
        <v>0.363265</v>
      </c>
      <c r="VC7" t="s">
        <v>1825</v>
      </c>
      <c r="VD7">
        <v>2024</v>
      </c>
      <c r="VE7" t="s">
        <v>4069</v>
      </c>
      <c r="VF7" s="6">
        <v>45687</v>
      </c>
      <c r="VG7">
        <v>5</v>
      </c>
      <c r="VH7">
        <v>387549</v>
      </c>
      <c r="VI7">
        <v>211040</v>
      </c>
      <c r="VJ7" t="s">
        <v>4070</v>
      </c>
    </row>
    <row r="8" spans="1:600" x14ac:dyDescent="0.25">
      <c r="CM8" t="s">
        <v>3920</v>
      </c>
      <c r="CN8" t="s">
        <v>1752</v>
      </c>
      <c r="CO8">
        <v>4.2738360000000002</v>
      </c>
      <c r="CP8">
        <v>6.6693020000000001</v>
      </c>
      <c r="CQ8" t="s">
        <v>1788</v>
      </c>
      <c r="CR8">
        <v>2025</v>
      </c>
      <c r="CS8" t="s">
        <v>3921</v>
      </c>
      <c r="CT8" s="6">
        <v>46087</v>
      </c>
      <c r="CU8">
        <v>5</v>
      </c>
      <c r="CV8">
        <v>811049598.16999996</v>
      </c>
      <c r="CW8">
        <v>7975354</v>
      </c>
      <c r="CX8" t="s">
        <v>3922</v>
      </c>
      <c r="DA8" t="s">
        <v>1954</v>
      </c>
      <c r="DB8">
        <v>0.59423499999999996</v>
      </c>
      <c r="DC8" t="s">
        <v>1752</v>
      </c>
      <c r="DD8">
        <v>1.9269499999999999</v>
      </c>
      <c r="DE8" t="s">
        <v>1781</v>
      </c>
      <c r="DF8">
        <v>2025</v>
      </c>
      <c r="DG8" t="s">
        <v>1955</v>
      </c>
      <c r="DH8" s="6">
        <v>45820</v>
      </c>
      <c r="DI8">
        <v>5</v>
      </c>
      <c r="DJ8">
        <v>78557896</v>
      </c>
      <c r="DK8">
        <v>12129192</v>
      </c>
      <c r="DL8" t="s">
        <v>1956</v>
      </c>
      <c r="FY8" t="s">
        <v>5655</v>
      </c>
      <c r="GA8">
        <v>-2.4245362661989844E-14</v>
      </c>
      <c r="GB8">
        <v>-2.4245362661989844E-14</v>
      </c>
      <c r="GC8" t="s">
        <v>1753</v>
      </c>
      <c r="GD8">
        <v>2022</v>
      </c>
      <c r="GE8" t="s">
        <v>5649</v>
      </c>
      <c r="GF8" s="6">
        <v>45001</v>
      </c>
      <c r="GG8">
        <v>5</v>
      </c>
      <c r="GH8">
        <v>-2.4245362661989844E-14</v>
      </c>
      <c r="GI8">
        <v>11533050</v>
      </c>
      <c r="GJ8" t="s">
        <v>5656</v>
      </c>
      <c r="GM8" t="s">
        <v>1791</v>
      </c>
      <c r="GN8">
        <v>-2.4245362661989844E-14</v>
      </c>
      <c r="GP8">
        <v>-2.4245362661989844E-14</v>
      </c>
      <c r="GQ8" t="s">
        <v>1753</v>
      </c>
      <c r="GR8">
        <v>2023</v>
      </c>
      <c r="GS8" t="s">
        <v>5705</v>
      </c>
      <c r="GT8" s="6">
        <v>45117</v>
      </c>
      <c r="GU8">
        <v>5</v>
      </c>
      <c r="GV8">
        <v>-2.4245362661989844E-14</v>
      </c>
      <c r="GW8">
        <v>218252</v>
      </c>
      <c r="GX8" t="s">
        <v>1793</v>
      </c>
      <c r="KO8" t="s">
        <v>3256</v>
      </c>
      <c r="KP8" t="s">
        <v>1752</v>
      </c>
      <c r="KQ8">
        <v>3.9360000000000003E-3</v>
      </c>
      <c r="KR8">
        <v>7.9015000000000002E-2</v>
      </c>
      <c r="KS8" t="s">
        <v>1788</v>
      </c>
      <c r="KT8">
        <v>2025</v>
      </c>
      <c r="KU8" t="s">
        <v>3257</v>
      </c>
      <c r="KV8" s="6">
        <v>45974</v>
      </c>
      <c r="KW8">
        <v>5</v>
      </c>
      <c r="KX8">
        <v>96555.28</v>
      </c>
      <c r="KY8">
        <v>193571</v>
      </c>
      <c r="KZ8" t="s">
        <v>3258</v>
      </c>
      <c r="RM8" t="s">
        <v>772</v>
      </c>
      <c r="RN8" t="s">
        <v>1752</v>
      </c>
      <c r="RO8">
        <v>14</v>
      </c>
      <c r="RP8">
        <v>2.5732710000000001</v>
      </c>
      <c r="RQ8" t="s">
        <v>1753</v>
      </c>
      <c r="RR8">
        <v>2025</v>
      </c>
      <c r="RS8" t="s">
        <v>4420</v>
      </c>
      <c r="RT8" s="6">
        <v>46077</v>
      </c>
      <c r="RU8">
        <v>5</v>
      </c>
      <c r="RV8">
        <v>93068784</v>
      </c>
      <c r="RW8">
        <v>102417</v>
      </c>
      <c r="RX8" t="s">
        <v>2954</v>
      </c>
      <c r="SA8" t="s">
        <v>2808</v>
      </c>
      <c r="SB8">
        <v>2.5439250000000002</v>
      </c>
      <c r="SC8" t="s">
        <v>1828</v>
      </c>
      <c r="SD8">
        <v>5.2326030000000001</v>
      </c>
      <c r="SE8" t="s">
        <v>1788</v>
      </c>
      <c r="SF8">
        <v>2025</v>
      </c>
      <c r="SG8" t="s">
        <v>5366</v>
      </c>
      <c r="SH8" s="6">
        <v>45931</v>
      </c>
      <c r="SI8">
        <v>5</v>
      </c>
      <c r="SJ8">
        <v>185757408</v>
      </c>
      <c r="SK8">
        <v>101729</v>
      </c>
      <c r="SL8" t="s">
        <v>2810</v>
      </c>
      <c r="TE8" t="s">
        <v>5757</v>
      </c>
      <c r="TF8">
        <v>-2.4245362661989844E-14</v>
      </c>
      <c r="TH8">
        <v>-2.4245362661989844E-14</v>
      </c>
      <c r="TI8" t="s">
        <v>1753</v>
      </c>
      <c r="TJ8">
        <v>2022</v>
      </c>
      <c r="TK8" t="s">
        <v>5753</v>
      </c>
      <c r="TL8" s="6">
        <v>44676</v>
      </c>
      <c r="TM8">
        <v>5</v>
      </c>
      <c r="TN8">
        <v>-2.4245362661989844E-14</v>
      </c>
      <c r="TO8">
        <v>34988352</v>
      </c>
      <c r="TP8" t="s">
        <v>5758</v>
      </c>
      <c r="TU8" t="s">
        <v>1026</v>
      </c>
      <c r="TV8" t="s">
        <v>1752</v>
      </c>
      <c r="TW8">
        <v>0.224579</v>
      </c>
      <c r="TX8">
        <v>0.108293</v>
      </c>
      <c r="TY8" t="s">
        <v>1788</v>
      </c>
      <c r="TZ8">
        <v>2025</v>
      </c>
      <c r="UA8" t="s">
        <v>1950</v>
      </c>
      <c r="UB8" s="6">
        <v>46009</v>
      </c>
      <c r="UC8">
        <v>5</v>
      </c>
      <c r="UD8">
        <v>1649301</v>
      </c>
      <c r="UE8">
        <v>101601</v>
      </c>
      <c r="UF8" t="s">
        <v>4077</v>
      </c>
      <c r="UI8" t="s">
        <v>4593</v>
      </c>
      <c r="UJ8">
        <v>-2.4245362661989844E-14</v>
      </c>
      <c r="UL8">
        <v>-2.4245362661989844E-14</v>
      </c>
      <c r="UM8" t="s">
        <v>1753</v>
      </c>
      <c r="UN8">
        <v>2025</v>
      </c>
      <c r="UO8" t="s">
        <v>4594</v>
      </c>
      <c r="UP8" s="6">
        <v>45834</v>
      </c>
      <c r="UQ8">
        <v>5</v>
      </c>
      <c r="UR8">
        <v>-2.4245362661989844E-14</v>
      </c>
      <c r="US8">
        <v>11745327</v>
      </c>
      <c r="UT8" t="s">
        <v>4595</v>
      </c>
      <c r="UY8" t="s">
        <v>3256</v>
      </c>
      <c r="UZ8" t="s">
        <v>1752</v>
      </c>
      <c r="VA8">
        <v>3.9360000000000003E-3</v>
      </c>
      <c r="VB8">
        <v>7.9015000000000002E-2</v>
      </c>
      <c r="VC8" t="s">
        <v>1788</v>
      </c>
      <c r="VD8">
        <v>2025</v>
      </c>
      <c r="VE8" t="s">
        <v>3257</v>
      </c>
      <c r="VF8" s="6">
        <v>45974</v>
      </c>
      <c r="VG8">
        <v>5</v>
      </c>
      <c r="VH8">
        <v>96555.28</v>
      </c>
      <c r="VI8">
        <v>193571</v>
      </c>
      <c r="VJ8" t="s">
        <v>3258</v>
      </c>
    </row>
    <row r="9" spans="1:600" x14ac:dyDescent="0.25">
      <c r="CM9" t="s">
        <v>4299</v>
      </c>
      <c r="CN9" t="s">
        <v>1752</v>
      </c>
      <c r="CO9">
        <v>10.5</v>
      </c>
      <c r="CP9">
        <v>7.349405</v>
      </c>
      <c r="CQ9" t="s">
        <v>1753</v>
      </c>
      <c r="CR9">
        <v>2024</v>
      </c>
      <c r="CS9" t="s">
        <v>4300</v>
      </c>
      <c r="CT9" s="6">
        <v>45744</v>
      </c>
      <c r="CU9">
        <v>5</v>
      </c>
      <c r="CV9">
        <v>778954139.5</v>
      </c>
      <c r="CW9">
        <v>113389</v>
      </c>
      <c r="CX9" t="s">
        <v>4301</v>
      </c>
      <c r="DA9" t="s">
        <v>3435</v>
      </c>
      <c r="DB9">
        <v>0.56558799999999998</v>
      </c>
      <c r="DC9" t="s">
        <v>1752</v>
      </c>
      <c r="DD9">
        <v>3.5370110000000001</v>
      </c>
      <c r="DE9" t="s">
        <v>1774</v>
      </c>
      <c r="DF9">
        <v>2025</v>
      </c>
      <c r="DG9" t="s">
        <v>3436</v>
      </c>
      <c r="DH9" s="6">
        <v>46008</v>
      </c>
      <c r="DI9">
        <v>5</v>
      </c>
      <c r="DJ9">
        <v>82257509.170000002</v>
      </c>
      <c r="DK9">
        <v>349049</v>
      </c>
      <c r="DL9" t="s">
        <v>3437</v>
      </c>
      <c r="FY9" t="s">
        <v>5657</v>
      </c>
      <c r="GA9">
        <v>-2.4245362661989844E-14</v>
      </c>
      <c r="GB9">
        <v>-2.4245362661989844E-14</v>
      </c>
      <c r="GC9" t="s">
        <v>1753</v>
      </c>
      <c r="GD9">
        <v>2022</v>
      </c>
      <c r="GE9" t="s">
        <v>5649</v>
      </c>
      <c r="GF9" s="6">
        <v>45001</v>
      </c>
      <c r="GG9">
        <v>5</v>
      </c>
      <c r="GH9">
        <v>-2.4245362661989844E-14</v>
      </c>
      <c r="GI9">
        <v>128749</v>
      </c>
      <c r="GJ9" t="s">
        <v>5658</v>
      </c>
      <c r="GM9" t="s">
        <v>5655</v>
      </c>
      <c r="GN9">
        <v>-2.4245362661989844E-14</v>
      </c>
      <c r="GP9">
        <v>-2.4245362661989844E-14</v>
      </c>
      <c r="GQ9" t="s">
        <v>1753</v>
      </c>
      <c r="GR9">
        <v>2022</v>
      </c>
      <c r="GS9" t="s">
        <v>5649</v>
      </c>
      <c r="GT9" s="6">
        <v>45001</v>
      </c>
      <c r="GU9">
        <v>5</v>
      </c>
      <c r="GV9">
        <v>-2.4245362661989844E-14</v>
      </c>
      <c r="GW9">
        <v>11533050</v>
      </c>
      <c r="GX9" t="s">
        <v>5656</v>
      </c>
      <c r="KO9" t="s">
        <v>4071</v>
      </c>
      <c r="KQ9">
        <v>-2.4245362661989844E-14</v>
      </c>
      <c r="KR9">
        <v>-2.4245362661989844E-14</v>
      </c>
      <c r="KS9" t="s">
        <v>1753</v>
      </c>
      <c r="KT9">
        <v>2023</v>
      </c>
      <c r="KU9" t="s">
        <v>4072</v>
      </c>
      <c r="KV9" s="6">
        <v>45302</v>
      </c>
      <c r="KW9">
        <v>5</v>
      </c>
      <c r="KX9">
        <v>-2.4245362661989844E-14</v>
      </c>
      <c r="KY9">
        <v>931651</v>
      </c>
      <c r="KZ9" t="s">
        <v>4073</v>
      </c>
      <c r="RM9" t="s">
        <v>5543</v>
      </c>
      <c r="RN9" t="s">
        <v>1752</v>
      </c>
      <c r="RO9">
        <v>39.222942000000003</v>
      </c>
      <c r="RP9">
        <v>2.5692750000000002</v>
      </c>
      <c r="RQ9" t="s">
        <v>1753</v>
      </c>
      <c r="RR9">
        <v>2025</v>
      </c>
      <c r="RS9" t="s">
        <v>5544</v>
      </c>
      <c r="RT9" s="6">
        <v>46073</v>
      </c>
      <c r="RU9">
        <v>5</v>
      </c>
      <c r="RV9">
        <v>92924250</v>
      </c>
      <c r="RW9">
        <v>51018342</v>
      </c>
      <c r="RX9" t="s">
        <v>5545</v>
      </c>
      <c r="SA9" t="s">
        <v>2268</v>
      </c>
      <c r="SB9">
        <v>1.4184159999999999</v>
      </c>
      <c r="SC9" t="s">
        <v>1828</v>
      </c>
      <c r="SD9">
        <v>3.3443610000000001</v>
      </c>
      <c r="SE9" t="s">
        <v>1788</v>
      </c>
      <c r="SF9">
        <v>2025</v>
      </c>
      <c r="SG9" t="s">
        <v>5366</v>
      </c>
      <c r="SH9" s="6">
        <v>45931</v>
      </c>
      <c r="SI9">
        <v>5</v>
      </c>
      <c r="SJ9">
        <v>103572736</v>
      </c>
      <c r="SK9">
        <v>193974</v>
      </c>
      <c r="SL9" t="s">
        <v>2270</v>
      </c>
      <c r="TE9" t="s">
        <v>1791</v>
      </c>
      <c r="TF9">
        <v>-2.4245362661989844E-14</v>
      </c>
      <c r="TH9">
        <v>-2.4245362661989844E-14</v>
      </c>
      <c r="TI9" t="s">
        <v>1753</v>
      </c>
      <c r="TJ9">
        <v>2022</v>
      </c>
      <c r="TK9" t="s">
        <v>5753</v>
      </c>
      <c r="TL9" s="6">
        <v>44676</v>
      </c>
      <c r="TM9">
        <v>5</v>
      </c>
      <c r="TN9">
        <v>-2.4245362661989844E-14</v>
      </c>
      <c r="TO9">
        <v>218252</v>
      </c>
      <c r="TP9" t="s">
        <v>1793</v>
      </c>
      <c r="TU9" t="s">
        <v>2106</v>
      </c>
      <c r="TV9" t="s">
        <v>1828</v>
      </c>
      <c r="TW9">
        <v>4.7656999999999998E-2</v>
      </c>
      <c r="TX9">
        <v>0.32179200000000002</v>
      </c>
      <c r="TY9" t="s">
        <v>1825</v>
      </c>
      <c r="TZ9">
        <v>2024</v>
      </c>
      <c r="UA9" t="s">
        <v>2107</v>
      </c>
      <c r="UB9" s="6">
        <v>45770</v>
      </c>
      <c r="UC9">
        <v>5</v>
      </c>
      <c r="UD9">
        <v>892312.96</v>
      </c>
      <c r="UE9">
        <v>186659</v>
      </c>
      <c r="UF9" t="s">
        <v>2108</v>
      </c>
      <c r="UI9" t="s">
        <v>4596</v>
      </c>
      <c r="UJ9">
        <v>-2.4245362661989844E-14</v>
      </c>
      <c r="UL9">
        <v>-2.4245362661989844E-14</v>
      </c>
      <c r="UM9" t="s">
        <v>1842</v>
      </c>
      <c r="UN9">
        <v>2025</v>
      </c>
      <c r="UO9" t="s">
        <v>4597</v>
      </c>
      <c r="UP9" s="6">
        <v>45895</v>
      </c>
      <c r="UQ9">
        <v>5</v>
      </c>
      <c r="UR9">
        <v>-2.4245362661989844E-14</v>
      </c>
      <c r="US9">
        <v>20515250</v>
      </c>
      <c r="UT9" t="s">
        <v>4598</v>
      </c>
      <c r="UY9" t="s">
        <v>4071</v>
      </c>
      <c r="VA9">
        <v>-2.4245362661989844E-14</v>
      </c>
      <c r="VB9">
        <v>-2.4245362661989844E-14</v>
      </c>
      <c r="VC9" t="s">
        <v>1753</v>
      </c>
      <c r="VD9">
        <v>2023</v>
      </c>
      <c r="VE9" t="s">
        <v>4072</v>
      </c>
      <c r="VF9" s="6">
        <v>45302</v>
      </c>
      <c r="VG9">
        <v>5</v>
      </c>
      <c r="VH9">
        <v>-2.4245362661989844E-14</v>
      </c>
      <c r="VI9">
        <v>931651</v>
      </c>
      <c r="VJ9" t="s">
        <v>4073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427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428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429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430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431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432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433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434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435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436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437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438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439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440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441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442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443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444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445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37</v>
      </c>
      <c r="AE2" s="3" t="s">
        <v>446</v>
      </c>
      <c r="BI2" s="3" t="s">
        <v>447</v>
      </c>
      <c r="CM2" s="3" t="s">
        <v>448</v>
      </c>
      <c r="DQ2" s="3" t="s">
        <v>449</v>
      </c>
      <c r="EU2" s="3" t="s">
        <v>450</v>
      </c>
      <c r="FY2" s="3" t="s">
        <v>451</v>
      </c>
      <c r="HC2" s="3" t="s">
        <v>452</v>
      </c>
      <c r="IG2" s="3" t="s">
        <v>453</v>
      </c>
      <c r="JK2" s="3" t="s">
        <v>454</v>
      </c>
      <c r="KO2" s="3" t="s">
        <v>455</v>
      </c>
      <c r="LS2" s="3" t="s">
        <v>456</v>
      </c>
      <c r="MW2" s="3" t="s">
        <v>457</v>
      </c>
      <c r="OA2" s="3" t="s">
        <v>458</v>
      </c>
      <c r="PE2" s="3" t="s">
        <v>341</v>
      </c>
      <c r="QI2" s="3" t="s">
        <v>459</v>
      </c>
      <c r="RM2" s="3" t="s">
        <v>460</v>
      </c>
      <c r="SQ2" s="3" t="s">
        <v>461</v>
      </c>
      <c r="TU2" s="3" t="s">
        <v>462</v>
      </c>
      <c r="UY2" s="3" t="s">
        <v>463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_xll.BDS("nan Equity","SUPPLY_CHAIN_SUPPLIERS_ALL_DATA")</f>
        <v>#N/A N/A</v>
      </c>
      <c r="O5" t="str">
        <f>_xll.BDS("nan Equity","SUPPLY_CHAIN_CUSTOMERS_ALL_DATA")</f>
        <v>#N/A N/A</v>
      </c>
      <c r="AE5" t="str">
        <f>_xll.BDS("SWY US Equity","SUPPLY_CHAIN_SUPPLIERS_ALL_DATA")</f>
        <v>#N/A N/A</v>
      </c>
      <c r="AS5" t="str">
        <f>_xll.BDS("SWY US Equity","SUPPLY_CHAIN_CUSTOMERS_ALL_DATA")</f>
        <v>#N/A N/A</v>
      </c>
      <c r="BI5" t="str">
        <f>_xll.BDS("41018Q US Equity","SUPPLY_CHAIN_SUPPLIERS_ALL_DATA")</f>
        <v>#N/A N/A</v>
      </c>
      <c r="BW5" t="str">
        <f>_xll.BDS("41018Q US Equity","SUPPLY_CHAIN_CUSTOMERS_ALL_DATA")</f>
        <v>#N/A N/A</v>
      </c>
      <c r="CM5" t="str">
        <f>_xll.BDS("BGCP US Equity","SUPPLY_CHAIN_SUPPLIERS_ALL_DATA")</f>
        <v>#N/A N/A</v>
      </c>
      <c r="DA5" t="str">
        <f>_xll.BDS("BGCP US Equity","SUPPLY_CHAIN_CUSTOMERS_ALL_DATA","cols=12;rows=1")</f>
        <v>PGTK US Equity</v>
      </c>
      <c r="DB5">
        <v>-2.4245362661989844E-14</v>
      </c>
      <c r="DD5">
        <v>-2.4245362661989844E-14</v>
      </c>
      <c r="DE5" t="s">
        <v>1753</v>
      </c>
      <c r="DF5">
        <v>2023</v>
      </c>
      <c r="DG5" t="s">
        <v>4540</v>
      </c>
      <c r="DH5" s="6">
        <v>45055</v>
      </c>
      <c r="DI5">
        <v>1</v>
      </c>
      <c r="DJ5">
        <v>-2.4245362661989844E-14</v>
      </c>
      <c r="DK5">
        <v>348937</v>
      </c>
      <c r="DL5" t="s">
        <v>4541</v>
      </c>
      <c r="DQ5" t="str">
        <f>_xll.BDS("GUIC US Equity","SUPPLY_CHAIN_SUPPLIERS_ALL_DATA","cols=12;rows=1")</f>
        <v>KXS CN Equity</v>
      </c>
      <c r="DS5">
        <v>-2.4245362661989844E-14</v>
      </c>
      <c r="DT5">
        <v>-2.4245362661989844E-14</v>
      </c>
      <c r="DU5" t="s">
        <v>1788</v>
      </c>
      <c r="DV5">
        <v>2022</v>
      </c>
      <c r="DW5" t="s">
        <v>5690</v>
      </c>
      <c r="DX5" s="6">
        <v>44875</v>
      </c>
      <c r="DY5">
        <v>1</v>
      </c>
      <c r="DZ5">
        <v>-2.4245362661989844E-14</v>
      </c>
      <c r="EA5">
        <v>17136131</v>
      </c>
      <c r="EB5" t="s">
        <v>5691</v>
      </c>
      <c r="EE5" t="str">
        <f>_xll.BDS("GUIC US Equity","SUPPLY_CHAIN_CUSTOMERS_ALL_DATA","cols=12;rows=1")</f>
        <v>6116 TT Equity</v>
      </c>
      <c r="EF5">
        <v>-2.4245362661989844E-14</v>
      </c>
      <c r="EH5">
        <v>-2.4245362661989844E-14</v>
      </c>
      <c r="EI5" t="s">
        <v>1753</v>
      </c>
      <c r="EJ5">
        <v>2024</v>
      </c>
      <c r="EK5" t="s">
        <v>5846</v>
      </c>
      <c r="EL5" s="6">
        <v>45756</v>
      </c>
      <c r="EM5">
        <v>1</v>
      </c>
      <c r="EN5">
        <v>-2.4245362661989844E-14</v>
      </c>
      <c r="EO5">
        <v>835769</v>
      </c>
      <c r="EP5" t="s">
        <v>5847</v>
      </c>
      <c r="EU5" t="str">
        <f>_xll.BDS("BDX US Equity","SUPPLY_CHAIN_SUPPLIERS_ALL_DATA","cols=12;rows=5")</f>
        <v>FLEX US Equity</v>
      </c>
      <c r="EV5" t="s">
        <v>1752</v>
      </c>
      <c r="EW5">
        <v>0.65342299999999998</v>
      </c>
      <c r="EX5">
        <v>1.460566</v>
      </c>
      <c r="EY5" t="s">
        <v>1788</v>
      </c>
      <c r="EZ5">
        <v>2025</v>
      </c>
      <c r="FA5" t="s">
        <v>2213</v>
      </c>
      <c r="FB5" s="6">
        <v>45763</v>
      </c>
      <c r="FC5">
        <v>5</v>
      </c>
      <c r="FD5">
        <v>42838412</v>
      </c>
      <c r="FE5">
        <v>136547</v>
      </c>
      <c r="FF5" t="s">
        <v>2214</v>
      </c>
      <c r="FI5" t="str">
        <f>_xll.BDS("BDX US Equity","SUPPLY_CHAIN_CUSTOMERS_ALL_DATA","cols=12;rows=5")</f>
        <v>300326 CH Equity</v>
      </c>
      <c r="FJ5">
        <v>4.1838E-2</v>
      </c>
      <c r="FK5" t="s">
        <v>1752</v>
      </c>
      <c r="FL5">
        <v>12.966013999999999</v>
      </c>
      <c r="FM5" t="s">
        <v>1753</v>
      </c>
      <c r="FN5">
        <v>2024</v>
      </c>
      <c r="FO5" t="s">
        <v>4279</v>
      </c>
      <c r="FP5" s="6">
        <v>45777</v>
      </c>
      <c r="FQ5">
        <v>5</v>
      </c>
      <c r="FR5">
        <v>2189021.09</v>
      </c>
      <c r="FS5">
        <v>28668877</v>
      </c>
      <c r="FT5" t="s">
        <v>4280</v>
      </c>
      <c r="FY5" t="str">
        <f>_xll.BDS("3122066Q US Equity","SUPPLY_CHAIN_SUPPLIERS_ALL_DATA")</f>
        <v>#N/A N/A</v>
      </c>
      <c r="GM5" t="str">
        <f>_xll.BDS("3122066Q US Equity","SUPPLY_CHAIN_CUSTOMERS_ALL_DATA")</f>
        <v>#N/A N/A</v>
      </c>
      <c r="HC5" t="str">
        <f>_xll.BDS("DHR US Equity","SUPPLY_CHAIN_SUPPLIERS_ALL_DATA","cols=12;rows=5")</f>
        <v>FLEX US Equity</v>
      </c>
      <c r="HD5" t="s">
        <v>1752</v>
      </c>
      <c r="HE5">
        <v>1.165869</v>
      </c>
      <c r="HF5">
        <v>2.8864939999999999</v>
      </c>
      <c r="HG5" t="s">
        <v>1788</v>
      </c>
      <c r="HH5">
        <v>2025</v>
      </c>
      <c r="HI5" t="s">
        <v>2213</v>
      </c>
      <c r="HJ5" s="6">
        <v>45763</v>
      </c>
      <c r="HK5">
        <v>5</v>
      </c>
      <c r="HL5">
        <v>76434368</v>
      </c>
      <c r="HM5">
        <v>136547</v>
      </c>
      <c r="HN5" t="s">
        <v>2214</v>
      </c>
      <c r="HQ5" t="str">
        <f>_xll.BDS("DHR US Equity","SUPPLY_CHAIN_CUSTOMERS_ALL_DATA","cols=12;rows=5")</f>
        <v>CDW US Equity</v>
      </c>
      <c r="HR5">
        <v>0.25350099999999998</v>
      </c>
      <c r="HS5" t="s">
        <v>1752</v>
      </c>
      <c r="HT5">
        <v>0.35698299999999999</v>
      </c>
      <c r="HU5" t="s">
        <v>1781</v>
      </c>
      <c r="HV5">
        <v>2025</v>
      </c>
      <c r="HW5" t="s">
        <v>1955</v>
      </c>
      <c r="HX5" s="6">
        <v>45820</v>
      </c>
      <c r="HY5">
        <v>5</v>
      </c>
      <c r="HZ5">
        <v>14553483</v>
      </c>
      <c r="IA5">
        <v>12129192</v>
      </c>
      <c r="IB5" t="s">
        <v>1956</v>
      </c>
      <c r="IG5" t="str">
        <f>_xll.BDS("594202Q US Equity","SUPPLY_CHAIN_SUPPLIERS_ALL_DATA")</f>
        <v>#N/A N/A</v>
      </c>
      <c r="IU5" t="str">
        <f>_xll.BDS("594202Q US Equity","SUPPLY_CHAIN_CUSTOMERS_ALL_DATA")</f>
        <v>#N/A N/A</v>
      </c>
      <c r="JK5" t="str">
        <f>_xll.BDS("DGX US Equity","SUPPLY_CHAIN_SUPPLIERS_ALL_DATA","cols=12;rows=5")</f>
        <v>PLUS US Equity</v>
      </c>
      <c r="JL5" t="s">
        <v>1752</v>
      </c>
      <c r="JM5">
        <v>0.65</v>
      </c>
      <c r="JN5">
        <v>0.21196400000000001</v>
      </c>
      <c r="JO5" t="s">
        <v>1774</v>
      </c>
      <c r="JP5">
        <v>2026</v>
      </c>
      <c r="JQ5" t="s">
        <v>3181</v>
      </c>
      <c r="JR5" s="6">
        <v>46036</v>
      </c>
      <c r="JS5">
        <v>5</v>
      </c>
      <c r="JT5">
        <v>3957369</v>
      </c>
      <c r="JU5">
        <v>194585</v>
      </c>
      <c r="JV5" t="s">
        <v>3182</v>
      </c>
      <c r="JY5" t="str">
        <f>_xll.BDS("DGX US Equity","SUPPLY_CHAIN_CUSTOMERS_ALL_DATA","cols=12;rows=5")</f>
        <v>950220 KS Equity</v>
      </c>
      <c r="JZ5">
        <v>1.7000000000000001E-4</v>
      </c>
      <c r="KA5" t="s">
        <v>1752</v>
      </c>
      <c r="KB5">
        <v>0.102143</v>
      </c>
      <c r="KC5" t="s">
        <v>1768</v>
      </c>
      <c r="KD5">
        <v>2025</v>
      </c>
      <c r="KE5" t="s">
        <v>4937</v>
      </c>
      <c r="KF5" s="6">
        <v>45968</v>
      </c>
      <c r="KG5">
        <v>5</v>
      </c>
      <c r="KH5">
        <v>4616.33</v>
      </c>
      <c r="KI5">
        <v>46755389</v>
      </c>
      <c r="KJ5" t="s">
        <v>4938</v>
      </c>
      <c r="KO5" t="str">
        <f>_xll.BDS("NOVT US Equity","SUPPLY_CHAIN_SUPPLIERS_ALL_DATA","cols=12;rows=5")</f>
        <v>9501 JP Equity</v>
      </c>
      <c r="KQ5">
        <v>-2.4245362661989844E-14</v>
      </c>
      <c r="KR5">
        <v>-2.4245362661989844E-14</v>
      </c>
      <c r="KS5" t="s">
        <v>1753</v>
      </c>
      <c r="KT5">
        <v>2022</v>
      </c>
      <c r="KU5" t="s">
        <v>3105</v>
      </c>
      <c r="KV5" s="6">
        <v>44693</v>
      </c>
      <c r="KW5">
        <v>5</v>
      </c>
      <c r="KX5">
        <v>-2.4245362661989844E-14</v>
      </c>
      <c r="KY5">
        <v>114991</v>
      </c>
      <c r="KZ5" t="s">
        <v>3106</v>
      </c>
      <c r="LC5" t="str">
        <f>_xll.BDS("NOVT US Equity","SUPPLY_CHAIN_CUSTOMERS_ALL_DATA","cols=12;rows=2")</f>
        <v>CDW US Equity</v>
      </c>
      <c r="LD5">
        <v>0.59422699999999995</v>
      </c>
      <c r="LE5" t="s">
        <v>1752</v>
      </c>
      <c r="LF5">
        <v>3.4014999999999997E-2</v>
      </c>
      <c r="LG5" t="s">
        <v>1781</v>
      </c>
      <c r="LH5">
        <v>2025</v>
      </c>
      <c r="LI5" t="s">
        <v>1955</v>
      </c>
      <c r="LJ5" s="6">
        <v>45820</v>
      </c>
      <c r="LK5">
        <v>2</v>
      </c>
      <c r="LL5">
        <v>1386724</v>
      </c>
      <c r="LM5">
        <v>12129192</v>
      </c>
      <c r="LN5" t="s">
        <v>1956</v>
      </c>
      <c r="LS5" t="str">
        <f>_xll.BDS("3097837Q US Equity","SUPPLY_CHAIN_SUPPLIERS_ALL_DATA")</f>
        <v>#N/A N/A</v>
      </c>
      <c r="MG5" t="str">
        <f>_xll.BDS("3097837Q US Equity","SUPPLY_CHAIN_CUSTOMERS_ALL_DATA")</f>
        <v>#N/A N/A</v>
      </c>
      <c r="MW5" t="str">
        <f>_xll.BDS("9994967D US Equity","SUPPLY_CHAIN_SUPPLIERS_ALL_DATA","cols=12;rows=5")</f>
        <v>0230214D LN Equity</v>
      </c>
      <c r="MY5">
        <v>-2.4245362661989844E-14</v>
      </c>
      <c r="MZ5">
        <v>-2.4245362661989844E-14</v>
      </c>
      <c r="NA5" t="s">
        <v>1753</v>
      </c>
      <c r="NB5">
        <v>2023</v>
      </c>
      <c r="NC5" t="s">
        <v>2811</v>
      </c>
      <c r="ND5" s="6">
        <v>45028</v>
      </c>
      <c r="NE5">
        <v>5</v>
      </c>
      <c r="NF5">
        <v>-2.4245362661989844E-14</v>
      </c>
      <c r="NG5">
        <v>27703404</v>
      </c>
      <c r="NH5" t="s">
        <v>3195</v>
      </c>
      <c r="NK5" t="str">
        <f>_xll.BDS("9994967D US Equity","SUPPLY_CHAIN_CUSTOMERS_ALL_DATA","cols=12;rows=4")</f>
        <v>0130612D US Equity</v>
      </c>
      <c r="NL5">
        <v>-2.4245362661989844E-14</v>
      </c>
      <c r="NN5">
        <v>-2.4245362661989844E-14</v>
      </c>
      <c r="NO5" t="s">
        <v>1753</v>
      </c>
      <c r="NP5">
        <v>2022</v>
      </c>
      <c r="NQ5" t="s">
        <v>2811</v>
      </c>
      <c r="NR5" s="6">
        <v>44665</v>
      </c>
      <c r="NS5">
        <v>4</v>
      </c>
      <c r="NT5">
        <v>-2.4245362661989844E-14</v>
      </c>
      <c r="NU5">
        <v>19528005</v>
      </c>
      <c r="NV5" t="s">
        <v>2812</v>
      </c>
      <c r="OA5" t="str">
        <f>_xll.BDS("SUSQ US Equity","SUPPLY_CHAIN_SUPPLIERS_ALL_DATA")</f>
        <v>#N/A N/A</v>
      </c>
      <c r="OO5" t="str">
        <f>_xll.BDS("SUSQ US Equity","SUPPLY_CHAIN_CUSTOMERS_ALL_DATA")</f>
        <v>#N/A N/A</v>
      </c>
      <c r="PE5" t="str">
        <f>_xll.BDS("MTB US Equity","SUPPLY_CHAIN_SUPPLIERS_ALL_DATA","cols=12;rows=5")</f>
        <v>ORCL US Equity</v>
      </c>
      <c r="PF5" t="s">
        <v>1752</v>
      </c>
      <c r="PG5">
        <v>1.9734999999999999E-2</v>
      </c>
      <c r="PH5">
        <v>0.221799</v>
      </c>
      <c r="PI5" t="s">
        <v>1825</v>
      </c>
      <c r="PJ5">
        <v>2025</v>
      </c>
      <c r="PK5" t="s">
        <v>1897</v>
      </c>
      <c r="PL5" s="6">
        <v>45848</v>
      </c>
      <c r="PM5">
        <v>5</v>
      </c>
      <c r="PN5">
        <v>3138457</v>
      </c>
      <c r="PO5">
        <v>101752</v>
      </c>
      <c r="PP5" t="s">
        <v>2109</v>
      </c>
      <c r="PS5" t="str">
        <f>_xll.BDS("MTB US Equity","SUPPLY_CHAIN_CUSTOMERS_ALL_DATA","cols=12;rows=3")</f>
        <v>2610 TT Equity</v>
      </c>
      <c r="PT5">
        <v>-2.4245362661989844E-14</v>
      </c>
      <c r="PV5">
        <v>-2.4245362661989844E-14</v>
      </c>
      <c r="PW5" t="s">
        <v>1753</v>
      </c>
      <c r="PX5">
        <v>2024</v>
      </c>
      <c r="PY5" t="s">
        <v>3846</v>
      </c>
      <c r="PZ5" s="6">
        <v>45786</v>
      </c>
      <c r="QA5">
        <v>3</v>
      </c>
      <c r="QB5">
        <v>-2.4245362661989844E-14</v>
      </c>
      <c r="QC5">
        <v>129514</v>
      </c>
      <c r="QD5" t="s">
        <v>3847</v>
      </c>
      <c r="QI5" t="str">
        <f>_xll.BDS("INGR US Equity","SUPPLY_CHAIN_SUPPLIERS_ALL_DATA","cols=12;rows=5")</f>
        <v>RMPL PA Equity</v>
      </c>
      <c r="QJ5" t="s">
        <v>1752</v>
      </c>
      <c r="QK5">
        <v>4.6702709999999996</v>
      </c>
      <c r="QL5">
        <v>0.20785300000000001</v>
      </c>
      <c r="QM5" t="s">
        <v>1753</v>
      </c>
      <c r="QN5">
        <v>2024</v>
      </c>
      <c r="QO5" t="s">
        <v>5625</v>
      </c>
      <c r="QP5" s="6">
        <v>45748</v>
      </c>
      <c r="QQ5">
        <v>5</v>
      </c>
      <c r="QR5">
        <v>2930259.58</v>
      </c>
      <c r="QS5">
        <v>223927</v>
      </c>
      <c r="QT5" t="s">
        <v>5626</v>
      </c>
      <c r="QW5" t="str">
        <f>_xll.BDS("INGR US Equity","SUPPLY_CHAIN_CUSTOMERS_ALL_DATA","cols=12;rows=5")</f>
        <v>RMPL PA Equity</v>
      </c>
      <c r="QX5">
        <v>5.0147999999999998E-2</v>
      </c>
      <c r="QY5" t="s">
        <v>1752</v>
      </c>
      <c r="QZ5">
        <v>1.87751</v>
      </c>
      <c r="RA5" t="s">
        <v>1753</v>
      </c>
      <c r="RB5">
        <v>2024</v>
      </c>
      <c r="RC5" t="s">
        <v>5625</v>
      </c>
      <c r="RD5" s="6">
        <v>45748</v>
      </c>
      <c r="RE5">
        <v>5</v>
      </c>
      <c r="RF5">
        <v>931526.57</v>
      </c>
      <c r="RG5">
        <v>223927</v>
      </c>
      <c r="RH5" t="s">
        <v>5626</v>
      </c>
      <c r="RM5" t="str">
        <f>_xll.BDS("NWBI US Equity","SUPPLY_CHAIN_SUPPLIERS_ALL_DATA","cols=12;rows=1")</f>
        <v>FISV US Equity</v>
      </c>
      <c r="RO5">
        <v>-2.4245362661989844E-14</v>
      </c>
      <c r="RP5">
        <v>-2.4245362661989844E-14</v>
      </c>
      <c r="RQ5" t="s">
        <v>1768</v>
      </c>
      <c r="RR5">
        <v>2023</v>
      </c>
      <c r="RS5" t="s">
        <v>2153</v>
      </c>
      <c r="RT5" s="6">
        <v>45245</v>
      </c>
      <c r="RU5">
        <v>1</v>
      </c>
      <c r="RV5">
        <v>-2.4245362661989844E-14</v>
      </c>
      <c r="RW5">
        <v>103882</v>
      </c>
      <c r="RX5" t="s">
        <v>2154</v>
      </c>
      <c r="SA5" t="str">
        <f>_xll.BDS("NWBI US Equity","SUPPLY_CHAIN_CUSTOMERS_ALL_DATA")</f>
        <v>#N/A N/A</v>
      </c>
      <c r="SQ5" t="str">
        <f>_xll.BDS("RWY US Equity","SUPPLY_CHAIN_SUPPLIERS_ALL_DATA")</f>
        <v>#N/A N/A</v>
      </c>
      <c r="TE5" t="str">
        <f>_xll.BDS("RWY US Equity","SUPPLY_CHAIN_CUSTOMERS_ALL_DATA")</f>
        <v>#N/A N/A</v>
      </c>
      <c r="TU5" t="str">
        <f>_xll.BDS("FNFG US Equity","SUPPLY_CHAIN_SUPPLIERS_ALL_DATA")</f>
        <v>#N/A N/A</v>
      </c>
      <c r="UI5" t="str">
        <f>_xll.BDS("FNFG US Equity","SUPPLY_CHAIN_CUSTOMERS_ALL_DATA")</f>
        <v>#N/A N/A</v>
      </c>
      <c r="UY5" t="str">
        <f>_xll.BDS("ATBA AV Equity","SUPPLY_CHAIN_SUPPLIERS_ALL_DATA","cols=12;rows=5")</f>
        <v>000676 CH Equity</v>
      </c>
      <c r="VA5">
        <v>-2.4245362661989844E-14</v>
      </c>
      <c r="VB5">
        <v>-2.4245362661989844E-14</v>
      </c>
      <c r="VC5" t="s">
        <v>1842</v>
      </c>
      <c r="VD5">
        <v>2025</v>
      </c>
      <c r="VE5" t="s">
        <v>5113</v>
      </c>
      <c r="VF5" s="6">
        <v>45896</v>
      </c>
      <c r="VG5">
        <v>5</v>
      </c>
      <c r="VH5">
        <v>-2.4245362661989844E-14</v>
      </c>
      <c r="VI5">
        <v>193970</v>
      </c>
      <c r="VJ5" t="s">
        <v>5114</v>
      </c>
      <c r="VM5" t="str">
        <f>_xll.BDS("ATBA AV Equity","SUPPLY_CHAIN_CUSTOMERS_ALL_DATA","cols=12;rows=5")</f>
        <v>066570 KS Equity</v>
      </c>
      <c r="VN5">
        <v>-2.4245362661989844E-14</v>
      </c>
      <c r="VP5">
        <v>-2.4245362661989844E-14</v>
      </c>
      <c r="VQ5" t="s">
        <v>1753</v>
      </c>
      <c r="VR5">
        <v>2025</v>
      </c>
      <c r="VS5" t="s">
        <v>3346</v>
      </c>
      <c r="VT5" s="6">
        <v>45757</v>
      </c>
      <c r="VU5">
        <v>5</v>
      </c>
      <c r="VV5">
        <v>-2.4245362661989844E-14</v>
      </c>
      <c r="VW5">
        <v>7583418</v>
      </c>
      <c r="VX5" t="s">
        <v>1928</v>
      </c>
    </row>
    <row r="6" spans="1:600" x14ac:dyDescent="0.25">
      <c r="EU6" t="s">
        <v>3441</v>
      </c>
      <c r="EV6" t="s">
        <v>1752</v>
      </c>
      <c r="EW6">
        <v>1.4071180000000001</v>
      </c>
      <c r="EX6">
        <v>0.43839600000000001</v>
      </c>
      <c r="EY6" t="s">
        <v>1774</v>
      </c>
      <c r="EZ6">
        <v>2025</v>
      </c>
      <c r="FA6" t="s">
        <v>3442</v>
      </c>
      <c r="FB6" s="6">
        <v>45914</v>
      </c>
      <c r="FC6">
        <v>5</v>
      </c>
      <c r="FD6">
        <v>12603873</v>
      </c>
      <c r="FE6">
        <v>117116</v>
      </c>
      <c r="FF6" t="s">
        <v>3443</v>
      </c>
      <c r="FI6" t="s">
        <v>4281</v>
      </c>
      <c r="FJ6">
        <v>2.3125E-2</v>
      </c>
      <c r="FK6" t="s">
        <v>1752</v>
      </c>
      <c r="FL6">
        <v>1.6582479999999999</v>
      </c>
      <c r="FM6" t="s">
        <v>1768</v>
      </c>
      <c r="FN6">
        <v>2025</v>
      </c>
      <c r="FO6" t="s">
        <v>4282</v>
      </c>
      <c r="FP6" s="6">
        <v>45975</v>
      </c>
      <c r="FQ6">
        <v>5</v>
      </c>
      <c r="FR6">
        <v>1260135.7</v>
      </c>
      <c r="FS6">
        <v>33043329</v>
      </c>
      <c r="FT6" t="s">
        <v>4283</v>
      </c>
      <c r="HC6" t="s">
        <v>2215</v>
      </c>
      <c r="HD6" t="s">
        <v>1752</v>
      </c>
      <c r="HE6">
        <v>0.147895</v>
      </c>
      <c r="HF6">
        <v>0.47978500000000002</v>
      </c>
      <c r="HG6" t="s">
        <v>1788</v>
      </c>
      <c r="HH6">
        <v>2025</v>
      </c>
      <c r="HI6" t="s">
        <v>2216</v>
      </c>
      <c r="HJ6" s="6">
        <v>45867</v>
      </c>
      <c r="HK6">
        <v>5</v>
      </c>
      <c r="HL6">
        <v>11577221</v>
      </c>
      <c r="HM6">
        <v>117092</v>
      </c>
      <c r="HN6" t="s">
        <v>2217</v>
      </c>
      <c r="HQ6" t="s">
        <v>1824</v>
      </c>
      <c r="HR6">
        <v>0.22051499999999999</v>
      </c>
      <c r="HS6" t="s">
        <v>1752</v>
      </c>
      <c r="HT6">
        <v>9.3169000000000002E-2</v>
      </c>
      <c r="HU6" t="s">
        <v>1825</v>
      </c>
      <c r="HV6">
        <v>2025</v>
      </c>
      <c r="HW6" t="s">
        <v>1826</v>
      </c>
      <c r="HX6" s="6">
        <v>46056</v>
      </c>
      <c r="HY6">
        <v>5</v>
      </c>
      <c r="HZ6">
        <v>15078834</v>
      </c>
      <c r="IA6">
        <v>1499717</v>
      </c>
      <c r="IB6" t="s">
        <v>1827</v>
      </c>
      <c r="JK6" t="s">
        <v>3183</v>
      </c>
      <c r="JL6" t="s">
        <v>1940</v>
      </c>
      <c r="JM6">
        <v>3.7</v>
      </c>
      <c r="JN6">
        <v>0.35031299999999999</v>
      </c>
      <c r="JO6" t="s">
        <v>1753</v>
      </c>
      <c r="JP6">
        <v>2024</v>
      </c>
      <c r="JQ6" t="s">
        <v>3184</v>
      </c>
      <c r="JR6" s="6">
        <v>45708</v>
      </c>
      <c r="JS6">
        <v>5</v>
      </c>
      <c r="JT6">
        <v>1550133.5</v>
      </c>
      <c r="JU6">
        <v>46286147</v>
      </c>
      <c r="JV6" t="s">
        <v>3185</v>
      </c>
      <c r="JY6" t="s">
        <v>4939</v>
      </c>
      <c r="JZ6">
        <v>-2.4245362661989844E-14</v>
      </c>
      <c r="KB6">
        <v>-2.4245362661989844E-14</v>
      </c>
      <c r="KC6" t="s">
        <v>1753</v>
      </c>
      <c r="KD6">
        <v>2024</v>
      </c>
      <c r="KE6" t="s">
        <v>3190</v>
      </c>
      <c r="KF6" s="6">
        <v>45588</v>
      </c>
      <c r="KG6">
        <v>5</v>
      </c>
      <c r="KH6">
        <v>-2.4245362661989844E-14</v>
      </c>
      <c r="KI6">
        <v>25341310</v>
      </c>
      <c r="KJ6" t="s">
        <v>4940</v>
      </c>
      <c r="KO6" t="s">
        <v>5026</v>
      </c>
      <c r="KQ6">
        <v>-2.4245362661989844E-14</v>
      </c>
      <c r="KR6">
        <v>-2.4245362661989844E-14</v>
      </c>
      <c r="KS6" t="s">
        <v>1753</v>
      </c>
      <c r="KT6">
        <v>2021</v>
      </c>
      <c r="KU6" t="s">
        <v>5027</v>
      </c>
      <c r="KV6" s="6">
        <v>44693</v>
      </c>
      <c r="KW6">
        <v>5</v>
      </c>
      <c r="KX6">
        <v>-2.4245362661989844E-14</v>
      </c>
      <c r="KY6">
        <v>115724</v>
      </c>
      <c r="KZ6" t="s">
        <v>5028</v>
      </c>
      <c r="LC6" t="s">
        <v>1824</v>
      </c>
      <c r="LD6">
        <v>0.49584400000000001</v>
      </c>
      <c r="LE6" t="s">
        <v>1752</v>
      </c>
      <c r="LF6">
        <v>7.5929999999999999E-3</v>
      </c>
      <c r="LG6" t="s">
        <v>1825</v>
      </c>
      <c r="LH6">
        <v>2025</v>
      </c>
      <c r="LI6" t="s">
        <v>1826</v>
      </c>
      <c r="LJ6" s="6">
        <v>46056</v>
      </c>
      <c r="LK6">
        <v>2</v>
      </c>
      <c r="LL6">
        <v>1228881</v>
      </c>
      <c r="LM6">
        <v>1499717</v>
      </c>
      <c r="LN6" t="s">
        <v>1827</v>
      </c>
      <c r="MW6" t="s">
        <v>3196</v>
      </c>
      <c r="MY6">
        <v>-2.4245362661989844E-14</v>
      </c>
      <c r="MZ6">
        <v>-2.4245362661989844E-14</v>
      </c>
      <c r="NA6" t="s">
        <v>1753</v>
      </c>
      <c r="NB6">
        <v>2022</v>
      </c>
      <c r="NC6" t="s">
        <v>2813</v>
      </c>
      <c r="ND6" s="6">
        <v>44986</v>
      </c>
      <c r="NE6">
        <v>5</v>
      </c>
      <c r="NF6">
        <v>-2.4245362661989844E-14</v>
      </c>
      <c r="NG6">
        <v>233682</v>
      </c>
      <c r="NH6" t="s">
        <v>3197</v>
      </c>
      <c r="NK6" t="s">
        <v>2372</v>
      </c>
      <c r="NL6">
        <v>-2.4245362661989844E-14</v>
      </c>
      <c r="NN6">
        <v>-2.4245362661989844E-14</v>
      </c>
      <c r="NO6" t="s">
        <v>1753</v>
      </c>
      <c r="NP6">
        <v>2022</v>
      </c>
      <c r="NQ6" t="s">
        <v>2813</v>
      </c>
      <c r="NR6" s="6">
        <v>44986</v>
      </c>
      <c r="NS6">
        <v>4</v>
      </c>
      <c r="NT6">
        <v>-2.4245362661989844E-14</v>
      </c>
      <c r="NU6">
        <v>14038385</v>
      </c>
      <c r="NV6" t="s">
        <v>2373</v>
      </c>
      <c r="PE6" t="s">
        <v>4053</v>
      </c>
      <c r="PG6">
        <v>-2.4245362661989844E-14</v>
      </c>
      <c r="PH6">
        <v>-2.4245362661989844E-14</v>
      </c>
      <c r="PI6" t="s">
        <v>1753</v>
      </c>
      <c r="PJ6">
        <v>2024</v>
      </c>
      <c r="PK6" t="s">
        <v>4054</v>
      </c>
      <c r="PL6" s="6">
        <v>45716</v>
      </c>
      <c r="PM6">
        <v>5</v>
      </c>
      <c r="PN6">
        <v>-2.4245362661989844E-14</v>
      </c>
      <c r="PO6">
        <v>119752</v>
      </c>
      <c r="PP6" t="s">
        <v>4055</v>
      </c>
      <c r="PS6" t="s">
        <v>3848</v>
      </c>
      <c r="PT6">
        <v>-2.4245362661989844E-14</v>
      </c>
      <c r="PV6">
        <v>-2.4245362661989844E-14</v>
      </c>
      <c r="PW6" t="s">
        <v>1753</v>
      </c>
      <c r="PX6">
        <v>2024</v>
      </c>
      <c r="PY6" t="s">
        <v>3849</v>
      </c>
      <c r="PZ6" s="6">
        <v>45779</v>
      </c>
      <c r="QA6">
        <v>3</v>
      </c>
      <c r="QB6">
        <v>-2.4245362661989844E-14</v>
      </c>
      <c r="QC6">
        <v>918740</v>
      </c>
      <c r="QD6" t="s">
        <v>3850</v>
      </c>
      <c r="QI6" t="s">
        <v>861</v>
      </c>
      <c r="QJ6" t="s">
        <v>1752</v>
      </c>
      <c r="QK6">
        <v>6.7334000000000005E-2</v>
      </c>
      <c r="QL6">
        <v>0.19661100000000001</v>
      </c>
      <c r="QM6" t="s">
        <v>1825</v>
      </c>
      <c r="QN6">
        <v>2025</v>
      </c>
      <c r="QO6" t="s">
        <v>5163</v>
      </c>
      <c r="QP6" s="6">
        <v>46071</v>
      </c>
      <c r="QQ6">
        <v>5</v>
      </c>
      <c r="QR6">
        <v>2649829</v>
      </c>
      <c r="QS6">
        <v>100499</v>
      </c>
      <c r="QT6" t="s">
        <v>5164</v>
      </c>
      <c r="QW6" t="s">
        <v>5627</v>
      </c>
      <c r="QX6">
        <v>-2.4245362661989844E-14</v>
      </c>
      <c r="QZ6">
        <v>-2.4245362661989844E-14</v>
      </c>
      <c r="RA6" t="s">
        <v>1761</v>
      </c>
      <c r="RB6">
        <v>2023</v>
      </c>
      <c r="RC6" t="s">
        <v>5628</v>
      </c>
      <c r="RD6" s="6">
        <v>45152</v>
      </c>
      <c r="RE6">
        <v>5</v>
      </c>
      <c r="RF6">
        <v>-2.4245362661989844E-14</v>
      </c>
      <c r="RG6">
        <v>153787</v>
      </c>
      <c r="RH6" t="s">
        <v>5629</v>
      </c>
      <c r="UY6" t="s">
        <v>5115</v>
      </c>
      <c r="VA6">
        <v>-2.4245362661989844E-14</v>
      </c>
      <c r="VB6">
        <v>-2.4245362661989844E-14</v>
      </c>
      <c r="VC6" t="s">
        <v>1761</v>
      </c>
      <c r="VD6">
        <v>2023</v>
      </c>
      <c r="VE6" t="s">
        <v>5116</v>
      </c>
      <c r="VF6" s="6">
        <v>45152</v>
      </c>
      <c r="VG6">
        <v>5</v>
      </c>
      <c r="VH6">
        <v>-2.4245362661989844E-14</v>
      </c>
      <c r="VI6">
        <v>9996300</v>
      </c>
      <c r="VJ6" t="s">
        <v>5117</v>
      </c>
      <c r="VM6" t="s">
        <v>3347</v>
      </c>
      <c r="VN6">
        <v>-2.4245362661989844E-14</v>
      </c>
      <c r="VP6">
        <v>-2.4245362661989844E-14</v>
      </c>
      <c r="VQ6" t="s">
        <v>1768</v>
      </c>
      <c r="VR6">
        <v>2022</v>
      </c>
      <c r="VS6" t="s">
        <v>3348</v>
      </c>
      <c r="VT6" s="6">
        <v>44916</v>
      </c>
      <c r="VU6">
        <v>5</v>
      </c>
      <c r="VV6">
        <v>-2.4245362661989844E-14</v>
      </c>
      <c r="VW6">
        <v>7312672</v>
      </c>
      <c r="VX6" t="s">
        <v>3349</v>
      </c>
    </row>
    <row r="7" spans="1:600" x14ac:dyDescent="0.25">
      <c r="EU7" t="s">
        <v>2215</v>
      </c>
      <c r="EV7" t="s">
        <v>1752</v>
      </c>
      <c r="EW7">
        <v>0.112723</v>
      </c>
      <c r="EX7">
        <v>0.29266900000000001</v>
      </c>
      <c r="EY7" t="s">
        <v>1788</v>
      </c>
      <c r="EZ7">
        <v>2025</v>
      </c>
      <c r="FA7" t="s">
        <v>2216</v>
      </c>
      <c r="FB7" s="6">
        <v>45867</v>
      </c>
      <c r="FC7">
        <v>5</v>
      </c>
      <c r="FD7">
        <v>8823956</v>
      </c>
      <c r="FE7">
        <v>117092</v>
      </c>
      <c r="FF7" t="s">
        <v>2217</v>
      </c>
      <c r="FI7" t="s">
        <v>4284</v>
      </c>
      <c r="FJ7">
        <v>1.9157E-2</v>
      </c>
      <c r="FK7" t="s">
        <v>1752</v>
      </c>
      <c r="FL7">
        <v>1.0409630000000001</v>
      </c>
      <c r="FM7" t="s">
        <v>1768</v>
      </c>
      <c r="FN7">
        <v>2025</v>
      </c>
      <c r="FO7" t="s">
        <v>4285</v>
      </c>
      <c r="FP7" s="6">
        <v>45975</v>
      </c>
      <c r="FQ7">
        <v>5</v>
      </c>
      <c r="FR7">
        <v>1043896.27</v>
      </c>
      <c r="FS7">
        <v>44623346</v>
      </c>
      <c r="FT7" t="s">
        <v>4286</v>
      </c>
      <c r="HC7" t="s">
        <v>2415</v>
      </c>
      <c r="HD7" t="s">
        <v>1752</v>
      </c>
      <c r="HE7">
        <v>0.32230900000000001</v>
      </c>
      <c r="HF7">
        <v>0.38473400000000002</v>
      </c>
      <c r="HG7" t="s">
        <v>1788</v>
      </c>
      <c r="HH7">
        <v>2025</v>
      </c>
      <c r="HI7" t="s">
        <v>2416</v>
      </c>
      <c r="HJ7" s="6">
        <v>45891</v>
      </c>
      <c r="HK7">
        <v>5</v>
      </c>
      <c r="HL7">
        <v>9283621</v>
      </c>
      <c r="HM7">
        <v>100097</v>
      </c>
      <c r="HN7" t="s">
        <v>2417</v>
      </c>
      <c r="HQ7" t="s">
        <v>2092</v>
      </c>
      <c r="HR7">
        <v>8.1423999999999996E-2</v>
      </c>
      <c r="HS7" t="s">
        <v>1752</v>
      </c>
      <c r="HT7">
        <v>0.194387</v>
      </c>
      <c r="HU7" t="s">
        <v>1788</v>
      </c>
      <c r="HV7">
        <v>2025</v>
      </c>
      <c r="HW7" t="s">
        <v>2093</v>
      </c>
      <c r="HX7" s="6">
        <v>45694</v>
      </c>
      <c r="HY7">
        <v>5</v>
      </c>
      <c r="HZ7">
        <v>5430637.3600000003</v>
      </c>
      <c r="IA7">
        <v>111827</v>
      </c>
      <c r="IB7" t="s">
        <v>2094</v>
      </c>
      <c r="JK7" t="s">
        <v>3186</v>
      </c>
      <c r="JL7" t="s">
        <v>1828</v>
      </c>
      <c r="JM7">
        <v>5.9080000000000001E-3</v>
      </c>
      <c r="JN7">
        <v>0.28640199999999999</v>
      </c>
      <c r="JO7" t="s">
        <v>1774</v>
      </c>
      <c r="JP7">
        <v>2025</v>
      </c>
      <c r="JQ7" t="s">
        <v>3187</v>
      </c>
      <c r="JR7" s="6">
        <v>46024</v>
      </c>
      <c r="JS7">
        <v>5</v>
      </c>
      <c r="JT7">
        <v>412581.71</v>
      </c>
      <c r="JU7">
        <v>115110</v>
      </c>
      <c r="JV7" t="s">
        <v>3188</v>
      </c>
      <c r="JY7" t="s">
        <v>4941</v>
      </c>
      <c r="JZ7">
        <v>-2.4245362661989844E-14</v>
      </c>
      <c r="KB7">
        <v>-2.4245362661989844E-14</v>
      </c>
      <c r="KC7" t="s">
        <v>1753</v>
      </c>
      <c r="KD7">
        <v>2022</v>
      </c>
      <c r="KE7" t="s">
        <v>3190</v>
      </c>
      <c r="KF7" s="6">
        <v>44817</v>
      </c>
      <c r="KG7">
        <v>5</v>
      </c>
      <c r="KH7">
        <v>-2.4245362661989844E-14</v>
      </c>
      <c r="KI7">
        <v>53781538</v>
      </c>
      <c r="KJ7" t="s">
        <v>4942</v>
      </c>
      <c r="KO7" t="s">
        <v>5029</v>
      </c>
      <c r="KQ7">
        <v>-2.4245362661989844E-14</v>
      </c>
      <c r="KR7">
        <v>-2.4245362661989844E-14</v>
      </c>
      <c r="KS7" t="s">
        <v>1825</v>
      </c>
      <c r="KT7">
        <v>2024</v>
      </c>
      <c r="KU7" t="s">
        <v>5030</v>
      </c>
      <c r="KV7" s="6">
        <v>45721</v>
      </c>
      <c r="KW7">
        <v>5</v>
      </c>
      <c r="KX7">
        <v>-2.4245362661989844E-14</v>
      </c>
      <c r="KY7">
        <v>225752</v>
      </c>
      <c r="KZ7" t="s">
        <v>5031</v>
      </c>
      <c r="MW7" t="s">
        <v>3198</v>
      </c>
      <c r="MY7">
        <v>-2.4245362661989844E-14</v>
      </c>
      <c r="MZ7">
        <v>-2.4245362661989844E-14</v>
      </c>
      <c r="NA7" t="s">
        <v>1753</v>
      </c>
      <c r="NB7">
        <v>2022</v>
      </c>
      <c r="NC7" t="s">
        <v>2811</v>
      </c>
      <c r="ND7" s="6">
        <v>44658</v>
      </c>
      <c r="NE7">
        <v>5</v>
      </c>
      <c r="NF7">
        <v>-2.4245362661989844E-14</v>
      </c>
      <c r="NG7">
        <v>13534348</v>
      </c>
      <c r="NH7" t="s">
        <v>3199</v>
      </c>
      <c r="NK7" t="s">
        <v>2814</v>
      </c>
      <c r="NL7">
        <v>-2.4245362661989844E-14</v>
      </c>
      <c r="NN7">
        <v>-2.4245362661989844E-14</v>
      </c>
      <c r="NO7" t="s">
        <v>1753</v>
      </c>
      <c r="NP7">
        <v>2022</v>
      </c>
      <c r="NQ7" t="s">
        <v>2815</v>
      </c>
      <c r="NR7" s="6">
        <v>44916</v>
      </c>
      <c r="NS7">
        <v>4</v>
      </c>
      <c r="NT7">
        <v>-2.4245362661989844E-14</v>
      </c>
      <c r="NU7">
        <v>28707504</v>
      </c>
      <c r="NV7" t="s">
        <v>2816</v>
      </c>
      <c r="PE7" t="s">
        <v>2942</v>
      </c>
      <c r="PG7">
        <v>-2.4245362661989844E-14</v>
      </c>
      <c r="PH7">
        <v>-2.4245362661989844E-14</v>
      </c>
      <c r="PI7" t="s">
        <v>1781</v>
      </c>
      <c r="PJ7">
        <v>2025</v>
      </c>
      <c r="PK7" t="s">
        <v>4056</v>
      </c>
      <c r="PL7" s="6">
        <v>45845</v>
      </c>
      <c r="PM7">
        <v>5</v>
      </c>
      <c r="PN7">
        <v>-2.4245362661989844E-14</v>
      </c>
      <c r="PO7">
        <v>115265</v>
      </c>
      <c r="PP7" t="s">
        <v>2943</v>
      </c>
      <c r="PS7" t="s">
        <v>3851</v>
      </c>
      <c r="PT7">
        <v>-2.4245362661989844E-14</v>
      </c>
      <c r="PV7">
        <v>-2.4245362661989844E-14</v>
      </c>
      <c r="PW7" t="s">
        <v>1753</v>
      </c>
      <c r="PX7">
        <v>2025</v>
      </c>
      <c r="PY7" t="s">
        <v>3852</v>
      </c>
      <c r="PZ7" s="6">
        <v>46056</v>
      </c>
      <c r="QA7">
        <v>3</v>
      </c>
      <c r="QB7">
        <v>-2.4245362661989844E-14</v>
      </c>
      <c r="QC7">
        <v>163441</v>
      </c>
      <c r="QD7" t="s">
        <v>3853</v>
      </c>
      <c r="QI7" t="s">
        <v>2304</v>
      </c>
      <c r="QK7">
        <v>-2.4245362661989844E-14</v>
      </c>
      <c r="QL7">
        <v>-2.4245362661989844E-14</v>
      </c>
      <c r="QM7" t="s">
        <v>1753</v>
      </c>
      <c r="QN7">
        <v>2021</v>
      </c>
      <c r="QO7" t="s">
        <v>2305</v>
      </c>
      <c r="QP7" s="6">
        <v>44693</v>
      </c>
      <c r="QQ7">
        <v>5</v>
      </c>
      <c r="QR7">
        <v>-2.4245362661989844E-14</v>
      </c>
      <c r="QS7">
        <v>313098</v>
      </c>
      <c r="QT7" t="s">
        <v>2306</v>
      </c>
      <c r="QW7" t="s">
        <v>5630</v>
      </c>
      <c r="QX7">
        <v>-2.4245362661989844E-14</v>
      </c>
      <c r="QZ7">
        <v>-2.4245362661989844E-14</v>
      </c>
      <c r="RA7" t="s">
        <v>1768</v>
      </c>
      <c r="RB7">
        <v>2022</v>
      </c>
      <c r="RC7" t="s">
        <v>5631</v>
      </c>
      <c r="RD7" s="6">
        <v>44879</v>
      </c>
      <c r="RE7">
        <v>5</v>
      </c>
      <c r="RF7">
        <v>-2.4245362661989844E-14</v>
      </c>
      <c r="RG7">
        <v>7025485</v>
      </c>
      <c r="RH7" t="s">
        <v>5632</v>
      </c>
      <c r="UY7" t="s">
        <v>5118</v>
      </c>
      <c r="VA7">
        <v>-2.4245362661989844E-14</v>
      </c>
      <c r="VB7">
        <v>-2.4245362661989844E-14</v>
      </c>
      <c r="VC7" t="s">
        <v>1753</v>
      </c>
      <c r="VD7">
        <v>2021</v>
      </c>
      <c r="VE7" t="s">
        <v>5119</v>
      </c>
      <c r="VF7" s="6">
        <v>44642</v>
      </c>
      <c r="VG7">
        <v>5</v>
      </c>
      <c r="VH7">
        <v>-2.4245362661989844E-14</v>
      </c>
      <c r="VI7">
        <v>27882222</v>
      </c>
      <c r="VJ7" t="s">
        <v>5120</v>
      </c>
      <c r="VM7" t="s">
        <v>3350</v>
      </c>
      <c r="VN7">
        <v>-2.4245362661989844E-14</v>
      </c>
      <c r="VP7">
        <v>-2.4245362661989844E-14</v>
      </c>
      <c r="VQ7" t="s">
        <v>1774</v>
      </c>
      <c r="VR7">
        <v>2026</v>
      </c>
      <c r="VS7" t="s">
        <v>3351</v>
      </c>
      <c r="VT7" s="6">
        <v>45974</v>
      </c>
      <c r="VU7">
        <v>5</v>
      </c>
      <c r="VV7">
        <v>-2.4245362661989844E-14</v>
      </c>
      <c r="VW7">
        <v>19060015</v>
      </c>
      <c r="VX7" t="s">
        <v>3352</v>
      </c>
    </row>
    <row r="8" spans="1:600" x14ac:dyDescent="0.25">
      <c r="EU8" t="s">
        <v>385</v>
      </c>
      <c r="EV8" t="s">
        <v>1752</v>
      </c>
      <c r="EW8">
        <v>5.2456999999999997E-2</v>
      </c>
      <c r="EX8">
        <v>0.27669100000000002</v>
      </c>
      <c r="EY8" t="s">
        <v>1825</v>
      </c>
      <c r="EZ8">
        <v>2025</v>
      </c>
      <c r="FA8" t="s">
        <v>1897</v>
      </c>
      <c r="FB8" s="6">
        <v>45848</v>
      </c>
      <c r="FC8">
        <v>5</v>
      </c>
      <c r="FD8">
        <v>8342237</v>
      </c>
      <c r="FE8">
        <v>101752</v>
      </c>
      <c r="FF8" t="s">
        <v>2109</v>
      </c>
      <c r="FI8" t="s">
        <v>4287</v>
      </c>
      <c r="FJ8">
        <v>1.9157E-2</v>
      </c>
      <c r="FK8" t="s">
        <v>1752</v>
      </c>
      <c r="FL8">
        <v>0.30064800000000003</v>
      </c>
      <c r="FM8" t="s">
        <v>1768</v>
      </c>
      <c r="FN8">
        <v>2025</v>
      </c>
      <c r="FO8" t="s">
        <v>4288</v>
      </c>
      <c r="FP8" s="6">
        <v>45975</v>
      </c>
      <c r="FQ8">
        <v>5</v>
      </c>
      <c r="FR8">
        <v>1043897.85</v>
      </c>
      <c r="FS8">
        <v>31500775</v>
      </c>
      <c r="FT8" t="s">
        <v>4289</v>
      </c>
      <c r="HC8" t="s">
        <v>1422</v>
      </c>
      <c r="HD8" t="s">
        <v>1752</v>
      </c>
      <c r="HE8">
        <v>1.1725810000000001</v>
      </c>
      <c r="HF8">
        <v>0.15703400000000001</v>
      </c>
      <c r="HG8" t="s">
        <v>1781</v>
      </c>
      <c r="HH8">
        <v>2026</v>
      </c>
      <c r="HI8" t="s">
        <v>1906</v>
      </c>
      <c r="HJ8" s="6">
        <v>46051</v>
      </c>
      <c r="HK8">
        <v>5</v>
      </c>
      <c r="HL8">
        <v>4510016</v>
      </c>
      <c r="HM8">
        <v>225757</v>
      </c>
      <c r="HN8" t="s">
        <v>3065</v>
      </c>
      <c r="HQ8" t="s">
        <v>1883</v>
      </c>
      <c r="HR8">
        <v>6.6940000000000003E-3</v>
      </c>
      <c r="HS8" t="s">
        <v>1752</v>
      </c>
      <c r="HT8">
        <v>5.5948409999999997</v>
      </c>
      <c r="HU8" t="s">
        <v>1753</v>
      </c>
      <c r="HV8">
        <v>2024</v>
      </c>
      <c r="HW8" t="s">
        <v>1884</v>
      </c>
      <c r="HX8" s="6">
        <v>45819</v>
      </c>
      <c r="HY8">
        <v>5</v>
      </c>
      <c r="HZ8">
        <v>402911.11</v>
      </c>
      <c r="IA8">
        <v>15291339</v>
      </c>
      <c r="IB8" t="s">
        <v>1885</v>
      </c>
      <c r="JK8" t="s">
        <v>3189</v>
      </c>
      <c r="JM8">
        <v>-2.4245362661989844E-14</v>
      </c>
      <c r="JN8">
        <v>-2.4245362661989844E-14</v>
      </c>
      <c r="JO8" t="s">
        <v>1753</v>
      </c>
      <c r="JP8">
        <v>2024</v>
      </c>
      <c r="JQ8" t="s">
        <v>3190</v>
      </c>
      <c r="JR8" s="6">
        <v>45358</v>
      </c>
      <c r="JS8">
        <v>5</v>
      </c>
      <c r="JT8">
        <v>-2.4245362661989844E-14</v>
      </c>
      <c r="JU8">
        <v>41866638</v>
      </c>
      <c r="JV8" t="s">
        <v>3191</v>
      </c>
      <c r="JY8" t="s">
        <v>4943</v>
      </c>
      <c r="JZ8">
        <v>-2.4245362661989844E-14</v>
      </c>
      <c r="KB8">
        <v>-2.4245362661989844E-14</v>
      </c>
      <c r="KC8" t="s">
        <v>1753</v>
      </c>
      <c r="KD8">
        <v>2023</v>
      </c>
      <c r="KE8" t="s">
        <v>3190</v>
      </c>
      <c r="KF8" s="6">
        <v>45105</v>
      </c>
      <c r="KG8">
        <v>5</v>
      </c>
      <c r="KH8">
        <v>-2.4245362661989844E-14</v>
      </c>
      <c r="KI8">
        <v>69444555</v>
      </c>
      <c r="KJ8" t="s">
        <v>4944</v>
      </c>
      <c r="KO8" t="s">
        <v>5032</v>
      </c>
      <c r="KQ8">
        <v>-2.4245362661989844E-14</v>
      </c>
      <c r="KR8">
        <v>-2.4245362661989844E-14</v>
      </c>
      <c r="KS8" t="s">
        <v>1753</v>
      </c>
      <c r="KT8">
        <v>2021</v>
      </c>
      <c r="KU8" t="s">
        <v>5033</v>
      </c>
      <c r="KV8" s="6">
        <v>44693</v>
      </c>
      <c r="KW8">
        <v>5</v>
      </c>
      <c r="KX8">
        <v>-2.4245362661989844E-14</v>
      </c>
      <c r="KY8">
        <v>100607</v>
      </c>
      <c r="KZ8" t="s">
        <v>5034</v>
      </c>
      <c r="MW8" t="s">
        <v>3200</v>
      </c>
      <c r="MY8">
        <v>-2.4245362661989844E-14</v>
      </c>
      <c r="MZ8">
        <v>-2.4245362661989844E-14</v>
      </c>
      <c r="NA8" t="s">
        <v>1753</v>
      </c>
      <c r="NB8">
        <v>2022</v>
      </c>
      <c r="NC8" t="s">
        <v>2813</v>
      </c>
      <c r="ND8" s="6">
        <v>44986</v>
      </c>
      <c r="NE8">
        <v>5</v>
      </c>
      <c r="NF8">
        <v>-2.4245362661989844E-14</v>
      </c>
      <c r="NG8">
        <v>27109755</v>
      </c>
      <c r="NH8" t="s">
        <v>3201</v>
      </c>
      <c r="NK8" t="s">
        <v>2628</v>
      </c>
      <c r="NL8">
        <v>-2.4245362661989844E-14</v>
      </c>
      <c r="NN8">
        <v>-2.4245362661989844E-14</v>
      </c>
      <c r="NO8" t="s">
        <v>1753</v>
      </c>
      <c r="NP8">
        <v>2023</v>
      </c>
      <c r="NQ8" t="s">
        <v>2811</v>
      </c>
      <c r="NR8" s="6">
        <v>45028</v>
      </c>
      <c r="NS8">
        <v>4</v>
      </c>
      <c r="NT8">
        <v>-2.4245362661989844E-14</v>
      </c>
      <c r="NU8">
        <v>46946968</v>
      </c>
      <c r="NV8" t="s">
        <v>2629</v>
      </c>
      <c r="PE8" t="s">
        <v>4057</v>
      </c>
      <c r="PG8">
        <v>-2.4245362661989844E-14</v>
      </c>
      <c r="PH8">
        <v>-2.4245362661989844E-14</v>
      </c>
      <c r="PI8" t="s">
        <v>1788</v>
      </c>
      <c r="PJ8">
        <v>2022</v>
      </c>
      <c r="PK8" t="s">
        <v>4058</v>
      </c>
      <c r="PL8" s="6">
        <v>44866</v>
      </c>
      <c r="PM8">
        <v>5</v>
      </c>
      <c r="PN8">
        <v>-2.4245362661989844E-14</v>
      </c>
      <c r="PO8">
        <v>67334057</v>
      </c>
      <c r="PP8" t="s">
        <v>4059</v>
      </c>
      <c r="QI8" t="s">
        <v>2392</v>
      </c>
      <c r="QK8">
        <v>-2.4245362661989844E-14</v>
      </c>
      <c r="QL8">
        <v>-2.4245362661989844E-14</v>
      </c>
      <c r="QM8" t="s">
        <v>1753</v>
      </c>
      <c r="QN8">
        <v>2021</v>
      </c>
      <c r="QO8" t="s">
        <v>2393</v>
      </c>
      <c r="QP8" s="6">
        <v>44693</v>
      </c>
      <c r="QQ8">
        <v>5</v>
      </c>
      <c r="QR8">
        <v>-2.4245362661989844E-14</v>
      </c>
      <c r="QS8">
        <v>101690</v>
      </c>
      <c r="QT8" t="s">
        <v>2394</v>
      </c>
      <c r="QW8" t="s">
        <v>5633</v>
      </c>
      <c r="QX8">
        <v>-2.4245362661989844E-14</v>
      </c>
      <c r="QZ8">
        <v>-2.4245362661989844E-14</v>
      </c>
      <c r="RA8" t="s">
        <v>1753</v>
      </c>
      <c r="RB8">
        <v>2023</v>
      </c>
      <c r="RC8" t="s">
        <v>5634</v>
      </c>
      <c r="RD8" s="6">
        <v>45407</v>
      </c>
      <c r="RE8">
        <v>5</v>
      </c>
      <c r="RF8">
        <v>-2.4245362661989844E-14</v>
      </c>
      <c r="RG8">
        <v>24393548</v>
      </c>
      <c r="RH8" t="s">
        <v>5635</v>
      </c>
      <c r="UY8" t="s">
        <v>5121</v>
      </c>
      <c r="VA8">
        <v>-2.4245362661989844E-14</v>
      </c>
      <c r="VB8">
        <v>-2.4245362661989844E-14</v>
      </c>
      <c r="VC8" t="s">
        <v>1753</v>
      </c>
      <c r="VD8">
        <v>2024</v>
      </c>
      <c r="VE8" t="s">
        <v>5122</v>
      </c>
      <c r="VF8" s="6">
        <v>45803</v>
      </c>
      <c r="VG8">
        <v>5</v>
      </c>
      <c r="VH8">
        <v>-2.4245362661989844E-14</v>
      </c>
      <c r="VI8">
        <v>870231</v>
      </c>
      <c r="VJ8" t="s">
        <v>5123</v>
      </c>
      <c r="VM8" t="s">
        <v>3353</v>
      </c>
      <c r="VN8">
        <v>-2.4245362661989844E-14</v>
      </c>
      <c r="VP8">
        <v>-2.4245362661989844E-14</v>
      </c>
      <c r="VQ8" t="s">
        <v>1753</v>
      </c>
      <c r="VR8">
        <v>2024</v>
      </c>
      <c r="VS8" t="s">
        <v>3354</v>
      </c>
      <c r="VT8" s="6">
        <v>45767</v>
      </c>
      <c r="VU8">
        <v>5</v>
      </c>
      <c r="VV8">
        <v>-2.4245362661989844E-14</v>
      </c>
      <c r="VW8">
        <v>26949139</v>
      </c>
      <c r="VX8" t="s">
        <v>3355</v>
      </c>
    </row>
    <row r="9" spans="1:600" x14ac:dyDescent="0.25">
      <c r="EU9" t="s">
        <v>3444</v>
      </c>
      <c r="EV9" t="s">
        <v>1752</v>
      </c>
      <c r="EW9">
        <v>0.122061</v>
      </c>
      <c r="EX9">
        <v>0.23411100000000001</v>
      </c>
      <c r="EY9" t="s">
        <v>1774</v>
      </c>
      <c r="EZ9">
        <v>2026</v>
      </c>
      <c r="FA9" t="s">
        <v>3445</v>
      </c>
      <c r="FB9" s="6">
        <v>46071</v>
      </c>
      <c r="FC9">
        <v>5</v>
      </c>
      <c r="FD9">
        <v>6651104</v>
      </c>
      <c r="FE9">
        <v>61417091</v>
      </c>
      <c r="FF9" t="s">
        <v>3446</v>
      </c>
      <c r="FI9" t="s">
        <v>4290</v>
      </c>
      <c r="FJ9">
        <v>1.6264000000000001E-2</v>
      </c>
      <c r="FK9" t="s">
        <v>1752</v>
      </c>
      <c r="FL9">
        <v>9.9381559999999993</v>
      </c>
      <c r="FM9" t="s">
        <v>1753</v>
      </c>
      <c r="FN9">
        <v>2024</v>
      </c>
      <c r="FO9" t="s">
        <v>4291</v>
      </c>
      <c r="FP9" s="6">
        <v>45810</v>
      </c>
      <c r="FQ9">
        <v>5</v>
      </c>
      <c r="FR9">
        <v>857742.71</v>
      </c>
      <c r="FS9">
        <v>11741814</v>
      </c>
      <c r="FT9" t="s">
        <v>4292</v>
      </c>
      <c r="HC9" t="s">
        <v>2125</v>
      </c>
      <c r="HD9" t="s">
        <v>1940</v>
      </c>
      <c r="HE9">
        <v>5.9742000000000003E-2</v>
      </c>
      <c r="HF9">
        <v>0.18884000000000001</v>
      </c>
      <c r="HG9" t="s">
        <v>1774</v>
      </c>
      <c r="HH9">
        <v>2025</v>
      </c>
      <c r="HI9" t="s">
        <v>2126</v>
      </c>
      <c r="HJ9" s="6">
        <v>45838</v>
      </c>
      <c r="HK9">
        <v>5</v>
      </c>
      <c r="HL9">
        <v>3508648</v>
      </c>
      <c r="HM9">
        <v>101689</v>
      </c>
      <c r="HN9" t="s">
        <v>2127</v>
      </c>
      <c r="HQ9" t="s">
        <v>3768</v>
      </c>
      <c r="HR9">
        <v>5.1640000000000002E-3</v>
      </c>
      <c r="HS9" t="s">
        <v>1752</v>
      </c>
      <c r="HT9">
        <v>5.0558560000000003</v>
      </c>
      <c r="HU9" t="s">
        <v>1753</v>
      </c>
      <c r="HV9">
        <v>2024</v>
      </c>
      <c r="HW9" t="s">
        <v>3769</v>
      </c>
      <c r="HX9" s="6">
        <v>45814</v>
      </c>
      <c r="HY9">
        <v>5</v>
      </c>
      <c r="HZ9">
        <v>310853.61</v>
      </c>
      <c r="IA9">
        <v>36034450</v>
      </c>
      <c r="IB9" t="s">
        <v>3770</v>
      </c>
      <c r="JK9" t="s">
        <v>3192</v>
      </c>
      <c r="JM9">
        <v>-2.4245362661989844E-14</v>
      </c>
      <c r="JN9">
        <v>-2.4245362661989844E-14</v>
      </c>
      <c r="JO9" t="s">
        <v>1753</v>
      </c>
      <c r="JP9">
        <v>2023</v>
      </c>
      <c r="JQ9" t="s">
        <v>3193</v>
      </c>
      <c r="JR9" s="6">
        <v>45300</v>
      </c>
      <c r="JS9">
        <v>5</v>
      </c>
      <c r="JT9">
        <v>-2.4245362661989844E-14</v>
      </c>
      <c r="JU9">
        <v>70165912</v>
      </c>
      <c r="JV9" t="s">
        <v>3194</v>
      </c>
      <c r="JY9" t="s">
        <v>4945</v>
      </c>
      <c r="JZ9">
        <v>-2.4245362661989844E-14</v>
      </c>
      <c r="KB9">
        <v>-2.4245362661989844E-14</v>
      </c>
      <c r="KC9" t="s">
        <v>1753</v>
      </c>
      <c r="KD9">
        <v>2024</v>
      </c>
      <c r="KE9" t="s">
        <v>4946</v>
      </c>
      <c r="KF9" s="6">
        <v>45769</v>
      </c>
      <c r="KG9">
        <v>5</v>
      </c>
      <c r="KH9">
        <v>-2.4245362661989844E-14</v>
      </c>
      <c r="KI9">
        <v>25491917</v>
      </c>
      <c r="KJ9" t="s">
        <v>4947</v>
      </c>
      <c r="KO9" t="s">
        <v>2316</v>
      </c>
      <c r="KQ9">
        <v>-2.4245362661989844E-14</v>
      </c>
      <c r="KR9">
        <v>-2.4245362661989844E-14</v>
      </c>
      <c r="KS9" t="s">
        <v>1753</v>
      </c>
      <c r="KT9">
        <v>2021</v>
      </c>
      <c r="KU9" t="s">
        <v>2317</v>
      </c>
      <c r="KV9" s="6">
        <v>44693</v>
      </c>
      <c r="KW9">
        <v>5</v>
      </c>
      <c r="KX9">
        <v>-2.4245362661989844E-14</v>
      </c>
      <c r="KY9">
        <v>179563</v>
      </c>
      <c r="KZ9" t="s">
        <v>2318</v>
      </c>
      <c r="MW9" t="s">
        <v>3202</v>
      </c>
      <c r="MY9">
        <v>-2.4245362661989844E-14</v>
      </c>
      <c r="MZ9">
        <v>-2.4245362661989844E-14</v>
      </c>
      <c r="NA9" t="s">
        <v>1753</v>
      </c>
      <c r="NB9">
        <v>2022</v>
      </c>
      <c r="NC9" t="s">
        <v>2813</v>
      </c>
      <c r="ND9" s="6">
        <v>44986</v>
      </c>
      <c r="NE9">
        <v>5</v>
      </c>
      <c r="NF9">
        <v>-2.4245362661989844E-14</v>
      </c>
      <c r="NG9">
        <v>21425016</v>
      </c>
      <c r="NH9" t="s">
        <v>3203</v>
      </c>
      <c r="PE9" t="s">
        <v>2242</v>
      </c>
      <c r="PG9">
        <v>-2.4245362661989844E-14</v>
      </c>
      <c r="PH9">
        <v>-2.4245362661989844E-14</v>
      </c>
      <c r="PI9" t="s">
        <v>1781</v>
      </c>
      <c r="PJ9">
        <v>2025</v>
      </c>
      <c r="PK9" t="s">
        <v>2243</v>
      </c>
      <c r="PL9" s="6">
        <v>45784</v>
      </c>
      <c r="PM9">
        <v>5</v>
      </c>
      <c r="PN9">
        <v>-2.4245362661989844E-14</v>
      </c>
      <c r="PO9">
        <v>69762655</v>
      </c>
      <c r="PP9" t="s">
        <v>2244</v>
      </c>
      <c r="QI9" t="s">
        <v>5673</v>
      </c>
      <c r="QK9">
        <v>-2.4245362661989844E-14</v>
      </c>
      <c r="QL9">
        <v>-2.4245362661989844E-14</v>
      </c>
      <c r="QM9" t="s">
        <v>1753</v>
      </c>
      <c r="QN9">
        <v>2022</v>
      </c>
      <c r="QO9" t="s">
        <v>5674</v>
      </c>
      <c r="QP9" s="6">
        <v>45002</v>
      </c>
      <c r="QQ9">
        <v>5</v>
      </c>
      <c r="QR9">
        <v>-2.4245362661989844E-14</v>
      </c>
      <c r="QS9">
        <v>14835456</v>
      </c>
      <c r="QT9" t="s">
        <v>5675</v>
      </c>
      <c r="QW9" t="s">
        <v>5636</v>
      </c>
      <c r="QX9">
        <v>-2.4245362661989844E-14</v>
      </c>
      <c r="QZ9">
        <v>-2.4245362661989844E-14</v>
      </c>
      <c r="RA9" t="s">
        <v>1753</v>
      </c>
      <c r="RB9">
        <v>2024</v>
      </c>
      <c r="RC9" t="s">
        <v>5637</v>
      </c>
      <c r="RD9" s="6">
        <v>45728</v>
      </c>
      <c r="RE9">
        <v>5</v>
      </c>
      <c r="RF9">
        <v>-2.4245362661989844E-14</v>
      </c>
      <c r="RG9">
        <v>17082492</v>
      </c>
      <c r="RH9" t="s">
        <v>5638</v>
      </c>
      <c r="UY9" t="s">
        <v>5124</v>
      </c>
      <c r="VA9">
        <v>-2.4245362661989844E-14</v>
      </c>
      <c r="VB9">
        <v>-2.4245362661989844E-14</v>
      </c>
      <c r="VC9" t="s">
        <v>1753</v>
      </c>
      <c r="VD9">
        <v>2022</v>
      </c>
      <c r="VE9" t="s">
        <v>5125</v>
      </c>
      <c r="VF9" s="6">
        <v>45000</v>
      </c>
      <c r="VG9">
        <v>5</v>
      </c>
      <c r="VH9">
        <v>-2.4245362661989844E-14</v>
      </c>
      <c r="VI9">
        <v>69704831</v>
      </c>
      <c r="VJ9" t="s">
        <v>5126</v>
      </c>
      <c r="VM9" t="s">
        <v>3356</v>
      </c>
      <c r="VN9">
        <v>-2.4245362661989844E-14</v>
      </c>
      <c r="VP9">
        <v>-2.4245362661989844E-14</v>
      </c>
      <c r="VQ9" t="s">
        <v>1753</v>
      </c>
      <c r="VR9">
        <v>2024</v>
      </c>
      <c r="VS9" t="s">
        <v>3357</v>
      </c>
      <c r="VT9" s="6">
        <v>45777</v>
      </c>
      <c r="VU9">
        <v>5</v>
      </c>
      <c r="VV9">
        <v>-2.4245362661989844E-14</v>
      </c>
      <c r="VW9">
        <v>384701</v>
      </c>
      <c r="VX9" t="s">
        <v>3358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465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466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467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468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469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470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471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472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473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474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475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476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477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478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479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480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481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482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483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484</v>
      </c>
      <c r="AE2" s="3" t="s">
        <v>485</v>
      </c>
      <c r="BI2" s="3" t="s">
        <v>486</v>
      </c>
      <c r="CM2" s="3" t="s">
        <v>487</v>
      </c>
      <c r="DQ2" s="3" t="s">
        <v>488</v>
      </c>
      <c r="EU2" s="3" t="s">
        <v>489</v>
      </c>
      <c r="FY2" s="3" t="s">
        <v>490</v>
      </c>
      <c r="HC2" s="3" t="s">
        <v>491</v>
      </c>
      <c r="IG2" s="3" t="s">
        <v>492</v>
      </c>
      <c r="JK2" s="3" t="s">
        <v>493</v>
      </c>
      <c r="KO2" s="3" t="s">
        <v>494</v>
      </c>
      <c r="LS2" s="3" t="s">
        <v>495</v>
      </c>
      <c r="MW2" s="3" t="s">
        <v>496</v>
      </c>
      <c r="OA2" s="3" t="s">
        <v>497</v>
      </c>
      <c r="PE2" s="3" t="s">
        <v>452</v>
      </c>
      <c r="QI2" s="3" t="s">
        <v>498</v>
      </c>
      <c r="RM2" s="3" t="s">
        <v>499</v>
      </c>
      <c r="SQ2" s="3" t="s">
        <v>500</v>
      </c>
      <c r="TU2" s="3" t="s">
        <v>300</v>
      </c>
      <c r="UY2" s="3" t="s">
        <v>501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_xll.BDS("AAPL US Equity","SUPPLY_CHAIN_SUPPLIERS_ALL_DATA","cols=12;rows=5")</f>
        <v>2317 TT Equity</v>
      </c>
      <c r="B5" t="s">
        <v>1752</v>
      </c>
      <c r="C5">
        <v>27.544415000000001</v>
      </c>
      <c r="D5">
        <v>31.752172000000002</v>
      </c>
      <c r="E5" t="s">
        <v>1774</v>
      </c>
      <c r="F5">
        <v>2025</v>
      </c>
      <c r="G5" t="s">
        <v>3924</v>
      </c>
      <c r="H5" s="6">
        <v>45889</v>
      </c>
      <c r="I5">
        <v>5</v>
      </c>
      <c r="J5">
        <v>16021356177.559999</v>
      </c>
      <c r="K5">
        <v>119133</v>
      </c>
      <c r="L5" t="s">
        <v>3925</v>
      </c>
      <c r="O5" t="str">
        <f>_xll.BDS("AAPL US Equity","SUPPLY_CHAIN_CUSTOMERS_ALL_DATA","cols=12;rows=5")</f>
        <v>BBY US Equity</v>
      </c>
      <c r="P5">
        <v>3.6644570000000001</v>
      </c>
      <c r="Q5" t="s">
        <v>1752</v>
      </c>
      <c r="R5">
        <v>41.293861</v>
      </c>
      <c r="S5" t="s">
        <v>1774</v>
      </c>
      <c r="T5">
        <v>2025</v>
      </c>
      <c r="U5" t="s">
        <v>4837</v>
      </c>
      <c r="V5" s="6">
        <v>45789</v>
      </c>
      <c r="W5">
        <v>5</v>
      </c>
      <c r="X5">
        <v>3494389504</v>
      </c>
      <c r="Y5">
        <v>100197</v>
      </c>
      <c r="Z5" t="s">
        <v>3209</v>
      </c>
      <c r="AE5" t="str">
        <f>_xll.BDS("DECC US Equity","SUPPLY_CHAIN_SUPPLIERS_ALL_DATA")</f>
        <v>#N/A N/A</v>
      </c>
      <c r="AS5" t="str">
        <f>_xll.BDS("DECC US Equity","SUPPLY_CHAIN_CUSTOMERS_ALL_DATA")</f>
        <v>#N/A N/A</v>
      </c>
      <c r="BI5" t="str">
        <f>_xll.BDS("3131657Q US Equity","SUPPLY_CHAIN_SUPPLIERS_ALL_DATA")</f>
        <v>#N/A N/A</v>
      </c>
      <c r="BW5" t="str">
        <f>_xll.BDS("3131657Q US Equity","SUPPLY_CHAIN_CUSTOMERS_ALL_DATA")</f>
        <v>#N/A N/A</v>
      </c>
      <c r="CM5" t="str">
        <f>_xll.BDS("CRL US Equity","SUPPLY_CHAIN_SUPPLIERS_ALL_DATA","cols=12;rows=5")</f>
        <v>ARE US Equity</v>
      </c>
      <c r="CN5" t="s">
        <v>1940</v>
      </c>
      <c r="CO5">
        <v>0.66765699999999994</v>
      </c>
      <c r="CP5">
        <v>2.7193830000000001</v>
      </c>
      <c r="CQ5" t="s">
        <v>1753</v>
      </c>
      <c r="CR5">
        <v>2025</v>
      </c>
      <c r="CS5" t="s">
        <v>4032</v>
      </c>
      <c r="CT5" s="6">
        <v>46048</v>
      </c>
      <c r="CU5">
        <v>5</v>
      </c>
      <c r="CV5">
        <v>5051750</v>
      </c>
      <c r="CW5">
        <v>216867</v>
      </c>
      <c r="CX5" t="s">
        <v>4033</v>
      </c>
      <c r="DA5" t="str">
        <f>_xll.BDS("CRL US Equity","SUPPLY_CHAIN_CUSTOMERS_ALL_DATA","cols=12;rows=5")</f>
        <v>JNJ US Equity</v>
      </c>
      <c r="DB5">
        <v>2.310165</v>
      </c>
      <c r="DC5" t="s">
        <v>2407</v>
      </c>
      <c r="DD5">
        <v>0.67815800000000004</v>
      </c>
      <c r="DE5" t="s">
        <v>1774</v>
      </c>
      <c r="DF5">
        <v>2025</v>
      </c>
      <c r="DG5" t="s">
        <v>2410</v>
      </c>
      <c r="DH5" s="6">
        <v>45921</v>
      </c>
      <c r="DI5">
        <v>5</v>
      </c>
      <c r="DJ5">
        <v>23844022</v>
      </c>
      <c r="DK5">
        <v>100828</v>
      </c>
      <c r="DL5" t="s">
        <v>2578</v>
      </c>
      <c r="DQ5" t="str">
        <f>_xll.BDS("EGAN US Equity","SUPPLY_CHAIN_SUPPLIERS_ALL_DATA","cols=12;rows=5")</f>
        <v>IBM US Equity</v>
      </c>
      <c r="DR5" t="s">
        <v>1752</v>
      </c>
      <c r="DS5">
        <v>2.3599999999999999E-4</v>
      </c>
      <c r="DT5">
        <v>0.51043799999999995</v>
      </c>
      <c r="DU5" t="s">
        <v>1781</v>
      </c>
      <c r="DV5">
        <v>2025</v>
      </c>
      <c r="DW5" t="s">
        <v>1869</v>
      </c>
      <c r="DX5" s="6">
        <v>45797</v>
      </c>
      <c r="DY5">
        <v>5</v>
      </c>
      <c r="DZ5">
        <v>34317</v>
      </c>
      <c r="EA5">
        <v>100801</v>
      </c>
      <c r="EB5" t="s">
        <v>1870</v>
      </c>
      <c r="EE5" t="str">
        <f>_xll.BDS("EGAN US Equity","SUPPLY_CHAIN_CUSTOMERS_ALL_DATA","cols=12;rows=5")</f>
        <v>0134282D LN Equity</v>
      </c>
      <c r="EF5">
        <v>-2.4245362661989844E-14</v>
      </c>
      <c r="EH5">
        <v>-2.4245362661989844E-14</v>
      </c>
      <c r="EI5" t="s">
        <v>1781</v>
      </c>
      <c r="EJ5">
        <v>2023</v>
      </c>
      <c r="EK5" t="s">
        <v>5823</v>
      </c>
      <c r="EL5" s="6">
        <v>44879</v>
      </c>
      <c r="EM5">
        <v>5</v>
      </c>
      <c r="EN5">
        <v>-2.4245362661989844E-14</v>
      </c>
      <c r="EO5">
        <v>20813866</v>
      </c>
      <c r="EP5" t="s">
        <v>5824</v>
      </c>
      <c r="EU5" t="str">
        <f>_xll.BDS("CSSE US Equity","SUPPLY_CHAIN_SUPPLIERS_ALL_DATA","cols=12;rows=5")</f>
        <v>1445296D US Equity</v>
      </c>
      <c r="EW5">
        <v>-2.4245362661989844E-14</v>
      </c>
      <c r="EX5">
        <v>-2.4245362661989844E-14</v>
      </c>
      <c r="EY5" t="s">
        <v>1753</v>
      </c>
      <c r="EZ5">
        <v>2022</v>
      </c>
      <c r="FA5" t="s">
        <v>3088</v>
      </c>
      <c r="FB5" s="6">
        <v>44719</v>
      </c>
      <c r="FC5">
        <v>5</v>
      </c>
      <c r="FD5">
        <v>-2.4245362661989844E-14</v>
      </c>
      <c r="FE5">
        <v>51235380</v>
      </c>
      <c r="FF5" t="s">
        <v>3089</v>
      </c>
      <c r="FI5" t="str">
        <f>_xll.BDS("CSSE US Equity","SUPPLY_CHAIN_CUSTOMERS_ALL_DATA","cols=12;rows=5")</f>
        <v>000100 CH Equity</v>
      </c>
      <c r="FJ5">
        <v>-2.4245362661989844E-14</v>
      </c>
      <c r="FL5">
        <v>-2.4245362661989844E-14</v>
      </c>
      <c r="FM5" t="s">
        <v>1753</v>
      </c>
      <c r="FN5">
        <v>2022</v>
      </c>
      <c r="FO5" t="s">
        <v>3088</v>
      </c>
      <c r="FP5" s="6">
        <v>44754</v>
      </c>
      <c r="FQ5">
        <v>5</v>
      </c>
      <c r="FR5">
        <v>-2.4245362661989844E-14</v>
      </c>
      <c r="FS5">
        <v>7823440</v>
      </c>
      <c r="FT5" t="s">
        <v>5726</v>
      </c>
      <c r="FY5" t="str">
        <f>_xll.BDS("TSA US Equity","SUPPLY_CHAIN_SUPPLIERS_ALL_DATA")</f>
        <v>#N/A N/A</v>
      </c>
      <c r="GM5" t="str">
        <f>_xll.BDS("TSA US Equity","SUPPLY_CHAIN_CUSTOMERS_ALL_DATA")</f>
        <v>#N/A N/A</v>
      </c>
      <c r="HC5" t="str">
        <f>_xll.BDS("SPB US Equity","SUPPLY_CHAIN_SUPPLIERS_ALL_DATA","cols=12;rows=5")</f>
        <v>SLGN US Equity</v>
      </c>
      <c r="HD5" t="s">
        <v>1752</v>
      </c>
      <c r="HE5">
        <v>0.13009599999999999</v>
      </c>
      <c r="HF5">
        <v>0.43881300000000001</v>
      </c>
      <c r="HG5" t="s">
        <v>1825</v>
      </c>
      <c r="HH5">
        <v>2025</v>
      </c>
      <c r="HI5" t="s">
        <v>4424</v>
      </c>
      <c r="HJ5" s="6">
        <v>46077</v>
      </c>
      <c r="HK5">
        <v>5</v>
      </c>
      <c r="HL5">
        <v>1910590</v>
      </c>
      <c r="HM5">
        <v>159323</v>
      </c>
      <c r="HN5" t="s">
        <v>4425</v>
      </c>
      <c r="HQ5" t="str">
        <f>_xll.BDS("SPB US Equity","SUPPLY_CHAIN_CUSTOMERS_ALL_DATA","cols=12;rows=5")</f>
        <v>WMT US Equity</v>
      </c>
      <c r="HR5">
        <v>25.780778999999999</v>
      </c>
      <c r="HS5" t="s">
        <v>1752</v>
      </c>
      <c r="HT5">
        <v>0.13584499999999999</v>
      </c>
      <c r="HU5" t="s">
        <v>1788</v>
      </c>
      <c r="HV5">
        <v>2025</v>
      </c>
      <c r="HW5" t="s">
        <v>5262</v>
      </c>
      <c r="HX5" s="6">
        <v>45897</v>
      </c>
      <c r="HY5">
        <v>5</v>
      </c>
      <c r="HZ5">
        <v>180362320</v>
      </c>
      <c r="IA5">
        <v>101616</v>
      </c>
      <c r="IB5" t="s">
        <v>2752</v>
      </c>
      <c r="IG5" t="str">
        <f>_xll.BDS("SKO US Equity","SUPPLY_CHAIN_SUPPLIERS_ALL_DATA","cols=12;rows=3")</f>
        <v>3557 TT Equity</v>
      </c>
      <c r="II5">
        <v>-2.4245362661989844E-14</v>
      </c>
      <c r="IJ5">
        <v>-2.4245362661989844E-14</v>
      </c>
      <c r="IK5" t="s">
        <v>1768</v>
      </c>
      <c r="IL5">
        <v>2022</v>
      </c>
      <c r="IM5" t="s">
        <v>5192</v>
      </c>
      <c r="IN5" s="6">
        <v>44904</v>
      </c>
      <c r="IO5">
        <v>3</v>
      </c>
      <c r="IP5">
        <v>-2.4245362661989844E-14</v>
      </c>
      <c r="IQ5">
        <v>11785622</v>
      </c>
      <c r="IR5" t="s">
        <v>5193</v>
      </c>
      <c r="IU5" t="str">
        <f>_xll.BDS("SKO US Equity","SUPPLY_CHAIN_CUSTOMERS_ALL_DATA")</f>
        <v>#N/A N/A</v>
      </c>
      <c r="JK5" t="str">
        <f>_xll.BDS("9123456D US Equity","SUPPLY_CHAIN_SUPPLIERS_ALL_DATA")</f>
        <v>#N/A N/A</v>
      </c>
      <c r="JY5" t="str">
        <f>_xll.BDS("9123456D US Equity","SUPPLY_CHAIN_CUSTOMERS_ALL_DATA")</f>
        <v>#N/A N/A</v>
      </c>
      <c r="KO5" t="str">
        <f>_xll.BDS("236619Q US Equity","SUPPLY_CHAIN_SUPPLIERS_ALL_DATA")</f>
        <v>#N/A N/A</v>
      </c>
      <c r="LC5" t="str">
        <f>_xll.BDS("236619Q US Equity","SUPPLY_CHAIN_CUSTOMERS_ALL_DATA")</f>
        <v>#N/A N/A</v>
      </c>
      <c r="LS5" t="str">
        <f>_xll.BDS("1740293D US Equity","SUPPLY_CHAIN_SUPPLIERS_ALL_DATA")</f>
        <v>#N/A N/A</v>
      </c>
      <c r="MG5" t="str">
        <f>_xll.BDS("1740293D US Equity","SUPPLY_CHAIN_CUSTOMERS_ALL_DATA")</f>
        <v>#N/A N/A</v>
      </c>
      <c r="MW5" t="str">
        <f>_xll.BDS("BAC US Equity","SUPPLY_CHAIN_SUPPLIERS_ALL_DATA","cols=12;rows=5")</f>
        <v>ORCL US Equity</v>
      </c>
      <c r="MX5" t="s">
        <v>1752</v>
      </c>
      <c r="MY5">
        <v>0.27107500000000001</v>
      </c>
      <c r="MZ5">
        <v>0.24259500000000001</v>
      </c>
      <c r="NA5" t="s">
        <v>1825</v>
      </c>
      <c r="NB5">
        <v>2025</v>
      </c>
      <c r="NC5" t="s">
        <v>1897</v>
      </c>
      <c r="ND5" s="6">
        <v>45848</v>
      </c>
      <c r="NE5">
        <v>5</v>
      </c>
      <c r="NF5">
        <v>43109056</v>
      </c>
      <c r="NG5">
        <v>101752</v>
      </c>
      <c r="NH5" t="s">
        <v>2109</v>
      </c>
      <c r="NK5" t="str">
        <f>_xll.BDS("BAC US Equity","SUPPLY_CHAIN_CUSTOMERS_ALL_DATA","cols=12;rows=4")</f>
        <v>3147564Z US Equity</v>
      </c>
      <c r="NL5">
        <v>-2.4245362661989844E-14</v>
      </c>
      <c r="NN5">
        <v>-2.4245362661989844E-14</v>
      </c>
      <c r="NO5" t="s">
        <v>1753</v>
      </c>
      <c r="NP5">
        <v>2022</v>
      </c>
      <c r="NQ5" t="s">
        <v>4673</v>
      </c>
      <c r="NR5" s="6">
        <v>44875</v>
      </c>
      <c r="NS5">
        <v>4</v>
      </c>
      <c r="NT5">
        <v>-2.4245362661989844E-14</v>
      </c>
      <c r="NU5">
        <v>15504092</v>
      </c>
      <c r="NV5" t="s">
        <v>4674</v>
      </c>
      <c r="OA5" t="str">
        <f>_xll.BDS("WINMQ US Equity","SUPPLY_CHAIN_SUPPLIERS_ALL_DATA","cols=12;rows=5")</f>
        <v>DY US Equity</v>
      </c>
      <c r="OC5">
        <v>2.4</v>
      </c>
      <c r="OD5">
        <v>-2.4245362661989844E-14</v>
      </c>
      <c r="OE5" t="s">
        <v>1825</v>
      </c>
      <c r="OF5">
        <v>2025</v>
      </c>
      <c r="OG5" t="s">
        <v>2230</v>
      </c>
      <c r="OH5" s="6">
        <v>45717</v>
      </c>
      <c r="OI5">
        <v>5</v>
      </c>
      <c r="OJ5">
        <v>26028624</v>
      </c>
      <c r="OK5">
        <v>100487</v>
      </c>
      <c r="OL5" t="s">
        <v>2231</v>
      </c>
      <c r="OO5" t="str">
        <f>_xll.BDS("WINMQ US Equity","SUPPLY_CHAIN_CUSTOMERS_ALL_DATA","cols=12;rows=2")</f>
        <v>SCSC US Equity</v>
      </c>
      <c r="OP5">
        <v>-2.4245362661989844E-14</v>
      </c>
      <c r="OR5">
        <v>-2.4245362661989844E-14</v>
      </c>
      <c r="OS5" t="s">
        <v>1788</v>
      </c>
      <c r="OT5">
        <v>2024</v>
      </c>
      <c r="OU5" t="s">
        <v>1914</v>
      </c>
      <c r="OV5" s="6">
        <v>45422</v>
      </c>
      <c r="OW5">
        <v>2</v>
      </c>
      <c r="OX5">
        <v>-2.4245362661989844E-14</v>
      </c>
      <c r="OY5">
        <v>136424</v>
      </c>
      <c r="OZ5" t="s">
        <v>1877</v>
      </c>
      <c r="PE5" t="str">
        <f>_xll.BDS("DHR US Equity","SUPPLY_CHAIN_SUPPLIERS_ALL_DATA","cols=12;rows=5")</f>
        <v>FLEX US Equity</v>
      </c>
      <c r="PF5" t="s">
        <v>1752</v>
      </c>
      <c r="PG5">
        <v>1.165869</v>
      </c>
      <c r="PH5">
        <v>2.8864939999999999</v>
      </c>
      <c r="PI5" t="s">
        <v>1788</v>
      </c>
      <c r="PJ5">
        <v>2025</v>
      </c>
      <c r="PK5" t="s">
        <v>2213</v>
      </c>
      <c r="PL5" s="6">
        <v>45763</v>
      </c>
      <c r="PM5">
        <v>5</v>
      </c>
      <c r="PN5">
        <v>76434368</v>
      </c>
      <c r="PO5">
        <v>136547</v>
      </c>
      <c r="PP5" t="s">
        <v>2214</v>
      </c>
      <c r="PS5" t="str">
        <f>_xll.BDS("DHR US Equity","SUPPLY_CHAIN_CUSTOMERS_ALL_DATA","cols=12;rows=5")</f>
        <v>CDW US Equity</v>
      </c>
      <c r="PT5">
        <v>0.25350099999999998</v>
      </c>
      <c r="PU5" t="s">
        <v>1752</v>
      </c>
      <c r="PV5">
        <v>0.35698299999999999</v>
      </c>
      <c r="PW5" t="s">
        <v>1781</v>
      </c>
      <c r="PX5">
        <v>2025</v>
      </c>
      <c r="PY5" t="s">
        <v>1955</v>
      </c>
      <c r="PZ5" s="6">
        <v>45820</v>
      </c>
      <c r="QA5">
        <v>5</v>
      </c>
      <c r="QB5">
        <v>14553483</v>
      </c>
      <c r="QC5">
        <v>12129192</v>
      </c>
      <c r="QD5" t="s">
        <v>1956</v>
      </c>
      <c r="QI5" t="str">
        <f>_xll.BDS("9980328D US Equity","SUPPLY_CHAIN_SUPPLIERS_ALL_DATA","cols=12;rows=5")</f>
        <v>1052024D US Equity</v>
      </c>
      <c r="QK5">
        <v>-2.4245362661989844E-14</v>
      </c>
      <c r="QL5">
        <v>-2.4245362661989844E-14</v>
      </c>
      <c r="QM5" t="s">
        <v>1753</v>
      </c>
      <c r="QN5">
        <v>2024</v>
      </c>
      <c r="QO5" t="s">
        <v>3392</v>
      </c>
      <c r="QP5" s="6">
        <v>45358</v>
      </c>
      <c r="QQ5">
        <v>5</v>
      </c>
      <c r="QR5">
        <v>-2.4245362661989844E-14</v>
      </c>
      <c r="QS5">
        <v>41866638</v>
      </c>
      <c r="QT5" t="s">
        <v>3191</v>
      </c>
      <c r="QW5" t="str">
        <f>_xll.BDS("9980328D US Equity","SUPPLY_CHAIN_CUSTOMERS_ALL_DATA","cols=12;rows=5")</f>
        <v>002630 KS Equity</v>
      </c>
      <c r="QX5">
        <v>-2.4245362661989844E-14</v>
      </c>
      <c r="QZ5">
        <v>-2.4245362661989844E-14</v>
      </c>
      <c r="RA5" t="s">
        <v>1768</v>
      </c>
      <c r="RB5">
        <v>2023</v>
      </c>
      <c r="RC5" t="s">
        <v>3389</v>
      </c>
      <c r="RD5" s="6">
        <v>44971</v>
      </c>
      <c r="RE5">
        <v>5</v>
      </c>
      <c r="RF5">
        <v>-2.4245362661989844E-14</v>
      </c>
      <c r="RG5">
        <v>129294</v>
      </c>
      <c r="RH5" t="s">
        <v>3390</v>
      </c>
      <c r="RM5" t="str">
        <f>_xll.BDS("HU US Equity","SUPPLY_CHAIN_SUPPLIERS_ALL_DATA")</f>
        <v>#N/A N/A</v>
      </c>
      <c r="SA5" t="str">
        <f>_xll.BDS("HU US Equity","SUPPLY_CHAIN_CUSTOMERS_ALL_DATA")</f>
        <v>#N/A N/A</v>
      </c>
      <c r="SQ5" t="str">
        <f>_xll.BDS("DHI US Equity","SUPPLY_CHAIN_SUPPLIERS_ALL_DATA","cols=12;rows=5")</f>
        <v>FOR US Equity</v>
      </c>
      <c r="SR5" t="s">
        <v>1752</v>
      </c>
      <c r="SS5">
        <v>82.838065999999998</v>
      </c>
      <c r="ST5">
        <v>5.2919179999999999</v>
      </c>
      <c r="SU5" t="s">
        <v>1753</v>
      </c>
      <c r="SV5">
        <v>2025</v>
      </c>
      <c r="SW5" t="s">
        <v>2675</v>
      </c>
      <c r="SX5" s="6">
        <v>45980</v>
      </c>
      <c r="SY5">
        <v>5</v>
      </c>
      <c r="SZ5">
        <v>344275000</v>
      </c>
      <c r="TA5">
        <v>11874264</v>
      </c>
      <c r="TB5" t="s">
        <v>2676</v>
      </c>
      <c r="TE5" t="str">
        <f>_xll.BDS("DHI US Equity","SUPPLY_CHAIN_CUSTOMERS_ALL_DATA","cols=12;rows=1")</f>
        <v>FOR US Equity</v>
      </c>
      <c r="TF5">
        <v>1.168E-3</v>
      </c>
      <c r="TG5" t="s">
        <v>1752</v>
      </c>
      <c r="TH5">
        <v>3.0794999999999999E-2</v>
      </c>
      <c r="TI5" t="s">
        <v>1753</v>
      </c>
      <c r="TJ5">
        <v>2025</v>
      </c>
      <c r="TK5" t="s">
        <v>2675</v>
      </c>
      <c r="TL5" s="6">
        <v>45980</v>
      </c>
      <c r="TM5">
        <v>1</v>
      </c>
      <c r="TN5">
        <v>100000</v>
      </c>
      <c r="TO5">
        <v>11874264</v>
      </c>
      <c r="TP5" t="s">
        <v>2676</v>
      </c>
      <c r="TU5" t="str">
        <f>_xll.BDS("PBI US Equity","SUPPLY_CHAIN_SUPPLIERS_ALL_DATA","cols=12;rows=5")</f>
        <v>XPO US Equity</v>
      </c>
      <c r="TV5" t="s">
        <v>1752</v>
      </c>
      <c r="TW5">
        <v>3.0370000000000002E-3</v>
      </c>
      <c r="TX5">
        <v>2.9465999999999999E-2</v>
      </c>
      <c r="TY5" t="s">
        <v>1774</v>
      </c>
      <c r="TZ5">
        <v>2025</v>
      </c>
      <c r="UA5" t="s">
        <v>2245</v>
      </c>
      <c r="UB5" s="6">
        <v>45916</v>
      </c>
      <c r="UC5">
        <v>5</v>
      </c>
      <c r="UD5">
        <v>63170</v>
      </c>
      <c r="UE5">
        <v>7359873</v>
      </c>
      <c r="UF5" t="s">
        <v>2246</v>
      </c>
      <c r="UI5" t="str">
        <f>_xll.BDS("PBI US Equity","SUPPLY_CHAIN_CUSTOMERS_ALL_DATA","cols=12;rows=5")</f>
        <v>0228856Z US Equity</v>
      </c>
      <c r="UJ5">
        <v>-2.4245362661989844E-14</v>
      </c>
      <c r="UL5">
        <v>-2.4245362661989844E-14</v>
      </c>
      <c r="UM5" t="s">
        <v>1753</v>
      </c>
      <c r="UN5">
        <v>2023</v>
      </c>
      <c r="UO5" t="s">
        <v>3822</v>
      </c>
      <c r="UP5" s="6">
        <v>45077</v>
      </c>
      <c r="UQ5">
        <v>5</v>
      </c>
      <c r="UR5">
        <v>-2.4245362661989844E-14</v>
      </c>
      <c r="US5">
        <v>227296</v>
      </c>
      <c r="UT5" t="s">
        <v>3285</v>
      </c>
      <c r="UY5" t="str">
        <f>_xll.BDS("4513539Q US Equity","SUPPLY_CHAIN_SUPPLIERS_ALL_DATA")</f>
        <v>#N/A N/A</v>
      </c>
      <c r="VM5" t="str">
        <f>_xll.BDS("4513539Q US Equity","SUPPLY_CHAIN_CUSTOMERS_ALL_DATA")</f>
        <v>#N/A N/A</v>
      </c>
    </row>
    <row r="6" spans="1:600" x14ac:dyDescent="0.25">
      <c r="A6" t="s">
        <v>5070</v>
      </c>
      <c r="B6" t="s">
        <v>1752</v>
      </c>
      <c r="C6">
        <v>70.742355000000003</v>
      </c>
      <c r="D6">
        <v>12.192596999999999</v>
      </c>
      <c r="E6" t="s">
        <v>1774</v>
      </c>
      <c r="F6">
        <v>2025</v>
      </c>
      <c r="G6" t="s">
        <v>5071</v>
      </c>
      <c r="H6" s="6">
        <v>45944</v>
      </c>
      <c r="I6">
        <v>5</v>
      </c>
      <c r="J6">
        <v>6136333500.3100004</v>
      </c>
      <c r="K6">
        <v>20143973</v>
      </c>
      <c r="L6" t="s">
        <v>5072</v>
      </c>
      <c r="O6" t="s">
        <v>4838</v>
      </c>
      <c r="P6">
        <v>2.5180570000000002</v>
      </c>
      <c r="Q6" t="s">
        <v>1752</v>
      </c>
      <c r="R6">
        <v>9.5055899999999998</v>
      </c>
      <c r="S6" t="s">
        <v>1774</v>
      </c>
      <c r="T6">
        <v>2025</v>
      </c>
      <c r="U6" t="s">
        <v>4837</v>
      </c>
      <c r="V6" s="6">
        <v>45789</v>
      </c>
      <c r="W6">
        <v>5</v>
      </c>
      <c r="X6">
        <v>2401193984</v>
      </c>
      <c r="Y6">
        <v>180556</v>
      </c>
      <c r="Z6" t="s">
        <v>4839</v>
      </c>
      <c r="CM6" t="s">
        <v>4542</v>
      </c>
      <c r="CO6">
        <v>-2.4245362661989844E-14</v>
      </c>
      <c r="CP6">
        <v>-2.4245362661989844E-14</v>
      </c>
      <c r="CQ6" t="s">
        <v>1781</v>
      </c>
      <c r="CR6">
        <v>2024</v>
      </c>
      <c r="CS6" t="s">
        <v>4543</v>
      </c>
      <c r="CT6" s="6">
        <v>45447</v>
      </c>
      <c r="CU6">
        <v>5</v>
      </c>
      <c r="CV6">
        <v>-2.4245362661989844E-14</v>
      </c>
      <c r="CW6">
        <v>26550514</v>
      </c>
      <c r="CX6" t="s">
        <v>4544</v>
      </c>
      <c r="DA6" t="s">
        <v>1457</v>
      </c>
      <c r="DB6">
        <v>2.1586439999999998</v>
      </c>
      <c r="DC6" t="s">
        <v>2407</v>
      </c>
      <c r="DD6">
        <v>0.86357099999999998</v>
      </c>
      <c r="DE6" t="s">
        <v>1774</v>
      </c>
      <c r="DF6">
        <v>2025</v>
      </c>
      <c r="DG6" t="s">
        <v>2410</v>
      </c>
      <c r="DH6" s="6">
        <v>45921</v>
      </c>
      <c r="DI6">
        <v>5</v>
      </c>
      <c r="DJ6">
        <v>22280120</v>
      </c>
      <c r="DK6">
        <v>100225</v>
      </c>
      <c r="DL6" t="s">
        <v>2497</v>
      </c>
      <c r="DQ6" t="s">
        <v>378</v>
      </c>
      <c r="DR6" t="s">
        <v>1752</v>
      </c>
      <c r="DS6">
        <v>9.2999999999999997E-5</v>
      </c>
      <c r="DT6">
        <v>0.19478500000000001</v>
      </c>
      <c r="DU6" t="s">
        <v>1774</v>
      </c>
      <c r="DV6">
        <v>2025</v>
      </c>
      <c r="DW6" t="s">
        <v>4893</v>
      </c>
      <c r="DX6" s="6">
        <v>45783</v>
      </c>
      <c r="DY6">
        <v>5</v>
      </c>
      <c r="DZ6">
        <v>13012</v>
      </c>
      <c r="EA6">
        <v>69423747</v>
      </c>
      <c r="EB6" t="s">
        <v>2158</v>
      </c>
      <c r="EE6" t="s">
        <v>5825</v>
      </c>
      <c r="EF6">
        <v>-2.4245362661989844E-14</v>
      </c>
      <c r="EH6">
        <v>-2.4245362661989844E-14</v>
      </c>
      <c r="EI6" t="s">
        <v>1781</v>
      </c>
      <c r="EJ6">
        <v>2023</v>
      </c>
      <c r="EK6" t="s">
        <v>5823</v>
      </c>
      <c r="EL6" s="6">
        <v>44879</v>
      </c>
      <c r="EM6">
        <v>5</v>
      </c>
      <c r="EN6">
        <v>-2.4245362661989844E-14</v>
      </c>
      <c r="EO6">
        <v>29039893</v>
      </c>
      <c r="EP6" t="s">
        <v>5826</v>
      </c>
      <c r="EU6" t="s">
        <v>3090</v>
      </c>
      <c r="EW6">
        <v>-2.4245362661989844E-14</v>
      </c>
      <c r="EX6">
        <v>-2.4245362661989844E-14</v>
      </c>
      <c r="EY6" t="s">
        <v>1753</v>
      </c>
      <c r="EZ6">
        <v>2022</v>
      </c>
      <c r="FA6" t="s">
        <v>3088</v>
      </c>
      <c r="FB6" s="6">
        <v>44644</v>
      </c>
      <c r="FC6">
        <v>5</v>
      </c>
      <c r="FD6">
        <v>-2.4245362661989844E-14</v>
      </c>
      <c r="FE6">
        <v>12899758</v>
      </c>
      <c r="FF6" t="s">
        <v>3091</v>
      </c>
      <c r="FI6" t="s">
        <v>1871</v>
      </c>
      <c r="FJ6">
        <v>-2.4245362661989844E-14</v>
      </c>
      <c r="FL6">
        <v>-2.4245362661989844E-14</v>
      </c>
      <c r="FM6" t="s">
        <v>1753</v>
      </c>
      <c r="FN6">
        <v>2023</v>
      </c>
      <c r="FO6" t="s">
        <v>3088</v>
      </c>
      <c r="FP6" s="6">
        <v>45033</v>
      </c>
      <c r="FQ6">
        <v>5</v>
      </c>
      <c r="FR6">
        <v>-2.4245362661989844E-14</v>
      </c>
      <c r="FS6">
        <v>117929</v>
      </c>
      <c r="FT6" t="s">
        <v>1873</v>
      </c>
      <c r="HC6" t="s">
        <v>626</v>
      </c>
      <c r="HD6" t="s">
        <v>1752</v>
      </c>
      <c r="HE6">
        <v>3.022E-2</v>
      </c>
      <c r="HF6">
        <v>0.26656200000000002</v>
      </c>
      <c r="HG6" t="s">
        <v>1774</v>
      </c>
      <c r="HH6">
        <v>2025</v>
      </c>
      <c r="HI6" t="s">
        <v>4430</v>
      </c>
      <c r="HJ6" s="6">
        <v>45918</v>
      </c>
      <c r="HK6">
        <v>5</v>
      </c>
      <c r="HL6">
        <v>1160879</v>
      </c>
      <c r="HM6">
        <v>101397</v>
      </c>
      <c r="HN6" t="s">
        <v>5389</v>
      </c>
      <c r="HQ6" t="s">
        <v>1079</v>
      </c>
      <c r="HR6">
        <v>18.437004000000002</v>
      </c>
      <c r="HS6" t="s">
        <v>1752</v>
      </c>
      <c r="HT6">
        <v>0.15961700000000001</v>
      </c>
      <c r="HU6" t="s">
        <v>1788</v>
      </c>
      <c r="HV6">
        <v>2025</v>
      </c>
      <c r="HW6" t="s">
        <v>5262</v>
      </c>
      <c r="HX6" s="6">
        <v>45897</v>
      </c>
      <c r="HY6">
        <v>5</v>
      </c>
      <c r="HZ6">
        <v>128985280</v>
      </c>
      <c r="IA6">
        <v>216952</v>
      </c>
      <c r="IB6" t="s">
        <v>1899</v>
      </c>
      <c r="IG6" t="s">
        <v>3881</v>
      </c>
      <c r="II6">
        <v>-2.4245362661989844E-14</v>
      </c>
      <c r="IJ6">
        <v>-2.4245362661989844E-14</v>
      </c>
      <c r="IK6" t="s">
        <v>1753</v>
      </c>
      <c r="IL6">
        <v>2022</v>
      </c>
      <c r="IM6" t="s">
        <v>5194</v>
      </c>
      <c r="IN6" s="6">
        <v>44986</v>
      </c>
      <c r="IO6">
        <v>3</v>
      </c>
      <c r="IP6">
        <v>-2.4245362661989844E-14</v>
      </c>
      <c r="IQ6">
        <v>126294</v>
      </c>
      <c r="IR6" t="s">
        <v>3883</v>
      </c>
      <c r="MW6" t="s">
        <v>2125</v>
      </c>
      <c r="MX6" t="s">
        <v>1940</v>
      </c>
      <c r="MY6">
        <v>0.46972799999999998</v>
      </c>
      <c r="MZ6">
        <v>0.155246</v>
      </c>
      <c r="NA6" t="s">
        <v>1774</v>
      </c>
      <c r="NB6">
        <v>2025</v>
      </c>
      <c r="NC6" t="s">
        <v>2126</v>
      </c>
      <c r="ND6" s="6">
        <v>45838</v>
      </c>
      <c r="NE6">
        <v>5</v>
      </c>
      <c r="NF6">
        <v>27587124</v>
      </c>
      <c r="NG6">
        <v>101689</v>
      </c>
      <c r="NH6" t="s">
        <v>2127</v>
      </c>
      <c r="NK6" t="s">
        <v>4675</v>
      </c>
      <c r="NL6">
        <v>-2.4245362661989844E-14</v>
      </c>
      <c r="NN6">
        <v>-2.4245362661989844E-14</v>
      </c>
      <c r="NO6" t="s">
        <v>1753</v>
      </c>
      <c r="NP6">
        <v>2025</v>
      </c>
      <c r="NQ6" t="s">
        <v>4676</v>
      </c>
      <c r="NR6" s="6">
        <v>46065</v>
      </c>
      <c r="NS6">
        <v>4</v>
      </c>
      <c r="NT6">
        <v>-2.4245362661989844E-14</v>
      </c>
      <c r="NU6">
        <v>100024</v>
      </c>
      <c r="NV6" t="s">
        <v>4677</v>
      </c>
      <c r="OA6" t="s">
        <v>2232</v>
      </c>
      <c r="OC6">
        <v>-2.4245362661989844E-14</v>
      </c>
      <c r="OD6">
        <v>-2.4245362661989844E-14</v>
      </c>
      <c r="OE6" t="s">
        <v>1753</v>
      </c>
      <c r="OF6">
        <v>2021</v>
      </c>
      <c r="OG6" t="s">
        <v>2233</v>
      </c>
      <c r="OH6" s="6">
        <v>44718</v>
      </c>
      <c r="OI6">
        <v>5</v>
      </c>
      <c r="OJ6">
        <v>-2.4245362661989844E-14</v>
      </c>
      <c r="OK6">
        <v>885036</v>
      </c>
      <c r="OL6" t="s">
        <v>2234</v>
      </c>
      <c r="OO6" t="s">
        <v>1915</v>
      </c>
      <c r="OP6">
        <v>-2.4245362661989844E-14</v>
      </c>
      <c r="OR6">
        <v>-2.4245362661989844E-14</v>
      </c>
      <c r="OS6" t="s">
        <v>1753</v>
      </c>
      <c r="OT6">
        <v>2022</v>
      </c>
      <c r="OU6" t="s">
        <v>1916</v>
      </c>
      <c r="OV6" s="6">
        <v>44993</v>
      </c>
      <c r="OW6">
        <v>2</v>
      </c>
      <c r="OX6">
        <v>-2.4245362661989844E-14</v>
      </c>
      <c r="OY6">
        <v>10092517</v>
      </c>
      <c r="OZ6" t="s">
        <v>1917</v>
      </c>
      <c r="PE6" t="s">
        <v>2215</v>
      </c>
      <c r="PF6" t="s">
        <v>1752</v>
      </c>
      <c r="PG6">
        <v>0.147895</v>
      </c>
      <c r="PH6">
        <v>0.47978500000000002</v>
      </c>
      <c r="PI6" t="s">
        <v>1788</v>
      </c>
      <c r="PJ6">
        <v>2025</v>
      </c>
      <c r="PK6" t="s">
        <v>2216</v>
      </c>
      <c r="PL6" s="6">
        <v>45867</v>
      </c>
      <c r="PM6">
        <v>5</v>
      </c>
      <c r="PN6">
        <v>11577221</v>
      </c>
      <c r="PO6">
        <v>117092</v>
      </c>
      <c r="PP6" t="s">
        <v>2217</v>
      </c>
      <c r="PS6" t="s">
        <v>1824</v>
      </c>
      <c r="PT6">
        <v>0.22051499999999999</v>
      </c>
      <c r="PU6" t="s">
        <v>1752</v>
      </c>
      <c r="PV6">
        <v>9.3169000000000002E-2</v>
      </c>
      <c r="PW6" t="s">
        <v>1825</v>
      </c>
      <c r="PX6">
        <v>2025</v>
      </c>
      <c r="PY6" t="s">
        <v>1826</v>
      </c>
      <c r="PZ6" s="6">
        <v>46056</v>
      </c>
      <c r="QA6">
        <v>5</v>
      </c>
      <c r="QB6">
        <v>15078834</v>
      </c>
      <c r="QC6">
        <v>1499717</v>
      </c>
      <c r="QD6" t="s">
        <v>1827</v>
      </c>
      <c r="QI6" t="s">
        <v>5777</v>
      </c>
      <c r="QK6">
        <v>-2.4245362661989844E-14</v>
      </c>
      <c r="QL6">
        <v>-2.4245362661989844E-14</v>
      </c>
      <c r="QM6" t="s">
        <v>1753</v>
      </c>
      <c r="QN6">
        <v>2023</v>
      </c>
      <c r="QO6" t="s">
        <v>3392</v>
      </c>
      <c r="QP6" s="6">
        <v>45068</v>
      </c>
      <c r="QQ6">
        <v>5</v>
      </c>
      <c r="QR6">
        <v>-2.4245362661989844E-14</v>
      </c>
      <c r="QS6">
        <v>37260707</v>
      </c>
      <c r="QT6" t="s">
        <v>5778</v>
      </c>
      <c r="QW6" t="s">
        <v>3391</v>
      </c>
      <c r="QX6">
        <v>-2.4245362661989844E-14</v>
      </c>
      <c r="QZ6">
        <v>-2.4245362661989844E-14</v>
      </c>
      <c r="RA6" t="s">
        <v>1753</v>
      </c>
      <c r="RB6">
        <v>2022</v>
      </c>
      <c r="RC6" t="s">
        <v>3392</v>
      </c>
      <c r="RD6" s="6">
        <v>44732</v>
      </c>
      <c r="RE6">
        <v>5</v>
      </c>
      <c r="RF6">
        <v>-2.4245362661989844E-14</v>
      </c>
      <c r="RG6">
        <v>69656039</v>
      </c>
      <c r="RH6" t="s">
        <v>3393</v>
      </c>
      <c r="SQ6" t="s">
        <v>2677</v>
      </c>
      <c r="SR6" t="s">
        <v>1752</v>
      </c>
      <c r="SS6">
        <v>5.4120119999999998</v>
      </c>
      <c r="ST6">
        <v>2.2954590000000001</v>
      </c>
      <c r="SU6" t="s">
        <v>1774</v>
      </c>
      <c r="SV6">
        <v>2025</v>
      </c>
      <c r="SW6" t="s">
        <v>2678</v>
      </c>
      <c r="SX6" s="6">
        <v>45922</v>
      </c>
      <c r="SY6">
        <v>5</v>
      </c>
      <c r="SZ6">
        <v>159816720</v>
      </c>
      <c r="TA6">
        <v>7785692</v>
      </c>
      <c r="TB6" t="s">
        <v>2679</v>
      </c>
      <c r="TU6" t="s">
        <v>3402</v>
      </c>
      <c r="TW6">
        <v>-2.4245362661989844E-14</v>
      </c>
      <c r="TX6">
        <v>-2.4245362661989844E-14</v>
      </c>
      <c r="TY6" t="s">
        <v>1753</v>
      </c>
      <c r="TZ6">
        <v>2023</v>
      </c>
      <c r="UA6" t="s">
        <v>3403</v>
      </c>
      <c r="UB6" s="6">
        <v>45299</v>
      </c>
      <c r="UC6">
        <v>5</v>
      </c>
      <c r="UD6">
        <v>-2.4245362661989844E-14</v>
      </c>
      <c r="UE6">
        <v>39932009</v>
      </c>
      <c r="UF6" t="s">
        <v>3404</v>
      </c>
      <c r="UI6" t="s">
        <v>3823</v>
      </c>
      <c r="UJ6">
        <v>-2.4245362661989844E-14</v>
      </c>
      <c r="UL6">
        <v>-2.4245362661989844E-14</v>
      </c>
      <c r="UM6" t="s">
        <v>1753</v>
      </c>
      <c r="UN6">
        <v>2025</v>
      </c>
      <c r="UO6" t="s">
        <v>3822</v>
      </c>
      <c r="UP6" s="6">
        <v>45687</v>
      </c>
      <c r="UQ6">
        <v>5</v>
      </c>
      <c r="UR6">
        <v>-2.4245362661989844E-14</v>
      </c>
      <c r="US6">
        <v>67173125</v>
      </c>
      <c r="UT6" t="s">
        <v>3824</v>
      </c>
    </row>
    <row r="7" spans="1:600" x14ac:dyDescent="0.25">
      <c r="A7" t="s">
        <v>1941</v>
      </c>
      <c r="B7" t="s">
        <v>1752</v>
      </c>
      <c r="C7">
        <v>22.040852000000001</v>
      </c>
      <c r="D7">
        <v>8.9652119999999993</v>
      </c>
      <c r="E7" t="s">
        <v>1825</v>
      </c>
      <c r="F7">
        <v>2024</v>
      </c>
      <c r="G7" t="s">
        <v>3480</v>
      </c>
      <c r="H7" s="6">
        <v>45741</v>
      </c>
      <c r="I7">
        <v>5</v>
      </c>
      <c r="J7">
        <v>5917064580.5699997</v>
      </c>
      <c r="K7">
        <v>153737</v>
      </c>
      <c r="L7" t="s">
        <v>1943</v>
      </c>
      <c r="O7" t="s">
        <v>1144</v>
      </c>
      <c r="P7">
        <v>2.0425080000000002</v>
      </c>
      <c r="Q7" t="s">
        <v>1752</v>
      </c>
      <c r="R7">
        <v>14.027474</v>
      </c>
      <c r="S7" t="s">
        <v>1774</v>
      </c>
      <c r="T7">
        <v>2025</v>
      </c>
      <c r="U7" t="s">
        <v>3010</v>
      </c>
      <c r="V7" s="6">
        <v>45862</v>
      </c>
      <c r="W7">
        <v>5</v>
      </c>
      <c r="X7">
        <v>1947714816</v>
      </c>
      <c r="Y7">
        <v>100185</v>
      </c>
      <c r="Z7" t="s">
        <v>4383</v>
      </c>
      <c r="CM7" t="s">
        <v>4545</v>
      </c>
      <c r="CO7">
        <v>-2.4245362661989844E-14</v>
      </c>
      <c r="CP7">
        <v>-2.4245362661989844E-14</v>
      </c>
      <c r="CQ7" t="s">
        <v>1774</v>
      </c>
      <c r="CR7">
        <v>2023</v>
      </c>
      <c r="CS7" t="s">
        <v>4546</v>
      </c>
      <c r="CT7" s="6">
        <v>45190</v>
      </c>
      <c r="CU7">
        <v>5</v>
      </c>
      <c r="CV7">
        <v>-2.4245362661989844E-14</v>
      </c>
      <c r="CW7">
        <v>56403996</v>
      </c>
      <c r="CX7" t="s">
        <v>4547</v>
      </c>
      <c r="DA7" t="s">
        <v>5361</v>
      </c>
      <c r="DB7">
        <v>2.1099600000000001</v>
      </c>
      <c r="DC7" t="s">
        <v>2407</v>
      </c>
      <c r="DD7">
        <v>0.56132099999999996</v>
      </c>
      <c r="DE7" t="s">
        <v>1774</v>
      </c>
      <c r="DF7">
        <v>2025</v>
      </c>
      <c r="DG7" t="s">
        <v>2410</v>
      </c>
      <c r="DH7" s="6">
        <v>45921</v>
      </c>
      <c r="DI7">
        <v>5</v>
      </c>
      <c r="DJ7">
        <v>21777636</v>
      </c>
      <c r="DK7">
        <v>115785</v>
      </c>
      <c r="DL7" t="s">
        <v>5362</v>
      </c>
      <c r="DQ7" t="s">
        <v>2125</v>
      </c>
      <c r="DR7" t="s">
        <v>1940</v>
      </c>
      <c r="DS7">
        <v>1.0399999999999999E-4</v>
      </c>
      <c r="DT7">
        <v>9.0554999999999997E-2</v>
      </c>
      <c r="DU7" t="s">
        <v>1774</v>
      </c>
      <c r="DV7">
        <v>2025</v>
      </c>
      <c r="DW7" t="s">
        <v>2126</v>
      </c>
      <c r="DX7" s="6">
        <v>45838</v>
      </c>
      <c r="DY7">
        <v>5</v>
      </c>
      <c r="DZ7">
        <v>6108</v>
      </c>
      <c r="EA7">
        <v>101689</v>
      </c>
      <c r="EB7" t="s">
        <v>2127</v>
      </c>
      <c r="EE7" t="s">
        <v>5827</v>
      </c>
      <c r="EF7">
        <v>-2.4245362661989844E-14</v>
      </c>
      <c r="EH7">
        <v>-2.4245362661989844E-14</v>
      </c>
      <c r="EI7" t="s">
        <v>1781</v>
      </c>
      <c r="EJ7">
        <v>2023</v>
      </c>
      <c r="EK7" t="s">
        <v>5823</v>
      </c>
      <c r="EL7" s="6">
        <v>44879</v>
      </c>
      <c r="EM7">
        <v>5</v>
      </c>
      <c r="EN7">
        <v>-2.4245362661989844E-14</v>
      </c>
      <c r="EO7">
        <v>24836895</v>
      </c>
      <c r="EP7" t="s">
        <v>5828</v>
      </c>
      <c r="EU7" t="s">
        <v>3092</v>
      </c>
      <c r="EW7">
        <v>-2.4245362661989844E-14</v>
      </c>
      <c r="EX7">
        <v>-2.4245362661989844E-14</v>
      </c>
      <c r="EY7" t="s">
        <v>1753</v>
      </c>
      <c r="EZ7">
        <v>2022</v>
      </c>
      <c r="FA7" t="s">
        <v>3088</v>
      </c>
      <c r="FB7" s="6">
        <v>44847</v>
      </c>
      <c r="FC7">
        <v>5</v>
      </c>
      <c r="FD7">
        <v>-2.4245362661989844E-14</v>
      </c>
      <c r="FE7">
        <v>70397197</v>
      </c>
      <c r="FF7" t="s">
        <v>3093</v>
      </c>
      <c r="FI7" t="s">
        <v>1926</v>
      </c>
      <c r="FJ7">
        <v>-2.4245362661989844E-14</v>
      </c>
      <c r="FL7">
        <v>-2.4245362661989844E-14</v>
      </c>
      <c r="FM7" t="s">
        <v>1753</v>
      </c>
      <c r="FN7">
        <v>2022</v>
      </c>
      <c r="FO7" t="s">
        <v>3088</v>
      </c>
      <c r="FP7" s="6">
        <v>44719</v>
      </c>
      <c r="FQ7">
        <v>5</v>
      </c>
      <c r="FR7">
        <v>-2.4245362661989844E-14</v>
      </c>
      <c r="FS7">
        <v>7583418</v>
      </c>
      <c r="FT7" t="s">
        <v>1928</v>
      </c>
      <c r="HC7" t="s">
        <v>5390</v>
      </c>
      <c r="HD7" t="s">
        <v>1752</v>
      </c>
      <c r="HE7">
        <v>0.120009</v>
      </c>
      <c r="HF7">
        <v>5.5760999999999998E-2</v>
      </c>
      <c r="HG7" t="s">
        <v>1788</v>
      </c>
      <c r="HH7">
        <v>2025</v>
      </c>
      <c r="HI7" t="s">
        <v>5391</v>
      </c>
      <c r="HJ7" s="6">
        <v>45777</v>
      </c>
      <c r="HK7">
        <v>5</v>
      </c>
      <c r="HL7">
        <v>262867.53000000003</v>
      </c>
      <c r="HM7">
        <v>39035384</v>
      </c>
      <c r="HN7" t="s">
        <v>5392</v>
      </c>
      <c r="HQ7" t="s">
        <v>5263</v>
      </c>
      <c r="HR7">
        <v>5.6304629999999998</v>
      </c>
      <c r="HS7" t="s">
        <v>1752</v>
      </c>
      <c r="HT7">
        <v>4.361192</v>
      </c>
      <c r="HU7" t="s">
        <v>1774</v>
      </c>
      <c r="HV7">
        <v>2026</v>
      </c>
      <c r="HW7" t="s">
        <v>5264</v>
      </c>
      <c r="HX7" s="6">
        <v>45919</v>
      </c>
      <c r="HY7">
        <v>5</v>
      </c>
      <c r="HZ7">
        <v>39390720</v>
      </c>
      <c r="IA7">
        <v>69349999</v>
      </c>
      <c r="IB7" t="s">
        <v>5265</v>
      </c>
      <c r="IG7" t="s">
        <v>1056</v>
      </c>
      <c r="II7">
        <v>-2.4245362661989844E-14</v>
      </c>
      <c r="IJ7">
        <v>-2.4245362661989844E-14</v>
      </c>
      <c r="IK7" t="s">
        <v>1788</v>
      </c>
      <c r="IL7">
        <v>2024</v>
      </c>
      <c r="IM7" t="s">
        <v>5195</v>
      </c>
      <c r="IN7" s="6">
        <v>45679</v>
      </c>
      <c r="IO7">
        <v>3</v>
      </c>
      <c r="IP7">
        <v>-2.4245362661989844E-14</v>
      </c>
      <c r="IQ7">
        <v>105429</v>
      </c>
      <c r="IR7" t="s">
        <v>2680</v>
      </c>
      <c r="MW7" t="s">
        <v>1787</v>
      </c>
      <c r="MX7" t="s">
        <v>1940</v>
      </c>
      <c r="MY7">
        <v>8.5077940000000005</v>
      </c>
      <c r="MZ7">
        <v>8.9352000000000001E-2</v>
      </c>
      <c r="NA7" t="s">
        <v>1781</v>
      </c>
      <c r="NB7">
        <v>2026</v>
      </c>
      <c r="NC7" t="s">
        <v>2131</v>
      </c>
      <c r="ND7" s="6">
        <v>45898</v>
      </c>
      <c r="NE7">
        <v>5</v>
      </c>
      <c r="NF7">
        <v>15354149.300000001</v>
      </c>
      <c r="NG7">
        <v>178651</v>
      </c>
      <c r="NH7" t="s">
        <v>1790</v>
      </c>
      <c r="NK7" t="s">
        <v>1966</v>
      </c>
      <c r="NL7">
        <v>-2.4245362661989844E-14</v>
      </c>
      <c r="NN7">
        <v>-2.4245362661989844E-14</v>
      </c>
      <c r="NO7" t="s">
        <v>1753</v>
      </c>
      <c r="NP7">
        <v>2023</v>
      </c>
      <c r="NQ7" t="s">
        <v>1967</v>
      </c>
      <c r="NR7" s="6">
        <v>45175</v>
      </c>
      <c r="NS7">
        <v>4</v>
      </c>
      <c r="NT7">
        <v>-2.4245362661989844E-14</v>
      </c>
      <c r="NU7">
        <v>100555</v>
      </c>
      <c r="NV7" t="s">
        <v>1968</v>
      </c>
      <c r="OA7" t="s">
        <v>2235</v>
      </c>
      <c r="OC7">
        <v>-2.4245362661989844E-14</v>
      </c>
      <c r="OD7">
        <v>-2.4245362661989844E-14</v>
      </c>
      <c r="OE7" t="s">
        <v>1788</v>
      </c>
      <c r="OF7">
        <v>2022</v>
      </c>
      <c r="OG7" t="s">
        <v>2236</v>
      </c>
      <c r="OH7" s="6">
        <v>44895</v>
      </c>
      <c r="OI7">
        <v>5</v>
      </c>
      <c r="OJ7">
        <v>-2.4245362661989844E-14</v>
      </c>
      <c r="OK7">
        <v>69795062</v>
      </c>
      <c r="OL7" t="s">
        <v>2237</v>
      </c>
      <c r="PE7" t="s">
        <v>2415</v>
      </c>
      <c r="PF7" t="s">
        <v>1752</v>
      </c>
      <c r="PG7">
        <v>0.32230900000000001</v>
      </c>
      <c r="PH7">
        <v>0.38473400000000002</v>
      </c>
      <c r="PI7" t="s">
        <v>1788</v>
      </c>
      <c r="PJ7">
        <v>2025</v>
      </c>
      <c r="PK7" t="s">
        <v>2416</v>
      </c>
      <c r="PL7" s="6">
        <v>45891</v>
      </c>
      <c r="PM7">
        <v>5</v>
      </c>
      <c r="PN7">
        <v>9283621</v>
      </c>
      <c r="PO7">
        <v>100097</v>
      </c>
      <c r="PP7" t="s">
        <v>2417</v>
      </c>
      <c r="PS7" t="s">
        <v>2092</v>
      </c>
      <c r="PT7">
        <v>8.1423999999999996E-2</v>
      </c>
      <c r="PU7" t="s">
        <v>1752</v>
      </c>
      <c r="PV7">
        <v>0.194387</v>
      </c>
      <c r="PW7" t="s">
        <v>1788</v>
      </c>
      <c r="PX7">
        <v>2025</v>
      </c>
      <c r="PY7" t="s">
        <v>2093</v>
      </c>
      <c r="PZ7" s="6">
        <v>45694</v>
      </c>
      <c r="QA7">
        <v>5</v>
      </c>
      <c r="QB7">
        <v>5430637.3600000003</v>
      </c>
      <c r="QC7">
        <v>111827</v>
      </c>
      <c r="QD7" t="s">
        <v>2094</v>
      </c>
      <c r="QI7" t="s">
        <v>5779</v>
      </c>
      <c r="QK7">
        <v>-2.4245362661989844E-14</v>
      </c>
      <c r="QL7">
        <v>-2.4245362661989844E-14</v>
      </c>
      <c r="QM7" t="s">
        <v>1753</v>
      </c>
      <c r="QN7">
        <v>2021</v>
      </c>
      <c r="QO7" t="s">
        <v>5780</v>
      </c>
      <c r="QP7" s="6">
        <v>44677</v>
      </c>
      <c r="QQ7">
        <v>5</v>
      </c>
      <c r="QR7">
        <v>-2.4245362661989844E-14</v>
      </c>
      <c r="QS7">
        <v>10142668</v>
      </c>
      <c r="QT7" t="s">
        <v>5781</v>
      </c>
      <c r="QW7" t="s">
        <v>3394</v>
      </c>
      <c r="QX7">
        <v>-2.4245362661989844E-14</v>
      </c>
      <c r="QZ7">
        <v>-2.4245362661989844E-14</v>
      </c>
      <c r="RA7" t="s">
        <v>1753</v>
      </c>
      <c r="RB7">
        <v>2024</v>
      </c>
      <c r="RC7" t="s">
        <v>3392</v>
      </c>
      <c r="RD7" s="6">
        <v>45356</v>
      </c>
      <c r="RE7">
        <v>5</v>
      </c>
      <c r="RF7">
        <v>-2.4245362661989844E-14</v>
      </c>
      <c r="RG7">
        <v>70384894</v>
      </c>
      <c r="RH7" t="s">
        <v>3395</v>
      </c>
      <c r="SQ7" t="s">
        <v>1056</v>
      </c>
      <c r="SR7" t="s">
        <v>1752</v>
      </c>
      <c r="SS7">
        <v>2.1373730000000002</v>
      </c>
      <c r="ST7">
        <v>0.86022299999999996</v>
      </c>
      <c r="SU7" t="s">
        <v>1774</v>
      </c>
      <c r="SV7">
        <v>2025</v>
      </c>
      <c r="SW7" t="s">
        <v>1933</v>
      </c>
      <c r="SX7" s="6">
        <v>45890</v>
      </c>
      <c r="SY7">
        <v>5</v>
      </c>
      <c r="SZ7">
        <v>59891328</v>
      </c>
      <c r="TA7">
        <v>105429</v>
      </c>
      <c r="TB7" t="s">
        <v>2680</v>
      </c>
      <c r="TU7" t="s">
        <v>3405</v>
      </c>
      <c r="TW7">
        <v>-2.4245362661989844E-14</v>
      </c>
      <c r="TX7">
        <v>-2.4245362661989844E-14</v>
      </c>
      <c r="TY7" t="s">
        <v>1753</v>
      </c>
      <c r="TZ7">
        <v>2023</v>
      </c>
      <c r="UA7" t="s">
        <v>3406</v>
      </c>
      <c r="UB7" s="6">
        <v>45300</v>
      </c>
      <c r="UC7">
        <v>5</v>
      </c>
      <c r="UD7">
        <v>-2.4245362661989844E-14</v>
      </c>
      <c r="UE7">
        <v>61989641</v>
      </c>
      <c r="UF7" t="s">
        <v>3407</v>
      </c>
      <c r="UI7" t="s">
        <v>1791</v>
      </c>
      <c r="UJ7">
        <v>-2.4245362661989844E-14</v>
      </c>
      <c r="UL7">
        <v>-2.4245362661989844E-14</v>
      </c>
      <c r="UM7" t="s">
        <v>1753</v>
      </c>
      <c r="UN7">
        <v>2023</v>
      </c>
      <c r="UO7" t="s">
        <v>3822</v>
      </c>
      <c r="UP7" s="6">
        <v>45077</v>
      </c>
      <c r="UQ7">
        <v>5</v>
      </c>
      <c r="UR7">
        <v>-2.4245362661989844E-14</v>
      </c>
      <c r="US7">
        <v>218252</v>
      </c>
      <c r="UT7" t="s">
        <v>1793</v>
      </c>
    </row>
    <row r="8" spans="1:600" x14ac:dyDescent="0.25">
      <c r="A8" t="s">
        <v>1871</v>
      </c>
      <c r="B8" t="s">
        <v>1752</v>
      </c>
      <c r="C8">
        <v>5.7968229999999998</v>
      </c>
      <c r="D8">
        <v>6.1298870000000001</v>
      </c>
      <c r="E8" t="s">
        <v>1774</v>
      </c>
      <c r="F8">
        <v>2025</v>
      </c>
      <c r="G8" t="s">
        <v>1872</v>
      </c>
      <c r="H8" s="6">
        <v>45952</v>
      </c>
      <c r="I8">
        <v>5</v>
      </c>
      <c r="J8">
        <v>3088068787.8600001</v>
      </c>
      <c r="K8">
        <v>117929</v>
      </c>
      <c r="L8" t="s">
        <v>1873</v>
      </c>
      <c r="O8" t="s">
        <v>3504</v>
      </c>
      <c r="P8">
        <v>1.6946129999999999</v>
      </c>
      <c r="Q8" t="s">
        <v>1752</v>
      </c>
      <c r="R8">
        <v>6.099431</v>
      </c>
      <c r="S8" t="s">
        <v>1774</v>
      </c>
      <c r="T8">
        <v>2025</v>
      </c>
      <c r="U8" t="s">
        <v>4837</v>
      </c>
      <c r="V8" s="6">
        <v>45789</v>
      </c>
      <c r="W8">
        <v>5</v>
      </c>
      <c r="X8">
        <v>1615965952</v>
      </c>
      <c r="Y8">
        <v>223340</v>
      </c>
      <c r="Z8" t="s">
        <v>3506</v>
      </c>
      <c r="CM8" t="s">
        <v>4548</v>
      </c>
      <c r="CO8">
        <v>-2.4245362661989844E-14</v>
      </c>
      <c r="CP8">
        <v>-2.4245362661989844E-14</v>
      </c>
      <c r="CQ8" t="s">
        <v>1788</v>
      </c>
      <c r="CR8">
        <v>2023</v>
      </c>
      <c r="CS8" t="s">
        <v>4549</v>
      </c>
      <c r="CT8" s="6">
        <v>45300</v>
      </c>
      <c r="CU8">
        <v>5</v>
      </c>
      <c r="CV8">
        <v>-2.4245362661989844E-14</v>
      </c>
      <c r="CW8">
        <v>64048583</v>
      </c>
      <c r="CX8" t="s">
        <v>4550</v>
      </c>
      <c r="DA8" t="s">
        <v>309</v>
      </c>
      <c r="DB8">
        <v>2.0662310000000002</v>
      </c>
      <c r="DC8" t="s">
        <v>2407</v>
      </c>
      <c r="DD8">
        <v>0.63925799999999999</v>
      </c>
      <c r="DE8" t="s">
        <v>1774</v>
      </c>
      <c r="DF8">
        <v>2025</v>
      </c>
      <c r="DG8" t="s">
        <v>2410</v>
      </c>
      <c r="DH8" s="6">
        <v>45921</v>
      </c>
      <c r="DI8">
        <v>5</v>
      </c>
      <c r="DJ8">
        <v>21326292</v>
      </c>
      <c r="DK8">
        <v>100894</v>
      </c>
      <c r="DL8" t="s">
        <v>3439</v>
      </c>
      <c r="DQ8" t="s">
        <v>5850</v>
      </c>
      <c r="DS8">
        <v>-2.4245362661989844E-14</v>
      </c>
      <c r="DT8">
        <v>-2.4245362661989844E-14</v>
      </c>
      <c r="DU8" t="s">
        <v>1753</v>
      </c>
      <c r="DV8">
        <v>2025</v>
      </c>
      <c r="DW8" t="s">
        <v>5851</v>
      </c>
      <c r="DX8" s="6">
        <v>45946</v>
      </c>
      <c r="DY8">
        <v>5</v>
      </c>
      <c r="DZ8">
        <v>-2.4245362661989844E-14</v>
      </c>
      <c r="EA8">
        <v>39075974</v>
      </c>
      <c r="EB8" t="s">
        <v>5852</v>
      </c>
      <c r="EE8" t="s">
        <v>4145</v>
      </c>
      <c r="EF8">
        <v>-2.4245362661989844E-14</v>
      </c>
      <c r="EH8">
        <v>-2.4245362661989844E-14</v>
      </c>
      <c r="EI8" t="s">
        <v>1781</v>
      </c>
      <c r="EJ8">
        <v>2023</v>
      </c>
      <c r="EK8" t="s">
        <v>5823</v>
      </c>
      <c r="EL8" s="6">
        <v>44879</v>
      </c>
      <c r="EM8">
        <v>5</v>
      </c>
      <c r="EN8">
        <v>-2.4245362661989844E-14</v>
      </c>
      <c r="EO8">
        <v>962217</v>
      </c>
      <c r="EP8" t="s">
        <v>4147</v>
      </c>
      <c r="EU8" t="s">
        <v>3094</v>
      </c>
      <c r="EW8">
        <v>-2.4245362661989844E-14</v>
      </c>
      <c r="EX8">
        <v>-2.4245362661989844E-14</v>
      </c>
      <c r="EY8" t="s">
        <v>1753</v>
      </c>
      <c r="EZ8">
        <v>2023</v>
      </c>
      <c r="FA8" t="s">
        <v>3088</v>
      </c>
      <c r="FB8" s="6">
        <v>45061</v>
      </c>
      <c r="FC8">
        <v>5</v>
      </c>
      <c r="FD8">
        <v>-2.4245362661989844E-14</v>
      </c>
      <c r="FE8">
        <v>300948</v>
      </c>
      <c r="FF8" t="s">
        <v>3095</v>
      </c>
      <c r="FI8" t="s">
        <v>5727</v>
      </c>
      <c r="FJ8">
        <v>-2.4245362661989844E-14</v>
      </c>
      <c r="FL8">
        <v>-2.4245362661989844E-14</v>
      </c>
      <c r="FM8" t="s">
        <v>1753</v>
      </c>
      <c r="FN8">
        <v>2023</v>
      </c>
      <c r="FO8" t="s">
        <v>3088</v>
      </c>
      <c r="FP8" s="6">
        <v>45036</v>
      </c>
      <c r="FQ8">
        <v>5</v>
      </c>
      <c r="FR8">
        <v>-2.4245362661989844E-14</v>
      </c>
      <c r="FS8">
        <v>12925986</v>
      </c>
      <c r="FT8" t="s">
        <v>5728</v>
      </c>
      <c r="HC8" t="s">
        <v>5393</v>
      </c>
      <c r="HE8">
        <v>-2.4245362661989844E-14</v>
      </c>
      <c r="HF8">
        <v>-2.4245362661989844E-14</v>
      </c>
      <c r="HG8" t="s">
        <v>1753</v>
      </c>
      <c r="HH8">
        <v>2024</v>
      </c>
      <c r="HI8" t="s">
        <v>5394</v>
      </c>
      <c r="HJ8" s="6">
        <v>45770</v>
      </c>
      <c r="HK8">
        <v>5</v>
      </c>
      <c r="HL8">
        <v>-2.4245362661989844E-14</v>
      </c>
      <c r="HM8">
        <v>49647215</v>
      </c>
      <c r="HN8" t="s">
        <v>5395</v>
      </c>
      <c r="HQ8" t="s">
        <v>5266</v>
      </c>
      <c r="HR8">
        <v>4.4833210000000001</v>
      </c>
      <c r="HS8" t="s">
        <v>1752</v>
      </c>
      <c r="HT8">
        <v>1.430769</v>
      </c>
      <c r="HU8" t="s">
        <v>1788</v>
      </c>
      <c r="HV8">
        <v>2025</v>
      </c>
      <c r="HW8" t="s">
        <v>5262</v>
      </c>
      <c r="HX8" s="6">
        <v>45897</v>
      </c>
      <c r="HY8">
        <v>5</v>
      </c>
      <c r="HZ8">
        <v>31365314</v>
      </c>
      <c r="IA8">
        <v>53523229</v>
      </c>
      <c r="IB8" t="s">
        <v>5267</v>
      </c>
      <c r="MW8" t="s">
        <v>4808</v>
      </c>
      <c r="MX8" t="s">
        <v>1940</v>
      </c>
      <c r="MY8">
        <v>4.256977</v>
      </c>
      <c r="MZ8">
        <v>4.9215000000000002E-2</v>
      </c>
      <c r="NA8" t="s">
        <v>1753</v>
      </c>
      <c r="NB8">
        <v>2025</v>
      </c>
      <c r="NC8" t="s">
        <v>4809</v>
      </c>
      <c r="ND8" s="6">
        <v>46063</v>
      </c>
      <c r="NE8">
        <v>5</v>
      </c>
      <c r="NF8">
        <v>8579000</v>
      </c>
      <c r="NG8">
        <v>143096</v>
      </c>
      <c r="NH8" t="s">
        <v>4810</v>
      </c>
      <c r="NK8" t="s">
        <v>4678</v>
      </c>
      <c r="NL8">
        <v>-2.4245362661989844E-14</v>
      </c>
      <c r="NN8">
        <v>-2.4245362661989844E-14</v>
      </c>
      <c r="NO8" t="s">
        <v>1753</v>
      </c>
      <c r="NP8">
        <v>2023</v>
      </c>
      <c r="NQ8" t="s">
        <v>4679</v>
      </c>
      <c r="NR8" s="6">
        <v>45008</v>
      </c>
      <c r="NS8">
        <v>4</v>
      </c>
      <c r="NT8">
        <v>-2.4245362661989844E-14</v>
      </c>
      <c r="NU8">
        <v>11889410</v>
      </c>
      <c r="NV8" t="s">
        <v>4680</v>
      </c>
      <c r="OA8" t="s">
        <v>378</v>
      </c>
      <c r="OC8">
        <v>-2.4245362661989844E-14</v>
      </c>
      <c r="OD8">
        <v>-2.4245362661989844E-14</v>
      </c>
      <c r="OE8" t="s">
        <v>1753</v>
      </c>
      <c r="OF8">
        <v>2024</v>
      </c>
      <c r="OG8" t="s">
        <v>2238</v>
      </c>
      <c r="OH8" s="6">
        <v>45307</v>
      </c>
      <c r="OI8">
        <v>5</v>
      </c>
      <c r="OJ8">
        <v>-2.4245362661989844E-14</v>
      </c>
      <c r="OK8">
        <v>69423747</v>
      </c>
      <c r="OL8" t="s">
        <v>2158</v>
      </c>
      <c r="PE8" t="s">
        <v>1422</v>
      </c>
      <c r="PF8" t="s">
        <v>1752</v>
      </c>
      <c r="PG8">
        <v>1.1725810000000001</v>
      </c>
      <c r="PH8">
        <v>0.15703400000000001</v>
      </c>
      <c r="PI8" t="s">
        <v>1781</v>
      </c>
      <c r="PJ8">
        <v>2026</v>
      </c>
      <c r="PK8" t="s">
        <v>1906</v>
      </c>
      <c r="PL8" s="6">
        <v>46051</v>
      </c>
      <c r="PM8">
        <v>5</v>
      </c>
      <c r="PN8">
        <v>4510016</v>
      </c>
      <c r="PO8">
        <v>225757</v>
      </c>
      <c r="PP8" t="s">
        <v>3065</v>
      </c>
      <c r="PS8" t="s">
        <v>1883</v>
      </c>
      <c r="PT8">
        <v>6.6940000000000003E-3</v>
      </c>
      <c r="PU8" t="s">
        <v>1752</v>
      </c>
      <c r="PV8">
        <v>5.5948409999999997</v>
      </c>
      <c r="PW8" t="s">
        <v>1753</v>
      </c>
      <c r="PX8">
        <v>2024</v>
      </c>
      <c r="PY8" t="s">
        <v>1884</v>
      </c>
      <c r="PZ8" s="6">
        <v>45819</v>
      </c>
      <c r="QA8">
        <v>5</v>
      </c>
      <c r="QB8">
        <v>402911.11</v>
      </c>
      <c r="QC8">
        <v>15291339</v>
      </c>
      <c r="QD8" t="s">
        <v>1885</v>
      </c>
      <c r="QI8" t="s">
        <v>5782</v>
      </c>
      <c r="QK8">
        <v>-2.4245362661989844E-14</v>
      </c>
      <c r="QL8">
        <v>-2.4245362661989844E-14</v>
      </c>
      <c r="QM8" t="s">
        <v>1781</v>
      </c>
      <c r="QN8">
        <v>2024</v>
      </c>
      <c r="QO8" t="s">
        <v>5783</v>
      </c>
      <c r="QP8" s="6">
        <v>45175</v>
      </c>
      <c r="QQ8">
        <v>5</v>
      </c>
      <c r="QR8">
        <v>-2.4245362661989844E-14</v>
      </c>
      <c r="QS8">
        <v>126987</v>
      </c>
      <c r="QT8" t="s">
        <v>5784</v>
      </c>
      <c r="QW8" t="s">
        <v>3396</v>
      </c>
      <c r="QX8">
        <v>-2.4245362661989844E-14</v>
      </c>
      <c r="QZ8">
        <v>-2.4245362661989844E-14</v>
      </c>
      <c r="RA8" t="s">
        <v>1753</v>
      </c>
      <c r="RB8">
        <v>2022</v>
      </c>
      <c r="RC8" t="s">
        <v>3397</v>
      </c>
      <c r="RD8" s="6">
        <v>45055</v>
      </c>
      <c r="RE8">
        <v>5</v>
      </c>
      <c r="RF8">
        <v>-2.4245362661989844E-14</v>
      </c>
      <c r="RG8">
        <v>9152714</v>
      </c>
      <c r="RH8" t="s">
        <v>3398</v>
      </c>
      <c r="SQ8" t="s">
        <v>2681</v>
      </c>
      <c r="SR8" t="s">
        <v>1752</v>
      </c>
      <c r="SS8">
        <v>0.39032499999999998</v>
      </c>
      <c r="ST8">
        <v>0.35400799999999999</v>
      </c>
      <c r="SU8" t="s">
        <v>1774</v>
      </c>
      <c r="SV8">
        <v>2025</v>
      </c>
      <c r="SW8" t="s">
        <v>2682</v>
      </c>
      <c r="SX8" s="6">
        <v>45869</v>
      </c>
      <c r="SY8">
        <v>5</v>
      </c>
      <c r="SZ8">
        <v>24647072</v>
      </c>
      <c r="TA8">
        <v>101341</v>
      </c>
      <c r="TB8" t="s">
        <v>2683</v>
      </c>
      <c r="TU8" t="s">
        <v>2689</v>
      </c>
      <c r="TW8">
        <v>-2.4245362661989844E-14</v>
      </c>
      <c r="TX8">
        <v>-2.4245362661989844E-14</v>
      </c>
      <c r="TY8" t="s">
        <v>1753</v>
      </c>
      <c r="TZ8">
        <v>2025</v>
      </c>
      <c r="UA8" t="s">
        <v>3408</v>
      </c>
      <c r="UB8" s="6">
        <v>46072</v>
      </c>
      <c r="UC8">
        <v>5</v>
      </c>
      <c r="UD8">
        <v>-2.4245362661989844E-14</v>
      </c>
      <c r="UE8">
        <v>957754</v>
      </c>
      <c r="UF8" t="s">
        <v>2690</v>
      </c>
      <c r="UI8" t="s">
        <v>3825</v>
      </c>
      <c r="UJ8">
        <v>-2.4245362661989844E-14</v>
      </c>
      <c r="UL8">
        <v>-2.4245362661989844E-14</v>
      </c>
      <c r="UM8" t="s">
        <v>1753</v>
      </c>
      <c r="UN8">
        <v>2022</v>
      </c>
      <c r="UO8" t="s">
        <v>3822</v>
      </c>
      <c r="UP8" s="6">
        <v>44712</v>
      </c>
      <c r="UQ8">
        <v>5</v>
      </c>
      <c r="UR8">
        <v>-2.4245362661989844E-14</v>
      </c>
      <c r="US8">
        <v>136160</v>
      </c>
      <c r="UT8" t="s">
        <v>3826</v>
      </c>
    </row>
    <row r="9" spans="1:600" x14ac:dyDescent="0.25">
      <c r="A9" t="s">
        <v>4296</v>
      </c>
      <c r="B9" t="s">
        <v>1752</v>
      </c>
      <c r="C9">
        <v>20.831755000000001</v>
      </c>
      <c r="D9">
        <v>6.0926169999999997</v>
      </c>
      <c r="E9" t="s">
        <v>1781</v>
      </c>
      <c r="F9">
        <v>2025</v>
      </c>
      <c r="G9" t="s">
        <v>4297</v>
      </c>
      <c r="H9" s="6">
        <v>45812</v>
      </c>
      <c r="I9">
        <v>5</v>
      </c>
      <c r="J9">
        <v>3075670322.9000001</v>
      </c>
      <c r="K9">
        <v>330541</v>
      </c>
      <c r="L9" t="s">
        <v>4298</v>
      </c>
      <c r="O9" t="s">
        <v>4840</v>
      </c>
      <c r="P9">
        <v>1.494286</v>
      </c>
      <c r="Q9" t="s">
        <v>1752</v>
      </c>
      <c r="R9">
        <v>21.612691999999999</v>
      </c>
      <c r="S9" t="s">
        <v>1774</v>
      </c>
      <c r="T9">
        <v>2025</v>
      </c>
      <c r="U9" t="s">
        <v>4837</v>
      </c>
      <c r="V9" s="6">
        <v>45789</v>
      </c>
      <c r="W9">
        <v>5</v>
      </c>
      <c r="X9">
        <v>1424936192</v>
      </c>
      <c r="Y9">
        <v>101605</v>
      </c>
      <c r="Z9" t="s">
        <v>4841</v>
      </c>
      <c r="CM9" t="s">
        <v>4551</v>
      </c>
      <c r="CO9">
        <v>-2.4245362661989844E-14</v>
      </c>
      <c r="CP9">
        <v>-2.4245362661989844E-14</v>
      </c>
      <c r="CQ9" t="s">
        <v>1781</v>
      </c>
      <c r="CR9">
        <v>2024</v>
      </c>
      <c r="CS9" t="s">
        <v>4543</v>
      </c>
      <c r="CT9" s="6">
        <v>45447</v>
      </c>
      <c r="CU9">
        <v>5</v>
      </c>
      <c r="CV9">
        <v>-2.4245362661989844E-14</v>
      </c>
      <c r="CW9">
        <v>64841808</v>
      </c>
      <c r="CX9" t="s">
        <v>4552</v>
      </c>
      <c r="DA9" t="s">
        <v>560</v>
      </c>
      <c r="DB9">
        <v>2.0274320000000001</v>
      </c>
      <c r="DC9" t="s">
        <v>2407</v>
      </c>
      <c r="DD9">
        <v>0.84310399999999996</v>
      </c>
      <c r="DE9" t="s">
        <v>1774</v>
      </c>
      <c r="DF9">
        <v>2025</v>
      </c>
      <c r="DG9" t="s">
        <v>2410</v>
      </c>
      <c r="DH9" s="6">
        <v>45921</v>
      </c>
      <c r="DI9">
        <v>5</v>
      </c>
      <c r="DJ9">
        <v>20925836</v>
      </c>
      <c r="DK9">
        <v>101166</v>
      </c>
      <c r="DL9" t="s">
        <v>2211</v>
      </c>
      <c r="DQ9" t="s">
        <v>5853</v>
      </c>
      <c r="DS9">
        <v>-2.4245362661989844E-14</v>
      </c>
      <c r="DT9">
        <v>-2.4245362661989844E-14</v>
      </c>
      <c r="DU9" t="s">
        <v>1753</v>
      </c>
      <c r="DV9">
        <v>2025</v>
      </c>
      <c r="DW9" t="s">
        <v>5854</v>
      </c>
      <c r="DX9" s="6">
        <v>45912</v>
      </c>
      <c r="DY9">
        <v>5</v>
      </c>
      <c r="DZ9">
        <v>-2.4245362661989844E-14</v>
      </c>
      <c r="EA9">
        <v>1499400</v>
      </c>
      <c r="EB9" t="s">
        <v>5855</v>
      </c>
      <c r="EE9" t="s">
        <v>5829</v>
      </c>
      <c r="EF9">
        <v>-2.4245362661989844E-14</v>
      </c>
      <c r="EH9">
        <v>-2.4245362661989844E-14</v>
      </c>
      <c r="EI9" t="s">
        <v>1781</v>
      </c>
      <c r="EJ9">
        <v>2023</v>
      </c>
      <c r="EK9" t="s">
        <v>5823</v>
      </c>
      <c r="EL9" s="6">
        <v>44879</v>
      </c>
      <c r="EM9">
        <v>5</v>
      </c>
      <c r="EN9">
        <v>-2.4245362661989844E-14</v>
      </c>
      <c r="EO9">
        <v>962232</v>
      </c>
      <c r="EP9" t="s">
        <v>5830</v>
      </c>
      <c r="EU9" t="s">
        <v>523</v>
      </c>
      <c r="EW9">
        <v>-2.4245362661989844E-14</v>
      </c>
      <c r="EX9">
        <v>-2.4245362661989844E-14</v>
      </c>
      <c r="EY9" t="s">
        <v>1753</v>
      </c>
      <c r="EZ9">
        <v>2023</v>
      </c>
      <c r="FA9" t="s">
        <v>3088</v>
      </c>
      <c r="FB9" s="6">
        <v>45028</v>
      </c>
      <c r="FC9">
        <v>5</v>
      </c>
      <c r="FD9">
        <v>-2.4245362661989844E-14</v>
      </c>
      <c r="FE9">
        <v>69491275</v>
      </c>
      <c r="FF9" t="s">
        <v>3096</v>
      </c>
      <c r="FI9" t="s">
        <v>5729</v>
      </c>
      <c r="FJ9">
        <v>-2.4245362661989844E-14</v>
      </c>
      <c r="FL9">
        <v>-2.4245362661989844E-14</v>
      </c>
      <c r="FM9" t="s">
        <v>1753</v>
      </c>
      <c r="FN9">
        <v>2023</v>
      </c>
      <c r="FO9" t="s">
        <v>3088</v>
      </c>
      <c r="FP9" s="6">
        <v>45036</v>
      </c>
      <c r="FQ9">
        <v>5</v>
      </c>
      <c r="FR9">
        <v>-2.4245362661989844E-14</v>
      </c>
      <c r="FS9">
        <v>60548995</v>
      </c>
      <c r="FT9" t="s">
        <v>5730</v>
      </c>
      <c r="HC9" t="s">
        <v>5396</v>
      </c>
      <c r="HE9">
        <v>-2.4245362661989844E-14</v>
      </c>
      <c r="HF9">
        <v>-2.4245362661989844E-14</v>
      </c>
      <c r="HG9" t="s">
        <v>1788</v>
      </c>
      <c r="HH9">
        <v>2024</v>
      </c>
      <c r="HI9" t="s">
        <v>5397</v>
      </c>
      <c r="HJ9" s="6">
        <v>45608</v>
      </c>
      <c r="HK9">
        <v>5</v>
      </c>
      <c r="HL9">
        <v>-2.4245362661989844E-14</v>
      </c>
      <c r="HM9">
        <v>11340004</v>
      </c>
      <c r="HN9" t="s">
        <v>5398</v>
      </c>
      <c r="HQ9" t="s">
        <v>2797</v>
      </c>
      <c r="HR9">
        <v>1.9966140000000001</v>
      </c>
      <c r="HS9" t="s">
        <v>1752</v>
      </c>
      <c r="HT9">
        <v>7.8021999999999994E-2</v>
      </c>
      <c r="HU9" t="s">
        <v>1788</v>
      </c>
      <c r="HV9">
        <v>2025</v>
      </c>
      <c r="HW9" t="s">
        <v>5262</v>
      </c>
      <c r="HX9" s="6">
        <v>45897</v>
      </c>
      <c r="HY9">
        <v>5</v>
      </c>
      <c r="HZ9">
        <v>13968312</v>
      </c>
      <c r="IA9">
        <v>100436</v>
      </c>
      <c r="IB9" t="s">
        <v>2798</v>
      </c>
      <c r="MW9" t="s">
        <v>4485</v>
      </c>
      <c r="MY9">
        <v>0.824349</v>
      </c>
      <c r="MZ9">
        <v>-2.4245362661989844E-14</v>
      </c>
      <c r="NA9" t="s">
        <v>1788</v>
      </c>
      <c r="NB9">
        <v>2025</v>
      </c>
      <c r="NC9" t="s">
        <v>4824</v>
      </c>
      <c r="ND9" s="6">
        <v>45996</v>
      </c>
      <c r="NE9">
        <v>5</v>
      </c>
      <c r="NF9">
        <v>7184285</v>
      </c>
      <c r="NG9">
        <v>225275</v>
      </c>
      <c r="NH9" t="s">
        <v>4487</v>
      </c>
      <c r="OA9" t="s">
        <v>2239</v>
      </c>
      <c r="OC9">
        <v>-2.4245362661989844E-14</v>
      </c>
      <c r="OD9">
        <v>-2.4245362661989844E-14</v>
      </c>
      <c r="OE9" t="s">
        <v>1753</v>
      </c>
      <c r="OF9">
        <v>2023</v>
      </c>
      <c r="OG9" t="s">
        <v>2240</v>
      </c>
      <c r="OH9" s="6">
        <v>45301</v>
      </c>
      <c r="OI9">
        <v>5</v>
      </c>
      <c r="OJ9">
        <v>-2.4245362661989844E-14</v>
      </c>
      <c r="OK9">
        <v>57811522</v>
      </c>
      <c r="OL9" t="s">
        <v>2241</v>
      </c>
      <c r="PE9" t="s">
        <v>2125</v>
      </c>
      <c r="PF9" t="s">
        <v>1940</v>
      </c>
      <c r="PG9">
        <v>5.9742000000000003E-2</v>
      </c>
      <c r="PH9">
        <v>0.18884000000000001</v>
      </c>
      <c r="PI9" t="s">
        <v>1774</v>
      </c>
      <c r="PJ9">
        <v>2025</v>
      </c>
      <c r="PK9" t="s">
        <v>2126</v>
      </c>
      <c r="PL9" s="6">
        <v>45838</v>
      </c>
      <c r="PM9">
        <v>5</v>
      </c>
      <c r="PN9">
        <v>3508648</v>
      </c>
      <c r="PO9">
        <v>101689</v>
      </c>
      <c r="PP9" t="s">
        <v>2127</v>
      </c>
      <c r="PS9" t="s">
        <v>3768</v>
      </c>
      <c r="PT9">
        <v>5.1640000000000002E-3</v>
      </c>
      <c r="PU9" t="s">
        <v>1752</v>
      </c>
      <c r="PV9">
        <v>5.0558560000000003</v>
      </c>
      <c r="PW9" t="s">
        <v>1753</v>
      </c>
      <c r="PX9">
        <v>2024</v>
      </c>
      <c r="PY9" t="s">
        <v>3769</v>
      </c>
      <c r="PZ9" s="6">
        <v>45814</v>
      </c>
      <c r="QA9">
        <v>5</v>
      </c>
      <c r="QB9">
        <v>310853.61</v>
      </c>
      <c r="QC9">
        <v>36034450</v>
      </c>
      <c r="QD9" t="s">
        <v>3770</v>
      </c>
      <c r="QI9" t="s">
        <v>5785</v>
      </c>
      <c r="QK9">
        <v>-2.4245362661989844E-14</v>
      </c>
      <c r="QL9">
        <v>-2.4245362661989844E-14</v>
      </c>
      <c r="QM9" t="s">
        <v>1753</v>
      </c>
      <c r="QN9">
        <v>2022</v>
      </c>
      <c r="QO9" t="s">
        <v>5786</v>
      </c>
      <c r="QP9" s="6">
        <v>45033</v>
      </c>
      <c r="QQ9">
        <v>5</v>
      </c>
      <c r="QR9">
        <v>-2.4245362661989844E-14</v>
      </c>
      <c r="QS9">
        <v>7360919</v>
      </c>
      <c r="QT9" t="s">
        <v>5787</v>
      </c>
      <c r="QW9" t="s">
        <v>3399</v>
      </c>
      <c r="QX9">
        <v>-2.4245362661989844E-14</v>
      </c>
      <c r="QZ9">
        <v>-2.4245362661989844E-14</v>
      </c>
      <c r="RA9" t="s">
        <v>1753</v>
      </c>
      <c r="RB9">
        <v>2022</v>
      </c>
      <c r="RC9" t="s">
        <v>3400</v>
      </c>
      <c r="RD9" s="6">
        <v>45075</v>
      </c>
      <c r="RE9">
        <v>5</v>
      </c>
      <c r="RF9">
        <v>-2.4245362661989844E-14</v>
      </c>
      <c r="RG9">
        <v>17157811</v>
      </c>
      <c r="RH9" t="s">
        <v>3401</v>
      </c>
      <c r="SQ9" t="s">
        <v>2684</v>
      </c>
      <c r="SR9" t="s">
        <v>1752</v>
      </c>
      <c r="SS9">
        <v>1.1846829999999999</v>
      </c>
      <c r="ST9">
        <v>0.20474999999999999</v>
      </c>
      <c r="SU9" t="s">
        <v>1774</v>
      </c>
      <c r="SV9">
        <v>2025</v>
      </c>
      <c r="SW9" t="s">
        <v>2685</v>
      </c>
      <c r="SX9" s="6">
        <v>45876</v>
      </c>
      <c r="SY9">
        <v>5</v>
      </c>
      <c r="SZ9">
        <v>14255291</v>
      </c>
      <c r="TA9">
        <v>23071317</v>
      </c>
      <c r="TB9" t="s">
        <v>2686</v>
      </c>
      <c r="TU9" t="s">
        <v>2304</v>
      </c>
      <c r="TW9">
        <v>-2.4245362661989844E-14</v>
      </c>
      <c r="TX9">
        <v>-2.4245362661989844E-14</v>
      </c>
      <c r="TY9" t="s">
        <v>1753</v>
      </c>
      <c r="TZ9">
        <v>2021</v>
      </c>
      <c r="UA9" t="s">
        <v>2305</v>
      </c>
      <c r="UB9" s="6">
        <v>44693</v>
      </c>
      <c r="UC9">
        <v>5</v>
      </c>
      <c r="UD9">
        <v>-2.4245362661989844E-14</v>
      </c>
      <c r="UE9">
        <v>313098</v>
      </c>
      <c r="UF9" t="s">
        <v>2306</v>
      </c>
      <c r="UI9" t="s">
        <v>1960</v>
      </c>
      <c r="UJ9">
        <v>-2.4245362661989844E-14</v>
      </c>
      <c r="UL9">
        <v>-2.4245362661989844E-14</v>
      </c>
      <c r="UM9" t="s">
        <v>1781</v>
      </c>
      <c r="UN9">
        <v>2025</v>
      </c>
      <c r="UO9" t="s">
        <v>1961</v>
      </c>
      <c r="UP9" s="6">
        <v>45799</v>
      </c>
      <c r="UQ9">
        <v>5</v>
      </c>
      <c r="UR9">
        <v>-2.4245362661989844E-14</v>
      </c>
      <c r="US9">
        <v>313021</v>
      </c>
      <c r="UT9" t="s">
        <v>1962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503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504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505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506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507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508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509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510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511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512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513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514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515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516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517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518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519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520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521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522</v>
      </c>
      <c r="AE2" s="3" t="s">
        <v>523</v>
      </c>
      <c r="BI2" s="3" t="s">
        <v>524</v>
      </c>
      <c r="CM2" s="3" t="s">
        <v>448</v>
      </c>
      <c r="DQ2" s="3" t="s">
        <v>525</v>
      </c>
      <c r="EU2" s="3" t="s">
        <v>114</v>
      </c>
      <c r="FY2" s="3" t="s">
        <v>526</v>
      </c>
      <c r="HC2" s="3" t="s">
        <v>527</v>
      </c>
      <c r="IG2" s="3" t="s">
        <v>528</v>
      </c>
      <c r="JK2" s="3" t="s">
        <v>529</v>
      </c>
      <c r="KO2" s="3" t="s">
        <v>530</v>
      </c>
      <c r="LS2" s="3" t="s">
        <v>531</v>
      </c>
      <c r="MW2" s="3" t="s">
        <v>312</v>
      </c>
      <c r="OA2" s="3" t="s">
        <v>532</v>
      </c>
      <c r="PE2" s="3" t="s">
        <v>533</v>
      </c>
      <c r="QI2" s="3" t="s">
        <v>303</v>
      </c>
      <c r="RM2" s="3" t="s">
        <v>123</v>
      </c>
      <c r="SQ2" s="3" t="s">
        <v>534</v>
      </c>
      <c r="TU2" s="3" t="s">
        <v>535</v>
      </c>
      <c r="UY2" s="3" t="s">
        <v>536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_xll.BDS("NKE US Equity","SUPPLY_CHAIN_SUPPLIERS_ALL_DATA","cols=12;rows=5")</f>
        <v>551 HK Equity</v>
      </c>
      <c r="B5" t="s">
        <v>1752</v>
      </c>
      <c r="C5">
        <v>26.230157999999999</v>
      </c>
      <c r="D5">
        <v>7.2683340000000003</v>
      </c>
      <c r="E5" t="s">
        <v>1788</v>
      </c>
      <c r="F5">
        <v>2025</v>
      </c>
      <c r="G5" t="s">
        <v>4726</v>
      </c>
      <c r="H5" s="6">
        <v>46058</v>
      </c>
      <c r="I5">
        <v>5</v>
      </c>
      <c r="J5">
        <v>536548448</v>
      </c>
      <c r="K5">
        <v>116620</v>
      </c>
      <c r="L5" t="s">
        <v>4727</v>
      </c>
      <c r="O5" t="str">
        <f>_xll.BDS("NKE US Equity","SUPPLY_CHAIN_CUSTOMERS_ALL_DATA","cols=12;rows=5")</f>
        <v>FL US Equity</v>
      </c>
      <c r="P5">
        <v>6.6928559999999999</v>
      </c>
      <c r="Q5" t="s">
        <v>1752</v>
      </c>
      <c r="R5">
        <v>58.923274999999997</v>
      </c>
      <c r="S5" t="s">
        <v>1788</v>
      </c>
      <c r="T5">
        <v>2025</v>
      </c>
      <c r="U5" t="s">
        <v>2440</v>
      </c>
      <c r="V5" s="6">
        <v>45832</v>
      </c>
      <c r="W5">
        <v>5</v>
      </c>
      <c r="X5">
        <v>754217920</v>
      </c>
      <c r="Y5">
        <v>101672</v>
      </c>
      <c r="Z5" t="s">
        <v>5144</v>
      </c>
      <c r="AE5" t="str">
        <f>_xll.BDS("APO US Equity","SUPPLY_CHAIN_SUPPLIERS_ALL_DATA","cols=12;rows=5")</f>
        <v>PG US Equity</v>
      </c>
      <c r="AF5" t="s">
        <v>1752</v>
      </c>
      <c r="AG5">
        <v>0.57909100000000002</v>
      </c>
      <c r="AH5">
        <v>2.1118830000000002</v>
      </c>
      <c r="AI5" t="s">
        <v>1781</v>
      </c>
      <c r="AJ5">
        <v>2025</v>
      </c>
      <c r="AK5" t="s">
        <v>3110</v>
      </c>
      <c r="AL5" s="6">
        <v>45679</v>
      </c>
      <c r="AM5">
        <v>5</v>
      </c>
      <c r="AN5">
        <v>121665568</v>
      </c>
      <c r="AO5">
        <v>101215</v>
      </c>
      <c r="AP5" t="s">
        <v>3111</v>
      </c>
      <c r="AS5" t="str">
        <f>_xll.BDS("APO US Equity","SUPPLY_CHAIN_CUSTOMERS_ALL_DATA","cols=12;rows=5")</f>
        <v>RTX US Equity</v>
      </c>
      <c r="AT5">
        <v>0.13495699999999999</v>
      </c>
      <c r="AU5" t="s">
        <v>1752</v>
      </c>
      <c r="AV5">
        <v>4.7856000000000003E-2</v>
      </c>
      <c r="AW5" t="s">
        <v>1781</v>
      </c>
      <c r="AX5">
        <v>2025</v>
      </c>
      <c r="AY5" t="s">
        <v>2515</v>
      </c>
      <c r="AZ5" s="6">
        <v>45798</v>
      </c>
      <c r="BA5">
        <v>5</v>
      </c>
      <c r="BB5">
        <v>7747886</v>
      </c>
      <c r="BC5">
        <v>101555</v>
      </c>
      <c r="BD5" t="s">
        <v>1909</v>
      </c>
      <c r="BI5" t="str">
        <f>_xll.BDS("CHCO US Equity","SUPPLY_CHAIN_SUPPLIERS_ALL_DATA")</f>
        <v>#N/A N/A</v>
      </c>
      <c r="BW5" t="str">
        <f>_xll.BDS("CHCO US Equity","SUPPLY_CHAIN_CUSTOMERS_ALL_DATA")</f>
        <v>#N/A N/A</v>
      </c>
      <c r="CM5" t="str">
        <f>_xll.BDS("BGCP US Equity","SUPPLY_CHAIN_SUPPLIERS_ALL_DATA")</f>
        <v>#N/A N/A</v>
      </c>
      <c r="DA5" t="str">
        <f>_xll.BDS("BGCP US Equity","SUPPLY_CHAIN_CUSTOMERS_ALL_DATA","cols=12;rows=1")</f>
        <v>PGTK US Equity</v>
      </c>
      <c r="DB5">
        <v>-2.4245362661989844E-14</v>
      </c>
      <c r="DD5">
        <v>-2.4245362661989844E-14</v>
      </c>
      <c r="DE5" t="s">
        <v>1753</v>
      </c>
      <c r="DF5">
        <v>2023</v>
      </c>
      <c r="DG5" t="s">
        <v>4540</v>
      </c>
      <c r="DH5" s="6">
        <v>45055</v>
      </c>
      <c r="DI5">
        <v>1</v>
      </c>
      <c r="DJ5">
        <v>-2.4245362661989844E-14</v>
      </c>
      <c r="DK5">
        <v>348937</v>
      </c>
      <c r="DL5" t="s">
        <v>4541</v>
      </c>
      <c r="DQ5" t="str">
        <f>_xll.BDS("HRC US Equity","SUPPLY_CHAIN_SUPPLIERS_ALL_DATA")</f>
        <v>#N/A N/A</v>
      </c>
      <c r="EE5" t="str">
        <f>_xll.BDS("HRC US Equity","SUPPLY_CHAIN_CUSTOMERS_ALL_DATA")</f>
        <v>#N/A N/A</v>
      </c>
      <c r="EU5" t="str">
        <f>_xll.BDS("JEF US Equity","SUPPLY_CHAIN_SUPPLIERS_ALL_DATA","cols=12;rows=5")</f>
        <v>000063 CH Equity</v>
      </c>
      <c r="EW5">
        <v>-2.4245362661989844E-14</v>
      </c>
      <c r="EX5">
        <v>-2.4245362661989844E-14</v>
      </c>
      <c r="EY5" t="s">
        <v>1753</v>
      </c>
      <c r="EZ5">
        <v>2025</v>
      </c>
      <c r="FA5" t="s">
        <v>3910</v>
      </c>
      <c r="FB5" s="6">
        <v>45904</v>
      </c>
      <c r="FC5">
        <v>5</v>
      </c>
      <c r="FD5">
        <v>-2.4245362661989844E-14</v>
      </c>
      <c r="FE5">
        <v>304299</v>
      </c>
      <c r="FF5" t="s">
        <v>3911</v>
      </c>
      <c r="FI5" t="str">
        <f>_xll.BDS("JEF US Equity","SUPPLY_CHAIN_CUSTOMERS_ALL_DATA")</f>
        <v>#N/A N/A</v>
      </c>
      <c r="FY5" t="str">
        <f>_xll.BDS("GKNT US Equity","SUPPLY_CHAIN_SUPPLIERS_ALL_DATA")</f>
        <v>#N/A N/A</v>
      </c>
      <c r="GM5" t="str">
        <f>_xll.BDS("GKNT US Equity","SUPPLY_CHAIN_CUSTOMERS_ALL_DATA")</f>
        <v>#N/A N/A</v>
      </c>
      <c r="HC5" t="str">
        <f>_xll.BDS("LGTO US Equity","SUPPLY_CHAIN_SUPPLIERS_ALL_DATA")</f>
        <v>#N/A N/A</v>
      </c>
      <c r="HQ5" t="str">
        <f>_xll.BDS("LGTO US Equity","SUPPLY_CHAIN_CUSTOMERS_ALL_DATA","cols=12;rows=1")</f>
        <v>256811Z US Equity</v>
      </c>
      <c r="HR5">
        <v>-2.4245362661989844E-14</v>
      </c>
      <c r="HT5">
        <v>-2.4245362661989844E-14</v>
      </c>
      <c r="HU5" t="s">
        <v>1753</v>
      </c>
      <c r="HV5">
        <v>2024</v>
      </c>
      <c r="HW5" t="s">
        <v>5555</v>
      </c>
      <c r="HX5" s="6">
        <v>45560</v>
      </c>
      <c r="HY5">
        <v>1</v>
      </c>
      <c r="HZ5">
        <v>-2.4245362661989844E-14</v>
      </c>
      <c r="IA5">
        <v>8122227</v>
      </c>
      <c r="IB5" t="s">
        <v>5556</v>
      </c>
      <c r="IG5" t="str">
        <f>_xll.BDS("CG US Equity","SUPPLY_CHAIN_SUPPLIERS_ALL_DATA","cols=12;rows=5")</f>
        <v>SLG US Equity</v>
      </c>
      <c r="IH5" t="s">
        <v>1940</v>
      </c>
      <c r="II5">
        <v>2.3414929999999998</v>
      </c>
      <c r="IJ5">
        <v>0.61569499999999999</v>
      </c>
      <c r="IK5" t="s">
        <v>1753</v>
      </c>
      <c r="IL5">
        <v>2024</v>
      </c>
      <c r="IM5" t="s">
        <v>4467</v>
      </c>
      <c r="IN5" s="6">
        <v>45706</v>
      </c>
      <c r="IO5">
        <v>5</v>
      </c>
      <c r="IP5">
        <v>5187999</v>
      </c>
      <c r="IQ5">
        <v>231753</v>
      </c>
      <c r="IR5" t="s">
        <v>4468</v>
      </c>
      <c r="IU5" t="str">
        <f>_xll.BDS("CG US Equity","SUPPLY_CHAIN_CUSTOMERS_ALL_DATA","cols=12;rows=5")</f>
        <v>POOL US Equity</v>
      </c>
      <c r="IV5">
        <v>8.2254889999999996</v>
      </c>
      <c r="IW5" t="s">
        <v>1752</v>
      </c>
      <c r="IX5">
        <v>12</v>
      </c>
      <c r="IY5" t="s">
        <v>1753</v>
      </c>
      <c r="IZ5">
        <v>2024</v>
      </c>
      <c r="JA5" t="s">
        <v>4375</v>
      </c>
      <c r="JB5" s="6">
        <v>45715</v>
      </c>
      <c r="JC5">
        <v>5</v>
      </c>
      <c r="JD5">
        <v>112068176</v>
      </c>
      <c r="JE5">
        <v>171077</v>
      </c>
      <c r="JF5" t="s">
        <v>4376</v>
      </c>
      <c r="JK5" t="str">
        <f>_xll.BDS("1709056D US Equity","SUPPLY_CHAIN_SUPPLIERS_ALL_DATA")</f>
        <v>#N/A N/A</v>
      </c>
      <c r="JY5" t="str">
        <f>_xll.BDS("1709056D US Equity","SUPPLY_CHAIN_CUSTOMERS_ALL_DATA")</f>
        <v>#N/A N/A</v>
      </c>
      <c r="KO5" t="str">
        <f>_xll.BDS("ACDC US Equity","SUPPLY_CHAIN_SUPPLIERS_ALL_DATA","cols=12;rows=3")</f>
        <v>FTK US Equity</v>
      </c>
      <c r="KP5" t="s">
        <v>1828</v>
      </c>
      <c r="KQ5">
        <v>61.900002000000001</v>
      </c>
      <c r="KR5">
        <v>25.760674999999999</v>
      </c>
      <c r="KS5" t="s">
        <v>1753</v>
      </c>
      <c r="KT5">
        <v>2024</v>
      </c>
      <c r="KU5" t="s">
        <v>5240</v>
      </c>
      <c r="KV5" s="6">
        <v>45728</v>
      </c>
      <c r="KW5">
        <v>3</v>
      </c>
      <c r="KX5">
        <v>28942118</v>
      </c>
      <c r="KY5">
        <v>110054</v>
      </c>
      <c r="KZ5" t="s">
        <v>5241</v>
      </c>
      <c r="LC5" t="str">
        <f>_xll.BDS("ACDC US Equity","SUPPLY_CHAIN_CUSTOMERS_ALL_DATA","cols=12;rows=4")</f>
        <v>0689026D US Equity</v>
      </c>
      <c r="LD5">
        <v>-2.4245362661989844E-14</v>
      </c>
      <c r="LF5">
        <v>-2.4245362661989844E-14</v>
      </c>
      <c r="LG5" t="s">
        <v>1753</v>
      </c>
      <c r="LH5">
        <v>2021</v>
      </c>
      <c r="LI5" t="s">
        <v>5172</v>
      </c>
      <c r="LJ5" s="6">
        <v>44775</v>
      </c>
      <c r="LK5">
        <v>4</v>
      </c>
      <c r="LL5">
        <v>-2.4245362661989844E-14</v>
      </c>
      <c r="LM5">
        <v>33999394</v>
      </c>
      <c r="LN5" t="s">
        <v>5173</v>
      </c>
      <c r="LS5" t="str">
        <f>_xll.BDS("MRK US Equity","SUPPLY_CHAIN_SUPPLIERS_ALL_DATA","cols=12;rows=5")</f>
        <v>AZN LN Equity</v>
      </c>
      <c r="LT5" t="s">
        <v>1752</v>
      </c>
      <c r="LU5">
        <v>1.1917120000000001</v>
      </c>
      <c r="LV5">
        <v>4.272983</v>
      </c>
      <c r="LW5" t="s">
        <v>1753</v>
      </c>
      <c r="LX5">
        <v>2025</v>
      </c>
      <c r="LY5" t="s">
        <v>2575</v>
      </c>
      <c r="LZ5" s="6">
        <v>46077</v>
      </c>
      <c r="MA5">
        <v>5</v>
      </c>
      <c r="MB5">
        <v>175000000</v>
      </c>
      <c r="MC5">
        <v>111093</v>
      </c>
      <c r="MD5" t="s">
        <v>2576</v>
      </c>
      <c r="MG5" t="str">
        <f>_xll.BDS("MRK US Equity","SUPPLY_CHAIN_CUSTOMERS_ALL_DATA","cols=12;rows=5")</f>
        <v>COR US Equity</v>
      </c>
      <c r="MH5">
        <v>9.6931790000000007</v>
      </c>
      <c r="MI5" t="s">
        <v>1752</v>
      </c>
      <c r="MJ5">
        <v>2.073159</v>
      </c>
      <c r="MK5" t="s">
        <v>1788</v>
      </c>
      <c r="ML5">
        <v>2025</v>
      </c>
      <c r="MM5" t="s">
        <v>2495</v>
      </c>
      <c r="MN5" s="6">
        <v>45985</v>
      </c>
      <c r="MO5">
        <v>5</v>
      </c>
      <c r="MP5">
        <v>1674593664</v>
      </c>
      <c r="MQ5">
        <v>156969</v>
      </c>
      <c r="MR5" t="s">
        <v>2340</v>
      </c>
      <c r="MW5" t="str">
        <f>_xll.BDS("UMPQ US Equity","SUPPLY_CHAIN_SUPPLIERS_ALL_DATA")</f>
        <v>#N/A N/A</v>
      </c>
      <c r="NK5" t="str">
        <f>_xll.BDS("UMPQ US Equity","SUPPLY_CHAIN_CUSTOMERS_ALL_DATA")</f>
        <v>#N/A N/A</v>
      </c>
      <c r="OA5" t="str">
        <f>_xll.BDS("SANM US Equity","SUPPLY_CHAIN_SUPPLIERS_ALL_DATA","cols=12;rows=5")</f>
        <v>MU US Equity</v>
      </c>
      <c r="OB5" t="s">
        <v>1752</v>
      </c>
      <c r="OC5">
        <v>0.57996300000000001</v>
      </c>
      <c r="OD5">
        <v>2.6846100000000002</v>
      </c>
      <c r="OE5" t="s">
        <v>1781</v>
      </c>
      <c r="OF5">
        <v>2026</v>
      </c>
      <c r="OG5" t="s">
        <v>2281</v>
      </c>
      <c r="OH5" s="6">
        <v>46079</v>
      </c>
      <c r="OI5">
        <v>5</v>
      </c>
      <c r="OJ5">
        <v>79124352</v>
      </c>
      <c r="OK5">
        <v>100995</v>
      </c>
      <c r="OL5" t="s">
        <v>2282</v>
      </c>
      <c r="OO5" t="str">
        <f>_xll.BDS("SANM US Equity","SUPPLY_CHAIN_CUSTOMERS_ALL_DATA","cols=12;rows=5")</f>
        <v>MSI US Equity</v>
      </c>
      <c r="OP5">
        <v>11.295623000000001</v>
      </c>
      <c r="OQ5" t="s">
        <v>1752</v>
      </c>
      <c r="OR5">
        <v>18.250340999999999</v>
      </c>
      <c r="OS5" t="s">
        <v>1774</v>
      </c>
      <c r="OT5">
        <v>2025</v>
      </c>
      <c r="OU5" t="s">
        <v>2520</v>
      </c>
      <c r="OV5" s="6">
        <v>45791</v>
      </c>
      <c r="OW5">
        <v>5</v>
      </c>
      <c r="OX5">
        <v>224114192</v>
      </c>
      <c r="OY5">
        <v>101021</v>
      </c>
      <c r="OZ5" t="s">
        <v>4231</v>
      </c>
      <c r="PE5" t="str">
        <f>_xll.BDS("MKSI US Equity","SUPPLY_CHAIN_SUPPLIERS_ALL_DATA","cols=12;rows=5")</f>
        <v>LASR US Equity</v>
      </c>
      <c r="PF5" t="s">
        <v>1752</v>
      </c>
      <c r="PG5">
        <v>1.6989019999999999</v>
      </c>
      <c r="PH5">
        <v>0.21515799999999999</v>
      </c>
      <c r="PI5" t="s">
        <v>1788</v>
      </c>
      <c r="PJ5">
        <v>2025</v>
      </c>
      <c r="PK5" t="s">
        <v>4078</v>
      </c>
      <c r="PL5" s="6">
        <v>46003</v>
      </c>
      <c r="PM5">
        <v>5</v>
      </c>
      <c r="PN5">
        <v>1133881</v>
      </c>
      <c r="PO5">
        <v>26876165</v>
      </c>
      <c r="PP5" t="s">
        <v>4079</v>
      </c>
      <c r="PS5" t="str">
        <f>_xll.BDS("MKSI US Equity","SUPPLY_CHAIN_CUSTOMERS_ALL_DATA","cols=12;rows=5")</f>
        <v>LRCX US Equity</v>
      </c>
      <c r="PT5">
        <v>9.3821600000000007</v>
      </c>
      <c r="PU5" t="s">
        <v>1752</v>
      </c>
      <c r="PV5">
        <v>3.6491760000000002</v>
      </c>
      <c r="PW5" t="s">
        <v>1781</v>
      </c>
      <c r="PX5">
        <v>2025</v>
      </c>
      <c r="PY5" t="s">
        <v>3838</v>
      </c>
      <c r="PZ5" s="6">
        <v>45813</v>
      </c>
      <c r="QA5">
        <v>5</v>
      </c>
      <c r="QB5">
        <v>87817016</v>
      </c>
      <c r="QC5">
        <v>105120</v>
      </c>
      <c r="QD5" t="s">
        <v>3839</v>
      </c>
      <c r="QI5" t="str">
        <f>_xll.BDS("NOV US Equity","SUPPLY_CHAIN_SUPPLIERS_ALL_DATA","cols=12;rows=5")</f>
        <v>OERL SW Equity</v>
      </c>
      <c r="QJ5" t="s">
        <v>1752</v>
      </c>
      <c r="QK5">
        <v>0.48962800000000001</v>
      </c>
      <c r="QL5">
        <v>0.18532199999999999</v>
      </c>
      <c r="QM5" t="s">
        <v>1825</v>
      </c>
      <c r="QN5">
        <v>2024</v>
      </c>
      <c r="QO5" t="s">
        <v>2248</v>
      </c>
      <c r="QP5" s="6">
        <v>45719</v>
      </c>
      <c r="QQ5">
        <v>5</v>
      </c>
      <c r="QR5">
        <v>3366520.82</v>
      </c>
      <c r="QS5">
        <v>117826</v>
      </c>
      <c r="QT5" t="s">
        <v>2249</v>
      </c>
      <c r="QW5" t="str">
        <f>_xll.BDS("NOV US Equity","SUPPLY_CHAIN_CUSTOMERS_ALL_DATA","cols=12;rows=5")</f>
        <v>329180 KS Equity</v>
      </c>
      <c r="QX5">
        <v>-2.4245362661989844E-14</v>
      </c>
      <c r="QZ5">
        <v>-2.4245362661989844E-14</v>
      </c>
      <c r="RA5" t="s">
        <v>1768</v>
      </c>
      <c r="RB5">
        <v>2022</v>
      </c>
      <c r="RC5" t="s">
        <v>5335</v>
      </c>
      <c r="RD5" s="6">
        <v>44879</v>
      </c>
      <c r="RE5">
        <v>5</v>
      </c>
      <c r="RF5">
        <v>-2.4245362661989844E-14</v>
      </c>
      <c r="RG5">
        <v>65893902</v>
      </c>
      <c r="RH5" t="s">
        <v>5336</v>
      </c>
      <c r="RM5" t="str">
        <f>_xll.BDS("PBCT US Equity","SUPPLY_CHAIN_SUPPLIERS_ALL_DATA")</f>
        <v>#N/A N/A</v>
      </c>
      <c r="SA5" t="str">
        <f>_xll.BDS("PBCT US Equity","SUPPLY_CHAIN_CUSTOMERS_ALL_DATA")</f>
        <v>#N/A N/A</v>
      </c>
      <c r="SQ5" t="str">
        <f>_xll.BDS("540513Q US Equity","SUPPLY_CHAIN_SUPPLIERS_ALL_DATA")</f>
        <v>#N/A N/A</v>
      </c>
      <c r="TE5" t="str">
        <f>_xll.BDS("540513Q US Equity","SUPPLY_CHAIN_CUSTOMERS_ALL_DATA")</f>
        <v>#N/A N/A</v>
      </c>
      <c r="TU5" t="str">
        <f>_xll.BDS("SONE US Equity","SUPPLY_CHAIN_SUPPLIERS_ALL_DATA")</f>
        <v>#N/A N/A</v>
      </c>
      <c r="UI5" t="str">
        <f>_xll.BDS("SONE US Equity","SUPPLY_CHAIN_CUSTOMERS_ALL_DATA")</f>
        <v>#N/A N/A</v>
      </c>
      <c r="UY5" t="str">
        <f>_xll.BDS("CBCGQ US Equity","SUPPLY_CHAIN_SUPPLIERS_ALL_DATA")</f>
        <v>#N/A N/A</v>
      </c>
      <c r="VM5" t="str">
        <f>_xll.BDS("CBCGQ US Equity","SUPPLY_CHAIN_CUSTOMERS_ALL_DATA")</f>
        <v>#N/A N/A</v>
      </c>
    </row>
    <row r="6" spans="1:600" x14ac:dyDescent="0.25">
      <c r="A6" t="s">
        <v>5220</v>
      </c>
      <c r="B6" t="s">
        <v>1752</v>
      </c>
      <c r="C6">
        <v>27.860823</v>
      </c>
      <c r="D6">
        <v>4.5457299999999998</v>
      </c>
      <c r="E6" t="s">
        <v>1774</v>
      </c>
      <c r="F6">
        <v>2025</v>
      </c>
      <c r="G6" t="s">
        <v>5221</v>
      </c>
      <c r="H6" s="6">
        <v>45889</v>
      </c>
      <c r="I6">
        <v>5</v>
      </c>
      <c r="J6">
        <v>302243930.48000002</v>
      </c>
      <c r="K6">
        <v>10077368</v>
      </c>
      <c r="L6" t="s">
        <v>5222</v>
      </c>
      <c r="O6" t="s">
        <v>346</v>
      </c>
      <c r="P6">
        <v>5.2345969999999999</v>
      </c>
      <c r="Q6" t="s">
        <v>1752</v>
      </c>
      <c r="R6">
        <v>22.013415999999999</v>
      </c>
      <c r="S6" t="s">
        <v>1774</v>
      </c>
      <c r="T6">
        <v>2025</v>
      </c>
      <c r="U6" t="s">
        <v>2440</v>
      </c>
      <c r="V6" s="6">
        <v>46020</v>
      </c>
      <c r="W6">
        <v>5</v>
      </c>
      <c r="X6">
        <v>613494784</v>
      </c>
      <c r="Y6">
        <v>1133363</v>
      </c>
      <c r="Z6" t="s">
        <v>2328</v>
      </c>
      <c r="AE6" t="s">
        <v>3112</v>
      </c>
      <c r="AF6" t="s">
        <v>1752</v>
      </c>
      <c r="AG6">
        <v>2.3059889999999998</v>
      </c>
      <c r="AH6">
        <v>1.5310429999999999</v>
      </c>
      <c r="AI6" t="s">
        <v>1781</v>
      </c>
      <c r="AJ6">
        <v>2025</v>
      </c>
      <c r="AK6" t="s">
        <v>3113</v>
      </c>
      <c r="AL6" s="6">
        <v>45834</v>
      </c>
      <c r="AM6">
        <v>5</v>
      </c>
      <c r="AN6">
        <v>65559268</v>
      </c>
      <c r="AO6">
        <v>100803</v>
      </c>
      <c r="AP6" t="s">
        <v>3114</v>
      </c>
      <c r="AS6" t="s">
        <v>1969</v>
      </c>
      <c r="AT6">
        <v>0.10491399999999999</v>
      </c>
      <c r="AU6" t="s">
        <v>1752</v>
      </c>
      <c r="AV6">
        <v>5.4052999999999997E-2</v>
      </c>
      <c r="AW6" t="s">
        <v>1774</v>
      </c>
      <c r="AX6">
        <v>2025</v>
      </c>
      <c r="AY6" t="s">
        <v>1970</v>
      </c>
      <c r="AZ6" s="6">
        <v>45876</v>
      </c>
      <c r="BA6">
        <v>5</v>
      </c>
      <c r="BB6">
        <v>6023126</v>
      </c>
      <c r="BC6">
        <v>100285</v>
      </c>
      <c r="BD6" t="s">
        <v>1971</v>
      </c>
      <c r="EU6" t="s">
        <v>3912</v>
      </c>
      <c r="EW6">
        <v>-2.4245362661989844E-14</v>
      </c>
      <c r="EX6">
        <v>-2.4245362661989844E-14</v>
      </c>
      <c r="EY6" t="s">
        <v>1753</v>
      </c>
      <c r="EZ6">
        <v>2026</v>
      </c>
      <c r="FA6" t="s">
        <v>3913</v>
      </c>
      <c r="FB6" s="6">
        <v>46042</v>
      </c>
      <c r="FC6">
        <v>5</v>
      </c>
      <c r="FD6">
        <v>-2.4245362661989844E-14</v>
      </c>
      <c r="FE6">
        <v>9095890</v>
      </c>
      <c r="FF6" t="s">
        <v>3914</v>
      </c>
      <c r="IG6" t="s">
        <v>2205</v>
      </c>
      <c r="IH6" t="s">
        <v>1940</v>
      </c>
      <c r="II6">
        <v>0.89158300000000001</v>
      </c>
      <c r="IJ6">
        <v>0.19925799999999999</v>
      </c>
      <c r="IK6" t="s">
        <v>1753</v>
      </c>
      <c r="IL6">
        <v>2024</v>
      </c>
      <c r="IM6" t="s">
        <v>2206</v>
      </c>
      <c r="IN6" s="6">
        <v>45694</v>
      </c>
      <c r="IO6">
        <v>5</v>
      </c>
      <c r="IP6">
        <v>1679000.25</v>
      </c>
      <c r="IQ6">
        <v>106543</v>
      </c>
      <c r="IR6" t="s">
        <v>2207</v>
      </c>
      <c r="IU6" t="s">
        <v>4377</v>
      </c>
      <c r="IV6">
        <v>0.112706</v>
      </c>
      <c r="IW6" t="s">
        <v>1752</v>
      </c>
      <c r="IX6">
        <v>3.4763000000000002E-2</v>
      </c>
      <c r="IY6" t="s">
        <v>1781</v>
      </c>
      <c r="IZ6">
        <v>2025</v>
      </c>
      <c r="JA6" t="s">
        <v>4378</v>
      </c>
      <c r="JB6" s="6">
        <v>45852</v>
      </c>
      <c r="JC6">
        <v>5</v>
      </c>
      <c r="JD6">
        <v>1103394.56</v>
      </c>
      <c r="JE6">
        <v>14866501</v>
      </c>
      <c r="JF6" t="s">
        <v>4379</v>
      </c>
      <c r="KO6" t="s">
        <v>5242</v>
      </c>
      <c r="KQ6">
        <v>-2.4245362661989844E-14</v>
      </c>
      <c r="KR6">
        <v>-2.4245362661989844E-14</v>
      </c>
      <c r="KS6" t="s">
        <v>1788</v>
      </c>
      <c r="KT6">
        <v>2026</v>
      </c>
      <c r="KU6" t="s">
        <v>5243</v>
      </c>
      <c r="KV6" s="6">
        <v>46057</v>
      </c>
      <c r="KW6">
        <v>3</v>
      </c>
      <c r="KX6">
        <v>-2.4245362661989844E-14</v>
      </c>
      <c r="KY6">
        <v>71227770</v>
      </c>
      <c r="KZ6" t="s">
        <v>5244</v>
      </c>
      <c r="LC6" t="s">
        <v>5174</v>
      </c>
      <c r="LD6">
        <v>-2.4245362661989844E-14</v>
      </c>
      <c r="LF6">
        <v>-2.4245362661989844E-14</v>
      </c>
      <c r="LG6" t="s">
        <v>1753</v>
      </c>
      <c r="LH6">
        <v>2021</v>
      </c>
      <c r="LI6" t="s">
        <v>5172</v>
      </c>
      <c r="LJ6" s="6">
        <v>44775</v>
      </c>
      <c r="LK6">
        <v>4</v>
      </c>
      <c r="LL6">
        <v>-2.4245362661989844E-14</v>
      </c>
      <c r="LM6">
        <v>47908039</v>
      </c>
      <c r="LN6" t="s">
        <v>5175</v>
      </c>
      <c r="LS6" t="s">
        <v>265</v>
      </c>
      <c r="LT6" t="s">
        <v>1752</v>
      </c>
      <c r="LU6">
        <v>0.57338800000000001</v>
      </c>
      <c r="LV6">
        <v>3.5686900000000001</v>
      </c>
      <c r="LW6" t="s">
        <v>1788</v>
      </c>
      <c r="LX6">
        <v>2025</v>
      </c>
      <c r="LY6" t="s">
        <v>2577</v>
      </c>
      <c r="LZ6" s="6">
        <v>46018</v>
      </c>
      <c r="MA6">
        <v>5</v>
      </c>
      <c r="MB6">
        <v>137572976</v>
      </c>
      <c r="MC6">
        <v>100828</v>
      </c>
      <c r="MD6" t="s">
        <v>2578</v>
      </c>
      <c r="MG6" t="s">
        <v>2341</v>
      </c>
      <c r="MH6">
        <v>9.6462509999999995</v>
      </c>
      <c r="MI6" t="s">
        <v>1752</v>
      </c>
      <c r="MJ6">
        <v>2.2510729999999999</v>
      </c>
      <c r="MK6" t="s">
        <v>1788</v>
      </c>
      <c r="ML6">
        <v>2025</v>
      </c>
      <c r="MM6" t="s">
        <v>2495</v>
      </c>
      <c r="MN6" s="6">
        <v>45985</v>
      </c>
      <c r="MO6">
        <v>5</v>
      </c>
      <c r="MP6">
        <v>1666486272</v>
      </c>
      <c r="MQ6">
        <v>154936</v>
      </c>
      <c r="MR6" t="s">
        <v>2342</v>
      </c>
      <c r="OA6" t="s">
        <v>4668</v>
      </c>
      <c r="OB6" t="s">
        <v>1752</v>
      </c>
      <c r="OC6">
        <v>0.20922399999999999</v>
      </c>
      <c r="OD6">
        <v>0.10945100000000001</v>
      </c>
      <c r="OE6" t="s">
        <v>1781</v>
      </c>
      <c r="OF6">
        <v>2025</v>
      </c>
      <c r="OG6" t="s">
        <v>4669</v>
      </c>
      <c r="OH6" s="6">
        <v>45792</v>
      </c>
      <c r="OI6">
        <v>5</v>
      </c>
      <c r="OJ6">
        <v>1978310.01</v>
      </c>
      <c r="OK6">
        <v>130409</v>
      </c>
      <c r="OL6" t="s">
        <v>4670</v>
      </c>
      <c r="OO6" t="s">
        <v>3675</v>
      </c>
      <c r="OP6">
        <v>9.3316560000000006</v>
      </c>
      <c r="OQ6" t="s">
        <v>1752</v>
      </c>
      <c r="OR6">
        <v>6.8551380000000002</v>
      </c>
      <c r="OS6" t="s">
        <v>1774</v>
      </c>
      <c r="OT6">
        <v>2025</v>
      </c>
      <c r="OU6" t="s">
        <v>2520</v>
      </c>
      <c r="OV6" s="6">
        <v>45791</v>
      </c>
      <c r="OW6">
        <v>5</v>
      </c>
      <c r="OX6">
        <v>185147520</v>
      </c>
      <c r="OY6">
        <v>115790</v>
      </c>
      <c r="OZ6" t="s">
        <v>3677</v>
      </c>
      <c r="PE6" t="s">
        <v>4080</v>
      </c>
      <c r="PF6" t="s">
        <v>1752</v>
      </c>
      <c r="PG6">
        <v>1.150172</v>
      </c>
      <c r="PH6">
        <v>0.11659799999999999</v>
      </c>
      <c r="PI6" t="s">
        <v>1825</v>
      </c>
      <c r="PJ6">
        <v>2024</v>
      </c>
      <c r="PK6" t="s">
        <v>4081</v>
      </c>
      <c r="PL6" s="6">
        <v>45687</v>
      </c>
      <c r="PM6">
        <v>5</v>
      </c>
      <c r="PN6">
        <v>541152.34</v>
      </c>
      <c r="PO6">
        <v>310099</v>
      </c>
      <c r="PP6" t="s">
        <v>4082</v>
      </c>
      <c r="PS6" t="s">
        <v>423</v>
      </c>
      <c r="PT6">
        <v>9.0968900000000001</v>
      </c>
      <c r="PU6" t="s">
        <v>1752</v>
      </c>
      <c r="PV6">
        <v>2.3553769999999998</v>
      </c>
      <c r="PW6" t="s">
        <v>1781</v>
      </c>
      <c r="PX6">
        <v>2025</v>
      </c>
      <c r="PY6" t="s">
        <v>3838</v>
      </c>
      <c r="PZ6" s="6">
        <v>45813</v>
      </c>
      <c r="QA6">
        <v>5</v>
      </c>
      <c r="QB6">
        <v>85146888</v>
      </c>
      <c r="QC6">
        <v>102032</v>
      </c>
      <c r="QD6" t="s">
        <v>3840</v>
      </c>
      <c r="QI6" t="s">
        <v>2053</v>
      </c>
      <c r="QJ6" t="s">
        <v>1752</v>
      </c>
      <c r="QK6">
        <v>0.52293800000000001</v>
      </c>
      <c r="QL6">
        <v>0.187949</v>
      </c>
      <c r="QM6" t="s">
        <v>1788</v>
      </c>
      <c r="QN6">
        <v>2025</v>
      </c>
      <c r="QO6" t="s">
        <v>2054</v>
      </c>
      <c r="QP6" s="6">
        <v>46027</v>
      </c>
      <c r="QQ6">
        <v>5</v>
      </c>
      <c r="QR6">
        <v>3315427</v>
      </c>
      <c r="QS6">
        <v>36965288</v>
      </c>
      <c r="QT6" t="s">
        <v>2055</v>
      </c>
      <c r="QW6" t="s">
        <v>5337</v>
      </c>
      <c r="QX6">
        <v>-2.4245362661989844E-14</v>
      </c>
      <c r="QZ6">
        <v>-2.4245362661989844E-14</v>
      </c>
      <c r="RA6" t="s">
        <v>1753</v>
      </c>
      <c r="RB6">
        <v>2023</v>
      </c>
      <c r="RC6" t="s">
        <v>5338</v>
      </c>
      <c r="RD6" s="6">
        <v>45028</v>
      </c>
      <c r="RE6">
        <v>5</v>
      </c>
      <c r="RF6">
        <v>-2.4245362661989844E-14</v>
      </c>
      <c r="RG6">
        <v>21481240</v>
      </c>
      <c r="RH6" t="s">
        <v>5339</v>
      </c>
    </row>
    <row r="7" spans="1:600" x14ac:dyDescent="0.25">
      <c r="A7" t="s">
        <v>4722</v>
      </c>
      <c r="B7" t="s">
        <v>1752</v>
      </c>
      <c r="C7">
        <v>33.187092</v>
      </c>
      <c r="D7">
        <v>3.6972200000000002</v>
      </c>
      <c r="E7" t="s">
        <v>1825</v>
      </c>
      <c r="F7">
        <v>2024</v>
      </c>
      <c r="G7" t="s">
        <v>4723</v>
      </c>
      <c r="H7" s="6">
        <v>45832</v>
      </c>
      <c r="I7">
        <v>5</v>
      </c>
      <c r="J7">
        <v>246689301.25999999</v>
      </c>
      <c r="K7">
        <v>68423531</v>
      </c>
      <c r="L7" t="s">
        <v>4724</v>
      </c>
      <c r="O7" t="s">
        <v>4245</v>
      </c>
      <c r="P7">
        <v>4.9813159999999996</v>
      </c>
      <c r="Q7" t="s">
        <v>1752</v>
      </c>
      <c r="R7">
        <v>30.066545000000001</v>
      </c>
      <c r="S7" t="s">
        <v>1774</v>
      </c>
      <c r="T7">
        <v>2026</v>
      </c>
      <c r="U7" t="s">
        <v>4246</v>
      </c>
      <c r="V7" s="6">
        <v>46066</v>
      </c>
      <c r="W7">
        <v>5</v>
      </c>
      <c r="X7">
        <v>625204739.16999996</v>
      </c>
      <c r="Y7">
        <v>194968</v>
      </c>
      <c r="Z7" t="s">
        <v>4247</v>
      </c>
      <c r="AE7" t="s">
        <v>3115</v>
      </c>
      <c r="AF7" t="s">
        <v>1752</v>
      </c>
      <c r="AG7">
        <v>0.91261199999999998</v>
      </c>
      <c r="AH7">
        <v>0.92368399999999995</v>
      </c>
      <c r="AI7" t="s">
        <v>1825</v>
      </c>
      <c r="AJ7">
        <v>2025</v>
      </c>
      <c r="AK7" t="s">
        <v>3116</v>
      </c>
      <c r="AL7" s="6">
        <v>46076</v>
      </c>
      <c r="AM7">
        <v>5</v>
      </c>
      <c r="AN7">
        <v>64713316</v>
      </c>
      <c r="AO7">
        <v>9932803</v>
      </c>
      <c r="AP7" t="s">
        <v>3117</v>
      </c>
      <c r="AS7" t="s">
        <v>4964</v>
      </c>
      <c r="AT7">
        <v>0.103394</v>
      </c>
      <c r="AU7" t="s">
        <v>1752</v>
      </c>
      <c r="AV7">
        <v>5.8633490000000004</v>
      </c>
      <c r="AW7" t="s">
        <v>1753</v>
      </c>
      <c r="AX7">
        <v>2025</v>
      </c>
      <c r="AY7" t="s">
        <v>4965</v>
      </c>
      <c r="AZ7" s="6">
        <v>45966</v>
      </c>
      <c r="BA7">
        <v>5</v>
      </c>
      <c r="BB7">
        <v>7246011.29</v>
      </c>
      <c r="BC7">
        <v>64873228</v>
      </c>
      <c r="BD7" t="s">
        <v>4966</v>
      </c>
      <c r="EU7" t="s">
        <v>2381</v>
      </c>
      <c r="EW7">
        <v>-2.4245362661989844E-14</v>
      </c>
      <c r="EX7">
        <v>-2.4245362661989844E-14</v>
      </c>
      <c r="EY7" t="s">
        <v>1774</v>
      </c>
      <c r="EZ7">
        <v>2026</v>
      </c>
      <c r="FA7" t="s">
        <v>3915</v>
      </c>
      <c r="FB7" s="6">
        <v>45966</v>
      </c>
      <c r="FC7">
        <v>5</v>
      </c>
      <c r="FD7">
        <v>-2.4245362661989844E-14</v>
      </c>
      <c r="FE7">
        <v>63052670</v>
      </c>
      <c r="FF7" t="s">
        <v>2383</v>
      </c>
      <c r="IG7" t="s">
        <v>4469</v>
      </c>
      <c r="IH7" t="s">
        <v>1752</v>
      </c>
      <c r="II7">
        <v>10.91</v>
      </c>
      <c r="IJ7">
        <v>0.11763700000000001</v>
      </c>
      <c r="IK7" t="s">
        <v>1753</v>
      </c>
      <c r="IL7">
        <v>2025</v>
      </c>
      <c r="IM7" t="s">
        <v>4470</v>
      </c>
      <c r="IN7" s="6">
        <v>45895</v>
      </c>
      <c r="IO7">
        <v>5</v>
      </c>
      <c r="IP7">
        <v>1168969.1100000001</v>
      </c>
      <c r="IQ7">
        <v>59709175</v>
      </c>
      <c r="IR7" t="s">
        <v>4471</v>
      </c>
      <c r="IU7" t="s">
        <v>2799</v>
      </c>
      <c r="IV7">
        <v>5.6222000000000001E-2</v>
      </c>
      <c r="IW7" t="s">
        <v>1752</v>
      </c>
      <c r="IX7">
        <v>4.2040000000000003E-3</v>
      </c>
      <c r="IY7" t="s">
        <v>1781</v>
      </c>
      <c r="IZ7">
        <v>2026</v>
      </c>
      <c r="JA7" t="s">
        <v>4367</v>
      </c>
      <c r="JB7" s="6">
        <v>45898</v>
      </c>
      <c r="JC7">
        <v>5</v>
      </c>
      <c r="JD7">
        <v>892021.61</v>
      </c>
      <c r="JE7">
        <v>112370</v>
      </c>
      <c r="JF7" t="s">
        <v>2800</v>
      </c>
      <c r="KO7" t="s">
        <v>5245</v>
      </c>
      <c r="KQ7">
        <v>-2.4245362661989844E-14</v>
      </c>
      <c r="KR7">
        <v>-2.4245362661989844E-14</v>
      </c>
      <c r="KS7" t="s">
        <v>1774</v>
      </c>
      <c r="KT7">
        <v>2024</v>
      </c>
      <c r="KU7" t="s">
        <v>5246</v>
      </c>
      <c r="KV7" s="6">
        <v>45482</v>
      </c>
      <c r="KW7">
        <v>3</v>
      </c>
      <c r="KX7">
        <v>-2.4245362661989844E-14</v>
      </c>
      <c r="KY7">
        <v>53255043</v>
      </c>
      <c r="KZ7" t="s">
        <v>5247</v>
      </c>
      <c r="LC7" t="s">
        <v>5176</v>
      </c>
      <c r="LD7">
        <v>-2.4245362661989844E-14</v>
      </c>
      <c r="LF7">
        <v>-2.4245362661989844E-14</v>
      </c>
      <c r="LG7" t="s">
        <v>1753</v>
      </c>
      <c r="LH7">
        <v>2021</v>
      </c>
      <c r="LI7" t="s">
        <v>5172</v>
      </c>
      <c r="LJ7" s="6">
        <v>44775</v>
      </c>
      <c r="LK7">
        <v>4</v>
      </c>
      <c r="LL7">
        <v>-2.4245362661989844E-14</v>
      </c>
      <c r="LM7">
        <v>114532</v>
      </c>
      <c r="LN7" t="s">
        <v>5177</v>
      </c>
      <c r="LS7" t="s">
        <v>2498</v>
      </c>
      <c r="LT7" t="s">
        <v>1752</v>
      </c>
      <c r="LU7">
        <v>6.0908949999999997</v>
      </c>
      <c r="LV7">
        <v>2.5669719999999998</v>
      </c>
      <c r="LW7" t="s">
        <v>1753</v>
      </c>
      <c r="LX7">
        <v>2024</v>
      </c>
      <c r="LY7" t="s">
        <v>2499</v>
      </c>
      <c r="LZ7" s="6">
        <v>45713</v>
      </c>
      <c r="MA7">
        <v>5</v>
      </c>
      <c r="MB7">
        <v>97500000</v>
      </c>
      <c r="MC7">
        <v>69483676</v>
      </c>
      <c r="MD7" t="s">
        <v>2500</v>
      </c>
      <c r="MG7" t="s">
        <v>1461</v>
      </c>
      <c r="MH7">
        <v>7.5766629999999999</v>
      </c>
      <c r="MI7" t="s">
        <v>1752</v>
      </c>
      <c r="MJ7">
        <v>2.12181</v>
      </c>
      <c r="MK7" t="s">
        <v>1788</v>
      </c>
      <c r="ML7">
        <v>2025</v>
      </c>
      <c r="MM7" t="s">
        <v>2495</v>
      </c>
      <c r="MN7" s="6">
        <v>45985</v>
      </c>
      <c r="MO7">
        <v>5</v>
      </c>
      <c r="MP7">
        <v>1308944256</v>
      </c>
      <c r="MQ7">
        <v>102782</v>
      </c>
      <c r="MR7" t="s">
        <v>1991</v>
      </c>
      <c r="OA7" t="s">
        <v>1026</v>
      </c>
      <c r="OB7" t="s">
        <v>1752</v>
      </c>
      <c r="OC7">
        <v>0.14935000000000001</v>
      </c>
      <c r="OD7">
        <v>5.7569000000000002E-2</v>
      </c>
      <c r="OE7" t="s">
        <v>1788</v>
      </c>
      <c r="OF7">
        <v>2025</v>
      </c>
      <c r="OG7" t="s">
        <v>1950</v>
      </c>
      <c r="OH7" s="6">
        <v>46009</v>
      </c>
      <c r="OI7">
        <v>5</v>
      </c>
      <c r="OJ7">
        <v>1096822</v>
      </c>
      <c r="OK7">
        <v>101601</v>
      </c>
      <c r="OL7" t="s">
        <v>4077</v>
      </c>
      <c r="OO7" t="s">
        <v>3532</v>
      </c>
      <c r="OP7">
        <v>7.3442259999999999</v>
      </c>
      <c r="OQ7" t="s">
        <v>1752</v>
      </c>
      <c r="OR7">
        <v>0.93168399999999996</v>
      </c>
      <c r="OS7" t="s">
        <v>1774</v>
      </c>
      <c r="OT7">
        <v>2025</v>
      </c>
      <c r="OU7" t="s">
        <v>2520</v>
      </c>
      <c r="OV7" s="6">
        <v>45791</v>
      </c>
      <c r="OW7">
        <v>5</v>
      </c>
      <c r="OX7">
        <v>145715312</v>
      </c>
      <c r="OY7">
        <v>156923</v>
      </c>
      <c r="OZ7" t="s">
        <v>3533</v>
      </c>
      <c r="PE7" t="s">
        <v>4083</v>
      </c>
      <c r="PF7" t="s">
        <v>1752</v>
      </c>
      <c r="PG7">
        <v>3.0783999999999999E-2</v>
      </c>
      <c r="PH7">
        <v>3.1181E-2</v>
      </c>
      <c r="PI7" t="s">
        <v>1781</v>
      </c>
      <c r="PJ7">
        <v>2026</v>
      </c>
      <c r="PK7" t="s">
        <v>4084</v>
      </c>
      <c r="PL7" s="6">
        <v>45967</v>
      </c>
      <c r="PM7">
        <v>5</v>
      </c>
      <c r="PN7">
        <v>164325</v>
      </c>
      <c r="PO7">
        <v>42186257</v>
      </c>
      <c r="PP7" t="s">
        <v>4085</v>
      </c>
      <c r="PS7" t="s">
        <v>1871</v>
      </c>
      <c r="PT7">
        <v>5.4997720000000001</v>
      </c>
      <c r="PU7" t="s">
        <v>1828</v>
      </c>
      <c r="PV7">
        <v>0.61648700000000001</v>
      </c>
      <c r="PW7" t="s">
        <v>1781</v>
      </c>
      <c r="PX7">
        <v>2025</v>
      </c>
      <c r="PY7" t="s">
        <v>3838</v>
      </c>
      <c r="PZ7" s="6">
        <v>45813</v>
      </c>
      <c r="QA7">
        <v>5</v>
      </c>
      <c r="QB7">
        <v>51477864</v>
      </c>
      <c r="QC7">
        <v>117929</v>
      </c>
      <c r="QD7" t="s">
        <v>1873</v>
      </c>
      <c r="QI7" t="s">
        <v>4047</v>
      </c>
      <c r="QJ7" t="s">
        <v>1752</v>
      </c>
      <c r="QK7">
        <v>0.26110299999999997</v>
      </c>
      <c r="QL7">
        <v>6.7391999999999994E-2</v>
      </c>
      <c r="QM7" t="s">
        <v>1774</v>
      </c>
      <c r="QN7">
        <v>2026</v>
      </c>
      <c r="QO7" t="s">
        <v>4048</v>
      </c>
      <c r="QP7" s="6">
        <v>45966</v>
      </c>
      <c r="QQ7">
        <v>5</v>
      </c>
      <c r="QR7">
        <v>1188802</v>
      </c>
      <c r="QS7">
        <v>9777162</v>
      </c>
      <c r="QT7" t="s">
        <v>4049</v>
      </c>
      <c r="QW7" t="s">
        <v>5340</v>
      </c>
      <c r="QX7">
        <v>-2.4245362661989844E-14</v>
      </c>
      <c r="QZ7">
        <v>-2.4245362661989844E-14</v>
      </c>
      <c r="RA7" t="s">
        <v>1753</v>
      </c>
      <c r="RB7">
        <v>2022</v>
      </c>
      <c r="RC7" t="s">
        <v>5341</v>
      </c>
      <c r="RD7" s="6">
        <v>45174</v>
      </c>
      <c r="RE7">
        <v>5</v>
      </c>
      <c r="RF7">
        <v>-2.4245362661989844E-14</v>
      </c>
      <c r="RG7">
        <v>70808467</v>
      </c>
      <c r="RH7" t="s">
        <v>5342</v>
      </c>
    </row>
    <row r="8" spans="1:600" x14ac:dyDescent="0.25">
      <c r="A8" t="s">
        <v>3878</v>
      </c>
      <c r="B8" t="s">
        <v>1752</v>
      </c>
      <c r="C8">
        <v>28.459135</v>
      </c>
      <c r="D8">
        <v>1.4891829999999999</v>
      </c>
      <c r="E8" t="s">
        <v>1788</v>
      </c>
      <c r="F8">
        <v>2025</v>
      </c>
      <c r="G8" t="s">
        <v>3879</v>
      </c>
      <c r="H8" s="6">
        <v>46058</v>
      </c>
      <c r="I8">
        <v>5</v>
      </c>
      <c r="J8">
        <v>109931520</v>
      </c>
      <c r="K8">
        <v>12116527</v>
      </c>
      <c r="L8" t="s">
        <v>3880</v>
      </c>
      <c r="O8" t="s">
        <v>5145</v>
      </c>
      <c r="P8">
        <v>1.366209</v>
      </c>
      <c r="Q8" t="s">
        <v>1752</v>
      </c>
      <c r="R8">
        <v>7.7765760000000004</v>
      </c>
      <c r="S8" t="s">
        <v>1774</v>
      </c>
      <c r="T8">
        <v>2025</v>
      </c>
      <c r="U8" t="s">
        <v>2440</v>
      </c>
      <c r="V8" s="6">
        <v>46020</v>
      </c>
      <c r="W8">
        <v>5</v>
      </c>
      <c r="X8">
        <v>160119696</v>
      </c>
      <c r="Y8">
        <v>100862</v>
      </c>
      <c r="Z8" t="s">
        <v>5146</v>
      </c>
      <c r="AE8" t="s">
        <v>673</v>
      </c>
      <c r="AF8" t="s">
        <v>1940</v>
      </c>
      <c r="AG8">
        <v>2.8</v>
      </c>
      <c r="AH8">
        <v>0.73512200000000005</v>
      </c>
      <c r="AI8" t="s">
        <v>1753</v>
      </c>
      <c r="AJ8">
        <v>2024</v>
      </c>
      <c r="AK8" t="s">
        <v>3118</v>
      </c>
      <c r="AL8" s="6">
        <v>45701</v>
      </c>
      <c r="AM8">
        <v>5</v>
      </c>
      <c r="AN8">
        <v>34469864</v>
      </c>
      <c r="AO8">
        <v>101595</v>
      </c>
      <c r="AP8" t="s">
        <v>3119</v>
      </c>
      <c r="AS8" t="s">
        <v>3366</v>
      </c>
      <c r="AT8">
        <v>8.5290000000000005E-2</v>
      </c>
      <c r="AU8" t="s">
        <v>1752</v>
      </c>
      <c r="AV8">
        <v>2.4104E-2</v>
      </c>
      <c r="AW8" t="s">
        <v>1774</v>
      </c>
      <c r="AX8">
        <v>2025</v>
      </c>
      <c r="AY8" t="s">
        <v>3367</v>
      </c>
      <c r="AZ8" s="6">
        <v>45873</v>
      </c>
      <c r="BA8">
        <v>5</v>
      </c>
      <c r="BB8">
        <v>4896487</v>
      </c>
      <c r="BC8">
        <v>100211</v>
      </c>
      <c r="BD8" t="s">
        <v>3368</v>
      </c>
      <c r="EU8" t="s">
        <v>3916</v>
      </c>
      <c r="EW8">
        <v>-2.4245362661989844E-14</v>
      </c>
      <c r="EX8">
        <v>-2.4245362661989844E-14</v>
      </c>
      <c r="EY8" t="s">
        <v>1788</v>
      </c>
      <c r="EZ8">
        <v>2025</v>
      </c>
      <c r="FA8" t="s">
        <v>3917</v>
      </c>
      <c r="FB8" s="6">
        <v>45971</v>
      </c>
      <c r="FC8">
        <v>5</v>
      </c>
      <c r="FD8">
        <v>-2.4245362661989844E-14</v>
      </c>
      <c r="FE8">
        <v>45683508</v>
      </c>
      <c r="FF8" t="s">
        <v>3918</v>
      </c>
      <c r="IG8" t="s">
        <v>3131</v>
      </c>
      <c r="IH8" t="s">
        <v>1940</v>
      </c>
      <c r="II8">
        <v>1.061577</v>
      </c>
      <c r="IJ8">
        <v>0.111747</v>
      </c>
      <c r="IK8" t="s">
        <v>1753</v>
      </c>
      <c r="IL8">
        <v>2024</v>
      </c>
      <c r="IM8" t="s">
        <v>4472</v>
      </c>
      <c r="IN8" s="6">
        <v>45715</v>
      </c>
      <c r="IO8">
        <v>5</v>
      </c>
      <c r="IP8">
        <v>941885.68</v>
      </c>
      <c r="IQ8">
        <v>111471</v>
      </c>
      <c r="IR8" t="s">
        <v>3133</v>
      </c>
      <c r="IU8" t="s">
        <v>2608</v>
      </c>
      <c r="IV8">
        <v>4.8826000000000001E-2</v>
      </c>
      <c r="IW8" t="s">
        <v>1940</v>
      </c>
      <c r="IX8">
        <v>0.96890200000000004</v>
      </c>
      <c r="IY8" t="s">
        <v>1753</v>
      </c>
      <c r="IZ8">
        <v>2025</v>
      </c>
      <c r="JA8" t="s">
        <v>4380</v>
      </c>
      <c r="JB8" s="6">
        <v>46079</v>
      </c>
      <c r="JC8">
        <v>5</v>
      </c>
      <c r="JD8">
        <v>599999.75</v>
      </c>
      <c r="JE8">
        <v>11937231</v>
      </c>
      <c r="JF8" t="s">
        <v>2610</v>
      </c>
      <c r="LC8" t="s">
        <v>5178</v>
      </c>
      <c r="LD8">
        <v>-2.4245362661989844E-14</v>
      </c>
      <c r="LF8">
        <v>-2.4245362661989844E-14</v>
      </c>
      <c r="LG8" t="s">
        <v>1753</v>
      </c>
      <c r="LH8">
        <v>2021</v>
      </c>
      <c r="LI8" t="s">
        <v>5172</v>
      </c>
      <c r="LJ8" s="6">
        <v>44775</v>
      </c>
      <c r="LK8">
        <v>4</v>
      </c>
      <c r="LL8">
        <v>-2.4245362661989844E-14</v>
      </c>
      <c r="LM8">
        <v>349998</v>
      </c>
      <c r="LN8" t="s">
        <v>5179</v>
      </c>
      <c r="LS8" t="s">
        <v>2579</v>
      </c>
      <c r="LT8" t="s">
        <v>2407</v>
      </c>
      <c r="LU8">
        <v>-2.4245362661989844E-14</v>
      </c>
      <c r="LV8">
        <v>1.9000570000000001</v>
      </c>
      <c r="LW8" t="s">
        <v>1753</v>
      </c>
      <c r="LX8">
        <v>2025</v>
      </c>
      <c r="LY8" t="s">
        <v>2575</v>
      </c>
      <c r="LZ8" s="6">
        <v>46077</v>
      </c>
      <c r="MA8">
        <v>5</v>
      </c>
      <c r="MB8">
        <v>75000000</v>
      </c>
      <c r="MC8">
        <v>71999429</v>
      </c>
      <c r="MD8" t="s">
        <v>2580</v>
      </c>
      <c r="MG8" t="s">
        <v>1457</v>
      </c>
      <c r="MH8">
        <v>0.787219</v>
      </c>
      <c r="MI8" t="s">
        <v>1752</v>
      </c>
      <c r="MJ8">
        <v>3.9592429999999998</v>
      </c>
      <c r="MK8" t="s">
        <v>1788</v>
      </c>
      <c r="ML8">
        <v>2025</v>
      </c>
      <c r="MM8" t="s">
        <v>2496</v>
      </c>
      <c r="MN8" s="6">
        <v>45966</v>
      </c>
      <c r="MO8">
        <v>5</v>
      </c>
      <c r="MP8">
        <v>136000000</v>
      </c>
      <c r="MQ8">
        <v>100225</v>
      </c>
      <c r="MR8" t="s">
        <v>2497</v>
      </c>
      <c r="OA8" t="s">
        <v>195</v>
      </c>
      <c r="OB8" t="s">
        <v>1752</v>
      </c>
      <c r="OC8">
        <v>0.10244399999999999</v>
      </c>
      <c r="OD8">
        <v>1.5996E-2</v>
      </c>
      <c r="OE8" t="s">
        <v>1825</v>
      </c>
      <c r="OF8">
        <v>2025</v>
      </c>
      <c r="OG8" t="s">
        <v>2641</v>
      </c>
      <c r="OH8" s="6">
        <v>45894</v>
      </c>
      <c r="OI8">
        <v>5</v>
      </c>
      <c r="OJ8">
        <v>297600</v>
      </c>
      <c r="OK8">
        <v>126302</v>
      </c>
      <c r="OL8" t="s">
        <v>2642</v>
      </c>
      <c r="OO8" t="s">
        <v>924</v>
      </c>
      <c r="OP8">
        <v>5.7157530000000003</v>
      </c>
      <c r="OQ8" t="s">
        <v>1752</v>
      </c>
      <c r="OR8">
        <v>2.0400269999999998</v>
      </c>
      <c r="OS8" t="s">
        <v>1774</v>
      </c>
      <c r="OT8">
        <v>2025</v>
      </c>
      <c r="OU8" t="s">
        <v>2520</v>
      </c>
      <c r="OV8" s="6">
        <v>45791</v>
      </c>
      <c r="OW8">
        <v>5</v>
      </c>
      <c r="OX8">
        <v>113405112</v>
      </c>
      <c r="OY8">
        <v>42602315</v>
      </c>
      <c r="OZ8" t="s">
        <v>2419</v>
      </c>
      <c r="PE8" t="s">
        <v>4086</v>
      </c>
      <c r="PG8">
        <v>-2.4245362661989844E-14</v>
      </c>
      <c r="PH8">
        <v>-2.4245362661989844E-14</v>
      </c>
      <c r="PI8" t="s">
        <v>1753</v>
      </c>
      <c r="PJ8">
        <v>2021</v>
      </c>
      <c r="PK8" t="s">
        <v>4087</v>
      </c>
      <c r="PL8" s="6">
        <v>44673</v>
      </c>
      <c r="PM8">
        <v>5</v>
      </c>
      <c r="PN8">
        <v>-2.4245362661989844E-14</v>
      </c>
      <c r="PO8">
        <v>14058192</v>
      </c>
      <c r="PP8" t="s">
        <v>4088</v>
      </c>
      <c r="PS8" t="s">
        <v>3841</v>
      </c>
      <c r="PT8">
        <v>2.655659</v>
      </c>
      <c r="PU8" t="s">
        <v>1752</v>
      </c>
      <c r="PV8">
        <v>0.66348600000000002</v>
      </c>
      <c r="PW8" t="s">
        <v>1781</v>
      </c>
      <c r="PX8">
        <v>2025</v>
      </c>
      <c r="PY8" t="s">
        <v>3838</v>
      </c>
      <c r="PZ8" s="6">
        <v>45813</v>
      </c>
      <c r="QA8">
        <v>5</v>
      </c>
      <c r="QB8">
        <v>24856968</v>
      </c>
      <c r="QC8">
        <v>163205</v>
      </c>
      <c r="QD8" t="s">
        <v>3842</v>
      </c>
      <c r="QI8" t="s">
        <v>4570</v>
      </c>
      <c r="QJ8" t="s">
        <v>1752</v>
      </c>
      <c r="QK8">
        <v>9.0144000000000002E-2</v>
      </c>
      <c r="QL8">
        <v>1.3390000000000001E-2</v>
      </c>
      <c r="QM8" t="s">
        <v>1774</v>
      </c>
      <c r="QN8">
        <v>2026</v>
      </c>
      <c r="QO8" t="s">
        <v>4571</v>
      </c>
      <c r="QP8" s="6">
        <v>46035</v>
      </c>
      <c r="QQ8">
        <v>5</v>
      </c>
      <c r="QR8">
        <v>236200</v>
      </c>
      <c r="QS8">
        <v>105325</v>
      </c>
      <c r="QT8" t="s">
        <v>4572</v>
      </c>
      <c r="QW8" t="s">
        <v>5343</v>
      </c>
      <c r="QX8">
        <v>-2.4245362661989844E-14</v>
      </c>
      <c r="QZ8">
        <v>-2.4245362661989844E-14</v>
      </c>
      <c r="RA8" t="s">
        <v>1753</v>
      </c>
      <c r="RB8">
        <v>2023</v>
      </c>
      <c r="RC8" t="s">
        <v>5344</v>
      </c>
      <c r="RD8" s="6">
        <v>45377</v>
      </c>
      <c r="RE8">
        <v>5</v>
      </c>
      <c r="RF8">
        <v>-2.4245362661989844E-14</v>
      </c>
      <c r="RG8">
        <v>24248093</v>
      </c>
      <c r="RH8" t="s">
        <v>5345</v>
      </c>
    </row>
    <row r="9" spans="1:600" x14ac:dyDescent="0.25">
      <c r="A9" t="s">
        <v>3204</v>
      </c>
      <c r="B9" t="s">
        <v>1940</v>
      </c>
      <c r="C9">
        <v>0.17008499999999999</v>
      </c>
      <c r="D9">
        <v>1.461694</v>
      </c>
      <c r="E9" t="s">
        <v>1781</v>
      </c>
      <c r="F9">
        <v>2026</v>
      </c>
      <c r="G9" t="s">
        <v>3205</v>
      </c>
      <c r="H9" s="6">
        <v>45973</v>
      </c>
      <c r="I9">
        <v>5</v>
      </c>
      <c r="J9">
        <v>58258933.649999999</v>
      </c>
      <c r="K9">
        <v>16857643</v>
      </c>
      <c r="L9" t="s">
        <v>3206</v>
      </c>
      <c r="O9" t="s">
        <v>5147</v>
      </c>
      <c r="P9">
        <v>1.2203299999999999</v>
      </c>
      <c r="Q9" t="s">
        <v>1752</v>
      </c>
      <c r="R9">
        <v>31.670729000000001</v>
      </c>
      <c r="S9" t="s">
        <v>1774</v>
      </c>
      <c r="T9">
        <v>2025</v>
      </c>
      <c r="U9" t="s">
        <v>2440</v>
      </c>
      <c r="V9" s="6">
        <v>46020</v>
      </c>
      <c r="W9">
        <v>5</v>
      </c>
      <c r="X9">
        <v>143022672</v>
      </c>
      <c r="Y9">
        <v>130318</v>
      </c>
      <c r="Z9" t="s">
        <v>5148</v>
      </c>
      <c r="AE9" t="s">
        <v>3120</v>
      </c>
      <c r="AF9" t="s">
        <v>1752</v>
      </c>
      <c r="AG9">
        <v>0.175651</v>
      </c>
      <c r="AH9">
        <v>0.75103900000000001</v>
      </c>
      <c r="AI9" t="s">
        <v>1781</v>
      </c>
      <c r="AJ9">
        <v>2025</v>
      </c>
      <c r="AK9" t="s">
        <v>3121</v>
      </c>
      <c r="AL9" s="6">
        <v>45805</v>
      </c>
      <c r="AM9">
        <v>5</v>
      </c>
      <c r="AN9">
        <v>32165431.010000002</v>
      </c>
      <c r="AO9">
        <v>115694</v>
      </c>
      <c r="AP9" t="s">
        <v>3122</v>
      </c>
      <c r="AS9" t="s">
        <v>1831</v>
      </c>
      <c r="AT9">
        <v>6.9483000000000003E-2</v>
      </c>
      <c r="AU9" t="s">
        <v>1752</v>
      </c>
      <c r="AV9">
        <v>2.7682999999999999E-2</v>
      </c>
      <c r="AW9" t="s">
        <v>1774</v>
      </c>
      <c r="AX9">
        <v>2025</v>
      </c>
      <c r="AY9" t="s">
        <v>1832</v>
      </c>
      <c r="AZ9" s="6">
        <v>45874</v>
      </c>
      <c r="BA9">
        <v>5</v>
      </c>
      <c r="BB9">
        <v>4296866.1500000004</v>
      </c>
      <c r="BC9">
        <v>876285</v>
      </c>
      <c r="BD9" t="s">
        <v>1833</v>
      </c>
      <c r="EU9" t="s">
        <v>3183</v>
      </c>
      <c r="EW9">
        <v>-2.4245362661989844E-14</v>
      </c>
      <c r="EX9">
        <v>-2.4245362661989844E-14</v>
      </c>
      <c r="EY9" t="s">
        <v>1753</v>
      </c>
      <c r="EZ9">
        <v>2023</v>
      </c>
      <c r="FA9" t="s">
        <v>3919</v>
      </c>
      <c r="FB9" s="6">
        <v>45377</v>
      </c>
      <c r="FC9">
        <v>5</v>
      </c>
      <c r="FD9">
        <v>-2.4245362661989844E-14</v>
      </c>
      <c r="FE9">
        <v>46286147</v>
      </c>
      <c r="FF9" t="s">
        <v>3185</v>
      </c>
      <c r="IG9" t="s">
        <v>3256</v>
      </c>
      <c r="IH9" t="s">
        <v>1752</v>
      </c>
      <c r="II9">
        <v>2.7688999999999998E-2</v>
      </c>
      <c r="IJ9">
        <v>6.7176E-2</v>
      </c>
      <c r="IK9" t="s">
        <v>1788</v>
      </c>
      <c r="IL9">
        <v>2025</v>
      </c>
      <c r="IM9" t="s">
        <v>3257</v>
      </c>
      <c r="IN9" s="6">
        <v>45974</v>
      </c>
      <c r="IO9">
        <v>5</v>
      </c>
      <c r="IP9">
        <v>679247.66</v>
      </c>
      <c r="IQ9">
        <v>193571</v>
      </c>
      <c r="IR9" t="s">
        <v>3258</v>
      </c>
      <c r="IU9" t="s">
        <v>1954</v>
      </c>
      <c r="IV9">
        <v>4.4743999999999999E-2</v>
      </c>
      <c r="IW9" t="s">
        <v>1752</v>
      </c>
      <c r="IX9">
        <v>1.0747E-2</v>
      </c>
      <c r="IY9" t="s">
        <v>1781</v>
      </c>
      <c r="IZ9">
        <v>2025</v>
      </c>
      <c r="JA9" t="s">
        <v>1955</v>
      </c>
      <c r="JB9" s="6">
        <v>45820</v>
      </c>
      <c r="JC9">
        <v>5</v>
      </c>
      <c r="JD9">
        <v>438134</v>
      </c>
      <c r="JE9">
        <v>12129192</v>
      </c>
      <c r="JF9" t="s">
        <v>1956</v>
      </c>
      <c r="LS9" t="s">
        <v>2581</v>
      </c>
      <c r="LT9" t="s">
        <v>1940</v>
      </c>
      <c r="LU9">
        <v>1.6404799999999999</v>
      </c>
      <c r="LV9">
        <v>2.2485889999999999</v>
      </c>
      <c r="LW9" t="s">
        <v>1825</v>
      </c>
      <c r="LX9">
        <v>2025</v>
      </c>
      <c r="LY9" t="s">
        <v>2582</v>
      </c>
      <c r="LZ9" s="6">
        <v>45796</v>
      </c>
      <c r="MA9">
        <v>5</v>
      </c>
      <c r="MB9">
        <v>57397160.810000002</v>
      </c>
      <c r="MC9">
        <v>995671</v>
      </c>
      <c r="MD9" t="s">
        <v>2583</v>
      </c>
      <c r="MG9" t="s">
        <v>2498</v>
      </c>
      <c r="MH9">
        <v>0.61089599999999999</v>
      </c>
      <c r="MI9" t="s">
        <v>1752</v>
      </c>
      <c r="MJ9">
        <v>14.583333</v>
      </c>
      <c r="MK9" t="s">
        <v>1753</v>
      </c>
      <c r="ML9">
        <v>2024</v>
      </c>
      <c r="MM9" t="s">
        <v>2499</v>
      </c>
      <c r="MN9" s="6">
        <v>45713</v>
      </c>
      <c r="MO9">
        <v>5</v>
      </c>
      <c r="MP9">
        <v>98000000</v>
      </c>
      <c r="MQ9">
        <v>69483676</v>
      </c>
      <c r="MR9" t="s">
        <v>2500</v>
      </c>
      <c r="OA9" t="s">
        <v>825</v>
      </c>
      <c r="OB9" t="s">
        <v>1752</v>
      </c>
      <c r="OC9">
        <v>4.5275999999999997E-2</v>
      </c>
      <c r="OD9">
        <v>8.3560000000000006E-3</v>
      </c>
      <c r="OE9" t="s">
        <v>1825</v>
      </c>
      <c r="OF9">
        <v>2024</v>
      </c>
      <c r="OG9" t="s">
        <v>4671</v>
      </c>
      <c r="OH9" s="6">
        <v>45727</v>
      </c>
      <c r="OI9">
        <v>5</v>
      </c>
      <c r="OJ9">
        <v>153621</v>
      </c>
      <c r="OK9">
        <v>103370</v>
      </c>
      <c r="OL9" t="s">
        <v>4672</v>
      </c>
      <c r="OO9" t="s">
        <v>1019</v>
      </c>
      <c r="OP9">
        <v>4.2578709999999997</v>
      </c>
      <c r="OQ9" t="s">
        <v>1752</v>
      </c>
      <c r="OR9">
        <v>0.81780799999999998</v>
      </c>
      <c r="OS9" t="s">
        <v>1774</v>
      </c>
      <c r="OT9">
        <v>2025</v>
      </c>
      <c r="OU9" t="s">
        <v>2520</v>
      </c>
      <c r="OV9" s="6">
        <v>45791</v>
      </c>
      <c r="OW9">
        <v>5</v>
      </c>
      <c r="OX9">
        <v>84479568</v>
      </c>
      <c r="OY9">
        <v>100631</v>
      </c>
      <c r="OZ9" t="s">
        <v>4232</v>
      </c>
      <c r="PE9" t="s">
        <v>4089</v>
      </c>
      <c r="PG9">
        <v>-2.4245362661989844E-14</v>
      </c>
      <c r="PH9">
        <v>-2.4245362661989844E-14</v>
      </c>
      <c r="PI9" t="s">
        <v>1842</v>
      </c>
      <c r="PJ9">
        <v>2025</v>
      </c>
      <c r="PK9" t="s">
        <v>4090</v>
      </c>
      <c r="PL9" s="6">
        <v>45886</v>
      </c>
      <c r="PM9">
        <v>5</v>
      </c>
      <c r="PN9">
        <v>-2.4245362661989844E-14</v>
      </c>
      <c r="PO9">
        <v>48116636</v>
      </c>
      <c r="PP9" t="s">
        <v>4091</v>
      </c>
      <c r="PS9" t="s">
        <v>3843</v>
      </c>
      <c r="PT9">
        <v>2.633435</v>
      </c>
      <c r="PU9" t="s">
        <v>1752</v>
      </c>
      <c r="PV9">
        <v>11.472034000000001</v>
      </c>
      <c r="PW9" t="s">
        <v>1768</v>
      </c>
      <c r="PX9">
        <v>2025</v>
      </c>
      <c r="PY9" t="s">
        <v>3844</v>
      </c>
      <c r="PZ9" s="6">
        <v>45974</v>
      </c>
      <c r="QA9">
        <v>5</v>
      </c>
      <c r="QB9">
        <v>25179579.969999999</v>
      </c>
      <c r="QC9">
        <v>44606377</v>
      </c>
      <c r="QD9" t="s">
        <v>3845</v>
      </c>
      <c r="QI9" t="s">
        <v>2180</v>
      </c>
      <c r="QJ9" t="s">
        <v>1752</v>
      </c>
      <c r="QK9">
        <v>3.5172000000000002E-2</v>
      </c>
      <c r="QL9">
        <v>2.8899999999999998E-4</v>
      </c>
      <c r="QM9" t="s">
        <v>1825</v>
      </c>
      <c r="QN9">
        <v>2024</v>
      </c>
      <c r="QO9" t="s">
        <v>2181</v>
      </c>
      <c r="QP9" s="6">
        <v>45770</v>
      </c>
      <c r="QQ9">
        <v>5</v>
      </c>
      <c r="QR9">
        <v>5248</v>
      </c>
      <c r="QS9">
        <v>1176738</v>
      </c>
      <c r="QT9" t="s">
        <v>2182</v>
      </c>
      <c r="QW9" t="s">
        <v>2053</v>
      </c>
      <c r="QX9">
        <v>-2.4245362661989844E-14</v>
      </c>
      <c r="QZ9">
        <v>-2.4245362661989844E-14</v>
      </c>
      <c r="RA9" t="s">
        <v>1753</v>
      </c>
      <c r="RB9">
        <v>2024</v>
      </c>
      <c r="RC9" t="s">
        <v>5346</v>
      </c>
      <c r="RD9" s="6">
        <v>45726</v>
      </c>
      <c r="RE9">
        <v>5</v>
      </c>
      <c r="RF9">
        <v>-2.4245362661989844E-14</v>
      </c>
      <c r="RG9">
        <v>36965288</v>
      </c>
      <c r="RH9" t="s">
        <v>2055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538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539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540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541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542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543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544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545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546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547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548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549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550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551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552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553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554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555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556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452</v>
      </c>
      <c r="AE2" s="3" t="s">
        <v>557</v>
      </c>
      <c r="BI2" s="3" t="s">
        <v>558</v>
      </c>
      <c r="CM2" s="3" t="s">
        <v>559</v>
      </c>
      <c r="DQ2" s="3" t="s">
        <v>560</v>
      </c>
      <c r="EU2" s="3" t="s">
        <v>561</v>
      </c>
      <c r="FY2" s="3" t="s">
        <v>562</v>
      </c>
      <c r="HC2" s="3" t="s">
        <v>563</v>
      </c>
      <c r="IG2" s="3" t="s">
        <v>300</v>
      </c>
      <c r="JK2" s="3" t="s">
        <v>191</v>
      </c>
      <c r="KO2" s="3" t="s">
        <v>564</v>
      </c>
      <c r="LS2" s="3" t="s">
        <v>565</v>
      </c>
      <c r="MW2" s="3" t="s">
        <v>566</v>
      </c>
      <c r="OA2" s="3" t="s">
        <v>567</v>
      </c>
      <c r="PE2" s="3" t="s">
        <v>568</v>
      </c>
      <c r="QI2" s="3" t="s">
        <v>569</v>
      </c>
      <c r="RM2" s="3" t="s">
        <v>570</v>
      </c>
      <c r="SQ2" s="3" t="s">
        <v>571</v>
      </c>
      <c r="TU2" s="3" t="s">
        <v>572</v>
      </c>
      <c r="UY2" s="3" t="s">
        <v>573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_xll.BDS("DHR US Equity","SUPPLY_CHAIN_SUPPLIERS_ALL_DATA","cols=12;rows=5")</f>
        <v>FLEX US Equity</v>
      </c>
      <c r="B5" t="s">
        <v>1752</v>
      </c>
      <c r="C5">
        <v>1.165869</v>
      </c>
      <c r="D5">
        <v>2.8864939999999999</v>
      </c>
      <c r="E5" t="s">
        <v>1788</v>
      </c>
      <c r="F5">
        <v>2025</v>
      </c>
      <c r="G5" t="s">
        <v>2213</v>
      </c>
      <c r="H5" s="6">
        <v>45763</v>
      </c>
      <c r="I5">
        <v>5</v>
      </c>
      <c r="J5">
        <v>76434368</v>
      </c>
      <c r="K5">
        <v>136547</v>
      </c>
      <c r="L5" t="s">
        <v>2214</v>
      </c>
      <c r="O5" t="str">
        <f>_xll.BDS("DHR US Equity","SUPPLY_CHAIN_CUSTOMERS_ALL_DATA","cols=12;rows=5")</f>
        <v>CDW US Equity</v>
      </c>
      <c r="P5">
        <v>0.25350099999999998</v>
      </c>
      <c r="Q5" t="s">
        <v>1752</v>
      </c>
      <c r="R5">
        <v>0.35698299999999999</v>
      </c>
      <c r="S5" t="s">
        <v>1781</v>
      </c>
      <c r="T5">
        <v>2025</v>
      </c>
      <c r="U5" t="s">
        <v>1955</v>
      </c>
      <c r="V5" s="6">
        <v>45820</v>
      </c>
      <c r="W5">
        <v>5</v>
      </c>
      <c r="X5">
        <v>14553483</v>
      </c>
      <c r="Y5">
        <v>12129192</v>
      </c>
      <c r="Z5" t="s">
        <v>1956</v>
      </c>
      <c r="AE5" t="str">
        <f>_xll.BDS("AA US Equity","SUPPLY_CHAIN_SUPPLIERS_ALL_DATA","cols=12;rows=5")</f>
        <v>MAADEN AB Equity</v>
      </c>
      <c r="AF5" t="s">
        <v>1752</v>
      </c>
      <c r="AG5">
        <v>4.2572039999999998</v>
      </c>
      <c r="AH5">
        <v>3.644434</v>
      </c>
      <c r="AI5" t="s">
        <v>1753</v>
      </c>
      <c r="AJ5">
        <v>2024</v>
      </c>
      <c r="AK5" t="s">
        <v>4266</v>
      </c>
      <c r="AL5" s="6">
        <v>45729</v>
      </c>
      <c r="AM5">
        <v>5</v>
      </c>
      <c r="AN5">
        <v>91511433.980000004</v>
      </c>
      <c r="AO5">
        <v>948635</v>
      </c>
      <c r="AP5" t="s">
        <v>4267</v>
      </c>
      <c r="AS5" t="str">
        <f>_xll.BDS("AA US Equity","SUPPLY_CHAIN_CUSTOMERS_ALL_DATA","cols=12;rows=5")</f>
        <v>MAADEN AB Equity</v>
      </c>
      <c r="AT5">
        <v>1.3594E-2</v>
      </c>
      <c r="AU5" t="s">
        <v>1752</v>
      </c>
      <c r="AV5">
        <v>2.6039E-2</v>
      </c>
      <c r="AW5" t="s">
        <v>1753</v>
      </c>
      <c r="AX5">
        <v>2024</v>
      </c>
      <c r="AY5" t="s">
        <v>4266</v>
      </c>
      <c r="AZ5" s="6">
        <v>45729</v>
      </c>
      <c r="BA5">
        <v>5</v>
      </c>
      <c r="BB5">
        <v>404250.67</v>
      </c>
      <c r="BC5">
        <v>948635</v>
      </c>
      <c r="BD5" t="s">
        <v>4267</v>
      </c>
      <c r="BI5" t="str">
        <f>_xll.BDS("BCIC US Equity","SUPPLY_CHAIN_SUPPLIERS_ALL_DATA")</f>
        <v>#N/A N/A</v>
      </c>
      <c r="BW5" t="str">
        <f>_xll.BDS("BCIC US Equity","SUPPLY_CHAIN_CUSTOMERS_ALL_DATA")</f>
        <v>#N/A N/A</v>
      </c>
      <c r="CM5" t="str">
        <f>_xll.BDS("ENRNQ US Equity","SUPPLY_CHAIN_SUPPLIERS_ALL_DATA","cols=12;rows=1")</f>
        <v>ITT US Equity</v>
      </c>
      <c r="CO5">
        <v>-2.4245362661989844E-14</v>
      </c>
      <c r="CP5">
        <v>-2.4245362661989844E-14</v>
      </c>
      <c r="CQ5" t="s">
        <v>1753</v>
      </c>
      <c r="CR5">
        <v>2023</v>
      </c>
      <c r="CS5" t="s">
        <v>4842</v>
      </c>
      <c r="CT5" s="6">
        <v>45132</v>
      </c>
      <c r="CU5">
        <v>1</v>
      </c>
      <c r="CV5">
        <v>-2.4245362661989844E-14</v>
      </c>
      <c r="CW5">
        <v>49689146</v>
      </c>
      <c r="CX5" t="s">
        <v>2058</v>
      </c>
      <c r="DA5" t="str">
        <f>_xll.BDS("ENRNQ US Equity","SUPPLY_CHAIN_CUSTOMERS_ALL_DATA")</f>
        <v>#N/A N/A</v>
      </c>
      <c r="DQ5" t="str">
        <f>_xll.BDS("PFE US Equity","SUPPLY_CHAIN_SUPPLIERS_ALL_DATA","cols=12;rows=5")</f>
        <v>BNTX US Equity</v>
      </c>
      <c r="DR5" t="s">
        <v>1752</v>
      </c>
      <c r="DS5">
        <v>73</v>
      </c>
      <c r="DT5">
        <v>12.187704999999999</v>
      </c>
      <c r="DU5" t="s">
        <v>1753</v>
      </c>
      <c r="DV5">
        <v>2024</v>
      </c>
      <c r="DW5" t="s">
        <v>4034</v>
      </c>
      <c r="DX5" s="6">
        <v>45726</v>
      </c>
      <c r="DY5">
        <v>5</v>
      </c>
      <c r="DZ5">
        <v>544064265</v>
      </c>
      <c r="EA5">
        <v>65839686</v>
      </c>
      <c r="EB5" t="s">
        <v>4035</v>
      </c>
      <c r="EE5" t="str">
        <f>_xll.BDS("PFE US Equity","SUPPLY_CHAIN_CUSTOMERS_ALL_DATA","cols=12;rows=5")</f>
        <v>MCK US Equity</v>
      </c>
      <c r="EF5">
        <v>25</v>
      </c>
      <c r="EG5" t="s">
        <v>1752</v>
      </c>
      <c r="EH5">
        <v>4.0761390000000004</v>
      </c>
      <c r="EI5" t="s">
        <v>1753</v>
      </c>
      <c r="EJ5">
        <v>2025</v>
      </c>
      <c r="EK5" t="s">
        <v>3719</v>
      </c>
      <c r="EL5" s="6">
        <v>46079</v>
      </c>
      <c r="EM5">
        <v>5</v>
      </c>
      <c r="EN5">
        <v>3911187456</v>
      </c>
      <c r="EO5">
        <v>154936</v>
      </c>
      <c r="EP5" t="s">
        <v>2342</v>
      </c>
      <c r="EU5" t="str">
        <f>_xll.BDS("CNX US Equity","SUPPLY_CHAIN_SUPPLIERS_ALL_DATA","cols=12;rows=3")</f>
        <v>SLB US Equity</v>
      </c>
      <c r="EV5" t="s">
        <v>1828</v>
      </c>
      <c r="EW5">
        <v>2.5469999999999998E-3</v>
      </c>
      <c r="EX5">
        <v>0.301012</v>
      </c>
      <c r="EY5" t="s">
        <v>1788</v>
      </c>
      <c r="EZ5">
        <v>2025</v>
      </c>
      <c r="FA5" t="s">
        <v>3057</v>
      </c>
      <c r="FB5" s="6">
        <v>45985</v>
      </c>
      <c r="FC5">
        <v>3</v>
      </c>
      <c r="FD5">
        <v>227396</v>
      </c>
      <c r="FE5">
        <v>101318</v>
      </c>
      <c r="FF5" t="s">
        <v>3058</v>
      </c>
      <c r="FI5" t="str">
        <f>_xll.BDS("CNX US Equity","SUPPLY_CHAIN_CUSTOMERS_ALL_DATA","cols=12;rows=4")</f>
        <v>2348512D US Equity</v>
      </c>
      <c r="FJ5">
        <v>12.571438000000001</v>
      </c>
      <c r="FL5">
        <v>-2.4245362661989844E-14</v>
      </c>
      <c r="FM5" t="s">
        <v>1753</v>
      </c>
      <c r="FN5">
        <v>2024</v>
      </c>
      <c r="FO5" t="s">
        <v>4516</v>
      </c>
      <c r="FP5" s="6">
        <v>45699</v>
      </c>
      <c r="FQ5">
        <v>4</v>
      </c>
      <c r="FR5">
        <v>33727250</v>
      </c>
      <c r="FS5">
        <v>42989759</v>
      </c>
      <c r="FT5" t="s">
        <v>4517</v>
      </c>
      <c r="FY5" t="str">
        <f>_xll.BDS("9876567D US Equity","SUPPLY_CHAIN_SUPPLIERS_ALL_DATA")</f>
        <v>#N/A N/A</v>
      </c>
      <c r="GM5" t="str">
        <f>_xll.BDS("9876567D US Equity","SUPPLY_CHAIN_CUSTOMERS_ALL_DATA")</f>
        <v>#N/A N/A</v>
      </c>
      <c r="HC5" t="str">
        <f>_xll.BDS("DCO US Equity","SUPPLY_CHAIN_SUPPLIERS_ALL_DATA","cols=12;rows=5")</f>
        <v>RS US Equity</v>
      </c>
      <c r="HD5" t="s">
        <v>1752</v>
      </c>
      <c r="HE5">
        <v>2.4819999999999998E-3</v>
      </c>
      <c r="HF5">
        <v>5.8061000000000001E-2</v>
      </c>
      <c r="HG5" t="s">
        <v>1788</v>
      </c>
      <c r="HH5">
        <v>2025</v>
      </c>
      <c r="HI5" t="s">
        <v>5875</v>
      </c>
      <c r="HJ5" s="6">
        <v>45982</v>
      </c>
      <c r="HK5">
        <v>5</v>
      </c>
      <c r="HL5">
        <v>90623</v>
      </c>
      <c r="HM5">
        <v>148223</v>
      </c>
      <c r="HN5" t="s">
        <v>4493</v>
      </c>
      <c r="HQ5" t="str">
        <f>_xll.BDS("DCO US Equity","SUPPLY_CHAIN_CUSTOMERS_ALL_DATA","cols=12;rows=5")</f>
        <v>VSAT US Equity</v>
      </c>
      <c r="HR5">
        <v>5</v>
      </c>
      <c r="HS5" t="s">
        <v>1752</v>
      </c>
      <c r="HT5">
        <v>1.327834</v>
      </c>
      <c r="HU5" t="s">
        <v>1774</v>
      </c>
      <c r="HV5">
        <v>2025</v>
      </c>
      <c r="HW5" t="s">
        <v>5714</v>
      </c>
      <c r="HX5" s="6">
        <v>45875</v>
      </c>
      <c r="HY5">
        <v>5</v>
      </c>
      <c r="HZ5">
        <v>10113000</v>
      </c>
      <c r="IA5">
        <v>194745</v>
      </c>
      <c r="IB5" t="s">
        <v>5735</v>
      </c>
      <c r="IG5" t="str">
        <f>_xll.BDS("PBI US Equity","SUPPLY_CHAIN_SUPPLIERS_ALL_DATA","cols=12;rows=5")</f>
        <v>XPO US Equity</v>
      </c>
      <c r="IH5" t="s">
        <v>1752</v>
      </c>
      <c r="II5">
        <v>3.0370000000000002E-3</v>
      </c>
      <c r="IJ5">
        <v>2.9465999999999999E-2</v>
      </c>
      <c r="IK5" t="s">
        <v>1774</v>
      </c>
      <c r="IL5">
        <v>2025</v>
      </c>
      <c r="IM5" t="s">
        <v>2245</v>
      </c>
      <c r="IN5" s="6">
        <v>45916</v>
      </c>
      <c r="IO5">
        <v>5</v>
      </c>
      <c r="IP5">
        <v>63170</v>
      </c>
      <c r="IQ5">
        <v>7359873</v>
      </c>
      <c r="IR5" t="s">
        <v>2246</v>
      </c>
      <c r="IU5" t="str">
        <f>_xll.BDS("PBI US Equity","SUPPLY_CHAIN_CUSTOMERS_ALL_DATA","cols=12;rows=5")</f>
        <v>0228856Z US Equity</v>
      </c>
      <c r="IV5">
        <v>-2.4245362661989844E-14</v>
      </c>
      <c r="IX5">
        <v>-2.4245362661989844E-14</v>
      </c>
      <c r="IY5" t="s">
        <v>1753</v>
      </c>
      <c r="IZ5">
        <v>2023</v>
      </c>
      <c r="JA5" t="s">
        <v>3822</v>
      </c>
      <c r="JB5" s="6">
        <v>45077</v>
      </c>
      <c r="JC5">
        <v>5</v>
      </c>
      <c r="JD5">
        <v>-2.4245362661989844E-14</v>
      </c>
      <c r="JE5">
        <v>227296</v>
      </c>
      <c r="JF5" t="s">
        <v>3285</v>
      </c>
      <c r="JK5" t="str">
        <f>_xll.BDS("ABT US Equity","SUPPLY_CHAIN_SUPPLIERS_ALL_DATA","cols=12;rows=5")</f>
        <v>MSFT US Equity</v>
      </c>
      <c r="JL5" t="s">
        <v>1752</v>
      </c>
      <c r="JM5">
        <v>5.0347999999999997E-2</v>
      </c>
      <c r="JN5">
        <v>0.78954400000000002</v>
      </c>
      <c r="JO5" t="s">
        <v>1788</v>
      </c>
      <c r="JP5">
        <v>2025</v>
      </c>
      <c r="JQ5" t="s">
        <v>2491</v>
      </c>
      <c r="JR5" s="6">
        <v>45843</v>
      </c>
      <c r="JS5">
        <v>5</v>
      </c>
      <c r="JT5">
        <v>35276832</v>
      </c>
      <c r="JU5">
        <v>101743</v>
      </c>
      <c r="JV5" t="s">
        <v>2156</v>
      </c>
      <c r="JY5" t="str">
        <f>_xll.BDS("ABT US Equity","SUPPLY_CHAIN_CUSTOMERS_ALL_DATA","cols=12;rows=5")</f>
        <v>SNX US Equity</v>
      </c>
      <c r="JZ5">
        <v>0.37113800000000002</v>
      </c>
      <c r="KA5" t="s">
        <v>1752</v>
      </c>
      <c r="KB5">
        <v>0.260712</v>
      </c>
      <c r="KC5" t="s">
        <v>1825</v>
      </c>
      <c r="KD5">
        <v>2025</v>
      </c>
      <c r="KE5" t="s">
        <v>1826</v>
      </c>
      <c r="KF5" s="6">
        <v>46056</v>
      </c>
      <c r="KG5">
        <v>5</v>
      </c>
      <c r="KH5">
        <v>42194648</v>
      </c>
      <c r="KI5">
        <v>1499717</v>
      </c>
      <c r="KJ5" t="s">
        <v>1827</v>
      </c>
      <c r="KO5" t="str">
        <f>_xll.BDS("PLRE US Equity","SUPPLY_CHAIN_SUPPLIERS_ALL_DATA")</f>
        <v>#N/A N/A</v>
      </c>
      <c r="LC5" t="str">
        <f>_xll.BDS("PLRE US Equity","SUPPLY_CHAIN_CUSTOMERS_ALL_DATA")</f>
        <v>#N/A N/A</v>
      </c>
      <c r="LS5" t="str">
        <f>_xll.BDS("FNVG US Equity","SUPPLY_CHAIN_SUPPLIERS_ALL_DATA")</f>
        <v>#N/A N/A</v>
      </c>
      <c r="MG5" t="str">
        <f>_xll.BDS("FNVG US Equity","SUPPLY_CHAIN_CUSTOMERS_ALL_DATA")</f>
        <v>#N/A N/A</v>
      </c>
      <c r="MW5" t="str">
        <f>_xll.BDS("OAK US Equity","SUPPLY_CHAIN_SUPPLIERS_ALL_DATA")</f>
        <v>#N/A N/A</v>
      </c>
      <c r="NK5" t="str">
        <f>_xll.BDS("OAK US Equity","SUPPLY_CHAIN_CUSTOMERS_ALL_DATA")</f>
        <v>#N/A N/A</v>
      </c>
      <c r="OA5" t="str">
        <f>_xll.BDS("AGN US Equity","SUPPLY_CHAIN_SUPPLIERS_ALL_DATA","cols=12;rows=5")</f>
        <v>AEE US Equity</v>
      </c>
      <c r="OC5">
        <v>-2.4245362661989844E-14</v>
      </c>
      <c r="OD5">
        <v>-2.4245362661989844E-14</v>
      </c>
      <c r="OE5" t="s">
        <v>1753</v>
      </c>
      <c r="OF5">
        <v>2021</v>
      </c>
      <c r="OG5" t="s">
        <v>2305</v>
      </c>
      <c r="OH5" s="6">
        <v>44693</v>
      </c>
      <c r="OI5">
        <v>5</v>
      </c>
      <c r="OJ5">
        <v>-2.4245362661989844E-14</v>
      </c>
      <c r="OK5">
        <v>313098</v>
      </c>
      <c r="OL5" t="s">
        <v>2306</v>
      </c>
      <c r="OO5" t="str">
        <f>_xll.BDS("AGN US Equity","SUPPLY_CHAIN_CUSTOMERS_ALL_DATA","cols=12;rows=1")</f>
        <v>4569 JP Equity</v>
      </c>
      <c r="OP5">
        <v>-2.4245362661989844E-14</v>
      </c>
      <c r="OR5">
        <v>-2.4245362661989844E-14</v>
      </c>
      <c r="OS5" t="s">
        <v>1753</v>
      </c>
      <c r="OT5">
        <v>2022</v>
      </c>
      <c r="OU5" t="s">
        <v>4562</v>
      </c>
      <c r="OV5" s="6">
        <v>44736</v>
      </c>
      <c r="OW5">
        <v>1</v>
      </c>
      <c r="OX5">
        <v>-2.4245362661989844E-14</v>
      </c>
      <c r="OY5">
        <v>10499395</v>
      </c>
      <c r="OZ5" t="s">
        <v>4563</v>
      </c>
      <c r="PE5" t="str">
        <f>_xll.BDS("LII US Equity","SUPPLY_CHAIN_SUPPLIERS_ALL_DATA","cols=12;rows=5")</f>
        <v>BHE US Equity</v>
      </c>
      <c r="PF5" t="s">
        <v>1752</v>
      </c>
      <c r="PG5">
        <v>1.7260869999999999</v>
      </c>
      <c r="PH5">
        <v>1.2220310000000001</v>
      </c>
      <c r="PI5" t="s">
        <v>1781</v>
      </c>
      <c r="PJ5">
        <v>2025</v>
      </c>
      <c r="PK5" t="s">
        <v>2953</v>
      </c>
      <c r="PL5" s="6">
        <v>45793</v>
      </c>
      <c r="PM5">
        <v>5</v>
      </c>
      <c r="PN5">
        <v>10904796</v>
      </c>
      <c r="PO5">
        <v>102417</v>
      </c>
      <c r="PP5" t="s">
        <v>2954</v>
      </c>
      <c r="PS5" t="str">
        <f>_xll.BDS("LII US Equity","SUPPLY_CHAIN_CUSTOMERS_ALL_DATA","cols=12;rows=5")</f>
        <v>WSO US Equity</v>
      </c>
      <c r="PT5">
        <v>0.89171999999999996</v>
      </c>
      <c r="PU5" t="s">
        <v>1752</v>
      </c>
      <c r="PV5">
        <v>0.81615700000000002</v>
      </c>
      <c r="PW5" t="s">
        <v>1774</v>
      </c>
      <c r="PX5">
        <v>2025</v>
      </c>
      <c r="PY5" t="s">
        <v>4780</v>
      </c>
      <c r="PZ5" s="6">
        <v>45889</v>
      </c>
      <c r="QA5">
        <v>5</v>
      </c>
      <c r="QB5">
        <v>11907355</v>
      </c>
      <c r="QC5">
        <v>107907</v>
      </c>
      <c r="QD5" t="s">
        <v>4609</v>
      </c>
      <c r="QI5" t="str">
        <f>_xll.BDS("TSFG US Equity","SUPPLY_CHAIN_SUPPLIERS_ALL_DATA")</f>
        <v>#N/A N/A</v>
      </c>
      <c r="QW5" t="str">
        <f>_xll.BDS("TSFG US Equity","SUPPLY_CHAIN_CUSTOMERS_ALL_DATA")</f>
        <v>#N/A N/A</v>
      </c>
      <c r="RM5" t="str">
        <f>_xll.BDS("TPP US Equity","SUPPLY_CHAIN_SUPPLIERS_ALL_DATA","cols=12;rows=1")</f>
        <v>CLMT US Equity</v>
      </c>
      <c r="RO5">
        <v>-2.4245362661989844E-14</v>
      </c>
      <c r="RP5">
        <v>-2.4245362661989844E-14</v>
      </c>
      <c r="RQ5" t="s">
        <v>1753</v>
      </c>
      <c r="RR5">
        <v>2024</v>
      </c>
      <c r="RS5" t="s">
        <v>5613</v>
      </c>
      <c r="RT5" s="6">
        <v>45719</v>
      </c>
      <c r="RU5">
        <v>1</v>
      </c>
      <c r="RV5">
        <v>-2.4245362661989844E-14</v>
      </c>
      <c r="RW5">
        <v>35560520</v>
      </c>
      <c r="RX5" t="s">
        <v>5614</v>
      </c>
      <c r="SA5" t="str">
        <f>_xll.BDS("TPP US Equity","SUPPLY_CHAIN_CUSTOMERS_ALL_DATA")</f>
        <v>#N/A N/A</v>
      </c>
      <c r="SQ5" t="str">
        <f>_xll.BDS("SOGCQ US Equity","SUPPLY_CHAIN_SUPPLIERS_ALL_DATA")</f>
        <v>#N/A N/A</v>
      </c>
      <c r="TE5" t="str">
        <f>_xll.BDS("SOGCQ US Equity","SUPPLY_CHAIN_CUSTOMERS_ALL_DATA")</f>
        <v>#N/A N/A</v>
      </c>
      <c r="TU5" t="str">
        <f>_xll.BDS("NVEE US Equity","SUPPLY_CHAIN_SUPPLIERS_ALL_DATA","cols=12;rows=1")</f>
        <v>HEXAB SS Equity</v>
      </c>
      <c r="TW5">
        <v>-2.4245362661989844E-14</v>
      </c>
      <c r="TX5">
        <v>-2.4245362661989844E-14</v>
      </c>
      <c r="TY5" t="s">
        <v>1753</v>
      </c>
      <c r="TZ5">
        <v>2022</v>
      </c>
      <c r="UA5" t="s">
        <v>4039</v>
      </c>
      <c r="UB5" s="6">
        <v>44950</v>
      </c>
      <c r="UC5">
        <v>1</v>
      </c>
      <c r="UD5">
        <v>-2.4245362661989844E-14</v>
      </c>
      <c r="UE5">
        <v>125136</v>
      </c>
      <c r="UF5" t="s">
        <v>4040</v>
      </c>
      <c r="UI5" t="str">
        <f>_xll.BDS("NVEE US Equity","SUPPLY_CHAIN_CUSTOMERS_ALL_DATA","cols=12;rows=5")</f>
        <v>0009844D US Equity</v>
      </c>
      <c r="UJ5">
        <v>-2.4245362661989844E-14</v>
      </c>
      <c r="UL5">
        <v>-2.4245362661989844E-14</v>
      </c>
      <c r="UM5" t="s">
        <v>1753</v>
      </c>
      <c r="UN5">
        <v>2024</v>
      </c>
      <c r="UO5" t="s">
        <v>3827</v>
      </c>
      <c r="UP5" s="6">
        <v>45709</v>
      </c>
      <c r="UQ5">
        <v>5</v>
      </c>
      <c r="UR5">
        <v>-2.4245362661989844E-14</v>
      </c>
      <c r="US5">
        <v>22150812</v>
      </c>
      <c r="UT5" t="s">
        <v>3828</v>
      </c>
      <c r="UY5" t="str">
        <f>_xll.BDS("MDT US Equity","SUPPLY_CHAIN_SUPPLIERS_ALL_DATA","cols=12;rows=5")</f>
        <v>FLEX US Equity</v>
      </c>
      <c r="UZ5" t="s">
        <v>1752</v>
      </c>
      <c r="VA5">
        <v>1.2190190000000001</v>
      </c>
      <c r="VB5">
        <v>2.8758149999999998</v>
      </c>
      <c r="VC5" t="s">
        <v>1788</v>
      </c>
      <c r="VD5">
        <v>2025</v>
      </c>
      <c r="VE5" t="s">
        <v>2213</v>
      </c>
      <c r="VF5" s="6">
        <v>45763</v>
      </c>
      <c r="VG5">
        <v>5</v>
      </c>
      <c r="VH5">
        <v>79918888</v>
      </c>
      <c r="VI5">
        <v>136547</v>
      </c>
      <c r="VJ5" t="s">
        <v>2214</v>
      </c>
      <c r="VM5" t="str">
        <f>_xll.BDS("MDT US Equity","SUPPLY_CHAIN_CUSTOMERS_ALL_DATA","cols=12;rows=5")</f>
        <v>4104 TT Equity</v>
      </c>
      <c r="VN5">
        <v>0.20070099999999999</v>
      </c>
      <c r="VO5" t="s">
        <v>1752</v>
      </c>
      <c r="VP5">
        <v>32.397697000000001</v>
      </c>
      <c r="VQ5" t="s">
        <v>1753</v>
      </c>
      <c r="VR5">
        <v>2024</v>
      </c>
      <c r="VS5" t="s">
        <v>5043</v>
      </c>
      <c r="VT5" s="6">
        <v>45814</v>
      </c>
      <c r="VU5">
        <v>5</v>
      </c>
      <c r="VV5">
        <v>17028014.890000001</v>
      </c>
      <c r="VW5">
        <v>7324380</v>
      </c>
      <c r="VX5" t="s">
        <v>5044</v>
      </c>
    </row>
    <row r="6" spans="1:600" x14ac:dyDescent="0.25">
      <c r="A6" t="s">
        <v>2215</v>
      </c>
      <c r="B6" t="s">
        <v>1752</v>
      </c>
      <c r="C6">
        <v>0.147895</v>
      </c>
      <c r="D6">
        <v>0.47978500000000002</v>
      </c>
      <c r="E6" t="s">
        <v>1788</v>
      </c>
      <c r="F6">
        <v>2025</v>
      </c>
      <c r="G6" t="s">
        <v>2216</v>
      </c>
      <c r="H6" s="6">
        <v>45867</v>
      </c>
      <c r="I6">
        <v>5</v>
      </c>
      <c r="J6">
        <v>11577221</v>
      </c>
      <c r="K6">
        <v>117092</v>
      </c>
      <c r="L6" t="s">
        <v>2217</v>
      </c>
      <c r="O6" t="s">
        <v>1824</v>
      </c>
      <c r="P6">
        <v>0.22051499999999999</v>
      </c>
      <c r="Q6" t="s">
        <v>1752</v>
      </c>
      <c r="R6">
        <v>9.3169000000000002E-2</v>
      </c>
      <c r="S6" t="s">
        <v>1825</v>
      </c>
      <c r="T6">
        <v>2025</v>
      </c>
      <c r="U6" t="s">
        <v>1826</v>
      </c>
      <c r="V6" s="6">
        <v>46056</v>
      </c>
      <c r="W6">
        <v>5</v>
      </c>
      <c r="X6">
        <v>15078834</v>
      </c>
      <c r="Y6">
        <v>1499717</v>
      </c>
      <c r="Z6" t="s">
        <v>1827</v>
      </c>
      <c r="AE6" t="s">
        <v>5157</v>
      </c>
      <c r="AF6" t="s">
        <v>1752</v>
      </c>
      <c r="AG6">
        <v>2.854762</v>
      </c>
      <c r="AH6">
        <v>0.41643999999999998</v>
      </c>
      <c r="AI6" t="s">
        <v>1774</v>
      </c>
      <c r="AJ6">
        <v>2025</v>
      </c>
      <c r="AK6" t="s">
        <v>5158</v>
      </c>
      <c r="AL6" s="6">
        <v>45902</v>
      </c>
      <c r="AM6">
        <v>5</v>
      </c>
      <c r="AN6">
        <v>11043989</v>
      </c>
      <c r="AO6">
        <v>47762945</v>
      </c>
      <c r="AP6" t="s">
        <v>5159</v>
      </c>
      <c r="AS6" t="s">
        <v>4268</v>
      </c>
      <c r="AT6">
        <v>-2.4245362661989844E-14</v>
      </c>
      <c r="AV6">
        <v>-2.4245362661989844E-14</v>
      </c>
      <c r="AW6" t="s">
        <v>1753</v>
      </c>
      <c r="AX6">
        <v>2022</v>
      </c>
      <c r="AY6" t="s">
        <v>4269</v>
      </c>
      <c r="AZ6" s="6">
        <v>44665</v>
      </c>
      <c r="BA6">
        <v>5</v>
      </c>
      <c r="BB6">
        <v>-2.4245362661989844E-14</v>
      </c>
      <c r="BC6">
        <v>32508551</v>
      </c>
      <c r="BD6" t="s">
        <v>4270</v>
      </c>
      <c r="DQ6" t="s">
        <v>385</v>
      </c>
      <c r="DR6" t="s">
        <v>1752</v>
      </c>
      <c r="DS6">
        <v>0.22900000000000001</v>
      </c>
      <c r="DT6">
        <v>1.2800659999999999</v>
      </c>
      <c r="DU6" t="s">
        <v>1825</v>
      </c>
      <c r="DV6">
        <v>2025</v>
      </c>
      <c r="DW6" t="s">
        <v>1897</v>
      </c>
      <c r="DX6" s="6">
        <v>45848</v>
      </c>
      <c r="DY6">
        <v>5</v>
      </c>
      <c r="DZ6">
        <v>36417872</v>
      </c>
      <c r="EA6">
        <v>101752</v>
      </c>
      <c r="EB6" t="s">
        <v>2109</v>
      </c>
      <c r="EE6" t="s">
        <v>1545</v>
      </c>
      <c r="EF6">
        <v>16</v>
      </c>
      <c r="EG6" t="s">
        <v>1752</v>
      </c>
      <c r="EH6">
        <v>3.190922</v>
      </c>
      <c r="EI6" t="s">
        <v>1753</v>
      </c>
      <c r="EJ6">
        <v>2025</v>
      </c>
      <c r="EK6" t="s">
        <v>3719</v>
      </c>
      <c r="EL6" s="6">
        <v>46079</v>
      </c>
      <c r="EM6">
        <v>5</v>
      </c>
      <c r="EN6">
        <v>2503160064</v>
      </c>
      <c r="EO6">
        <v>156969</v>
      </c>
      <c r="EP6" t="s">
        <v>2340</v>
      </c>
      <c r="EU6" t="s">
        <v>3059</v>
      </c>
      <c r="EW6">
        <v>-2.4245362661989844E-14</v>
      </c>
      <c r="EX6">
        <v>-2.4245362661989844E-14</v>
      </c>
      <c r="EY6" t="s">
        <v>1753</v>
      </c>
      <c r="EZ6">
        <v>2022</v>
      </c>
      <c r="FA6" t="s">
        <v>3060</v>
      </c>
      <c r="FB6" s="6">
        <v>44768</v>
      </c>
      <c r="FC6">
        <v>3</v>
      </c>
      <c r="FD6">
        <v>-2.4245362661989844E-14</v>
      </c>
      <c r="FE6">
        <v>69630452</v>
      </c>
      <c r="FF6" t="s">
        <v>3061</v>
      </c>
      <c r="FI6" t="s">
        <v>4518</v>
      </c>
      <c r="FJ6">
        <v>12.387491000000001</v>
      </c>
      <c r="FK6" t="s">
        <v>1752</v>
      </c>
      <c r="FL6">
        <v>0.56221200000000005</v>
      </c>
      <c r="FM6" t="s">
        <v>1753</v>
      </c>
      <c r="FN6">
        <v>2024</v>
      </c>
      <c r="FO6" t="s">
        <v>4516</v>
      </c>
      <c r="FP6" s="6">
        <v>45699</v>
      </c>
      <c r="FQ6">
        <v>4</v>
      </c>
      <c r="FR6">
        <v>33233750</v>
      </c>
      <c r="FS6">
        <v>8502156</v>
      </c>
      <c r="FT6" t="s">
        <v>4519</v>
      </c>
      <c r="HC6" t="s">
        <v>5876</v>
      </c>
      <c r="HD6" t="s">
        <v>1752</v>
      </c>
      <c r="HE6">
        <v>4.1283E-2</v>
      </c>
      <c r="HF6">
        <v>3.4223000000000003E-2</v>
      </c>
      <c r="HG6" t="s">
        <v>1774</v>
      </c>
      <c r="HH6">
        <v>2025</v>
      </c>
      <c r="HI6" t="s">
        <v>5877</v>
      </c>
      <c r="HJ6" s="6">
        <v>45888</v>
      </c>
      <c r="HK6">
        <v>5</v>
      </c>
      <c r="HL6">
        <v>50829</v>
      </c>
      <c r="HM6">
        <v>71597497</v>
      </c>
      <c r="HN6" t="s">
        <v>5878</v>
      </c>
      <c r="HQ6" t="s">
        <v>5736</v>
      </c>
      <c r="HR6">
        <v>4.5999999999999996</v>
      </c>
      <c r="HS6" t="s">
        <v>1752</v>
      </c>
      <c r="HT6">
        <v>0.44343199999999999</v>
      </c>
      <c r="HU6" t="s">
        <v>1788</v>
      </c>
      <c r="HV6">
        <v>2025</v>
      </c>
      <c r="HW6" t="s">
        <v>5737</v>
      </c>
      <c r="HX6" s="6">
        <v>45967</v>
      </c>
      <c r="HY6">
        <v>5</v>
      </c>
      <c r="HZ6">
        <v>9777668</v>
      </c>
      <c r="IA6">
        <v>10889459</v>
      </c>
      <c r="IB6" t="s">
        <v>5738</v>
      </c>
      <c r="IG6" t="s">
        <v>3402</v>
      </c>
      <c r="II6">
        <v>-2.4245362661989844E-14</v>
      </c>
      <c r="IJ6">
        <v>-2.4245362661989844E-14</v>
      </c>
      <c r="IK6" t="s">
        <v>1753</v>
      </c>
      <c r="IL6">
        <v>2023</v>
      </c>
      <c r="IM6" t="s">
        <v>3403</v>
      </c>
      <c r="IN6" s="6">
        <v>45299</v>
      </c>
      <c r="IO6">
        <v>5</v>
      </c>
      <c r="IP6">
        <v>-2.4245362661989844E-14</v>
      </c>
      <c r="IQ6">
        <v>39932009</v>
      </c>
      <c r="IR6" t="s">
        <v>3404</v>
      </c>
      <c r="IU6" t="s">
        <v>3823</v>
      </c>
      <c r="IV6">
        <v>-2.4245362661989844E-14</v>
      </c>
      <c r="IX6">
        <v>-2.4245362661989844E-14</v>
      </c>
      <c r="IY6" t="s">
        <v>1753</v>
      </c>
      <c r="IZ6">
        <v>2025</v>
      </c>
      <c r="JA6" t="s">
        <v>3822</v>
      </c>
      <c r="JB6" s="6">
        <v>45687</v>
      </c>
      <c r="JC6">
        <v>5</v>
      </c>
      <c r="JD6">
        <v>-2.4245362661989844E-14</v>
      </c>
      <c r="JE6">
        <v>67173125</v>
      </c>
      <c r="JF6" t="s">
        <v>3824</v>
      </c>
      <c r="JK6" t="s">
        <v>3204</v>
      </c>
      <c r="JL6" t="s">
        <v>1940</v>
      </c>
      <c r="JM6">
        <v>9.5382999999999996E-2</v>
      </c>
      <c r="JN6">
        <v>1.0817209999999999</v>
      </c>
      <c r="JO6" t="s">
        <v>1781</v>
      </c>
      <c r="JP6">
        <v>2026</v>
      </c>
      <c r="JQ6" t="s">
        <v>3205</v>
      </c>
      <c r="JR6" s="6">
        <v>45973</v>
      </c>
      <c r="JS6">
        <v>5</v>
      </c>
      <c r="JT6">
        <v>32671380.140000001</v>
      </c>
      <c r="JU6">
        <v>16857643</v>
      </c>
      <c r="JV6" t="s">
        <v>3206</v>
      </c>
      <c r="JY6" t="s">
        <v>1643</v>
      </c>
      <c r="JZ6">
        <v>0.16034200000000001</v>
      </c>
      <c r="KA6" t="s">
        <v>1752</v>
      </c>
      <c r="KB6">
        <v>12.286398</v>
      </c>
      <c r="KC6" t="s">
        <v>1753</v>
      </c>
      <c r="KD6">
        <v>2025</v>
      </c>
      <c r="KE6" t="s">
        <v>1754</v>
      </c>
      <c r="KF6" s="6">
        <v>45856</v>
      </c>
      <c r="KG6">
        <v>5</v>
      </c>
      <c r="KH6">
        <v>17393065.039999999</v>
      </c>
      <c r="KI6">
        <v>169572</v>
      </c>
      <c r="KJ6" t="s">
        <v>4220</v>
      </c>
      <c r="OA6" t="s">
        <v>2307</v>
      </c>
      <c r="OC6">
        <v>-2.4245362661989844E-14</v>
      </c>
      <c r="OD6">
        <v>-2.4245362661989844E-14</v>
      </c>
      <c r="OE6" t="s">
        <v>1753</v>
      </c>
      <c r="OF6">
        <v>2021</v>
      </c>
      <c r="OG6" t="s">
        <v>2308</v>
      </c>
      <c r="OH6" s="6">
        <v>44693</v>
      </c>
      <c r="OI6">
        <v>5</v>
      </c>
      <c r="OJ6">
        <v>-2.4245362661989844E-14</v>
      </c>
      <c r="OK6">
        <v>100060</v>
      </c>
      <c r="OL6" t="s">
        <v>2309</v>
      </c>
      <c r="PE6" t="s">
        <v>1926</v>
      </c>
      <c r="PF6" t="s">
        <v>1752</v>
      </c>
      <c r="PG6">
        <v>2.3734000000000002E-2</v>
      </c>
      <c r="PH6">
        <v>0.46918700000000002</v>
      </c>
      <c r="PI6" t="s">
        <v>1788</v>
      </c>
      <c r="PJ6">
        <v>2024</v>
      </c>
      <c r="PK6" t="s">
        <v>1927</v>
      </c>
      <c r="PL6" s="6">
        <v>45727</v>
      </c>
      <c r="PM6">
        <v>5</v>
      </c>
      <c r="PN6">
        <v>3883062.56</v>
      </c>
      <c r="PO6">
        <v>7583418</v>
      </c>
      <c r="PP6" t="s">
        <v>1928</v>
      </c>
      <c r="PS6" t="s">
        <v>1935</v>
      </c>
      <c r="PT6">
        <v>7.5506000000000004E-2</v>
      </c>
      <c r="PU6" t="s">
        <v>1752</v>
      </c>
      <c r="PV6">
        <v>6.3579999999999999E-3</v>
      </c>
      <c r="PW6" t="s">
        <v>1774</v>
      </c>
      <c r="PX6">
        <v>2026</v>
      </c>
      <c r="PY6" t="s">
        <v>2703</v>
      </c>
      <c r="PZ6" s="6">
        <v>45940</v>
      </c>
      <c r="QA6">
        <v>5</v>
      </c>
      <c r="QB6">
        <v>1008252</v>
      </c>
      <c r="QC6">
        <v>100916</v>
      </c>
      <c r="QD6" t="s">
        <v>1936</v>
      </c>
      <c r="UI6" t="s">
        <v>3829</v>
      </c>
      <c r="UJ6">
        <v>-2.4245362661989844E-14</v>
      </c>
      <c r="UL6">
        <v>-2.4245362661989844E-14</v>
      </c>
      <c r="UM6" t="s">
        <v>1753</v>
      </c>
      <c r="UN6">
        <v>2024</v>
      </c>
      <c r="UO6" t="s">
        <v>3827</v>
      </c>
      <c r="UP6" s="6">
        <v>45709</v>
      </c>
      <c r="UQ6">
        <v>5</v>
      </c>
      <c r="UR6">
        <v>-2.4245362661989844E-14</v>
      </c>
      <c r="US6">
        <v>17646601</v>
      </c>
      <c r="UT6" t="s">
        <v>3830</v>
      </c>
      <c r="UY6" t="s">
        <v>5462</v>
      </c>
      <c r="UZ6" t="s">
        <v>1752</v>
      </c>
      <c r="VA6">
        <v>2.3008839999999999</v>
      </c>
      <c r="VB6">
        <v>1.9882420000000001</v>
      </c>
      <c r="VC6" t="s">
        <v>1825</v>
      </c>
      <c r="VD6">
        <v>2024</v>
      </c>
      <c r="VE6" t="s">
        <v>5463</v>
      </c>
      <c r="VF6" s="6">
        <v>45694</v>
      </c>
      <c r="VG6">
        <v>5</v>
      </c>
      <c r="VH6">
        <v>58573604</v>
      </c>
      <c r="VI6">
        <v>349266</v>
      </c>
      <c r="VJ6" t="s">
        <v>5464</v>
      </c>
      <c r="VM6" t="s">
        <v>5045</v>
      </c>
      <c r="VN6">
        <v>-2.4245362661989844E-14</v>
      </c>
      <c r="VP6">
        <v>-2.4245362661989844E-14</v>
      </c>
      <c r="VQ6" t="s">
        <v>1753</v>
      </c>
      <c r="VR6">
        <v>2021</v>
      </c>
      <c r="VS6" t="s">
        <v>5046</v>
      </c>
      <c r="VT6" s="6">
        <v>44676</v>
      </c>
      <c r="VU6">
        <v>5</v>
      </c>
      <c r="VV6">
        <v>-2.4245362661989844E-14</v>
      </c>
      <c r="VW6">
        <v>24598477</v>
      </c>
      <c r="VX6" t="s">
        <v>5047</v>
      </c>
    </row>
    <row r="7" spans="1:600" x14ac:dyDescent="0.25">
      <c r="A7" t="s">
        <v>2415</v>
      </c>
      <c r="B7" t="s">
        <v>1752</v>
      </c>
      <c r="C7">
        <v>0.32230900000000001</v>
      </c>
      <c r="D7">
        <v>0.38473400000000002</v>
      </c>
      <c r="E7" t="s">
        <v>1788</v>
      </c>
      <c r="F7">
        <v>2025</v>
      </c>
      <c r="G7" t="s">
        <v>2416</v>
      </c>
      <c r="H7" s="6">
        <v>45891</v>
      </c>
      <c r="I7">
        <v>5</v>
      </c>
      <c r="J7">
        <v>9283621</v>
      </c>
      <c r="K7">
        <v>100097</v>
      </c>
      <c r="L7" t="s">
        <v>2417</v>
      </c>
      <c r="O7" t="s">
        <v>2092</v>
      </c>
      <c r="P7">
        <v>8.1423999999999996E-2</v>
      </c>
      <c r="Q7" t="s">
        <v>1752</v>
      </c>
      <c r="R7">
        <v>0.194387</v>
      </c>
      <c r="S7" t="s">
        <v>1788</v>
      </c>
      <c r="T7">
        <v>2025</v>
      </c>
      <c r="U7" t="s">
        <v>2093</v>
      </c>
      <c r="V7" s="6">
        <v>45694</v>
      </c>
      <c r="W7">
        <v>5</v>
      </c>
      <c r="X7">
        <v>5430637.3600000003</v>
      </c>
      <c r="Y7">
        <v>111827</v>
      </c>
      <c r="Z7" t="s">
        <v>2094</v>
      </c>
      <c r="AE7" t="s">
        <v>5160</v>
      </c>
      <c r="AF7" t="s">
        <v>1752</v>
      </c>
      <c r="AG7">
        <v>1.885923</v>
      </c>
      <c r="AH7">
        <v>0.25189800000000001</v>
      </c>
      <c r="AI7" t="s">
        <v>1788</v>
      </c>
      <c r="AJ7">
        <v>2025</v>
      </c>
      <c r="AK7" t="s">
        <v>5161</v>
      </c>
      <c r="AL7" s="6">
        <v>46010</v>
      </c>
      <c r="AM7">
        <v>5</v>
      </c>
      <c r="AN7">
        <v>6788644</v>
      </c>
      <c r="AO7">
        <v>12189467</v>
      </c>
      <c r="AP7" t="s">
        <v>5162</v>
      </c>
      <c r="AS7" t="s">
        <v>4271</v>
      </c>
      <c r="AT7">
        <v>-2.4245362661989844E-14</v>
      </c>
      <c r="AV7">
        <v>-2.4245362661989844E-14</v>
      </c>
      <c r="AW7" t="s">
        <v>1753</v>
      </c>
      <c r="AX7">
        <v>2023</v>
      </c>
      <c r="AY7" t="s">
        <v>4269</v>
      </c>
      <c r="AZ7" s="6">
        <v>45061</v>
      </c>
      <c r="BA7">
        <v>5</v>
      </c>
      <c r="BB7">
        <v>-2.4245362661989844E-14</v>
      </c>
      <c r="BC7">
        <v>35869103</v>
      </c>
      <c r="BD7" t="s">
        <v>4272</v>
      </c>
      <c r="DQ7" t="s">
        <v>2412</v>
      </c>
      <c r="DR7" t="s">
        <v>1752</v>
      </c>
      <c r="DS7">
        <v>3.7231350000000001</v>
      </c>
      <c r="DT7">
        <v>0.80518199999999995</v>
      </c>
      <c r="DU7" t="s">
        <v>1788</v>
      </c>
      <c r="DV7">
        <v>2025</v>
      </c>
      <c r="DW7" t="s">
        <v>2413</v>
      </c>
      <c r="DX7" s="6">
        <v>46069</v>
      </c>
      <c r="DY7">
        <v>5</v>
      </c>
      <c r="DZ7">
        <v>33600181.100000001</v>
      </c>
      <c r="EA7">
        <v>153809</v>
      </c>
      <c r="EB7" t="s">
        <v>2414</v>
      </c>
      <c r="EE7" t="s">
        <v>1461</v>
      </c>
      <c r="EF7">
        <v>13</v>
      </c>
      <c r="EG7" t="s">
        <v>1752</v>
      </c>
      <c r="EH7">
        <v>3.4525320000000002</v>
      </c>
      <c r="EI7" t="s">
        <v>1753</v>
      </c>
      <c r="EJ7">
        <v>2025</v>
      </c>
      <c r="EK7" t="s">
        <v>3719</v>
      </c>
      <c r="EL7" s="6">
        <v>46079</v>
      </c>
      <c r="EM7">
        <v>5</v>
      </c>
      <c r="EN7">
        <v>2033817472</v>
      </c>
      <c r="EO7">
        <v>102782</v>
      </c>
      <c r="EP7" t="s">
        <v>1991</v>
      </c>
      <c r="EU7" t="s">
        <v>3062</v>
      </c>
      <c r="EW7">
        <v>-2.4245362661989844E-14</v>
      </c>
      <c r="EX7">
        <v>-2.4245362661989844E-14</v>
      </c>
      <c r="EY7" t="s">
        <v>1753</v>
      </c>
      <c r="EZ7">
        <v>2024</v>
      </c>
      <c r="FA7" t="s">
        <v>3063</v>
      </c>
      <c r="FB7" s="6">
        <v>45719</v>
      </c>
      <c r="FC7">
        <v>3</v>
      </c>
      <c r="FD7">
        <v>-2.4245362661989844E-14</v>
      </c>
      <c r="FE7">
        <v>814774</v>
      </c>
      <c r="FF7" t="s">
        <v>3064</v>
      </c>
      <c r="FI7" t="s">
        <v>4520</v>
      </c>
      <c r="FJ7">
        <v>-2.4245362661989844E-14</v>
      </c>
      <c r="FL7">
        <v>-2.4245362661989844E-14</v>
      </c>
      <c r="FM7" t="s">
        <v>1753</v>
      </c>
      <c r="FN7">
        <v>2022</v>
      </c>
      <c r="FO7" t="s">
        <v>4521</v>
      </c>
      <c r="FP7" s="6">
        <v>44966</v>
      </c>
      <c r="FQ7">
        <v>4</v>
      </c>
      <c r="FR7">
        <v>-2.4245362661989844E-14</v>
      </c>
      <c r="FS7">
        <v>216204</v>
      </c>
      <c r="FT7" t="s">
        <v>4522</v>
      </c>
      <c r="HC7" t="s">
        <v>5879</v>
      </c>
      <c r="HD7" t="s">
        <v>1752</v>
      </c>
      <c r="HE7">
        <v>9.5119999999999996E-3</v>
      </c>
      <c r="HF7">
        <v>8.1510000000000003E-3</v>
      </c>
      <c r="HG7" t="s">
        <v>1825</v>
      </c>
      <c r="HH7">
        <v>2025</v>
      </c>
      <c r="HI7" t="s">
        <v>5880</v>
      </c>
      <c r="HJ7" s="6">
        <v>45874</v>
      </c>
      <c r="HK7">
        <v>5</v>
      </c>
      <c r="HL7">
        <v>11627.92</v>
      </c>
      <c r="HM7">
        <v>30217141</v>
      </c>
      <c r="HN7" t="s">
        <v>5881</v>
      </c>
      <c r="HQ7" t="s">
        <v>1019</v>
      </c>
      <c r="HR7">
        <v>3.8</v>
      </c>
      <c r="HS7" t="s">
        <v>1752</v>
      </c>
      <c r="HT7">
        <v>7.4070999999999998E-2</v>
      </c>
      <c r="HU7" t="s">
        <v>1753</v>
      </c>
      <c r="HV7">
        <v>2024</v>
      </c>
      <c r="HW7" t="s">
        <v>5739</v>
      </c>
      <c r="HX7" s="6">
        <v>45715</v>
      </c>
      <c r="HY7">
        <v>5</v>
      </c>
      <c r="HZ7">
        <v>7472234.5</v>
      </c>
      <c r="IA7">
        <v>100631</v>
      </c>
      <c r="IB7" t="s">
        <v>4232</v>
      </c>
      <c r="IG7" t="s">
        <v>3405</v>
      </c>
      <c r="II7">
        <v>-2.4245362661989844E-14</v>
      </c>
      <c r="IJ7">
        <v>-2.4245362661989844E-14</v>
      </c>
      <c r="IK7" t="s">
        <v>1753</v>
      </c>
      <c r="IL7">
        <v>2023</v>
      </c>
      <c r="IM7" t="s">
        <v>3406</v>
      </c>
      <c r="IN7" s="6">
        <v>45300</v>
      </c>
      <c r="IO7">
        <v>5</v>
      </c>
      <c r="IP7">
        <v>-2.4245362661989844E-14</v>
      </c>
      <c r="IQ7">
        <v>61989641</v>
      </c>
      <c r="IR7" t="s">
        <v>3407</v>
      </c>
      <c r="IU7" t="s">
        <v>1791</v>
      </c>
      <c r="IV7">
        <v>-2.4245362661989844E-14</v>
      </c>
      <c r="IX7">
        <v>-2.4245362661989844E-14</v>
      </c>
      <c r="IY7" t="s">
        <v>1753</v>
      </c>
      <c r="IZ7">
        <v>2023</v>
      </c>
      <c r="JA7" t="s">
        <v>3822</v>
      </c>
      <c r="JB7" s="6">
        <v>45077</v>
      </c>
      <c r="JC7">
        <v>5</v>
      </c>
      <c r="JD7">
        <v>-2.4245362661989844E-14</v>
      </c>
      <c r="JE7">
        <v>218252</v>
      </c>
      <c r="JF7" t="s">
        <v>1793</v>
      </c>
      <c r="JK7" t="s">
        <v>3444</v>
      </c>
      <c r="JL7" t="s">
        <v>1752</v>
      </c>
      <c r="JM7">
        <v>0.54199799999999998</v>
      </c>
      <c r="JN7">
        <v>0.58194000000000001</v>
      </c>
      <c r="JO7" t="s">
        <v>1774</v>
      </c>
      <c r="JP7">
        <v>2026</v>
      </c>
      <c r="JQ7" t="s">
        <v>3445</v>
      </c>
      <c r="JR7" s="6">
        <v>46071</v>
      </c>
      <c r="JS7">
        <v>5</v>
      </c>
      <c r="JT7">
        <v>29533472</v>
      </c>
      <c r="JU7">
        <v>61417091</v>
      </c>
      <c r="JV7" t="s">
        <v>3446</v>
      </c>
      <c r="JY7" t="s">
        <v>4221</v>
      </c>
      <c r="JZ7">
        <v>4.6823999999999998E-2</v>
      </c>
      <c r="KA7" t="s">
        <v>1752</v>
      </c>
      <c r="KB7">
        <v>12.031086999999999</v>
      </c>
      <c r="KC7" t="s">
        <v>1753</v>
      </c>
      <c r="KD7">
        <v>2024</v>
      </c>
      <c r="KE7" t="s">
        <v>4222</v>
      </c>
      <c r="KF7" s="6">
        <v>45785</v>
      </c>
      <c r="KG7">
        <v>5</v>
      </c>
      <c r="KH7">
        <v>5010938.38</v>
      </c>
      <c r="KI7">
        <v>33604341</v>
      </c>
      <c r="KJ7" t="s">
        <v>4223</v>
      </c>
      <c r="OA7" t="s">
        <v>2392</v>
      </c>
      <c r="OC7">
        <v>-2.4245362661989844E-14</v>
      </c>
      <c r="OD7">
        <v>-2.4245362661989844E-14</v>
      </c>
      <c r="OE7" t="s">
        <v>1753</v>
      </c>
      <c r="OF7">
        <v>2021</v>
      </c>
      <c r="OG7" t="s">
        <v>2393</v>
      </c>
      <c r="OH7" s="6">
        <v>44693</v>
      </c>
      <c r="OI7">
        <v>5</v>
      </c>
      <c r="OJ7">
        <v>-2.4245362661989844E-14</v>
      </c>
      <c r="OK7">
        <v>101690</v>
      </c>
      <c r="OL7" t="s">
        <v>2394</v>
      </c>
      <c r="PE7" t="s">
        <v>4902</v>
      </c>
      <c r="PF7" t="s">
        <v>1752</v>
      </c>
      <c r="PG7">
        <v>7.4989E-2</v>
      </c>
      <c r="PH7">
        <v>0.39765</v>
      </c>
      <c r="PI7" t="s">
        <v>1825</v>
      </c>
      <c r="PJ7">
        <v>2024</v>
      </c>
      <c r="PK7" t="s">
        <v>4903</v>
      </c>
      <c r="PL7" s="6">
        <v>45714</v>
      </c>
      <c r="PM7">
        <v>5</v>
      </c>
      <c r="PN7">
        <v>3463382.06</v>
      </c>
      <c r="PO7">
        <v>101079</v>
      </c>
      <c r="PP7" t="s">
        <v>4904</v>
      </c>
      <c r="PS7" t="s">
        <v>4781</v>
      </c>
      <c r="PT7">
        <v>-2.4245362661989844E-14</v>
      </c>
      <c r="PV7">
        <v>-2.4245362661989844E-14</v>
      </c>
      <c r="PW7" t="s">
        <v>1788</v>
      </c>
      <c r="PX7">
        <v>2022</v>
      </c>
      <c r="PY7" t="s">
        <v>4782</v>
      </c>
      <c r="PZ7" s="6">
        <v>44879</v>
      </c>
      <c r="QA7">
        <v>5</v>
      </c>
      <c r="QB7">
        <v>-2.4245362661989844E-14</v>
      </c>
      <c r="QC7">
        <v>201989</v>
      </c>
      <c r="QD7" t="s">
        <v>4783</v>
      </c>
      <c r="UI7" t="s">
        <v>3831</v>
      </c>
      <c r="UJ7">
        <v>-2.4245362661989844E-14</v>
      </c>
      <c r="UL7">
        <v>-2.4245362661989844E-14</v>
      </c>
      <c r="UM7" t="s">
        <v>1753</v>
      </c>
      <c r="UN7">
        <v>2024</v>
      </c>
      <c r="UO7" t="s">
        <v>3827</v>
      </c>
      <c r="UP7" s="6">
        <v>45709</v>
      </c>
      <c r="UQ7">
        <v>5</v>
      </c>
      <c r="UR7">
        <v>-2.4245362661989844E-14</v>
      </c>
      <c r="US7">
        <v>7873942</v>
      </c>
      <c r="UT7" t="s">
        <v>3832</v>
      </c>
      <c r="UY7" t="s">
        <v>2215</v>
      </c>
      <c r="UZ7" t="s">
        <v>1752</v>
      </c>
      <c r="VA7">
        <v>0.23526900000000001</v>
      </c>
      <c r="VB7">
        <v>0.58521900000000004</v>
      </c>
      <c r="VC7" t="s">
        <v>1788</v>
      </c>
      <c r="VD7">
        <v>2025</v>
      </c>
      <c r="VE7" t="s">
        <v>2216</v>
      </c>
      <c r="VF7" s="6">
        <v>45867</v>
      </c>
      <c r="VG7">
        <v>5</v>
      </c>
      <c r="VH7">
        <v>18416856</v>
      </c>
      <c r="VI7">
        <v>117092</v>
      </c>
      <c r="VJ7" t="s">
        <v>2217</v>
      </c>
      <c r="VM7" t="s">
        <v>5048</v>
      </c>
      <c r="VN7">
        <v>-2.4245362661989844E-14</v>
      </c>
      <c r="VP7">
        <v>-2.4245362661989844E-14</v>
      </c>
      <c r="VQ7" t="s">
        <v>1753</v>
      </c>
      <c r="VR7">
        <v>2023</v>
      </c>
      <c r="VS7" t="s">
        <v>5049</v>
      </c>
      <c r="VT7" s="6">
        <v>45135</v>
      </c>
      <c r="VU7">
        <v>5</v>
      </c>
      <c r="VV7">
        <v>-2.4245362661989844E-14</v>
      </c>
      <c r="VW7">
        <v>103017</v>
      </c>
      <c r="VX7" t="s">
        <v>5050</v>
      </c>
    </row>
    <row r="8" spans="1:600" x14ac:dyDescent="0.25">
      <c r="A8" t="s">
        <v>1422</v>
      </c>
      <c r="B8" t="s">
        <v>1752</v>
      </c>
      <c r="C8">
        <v>1.1725810000000001</v>
      </c>
      <c r="D8">
        <v>0.15703400000000001</v>
      </c>
      <c r="E8" t="s">
        <v>1781</v>
      </c>
      <c r="F8">
        <v>2026</v>
      </c>
      <c r="G8" t="s">
        <v>1906</v>
      </c>
      <c r="H8" s="6">
        <v>46051</v>
      </c>
      <c r="I8">
        <v>5</v>
      </c>
      <c r="J8">
        <v>4510016</v>
      </c>
      <c r="K8">
        <v>225757</v>
      </c>
      <c r="L8" t="s">
        <v>3065</v>
      </c>
      <c r="O8" t="s">
        <v>1883</v>
      </c>
      <c r="P8">
        <v>6.6940000000000003E-3</v>
      </c>
      <c r="Q8" t="s">
        <v>1752</v>
      </c>
      <c r="R8">
        <v>5.5948409999999997</v>
      </c>
      <c r="S8" t="s">
        <v>1753</v>
      </c>
      <c r="T8">
        <v>2024</v>
      </c>
      <c r="U8" t="s">
        <v>1884</v>
      </c>
      <c r="V8" s="6">
        <v>45819</v>
      </c>
      <c r="W8">
        <v>5</v>
      </c>
      <c r="X8">
        <v>402911.11</v>
      </c>
      <c r="Y8">
        <v>15291339</v>
      </c>
      <c r="Z8" t="s">
        <v>1885</v>
      </c>
      <c r="AE8" t="s">
        <v>861</v>
      </c>
      <c r="AF8" t="s">
        <v>1752</v>
      </c>
      <c r="AG8">
        <v>0.14258699999999999</v>
      </c>
      <c r="AH8">
        <v>0.19661200000000001</v>
      </c>
      <c r="AI8" t="s">
        <v>1825</v>
      </c>
      <c r="AJ8">
        <v>2025</v>
      </c>
      <c r="AK8" t="s">
        <v>5163</v>
      </c>
      <c r="AL8" s="6">
        <v>46071</v>
      </c>
      <c r="AM8">
        <v>5</v>
      </c>
      <c r="AN8">
        <v>5611298</v>
      </c>
      <c r="AO8">
        <v>100499</v>
      </c>
      <c r="AP8" t="s">
        <v>5164</v>
      </c>
      <c r="AS8" t="s">
        <v>4273</v>
      </c>
      <c r="AT8">
        <v>-2.4245362661989844E-14</v>
      </c>
      <c r="AV8">
        <v>-2.4245362661989844E-14</v>
      </c>
      <c r="AW8" t="s">
        <v>1768</v>
      </c>
      <c r="AX8">
        <v>2025</v>
      </c>
      <c r="AY8" t="s">
        <v>4274</v>
      </c>
      <c r="AZ8" s="6">
        <v>45975</v>
      </c>
      <c r="BA8">
        <v>5</v>
      </c>
      <c r="BB8">
        <v>-2.4245362661989844E-14</v>
      </c>
      <c r="BC8">
        <v>33634105</v>
      </c>
      <c r="BD8" t="s">
        <v>4275</v>
      </c>
      <c r="DQ8" t="s">
        <v>1457</v>
      </c>
      <c r="DR8" t="s">
        <v>1752</v>
      </c>
      <c r="DS8">
        <v>0.238619</v>
      </c>
      <c r="DT8">
        <v>0.71575299999999997</v>
      </c>
      <c r="DU8" t="s">
        <v>1753</v>
      </c>
      <c r="DV8">
        <v>2025</v>
      </c>
      <c r="DW8" t="s">
        <v>3294</v>
      </c>
      <c r="DX8" s="6">
        <v>46064</v>
      </c>
      <c r="DY8">
        <v>5</v>
      </c>
      <c r="DZ8">
        <v>28750000</v>
      </c>
      <c r="EA8">
        <v>100225</v>
      </c>
      <c r="EB8" t="s">
        <v>2497</v>
      </c>
      <c r="EE8" t="s">
        <v>1457</v>
      </c>
      <c r="EF8">
        <v>11.153900999999999</v>
      </c>
      <c r="EG8" t="s">
        <v>1752</v>
      </c>
      <c r="EH8">
        <v>50.086109</v>
      </c>
      <c r="EI8" t="s">
        <v>1753</v>
      </c>
      <c r="EJ8">
        <v>2025</v>
      </c>
      <c r="EK8" t="s">
        <v>3294</v>
      </c>
      <c r="EL8" s="6">
        <v>46064</v>
      </c>
      <c r="EM8">
        <v>5</v>
      </c>
      <c r="EN8">
        <v>1745000000</v>
      </c>
      <c r="EO8">
        <v>100225</v>
      </c>
      <c r="EP8" t="s">
        <v>2497</v>
      </c>
      <c r="FI8" t="s">
        <v>4523</v>
      </c>
      <c r="FJ8">
        <v>-2.4245362661989844E-14</v>
      </c>
      <c r="FL8">
        <v>-2.4245362661989844E-14</v>
      </c>
      <c r="FM8" t="s">
        <v>1753</v>
      </c>
      <c r="FN8">
        <v>2023</v>
      </c>
      <c r="FO8" t="s">
        <v>4524</v>
      </c>
      <c r="FP8" s="6">
        <v>45342</v>
      </c>
      <c r="FQ8">
        <v>4</v>
      </c>
      <c r="FR8">
        <v>-2.4245362661989844E-14</v>
      </c>
      <c r="FS8">
        <v>61857323</v>
      </c>
      <c r="FT8" t="s">
        <v>4525</v>
      </c>
      <c r="HC8" t="s">
        <v>5882</v>
      </c>
      <c r="HD8" t="s">
        <v>1752</v>
      </c>
      <c r="HE8">
        <v>6.7079E-2</v>
      </c>
      <c r="HF8">
        <v>6.8560000000000001E-3</v>
      </c>
      <c r="HG8" t="s">
        <v>1774</v>
      </c>
      <c r="HH8">
        <v>2025</v>
      </c>
      <c r="HI8" t="s">
        <v>5883</v>
      </c>
      <c r="HJ8" s="6">
        <v>45930</v>
      </c>
      <c r="HK8">
        <v>5</v>
      </c>
      <c r="HL8">
        <v>10182</v>
      </c>
      <c r="HM8">
        <v>103089</v>
      </c>
      <c r="HN8" t="s">
        <v>5884</v>
      </c>
      <c r="HQ8" t="s">
        <v>1831</v>
      </c>
      <c r="HR8">
        <v>3.693908</v>
      </c>
      <c r="HS8" t="s">
        <v>1752</v>
      </c>
      <c r="HT8">
        <v>4.8100999999999998E-2</v>
      </c>
      <c r="HU8" t="s">
        <v>1774</v>
      </c>
      <c r="HV8">
        <v>2025</v>
      </c>
      <c r="HW8" t="s">
        <v>4599</v>
      </c>
      <c r="HX8" s="6">
        <v>45911</v>
      </c>
      <c r="HY8">
        <v>5</v>
      </c>
      <c r="HZ8">
        <v>7471298</v>
      </c>
      <c r="IA8">
        <v>876285</v>
      </c>
      <c r="IB8" t="s">
        <v>1833</v>
      </c>
      <c r="IG8" t="s">
        <v>2689</v>
      </c>
      <c r="II8">
        <v>-2.4245362661989844E-14</v>
      </c>
      <c r="IJ8">
        <v>-2.4245362661989844E-14</v>
      </c>
      <c r="IK8" t="s">
        <v>1753</v>
      </c>
      <c r="IL8">
        <v>2025</v>
      </c>
      <c r="IM8" t="s">
        <v>3408</v>
      </c>
      <c r="IN8" s="6">
        <v>46072</v>
      </c>
      <c r="IO8">
        <v>5</v>
      </c>
      <c r="IP8">
        <v>-2.4245362661989844E-14</v>
      </c>
      <c r="IQ8">
        <v>957754</v>
      </c>
      <c r="IR8" t="s">
        <v>2690</v>
      </c>
      <c r="IU8" t="s">
        <v>3825</v>
      </c>
      <c r="IV8">
        <v>-2.4245362661989844E-14</v>
      </c>
      <c r="IX8">
        <v>-2.4245362661989844E-14</v>
      </c>
      <c r="IY8" t="s">
        <v>1753</v>
      </c>
      <c r="IZ8">
        <v>2022</v>
      </c>
      <c r="JA8" t="s">
        <v>3822</v>
      </c>
      <c r="JB8" s="6">
        <v>44712</v>
      </c>
      <c r="JC8">
        <v>5</v>
      </c>
      <c r="JD8">
        <v>-2.4245362661989844E-14</v>
      </c>
      <c r="JE8">
        <v>136160</v>
      </c>
      <c r="JF8" t="s">
        <v>3826</v>
      </c>
      <c r="JK8" t="s">
        <v>2950</v>
      </c>
      <c r="JL8" t="s">
        <v>1752</v>
      </c>
      <c r="JM8">
        <v>0.634911</v>
      </c>
      <c r="JN8">
        <v>0.46775099999999997</v>
      </c>
      <c r="JO8" t="s">
        <v>1825</v>
      </c>
      <c r="JP8">
        <v>2025</v>
      </c>
      <c r="JQ8" t="s">
        <v>2951</v>
      </c>
      <c r="JR8" s="6">
        <v>46072</v>
      </c>
      <c r="JS8">
        <v>5</v>
      </c>
      <c r="JT8">
        <v>23653411.170000002</v>
      </c>
      <c r="JU8">
        <v>70579391</v>
      </c>
      <c r="JV8" t="s">
        <v>2952</v>
      </c>
      <c r="JY8" t="s">
        <v>4224</v>
      </c>
      <c r="JZ8">
        <v>1.312E-2</v>
      </c>
      <c r="KA8" t="s">
        <v>1752</v>
      </c>
      <c r="KB8">
        <v>1.7301280000000001</v>
      </c>
      <c r="KC8" t="s">
        <v>1768</v>
      </c>
      <c r="KD8">
        <v>2025</v>
      </c>
      <c r="KE8" t="s">
        <v>4225</v>
      </c>
      <c r="KF8" s="6">
        <v>45975</v>
      </c>
      <c r="KG8">
        <v>5</v>
      </c>
      <c r="KH8">
        <v>1435299.06</v>
      </c>
      <c r="KI8">
        <v>12025725</v>
      </c>
      <c r="KJ8" t="s">
        <v>4226</v>
      </c>
      <c r="OA8" t="s">
        <v>1180</v>
      </c>
      <c r="OC8">
        <v>-2.4245362661989844E-14</v>
      </c>
      <c r="OD8">
        <v>-2.4245362661989844E-14</v>
      </c>
      <c r="OE8" t="s">
        <v>1753</v>
      </c>
      <c r="OF8">
        <v>2021</v>
      </c>
      <c r="OG8" t="s">
        <v>2395</v>
      </c>
      <c r="OH8" s="6">
        <v>44693</v>
      </c>
      <c r="OI8">
        <v>5</v>
      </c>
      <c r="OJ8">
        <v>-2.4245362661989844E-14</v>
      </c>
      <c r="OK8">
        <v>100193</v>
      </c>
      <c r="OL8" t="s">
        <v>1951</v>
      </c>
      <c r="PE8" t="s">
        <v>4905</v>
      </c>
      <c r="PF8" t="s">
        <v>1940</v>
      </c>
      <c r="PG8">
        <v>2</v>
      </c>
      <c r="PH8">
        <v>0.56913100000000005</v>
      </c>
      <c r="PI8" t="s">
        <v>1753</v>
      </c>
      <c r="PJ8">
        <v>2024</v>
      </c>
      <c r="PK8" t="s">
        <v>4906</v>
      </c>
      <c r="PL8" s="6">
        <v>45743</v>
      </c>
      <c r="PM8">
        <v>5</v>
      </c>
      <c r="PN8">
        <v>1039743.99</v>
      </c>
      <c r="PO8">
        <v>12147335</v>
      </c>
      <c r="PP8" t="s">
        <v>4907</v>
      </c>
      <c r="PS8" t="s">
        <v>4784</v>
      </c>
      <c r="PT8">
        <v>-2.4245362661989844E-14</v>
      </c>
      <c r="PV8">
        <v>-2.4245362661989844E-14</v>
      </c>
      <c r="PW8" t="s">
        <v>1768</v>
      </c>
      <c r="PX8">
        <v>2022</v>
      </c>
      <c r="PY8" t="s">
        <v>4785</v>
      </c>
      <c r="PZ8" s="6">
        <v>44869</v>
      </c>
      <c r="QA8">
        <v>5</v>
      </c>
      <c r="QB8">
        <v>-2.4245362661989844E-14</v>
      </c>
      <c r="QC8">
        <v>911185</v>
      </c>
      <c r="QD8" t="s">
        <v>4786</v>
      </c>
      <c r="UI8" t="s">
        <v>3833</v>
      </c>
      <c r="UJ8">
        <v>-2.4245362661989844E-14</v>
      </c>
      <c r="UL8">
        <v>-2.4245362661989844E-14</v>
      </c>
      <c r="UM8" t="s">
        <v>1753</v>
      </c>
      <c r="UN8">
        <v>2024</v>
      </c>
      <c r="UO8" t="s">
        <v>3827</v>
      </c>
      <c r="UP8" s="6">
        <v>45709</v>
      </c>
      <c r="UQ8">
        <v>5</v>
      </c>
      <c r="UR8">
        <v>-2.4245362661989844E-14</v>
      </c>
      <c r="US8">
        <v>26838320</v>
      </c>
      <c r="UT8" t="s">
        <v>3834</v>
      </c>
      <c r="UY8" t="s">
        <v>3243</v>
      </c>
      <c r="UZ8" t="s">
        <v>1752</v>
      </c>
      <c r="VA8">
        <v>1.69564</v>
      </c>
      <c r="VB8">
        <v>0.41697800000000002</v>
      </c>
      <c r="VC8" t="s">
        <v>1788</v>
      </c>
      <c r="VD8">
        <v>2025</v>
      </c>
      <c r="VE8" t="s">
        <v>3244</v>
      </c>
      <c r="VF8" s="6">
        <v>46001</v>
      </c>
      <c r="VG8">
        <v>5</v>
      </c>
      <c r="VH8">
        <v>12763693</v>
      </c>
      <c r="VI8">
        <v>1182195</v>
      </c>
      <c r="VJ8" t="s">
        <v>3245</v>
      </c>
      <c r="VM8" t="s">
        <v>5051</v>
      </c>
      <c r="VN8">
        <v>-2.4245362661989844E-14</v>
      </c>
      <c r="VP8">
        <v>-2.4245362661989844E-14</v>
      </c>
      <c r="VQ8" t="s">
        <v>1753</v>
      </c>
      <c r="VR8">
        <v>2022</v>
      </c>
      <c r="VS8" t="s">
        <v>5052</v>
      </c>
      <c r="VT8" s="6">
        <v>44887</v>
      </c>
      <c r="VU8">
        <v>5</v>
      </c>
      <c r="VV8">
        <v>-2.4245362661989844E-14</v>
      </c>
      <c r="VW8">
        <v>104917</v>
      </c>
      <c r="VX8" t="s">
        <v>5053</v>
      </c>
    </row>
    <row r="9" spans="1:600" x14ac:dyDescent="0.25">
      <c r="A9" t="s">
        <v>2125</v>
      </c>
      <c r="B9" t="s">
        <v>1940</v>
      </c>
      <c r="C9">
        <v>5.9742000000000003E-2</v>
      </c>
      <c r="D9">
        <v>0.18884000000000001</v>
      </c>
      <c r="E9" t="s">
        <v>1774</v>
      </c>
      <c r="F9">
        <v>2025</v>
      </c>
      <c r="G9" t="s">
        <v>2126</v>
      </c>
      <c r="H9" s="6">
        <v>45838</v>
      </c>
      <c r="I9">
        <v>5</v>
      </c>
      <c r="J9">
        <v>3508648</v>
      </c>
      <c r="K9">
        <v>101689</v>
      </c>
      <c r="L9" t="s">
        <v>2127</v>
      </c>
      <c r="O9" t="s">
        <v>3768</v>
      </c>
      <c r="P9">
        <v>5.1640000000000002E-3</v>
      </c>
      <c r="Q9" t="s">
        <v>1752</v>
      </c>
      <c r="R9">
        <v>5.0558560000000003</v>
      </c>
      <c r="S9" t="s">
        <v>1753</v>
      </c>
      <c r="T9">
        <v>2024</v>
      </c>
      <c r="U9" t="s">
        <v>3769</v>
      </c>
      <c r="V9" s="6">
        <v>45814</v>
      </c>
      <c r="W9">
        <v>5</v>
      </c>
      <c r="X9">
        <v>310853.61</v>
      </c>
      <c r="Y9">
        <v>36034450</v>
      </c>
      <c r="Z9" t="s">
        <v>3770</v>
      </c>
      <c r="AE9" t="s">
        <v>2069</v>
      </c>
      <c r="AF9" t="s">
        <v>1752</v>
      </c>
      <c r="AG9">
        <v>0.14130899999999999</v>
      </c>
      <c r="AH9">
        <v>0.17785999999999999</v>
      </c>
      <c r="AI9" t="s">
        <v>1781</v>
      </c>
      <c r="AJ9">
        <v>2025</v>
      </c>
      <c r="AK9" t="s">
        <v>2070</v>
      </c>
      <c r="AL9" s="6">
        <v>45849</v>
      </c>
      <c r="AM9">
        <v>5</v>
      </c>
      <c r="AN9">
        <v>4336195.59</v>
      </c>
      <c r="AO9">
        <v>179551</v>
      </c>
      <c r="AP9" t="s">
        <v>2071</v>
      </c>
      <c r="AS9" t="s">
        <v>4276</v>
      </c>
      <c r="AT9">
        <v>-2.4245362661989844E-14</v>
      </c>
      <c r="AV9">
        <v>-2.4245362661989844E-14</v>
      </c>
      <c r="AW9" t="s">
        <v>1753</v>
      </c>
      <c r="AX9">
        <v>2021</v>
      </c>
      <c r="AY9" t="s">
        <v>4277</v>
      </c>
      <c r="AZ9" s="6">
        <v>44701</v>
      </c>
      <c r="BA9">
        <v>5</v>
      </c>
      <c r="BB9">
        <v>-2.4245362661989844E-14</v>
      </c>
      <c r="BC9">
        <v>384698</v>
      </c>
      <c r="BD9" t="s">
        <v>4278</v>
      </c>
      <c r="DQ9" t="s">
        <v>4036</v>
      </c>
      <c r="DR9" t="s">
        <v>1752</v>
      </c>
      <c r="DS9">
        <v>0.82792200000000005</v>
      </c>
      <c r="DT9">
        <v>0.75151400000000002</v>
      </c>
      <c r="DU9" t="s">
        <v>1774</v>
      </c>
      <c r="DV9">
        <v>2025</v>
      </c>
      <c r="DW9" t="s">
        <v>4037</v>
      </c>
      <c r="DX9" s="6">
        <v>45959</v>
      </c>
      <c r="DY9">
        <v>5</v>
      </c>
      <c r="DZ9">
        <v>28398061.84</v>
      </c>
      <c r="EA9">
        <v>113332</v>
      </c>
      <c r="EB9" t="s">
        <v>4038</v>
      </c>
      <c r="EE9" t="s">
        <v>1791</v>
      </c>
      <c r="EF9">
        <v>6</v>
      </c>
      <c r="EH9">
        <v>-2.4245362661989844E-14</v>
      </c>
      <c r="EI9" t="s">
        <v>1753</v>
      </c>
      <c r="EJ9">
        <v>2024</v>
      </c>
      <c r="EK9" t="s">
        <v>3720</v>
      </c>
      <c r="EL9" s="6">
        <v>45715</v>
      </c>
      <c r="EM9">
        <v>5</v>
      </c>
      <c r="EN9">
        <v>954404992</v>
      </c>
      <c r="EO9">
        <v>218252</v>
      </c>
      <c r="EP9" t="s">
        <v>1793</v>
      </c>
      <c r="HC9" t="s">
        <v>3942</v>
      </c>
      <c r="HD9" t="s">
        <v>1752</v>
      </c>
      <c r="HE9">
        <v>2.7407000000000001E-2</v>
      </c>
      <c r="HF9">
        <v>3.0230000000000001E-3</v>
      </c>
      <c r="HG9" t="s">
        <v>1774</v>
      </c>
      <c r="HH9">
        <v>2025</v>
      </c>
      <c r="HI9" t="s">
        <v>3943</v>
      </c>
      <c r="HJ9" s="6">
        <v>45967</v>
      </c>
      <c r="HK9">
        <v>5</v>
      </c>
      <c r="HL9">
        <v>4490</v>
      </c>
      <c r="HM9">
        <v>101147</v>
      </c>
      <c r="HN9" t="s">
        <v>3944</v>
      </c>
      <c r="HQ9" t="s">
        <v>3261</v>
      </c>
      <c r="HR9">
        <v>3.6258360000000001</v>
      </c>
      <c r="HS9" t="s">
        <v>1752</v>
      </c>
      <c r="HT9">
        <v>0.113875</v>
      </c>
      <c r="HU9" t="s">
        <v>1774</v>
      </c>
      <c r="HV9">
        <v>2025</v>
      </c>
      <c r="HW9" t="s">
        <v>4599</v>
      </c>
      <c r="HX9" s="6">
        <v>45911</v>
      </c>
      <c r="HY9">
        <v>5</v>
      </c>
      <c r="HZ9">
        <v>7333616</v>
      </c>
      <c r="IA9">
        <v>111270</v>
      </c>
      <c r="IB9" t="s">
        <v>3263</v>
      </c>
      <c r="IG9" t="s">
        <v>2304</v>
      </c>
      <c r="II9">
        <v>-2.4245362661989844E-14</v>
      </c>
      <c r="IJ9">
        <v>-2.4245362661989844E-14</v>
      </c>
      <c r="IK9" t="s">
        <v>1753</v>
      </c>
      <c r="IL9">
        <v>2021</v>
      </c>
      <c r="IM9" t="s">
        <v>2305</v>
      </c>
      <c r="IN9" s="6">
        <v>44693</v>
      </c>
      <c r="IO9">
        <v>5</v>
      </c>
      <c r="IP9">
        <v>-2.4245362661989844E-14</v>
      </c>
      <c r="IQ9">
        <v>313098</v>
      </c>
      <c r="IR9" t="s">
        <v>2306</v>
      </c>
      <c r="IU9" t="s">
        <v>1960</v>
      </c>
      <c r="IV9">
        <v>-2.4245362661989844E-14</v>
      </c>
      <c r="IX9">
        <v>-2.4245362661989844E-14</v>
      </c>
      <c r="IY9" t="s">
        <v>1781</v>
      </c>
      <c r="IZ9">
        <v>2025</v>
      </c>
      <c r="JA9" t="s">
        <v>1961</v>
      </c>
      <c r="JB9" s="6">
        <v>45799</v>
      </c>
      <c r="JC9">
        <v>5</v>
      </c>
      <c r="JD9">
        <v>-2.4245362661989844E-14</v>
      </c>
      <c r="JE9">
        <v>313021</v>
      </c>
      <c r="JF9" t="s">
        <v>1962</v>
      </c>
      <c r="JK9" t="s">
        <v>5092</v>
      </c>
      <c r="JL9" t="s">
        <v>1752</v>
      </c>
      <c r="JM9">
        <v>0.81015999999999999</v>
      </c>
      <c r="JN9">
        <v>0.38313000000000003</v>
      </c>
      <c r="JO9" t="s">
        <v>1788</v>
      </c>
      <c r="JP9">
        <v>2025</v>
      </c>
      <c r="JQ9" t="s">
        <v>5093</v>
      </c>
      <c r="JR9" s="6">
        <v>46050</v>
      </c>
      <c r="JS9">
        <v>5</v>
      </c>
      <c r="JT9">
        <v>19443840</v>
      </c>
      <c r="JU9">
        <v>32348903</v>
      </c>
      <c r="JV9" t="s">
        <v>5094</v>
      </c>
      <c r="JY9" t="s">
        <v>4227</v>
      </c>
      <c r="JZ9">
        <v>1.312E-2</v>
      </c>
      <c r="KA9" t="s">
        <v>1752</v>
      </c>
      <c r="KB9">
        <v>1.9811540000000001</v>
      </c>
      <c r="KC9" t="s">
        <v>1768</v>
      </c>
      <c r="KD9">
        <v>2025</v>
      </c>
      <c r="KE9" t="s">
        <v>4228</v>
      </c>
      <c r="KF9" s="6">
        <v>45975</v>
      </c>
      <c r="KG9">
        <v>5</v>
      </c>
      <c r="KH9">
        <v>1435298.82</v>
      </c>
      <c r="KI9">
        <v>128948</v>
      </c>
      <c r="KJ9" t="s">
        <v>4229</v>
      </c>
      <c r="OA9" t="s">
        <v>2663</v>
      </c>
      <c r="OC9">
        <v>-2.4245362661989844E-14</v>
      </c>
      <c r="OD9">
        <v>-2.4245362661989844E-14</v>
      </c>
      <c r="OE9" t="s">
        <v>1753</v>
      </c>
      <c r="OF9">
        <v>2021</v>
      </c>
      <c r="OG9" t="s">
        <v>2664</v>
      </c>
      <c r="OH9" s="6">
        <v>44693</v>
      </c>
      <c r="OI9">
        <v>5</v>
      </c>
      <c r="OJ9">
        <v>-2.4245362661989844E-14</v>
      </c>
      <c r="OK9">
        <v>100481</v>
      </c>
      <c r="OL9" t="s">
        <v>2665</v>
      </c>
      <c r="PE9" t="s">
        <v>3151</v>
      </c>
      <c r="PF9" t="s">
        <v>1752</v>
      </c>
      <c r="PG9">
        <v>0.704955</v>
      </c>
      <c r="PH9">
        <v>9.9357000000000001E-2</v>
      </c>
      <c r="PI9" t="s">
        <v>1781</v>
      </c>
      <c r="PJ9">
        <v>2025</v>
      </c>
      <c r="PK9" t="s">
        <v>3152</v>
      </c>
      <c r="PL9" s="6">
        <v>45787</v>
      </c>
      <c r="PM9">
        <v>5</v>
      </c>
      <c r="PN9">
        <v>886615</v>
      </c>
      <c r="PO9">
        <v>100416</v>
      </c>
      <c r="PP9" t="s">
        <v>3153</v>
      </c>
      <c r="PS9" t="s">
        <v>1079</v>
      </c>
      <c r="PT9">
        <v>-2.4245362661989844E-14</v>
      </c>
      <c r="PV9">
        <v>-2.4245362661989844E-14</v>
      </c>
      <c r="PW9" t="s">
        <v>1788</v>
      </c>
      <c r="PX9">
        <v>2022</v>
      </c>
      <c r="PY9" t="s">
        <v>4782</v>
      </c>
      <c r="PZ9" s="6">
        <v>44879</v>
      </c>
      <c r="QA9">
        <v>5</v>
      </c>
      <c r="QB9">
        <v>-2.4245362661989844E-14</v>
      </c>
      <c r="QC9">
        <v>216952</v>
      </c>
      <c r="QD9" t="s">
        <v>1899</v>
      </c>
      <c r="UI9" t="s">
        <v>3835</v>
      </c>
      <c r="UJ9">
        <v>-2.4245362661989844E-14</v>
      </c>
      <c r="UL9">
        <v>-2.4245362661989844E-14</v>
      </c>
      <c r="UM9" t="s">
        <v>1753</v>
      </c>
      <c r="UN9">
        <v>2024</v>
      </c>
      <c r="UO9" t="s">
        <v>3827</v>
      </c>
      <c r="UP9" s="6">
        <v>45709</v>
      </c>
      <c r="UQ9">
        <v>5</v>
      </c>
      <c r="UR9">
        <v>-2.4245362661989844E-14</v>
      </c>
      <c r="US9">
        <v>28213586</v>
      </c>
      <c r="UT9" t="s">
        <v>3836</v>
      </c>
      <c r="UY9" t="s">
        <v>4074</v>
      </c>
      <c r="UZ9" t="s">
        <v>1752</v>
      </c>
      <c r="VA9">
        <v>1.749268</v>
      </c>
      <c r="VB9">
        <v>0.29281299999999999</v>
      </c>
      <c r="VC9" t="s">
        <v>1774</v>
      </c>
      <c r="VD9">
        <v>2025</v>
      </c>
      <c r="VE9" t="s">
        <v>4075</v>
      </c>
      <c r="VF9" s="6">
        <v>45867</v>
      </c>
      <c r="VG9">
        <v>5</v>
      </c>
      <c r="VH9">
        <v>9701879.8399999999</v>
      </c>
      <c r="VI9">
        <v>157487</v>
      </c>
      <c r="VJ9" t="s">
        <v>4076</v>
      </c>
      <c r="VM9" t="s">
        <v>4593</v>
      </c>
      <c r="VN9">
        <v>-2.4245362661989844E-14</v>
      </c>
      <c r="VP9">
        <v>-2.4245362661989844E-14</v>
      </c>
      <c r="VQ9" t="s">
        <v>1753</v>
      </c>
      <c r="VR9">
        <v>2025</v>
      </c>
      <c r="VS9" t="s">
        <v>4594</v>
      </c>
      <c r="VT9" s="6">
        <v>45834</v>
      </c>
      <c r="VU9">
        <v>5</v>
      </c>
      <c r="VV9">
        <v>-2.4245362661989844E-14</v>
      </c>
      <c r="VW9">
        <v>11745327</v>
      </c>
      <c r="VX9" t="s">
        <v>4595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575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576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577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578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579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580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581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582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583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584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585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586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587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588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589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590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591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592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593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594</v>
      </c>
      <c r="AE2" s="3" t="s">
        <v>595</v>
      </c>
      <c r="BI2" s="3" t="s">
        <v>301</v>
      </c>
      <c r="CM2" s="3" t="s">
        <v>191</v>
      </c>
      <c r="DQ2" s="3" t="s">
        <v>349</v>
      </c>
      <c r="EU2" s="3" t="s">
        <v>596</v>
      </c>
      <c r="FY2" s="3" t="s">
        <v>597</v>
      </c>
      <c r="HC2" s="3" t="s">
        <v>598</v>
      </c>
      <c r="IG2" s="3" t="s">
        <v>302</v>
      </c>
      <c r="JK2" s="3" t="s">
        <v>599</v>
      </c>
      <c r="KO2" s="3" t="s">
        <v>600</v>
      </c>
      <c r="LS2" s="3" t="s">
        <v>601</v>
      </c>
      <c r="MW2" s="3" t="s">
        <v>602</v>
      </c>
      <c r="OA2" s="3" t="s">
        <v>603</v>
      </c>
      <c r="PE2" s="3" t="s">
        <v>604</v>
      </c>
      <c r="QI2" s="3" t="s">
        <v>156</v>
      </c>
      <c r="RM2" s="3" t="s">
        <v>534</v>
      </c>
      <c r="SQ2" s="3" t="s">
        <v>605</v>
      </c>
      <c r="TU2" s="3" t="s">
        <v>451</v>
      </c>
      <c r="UY2" s="3" t="s">
        <v>385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_xll.BDS("CMTY US Equity","SUPPLY_CHAIN_SUPPLIERS_ALL_DATA")</f>
        <v>#N/A N/A</v>
      </c>
      <c r="O5" t="str">
        <f>_xll.BDS("CMTY US Equity","SUPPLY_CHAIN_CUSTOMERS_ALL_DATA")</f>
        <v>#N/A N/A</v>
      </c>
      <c r="AE5" t="str">
        <f>_xll.BDS("RRC US Equity","SUPPLY_CHAIN_SUPPLIERS_ALL_DATA","cols=12;rows=3")</f>
        <v>PFIE US Equity</v>
      </c>
      <c r="AG5">
        <v>-2.4245362661989844E-14</v>
      </c>
      <c r="AH5">
        <v>-2.4245362661989844E-14</v>
      </c>
      <c r="AI5" t="s">
        <v>1781</v>
      </c>
      <c r="AJ5">
        <v>2024</v>
      </c>
      <c r="AK5" t="s">
        <v>3080</v>
      </c>
      <c r="AL5" s="6">
        <v>45421</v>
      </c>
      <c r="AM5">
        <v>3</v>
      </c>
      <c r="AN5">
        <v>-2.4245362661989844E-14</v>
      </c>
      <c r="AO5">
        <v>9808869</v>
      </c>
      <c r="AP5" t="s">
        <v>3081</v>
      </c>
      <c r="AS5" t="str">
        <f>_xll.BDS("RRC US Equity","SUPPLY_CHAIN_CUSTOMERS_ALL_DATA")</f>
        <v>#N/A N/A</v>
      </c>
      <c r="BI5" t="str">
        <f>_xll.BDS("VLY US Equity","SUPPLY_CHAIN_SUPPLIERS_ALL_DATA","cols=12;rows=2")</f>
        <v>VNO US Equity</v>
      </c>
      <c r="BK5">
        <v>-2.4245362661989844E-14</v>
      </c>
      <c r="BL5">
        <v>-2.4245362661989844E-14</v>
      </c>
      <c r="BM5" t="s">
        <v>1753</v>
      </c>
      <c r="BN5">
        <v>2022</v>
      </c>
      <c r="BO5" t="s">
        <v>2470</v>
      </c>
      <c r="BP5" s="6">
        <v>44970</v>
      </c>
      <c r="BQ5">
        <v>2</v>
      </c>
      <c r="BR5">
        <v>-2.4245362661989844E-14</v>
      </c>
      <c r="BS5">
        <v>101608</v>
      </c>
      <c r="BT5" t="s">
        <v>2471</v>
      </c>
      <c r="BW5" t="str">
        <f>_xll.BDS("VLY US Equity","SUPPLY_CHAIN_CUSTOMERS_ALL_DATA")</f>
        <v>#N/A N/A</v>
      </c>
      <c r="CM5" t="str">
        <f>_xll.BDS("ABT US Equity","SUPPLY_CHAIN_SUPPLIERS_ALL_DATA","cols=12;rows=5")</f>
        <v>MSFT US Equity</v>
      </c>
      <c r="CN5" t="s">
        <v>1752</v>
      </c>
      <c r="CO5">
        <v>5.0347999999999997E-2</v>
      </c>
      <c r="CP5">
        <v>0.78954400000000002</v>
      </c>
      <c r="CQ5" t="s">
        <v>1788</v>
      </c>
      <c r="CR5">
        <v>2025</v>
      </c>
      <c r="CS5" t="s">
        <v>2491</v>
      </c>
      <c r="CT5" s="6">
        <v>45843</v>
      </c>
      <c r="CU5">
        <v>5</v>
      </c>
      <c r="CV5">
        <v>35276832</v>
      </c>
      <c r="CW5">
        <v>101743</v>
      </c>
      <c r="CX5" t="s">
        <v>2156</v>
      </c>
      <c r="DA5" t="str">
        <f>_xll.BDS("ABT US Equity","SUPPLY_CHAIN_CUSTOMERS_ALL_DATA","cols=12;rows=5")</f>
        <v>SNX US Equity</v>
      </c>
      <c r="DB5">
        <v>0.37113800000000002</v>
      </c>
      <c r="DC5" t="s">
        <v>1752</v>
      </c>
      <c r="DD5">
        <v>0.260712</v>
      </c>
      <c r="DE5" t="s">
        <v>1825</v>
      </c>
      <c r="DF5">
        <v>2025</v>
      </c>
      <c r="DG5" t="s">
        <v>1826</v>
      </c>
      <c r="DH5" s="6">
        <v>46056</v>
      </c>
      <c r="DI5">
        <v>5</v>
      </c>
      <c r="DJ5">
        <v>42194648</v>
      </c>
      <c r="DK5">
        <v>1499717</v>
      </c>
      <c r="DL5" t="s">
        <v>1827</v>
      </c>
      <c r="DQ5" t="str">
        <f>_xll.BDS("NUAN US Equity","SUPPLY_CHAIN_SUPPLIERS_ALL_DATA")</f>
        <v>#N/A N/A</v>
      </c>
      <c r="EE5" t="str">
        <f>_xll.BDS("NUAN US Equity","SUPPLY_CHAIN_CUSTOMERS_ALL_DATA")</f>
        <v>#N/A N/A</v>
      </c>
      <c r="EU5" t="str">
        <f>_xll.BDS("VFC US Equity","SUPPLY_CHAIN_SUPPLIERS_ALL_DATA","cols=12;rows=5")</f>
        <v>300979 CH Equity</v>
      </c>
      <c r="EV5" t="s">
        <v>1752</v>
      </c>
      <c r="EW5">
        <v>21.384215999999999</v>
      </c>
      <c r="EX5">
        <v>15.711614000000001</v>
      </c>
      <c r="EY5" t="s">
        <v>1825</v>
      </c>
      <c r="EZ5">
        <v>2024</v>
      </c>
      <c r="FA5" t="s">
        <v>4723</v>
      </c>
      <c r="FB5" s="6">
        <v>45832</v>
      </c>
      <c r="FC5">
        <v>5</v>
      </c>
      <c r="FD5">
        <v>158955099.71000001</v>
      </c>
      <c r="FE5">
        <v>68423531</v>
      </c>
      <c r="FF5" t="s">
        <v>4724</v>
      </c>
      <c r="FI5" t="str">
        <f>_xll.BDS("VFC US Equity","SUPPLY_CHAIN_CUSTOMERS_ALL_DATA","cols=12;rows=5")</f>
        <v>JD/ LN Equity</v>
      </c>
      <c r="FJ5">
        <v>2.8141630000000002</v>
      </c>
      <c r="FK5" t="s">
        <v>1752</v>
      </c>
      <c r="FL5">
        <v>3.9426100000000002</v>
      </c>
      <c r="FM5" t="s">
        <v>1774</v>
      </c>
      <c r="FN5">
        <v>2026</v>
      </c>
      <c r="FO5" t="s">
        <v>4246</v>
      </c>
      <c r="FP5" s="6">
        <v>46066</v>
      </c>
      <c r="FQ5">
        <v>5</v>
      </c>
      <c r="FR5">
        <v>81982756.680000007</v>
      </c>
      <c r="FS5">
        <v>194968</v>
      </c>
      <c r="FT5" t="s">
        <v>4247</v>
      </c>
      <c r="FY5" t="str">
        <f>_xll.BDS("SITEQ US Equity","SUPPLY_CHAIN_SUPPLIERS_ALL_DATA")</f>
        <v>#N/A N/A</v>
      </c>
      <c r="GM5" t="str">
        <f>_xll.BDS("SITEQ US Equity","SUPPLY_CHAIN_CUSTOMERS_ALL_DATA")</f>
        <v>#N/A N/A</v>
      </c>
      <c r="HC5" t="str">
        <f>_xll.BDS("MCHP US Equity","SUPPLY_CHAIN_SUPPLIERS_ALL_DATA","cols=12;rows=5")</f>
        <v>GFS US Equity</v>
      </c>
      <c r="HD5" t="s">
        <v>1752</v>
      </c>
      <c r="HE5">
        <v>0.92524700000000004</v>
      </c>
      <c r="HF5">
        <v>3.1242359999999998</v>
      </c>
      <c r="HG5" t="s">
        <v>1781</v>
      </c>
      <c r="HH5">
        <v>2025</v>
      </c>
      <c r="HI5" t="s">
        <v>2275</v>
      </c>
      <c r="HJ5" s="6">
        <v>45792</v>
      </c>
      <c r="HK5">
        <v>5</v>
      </c>
      <c r="HL5">
        <v>14665165</v>
      </c>
      <c r="HM5">
        <v>15242973</v>
      </c>
      <c r="HN5" t="s">
        <v>2276</v>
      </c>
      <c r="HQ5" t="str">
        <f>_xll.BDS("MCHP US Equity","SUPPLY_CHAIN_CUSTOMERS_ALL_DATA","cols=12;rows=5")</f>
        <v>ARW US Equity</v>
      </c>
      <c r="HR5">
        <v>12</v>
      </c>
      <c r="HS5" t="s">
        <v>1752</v>
      </c>
      <c r="HT5">
        <v>1.987511</v>
      </c>
      <c r="HU5" t="s">
        <v>1768</v>
      </c>
      <c r="HV5">
        <v>2026</v>
      </c>
      <c r="HW5" t="s">
        <v>1921</v>
      </c>
      <c r="HX5" s="6">
        <v>46058</v>
      </c>
      <c r="HY5">
        <v>5</v>
      </c>
      <c r="HZ5">
        <v>136076000</v>
      </c>
      <c r="IA5">
        <v>100115</v>
      </c>
      <c r="IB5" t="s">
        <v>1922</v>
      </c>
      <c r="IG5" t="str">
        <f>_xll.BDS("WSBC US Equity","SUPPLY_CHAIN_SUPPLIERS_ALL_DATA")</f>
        <v>#N/A N/A</v>
      </c>
      <c r="IU5" t="str">
        <f>_xll.BDS("WSBC US Equity","SUPPLY_CHAIN_CUSTOMERS_ALL_DATA","cols=12;rows=2")</f>
        <v>NINE CN Equity</v>
      </c>
      <c r="IV5">
        <v>-2.4245362661989844E-14</v>
      </c>
      <c r="IX5">
        <v>-2.4245362661989844E-14</v>
      </c>
      <c r="IY5" t="s">
        <v>1753</v>
      </c>
      <c r="IZ5">
        <v>2023</v>
      </c>
      <c r="JA5" t="s">
        <v>4133</v>
      </c>
      <c r="JB5" s="6">
        <v>44967</v>
      </c>
      <c r="JC5">
        <v>2</v>
      </c>
      <c r="JD5">
        <v>-2.4245362661989844E-14</v>
      </c>
      <c r="JE5">
        <v>67289203</v>
      </c>
      <c r="JF5" t="s">
        <v>4134</v>
      </c>
      <c r="JK5" t="str">
        <f>_xll.BDS("2502261D US Equity","SUPPLY_CHAIN_SUPPLIERS_ALL_DATA")</f>
        <v>#N/A N/A</v>
      </c>
      <c r="JY5" t="str">
        <f>_xll.BDS("2502261D US Equity","SUPPLY_CHAIN_CUSTOMERS_ALL_DATA")</f>
        <v>#N/A N/A</v>
      </c>
      <c r="KO5" t="str">
        <f>_xll.BDS("AFG US Equity","SUPPLY_CHAIN_SUPPLIERS_ALL_DATA","cols=12;rows=1")</f>
        <v>INFA US Equity</v>
      </c>
      <c r="KQ5">
        <v>-2.4245362661989844E-14</v>
      </c>
      <c r="KR5">
        <v>-2.4245362661989844E-14</v>
      </c>
      <c r="KS5" t="s">
        <v>1781</v>
      </c>
      <c r="KT5">
        <v>2025</v>
      </c>
      <c r="KU5" t="s">
        <v>2243</v>
      </c>
      <c r="KV5" s="6">
        <v>45784</v>
      </c>
      <c r="KW5">
        <v>1</v>
      </c>
      <c r="KX5">
        <v>-2.4245362661989844E-14</v>
      </c>
      <c r="KY5">
        <v>69762655</v>
      </c>
      <c r="KZ5" t="s">
        <v>2244</v>
      </c>
      <c r="LC5" t="str">
        <f>_xll.BDS("AFG US Equity","SUPPLY_CHAIN_CUSTOMERS_ALL_DATA")</f>
        <v>#N/A N/A</v>
      </c>
      <c r="LS5" t="str">
        <f>_xll.BDS("DFODQ US Equity","SUPPLY_CHAIN_SUPPLIERS_ALL_DATA","cols=12;rows=5")</f>
        <v>AEE US Equity</v>
      </c>
      <c r="LU5">
        <v>-2.4245362661989844E-14</v>
      </c>
      <c r="LV5">
        <v>-2.4245362661989844E-14</v>
      </c>
      <c r="LW5" t="s">
        <v>1753</v>
      </c>
      <c r="LX5">
        <v>2021</v>
      </c>
      <c r="LY5" t="s">
        <v>2305</v>
      </c>
      <c r="LZ5" s="6">
        <v>44693</v>
      </c>
      <c r="MA5">
        <v>5</v>
      </c>
      <c r="MB5">
        <v>-2.4245362661989844E-14</v>
      </c>
      <c r="MC5">
        <v>313098</v>
      </c>
      <c r="MD5" t="s">
        <v>2306</v>
      </c>
      <c r="MG5" t="str">
        <f>_xll.BDS("DFODQ US Equity","SUPPLY_CHAIN_CUSTOMERS_ALL_DATA")</f>
        <v>#N/A N/A</v>
      </c>
      <c r="MW5" t="str">
        <f>_xll.BDS("CBU US Equity","SUPPLY_CHAIN_SUPPLIERS_ALL_DATA")</f>
        <v>#N/A N/A</v>
      </c>
      <c r="NK5" t="str">
        <f>_xll.BDS("CBU US Equity","SUPPLY_CHAIN_CUSTOMERS_ALL_DATA")</f>
        <v>#N/A N/A</v>
      </c>
      <c r="OA5" t="str">
        <f>_xll.BDS("1849855D US Equity","SUPPLY_CHAIN_SUPPLIERS_ALL_DATA")</f>
        <v>#N/A N/A</v>
      </c>
      <c r="OO5" t="str">
        <f>_xll.BDS("1849855D US Equity","SUPPLY_CHAIN_CUSTOMERS_ALL_DATA")</f>
        <v>#N/A N/A</v>
      </c>
      <c r="PE5" t="str">
        <f>_xll.BDS("EXE US Equity","SUPPLY_CHAIN_SUPPLIERS_ALL_DATA","cols=12;rows=5")</f>
        <v>PRIM US Equity</v>
      </c>
      <c r="PF5" t="s">
        <v>1752</v>
      </c>
      <c r="PG5">
        <v>1.7344569999999999</v>
      </c>
      <c r="PH5">
        <v>1.9459360000000001</v>
      </c>
      <c r="PI5" t="s">
        <v>1781</v>
      </c>
      <c r="PJ5">
        <v>2025</v>
      </c>
      <c r="PK5" t="s">
        <v>3948</v>
      </c>
      <c r="PL5" s="6">
        <v>45863</v>
      </c>
      <c r="PM5">
        <v>5</v>
      </c>
      <c r="PN5">
        <v>28585794</v>
      </c>
      <c r="PO5">
        <v>10832677</v>
      </c>
      <c r="PP5" t="s">
        <v>3949</v>
      </c>
      <c r="PS5" t="str">
        <f>_xll.BDS("EXE US Equity","SUPPLY_CHAIN_CUSTOMERS_ALL_DATA","cols=12;rows=3")</f>
        <v>37895Z CY Equity</v>
      </c>
      <c r="PT5">
        <v>-2.4245362661989844E-14</v>
      </c>
      <c r="PV5">
        <v>-2.4245362661989844E-14</v>
      </c>
      <c r="PW5" t="s">
        <v>1753</v>
      </c>
      <c r="PX5">
        <v>2023</v>
      </c>
      <c r="PY5" t="s">
        <v>2146</v>
      </c>
      <c r="PZ5" s="6">
        <v>45343</v>
      </c>
      <c r="QA5">
        <v>3</v>
      </c>
      <c r="QB5">
        <v>-2.4245362661989844E-14</v>
      </c>
      <c r="QC5">
        <v>27049163</v>
      </c>
      <c r="QD5" t="s">
        <v>2147</v>
      </c>
      <c r="QI5" t="str">
        <f>_xll.BDS("2674129Q US Equity","SUPPLY_CHAIN_SUPPLIERS_ALL_DATA")</f>
        <v>#N/A N/A</v>
      </c>
      <c r="QW5" t="str">
        <f>_xll.BDS("2674129Q US Equity","SUPPLY_CHAIN_CUSTOMERS_ALL_DATA")</f>
        <v>#N/A N/A</v>
      </c>
      <c r="RM5" t="str">
        <f>_xll.BDS("540513Q US Equity","SUPPLY_CHAIN_SUPPLIERS_ALL_DATA")</f>
        <v>#N/A N/A</v>
      </c>
      <c r="SA5" t="str">
        <f>_xll.BDS("540513Q US Equity","SUPPLY_CHAIN_CUSTOMERS_ALL_DATA")</f>
        <v>#N/A N/A</v>
      </c>
      <c r="SQ5" t="str">
        <f>_xll.BDS("FBNC US Equity","SUPPLY_CHAIN_SUPPLIERS_ALL_DATA")</f>
        <v>#N/A N/A</v>
      </c>
      <c r="TE5" t="str">
        <f>_xll.BDS("FBNC US Equity","SUPPLY_CHAIN_CUSTOMERS_ALL_DATA")</f>
        <v>#N/A N/A</v>
      </c>
      <c r="TU5" t="str">
        <f>_xll.BDS("3122066Q US Equity","SUPPLY_CHAIN_SUPPLIERS_ALL_DATA")</f>
        <v>#N/A N/A</v>
      </c>
      <c r="UI5" t="str">
        <f>_xll.BDS("3122066Q US Equity","SUPPLY_CHAIN_CUSTOMERS_ALL_DATA")</f>
        <v>#N/A N/A</v>
      </c>
      <c r="UY5" t="str">
        <f>_xll.BDS("ORCL US Equity","SUPPLY_CHAIN_SUPPLIERS_ALL_DATA","cols=12;rows=5")</f>
        <v>NVDA US Equity</v>
      </c>
      <c r="UZ5" t="s">
        <v>1828</v>
      </c>
      <c r="VA5">
        <v>1.9751799999999999</v>
      </c>
      <c r="VB5">
        <v>11.182838</v>
      </c>
      <c r="VC5" t="s">
        <v>1825</v>
      </c>
      <c r="VD5">
        <v>2026</v>
      </c>
      <c r="VE5" t="s">
        <v>2352</v>
      </c>
      <c r="VF5" s="6">
        <v>46087</v>
      </c>
      <c r="VG5">
        <v>5</v>
      </c>
      <c r="VH5">
        <v>1345630848</v>
      </c>
      <c r="VI5">
        <v>313657</v>
      </c>
      <c r="VJ5" t="s">
        <v>2353</v>
      </c>
      <c r="VM5" t="str">
        <f>_xll.BDS("ORCL US Equity","SUPPLY_CHAIN_CUSTOMERS_ALL_DATA","cols=12;rows=5")</f>
        <v>ACN US Equity</v>
      </c>
      <c r="VN5">
        <v>1.9061380000000001</v>
      </c>
      <c r="VO5" t="s">
        <v>1752</v>
      </c>
      <c r="VP5">
        <v>2.7725070000000001</v>
      </c>
      <c r="VQ5" t="s">
        <v>1825</v>
      </c>
      <c r="VR5">
        <v>2025</v>
      </c>
      <c r="VS5" t="s">
        <v>1897</v>
      </c>
      <c r="VT5" s="6">
        <v>45848</v>
      </c>
      <c r="VU5">
        <v>5</v>
      </c>
      <c r="VV5">
        <v>303133120</v>
      </c>
      <c r="VW5">
        <v>300787</v>
      </c>
      <c r="VX5" t="s">
        <v>1898</v>
      </c>
    </row>
    <row r="6" spans="1:600" x14ac:dyDescent="0.25">
      <c r="AE6" t="s">
        <v>3082</v>
      </c>
      <c r="AG6">
        <v>-2.4245362661989844E-14</v>
      </c>
      <c r="AH6">
        <v>-2.4245362661989844E-14</v>
      </c>
      <c r="AI6" t="s">
        <v>1753</v>
      </c>
      <c r="AJ6">
        <v>2022</v>
      </c>
      <c r="AK6" t="s">
        <v>3083</v>
      </c>
      <c r="AL6" s="6">
        <v>45003</v>
      </c>
      <c r="AM6">
        <v>3</v>
      </c>
      <c r="AN6">
        <v>-2.4245362661989844E-14</v>
      </c>
      <c r="AO6">
        <v>101544</v>
      </c>
      <c r="AP6" t="s">
        <v>3084</v>
      </c>
      <c r="BI6" t="s">
        <v>1110</v>
      </c>
      <c r="BK6">
        <v>-2.4245362661989844E-14</v>
      </c>
      <c r="BL6">
        <v>-2.4245362661989844E-14</v>
      </c>
      <c r="BM6" t="s">
        <v>1774</v>
      </c>
      <c r="BN6">
        <v>2023</v>
      </c>
      <c r="BO6" t="s">
        <v>2226</v>
      </c>
      <c r="BP6" s="6">
        <v>45174</v>
      </c>
      <c r="BQ6">
        <v>2</v>
      </c>
      <c r="BR6">
        <v>-2.4245362661989844E-14</v>
      </c>
      <c r="BS6">
        <v>202476</v>
      </c>
      <c r="BT6" t="s">
        <v>2227</v>
      </c>
      <c r="CM6" t="s">
        <v>3204</v>
      </c>
      <c r="CN6" t="s">
        <v>1940</v>
      </c>
      <c r="CO6">
        <v>9.5382999999999996E-2</v>
      </c>
      <c r="CP6">
        <v>1.0817209999999999</v>
      </c>
      <c r="CQ6" t="s">
        <v>1781</v>
      </c>
      <c r="CR6">
        <v>2026</v>
      </c>
      <c r="CS6" t="s">
        <v>3205</v>
      </c>
      <c r="CT6" s="6">
        <v>45973</v>
      </c>
      <c r="CU6">
        <v>5</v>
      </c>
      <c r="CV6">
        <v>32671380.140000001</v>
      </c>
      <c r="CW6">
        <v>16857643</v>
      </c>
      <c r="CX6" t="s">
        <v>3206</v>
      </c>
      <c r="DA6" t="s">
        <v>1643</v>
      </c>
      <c r="DB6">
        <v>0.16034200000000001</v>
      </c>
      <c r="DC6" t="s">
        <v>1752</v>
      </c>
      <c r="DD6">
        <v>12.286398</v>
      </c>
      <c r="DE6" t="s">
        <v>1753</v>
      </c>
      <c r="DF6">
        <v>2025</v>
      </c>
      <c r="DG6" t="s">
        <v>1754</v>
      </c>
      <c r="DH6" s="6">
        <v>45856</v>
      </c>
      <c r="DI6">
        <v>5</v>
      </c>
      <c r="DJ6">
        <v>17393065.039999999</v>
      </c>
      <c r="DK6">
        <v>169572</v>
      </c>
      <c r="DL6" t="s">
        <v>4220</v>
      </c>
      <c r="EU6" t="s">
        <v>3204</v>
      </c>
      <c r="EV6" t="s">
        <v>1940</v>
      </c>
      <c r="EW6">
        <v>0.16278100000000001</v>
      </c>
      <c r="EX6">
        <v>4.8976350000000002</v>
      </c>
      <c r="EY6" t="s">
        <v>1781</v>
      </c>
      <c r="EZ6">
        <v>2026</v>
      </c>
      <c r="FA6" t="s">
        <v>3205</v>
      </c>
      <c r="FB6" s="6">
        <v>45973</v>
      </c>
      <c r="FC6">
        <v>5</v>
      </c>
      <c r="FD6">
        <v>55757105.289999999</v>
      </c>
      <c r="FE6">
        <v>16857643</v>
      </c>
      <c r="FF6" t="s">
        <v>3206</v>
      </c>
      <c r="FI6" t="s">
        <v>2750</v>
      </c>
      <c r="FJ6">
        <v>2.0342440000000002</v>
      </c>
      <c r="FK6" t="s">
        <v>1752</v>
      </c>
      <c r="FL6">
        <v>4.3429000000000002E-2</v>
      </c>
      <c r="FM6" t="s">
        <v>1788</v>
      </c>
      <c r="FN6">
        <v>2026</v>
      </c>
      <c r="FO6" t="s">
        <v>4248</v>
      </c>
      <c r="FP6" s="6">
        <v>46051</v>
      </c>
      <c r="FQ6">
        <v>5</v>
      </c>
      <c r="FR6">
        <v>58500808</v>
      </c>
      <c r="FS6">
        <v>101616</v>
      </c>
      <c r="FT6" t="s">
        <v>2752</v>
      </c>
      <c r="HC6" t="s">
        <v>2277</v>
      </c>
      <c r="HD6" t="s">
        <v>1752</v>
      </c>
      <c r="HE6">
        <v>0.30862800000000001</v>
      </c>
      <c r="HF6">
        <v>1.2203660000000001</v>
      </c>
      <c r="HG6" t="s">
        <v>1788</v>
      </c>
      <c r="HH6">
        <v>2025</v>
      </c>
      <c r="HI6" t="s">
        <v>2278</v>
      </c>
      <c r="HJ6" s="6">
        <v>46035</v>
      </c>
      <c r="HK6">
        <v>5</v>
      </c>
      <c r="HL6">
        <v>6132340</v>
      </c>
      <c r="HM6">
        <v>302680</v>
      </c>
      <c r="HN6" t="s">
        <v>2279</v>
      </c>
      <c r="HQ6" t="s">
        <v>1923</v>
      </c>
      <c r="HR6">
        <v>4.9519380000000002</v>
      </c>
      <c r="HS6" t="s">
        <v>1752</v>
      </c>
      <c r="HT6">
        <v>0.53381100000000004</v>
      </c>
      <c r="HU6" t="s">
        <v>1774</v>
      </c>
      <c r="HV6">
        <v>2026</v>
      </c>
      <c r="HW6" t="s">
        <v>1924</v>
      </c>
      <c r="HX6" s="6">
        <v>46035</v>
      </c>
      <c r="HY6">
        <v>5</v>
      </c>
      <c r="HZ6">
        <v>56471900</v>
      </c>
      <c r="IA6">
        <v>1459396</v>
      </c>
      <c r="IB6" t="s">
        <v>1925</v>
      </c>
      <c r="IU6" t="s">
        <v>4135</v>
      </c>
      <c r="IV6">
        <v>-2.4245362661989844E-14</v>
      </c>
      <c r="IX6">
        <v>-2.4245362661989844E-14</v>
      </c>
      <c r="IY6" t="s">
        <v>1753</v>
      </c>
      <c r="IZ6">
        <v>2023</v>
      </c>
      <c r="JA6" t="s">
        <v>4136</v>
      </c>
      <c r="JB6" s="6">
        <v>44991</v>
      </c>
      <c r="JC6">
        <v>2</v>
      </c>
      <c r="JD6">
        <v>-2.4245362661989844E-14</v>
      </c>
      <c r="JE6">
        <v>57471390</v>
      </c>
      <c r="JF6" t="s">
        <v>4137</v>
      </c>
      <c r="LS6" t="s">
        <v>2307</v>
      </c>
      <c r="LU6">
        <v>-2.4245362661989844E-14</v>
      </c>
      <c r="LV6">
        <v>-2.4245362661989844E-14</v>
      </c>
      <c r="LW6" t="s">
        <v>1753</v>
      </c>
      <c r="LX6">
        <v>2021</v>
      </c>
      <c r="LY6" t="s">
        <v>2308</v>
      </c>
      <c r="LZ6" s="6">
        <v>44693</v>
      </c>
      <c r="MA6">
        <v>5</v>
      </c>
      <c r="MB6">
        <v>-2.4245362661989844E-14</v>
      </c>
      <c r="MC6">
        <v>100060</v>
      </c>
      <c r="MD6" t="s">
        <v>2309</v>
      </c>
      <c r="PE6" t="s">
        <v>3950</v>
      </c>
      <c r="PF6" t="s">
        <v>1828</v>
      </c>
      <c r="PG6">
        <v>6.8882709999999996</v>
      </c>
      <c r="PH6">
        <v>4.017131</v>
      </c>
      <c r="PI6" t="s">
        <v>1774</v>
      </c>
      <c r="PJ6">
        <v>2025</v>
      </c>
      <c r="PK6" t="s">
        <v>3951</v>
      </c>
      <c r="PL6" s="6">
        <v>45929</v>
      </c>
      <c r="PM6">
        <v>5</v>
      </c>
      <c r="PN6">
        <v>26392548</v>
      </c>
      <c r="PO6">
        <v>13070762</v>
      </c>
      <c r="PP6" t="s">
        <v>3952</v>
      </c>
      <c r="PS6" t="s">
        <v>2036</v>
      </c>
      <c r="PT6">
        <v>-2.4245362661989844E-14</v>
      </c>
      <c r="PV6">
        <v>-2.4245362661989844E-14</v>
      </c>
      <c r="PW6" t="s">
        <v>1753</v>
      </c>
      <c r="PX6">
        <v>2023</v>
      </c>
      <c r="PY6" t="s">
        <v>2146</v>
      </c>
      <c r="PZ6" s="6">
        <v>45343</v>
      </c>
      <c r="QA6">
        <v>3</v>
      </c>
      <c r="QB6">
        <v>-2.4245362661989844E-14</v>
      </c>
      <c r="QC6">
        <v>9268711</v>
      </c>
      <c r="QD6" t="s">
        <v>2037</v>
      </c>
      <c r="UY6" t="s">
        <v>2354</v>
      </c>
      <c r="UZ6" t="s">
        <v>1828</v>
      </c>
      <c r="VA6">
        <v>3.5808580000000001</v>
      </c>
      <c r="VB6">
        <v>3.236755</v>
      </c>
      <c r="VC6" t="s">
        <v>1774</v>
      </c>
      <c r="VD6">
        <v>2025</v>
      </c>
      <c r="VE6" t="s">
        <v>2355</v>
      </c>
      <c r="VF6" s="6">
        <v>45947</v>
      </c>
      <c r="VG6">
        <v>5</v>
      </c>
      <c r="VH6">
        <v>275188928</v>
      </c>
      <c r="VI6">
        <v>100010</v>
      </c>
      <c r="VJ6" t="s">
        <v>2356</v>
      </c>
      <c r="VM6" t="s">
        <v>1079</v>
      </c>
      <c r="VN6">
        <v>1.3419890000000001</v>
      </c>
      <c r="VO6" t="s">
        <v>1752</v>
      </c>
      <c r="VP6">
        <v>0.27725100000000003</v>
      </c>
      <c r="VQ6" t="s">
        <v>1825</v>
      </c>
      <c r="VR6">
        <v>2025</v>
      </c>
      <c r="VS6" t="s">
        <v>1897</v>
      </c>
      <c r="VT6" s="6">
        <v>45848</v>
      </c>
      <c r="VU6">
        <v>5</v>
      </c>
      <c r="VV6">
        <v>213416512</v>
      </c>
      <c r="VW6">
        <v>216952</v>
      </c>
      <c r="VX6" t="s">
        <v>1899</v>
      </c>
    </row>
    <row r="7" spans="1:600" x14ac:dyDescent="0.25">
      <c r="AE7" t="s">
        <v>3085</v>
      </c>
      <c r="AG7">
        <v>-2.4245362661989844E-14</v>
      </c>
      <c r="AH7">
        <v>-2.4245362661989844E-14</v>
      </c>
      <c r="AI7" t="s">
        <v>1753</v>
      </c>
      <c r="AJ7">
        <v>2022</v>
      </c>
      <c r="AK7" t="s">
        <v>3086</v>
      </c>
      <c r="AL7" s="6">
        <v>44634</v>
      </c>
      <c r="AM7">
        <v>3</v>
      </c>
      <c r="AN7">
        <v>-2.4245362661989844E-14</v>
      </c>
      <c r="AO7">
        <v>52604511</v>
      </c>
      <c r="AP7" t="s">
        <v>3087</v>
      </c>
      <c r="CM7" t="s">
        <v>3444</v>
      </c>
      <c r="CN7" t="s">
        <v>1752</v>
      </c>
      <c r="CO7">
        <v>0.54199799999999998</v>
      </c>
      <c r="CP7">
        <v>0.58194000000000001</v>
      </c>
      <c r="CQ7" t="s">
        <v>1774</v>
      </c>
      <c r="CR7">
        <v>2026</v>
      </c>
      <c r="CS7" t="s">
        <v>3445</v>
      </c>
      <c r="CT7" s="6">
        <v>46071</v>
      </c>
      <c r="CU7">
        <v>5</v>
      </c>
      <c r="CV7">
        <v>29533472</v>
      </c>
      <c r="CW7">
        <v>61417091</v>
      </c>
      <c r="CX7" t="s">
        <v>3446</v>
      </c>
      <c r="DA7" t="s">
        <v>4221</v>
      </c>
      <c r="DB7">
        <v>4.6823999999999998E-2</v>
      </c>
      <c r="DC7" t="s">
        <v>1752</v>
      </c>
      <c r="DD7">
        <v>12.031086999999999</v>
      </c>
      <c r="DE7" t="s">
        <v>1753</v>
      </c>
      <c r="DF7">
        <v>2024</v>
      </c>
      <c r="DG7" t="s">
        <v>4222</v>
      </c>
      <c r="DH7" s="6">
        <v>45785</v>
      </c>
      <c r="DI7">
        <v>5</v>
      </c>
      <c r="DJ7">
        <v>5010938.38</v>
      </c>
      <c r="DK7">
        <v>33604341</v>
      </c>
      <c r="DL7" t="s">
        <v>4223</v>
      </c>
      <c r="EU7" t="s">
        <v>4725</v>
      </c>
      <c r="EV7" t="s">
        <v>1752</v>
      </c>
      <c r="EW7">
        <v>2.0287500000000001</v>
      </c>
      <c r="EX7">
        <v>3.3266719999999999</v>
      </c>
      <c r="EY7" t="s">
        <v>1788</v>
      </c>
      <c r="EZ7">
        <v>2025</v>
      </c>
      <c r="FA7" t="s">
        <v>4726</v>
      </c>
      <c r="FB7" s="6">
        <v>46058</v>
      </c>
      <c r="FC7">
        <v>5</v>
      </c>
      <c r="FD7">
        <v>41498896</v>
      </c>
      <c r="FE7">
        <v>116620</v>
      </c>
      <c r="FF7" t="s">
        <v>4727</v>
      </c>
      <c r="FI7" t="s">
        <v>4249</v>
      </c>
      <c r="FJ7">
        <v>1.30175</v>
      </c>
      <c r="FK7" t="s">
        <v>1752</v>
      </c>
      <c r="FL7">
        <v>0.81862400000000002</v>
      </c>
      <c r="FM7" t="s">
        <v>1774</v>
      </c>
      <c r="FN7">
        <v>2025</v>
      </c>
      <c r="FO7" t="s">
        <v>4250</v>
      </c>
      <c r="FP7" s="6">
        <v>45917</v>
      </c>
      <c r="FQ7">
        <v>5</v>
      </c>
      <c r="FR7">
        <v>22919466</v>
      </c>
      <c r="FS7">
        <v>126788</v>
      </c>
      <c r="FT7" t="s">
        <v>4251</v>
      </c>
      <c r="HC7" t="s">
        <v>2280</v>
      </c>
      <c r="HD7" t="s">
        <v>1752</v>
      </c>
      <c r="HE7">
        <v>1.8717000000000001E-2</v>
      </c>
      <c r="HF7">
        <v>0.53299099999999999</v>
      </c>
      <c r="HG7" t="s">
        <v>1781</v>
      </c>
      <c r="HH7">
        <v>2026</v>
      </c>
      <c r="HI7" t="s">
        <v>2281</v>
      </c>
      <c r="HJ7" s="6">
        <v>46079</v>
      </c>
      <c r="HK7">
        <v>5</v>
      </c>
      <c r="HL7">
        <v>2553560</v>
      </c>
      <c r="HM7">
        <v>100995</v>
      </c>
      <c r="HN7" t="s">
        <v>2282</v>
      </c>
      <c r="HQ7" t="s">
        <v>1784</v>
      </c>
      <c r="HR7">
        <v>4.8382500000000004</v>
      </c>
      <c r="HS7" t="s">
        <v>1752</v>
      </c>
      <c r="HT7">
        <v>1.0442359999999999</v>
      </c>
      <c r="HU7" t="s">
        <v>1774</v>
      </c>
      <c r="HV7">
        <v>2026</v>
      </c>
      <c r="HW7" t="s">
        <v>1924</v>
      </c>
      <c r="HX7" s="6">
        <v>46035</v>
      </c>
      <c r="HY7">
        <v>5</v>
      </c>
      <c r="HZ7">
        <v>55175404</v>
      </c>
      <c r="IA7">
        <v>100142</v>
      </c>
      <c r="IB7" t="s">
        <v>1786</v>
      </c>
      <c r="LS7" t="s">
        <v>1180</v>
      </c>
      <c r="LU7">
        <v>-2.4245362661989844E-14</v>
      </c>
      <c r="LV7">
        <v>-2.4245362661989844E-14</v>
      </c>
      <c r="LW7" t="s">
        <v>1753</v>
      </c>
      <c r="LX7">
        <v>2021</v>
      </c>
      <c r="LY7" t="s">
        <v>2395</v>
      </c>
      <c r="LZ7" s="6">
        <v>44693</v>
      </c>
      <c r="MA7">
        <v>5</v>
      </c>
      <c r="MB7">
        <v>-2.4245362661989844E-14</v>
      </c>
      <c r="MC7">
        <v>100193</v>
      </c>
      <c r="MD7" t="s">
        <v>1951</v>
      </c>
      <c r="PE7" t="s">
        <v>2053</v>
      </c>
      <c r="PF7" t="s">
        <v>1752</v>
      </c>
      <c r="PG7">
        <v>0.46423900000000001</v>
      </c>
      <c r="PH7">
        <v>0.187949</v>
      </c>
      <c r="PI7" t="s">
        <v>1788</v>
      </c>
      <c r="PJ7">
        <v>2025</v>
      </c>
      <c r="PK7" t="s">
        <v>2054</v>
      </c>
      <c r="PL7" s="6">
        <v>46027</v>
      </c>
      <c r="PM7">
        <v>5</v>
      </c>
      <c r="PN7">
        <v>2943275</v>
      </c>
      <c r="PO7">
        <v>36965288</v>
      </c>
      <c r="PP7" t="s">
        <v>2055</v>
      </c>
      <c r="PS7" t="s">
        <v>2148</v>
      </c>
      <c r="PT7">
        <v>-2.4245362661989844E-14</v>
      </c>
      <c r="PV7">
        <v>-2.4245362661989844E-14</v>
      </c>
      <c r="PW7" t="s">
        <v>1753</v>
      </c>
      <c r="PX7">
        <v>2023</v>
      </c>
      <c r="PY7" t="s">
        <v>2146</v>
      </c>
      <c r="PZ7" s="6">
        <v>45343</v>
      </c>
      <c r="QA7">
        <v>3</v>
      </c>
      <c r="QB7">
        <v>-2.4245362661989844E-14</v>
      </c>
      <c r="QC7">
        <v>225906</v>
      </c>
      <c r="QD7" t="s">
        <v>2149</v>
      </c>
      <c r="UY7" t="s">
        <v>2357</v>
      </c>
      <c r="UZ7" t="s">
        <v>1828</v>
      </c>
      <c r="VA7">
        <v>0.91127400000000003</v>
      </c>
      <c r="VB7">
        <v>1.364298</v>
      </c>
      <c r="VC7" t="s">
        <v>1825</v>
      </c>
      <c r="VD7">
        <v>2025</v>
      </c>
      <c r="VE7" t="s">
        <v>2358</v>
      </c>
      <c r="VF7" s="6">
        <v>46010</v>
      </c>
      <c r="VG7">
        <v>5</v>
      </c>
      <c r="VH7">
        <v>164166016</v>
      </c>
      <c r="VI7">
        <v>59907412</v>
      </c>
      <c r="VJ7" t="s">
        <v>2359</v>
      </c>
      <c r="VM7" t="s">
        <v>1824</v>
      </c>
      <c r="VN7">
        <v>1.0301469999999999</v>
      </c>
      <c r="VO7" t="s">
        <v>1752</v>
      </c>
      <c r="VP7">
        <v>1.0221020000000001</v>
      </c>
      <c r="VQ7" t="s">
        <v>1825</v>
      </c>
      <c r="VR7">
        <v>2025</v>
      </c>
      <c r="VS7" t="s">
        <v>1826</v>
      </c>
      <c r="VT7" s="6">
        <v>46056</v>
      </c>
      <c r="VU7">
        <v>5</v>
      </c>
      <c r="VV7">
        <v>165420976</v>
      </c>
      <c r="VW7">
        <v>1499717</v>
      </c>
      <c r="VX7" t="s">
        <v>1827</v>
      </c>
    </row>
    <row r="8" spans="1:600" x14ac:dyDescent="0.25">
      <c r="CM8" t="s">
        <v>2950</v>
      </c>
      <c r="CN8" t="s">
        <v>1752</v>
      </c>
      <c r="CO8">
        <v>0.634911</v>
      </c>
      <c r="CP8">
        <v>0.46775099999999997</v>
      </c>
      <c r="CQ8" t="s">
        <v>1825</v>
      </c>
      <c r="CR8">
        <v>2025</v>
      </c>
      <c r="CS8" t="s">
        <v>2951</v>
      </c>
      <c r="CT8" s="6">
        <v>46072</v>
      </c>
      <c r="CU8">
        <v>5</v>
      </c>
      <c r="CV8">
        <v>23653411.170000002</v>
      </c>
      <c r="CW8">
        <v>70579391</v>
      </c>
      <c r="CX8" t="s">
        <v>2952</v>
      </c>
      <c r="DA8" t="s">
        <v>4224</v>
      </c>
      <c r="DB8">
        <v>1.312E-2</v>
      </c>
      <c r="DC8" t="s">
        <v>1752</v>
      </c>
      <c r="DD8">
        <v>1.7301280000000001</v>
      </c>
      <c r="DE8" t="s">
        <v>1768</v>
      </c>
      <c r="DF8">
        <v>2025</v>
      </c>
      <c r="DG8" t="s">
        <v>4225</v>
      </c>
      <c r="DH8" s="6">
        <v>45975</v>
      </c>
      <c r="DI8">
        <v>5</v>
      </c>
      <c r="DJ8">
        <v>1435299.06</v>
      </c>
      <c r="DK8">
        <v>12025725</v>
      </c>
      <c r="DL8" t="s">
        <v>4226</v>
      </c>
      <c r="EU8" t="s">
        <v>3878</v>
      </c>
      <c r="EV8" t="s">
        <v>1752</v>
      </c>
      <c r="EW8">
        <v>7.0469400000000002</v>
      </c>
      <c r="EX8">
        <v>2.182099</v>
      </c>
      <c r="EY8" t="s">
        <v>1788</v>
      </c>
      <c r="EZ8">
        <v>2025</v>
      </c>
      <c r="FA8" t="s">
        <v>3879</v>
      </c>
      <c r="FB8" s="6">
        <v>46058</v>
      </c>
      <c r="FC8">
        <v>5</v>
      </c>
      <c r="FD8">
        <v>27220814</v>
      </c>
      <c r="FE8">
        <v>12116527</v>
      </c>
      <c r="FF8" t="s">
        <v>3880</v>
      </c>
      <c r="FI8" t="s">
        <v>2797</v>
      </c>
      <c r="FJ8">
        <v>0.824013</v>
      </c>
      <c r="FK8" t="s">
        <v>1752</v>
      </c>
      <c r="FL8">
        <v>0.13065499999999999</v>
      </c>
      <c r="FM8" t="s">
        <v>1788</v>
      </c>
      <c r="FN8">
        <v>2026</v>
      </c>
      <c r="FO8" t="s">
        <v>4248</v>
      </c>
      <c r="FP8" s="6">
        <v>46051</v>
      </c>
      <c r="FQ8">
        <v>5</v>
      </c>
      <c r="FR8">
        <v>23696974</v>
      </c>
      <c r="FS8">
        <v>100436</v>
      </c>
      <c r="FT8" t="s">
        <v>2798</v>
      </c>
      <c r="HC8" t="s">
        <v>2283</v>
      </c>
      <c r="HD8" t="s">
        <v>1752</v>
      </c>
      <c r="HE8">
        <v>2.9225000000000001E-2</v>
      </c>
      <c r="HF8">
        <v>0.24604699999999999</v>
      </c>
      <c r="HG8" t="s">
        <v>1788</v>
      </c>
      <c r="HH8">
        <v>2025</v>
      </c>
      <c r="HI8" t="s">
        <v>2284</v>
      </c>
      <c r="HJ8" s="6">
        <v>45936</v>
      </c>
      <c r="HK8">
        <v>5</v>
      </c>
      <c r="HL8">
        <v>1226790.45</v>
      </c>
      <c r="HM8">
        <v>835530</v>
      </c>
      <c r="HN8" t="s">
        <v>2285</v>
      </c>
      <c r="HQ8" t="s">
        <v>1926</v>
      </c>
      <c r="HR8">
        <v>3.9990190000000001</v>
      </c>
      <c r="HS8" t="s">
        <v>1752</v>
      </c>
      <c r="HT8">
        <v>0.37565900000000002</v>
      </c>
      <c r="HU8" t="s">
        <v>1788</v>
      </c>
      <c r="HV8">
        <v>2024</v>
      </c>
      <c r="HW8" t="s">
        <v>1927</v>
      </c>
      <c r="HX8" s="6">
        <v>45727</v>
      </c>
      <c r="HY8">
        <v>5</v>
      </c>
      <c r="HZ8">
        <v>46555768.390000001</v>
      </c>
      <c r="IA8">
        <v>7583418</v>
      </c>
      <c r="IB8" t="s">
        <v>1928</v>
      </c>
      <c r="LS8" t="s">
        <v>1705</v>
      </c>
      <c r="LU8">
        <v>-2.4245362661989844E-14</v>
      </c>
      <c r="LV8">
        <v>-2.4245362661989844E-14</v>
      </c>
      <c r="LW8" t="s">
        <v>1753</v>
      </c>
      <c r="LX8">
        <v>2021</v>
      </c>
      <c r="LY8" t="s">
        <v>2396</v>
      </c>
      <c r="LZ8" s="6">
        <v>44693</v>
      </c>
      <c r="MA8">
        <v>5</v>
      </c>
      <c r="MB8">
        <v>-2.4245362661989844E-14</v>
      </c>
      <c r="MC8">
        <v>100348</v>
      </c>
      <c r="MD8" t="s">
        <v>2397</v>
      </c>
      <c r="PE8" t="s">
        <v>3953</v>
      </c>
      <c r="PG8">
        <v>-2.4245362661989844E-14</v>
      </c>
      <c r="PH8">
        <v>-2.4245362661989844E-14</v>
      </c>
      <c r="PI8" t="s">
        <v>1753</v>
      </c>
      <c r="PJ8">
        <v>2023</v>
      </c>
      <c r="PK8" t="s">
        <v>2146</v>
      </c>
      <c r="PL8" s="6">
        <v>45343</v>
      </c>
      <c r="PM8">
        <v>5</v>
      </c>
      <c r="PN8">
        <v>-2.4245362661989844E-14</v>
      </c>
      <c r="PO8">
        <v>50563862</v>
      </c>
      <c r="PP8" t="s">
        <v>3954</v>
      </c>
      <c r="UY8" t="s">
        <v>2360</v>
      </c>
      <c r="UZ8" t="s">
        <v>1828</v>
      </c>
      <c r="VA8">
        <v>6.234559</v>
      </c>
      <c r="VB8">
        <v>1.5138720000000001</v>
      </c>
      <c r="VC8" t="s">
        <v>1774</v>
      </c>
      <c r="VD8">
        <v>2025</v>
      </c>
      <c r="VE8" t="s">
        <v>2361</v>
      </c>
      <c r="VF8" s="6">
        <v>45897</v>
      </c>
      <c r="VG8">
        <v>5</v>
      </c>
      <c r="VH8">
        <v>137459552</v>
      </c>
      <c r="VI8">
        <v>16532368</v>
      </c>
      <c r="VJ8" t="s">
        <v>2362</v>
      </c>
      <c r="VM8" t="s">
        <v>1900</v>
      </c>
      <c r="VN8">
        <v>0.69902799999999998</v>
      </c>
      <c r="VO8" t="s">
        <v>1752</v>
      </c>
      <c r="VP8">
        <v>0.138625</v>
      </c>
      <c r="VQ8" t="s">
        <v>1825</v>
      </c>
      <c r="VR8">
        <v>2025</v>
      </c>
      <c r="VS8" t="s">
        <v>1897</v>
      </c>
      <c r="VT8" s="6">
        <v>45848</v>
      </c>
      <c r="VU8">
        <v>5</v>
      </c>
      <c r="VV8">
        <v>111166424</v>
      </c>
      <c r="VW8">
        <v>100976</v>
      </c>
      <c r="VX8" t="s">
        <v>1901</v>
      </c>
    </row>
    <row r="9" spans="1:600" x14ac:dyDescent="0.25">
      <c r="CM9" t="s">
        <v>5092</v>
      </c>
      <c r="CN9" t="s">
        <v>1752</v>
      </c>
      <c r="CO9">
        <v>0.81015999999999999</v>
      </c>
      <c r="CP9">
        <v>0.38313000000000003</v>
      </c>
      <c r="CQ9" t="s">
        <v>1788</v>
      </c>
      <c r="CR9">
        <v>2025</v>
      </c>
      <c r="CS9" t="s">
        <v>5093</v>
      </c>
      <c r="CT9" s="6">
        <v>46050</v>
      </c>
      <c r="CU9">
        <v>5</v>
      </c>
      <c r="CV9">
        <v>19443840</v>
      </c>
      <c r="CW9">
        <v>32348903</v>
      </c>
      <c r="CX9" t="s">
        <v>5094</v>
      </c>
      <c r="DA9" t="s">
        <v>4227</v>
      </c>
      <c r="DB9">
        <v>1.312E-2</v>
      </c>
      <c r="DC9" t="s">
        <v>1752</v>
      </c>
      <c r="DD9">
        <v>1.9811540000000001</v>
      </c>
      <c r="DE9" t="s">
        <v>1768</v>
      </c>
      <c r="DF9">
        <v>2025</v>
      </c>
      <c r="DG9" t="s">
        <v>4228</v>
      </c>
      <c r="DH9" s="6">
        <v>45975</v>
      </c>
      <c r="DI9">
        <v>5</v>
      </c>
      <c r="DJ9">
        <v>1435298.82</v>
      </c>
      <c r="DK9">
        <v>128948</v>
      </c>
      <c r="DL9" t="s">
        <v>4229</v>
      </c>
      <c r="EU9" t="s">
        <v>4728</v>
      </c>
      <c r="EV9" t="s">
        <v>1752</v>
      </c>
      <c r="EW9">
        <v>46</v>
      </c>
      <c r="EX9">
        <v>1.5506709999999999</v>
      </c>
      <c r="EY9" t="s">
        <v>1788</v>
      </c>
      <c r="EZ9">
        <v>2026</v>
      </c>
      <c r="FA9" t="s">
        <v>4729</v>
      </c>
      <c r="FB9" s="6">
        <v>46063</v>
      </c>
      <c r="FC9">
        <v>5</v>
      </c>
      <c r="FD9">
        <v>19344000</v>
      </c>
      <c r="FE9">
        <v>54865572</v>
      </c>
      <c r="FF9" t="s">
        <v>4730</v>
      </c>
      <c r="FI9" t="s">
        <v>346</v>
      </c>
      <c r="FJ9">
        <v>0.49554799999999999</v>
      </c>
      <c r="FK9" t="s">
        <v>1752</v>
      </c>
      <c r="FL9">
        <v>0.51135299999999995</v>
      </c>
      <c r="FM9" t="s">
        <v>1788</v>
      </c>
      <c r="FN9">
        <v>2026</v>
      </c>
      <c r="FO9" t="s">
        <v>4248</v>
      </c>
      <c r="FP9" s="6">
        <v>46051</v>
      </c>
      <c r="FQ9">
        <v>5</v>
      </c>
      <c r="FR9">
        <v>14250974</v>
      </c>
      <c r="FS9">
        <v>1133363</v>
      </c>
      <c r="FT9" t="s">
        <v>2328</v>
      </c>
      <c r="HC9" t="s">
        <v>185</v>
      </c>
      <c r="HD9" t="s">
        <v>1828</v>
      </c>
      <c r="HE9">
        <v>3.3274999999999999E-2</v>
      </c>
      <c r="HF9">
        <v>4.8761130000000001</v>
      </c>
      <c r="HG9" t="s">
        <v>1774</v>
      </c>
      <c r="HH9">
        <v>2026</v>
      </c>
      <c r="HI9" t="s">
        <v>2286</v>
      </c>
      <c r="HJ9" s="6">
        <v>46063</v>
      </c>
      <c r="HK9">
        <v>5</v>
      </c>
      <c r="HL9">
        <v>1097125</v>
      </c>
      <c r="HM9">
        <v>101732</v>
      </c>
      <c r="HN9" t="s">
        <v>2287</v>
      </c>
      <c r="HQ9" t="s">
        <v>1929</v>
      </c>
      <c r="HR9">
        <v>2.5742210000000001</v>
      </c>
      <c r="HS9" t="s">
        <v>1752</v>
      </c>
      <c r="HT9">
        <v>18.557379000000001</v>
      </c>
      <c r="HU9" t="s">
        <v>1753</v>
      </c>
      <c r="HV9">
        <v>2024</v>
      </c>
      <c r="HW9" t="s">
        <v>1930</v>
      </c>
      <c r="HX9" s="6">
        <v>45784</v>
      </c>
      <c r="HY9">
        <v>5</v>
      </c>
      <c r="HZ9">
        <v>28636240.420000002</v>
      </c>
      <c r="IA9">
        <v>17392177</v>
      </c>
      <c r="IB9" t="s">
        <v>1931</v>
      </c>
      <c r="LS9" t="s">
        <v>3099</v>
      </c>
      <c r="LU9">
        <v>-2.4245362661989844E-14</v>
      </c>
      <c r="LV9">
        <v>-2.4245362661989844E-14</v>
      </c>
      <c r="LW9" t="s">
        <v>1753</v>
      </c>
      <c r="LX9">
        <v>2021</v>
      </c>
      <c r="LY9" t="s">
        <v>3100</v>
      </c>
      <c r="LZ9" s="6">
        <v>44693</v>
      </c>
      <c r="MA9">
        <v>5</v>
      </c>
      <c r="MB9">
        <v>-2.4245362661989844E-14</v>
      </c>
      <c r="MC9">
        <v>100760</v>
      </c>
      <c r="MD9" t="s">
        <v>3101</v>
      </c>
      <c r="PE9" t="s">
        <v>3955</v>
      </c>
      <c r="PG9">
        <v>-2.4245362661989844E-14</v>
      </c>
      <c r="PH9">
        <v>-2.4245362661989844E-14</v>
      </c>
      <c r="PI9" t="s">
        <v>1753</v>
      </c>
      <c r="PJ9">
        <v>2026</v>
      </c>
      <c r="PK9" t="s">
        <v>3956</v>
      </c>
      <c r="PL9" s="6">
        <v>46077</v>
      </c>
      <c r="PM9">
        <v>5</v>
      </c>
      <c r="PN9">
        <v>-2.4245362661989844E-14</v>
      </c>
      <c r="PO9">
        <v>71762443</v>
      </c>
      <c r="PP9" t="s">
        <v>3957</v>
      </c>
      <c r="UY9" t="s">
        <v>1386</v>
      </c>
      <c r="UZ9" t="s">
        <v>1828</v>
      </c>
      <c r="VA9">
        <v>3.6037650000000001</v>
      </c>
      <c r="VB9">
        <v>0.90356199999999998</v>
      </c>
      <c r="VC9" t="s">
        <v>1774</v>
      </c>
      <c r="VD9">
        <v>2026</v>
      </c>
      <c r="VE9" t="s">
        <v>2363</v>
      </c>
      <c r="VF9" s="6">
        <v>46059</v>
      </c>
      <c r="VG9">
        <v>5</v>
      </c>
      <c r="VH9">
        <v>108725592</v>
      </c>
      <c r="VI9">
        <v>101643</v>
      </c>
      <c r="VJ9" t="s">
        <v>2364</v>
      </c>
      <c r="VM9" t="s">
        <v>1902</v>
      </c>
      <c r="VN9">
        <v>0.66108800000000001</v>
      </c>
      <c r="VO9" t="s">
        <v>1752</v>
      </c>
      <c r="VP9">
        <v>0.122531</v>
      </c>
      <c r="VQ9" t="s">
        <v>1825</v>
      </c>
      <c r="VR9">
        <v>2025</v>
      </c>
      <c r="VS9" t="s">
        <v>1897</v>
      </c>
      <c r="VT9" s="6">
        <v>45848</v>
      </c>
      <c r="VU9">
        <v>5</v>
      </c>
      <c r="VV9">
        <v>105132824</v>
      </c>
      <c r="VW9">
        <v>101548</v>
      </c>
      <c r="VX9" t="s">
        <v>1903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607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608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609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610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611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612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613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614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615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616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617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618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619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620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621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622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623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624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625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626</v>
      </c>
      <c r="AE2" s="3" t="s">
        <v>627</v>
      </c>
      <c r="BI2" s="3" t="s">
        <v>628</v>
      </c>
      <c r="CM2" s="3" t="s">
        <v>629</v>
      </c>
      <c r="DQ2" s="3" t="s">
        <v>630</v>
      </c>
      <c r="EU2" s="3" t="s">
        <v>631</v>
      </c>
      <c r="FY2" s="3" t="s">
        <v>632</v>
      </c>
      <c r="HC2" s="3" t="s">
        <v>633</v>
      </c>
      <c r="IG2" s="3" t="s">
        <v>634</v>
      </c>
      <c r="JK2" s="3" t="s">
        <v>635</v>
      </c>
      <c r="KO2" s="3" t="s">
        <v>636</v>
      </c>
      <c r="LS2" s="3" t="s">
        <v>637</v>
      </c>
      <c r="MW2" s="3" t="s">
        <v>638</v>
      </c>
      <c r="OA2" s="3" t="s">
        <v>156</v>
      </c>
      <c r="PE2" s="3" t="s">
        <v>639</v>
      </c>
      <c r="QI2" s="3" t="s">
        <v>640</v>
      </c>
      <c r="RM2" s="3" t="s">
        <v>641</v>
      </c>
      <c r="SQ2" s="3" t="s">
        <v>642</v>
      </c>
      <c r="TU2" s="3" t="s">
        <v>309</v>
      </c>
      <c r="UY2" s="3" t="s">
        <v>643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_xll.BDS("SWK US Equity","SUPPLY_CHAIN_SUPPLIERS_ALL_DATA","cols=12;rows=5")</f>
        <v>HCLT IN Equity</v>
      </c>
      <c r="B5" t="s">
        <v>1940</v>
      </c>
      <c r="C5">
        <v>1.02416</v>
      </c>
      <c r="D5">
        <v>5.2262740000000001</v>
      </c>
      <c r="E5" t="s">
        <v>1774</v>
      </c>
      <c r="F5">
        <v>2026</v>
      </c>
      <c r="G5" t="s">
        <v>2582</v>
      </c>
      <c r="H5" s="6">
        <v>45986</v>
      </c>
      <c r="I5">
        <v>5</v>
      </c>
      <c r="J5">
        <v>37335516.939999998</v>
      </c>
      <c r="K5">
        <v>995671</v>
      </c>
      <c r="L5" t="s">
        <v>2583</v>
      </c>
      <c r="O5" t="str">
        <f>_xll.BDS("SWK US Equity","SUPPLY_CHAIN_CUSTOMERS_ALL_DATA","cols=12;rows=5")</f>
        <v>HD US Equity</v>
      </c>
      <c r="P5">
        <v>15</v>
      </c>
      <c r="Q5" t="s">
        <v>1752</v>
      </c>
      <c r="R5">
        <v>2.066656</v>
      </c>
      <c r="S5" t="s">
        <v>1753</v>
      </c>
      <c r="T5">
        <v>2025</v>
      </c>
      <c r="U5" t="s">
        <v>4429</v>
      </c>
      <c r="V5" s="6">
        <v>46077</v>
      </c>
      <c r="W5">
        <v>5</v>
      </c>
      <c r="X5">
        <v>567390016</v>
      </c>
      <c r="Y5">
        <v>100743</v>
      </c>
      <c r="Z5" t="s">
        <v>1934</v>
      </c>
      <c r="AE5" t="str">
        <f>_xll.BDS("LZB US Equity","SUPPLY_CHAIN_SUPPLIERS_ALL_DATA","cols=12;rows=5")</f>
        <v>CULP US Equity</v>
      </c>
      <c r="AF5" t="s">
        <v>1752</v>
      </c>
      <c r="AG5">
        <v>11</v>
      </c>
      <c r="AH5">
        <v>1.983115</v>
      </c>
      <c r="AI5" t="s">
        <v>1753</v>
      </c>
      <c r="AJ5">
        <v>2025</v>
      </c>
      <c r="AK5" t="s">
        <v>5608</v>
      </c>
      <c r="AL5" s="6">
        <v>45849</v>
      </c>
      <c r="AM5">
        <v>5</v>
      </c>
      <c r="AN5">
        <v>5864017.5</v>
      </c>
      <c r="AO5">
        <v>103234</v>
      </c>
      <c r="AP5" t="s">
        <v>5609</v>
      </c>
      <c r="AS5" t="str">
        <f>_xll.BDS("LZB US Equity","SUPPLY_CHAIN_CUSTOMERS_ALL_DATA","cols=12;rows=5")</f>
        <v>0108766D US Equity</v>
      </c>
      <c r="AT5">
        <v>-2.4245362661989844E-14</v>
      </c>
      <c r="AV5">
        <v>-2.4245362661989844E-14</v>
      </c>
      <c r="AW5" t="s">
        <v>1753</v>
      </c>
      <c r="AX5">
        <v>2023</v>
      </c>
      <c r="AY5" t="s">
        <v>4233</v>
      </c>
      <c r="AZ5" s="6">
        <v>45097</v>
      </c>
      <c r="BA5">
        <v>5</v>
      </c>
      <c r="BB5">
        <v>-2.4245362661989844E-14</v>
      </c>
      <c r="BC5">
        <v>20049360</v>
      </c>
      <c r="BD5" t="s">
        <v>4234</v>
      </c>
      <c r="BI5" t="str">
        <f>_xll.BDS("SBSI US Equity","SUPPLY_CHAIN_SUPPLIERS_ALL_DATA")</f>
        <v>#N/A N/A</v>
      </c>
      <c r="BW5" t="str">
        <f>_xll.BDS("SBSI US Equity","SUPPLY_CHAIN_CUSTOMERS_ALL_DATA")</f>
        <v>#N/A N/A</v>
      </c>
      <c r="CM5" t="str">
        <f>_xll.BDS("EXTR US Equity","SUPPLY_CHAIN_SUPPLIERS_ALL_DATA","cols=12;rows=5")</f>
        <v>2317 TT Equity</v>
      </c>
      <c r="CN5" t="s">
        <v>1752</v>
      </c>
      <c r="CO5">
        <v>2.0632999999999999E-2</v>
      </c>
      <c r="CP5">
        <v>11.613331000000001</v>
      </c>
      <c r="CQ5" t="s">
        <v>1781</v>
      </c>
      <c r="CR5">
        <v>2026</v>
      </c>
      <c r="CS5" t="s">
        <v>2643</v>
      </c>
      <c r="CT5" s="6">
        <v>46049</v>
      </c>
      <c r="CU5">
        <v>5</v>
      </c>
      <c r="CV5">
        <v>14193349</v>
      </c>
      <c r="CW5">
        <v>119133</v>
      </c>
      <c r="CX5" t="s">
        <v>3925</v>
      </c>
      <c r="DA5" t="str">
        <f>_xll.BDS("EXTR US Equity","SUPPLY_CHAIN_CUSTOMERS_ALL_DATA","cols=12;rows=5")</f>
        <v>DTC SJ Equity</v>
      </c>
      <c r="DB5">
        <v>22</v>
      </c>
      <c r="DC5" t="s">
        <v>1752</v>
      </c>
      <c r="DD5">
        <v>10.342632</v>
      </c>
      <c r="DE5" t="s">
        <v>1774</v>
      </c>
      <c r="DF5">
        <v>2026</v>
      </c>
      <c r="DG5" t="s">
        <v>5435</v>
      </c>
      <c r="DH5" s="6">
        <v>46051</v>
      </c>
      <c r="DI5">
        <v>5</v>
      </c>
      <c r="DJ5">
        <v>69943504</v>
      </c>
      <c r="DK5">
        <v>182454</v>
      </c>
      <c r="DL5" t="s">
        <v>5436</v>
      </c>
      <c r="DQ5" t="str">
        <f>_xll.BDS("SYK US Equity","SUPPLY_CHAIN_SUPPLIERS_ALL_DATA","cols=12;rows=5")</f>
        <v>FLEX US Equity</v>
      </c>
      <c r="DR5" t="s">
        <v>1752</v>
      </c>
      <c r="DS5">
        <v>0.99592000000000003</v>
      </c>
      <c r="DT5">
        <v>2.886495</v>
      </c>
      <c r="DU5" t="s">
        <v>1788</v>
      </c>
      <c r="DV5">
        <v>2025</v>
      </c>
      <c r="DW5" t="s">
        <v>2213</v>
      </c>
      <c r="DX5" s="6">
        <v>45763</v>
      </c>
      <c r="DY5">
        <v>5</v>
      </c>
      <c r="DZ5">
        <v>65292516</v>
      </c>
      <c r="EA5">
        <v>136547</v>
      </c>
      <c r="EB5" t="s">
        <v>2214</v>
      </c>
      <c r="EE5" t="str">
        <f>_xll.BDS("SYK US Equity","SUPPLY_CHAIN_CUSTOMERS_ALL_DATA","cols=12;rows=5")</f>
        <v>CNXN US Equity</v>
      </c>
      <c r="EF5">
        <v>4.0249999999999999E-3</v>
      </c>
      <c r="EG5" t="s">
        <v>1752</v>
      </c>
      <c r="EH5">
        <v>4.2737999999999998E-2</v>
      </c>
      <c r="EI5" t="s">
        <v>1788</v>
      </c>
      <c r="EJ5">
        <v>2025</v>
      </c>
      <c r="EK5" t="s">
        <v>2724</v>
      </c>
      <c r="EL5" s="6">
        <v>46034</v>
      </c>
      <c r="EM5">
        <v>5</v>
      </c>
      <c r="EN5">
        <v>243787</v>
      </c>
      <c r="EO5">
        <v>313021</v>
      </c>
      <c r="EP5" t="s">
        <v>1962</v>
      </c>
      <c r="EU5" t="str">
        <f>_xll.BDS("CPPRQ US Equity","SUPPLY_CHAIN_SUPPLIERS_ALL_DATA","cols=12;rows=5")</f>
        <v>SPG US Equity</v>
      </c>
      <c r="EW5">
        <v>0.27769199999999999</v>
      </c>
      <c r="EX5">
        <v>-2.4245362661989844E-14</v>
      </c>
      <c r="EY5" t="s">
        <v>1753</v>
      </c>
      <c r="EZ5">
        <v>2024</v>
      </c>
      <c r="FA5" t="s">
        <v>3066</v>
      </c>
      <c r="FB5" s="6">
        <v>45693</v>
      </c>
      <c r="FC5">
        <v>5</v>
      </c>
      <c r="FD5">
        <v>4140248.25</v>
      </c>
      <c r="FE5">
        <v>126551</v>
      </c>
      <c r="FF5" t="s">
        <v>3067</v>
      </c>
      <c r="FI5" t="str">
        <f>_xll.BDS("CPPRQ US Equity","SUPPLY_CHAIN_CUSTOMERS_ALL_DATA")</f>
        <v>#N/A N/A</v>
      </c>
      <c r="FY5" t="str">
        <f>_xll.BDS("TXT US Equity","SUPPLY_CHAIN_SUPPLIERS_ALL_DATA","cols=12;rows=5")</f>
        <v>RR/ LN Equity</v>
      </c>
      <c r="FZ5" t="s">
        <v>1752</v>
      </c>
      <c r="GA5">
        <v>1.544897</v>
      </c>
      <c r="GB5">
        <v>3.251614</v>
      </c>
      <c r="GC5" t="s">
        <v>1774</v>
      </c>
      <c r="GD5">
        <v>2025</v>
      </c>
      <c r="GE5" t="s">
        <v>2513</v>
      </c>
      <c r="GF5" s="6">
        <v>45873</v>
      </c>
      <c r="GG5">
        <v>5</v>
      </c>
      <c r="GH5">
        <v>97847994.530000001</v>
      </c>
      <c r="GI5">
        <v>112185</v>
      </c>
      <c r="GJ5" t="s">
        <v>2514</v>
      </c>
      <c r="GM5" t="str">
        <f>_xll.BDS("TXT US Equity","SUPPLY_CHAIN_CUSTOMERS_ALL_DATA","cols=12;rows=5")</f>
        <v>3352Z US Equity</v>
      </c>
      <c r="GN5">
        <v>26.981552000000001</v>
      </c>
      <c r="GP5">
        <v>-2.4245362661989844E-14</v>
      </c>
      <c r="GQ5" t="s">
        <v>1753</v>
      </c>
      <c r="GR5">
        <v>2025</v>
      </c>
      <c r="GS5" t="s">
        <v>2398</v>
      </c>
      <c r="GT5" s="6">
        <v>46064</v>
      </c>
      <c r="GU5">
        <v>5</v>
      </c>
      <c r="GV5">
        <v>998250000</v>
      </c>
      <c r="GW5">
        <v>218252</v>
      </c>
      <c r="GX5" t="s">
        <v>1793</v>
      </c>
      <c r="HC5" t="str">
        <f>_xll.BDS("MYPT US Equity","SUPPLY_CHAIN_SUPPLIERS_ALL_DATA")</f>
        <v>#N/A N/A</v>
      </c>
      <c r="HQ5" t="str">
        <f>_xll.BDS("MYPT US Equity","SUPPLY_CHAIN_CUSTOMERS_ALL_DATA")</f>
        <v>#N/A N/A</v>
      </c>
      <c r="IG5" t="str">
        <f>_xll.BDS("FULT US Equity","SUPPLY_CHAIN_SUPPLIERS_ALL_DATA","cols=12;rows=2")</f>
        <v>DLX US Equity</v>
      </c>
      <c r="II5">
        <v>-2.4245362661989844E-14</v>
      </c>
      <c r="IJ5">
        <v>-2.4245362661989844E-14</v>
      </c>
      <c r="IK5" t="s">
        <v>1788</v>
      </c>
      <c r="IL5">
        <v>2023</v>
      </c>
      <c r="IM5" t="s">
        <v>2150</v>
      </c>
      <c r="IN5" s="6">
        <v>45265</v>
      </c>
      <c r="IO5">
        <v>2</v>
      </c>
      <c r="IP5">
        <v>-2.4245362661989844E-14</v>
      </c>
      <c r="IQ5">
        <v>100444</v>
      </c>
      <c r="IR5" t="s">
        <v>2151</v>
      </c>
      <c r="IU5" t="str">
        <f>_xll.BDS("FULT US Equity","SUPPLY_CHAIN_CUSTOMERS_ALL_DATA")</f>
        <v>#N/A N/A</v>
      </c>
      <c r="JK5" t="str">
        <f>_xll.BDS("RRA US Equity","SUPPLY_CHAIN_SUPPLIERS_ALL_DATA")</f>
        <v>#N/A N/A</v>
      </c>
      <c r="JY5" t="str">
        <f>_xll.BDS("RRA US Equity","SUPPLY_CHAIN_CUSTOMERS_ALL_DATA")</f>
        <v>#N/A N/A</v>
      </c>
      <c r="KO5" t="str">
        <f>_xll.BDS("K US Equity","SUPPLY_CHAIN_SUPPLIERS_ALL_DATA","cols=12;rows=5")</f>
        <v>AMCR US Equity</v>
      </c>
      <c r="KP5" t="s">
        <v>1752</v>
      </c>
      <c r="KQ5">
        <v>0.72945599999999999</v>
      </c>
      <c r="KR5">
        <v>1.9379839999999999</v>
      </c>
      <c r="KS5" t="s">
        <v>1774</v>
      </c>
      <c r="KT5">
        <v>2026</v>
      </c>
      <c r="KU5" t="s">
        <v>3445</v>
      </c>
      <c r="KV5" s="6">
        <v>46071</v>
      </c>
      <c r="KW5">
        <v>5</v>
      </c>
      <c r="KX5">
        <v>39748056</v>
      </c>
      <c r="KY5">
        <v>61417091</v>
      </c>
      <c r="KZ5" t="s">
        <v>3446</v>
      </c>
      <c r="LC5" t="str">
        <f>_xll.BDS("K US Equity","SUPPLY_CHAIN_CUSTOMERS_ALL_DATA","cols=12;rows=5")</f>
        <v>WMT US Equity</v>
      </c>
      <c r="LD5">
        <v>16</v>
      </c>
      <c r="LE5" t="s">
        <v>1752</v>
      </c>
      <c r="LF5">
        <v>0.39859899999999998</v>
      </c>
      <c r="LG5" t="s">
        <v>1753</v>
      </c>
      <c r="LH5">
        <v>2024</v>
      </c>
      <c r="LI5" t="s">
        <v>3816</v>
      </c>
      <c r="LJ5" s="6">
        <v>45709</v>
      </c>
      <c r="LK5">
        <v>5</v>
      </c>
      <c r="LL5">
        <v>509960000</v>
      </c>
      <c r="LM5">
        <v>101616</v>
      </c>
      <c r="LN5" t="s">
        <v>2752</v>
      </c>
      <c r="LS5" t="str">
        <f>_xll.BDS("IEP US Equity","SUPPLY_CHAIN_SUPPLIERS_ALL_DATA","cols=12;rows=5")</f>
        <v>SMP US Equity</v>
      </c>
      <c r="LT5" t="s">
        <v>1752</v>
      </c>
      <c r="LU5">
        <v>0.58005099999999998</v>
      </c>
      <c r="LV5">
        <v>0.126083</v>
      </c>
      <c r="LW5" t="s">
        <v>1774</v>
      </c>
      <c r="LX5">
        <v>2025</v>
      </c>
      <c r="LY5" t="s">
        <v>4255</v>
      </c>
      <c r="LZ5" s="6">
        <v>45908</v>
      </c>
      <c r="MA5">
        <v>5</v>
      </c>
      <c r="MB5">
        <v>2864599</v>
      </c>
      <c r="MC5">
        <v>101392</v>
      </c>
      <c r="MD5" t="s">
        <v>4256</v>
      </c>
      <c r="MG5" t="str">
        <f>_xll.BDS("IEP US Equity","SUPPLY_CHAIN_CUSTOMERS_ALL_DATA","cols=12;rows=2")</f>
        <v>FMGI IN Equity</v>
      </c>
      <c r="MH5">
        <v>-2.4245362661989844E-14</v>
      </c>
      <c r="MJ5">
        <v>-2.4245362661989844E-14</v>
      </c>
      <c r="MK5" t="s">
        <v>1753</v>
      </c>
      <c r="ML5">
        <v>2023</v>
      </c>
      <c r="MM5" t="s">
        <v>4215</v>
      </c>
      <c r="MN5" s="6">
        <v>45076</v>
      </c>
      <c r="MO5">
        <v>2</v>
      </c>
      <c r="MP5">
        <v>-2.4245362661989844E-14</v>
      </c>
      <c r="MQ5">
        <v>174503</v>
      </c>
      <c r="MR5" t="s">
        <v>4216</v>
      </c>
      <c r="MW5" t="str">
        <f>_xll.BDS("2072499D US Equity","SUPPLY_CHAIN_SUPPLIERS_ALL_DATA")</f>
        <v>#N/A N/A</v>
      </c>
      <c r="NK5" t="str">
        <f>_xll.BDS("2072499D US Equity","SUPPLY_CHAIN_CUSTOMERS_ALL_DATA")</f>
        <v>#N/A N/A</v>
      </c>
      <c r="OA5" t="str">
        <f>_xll.BDS("2674129Q US Equity","SUPPLY_CHAIN_SUPPLIERS_ALL_DATA")</f>
        <v>#N/A N/A</v>
      </c>
      <c r="OO5" t="str">
        <f>_xll.BDS("2674129Q US Equity","SUPPLY_CHAIN_CUSTOMERS_ALL_DATA")</f>
        <v>#N/A N/A</v>
      </c>
      <c r="PE5" t="str">
        <f>_xll.BDS("1288652D US Equity","SUPPLY_CHAIN_SUPPLIERS_ALL_DATA")</f>
        <v>#N/A N/A</v>
      </c>
      <c r="PS5" t="str">
        <f>_xll.BDS("1288652D US Equity","SUPPLY_CHAIN_CUSTOMERS_ALL_DATA")</f>
        <v>#N/A N/A</v>
      </c>
      <c r="QI5" t="str">
        <f>_xll.BDS("LNWO US Equity","SUPPLY_CHAIN_SUPPLIERS_ALL_DATA","cols=12;rows=5")</f>
        <v>HAS US Equity</v>
      </c>
      <c r="QJ5" t="s">
        <v>1752</v>
      </c>
      <c r="QK5">
        <v>0.180285</v>
      </c>
      <c r="QL5">
        <v>0.863487</v>
      </c>
      <c r="QM5" t="s">
        <v>1825</v>
      </c>
      <c r="QN5">
        <v>2024</v>
      </c>
      <c r="QO5" t="s">
        <v>2795</v>
      </c>
      <c r="QP5" s="6">
        <v>45769</v>
      </c>
      <c r="QQ5">
        <v>5</v>
      </c>
      <c r="QR5">
        <v>1986020</v>
      </c>
      <c r="QS5">
        <v>104314</v>
      </c>
      <c r="QT5" t="s">
        <v>5546</v>
      </c>
      <c r="QW5" t="str">
        <f>_xll.BDS("LNWO US Equity","SUPPLY_CHAIN_CUSTOMERS_ALL_DATA","cols=12;rows=5")</f>
        <v>ENT LN Equity</v>
      </c>
      <c r="QX5">
        <v>-2.4245362661989844E-14</v>
      </c>
      <c r="QZ5">
        <v>-2.4245362661989844E-14</v>
      </c>
      <c r="RA5" t="s">
        <v>1753</v>
      </c>
      <c r="RB5">
        <v>2022</v>
      </c>
      <c r="RC5" t="s">
        <v>5421</v>
      </c>
      <c r="RD5" s="6">
        <v>44665</v>
      </c>
      <c r="RE5">
        <v>5</v>
      </c>
      <c r="RF5">
        <v>-2.4245362661989844E-14</v>
      </c>
      <c r="RG5">
        <v>9335259</v>
      </c>
      <c r="RH5" t="s">
        <v>5422</v>
      </c>
      <c r="RM5" t="str">
        <f>_xll.BDS("KEGX US Equity","SUPPLY_CHAIN_SUPPLIERS_ALL_DATA")</f>
        <v>#N/A N/A</v>
      </c>
      <c r="SA5" t="str">
        <f>_xll.BDS("KEGX US Equity","SUPPLY_CHAIN_CUSTOMERS_ALL_DATA")</f>
        <v>#N/A N/A</v>
      </c>
      <c r="SQ5" t="str">
        <f>_xll.BDS("AOS US Equity","SUPPLY_CHAIN_SUPPLIERS_ALL_DATA","cols=12;rows=5")</f>
        <v>BABA US Equity</v>
      </c>
      <c r="SR5" t="s">
        <v>1940</v>
      </c>
      <c r="SS5">
        <v>2.7047000000000002E-2</v>
      </c>
      <c r="ST5">
        <v>5.1980909999999998</v>
      </c>
      <c r="SU5" t="s">
        <v>1781</v>
      </c>
      <c r="SV5">
        <v>2026</v>
      </c>
      <c r="SW5" t="s">
        <v>3205</v>
      </c>
      <c r="SX5" s="6">
        <v>45973</v>
      </c>
      <c r="SY5">
        <v>5</v>
      </c>
      <c r="SZ5">
        <v>9264363.9299999997</v>
      </c>
      <c r="TA5">
        <v>16857643</v>
      </c>
      <c r="TB5" t="s">
        <v>3206</v>
      </c>
      <c r="TE5" t="str">
        <f>_xll.BDS("AOS US Equity","SUPPLY_CHAIN_CUSTOMERS_ALL_DATA","cols=12;rows=5")</f>
        <v>LOW US Equity</v>
      </c>
      <c r="TF5">
        <v>15.896742</v>
      </c>
      <c r="TG5" t="s">
        <v>1752</v>
      </c>
      <c r="TH5">
        <v>1.059048</v>
      </c>
      <c r="TI5" t="s">
        <v>1788</v>
      </c>
      <c r="TJ5">
        <v>2025</v>
      </c>
      <c r="TK5" t="s">
        <v>4252</v>
      </c>
      <c r="TL5" s="6">
        <v>46070</v>
      </c>
      <c r="TM5">
        <v>5</v>
      </c>
      <c r="TN5">
        <v>145057776</v>
      </c>
      <c r="TO5">
        <v>100916</v>
      </c>
      <c r="TP5" t="s">
        <v>1936</v>
      </c>
      <c r="TU5" t="str">
        <f>_xll.BDS("LLY US Equity","SUPPLY_CHAIN_SUPPLIERS_ALL_DATA","cols=12;rows=5")</f>
        <v>RIGL US Equity</v>
      </c>
      <c r="TV5" t="s">
        <v>1752</v>
      </c>
      <c r="TW5">
        <v>39</v>
      </c>
      <c r="TX5">
        <v>1.782985</v>
      </c>
      <c r="TY5" t="s">
        <v>1774</v>
      </c>
      <c r="TZ5">
        <v>2025</v>
      </c>
      <c r="UA5" t="s">
        <v>4023</v>
      </c>
      <c r="UB5" s="6">
        <v>45874</v>
      </c>
      <c r="UC5">
        <v>5</v>
      </c>
      <c r="UD5">
        <v>39657152</v>
      </c>
      <c r="UE5">
        <v>1176875</v>
      </c>
      <c r="UF5" t="s">
        <v>4024</v>
      </c>
      <c r="UI5" t="str">
        <f>_xll.BDS("LLY US Equity","SUPPLY_CHAIN_CUSTOMERS_ALL_DATA","cols=12;rows=5")</f>
        <v>MCK US Equity</v>
      </c>
      <c r="UJ5">
        <v>23.281113000000001</v>
      </c>
      <c r="UK5" t="s">
        <v>1752</v>
      </c>
      <c r="UL5">
        <v>5.5350809999999999</v>
      </c>
      <c r="UM5" t="s">
        <v>1788</v>
      </c>
      <c r="UN5">
        <v>2025</v>
      </c>
      <c r="UO5" t="s">
        <v>3438</v>
      </c>
      <c r="UP5" s="6">
        <v>46041</v>
      </c>
      <c r="UQ5">
        <v>5</v>
      </c>
      <c r="UR5">
        <v>4097661952</v>
      </c>
      <c r="US5">
        <v>154936</v>
      </c>
      <c r="UT5" t="s">
        <v>2342</v>
      </c>
      <c r="UY5" t="str">
        <f>_xll.BDS("CVI US Equity","SUPPLY_CHAIN_SUPPLIERS_ALL_DATA","cols=12;rows=4")</f>
        <v>1448460D US Equity</v>
      </c>
      <c r="VA5">
        <v>-2.4245362661989844E-14</v>
      </c>
      <c r="VB5">
        <v>-2.4245362661989844E-14</v>
      </c>
      <c r="VC5" t="s">
        <v>1753</v>
      </c>
      <c r="VD5">
        <v>2024</v>
      </c>
      <c r="VE5" t="s">
        <v>5066</v>
      </c>
      <c r="VF5" s="6">
        <v>45707</v>
      </c>
      <c r="VG5">
        <v>4</v>
      </c>
      <c r="VH5">
        <v>-2.4245362661989844E-14</v>
      </c>
      <c r="VI5">
        <v>50946272</v>
      </c>
      <c r="VJ5" t="s">
        <v>5129</v>
      </c>
      <c r="VM5" t="str">
        <f>_xll.BDS("CVI US Equity","SUPPLY_CHAIN_CUSTOMERS_ALL_DATA","cols=12;rows=3")</f>
        <v>0219682Z US Equity</v>
      </c>
      <c r="VN5">
        <v>-2.4245362661989844E-14</v>
      </c>
      <c r="VP5">
        <v>-2.4245362661989844E-14</v>
      </c>
      <c r="VQ5" t="s">
        <v>1753</v>
      </c>
      <c r="VR5">
        <v>2024</v>
      </c>
      <c r="VS5" t="s">
        <v>5066</v>
      </c>
      <c r="VT5" s="6">
        <v>45707</v>
      </c>
      <c r="VU5">
        <v>3</v>
      </c>
      <c r="VV5">
        <v>-2.4245362661989844E-14</v>
      </c>
      <c r="VW5">
        <v>962205</v>
      </c>
      <c r="VX5" t="s">
        <v>1984</v>
      </c>
    </row>
    <row r="6" spans="1:600" x14ac:dyDescent="0.25">
      <c r="A6" t="s">
        <v>5759</v>
      </c>
      <c r="B6" t="s">
        <v>1752</v>
      </c>
      <c r="C6">
        <v>38.389999000000003</v>
      </c>
      <c r="D6">
        <v>0.61032399999999998</v>
      </c>
      <c r="E6" t="s">
        <v>1753</v>
      </c>
      <c r="F6">
        <v>2024</v>
      </c>
      <c r="G6" t="s">
        <v>5760</v>
      </c>
      <c r="H6" s="6">
        <v>45807</v>
      </c>
      <c r="I6">
        <v>5</v>
      </c>
      <c r="J6">
        <v>16395390.09</v>
      </c>
      <c r="K6">
        <v>26158262</v>
      </c>
      <c r="L6" t="s">
        <v>5761</v>
      </c>
      <c r="O6" t="s">
        <v>1935</v>
      </c>
      <c r="P6">
        <v>12</v>
      </c>
      <c r="Q6" t="s">
        <v>1752</v>
      </c>
      <c r="R6">
        <v>3.2448359999999998</v>
      </c>
      <c r="S6" t="s">
        <v>1753</v>
      </c>
      <c r="T6">
        <v>2025</v>
      </c>
      <c r="U6" t="s">
        <v>4429</v>
      </c>
      <c r="V6" s="6">
        <v>46077</v>
      </c>
      <c r="W6">
        <v>5</v>
      </c>
      <c r="X6">
        <v>453912000</v>
      </c>
      <c r="Y6">
        <v>100916</v>
      </c>
      <c r="Z6" t="s">
        <v>1936</v>
      </c>
      <c r="AE6" t="s">
        <v>3644</v>
      </c>
      <c r="AF6" t="s">
        <v>1752</v>
      </c>
      <c r="AG6">
        <v>0.49708000000000002</v>
      </c>
      <c r="AH6">
        <v>1.768295</v>
      </c>
      <c r="AI6" t="s">
        <v>1788</v>
      </c>
      <c r="AJ6">
        <v>2025</v>
      </c>
      <c r="AK6" t="s">
        <v>3645</v>
      </c>
      <c r="AL6" s="6">
        <v>46049</v>
      </c>
      <c r="AM6">
        <v>5</v>
      </c>
      <c r="AN6">
        <v>5151737</v>
      </c>
      <c r="AO6">
        <v>100885</v>
      </c>
      <c r="AP6" t="s">
        <v>3646</v>
      </c>
      <c r="AS6" t="s">
        <v>4235</v>
      </c>
      <c r="AT6">
        <v>-2.4245362661989844E-14</v>
      </c>
      <c r="AV6">
        <v>-2.4245362661989844E-14</v>
      </c>
      <c r="AW6" t="s">
        <v>1753</v>
      </c>
      <c r="AX6">
        <v>2023</v>
      </c>
      <c r="AY6" t="s">
        <v>4233</v>
      </c>
      <c r="AZ6" s="6">
        <v>45097</v>
      </c>
      <c r="BA6">
        <v>5</v>
      </c>
      <c r="BB6">
        <v>-2.4245362661989844E-14</v>
      </c>
      <c r="BC6">
        <v>17293516</v>
      </c>
      <c r="BD6" t="s">
        <v>4236</v>
      </c>
      <c r="CM6" t="s">
        <v>4296</v>
      </c>
      <c r="CN6" t="s">
        <v>1752</v>
      </c>
      <c r="CO6">
        <v>3.7074000000000003E-2</v>
      </c>
      <c r="CP6">
        <v>5.0194000000000001</v>
      </c>
      <c r="CQ6" t="s">
        <v>1781</v>
      </c>
      <c r="CR6">
        <v>2026</v>
      </c>
      <c r="CS6" t="s">
        <v>2643</v>
      </c>
      <c r="CT6" s="6">
        <v>46049</v>
      </c>
      <c r="CU6">
        <v>5</v>
      </c>
      <c r="CV6">
        <v>6134510</v>
      </c>
      <c r="CW6">
        <v>330541</v>
      </c>
      <c r="CX6" t="s">
        <v>4298</v>
      </c>
      <c r="DA6" t="s">
        <v>1824</v>
      </c>
      <c r="DB6">
        <v>17</v>
      </c>
      <c r="DC6" t="s">
        <v>1752</v>
      </c>
      <c r="DD6">
        <v>0.33394699999999999</v>
      </c>
      <c r="DE6" t="s">
        <v>1774</v>
      </c>
      <c r="DF6">
        <v>2026</v>
      </c>
      <c r="DG6" t="s">
        <v>5435</v>
      </c>
      <c r="DH6" s="6">
        <v>46051</v>
      </c>
      <c r="DI6">
        <v>5</v>
      </c>
      <c r="DJ6">
        <v>54047248</v>
      </c>
      <c r="DK6">
        <v>1499717</v>
      </c>
      <c r="DL6" t="s">
        <v>1827</v>
      </c>
      <c r="DQ6" t="s">
        <v>2944</v>
      </c>
      <c r="DR6" t="s">
        <v>1752</v>
      </c>
      <c r="DS6">
        <v>21.5</v>
      </c>
      <c r="DT6">
        <v>1.4319010000000001</v>
      </c>
      <c r="DU6" t="s">
        <v>1753</v>
      </c>
      <c r="DV6">
        <v>2025</v>
      </c>
      <c r="DW6" t="s">
        <v>2945</v>
      </c>
      <c r="DX6" s="6">
        <v>46080</v>
      </c>
      <c r="DY6">
        <v>5</v>
      </c>
      <c r="DZ6">
        <v>32400338</v>
      </c>
      <c r="EA6">
        <v>126764</v>
      </c>
      <c r="EB6" t="s">
        <v>2946</v>
      </c>
      <c r="EE6" t="s">
        <v>2725</v>
      </c>
      <c r="EF6">
        <v>-2.4245362661989844E-14</v>
      </c>
      <c r="EH6">
        <v>-2.4245362661989844E-14</v>
      </c>
      <c r="EI6" t="s">
        <v>1768</v>
      </c>
      <c r="EJ6">
        <v>2025</v>
      </c>
      <c r="EK6" t="s">
        <v>2726</v>
      </c>
      <c r="EL6" s="6">
        <v>45975</v>
      </c>
      <c r="EM6">
        <v>5</v>
      </c>
      <c r="EN6">
        <v>-2.4245362661989844E-14</v>
      </c>
      <c r="EO6">
        <v>129466</v>
      </c>
      <c r="EP6" t="s">
        <v>2727</v>
      </c>
      <c r="EU6" t="s">
        <v>3068</v>
      </c>
      <c r="EW6">
        <v>-2.4245362661989844E-14</v>
      </c>
      <c r="EX6">
        <v>-2.4245362661989844E-14</v>
      </c>
      <c r="EY6" t="s">
        <v>1781</v>
      </c>
      <c r="EZ6">
        <v>2023</v>
      </c>
      <c r="FA6" t="s">
        <v>3069</v>
      </c>
      <c r="FB6" s="6">
        <v>45126</v>
      </c>
      <c r="FC6">
        <v>5</v>
      </c>
      <c r="FD6">
        <v>-2.4245362661989844E-14</v>
      </c>
      <c r="FE6">
        <v>169120</v>
      </c>
      <c r="FF6" t="s">
        <v>3070</v>
      </c>
      <c r="FY6" t="s">
        <v>1908</v>
      </c>
      <c r="FZ6" t="s">
        <v>1752</v>
      </c>
      <c r="GA6">
        <v>0.40776600000000002</v>
      </c>
      <c r="GB6">
        <v>2.926504</v>
      </c>
      <c r="GC6" t="s">
        <v>1774</v>
      </c>
      <c r="GD6">
        <v>2025</v>
      </c>
      <c r="GE6" t="s">
        <v>2515</v>
      </c>
      <c r="GF6" s="6">
        <v>45895</v>
      </c>
      <c r="GG6">
        <v>5</v>
      </c>
      <c r="GH6">
        <v>87999984</v>
      </c>
      <c r="GI6">
        <v>101555</v>
      </c>
      <c r="GJ6" t="s">
        <v>1909</v>
      </c>
      <c r="GM6" t="s">
        <v>1180</v>
      </c>
      <c r="GN6">
        <v>6.6028770000000003</v>
      </c>
      <c r="GO6" t="s">
        <v>1828</v>
      </c>
      <c r="GP6">
        <v>5.0506979999999997</v>
      </c>
      <c r="GQ6" t="s">
        <v>1774</v>
      </c>
      <c r="GR6">
        <v>2025</v>
      </c>
      <c r="GS6" t="s">
        <v>2399</v>
      </c>
      <c r="GT6" s="6">
        <v>45915</v>
      </c>
      <c r="GU6">
        <v>5</v>
      </c>
      <c r="GV6">
        <v>245362912</v>
      </c>
      <c r="GW6">
        <v>100193</v>
      </c>
      <c r="GX6" t="s">
        <v>1951</v>
      </c>
      <c r="IG6" t="s">
        <v>2152</v>
      </c>
      <c r="II6">
        <v>-2.4245362661989844E-14</v>
      </c>
      <c r="IJ6">
        <v>-2.4245362661989844E-14</v>
      </c>
      <c r="IK6" t="s">
        <v>1768</v>
      </c>
      <c r="IL6">
        <v>2023</v>
      </c>
      <c r="IM6" t="s">
        <v>2153</v>
      </c>
      <c r="IN6" s="6">
        <v>45245</v>
      </c>
      <c r="IO6">
        <v>2</v>
      </c>
      <c r="IP6">
        <v>-2.4245362661989844E-14</v>
      </c>
      <c r="IQ6">
        <v>103882</v>
      </c>
      <c r="IR6" t="s">
        <v>2154</v>
      </c>
      <c r="KO6" t="s">
        <v>4014</v>
      </c>
      <c r="KP6" t="s">
        <v>1752</v>
      </c>
      <c r="KQ6">
        <v>1.8572379999999999</v>
      </c>
      <c r="KR6">
        <v>1.904325</v>
      </c>
      <c r="KS6" t="s">
        <v>1825</v>
      </c>
      <c r="KT6">
        <v>2025</v>
      </c>
      <c r="KU6" t="s">
        <v>4015</v>
      </c>
      <c r="KV6" s="6">
        <v>46076</v>
      </c>
      <c r="KW6">
        <v>5</v>
      </c>
      <c r="KX6">
        <v>39057716</v>
      </c>
      <c r="KY6">
        <v>187274</v>
      </c>
      <c r="KZ6" t="s">
        <v>4016</v>
      </c>
      <c r="LC6" t="s">
        <v>2794</v>
      </c>
      <c r="LD6">
        <v>6.2872349999999999</v>
      </c>
      <c r="LE6" t="s">
        <v>1752</v>
      </c>
      <c r="LF6">
        <v>0.26705499999999999</v>
      </c>
      <c r="LG6" t="s">
        <v>1788</v>
      </c>
      <c r="LH6">
        <v>2025</v>
      </c>
      <c r="LI6" t="s">
        <v>3817</v>
      </c>
      <c r="LJ6" s="6">
        <v>45961</v>
      </c>
      <c r="LK6">
        <v>5</v>
      </c>
      <c r="LL6">
        <v>200389904</v>
      </c>
      <c r="LM6">
        <v>101758</v>
      </c>
      <c r="LN6" t="s">
        <v>2796</v>
      </c>
      <c r="LS6" t="s">
        <v>4257</v>
      </c>
      <c r="LT6" t="s">
        <v>1752</v>
      </c>
      <c r="LU6">
        <v>3.8052999999999997E-2</v>
      </c>
      <c r="LV6">
        <v>3.3156999999999999E-2</v>
      </c>
      <c r="LW6" t="s">
        <v>1774</v>
      </c>
      <c r="LX6">
        <v>2025</v>
      </c>
      <c r="LY6" t="s">
        <v>4258</v>
      </c>
      <c r="LZ6" s="6">
        <v>45954</v>
      </c>
      <c r="MA6">
        <v>5</v>
      </c>
      <c r="MB6">
        <v>753034.07</v>
      </c>
      <c r="MC6">
        <v>114817</v>
      </c>
      <c r="MD6" t="s">
        <v>4259</v>
      </c>
      <c r="MG6" t="s">
        <v>4217</v>
      </c>
      <c r="MH6">
        <v>-2.4245362661989844E-14</v>
      </c>
      <c r="MJ6">
        <v>-2.4245362661989844E-14</v>
      </c>
      <c r="MK6" t="s">
        <v>1753</v>
      </c>
      <c r="ML6">
        <v>2022</v>
      </c>
      <c r="MM6" t="s">
        <v>4218</v>
      </c>
      <c r="MN6" s="6">
        <v>44994</v>
      </c>
      <c r="MO6">
        <v>2</v>
      </c>
      <c r="MP6">
        <v>-2.4245362661989844E-14</v>
      </c>
      <c r="MQ6">
        <v>10498790</v>
      </c>
      <c r="MR6" t="s">
        <v>4219</v>
      </c>
      <c r="QI6" t="s">
        <v>5547</v>
      </c>
      <c r="QJ6" t="s">
        <v>1752</v>
      </c>
      <c r="QK6">
        <v>6</v>
      </c>
      <c r="QL6">
        <v>0.27959600000000001</v>
      </c>
      <c r="QM6" t="s">
        <v>1753</v>
      </c>
      <c r="QN6">
        <v>2024</v>
      </c>
      <c r="QO6" t="s">
        <v>5548</v>
      </c>
      <c r="QP6" s="6">
        <v>45740</v>
      </c>
      <c r="QQ6">
        <v>5</v>
      </c>
      <c r="QR6">
        <v>650760</v>
      </c>
      <c r="QS6">
        <v>194466</v>
      </c>
      <c r="QT6" t="s">
        <v>5549</v>
      </c>
      <c r="QW6" t="s">
        <v>5423</v>
      </c>
      <c r="QX6">
        <v>-2.4245362661989844E-14</v>
      </c>
      <c r="QZ6">
        <v>-2.4245362661989844E-14</v>
      </c>
      <c r="RA6" t="s">
        <v>1753</v>
      </c>
      <c r="RB6">
        <v>2024</v>
      </c>
      <c r="RC6" t="s">
        <v>5424</v>
      </c>
      <c r="RD6" s="6">
        <v>45776</v>
      </c>
      <c r="RE6">
        <v>5</v>
      </c>
      <c r="RF6">
        <v>-2.4245362661989844E-14</v>
      </c>
      <c r="RG6">
        <v>8540383</v>
      </c>
      <c r="RH6" t="s">
        <v>5425</v>
      </c>
      <c r="SQ6" t="s">
        <v>5203</v>
      </c>
      <c r="SR6" t="s">
        <v>1752</v>
      </c>
      <c r="SS6">
        <v>6.3314999999999996E-2</v>
      </c>
      <c r="ST6">
        <v>3.5465000000000003E-2</v>
      </c>
      <c r="SU6" t="s">
        <v>1825</v>
      </c>
      <c r="SV6">
        <v>2025</v>
      </c>
      <c r="SW6" t="s">
        <v>5204</v>
      </c>
      <c r="SX6" s="6">
        <v>46071</v>
      </c>
      <c r="SY6">
        <v>5</v>
      </c>
      <c r="SZ6">
        <v>199527.14</v>
      </c>
      <c r="TA6">
        <v>114434</v>
      </c>
      <c r="TB6" t="s">
        <v>5205</v>
      </c>
      <c r="TE6" t="s">
        <v>1932</v>
      </c>
      <c r="TF6">
        <v>12.252523999999999</v>
      </c>
      <c r="TG6" t="s">
        <v>1752</v>
      </c>
      <c r="TH6">
        <v>0.40601500000000001</v>
      </c>
      <c r="TI6" t="s">
        <v>1788</v>
      </c>
      <c r="TJ6">
        <v>2025</v>
      </c>
      <c r="TK6" t="s">
        <v>4252</v>
      </c>
      <c r="TL6" s="6">
        <v>46070</v>
      </c>
      <c r="TM6">
        <v>5</v>
      </c>
      <c r="TN6">
        <v>111804280</v>
      </c>
      <c r="TO6">
        <v>100743</v>
      </c>
      <c r="TP6" t="s">
        <v>1934</v>
      </c>
      <c r="TU6" t="s">
        <v>4025</v>
      </c>
      <c r="TV6" t="s">
        <v>1752</v>
      </c>
      <c r="TW6">
        <v>2.8125499999999999</v>
      </c>
      <c r="TX6">
        <v>1.308325</v>
      </c>
      <c r="TY6" t="s">
        <v>1753</v>
      </c>
      <c r="TZ6">
        <v>2025</v>
      </c>
      <c r="UA6" t="s">
        <v>4026</v>
      </c>
      <c r="UB6" s="6">
        <v>46063</v>
      </c>
      <c r="UC6">
        <v>5</v>
      </c>
      <c r="UD6">
        <v>36150000</v>
      </c>
      <c r="UE6">
        <v>126255</v>
      </c>
      <c r="UF6" t="s">
        <v>4027</v>
      </c>
      <c r="UI6" t="s">
        <v>1545</v>
      </c>
      <c r="UJ6">
        <v>22.163627999999999</v>
      </c>
      <c r="UK6" t="s">
        <v>1752</v>
      </c>
      <c r="UL6">
        <v>4.8294360000000003</v>
      </c>
      <c r="UM6" t="s">
        <v>1788</v>
      </c>
      <c r="UN6">
        <v>2025</v>
      </c>
      <c r="UO6" t="s">
        <v>3438</v>
      </c>
      <c r="UP6" s="6">
        <v>46041</v>
      </c>
      <c r="UQ6">
        <v>5</v>
      </c>
      <c r="UR6">
        <v>3900975616</v>
      </c>
      <c r="US6">
        <v>156969</v>
      </c>
      <c r="UT6" t="s">
        <v>2340</v>
      </c>
      <c r="UY6" t="s">
        <v>5130</v>
      </c>
      <c r="VA6">
        <v>-2.4245362661989844E-14</v>
      </c>
      <c r="VB6">
        <v>-2.4245362661989844E-14</v>
      </c>
      <c r="VC6" t="s">
        <v>1753</v>
      </c>
      <c r="VD6">
        <v>2023</v>
      </c>
      <c r="VE6" t="s">
        <v>5131</v>
      </c>
      <c r="VF6" s="6">
        <v>45343</v>
      </c>
      <c r="VG6">
        <v>4</v>
      </c>
      <c r="VH6">
        <v>-2.4245362661989844E-14</v>
      </c>
      <c r="VI6">
        <v>17234565</v>
      </c>
      <c r="VJ6" t="s">
        <v>5132</v>
      </c>
      <c r="VM6" t="s">
        <v>1791</v>
      </c>
      <c r="VN6">
        <v>-2.4245362661989844E-14</v>
      </c>
      <c r="VP6">
        <v>-2.4245362661989844E-14</v>
      </c>
      <c r="VQ6" t="s">
        <v>1753</v>
      </c>
      <c r="VR6">
        <v>2024</v>
      </c>
      <c r="VS6" t="s">
        <v>5066</v>
      </c>
      <c r="VT6" s="6">
        <v>45707</v>
      </c>
      <c r="VU6">
        <v>3</v>
      </c>
      <c r="VV6">
        <v>-2.4245362661989844E-14</v>
      </c>
      <c r="VW6">
        <v>218252</v>
      </c>
      <c r="VX6" t="s">
        <v>1793</v>
      </c>
    </row>
    <row r="7" spans="1:600" x14ac:dyDescent="0.25">
      <c r="A7" t="s">
        <v>380</v>
      </c>
      <c r="B7" t="s">
        <v>1752</v>
      </c>
      <c r="C7">
        <v>0.42813800000000002</v>
      </c>
      <c r="D7">
        <v>0.34752</v>
      </c>
      <c r="E7" t="s">
        <v>1788</v>
      </c>
      <c r="F7">
        <v>2025</v>
      </c>
      <c r="G7" t="s">
        <v>4978</v>
      </c>
      <c r="H7" s="6">
        <v>46018</v>
      </c>
      <c r="I7">
        <v>5</v>
      </c>
      <c r="J7">
        <v>9427599</v>
      </c>
      <c r="K7">
        <v>126747</v>
      </c>
      <c r="L7" t="s">
        <v>5762</v>
      </c>
      <c r="O7" t="s">
        <v>2750</v>
      </c>
      <c r="P7">
        <v>4.2328729999999997</v>
      </c>
      <c r="Q7" t="s">
        <v>1752</v>
      </c>
      <c r="R7">
        <v>0.12246799999999999</v>
      </c>
      <c r="S7" t="s">
        <v>1774</v>
      </c>
      <c r="T7">
        <v>2025</v>
      </c>
      <c r="U7" t="s">
        <v>4430</v>
      </c>
      <c r="V7" s="6">
        <v>45918</v>
      </c>
      <c r="W7">
        <v>5</v>
      </c>
      <c r="X7">
        <v>162602640</v>
      </c>
      <c r="Y7">
        <v>101616</v>
      </c>
      <c r="Z7" t="s">
        <v>2752</v>
      </c>
      <c r="AE7" t="s">
        <v>3018</v>
      </c>
      <c r="AF7" t="s">
        <v>1940</v>
      </c>
      <c r="AG7">
        <v>5.0442000000000001E-2</v>
      </c>
      <c r="AH7">
        <v>1.3632850000000001</v>
      </c>
      <c r="AI7" t="s">
        <v>1774</v>
      </c>
      <c r="AJ7">
        <v>2026</v>
      </c>
      <c r="AK7" t="s">
        <v>3019</v>
      </c>
      <c r="AL7" s="6">
        <v>46022</v>
      </c>
      <c r="AM7">
        <v>5</v>
      </c>
      <c r="AN7">
        <v>2365025.25</v>
      </c>
      <c r="AO7">
        <v>174545</v>
      </c>
      <c r="AP7" t="s">
        <v>3020</v>
      </c>
      <c r="AS7" t="s">
        <v>4237</v>
      </c>
      <c r="AT7">
        <v>-2.4245362661989844E-14</v>
      </c>
      <c r="AV7">
        <v>-2.4245362661989844E-14</v>
      </c>
      <c r="AW7" t="s">
        <v>1753</v>
      </c>
      <c r="AX7">
        <v>2024</v>
      </c>
      <c r="AY7" t="s">
        <v>4238</v>
      </c>
      <c r="AZ7" s="6">
        <v>45786</v>
      </c>
      <c r="BA7">
        <v>5</v>
      </c>
      <c r="BB7">
        <v>-2.4245362661989844E-14</v>
      </c>
      <c r="BC7">
        <v>129639</v>
      </c>
      <c r="BD7" t="s">
        <v>4239</v>
      </c>
      <c r="CM7" t="s">
        <v>226</v>
      </c>
      <c r="CN7" t="s">
        <v>1752</v>
      </c>
      <c r="CO7">
        <v>4.646E-3</v>
      </c>
      <c r="CP7">
        <v>2.9529999999999998</v>
      </c>
      <c r="CQ7" t="s">
        <v>1781</v>
      </c>
      <c r="CR7">
        <v>2026</v>
      </c>
      <c r="CS7" t="s">
        <v>2643</v>
      </c>
      <c r="CT7" s="6">
        <v>46049</v>
      </c>
      <c r="CU7">
        <v>5</v>
      </c>
      <c r="CV7">
        <v>3609038</v>
      </c>
      <c r="CW7">
        <v>101743</v>
      </c>
      <c r="CX7" t="s">
        <v>2156</v>
      </c>
      <c r="DA7" t="s">
        <v>5437</v>
      </c>
      <c r="DB7">
        <v>16</v>
      </c>
      <c r="DD7">
        <v>-2.4245362661989844E-14</v>
      </c>
      <c r="DE7" t="s">
        <v>1774</v>
      </c>
      <c r="DF7">
        <v>2026</v>
      </c>
      <c r="DG7" t="s">
        <v>5435</v>
      </c>
      <c r="DH7" s="6">
        <v>46051</v>
      </c>
      <c r="DI7">
        <v>5</v>
      </c>
      <c r="DJ7">
        <v>50868000</v>
      </c>
      <c r="DK7">
        <v>21509533</v>
      </c>
      <c r="DL7" t="s">
        <v>5438</v>
      </c>
      <c r="DQ7" t="s">
        <v>2947</v>
      </c>
      <c r="DR7" t="s">
        <v>1752</v>
      </c>
      <c r="DS7">
        <v>3.73936</v>
      </c>
      <c r="DT7">
        <v>0.75532200000000005</v>
      </c>
      <c r="DU7" t="s">
        <v>1788</v>
      </c>
      <c r="DV7">
        <v>2025</v>
      </c>
      <c r="DW7" t="s">
        <v>2948</v>
      </c>
      <c r="DX7" s="6">
        <v>45797</v>
      </c>
      <c r="DY7">
        <v>5</v>
      </c>
      <c r="DZ7">
        <v>16027925</v>
      </c>
      <c r="EA7">
        <v>21175033</v>
      </c>
      <c r="EB7" t="s">
        <v>2949</v>
      </c>
      <c r="EE7" t="s">
        <v>2728</v>
      </c>
      <c r="EF7">
        <v>-2.4245362661989844E-14</v>
      </c>
      <c r="EH7">
        <v>-2.4245362661989844E-14</v>
      </c>
      <c r="EI7" t="s">
        <v>1768</v>
      </c>
      <c r="EJ7">
        <v>2025</v>
      </c>
      <c r="EK7" t="s">
        <v>2729</v>
      </c>
      <c r="EL7" s="6">
        <v>45975</v>
      </c>
      <c r="EM7">
        <v>5</v>
      </c>
      <c r="EN7">
        <v>-2.4245362661989844E-14</v>
      </c>
      <c r="EO7">
        <v>31351558</v>
      </c>
      <c r="EP7" t="s">
        <v>2730</v>
      </c>
      <c r="EU7" t="s">
        <v>3071</v>
      </c>
      <c r="EW7">
        <v>-2.4245362661989844E-14</v>
      </c>
      <c r="EX7">
        <v>-2.4245362661989844E-14</v>
      </c>
      <c r="EY7" t="s">
        <v>1788</v>
      </c>
      <c r="EZ7">
        <v>2025</v>
      </c>
      <c r="FA7" t="s">
        <v>3072</v>
      </c>
      <c r="FB7" s="6">
        <v>46020</v>
      </c>
      <c r="FC7">
        <v>5</v>
      </c>
      <c r="FD7">
        <v>-2.4245362661989844E-14</v>
      </c>
      <c r="FE7">
        <v>209019</v>
      </c>
      <c r="FF7" t="s">
        <v>3073</v>
      </c>
      <c r="FY7" t="s">
        <v>708</v>
      </c>
      <c r="FZ7" t="s">
        <v>1752</v>
      </c>
      <c r="GA7">
        <v>0.65316700000000005</v>
      </c>
      <c r="GB7">
        <v>2.248615</v>
      </c>
      <c r="GC7" t="s">
        <v>1774</v>
      </c>
      <c r="GD7">
        <v>2025</v>
      </c>
      <c r="GE7" t="s">
        <v>2516</v>
      </c>
      <c r="GF7" s="6">
        <v>45898</v>
      </c>
      <c r="GG7">
        <v>5</v>
      </c>
      <c r="GH7">
        <v>67615848</v>
      </c>
      <c r="GI7">
        <v>100043</v>
      </c>
      <c r="GJ7" t="s">
        <v>2517</v>
      </c>
      <c r="GM7" t="s">
        <v>2218</v>
      </c>
      <c r="GN7">
        <v>1.0461879999999999</v>
      </c>
      <c r="GO7" t="s">
        <v>1828</v>
      </c>
      <c r="GP7">
        <v>2.6392630000000001</v>
      </c>
      <c r="GQ7" t="s">
        <v>1774</v>
      </c>
      <c r="GR7">
        <v>2025</v>
      </c>
      <c r="GS7" t="s">
        <v>2399</v>
      </c>
      <c r="GT7" s="6">
        <v>45915</v>
      </c>
      <c r="GU7">
        <v>5</v>
      </c>
      <c r="GV7">
        <v>38876344</v>
      </c>
      <c r="GW7">
        <v>100554</v>
      </c>
      <c r="GX7" t="s">
        <v>2220</v>
      </c>
      <c r="KO7" t="s">
        <v>4017</v>
      </c>
      <c r="KP7" t="s">
        <v>1752</v>
      </c>
      <c r="KQ7">
        <v>0.46674300000000002</v>
      </c>
      <c r="KR7">
        <v>0.95550299999999999</v>
      </c>
      <c r="KS7" t="s">
        <v>1825</v>
      </c>
      <c r="KT7">
        <v>2025</v>
      </c>
      <c r="KU7" t="s">
        <v>4018</v>
      </c>
      <c r="KV7" s="6">
        <v>45986</v>
      </c>
      <c r="KW7">
        <v>5</v>
      </c>
      <c r="KX7">
        <v>21417262.640000001</v>
      </c>
      <c r="KY7">
        <v>300730</v>
      </c>
      <c r="KZ7" t="s">
        <v>4019</v>
      </c>
      <c r="LC7" t="s">
        <v>991</v>
      </c>
      <c r="LD7">
        <v>3.0370249999999999</v>
      </c>
      <c r="LE7" t="s">
        <v>1752</v>
      </c>
      <c r="LF7">
        <v>0.370446</v>
      </c>
      <c r="LG7" t="s">
        <v>1788</v>
      </c>
      <c r="LH7">
        <v>2025</v>
      </c>
      <c r="LI7" t="s">
        <v>3817</v>
      </c>
      <c r="LJ7" s="6">
        <v>45961</v>
      </c>
      <c r="LK7">
        <v>5</v>
      </c>
      <c r="LL7">
        <v>96797576</v>
      </c>
      <c r="LM7">
        <v>100864</v>
      </c>
      <c r="LN7" t="s">
        <v>2331</v>
      </c>
      <c r="LS7" t="s">
        <v>4260</v>
      </c>
      <c r="LT7" t="s">
        <v>1752</v>
      </c>
      <c r="LU7">
        <v>8.6390000000000008E-3</v>
      </c>
      <c r="LV7">
        <v>2.8081999999999999E-2</v>
      </c>
      <c r="LW7" t="s">
        <v>1774</v>
      </c>
      <c r="LX7">
        <v>2025</v>
      </c>
      <c r="LY7" t="s">
        <v>4261</v>
      </c>
      <c r="LZ7" s="6">
        <v>45951</v>
      </c>
      <c r="MA7">
        <v>5</v>
      </c>
      <c r="MB7">
        <v>637757.78</v>
      </c>
      <c r="MC7">
        <v>115439</v>
      </c>
      <c r="MD7" t="s">
        <v>4262</v>
      </c>
      <c r="QI7" t="s">
        <v>5550</v>
      </c>
      <c r="QK7">
        <v>-2.4245362661989844E-14</v>
      </c>
      <c r="QL7">
        <v>-2.4245362661989844E-14</v>
      </c>
      <c r="QM7" t="s">
        <v>1753</v>
      </c>
      <c r="QN7">
        <v>2024</v>
      </c>
      <c r="QO7" t="s">
        <v>5551</v>
      </c>
      <c r="QP7" s="6">
        <v>45765</v>
      </c>
      <c r="QQ7">
        <v>5</v>
      </c>
      <c r="QR7">
        <v>-2.4245362661989844E-14</v>
      </c>
      <c r="QS7">
        <v>29636955</v>
      </c>
      <c r="QT7" t="s">
        <v>5552</v>
      </c>
      <c r="QW7" t="s">
        <v>5426</v>
      </c>
      <c r="QX7">
        <v>-2.4245362661989844E-14</v>
      </c>
      <c r="QZ7">
        <v>-2.4245362661989844E-14</v>
      </c>
      <c r="RA7" t="s">
        <v>1753</v>
      </c>
      <c r="RB7">
        <v>2024</v>
      </c>
      <c r="RC7" t="s">
        <v>5427</v>
      </c>
      <c r="RD7" s="6">
        <v>45760</v>
      </c>
      <c r="RE7">
        <v>5</v>
      </c>
      <c r="RF7">
        <v>-2.4245362661989844E-14</v>
      </c>
      <c r="RG7">
        <v>7855260</v>
      </c>
      <c r="RH7" t="s">
        <v>5428</v>
      </c>
      <c r="SQ7" t="s">
        <v>5206</v>
      </c>
      <c r="SS7">
        <v>-2.4245362661989844E-14</v>
      </c>
      <c r="ST7">
        <v>-2.4245362661989844E-14</v>
      </c>
      <c r="SU7" t="s">
        <v>1753</v>
      </c>
      <c r="SV7">
        <v>2022</v>
      </c>
      <c r="SW7" t="s">
        <v>5207</v>
      </c>
      <c r="SX7" s="6">
        <v>45033</v>
      </c>
      <c r="SY7">
        <v>5</v>
      </c>
      <c r="SZ7">
        <v>-2.4245362661989844E-14</v>
      </c>
      <c r="TA7">
        <v>16820553</v>
      </c>
      <c r="TB7" t="s">
        <v>5208</v>
      </c>
      <c r="TE7" t="s">
        <v>1937</v>
      </c>
      <c r="TF7">
        <v>6.6530950000000004</v>
      </c>
      <c r="TG7" t="s">
        <v>1752</v>
      </c>
      <c r="TH7">
        <v>1.0461739999999999</v>
      </c>
      <c r="TI7" t="s">
        <v>1788</v>
      </c>
      <c r="TJ7">
        <v>2025</v>
      </c>
      <c r="TK7" t="s">
        <v>4252</v>
      </c>
      <c r="TL7" s="6">
        <v>46070</v>
      </c>
      <c r="TM7">
        <v>5</v>
      </c>
      <c r="TN7">
        <v>60709492</v>
      </c>
      <c r="TO7">
        <v>71547029</v>
      </c>
      <c r="TP7" t="s">
        <v>1938</v>
      </c>
      <c r="TU7" t="s">
        <v>4028</v>
      </c>
      <c r="TV7" t="s">
        <v>1752</v>
      </c>
      <c r="TW7">
        <v>13.694044</v>
      </c>
      <c r="TX7">
        <v>1.0251479999999999</v>
      </c>
      <c r="TY7" t="s">
        <v>1753</v>
      </c>
      <c r="TZ7">
        <v>2024</v>
      </c>
      <c r="UA7" t="s">
        <v>4029</v>
      </c>
      <c r="UB7" s="6">
        <v>45735</v>
      </c>
      <c r="UC7">
        <v>5</v>
      </c>
      <c r="UD7">
        <v>21575000</v>
      </c>
      <c r="UE7">
        <v>10664510</v>
      </c>
      <c r="UF7" t="s">
        <v>4030</v>
      </c>
      <c r="UI7" t="s">
        <v>1461</v>
      </c>
      <c r="UJ7">
        <v>19.020800000000001</v>
      </c>
      <c r="UK7" t="s">
        <v>1752</v>
      </c>
      <c r="UL7">
        <v>5.4268320000000001</v>
      </c>
      <c r="UM7" t="s">
        <v>1788</v>
      </c>
      <c r="UN7">
        <v>2025</v>
      </c>
      <c r="UO7" t="s">
        <v>3438</v>
      </c>
      <c r="UP7" s="6">
        <v>46041</v>
      </c>
      <c r="UQ7">
        <v>5</v>
      </c>
      <c r="UR7">
        <v>3347812864</v>
      </c>
      <c r="US7">
        <v>102782</v>
      </c>
      <c r="UT7" t="s">
        <v>1991</v>
      </c>
      <c r="UY7" t="s">
        <v>5067</v>
      </c>
      <c r="VA7">
        <v>-2.4245362661989844E-14</v>
      </c>
      <c r="VB7">
        <v>-2.4245362661989844E-14</v>
      </c>
      <c r="VC7" t="s">
        <v>1753</v>
      </c>
      <c r="VD7">
        <v>2022</v>
      </c>
      <c r="VE7" t="s">
        <v>5068</v>
      </c>
      <c r="VF7" s="6">
        <v>44979</v>
      </c>
      <c r="VG7">
        <v>4</v>
      </c>
      <c r="VH7">
        <v>-2.4245362661989844E-14</v>
      </c>
      <c r="VI7">
        <v>14232281</v>
      </c>
      <c r="VJ7" t="s">
        <v>5069</v>
      </c>
      <c r="VM7" t="s">
        <v>5067</v>
      </c>
      <c r="VN7">
        <v>-2.4245362661989844E-14</v>
      </c>
      <c r="VP7">
        <v>-2.4245362661989844E-14</v>
      </c>
      <c r="VQ7" t="s">
        <v>1753</v>
      </c>
      <c r="VR7">
        <v>2022</v>
      </c>
      <c r="VS7" t="s">
        <v>5068</v>
      </c>
      <c r="VT7" s="6">
        <v>44979</v>
      </c>
      <c r="VU7">
        <v>3</v>
      </c>
      <c r="VV7">
        <v>-2.4245362661989844E-14</v>
      </c>
      <c r="VW7">
        <v>14232281</v>
      </c>
      <c r="VX7" t="s">
        <v>5069</v>
      </c>
    </row>
    <row r="8" spans="1:600" x14ac:dyDescent="0.25">
      <c r="A8" t="s">
        <v>4697</v>
      </c>
      <c r="B8" t="s">
        <v>1752</v>
      </c>
      <c r="C8">
        <v>0.113063</v>
      </c>
      <c r="D8">
        <v>0.16323099999999999</v>
      </c>
      <c r="E8" t="s">
        <v>1774</v>
      </c>
      <c r="F8">
        <v>2025</v>
      </c>
      <c r="G8" t="s">
        <v>5763</v>
      </c>
      <c r="H8" s="6">
        <v>45957</v>
      </c>
      <c r="I8">
        <v>5</v>
      </c>
      <c r="J8">
        <v>4428159</v>
      </c>
      <c r="K8">
        <v>116563</v>
      </c>
      <c r="L8" t="s">
        <v>4698</v>
      </c>
      <c r="O8" t="s">
        <v>1079</v>
      </c>
      <c r="P8">
        <v>4.2264080000000002</v>
      </c>
      <c r="Q8" t="s">
        <v>1752</v>
      </c>
      <c r="R8">
        <v>0.20091100000000001</v>
      </c>
      <c r="S8" t="s">
        <v>1774</v>
      </c>
      <c r="T8">
        <v>2025</v>
      </c>
      <c r="U8" t="s">
        <v>4430</v>
      </c>
      <c r="V8" s="6">
        <v>45918</v>
      </c>
      <c r="W8">
        <v>5</v>
      </c>
      <c r="X8">
        <v>162354288</v>
      </c>
      <c r="Y8">
        <v>216952</v>
      </c>
      <c r="Z8" t="s">
        <v>1899</v>
      </c>
      <c r="AE8" t="s">
        <v>3647</v>
      </c>
      <c r="AF8" t="s">
        <v>1752</v>
      </c>
      <c r="AG8">
        <v>0.21787999999999999</v>
      </c>
      <c r="AH8">
        <v>0.108852</v>
      </c>
      <c r="AI8" t="s">
        <v>1788</v>
      </c>
      <c r="AJ8">
        <v>2025</v>
      </c>
      <c r="AK8" t="s">
        <v>3648</v>
      </c>
      <c r="AL8" s="6">
        <v>45819</v>
      </c>
      <c r="AM8">
        <v>5</v>
      </c>
      <c r="AN8">
        <v>317129</v>
      </c>
      <c r="AO8">
        <v>101531</v>
      </c>
      <c r="AP8" t="s">
        <v>3649</v>
      </c>
      <c r="AS8" t="s">
        <v>4240</v>
      </c>
      <c r="AT8">
        <v>-2.4245362661989844E-14</v>
      </c>
      <c r="AV8">
        <v>-2.4245362661989844E-14</v>
      </c>
      <c r="AW8" t="s">
        <v>1753</v>
      </c>
      <c r="AX8">
        <v>2023</v>
      </c>
      <c r="AY8" t="s">
        <v>4241</v>
      </c>
      <c r="AZ8" s="6">
        <v>45411</v>
      </c>
      <c r="BA8">
        <v>5</v>
      </c>
      <c r="BB8">
        <v>-2.4245362661989844E-14</v>
      </c>
      <c r="BC8">
        <v>30432090</v>
      </c>
      <c r="BD8" t="s">
        <v>4242</v>
      </c>
      <c r="CM8" t="s">
        <v>2174</v>
      </c>
      <c r="CN8" t="s">
        <v>1752</v>
      </c>
      <c r="CO8">
        <v>0.13517699999999999</v>
      </c>
      <c r="CP8">
        <v>1.749107</v>
      </c>
      <c r="CQ8" t="s">
        <v>1781</v>
      </c>
      <c r="CR8">
        <v>2026</v>
      </c>
      <c r="CS8" t="s">
        <v>2175</v>
      </c>
      <c r="CT8" s="6">
        <v>45967</v>
      </c>
      <c r="CU8">
        <v>5</v>
      </c>
      <c r="CV8">
        <v>2137689</v>
      </c>
      <c r="CW8">
        <v>104637</v>
      </c>
      <c r="CX8" t="s">
        <v>2176</v>
      </c>
      <c r="DA8" t="s">
        <v>1875</v>
      </c>
      <c r="DB8">
        <v>12.708005</v>
      </c>
      <c r="DC8" t="s">
        <v>1752</v>
      </c>
      <c r="DD8">
        <v>6.2365370000000002</v>
      </c>
      <c r="DE8" t="s">
        <v>1781</v>
      </c>
      <c r="DF8">
        <v>2026</v>
      </c>
      <c r="DG8" t="s">
        <v>2643</v>
      </c>
      <c r="DH8" s="6">
        <v>46049</v>
      </c>
      <c r="DI8">
        <v>5</v>
      </c>
      <c r="DJ8">
        <v>39425952</v>
      </c>
      <c r="DK8">
        <v>136424</v>
      </c>
      <c r="DL8" t="s">
        <v>1877</v>
      </c>
      <c r="DQ8" t="s">
        <v>2950</v>
      </c>
      <c r="DR8" t="s">
        <v>1752</v>
      </c>
      <c r="DS8">
        <v>0.39843600000000001</v>
      </c>
      <c r="DT8">
        <v>0.58359499999999997</v>
      </c>
      <c r="DU8" t="s">
        <v>1825</v>
      </c>
      <c r="DV8">
        <v>2025</v>
      </c>
      <c r="DW8" t="s">
        <v>2951</v>
      </c>
      <c r="DX8" s="6">
        <v>46072</v>
      </c>
      <c r="DY8">
        <v>5</v>
      </c>
      <c r="DZ8">
        <v>14843609.470000001</v>
      </c>
      <c r="EA8">
        <v>70579391</v>
      </c>
      <c r="EB8" t="s">
        <v>2952</v>
      </c>
      <c r="EE8" t="s">
        <v>2731</v>
      </c>
      <c r="EF8">
        <v>-2.4245362661989844E-14</v>
      </c>
      <c r="EH8">
        <v>-2.4245362661989844E-14</v>
      </c>
      <c r="EI8" t="s">
        <v>1753</v>
      </c>
      <c r="EJ8">
        <v>2024</v>
      </c>
      <c r="EK8" t="s">
        <v>2732</v>
      </c>
      <c r="EL8" s="6">
        <v>45785</v>
      </c>
      <c r="EM8">
        <v>5</v>
      </c>
      <c r="EN8">
        <v>-2.4245362661989844E-14</v>
      </c>
      <c r="EO8">
        <v>71626870</v>
      </c>
      <c r="EP8" t="s">
        <v>2733</v>
      </c>
      <c r="EU8" t="s">
        <v>3074</v>
      </c>
      <c r="EW8">
        <v>-2.4245362661989844E-14</v>
      </c>
      <c r="EX8">
        <v>-2.4245362661989844E-14</v>
      </c>
      <c r="EY8" t="s">
        <v>1753</v>
      </c>
      <c r="EZ8">
        <v>2022</v>
      </c>
      <c r="FA8" t="s">
        <v>3075</v>
      </c>
      <c r="FB8" s="6">
        <v>44973</v>
      </c>
      <c r="FC8">
        <v>5</v>
      </c>
      <c r="FD8">
        <v>-2.4245362661989844E-14</v>
      </c>
      <c r="FE8">
        <v>101285</v>
      </c>
      <c r="FF8" t="s">
        <v>3076</v>
      </c>
      <c r="FY8" t="s">
        <v>260</v>
      </c>
      <c r="FZ8" t="s">
        <v>1752</v>
      </c>
      <c r="GA8">
        <v>0.52513100000000001</v>
      </c>
      <c r="GB8">
        <v>1.9250149999999999</v>
      </c>
      <c r="GC8" t="s">
        <v>1774</v>
      </c>
      <c r="GD8">
        <v>2025</v>
      </c>
      <c r="GE8" t="s">
        <v>2518</v>
      </c>
      <c r="GF8" s="6">
        <v>45888</v>
      </c>
      <c r="GG8">
        <v>5</v>
      </c>
      <c r="GH8">
        <v>57885192</v>
      </c>
      <c r="GI8">
        <v>100632</v>
      </c>
      <c r="GJ8" t="s">
        <v>2519</v>
      </c>
      <c r="GM8" t="s">
        <v>2400</v>
      </c>
      <c r="GN8">
        <v>0.36827399999999999</v>
      </c>
      <c r="GO8" t="s">
        <v>1752</v>
      </c>
      <c r="GP8">
        <v>3.6235999999999997E-2</v>
      </c>
      <c r="GQ8" t="s">
        <v>1774</v>
      </c>
      <c r="GR8">
        <v>2025</v>
      </c>
      <c r="GS8" t="s">
        <v>2399</v>
      </c>
      <c r="GT8" s="6">
        <v>45915</v>
      </c>
      <c r="GU8">
        <v>5</v>
      </c>
      <c r="GV8">
        <v>13685062</v>
      </c>
      <c r="GW8">
        <v>16632863</v>
      </c>
      <c r="GX8" t="s">
        <v>2401</v>
      </c>
      <c r="KO8" t="s">
        <v>4020</v>
      </c>
      <c r="KP8" t="s">
        <v>1940</v>
      </c>
      <c r="KQ8">
        <v>0.36651299999999998</v>
      </c>
      <c r="KR8">
        <v>1.125421</v>
      </c>
      <c r="KS8" t="s">
        <v>1753</v>
      </c>
      <c r="KT8">
        <v>2024</v>
      </c>
      <c r="KU8" t="s">
        <v>4021</v>
      </c>
      <c r="KV8" s="6">
        <v>45702</v>
      </c>
      <c r="KW8">
        <v>5</v>
      </c>
      <c r="KX8">
        <v>7515000</v>
      </c>
      <c r="KY8">
        <v>302488</v>
      </c>
      <c r="KZ8" t="s">
        <v>4022</v>
      </c>
      <c r="LC8" t="s">
        <v>2089</v>
      </c>
      <c r="LD8">
        <v>2.8922330000000001</v>
      </c>
      <c r="LE8" t="s">
        <v>1752</v>
      </c>
      <c r="LF8">
        <v>0.48751899999999998</v>
      </c>
      <c r="LG8" t="s">
        <v>1788</v>
      </c>
      <c r="LH8">
        <v>2025</v>
      </c>
      <c r="LI8" t="s">
        <v>3817</v>
      </c>
      <c r="LJ8" s="6">
        <v>45961</v>
      </c>
      <c r="LK8">
        <v>5</v>
      </c>
      <c r="LL8">
        <v>92182696</v>
      </c>
      <c r="LM8">
        <v>115268</v>
      </c>
      <c r="LN8" t="s">
        <v>2091</v>
      </c>
      <c r="LS8" t="s">
        <v>4263</v>
      </c>
      <c r="LT8" t="s">
        <v>1752</v>
      </c>
      <c r="LU8">
        <v>3.1126000000000001E-2</v>
      </c>
      <c r="LV8">
        <v>3.6621000000000001E-2</v>
      </c>
      <c r="LW8" t="s">
        <v>1788</v>
      </c>
      <c r="LX8">
        <v>2025</v>
      </c>
      <c r="LY8" t="s">
        <v>4264</v>
      </c>
      <c r="LZ8" s="6">
        <v>45974</v>
      </c>
      <c r="MA8">
        <v>5</v>
      </c>
      <c r="MB8">
        <v>617178.78</v>
      </c>
      <c r="MC8">
        <v>128163</v>
      </c>
      <c r="MD8" t="s">
        <v>4265</v>
      </c>
      <c r="QI8" t="s">
        <v>229</v>
      </c>
      <c r="QK8">
        <v>-2.4245362661989844E-14</v>
      </c>
      <c r="QL8">
        <v>-2.4245362661989844E-14</v>
      </c>
      <c r="QM8" t="s">
        <v>1753</v>
      </c>
      <c r="QN8">
        <v>2023</v>
      </c>
      <c r="QO8" t="s">
        <v>5553</v>
      </c>
      <c r="QP8" s="6">
        <v>45350</v>
      </c>
      <c r="QQ8">
        <v>5</v>
      </c>
      <c r="QR8">
        <v>-2.4245362661989844E-14</v>
      </c>
      <c r="QS8">
        <v>101376</v>
      </c>
      <c r="QT8" t="s">
        <v>2334</v>
      </c>
      <c r="QW8" t="s">
        <v>5429</v>
      </c>
      <c r="QX8">
        <v>-2.4245362661989844E-14</v>
      </c>
      <c r="QZ8">
        <v>-2.4245362661989844E-14</v>
      </c>
      <c r="RA8" t="s">
        <v>1753</v>
      </c>
      <c r="RB8">
        <v>2024</v>
      </c>
      <c r="RC8" t="s">
        <v>5430</v>
      </c>
      <c r="RD8" s="6">
        <v>45786</v>
      </c>
      <c r="RE8">
        <v>5</v>
      </c>
      <c r="RF8">
        <v>-2.4245362661989844E-14</v>
      </c>
      <c r="RG8">
        <v>7321067</v>
      </c>
      <c r="RH8" t="s">
        <v>5431</v>
      </c>
      <c r="SQ8" t="s">
        <v>5209</v>
      </c>
      <c r="SS8">
        <v>-2.4245362661989844E-14</v>
      </c>
      <c r="ST8">
        <v>-2.4245362661989844E-14</v>
      </c>
      <c r="SU8" t="s">
        <v>1753</v>
      </c>
      <c r="SV8">
        <v>2023</v>
      </c>
      <c r="SW8" t="s">
        <v>5210</v>
      </c>
      <c r="SX8" s="6">
        <v>45401</v>
      </c>
      <c r="SY8">
        <v>5</v>
      </c>
      <c r="SZ8">
        <v>-2.4245362661989844E-14</v>
      </c>
      <c r="TA8">
        <v>22760416</v>
      </c>
      <c r="TB8" t="s">
        <v>5211</v>
      </c>
      <c r="TE8" t="s">
        <v>1079</v>
      </c>
      <c r="TF8">
        <v>3.6032649999999999</v>
      </c>
      <c r="TG8" t="s">
        <v>1752</v>
      </c>
      <c r="TH8">
        <v>2.9902000000000001E-2</v>
      </c>
      <c r="TI8" t="s">
        <v>1788</v>
      </c>
      <c r="TJ8">
        <v>2025</v>
      </c>
      <c r="TK8" t="s">
        <v>4252</v>
      </c>
      <c r="TL8" s="6">
        <v>46070</v>
      </c>
      <c r="TM8">
        <v>5</v>
      </c>
      <c r="TN8">
        <v>32879792</v>
      </c>
      <c r="TO8">
        <v>216952</v>
      </c>
      <c r="TP8" t="s">
        <v>1899</v>
      </c>
      <c r="TU8" t="s">
        <v>487</v>
      </c>
      <c r="TV8" t="s">
        <v>2407</v>
      </c>
      <c r="TW8">
        <v>2.0662310000000002</v>
      </c>
      <c r="TX8">
        <v>0.63925799999999999</v>
      </c>
      <c r="TY8" t="s">
        <v>1774</v>
      </c>
      <c r="TZ8">
        <v>2025</v>
      </c>
      <c r="UA8" t="s">
        <v>2410</v>
      </c>
      <c r="UB8" s="6">
        <v>45921</v>
      </c>
      <c r="UC8">
        <v>5</v>
      </c>
      <c r="UD8">
        <v>21326292</v>
      </c>
      <c r="UE8">
        <v>963610</v>
      </c>
      <c r="UF8" t="s">
        <v>2411</v>
      </c>
      <c r="UI8" t="s">
        <v>3818</v>
      </c>
      <c r="UJ8">
        <v>5.4489999999999998</v>
      </c>
      <c r="UL8">
        <v>-2.4245362661989844E-14</v>
      </c>
      <c r="UM8" t="s">
        <v>1788</v>
      </c>
      <c r="UN8">
        <v>2025</v>
      </c>
      <c r="UO8" t="s">
        <v>3438</v>
      </c>
      <c r="UP8" s="6">
        <v>46041</v>
      </c>
      <c r="UQ8">
        <v>5</v>
      </c>
      <c r="UR8">
        <v>959067584</v>
      </c>
      <c r="US8">
        <v>199844</v>
      </c>
      <c r="UT8" t="s">
        <v>3819</v>
      </c>
      <c r="UY8" t="s">
        <v>3082</v>
      </c>
      <c r="VA8">
        <v>-2.4245362661989844E-14</v>
      </c>
      <c r="VB8">
        <v>-2.4245362661989844E-14</v>
      </c>
      <c r="VC8" t="s">
        <v>1753</v>
      </c>
      <c r="VD8">
        <v>2023</v>
      </c>
      <c r="VE8" t="s">
        <v>5133</v>
      </c>
      <c r="VF8" s="6">
        <v>45365</v>
      </c>
      <c r="VG8">
        <v>4</v>
      </c>
      <c r="VH8">
        <v>-2.4245362661989844E-14</v>
      </c>
      <c r="VI8">
        <v>101544</v>
      </c>
      <c r="VJ8" t="s">
        <v>3084</v>
      </c>
    </row>
    <row r="9" spans="1:600" x14ac:dyDescent="0.25">
      <c r="A9" t="s">
        <v>5764</v>
      </c>
      <c r="B9" t="s">
        <v>1752</v>
      </c>
      <c r="C9">
        <v>0.175042</v>
      </c>
      <c r="D9">
        <v>0.14444399999999999</v>
      </c>
      <c r="E9" t="s">
        <v>1788</v>
      </c>
      <c r="F9">
        <v>2025</v>
      </c>
      <c r="G9" t="s">
        <v>5765</v>
      </c>
      <c r="H9" s="6">
        <v>46077</v>
      </c>
      <c r="I9">
        <v>5</v>
      </c>
      <c r="J9">
        <v>3853629.74</v>
      </c>
      <c r="K9">
        <v>117928</v>
      </c>
      <c r="L9" t="s">
        <v>5766</v>
      </c>
      <c r="O9" t="s">
        <v>3213</v>
      </c>
      <c r="P9">
        <v>1.6135250000000001</v>
      </c>
      <c r="Q9" t="s">
        <v>1752</v>
      </c>
      <c r="R9">
        <v>1.4514400000000001</v>
      </c>
      <c r="S9" t="s">
        <v>1788</v>
      </c>
      <c r="T9">
        <v>2025</v>
      </c>
      <c r="U9" t="s">
        <v>3214</v>
      </c>
      <c r="V9" s="6">
        <v>45926</v>
      </c>
      <c r="W9">
        <v>5</v>
      </c>
      <c r="X9">
        <v>64924871.189999998</v>
      </c>
      <c r="Y9">
        <v>191315</v>
      </c>
      <c r="Z9" t="s">
        <v>3215</v>
      </c>
      <c r="AE9" t="s">
        <v>5610</v>
      </c>
      <c r="AG9">
        <v>-2.4245362661989844E-14</v>
      </c>
      <c r="AH9">
        <v>-2.4245362661989844E-14</v>
      </c>
      <c r="AI9" t="s">
        <v>1753</v>
      </c>
      <c r="AJ9">
        <v>2023</v>
      </c>
      <c r="AK9" t="s">
        <v>5611</v>
      </c>
      <c r="AL9" s="6">
        <v>45175</v>
      </c>
      <c r="AM9">
        <v>5</v>
      </c>
      <c r="AN9">
        <v>-2.4245362661989844E-14</v>
      </c>
      <c r="AO9">
        <v>65917043</v>
      </c>
      <c r="AP9" t="s">
        <v>5612</v>
      </c>
      <c r="AS9" t="s">
        <v>4243</v>
      </c>
      <c r="AT9">
        <v>-2.4245362661989844E-14</v>
      </c>
      <c r="AV9">
        <v>-2.4245362661989844E-14</v>
      </c>
      <c r="AW9" t="s">
        <v>1753</v>
      </c>
      <c r="AX9">
        <v>2023</v>
      </c>
      <c r="AY9" t="s">
        <v>4233</v>
      </c>
      <c r="AZ9" s="6">
        <v>45097</v>
      </c>
      <c r="BA9">
        <v>5</v>
      </c>
      <c r="BB9">
        <v>-2.4245362661989844E-14</v>
      </c>
      <c r="BC9">
        <v>20040780</v>
      </c>
      <c r="BD9" t="s">
        <v>4244</v>
      </c>
      <c r="CM9" t="s">
        <v>5478</v>
      </c>
      <c r="CN9" t="s">
        <v>1752</v>
      </c>
      <c r="CO9">
        <v>3.7074000000000003E-2</v>
      </c>
      <c r="CP9">
        <v>1.523455</v>
      </c>
      <c r="CQ9" t="s">
        <v>1781</v>
      </c>
      <c r="CR9">
        <v>2026</v>
      </c>
      <c r="CS9" t="s">
        <v>2643</v>
      </c>
      <c r="CT9" s="6">
        <v>46049</v>
      </c>
      <c r="CU9">
        <v>5</v>
      </c>
      <c r="CV9">
        <v>1861906</v>
      </c>
      <c r="CW9">
        <v>129529</v>
      </c>
      <c r="CX9" t="s">
        <v>5479</v>
      </c>
      <c r="DA9" t="s">
        <v>5439</v>
      </c>
      <c r="DB9">
        <v>2.5730309999999998</v>
      </c>
      <c r="DC9" t="s">
        <v>1828</v>
      </c>
      <c r="DD9">
        <v>0.23135700000000001</v>
      </c>
      <c r="DE9" t="s">
        <v>1781</v>
      </c>
      <c r="DF9">
        <v>2026</v>
      </c>
      <c r="DG9" t="s">
        <v>2643</v>
      </c>
      <c r="DH9" s="6">
        <v>46049</v>
      </c>
      <c r="DI9">
        <v>5</v>
      </c>
      <c r="DJ9">
        <v>7982700</v>
      </c>
      <c r="DK9">
        <v>114406</v>
      </c>
      <c r="DL9" t="s">
        <v>5440</v>
      </c>
      <c r="DQ9" t="s">
        <v>772</v>
      </c>
      <c r="DR9" t="s">
        <v>1752</v>
      </c>
      <c r="DS9">
        <v>1.796597</v>
      </c>
      <c r="DT9">
        <v>0.53488500000000005</v>
      </c>
      <c r="DU9" t="s">
        <v>1781</v>
      </c>
      <c r="DV9">
        <v>2025</v>
      </c>
      <c r="DW9" t="s">
        <v>2953</v>
      </c>
      <c r="DX9" s="6">
        <v>45793</v>
      </c>
      <c r="DY9">
        <v>5</v>
      </c>
      <c r="DZ9">
        <v>11350253</v>
      </c>
      <c r="EA9">
        <v>102417</v>
      </c>
      <c r="EB9" t="s">
        <v>2954</v>
      </c>
      <c r="EE9" t="s">
        <v>2734</v>
      </c>
      <c r="EF9">
        <v>-2.4245362661989844E-14</v>
      </c>
      <c r="EH9">
        <v>-2.4245362661989844E-14</v>
      </c>
      <c r="EI9" t="s">
        <v>1753</v>
      </c>
      <c r="EJ9">
        <v>2022</v>
      </c>
      <c r="EK9" t="s">
        <v>2735</v>
      </c>
      <c r="EL9" s="6">
        <v>45070</v>
      </c>
      <c r="EM9">
        <v>5</v>
      </c>
      <c r="EN9">
        <v>-2.4245362661989844E-14</v>
      </c>
      <c r="EO9">
        <v>27516715</v>
      </c>
      <c r="EP9" t="s">
        <v>2736</v>
      </c>
      <c r="EU9" t="s">
        <v>3077</v>
      </c>
      <c r="EW9">
        <v>-2.4245362661989844E-14</v>
      </c>
      <c r="EX9">
        <v>-2.4245362661989844E-14</v>
      </c>
      <c r="EY9" t="s">
        <v>1753</v>
      </c>
      <c r="EZ9">
        <v>2024</v>
      </c>
      <c r="FA9" t="s">
        <v>3078</v>
      </c>
      <c r="FB9" s="6">
        <v>45819</v>
      </c>
      <c r="FC9">
        <v>5</v>
      </c>
      <c r="FD9">
        <v>-2.4245362661989844E-14</v>
      </c>
      <c r="FE9">
        <v>7270318</v>
      </c>
      <c r="FF9" t="s">
        <v>3079</v>
      </c>
      <c r="FY9" t="s">
        <v>532</v>
      </c>
      <c r="FZ9" t="s">
        <v>1752</v>
      </c>
      <c r="GA9">
        <v>2.507603</v>
      </c>
      <c r="GB9">
        <v>1.8620080000000001</v>
      </c>
      <c r="GC9" t="s">
        <v>1774</v>
      </c>
      <c r="GD9">
        <v>2025</v>
      </c>
      <c r="GE9" t="s">
        <v>2520</v>
      </c>
      <c r="GF9" s="6">
        <v>45791</v>
      </c>
      <c r="GG9">
        <v>5</v>
      </c>
      <c r="GH9">
        <v>49752848</v>
      </c>
      <c r="GI9">
        <v>116988</v>
      </c>
      <c r="GJ9" t="s">
        <v>2521</v>
      </c>
      <c r="GM9" t="s">
        <v>1954</v>
      </c>
      <c r="GN9">
        <v>0.14956900000000001</v>
      </c>
      <c r="GO9" t="s">
        <v>1752</v>
      </c>
      <c r="GP9">
        <v>0.12129</v>
      </c>
      <c r="GQ9" t="s">
        <v>1781</v>
      </c>
      <c r="GR9">
        <v>2025</v>
      </c>
      <c r="GS9" t="s">
        <v>1955</v>
      </c>
      <c r="GT9" s="6">
        <v>45820</v>
      </c>
      <c r="GU9">
        <v>5</v>
      </c>
      <c r="GV9">
        <v>4944751</v>
      </c>
      <c r="GW9">
        <v>12129192</v>
      </c>
      <c r="GX9" t="s">
        <v>1956</v>
      </c>
      <c r="KO9" t="s">
        <v>2950</v>
      </c>
      <c r="KP9" t="s">
        <v>1752</v>
      </c>
      <c r="KQ9">
        <v>0.17995</v>
      </c>
      <c r="KR9">
        <v>0.30374099999999998</v>
      </c>
      <c r="KS9" t="s">
        <v>1825</v>
      </c>
      <c r="KT9">
        <v>2025</v>
      </c>
      <c r="KU9" t="s">
        <v>2951</v>
      </c>
      <c r="KV9" s="6">
        <v>46072</v>
      </c>
      <c r="KW9">
        <v>5</v>
      </c>
      <c r="KX9">
        <v>6703981.1799999997</v>
      </c>
      <c r="KY9">
        <v>70579391</v>
      </c>
      <c r="KZ9" t="s">
        <v>2952</v>
      </c>
      <c r="LC9" t="s">
        <v>3433</v>
      </c>
      <c r="LD9">
        <v>2.4511029999999998</v>
      </c>
      <c r="LE9" t="s">
        <v>1752</v>
      </c>
      <c r="LF9">
        <v>0.67312399999999994</v>
      </c>
      <c r="LG9" t="s">
        <v>1788</v>
      </c>
      <c r="LH9">
        <v>2025</v>
      </c>
      <c r="LI9" t="s">
        <v>3817</v>
      </c>
      <c r="LJ9" s="6">
        <v>45961</v>
      </c>
      <c r="LK9">
        <v>5</v>
      </c>
      <c r="LL9">
        <v>78122784</v>
      </c>
      <c r="LM9">
        <v>143036</v>
      </c>
      <c r="LN9" t="s">
        <v>3434</v>
      </c>
      <c r="LS9" t="s">
        <v>3264</v>
      </c>
      <c r="LT9" t="s">
        <v>1752</v>
      </c>
      <c r="LU9">
        <v>3.4840000000000001E-3</v>
      </c>
      <c r="LV9">
        <v>1.7006E-2</v>
      </c>
      <c r="LW9" t="s">
        <v>1825</v>
      </c>
      <c r="LX9">
        <v>2024</v>
      </c>
      <c r="LY9" t="s">
        <v>3564</v>
      </c>
      <c r="LZ9" s="6">
        <v>45740</v>
      </c>
      <c r="MA9">
        <v>5</v>
      </c>
      <c r="MB9">
        <v>375380.08</v>
      </c>
      <c r="MC9">
        <v>115688</v>
      </c>
      <c r="MD9" t="s">
        <v>3266</v>
      </c>
      <c r="QI9" t="s">
        <v>484</v>
      </c>
      <c r="QK9">
        <v>-2.4245362661989844E-14</v>
      </c>
      <c r="QL9">
        <v>-2.4245362661989844E-14</v>
      </c>
      <c r="QM9" t="s">
        <v>1753</v>
      </c>
      <c r="QN9">
        <v>2024</v>
      </c>
      <c r="QO9" t="s">
        <v>5554</v>
      </c>
      <c r="QP9" s="6">
        <v>45713</v>
      </c>
      <c r="QQ9">
        <v>5</v>
      </c>
      <c r="QR9">
        <v>-2.4245362661989844E-14</v>
      </c>
      <c r="QS9">
        <v>101695</v>
      </c>
      <c r="QT9" t="s">
        <v>3011</v>
      </c>
      <c r="QW9" t="s">
        <v>5432</v>
      </c>
      <c r="QX9">
        <v>-2.4245362661989844E-14</v>
      </c>
      <c r="QZ9">
        <v>-2.4245362661989844E-14</v>
      </c>
      <c r="RA9" t="s">
        <v>1753</v>
      </c>
      <c r="RB9">
        <v>2025</v>
      </c>
      <c r="RC9" t="s">
        <v>5433</v>
      </c>
      <c r="RD9" s="6">
        <v>46066</v>
      </c>
      <c r="RE9">
        <v>5</v>
      </c>
      <c r="RF9">
        <v>-2.4245362661989844E-14</v>
      </c>
      <c r="RG9">
        <v>69790650</v>
      </c>
      <c r="RH9" t="s">
        <v>5434</v>
      </c>
      <c r="SQ9" t="s">
        <v>5212</v>
      </c>
      <c r="SS9">
        <v>-2.4245362661989844E-14</v>
      </c>
      <c r="ST9">
        <v>-2.4245362661989844E-14</v>
      </c>
      <c r="SU9" t="s">
        <v>1842</v>
      </c>
      <c r="SV9">
        <v>2025</v>
      </c>
      <c r="SW9" t="s">
        <v>5213</v>
      </c>
      <c r="SX9" s="6">
        <v>45896</v>
      </c>
      <c r="SY9">
        <v>5</v>
      </c>
      <c r="SZ9">
        <v>-2.4245362661989844E-14</v>
      </c>
      <c r="TA9">
        <v>67888250</v>
      </c>
      <c r="TB9" t="s">
        <v>5214</v>
      </c>
      <c r="TE9" t="s">
        <v>4253</v>
      </c>
      <c r="TF9">
        <v>3.071453</v>
      </c>
      <c r="TG9" t="s">
        <v>1752</v>
      </c>
      <c r="TH9">
        <v>1.0461739999999999</v>
      </c>
      <c r="TI9" t="s">
        <v>1788</v>
      </c>
      <c r="TJ9">
        <v>2025</v>
      </c>
      <c r="TK9" t="s">
        <v>4252</v>
      </c>
      <c r="TL9" s="6">
        <v>46070</v>
      </c>
      <c r="TM9">
        <v>5</v>
      </c>
      <c r="TN9">
        <v>28027008</v>
      </c>
      <c r="TO9">
        <v>100673</v>
      </c>
      <c r="TP9" t="s">
        <v>4254</v>
      </c>
      <c r="TU9" t="s">
        <v>4031</v>
      </c>
      <c r="TV9" t="s">
        <v>1940</v>
      </c>
      <c r="TW9">
        <v>2.8060939999999999</v>
      </c>
      <c r="TX9">
        <v>0.76549599999999995</v>
      </c>
      <c r="TY9" t="s">
        <v>1753</v>
      </c>
      <c r="TZ9">
        <v>2025</v>
      </c>
      <c r="UA9" t="s">
        <v>4032</v>
      </c>
      <c r="UB9" s="6">
        <v>46048</v>
      </c>
      <c r="UC9">
        <v>5</v>
      </c>
      <c r="UD9">
        <v>21232000</v>
      </c>
      <c r="UE9">
        <v>216867</v>
      </c>
      <c r="UF9" t="s">
        <v>4033</v>
      </c>
      <c r="UI9" t="s">
        <v>3820</v>
      </c>
      <c r="UJ9">
        <v>0.28446199999999999</v>
      </c>
      <c r="UK9" t="s">
        <v>1752</v>
      </c>
      <c r="UL9">
        <v>0.82704999999999995</v>
      </c>
      <c r="UM9" t="s">
        <v>1788</v>
      </c>
      <c r="UN9">
        <v>2025</v>
      </c>
      <c r="UO9" t="s">
        <v>3438</v>
      </c>
      <c r="UP9" s="6">
        <v>46041</v>
      </c>
      <c r="UQ9">
        <v>5</v>
      </c>
      <c r="UR9">
        <v>50067588</v>
      </c>
      <c r="US9">
        <v>169936</v>
      </c>
      <c r="UT9" t="s">
        <v>3821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645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646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647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648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649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650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651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652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653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654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655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656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657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658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659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660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661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662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663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664</v>
      </c>
      <c r="AE2" s="3" t="s">
        <v>452</v>
      </c>
      <c r="BI2" s="3" t="s">
        <v>229</v>
      </c>
      <c r="CM2" s="3" t="s">
        <v>665</v>
      </c>
      <c r="DQ2" s="3" t="s">
        <v>666</v>
      </c>
      <c r="EU2" s="3" t="s">
        <v>667</v>
      </c>
      <c r="FY2" s="3" t="s">
        <v>668</v>
      </c>
      <c r="HC2" s="3" t="s">
        <v>669</v>
      </c>
      <c r="IG2" s="3" t="s">
        <v>670</v>
      </c>
      <c r="JK2" s="3" t="s">
        <v>534</v>
      </c>
      <c r="KO2" s="3" t="s">
        <v>386</v>
      </c>
      <c r="LS2" s="3" t="s">
        <v>37</v>
      </c>
      <c r="MW2" s="3" t="s">
        <v>671</v>
      </c>
      <c r="OA2" s="3" t="s">
        <v>34</v>
      </c>
      <c r="PE2" s="3" t="s">
        <v>672</v>
      </c>
      <c r="QI2" s="3" t="s">
        <v>673</v>
      </c>
      <c r="RM2" s="3" t="s">
        <v>674</v>
      </c>
      <c r="SQ2" s="3" t="s">
        <v>675</v>
      </c>
      <c r="TU2" s="3" t="s">
        <v>676</v>
      </c>
      <c r="UY2" s="3" t="s">
        <v>677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_xll.BDS("TCBK US Equity","SUPPLY_CHAIN_SUPPLIERS_ALL_DATA")</f>
        <v>#N/A N/A</v>
      </c>
      <c r="O5" t="str">
        <f>_xll.BDS("TCBK US Equity","SUPPLY_CHAIN_CUSTOMERS_ALL_DATA")</f>
        <v>#N/A N/A</v>
      </c>
      <c r="AE5" t="str">
        <f>_xll.BDS("DHR US Equity","SUPPLY_CHAIN_SUPPLIERS_ALL_DATA","cols=12;rows=5")</f>
        <v>FLEX US Equity</v>
      </c>
      <c r="AF5" t="s">
        <v>1752</v>
      </c>
      <c r="AG5">
        <v>1.165869</v>
      </c>
      <c r="AH5">
        <v>2.8864939999999999</v>
      </c>
      <c r="AI5" t="s">
        <v>1788</v>
      </c>
      <c r="AJ5">
        <v>2025</v>
      </c>
      <c r="AK5" t="s">
        <v>2213</v>
      </c>
      <c r="AL5" s="6">
        <v>45763</v>
      </c>
      <c r="AM5">
        <v>5</v>
      </c>
      <c r="AN5">
        <v>76434368</v>
      </c>
      <c r="AO5">
        <v>136547</v>
      </c>
      <c r="AP5" t="s">
        <v>2214</v>
      </c>
      <c r="AS5" t="str">
        <f>_xll.BDS("DHR US Equity","SUPPLY_CHAIN_CUSTOMERS_ALL_DATA","cols=12;rows=5")</f>
        <v>CDW US Equity</v>
      </c>
      <c r="AT5">
        <v>0.25350099999999998</v>
      </c>
      <c r="AU5" t="s">
        <v>1752</v>
      </c>
      <c r="AV5">
        <v>0.35698299999999999</v>
      </c>
      <c r="AW5" t="s">
        <v>1781</v>
      </c>
      <c r="AX5">
        <v>2025</v>
      </c>
      <c r="AY5" t="s">
        <v>1955</v>
      </c>
      <c r="AZ5" s="6">
        <v>45820</v>
      </c>
      <c r="BA5">
        <v>5</v>
      </c>
      <c r="BB5">
        <v>14553483</v>
      </c>
      <c r="BC5">
        <v>12129192</v>
      </c>
      <c r="BD5" t="s">
        <v>1956</v>
      </c>
      <c r="BI5" t="str">
        <f>_xll.BDS("T US Equity","SUPPLY_CHAIN_SUPPLIERS_ALL_DATA","cols=12;rows=5")</f>
        <v>AAPL US Equity</v>
      </c>
      <c r="BJ5" t="s">
        <v>1752</v>
      </c>
      <c r="BK5">
        <v>1.2812509999999999</v>
      </c>
      <c r="BL5">
        <v>9.9289989999999992</v>
      </c>
      <c r="BM5" t="s">
        <v>1774</v>
      </c>
      <c r="BN5">
        <v>2025</v>
      </c>
      <c r="BO5" t="s">
        <v>3698</v>
      </c>
      <c r="BP5" s="6">
        <v>45863</v>
      </c>
      <c r="BQ5">
        <v>5</v>
      </c>
      <c r="BR5">
        <v>1221788160</v>
      </c>
      <c r="BS5">
        <v>101695</v>
      </c>
      <c r="BT5" t="s">
        <v>3011</v>
      </c>
      <c r="BW5" t="str">
        <f>_xll.BDS("T US Equity","SUPPLY_CHAIN_CUSTOMERS_ALL_DATA","cols=12;rows=5")</f>
        <v>IBM US Equity</v>
      </c>
      <c r="BX5">
        <v>0.86485599999999996</v>
      </c>
      <c r="BY5" t="s">
        <v>1752</v>
      </c>
      <c r="BZ5">
        <v>4.0630959999999998</v>
      </c>
      <c r="CA5" t="s">
        <v>1781</v>
      </c>
      <c r="CB5">
        <v>2025</v>
      </c>
      <c r="CC5" t="s">
        <v>1869</v>
      </c>
      <c r="CD5" s="6">
        <v>45797</v>
      </c>
      <c r="CE5">
        <v>5</v>
      </c>
      <c r="CF5">
        <v>264507552</v>
      </c>
      <c r="CG5">
        <v>100801</v>
      </c>
      <c r="CH5" t="s">
        <v>1870</v>
      </c>
      <c r="CM5" t="str">
        <f>_xll.BDS("PMCS US Equity","SUPPLY_CHAIN_SUPPLIERS_ALL_DATA","cols=12;rows=1")</f>
        <v>FE US Equity</v>
      </c>
      <c r="CO5">
        <v>-2.4245362661989844E-14</v>
      </c>
      <c r="CP5">
        <v>-2.4245362661989844E-14</v>
      </c>
      <c r="CQ5" t="s">
        <v>1753</v>
      </c>
      <c r="CR5">
        <v>2021</v>
      </c>
      <c r="CS5" t="s">
        <v>2222</v>
      </c>
      <c r="CT5" s="6">
        <v>44693</v>
      </c>
      <c r="CU5">
        <v>1</v>
      </c>
      <c r="CV5">
        <v>-2.4245362661989844E-14</v>
      </c>
      <c r="CW5">
        <v>302916</v>
      </c>
      <c r="CX5" t="s">
        <v>2223</v>
      </c>
      <c r="DA5" t="str">
        <f>_xll.BDS("PMCS US Equity","SUPPLY_CHAIN_CUSTOMERS_ALL_DATA")</f>
        <v>#N/A N/A</v>
      </c>
      <c r="DQ5" t="str">
        <f>_xll.BDS("ET US Equity","SUPPLY_CHAIN_SUPPLIERS_ALL_DATA","cols=12;rows=5")</f>
        <v>CNR CN Equity</v>
      </c>
      <c r="DR5" t="s">
        <v>1752</v>
      </c>
      <c r="DS5">
        <v>1.0582020000000001</v>
      </c>
      <c r="DT5">
        <v>0.20854300000000001</v>
      </c>
      <c r="DU5" t="s">
        <v>1781</v>
      </c>
      <c r="DV5">
        <v>2025</v>
      </c>
      <c r="DW5" t="s">
        <v>2070</v>
      </c>
      <c r="DX5" s="6">
        <v>45849</v>
      </c>
      <c r="DY5">
        <v>5</v>
      </c>
      <c r="DZ5">
        <v>32471893.800000001</v>
      </c>
      <c r="EA5">
        <v>179551</v>
      </c>
      <c r="EB5" t="s">
        <v>2071</v>
      </c>
      <c r="EE5" t="str">
        <f>_xll.BDS("ET US Equity","SUPPLY_CHAIN_CUSTOMERS_ALL_DATA","cols=12;rows=5")</f>
        <v>384 HK Equity</v>
      </c>
      <c r="EF5">
        <v>-2.4245362661989844E-14</v>
      </c>
      <c r="EH5">
        <v>-2.4245362661989844E-14</v>
      </c>
      <c r="EI5" t="s">
        <v>1753</v>
      </c>
      <c r="EJ5">
        <v>2022</v>
      </c>
      <c r="EK5" t="s">
        <v>4433</v>
      </c>
      <c r="EL5" s="6">
        <v>44717</v>
      </c>
      <c r="EM5">
        <v>5</v>
      </c>
      <c r="EN5">
        <v>-2.4245362661989844E-14</v>
      </c>
      <c r="EO5">
        <v>178275</v>
      </c>
      <c r="EP5" t="s">
        <v>4434</v>
      </c>
      <c r="EU5" t="str">
        <f>_xll.BDS("ADP US Equity","SUPPLY_CHAIN_SUPPLIERS_ALL_DATA","cols=12;rows=5")</f>
        <v>CUZ US Equity</v>
      </c>
      <c r="EV5" t="s">
        <v>1940</v>
      </c>
      <c r="EW5">
        <v>0.81494</v>
      </c>
      <c r="EX5">
        <v>0.19314200000000001</v>
      </c>
      <c r="EY5" t="s">
        <v>1753</v>
      </c>
      <c r="EZ5">
        <v>2025</v>
      </c>
      <c r="FA5" t="s">
        <v>2203</v>
      </c>
      <c r="FB5" s="6">
        <v>46058</v>
      </c>
      <c r="FC5">
        <v>5</v>
      </c>
      <c r="FD5">
        <v>2024751</v>
      </c>
      <c r="FE5">
        <v>106045</v>
      </c>
      <c r="FF5" t="s">
        <v>2204</v>
      </c>
      <c r="FI5" t="str">
        <f>_xll.BDS("ADP US Equity","SUPPLY_CHAIN_CUSTOMERS_ALL_DATA","cols=12;rows=2")</f>
        <v>SGE LN Equity</v>
      </c>
      <c r="FJ5">
        <v>-2.4245362661989844E-14</v>
      </c>
      <c r="FL5">
        <v>-2.4245362661989844E-14</v>
      </c>
      <c r="FM5" t="s">
        <v>1753</v>
      </c>
      <c r="FN5">
        <v>2022</v>
      </c>
      <c r="FO5" t="s">
        <v>4315</v>
      </c>
      <c r="FP5" s="6">
        <v>44722</v>
      </c>
      <c r="FQ5">
        <v>2</v>
      </c>
      <c r="FR5">
        <v>-2.4245362661989844E-14</v>
      </c>
      <c r="FS5">
        <v>112380</v>
      </c>
      <c r="FT5" t="s">
        <v>4316</v>
      </c>
      <c r="FY5" t="str">
        <f>_xll.BDS("TER US Equity","SUPPLY_CHAIN_SUPPLIERS_ALL_DATA","cols=12;rows=5")</f>
        <v>NVDA US Equity</v>
      </c>
      <c r="FZ5" t="s">
        <v>1752</v>
      </c>
      <c r="GA5">
        <v>4.0030999999999997E-2</v>
      </c>
      <c r="GB5">
        <v>5.8820439999999996</v>
      </c>
      <c r="GC5" t="s">
        <v>1825</v>
      </c>
      <c r="GD5">
        <v>2026</v>
      </c>
      <c r="GE5" t="s">
        <v>2352</v>
      </c>
      <c r="GF5" s="6">
        <v>46087</v>
      </c>
      <c r="GG5">
        <v>5</v>
      </c>
      <c r="GH5">
        <v>27271920</v>
      </c>
      <c r="GI5">
        <v>313657</v>
      </c>
      <c r="GJ5" t="s">
        <v>2353</v>
      </c>
      <c r="GM5" t="str">
        <f>_xll.BDS("TER US Equity","SUPPLY_CHAIN_CUSTOMERS_ALL_DATA","cols=12;rows=5")</f>
        <v>005930 KS Equity</v>
      </c>
      <c r="GN5">
        <v>12.5</v>
      </c>
      <c r="GO5" t="s">
        <v>1828</v>
      </c>
      <c r="GP5">
        <v>0.93494999999999995</v>
      </c>
      <c r="GQ5" t="s">
        <v>1753</v>
      </c>
      <c r="GR5">
        <v>2024</v>
      </c>
      <c r="GS5" t="s">
        <v>2844</v>
      </c>
      <c r="GT5" s="6">
        <v>45708</v>
      </c>
      <c r="GU5">
        <v>5</v>
      </c>
      <c r="GV5">
        <v>88121248</v>
      </c>
      <c r="GW5">
        <v>117929</v>
      </c>
      <c r="GX5" t="s">
        <v>1873</v>
      </c>
      <c r="HC5" t="str">
        <f>_xll.BDS("TOWN US Equity","SUPPLY_CHAIN_SUPPLIERS_ALL_DATA")</f>
        <v>#N/A N/A</v>
      </c>
      <c r="HQ5" t="str">
        <f>_xll.BDS("TOWN US Equity","SUPPLY_CHAIN_CUSTOMERS_ALL_DATA")</f>
        <v>#N/A N/A</v>
      </c>
      <c r="IG5" t="str">
        <f>_xll.BDS("AGCO US Equity","SUPPLY_CHAIN_SUPPLIERS_ALL_DATA","cols=12;rows=5")</f>
        <v>MOTHERSO IN Equity</v>
      </c>
      <c r="IH5" t="s">
        <v>1752</v>
      </c>
      <c r="II5">
        <v>0.85648999999999997</v>
      </c>
      <c r="IJ5">
        <v>1.2551369999999999</v>
      </c>
      <c r="IK5" t="s">
        <v>1825</v>
      </c>
      <c r="IL5">
        <v>2024</v>
      </c>
      <c r="IM5" t="s">
        <v>1834</v>
      </c>
      <c r="IN5" s="6">
        <v>45770</v>
      </c>
      <c r="IO5">
        <v>5</v>
      </c>
      <c r="IP5">
        <v>27595442</v>
      </c>
      <c r="IQ5">
        <v>182691</v>
      </c>
      <c r="IR5" t="s">
        <v>5526</v>
      </c>
      <c r="IU5" t="str">
        <f>_xll.BDS("AGCO US Equity","SUPPLY_CHAIN_CUSTOMERS_ALL_DATA","cols=12;rows=5")</f>
        <v>INCH LN Equity</v>
      </c>
      <c r="IV5">
        <v>2.3286999999999999E-2</v>
      </c>
      <c r="IW5" t="s">
        <v>1752</v>
      </c>
      <c r="IX5">
        <v>2.401E-2</v>
      </c>
      <c r="IY5" t="s">
        <v>1774</v>
      </c>
      <c r="IZ5">
        <v>2025</v>
      </c>
      <c r="JA5" t="s">
        <v>3418</v>
      </c>
      <c r="JB5" s="6">
        <v>45922</v>
      </c>
      <c r="JC5">
        <v>5</v>
      </c>
      <c r="JD5">
        <v>613488.76</v>
      </c>
      <c r="JE5">
        <v>111773</v>
      </c>
      <c r="JF5" t="s">
        <v>3419</v>
      </c>
      <c r="JK5" t="str">
        <f>_xll.BDS("540513Q US Equity","SUPPLY_CHAIN_SUPPLIERS_ALL_DATA")</f>
        <v>#N/A N/A</v>
      </c>
      <c r="JY5" t="str">
        <f>_xll.BDS("540513Q US Equity","SUPPLY_CHAIN_CUSTOMERS_ALL_DATA")</f>
        <v>#N/A N/A</v>
      </c>
      <c r="KO5" t="str">
        <f>_xll.BDS("SSB US Equity","SUPPLY_CHAIN_SUPPLIERS_ALL_DATA","cols=12;rows=4")</f>
        <v>BLND US Equity</v>
      </c>
      <c r="KQ5">
        <v>-2.4245362661989844E-14</v>
      </c>
      <c r="KR5">
        <v>-2.4245362661989844E-14</v>
      </c>
      <c r="KS5" t="s">
        <v>1781</v>
      </c>
      <c r="KT5">
        <v>2025</v>
      </c>
      <c r="KU5" t="s">
        <v>3979</v>
      </c>
      <c r="KV5" s="6">
        <v>45785</v>
      </c>
      <c r="KW5">
        <v>4</v>
      </c>
      <c r="KX5">
        <v>-2.4245362661989844E-14</v>
      </c>
      <c r="KY5">
        <v>42447088</v>
      </c>
      <c r="KZ5" t="s">
        <v>3980</v>
      </c>
      <c r="LC5" t="str">
        <f>_xll.BDS("SSB US Equity","SUPPLY_CHAIN_CUSTOMERS_ALL_DATA")</f>
        <v>#N/A N/A</v>
      </c>
      <c r="LS5" t="str">
        <f>_xll.BDS("nan Equity","SUPPLY_CHAIN_SUPPLIERS_ALL_DATA")</f>
        <v>#N/A N/A</v>
      </c>
      <c r="MG5" t="str">
        <f>_xll.BDS("nan Equity","SUPPLY_CHAIN_CUSTOMERS_ALL_DATA")</f>
        <v>#N/A N/A</v>
      </c>
      <c r="MW5" t="str">
        <f>_xll.BDS("FORM US Equity","SUPPLY_CHAIN_SUPPLIERS_ALL_DATA","cols=12;rows=5")</f>
        <v>131290 KS Equity</v>
      </c>
      <c r="MX5" t="s">
        <v>1752</v>
      </c>
      <c r="MY5">
        <v>9.7333000000000003E-2</v>
      </c>
      <c r="MZ5">
        <v>6.6489000000000006E-2</v>
      </c>
      <c r="NA5" t="s">
        <v>1774</v>
      </c>
      <c r="NB5">
        <v>2025</v>
      </c>
      <c r="NC5" t="s">
        <v>5073</v>
      </c>
      <c r="ND5" s="6">
        <v>45918</v>
      </c>
      <c r="NE5">
        <v>5</v>
      </c>
      <c r="NF5">
        <v>81784.91</v>
      </c>
      <c r="NG5">
        <v>17496610</v>
      </c>
      <c r="NH5" t="s">
        <v>5074</v>
      </c>
      <c r="NK5" t="str">
        <f>_xll.BDS("FORM US Equity","SUPPLY_CHAIN_CUSTOMERS_ALL_DATA","cols=12;rows=5")</f>
        <v>000660 KS Equity</v>
      </c>
      <c r="NL5">
        <v>22.9</v>
      </c>
      <c r="NM5" t="s">
        <v>1752</v>
      </c>
      <c r="NN5">
        <v>0.67318699999999998</v>
      </c>
      <c r="NO5" t="s">
        <v>1753</v>
      </c>
      <c r="NP5">
        <v>2025</v>
      </c>
      <c r="NQ5" t="s">
        <v>4431</v>
      </c>
      <c r="NR5" s="6">
        <v>46073</v>
      </c>
      <c r="NS5">
        <v>5</v>
      </c>
      <c r="NT5">
        <v>44940848</v>
      </c>
      <c r="NU5">
        <v>193974</v>
      </c>
      <c r="NV5" t="s">
        <v>2270</v>
      </c>
      <c r="OA5" t="str">
        <f>_xll.BDS("CVOVQ US Equity","SUPPLY_CHAIN_SUPPLIERS_ALL_DATA","cols=12;rows=1")</f>
        <v>FRSH US Equity</v>
      </c>
      <c r="OC5">
        <v>-2.4245362661989844E-14</v>
      </c>
      <c r="OD5">
        <v>-2.4245362661989844E-14</v>
      </c>
      <c r="OE5" t="s">
        <v>1788</v>
      </c>
      <c r="OF5">
        <v>2023</v>
      </c>
      <c r="OG5" t="s">
        <v>4990</v>
      </c>
      <c r="OH5" s="6">
        <v>45230</v>
      </c>
      <c r="OI5">
        <v>1</v>
      </c>
      <c r="OJ5">
        <v>-2.4245362661989844E-14</v>
      </c>
      <c r="OK5">
        <v>28498368</v>
      </c>
      <c r="OL5" t="s">
        <v>2995</v>
      </c>
      <c r="OO5" t="str">
        <f>_xll.BDS("CVOVQ US Equity","SUPPLY_CHAIN_CUSTOMERS_ALL_DATA")</f>
        <v>#N/A N/A</v>
      </c>
      <c r="PE5" t="str">
        <f>_xll.BDS("GENZ US Equity","SUPPLY_CHAIN_SUPPLIERS_ALL_DATA")</f>
        <v>#N/A N/A</v>
      </c>
      <c r="PS5" t="str">
        <f>_xll.BDS("GENZ US Equity","SUPPLY_CHAIN_CUSTOMERS_ALL_DATA")</f>
        <v>#N/A N/A</v>
      </c>
      <c r="QI5" t="str">
        <f>_xll.BDS("VTR US Equity","SUPPLY_CHAIN_SUPPLIERS_ALL_DATA")</f>
        <v>#N/A N/A</v>
      </c>
      <c r="QW5" t="str">
        <f>_xll.BDS("VTR US Equity","SUPPLY_CHAIN_CUSTOMERS_ALL_DATA","cols=12;rows=3")</f>
        <v>BKD US Equity</v>
      </c>
      <c r="QX5">
        <v>3.1</v>
      </c>
      <c r="QY5" t="s">
        <v>1940</v>
      </c>
      <c r="QZ5">
        <v>82.137343999999999</v>
      </c>
      <c r="RA5" t="s">
        <v>1753</v>
      </c>
      <c r="RB5">
        <v>2024</v>
      </c>
      <c r="RC5" t="s">
        <v>3118</v>
      </c>
      <c r="RD5" s="6">
        <v>45701</v>
      </c>
      <c r="RE5">
        <v>3</v>
      </c>
      <c r="RF5">
        <v>38163060</v>
      </c>
      <c r="RG5">
        <v>9938236</v>
      </c>
      <c r="RH5" t="s">
        <v>4716</v>
      </c>
      <c r="RM5" t="str">
        <f>_xll.BDS("FNIS US Equity","SUPPLY_CHAIN_SUPPLIERS_ALL_DATA")</f>
        <v>#N/A N/A</v>
      </c>
      <c r="SA5" t="str">
        <f>_xll.BDS("FNIS US Equity","SUPPLY_CHAIN_CUSTOMERS_ALL_DATA")</f>
        <v>#N/A N/A</v>
      </c>
      <c r="SQ5" t="str">
        <f>_xll.BDS("8258290Q US Equity","SUPPLY_CHAIN_SUPPLIERS_ALL_DATA")</f>
        <v>#N/A N/A</v>
      </c>
      <c r="TE5" t="str">
        <f>_xll.BDS("8258290Q US Equity","SUPPLY_CHAIN_CUSTOMERS_ALL_DATA")</f>
        <v>#N/A N/A</v>
      </c>
      <c r="TU5" t="str">
        <f>_xll.BDS("2258717D US Equity","SUPPLY_CHAIN_SUPPLIERS_ALL_DATA")</f>
        <v>#N/A N/A</v>
      </c>
      <c r="UI5" t="str">
        <f>_xll.BDS("2258717D US Equity","SUPPLY_CHAIN_CUSTOMERS_ALL_DATA")</f>
        <v>#N/A N/A</v>
      </c>
      <c r="UY5" t="str">
        <f>_xll.BDS("RRD US Equity","SUPPLY_CHAIN_SUPPLIERS_ALL_DATA","cols=12;rows=5")</f>
        <v>FNOVA17 MM Equity</v>
      </c>
      <c r="VA5">
        <v>1.2</v>
      </c>
      <c r="VB5">
        <v>-2.4245362661989844E-14</v>
      </c>
      <c r="VC5" t="s">
        <v>1753</v>
      </c>
      <c r="VD5">
        <v>2024</v>
      </c>
      <c r="VE5" t="s">
        <v>5709</v>
      </c>
      <c r="VF5" s="6">
        <v>45698</v>
      </c>
      <c r="VG5">
        <v>5</v>
      </c>
      <c r="VH5">
        <v>218270.92</v>
      </c>
      <c r="VI5">
        <v>13706960</v>
      </c>
      <c r="VJ5" t="s">
        <v>5710</v>
      </c>
      <c r="VM5" t="str">
        <f>_xll.BDS("RRD US Equity","SUPPLY_CHAIN_CUSTOMERS_ALL_DATA","cols=12;rows=5")</f>
        <v>1646058D US Equity</v>
      </c>
      <c r="VN5">
        <v>-2.4245362661989844E-14</v>
      </c>
      <c r="VP5">
        <v>-2.4245362661989844E-14</v>
      </c>
      <c r="VQ5" t="s">
        <v>1753</v>
      </c>
      <c r="VR5">
        <v>2024</v>
      </c>
      <c r="VS5" t="s">
        <v>5564</v>
      </c>
      <c r="VT5" s="6">
        <v>45348</v>
      </c>
      <c r="VU5">
        <v>5</v>
      </c>
      <c r="VV5">
        <v>-2.4245362661989844E-14</v>
      </c>
      <c r="VW5">
        <v>47365286</v>
      </c>
      <c r="VX5" t="s">
        <v>5565</v>
      </c>
    </row>
    <row r="6" spans="1:600" x14ac:dyDescent="0.25">
      <c r="AE6" t="s">
        <v>2215</v>
      </c>
      <c r="AF6" t="s">
        <v>1752</v>
      </c>
      <c r="AG6">
        <v>0.147895</v>
      </c>
      <c r="AH6">
        <v>0.47978500000000002</v>
      </c>
      <c r="AI6" t="s">
        <v>1788</v>
      </c>
      <c r="AJ6">
        <v>2025</v>
      </c>
      <c r="AK6" t="s">
        <v>2216</v>
      </c>
      <c r="AL6" s="6">
        <v>45867</v>
      </c>
      <c r="AM6">
        <v>5</v>
      </c>
      <c r="AN6">
        <v>11577221</v>
      </c>
      <c r="AO6">
        <v>117092</v>
      </c>
      <c r="AP6" t="s">
        <v>2217</v>
      </c>
      <c r="AS6" t="s">
        <v>1824</v>
      </c>
      <c r="AT6">
        <v>0.22051499999999999</v>
      </c>
      <c r="AU6" t="s">
        <v>1752</v>
      </c>
      <c r="AV6">
        <v>9.3169000000000002E-2</v>
      </c>
      <c r="AW6" t="s">
        <v>1825</v>
      </c>
      <c r="AX6">
        <v>2025</v>
      </c>
      <c r="AY6" t="s">
        <v>1826</v>
      </c>
      <c r="AZ6" s="6">
        <v>46056</v>
      </c>
      <c r="BA6">
        <v>5</v>
      </c>
      <c r="BB6">
        <v>15078834</v>
      </c>
      <c r="BC6">
        <v>1499717</v>
      </c>
      <c r="BD6" t="s">
        <v>1827</v>
      </c>
      <c r="BI6" t="s">
        <v>1871</v>
      </c>
      <c r="BJ6" t="s">
        <v>1752</v>
      </c>
      <c r="BK6">
        <v>2.0413640000000002</v>
      </c>
      <c r="BL6">
        <v>9.0393749999999997</v>
      </c>
      <c r="BM6" t="s">
        <v>1774</v>
      </c>
      <c r="BN6">
        <v>2025</v>
      </c>
      <c r="BO6" t="s">
        <v>3698</v>
      </c>
      <c r="BP6" s="6">
        <v>45863</v>
      </c>
      <c r="BQ6">
        <v>5</v>
      </c>
      <c r="BR6">
        <v>1112317696</v>
      </c>
      <c r="BS6">
        <v>117929</v>
      </c>
      <c r="BT6" t="s">
        <v>1873</v>
      </c>
      <c r="BW6" t="s">
        <v>1824</v>
      </c>
      <c r="BX6">
        <v>0.112041</v>
      </c>
      <c r="BY6" t="s">
        <v>1752</v>
      </c>
      <c r="BZ6">
        <v>0.211726</v>
      </c>
      <c r="CA6" t="s">
        <v>1825</v>
      </c>
      <c r="CB6">
        <v>2025</v>
      </c>
      <c r="CC6" t="s">
        <v>1826</v>
      </c>
      <c r="CD6" s="6">
        <v>46056</v>
      </c>
      <c r="CE6">
        <v>5</v>
      </c>
      <c r="CF6">
        <v>34266560</v>
      </c>
      <c r="CG6">
        <v>1499717</v>
      </c>
      <c r="CH6" t="s">
        <v>1827</v>
      </c>
      <c r="DQ6" t="s">
        <v>1969</v>
      </c>
      <c r="DR6" t="s">
        <v>1828</v>
      </c>
      <c r="DS6">
        <v>0.122599</v>
      </c>
      <c r="DT6">
        <v>1.659594</v>
      </c>
      <c r="DU6" t="s">
        <v>1774</v>
      </c>
      <c r="DV6">
        <v>2025</v>
      </c>
      <c r="DW6" t="s">
        <v>1970</v>
      </c>
      <c r="DX6" s="6">
        <v>45876</v>
      </c>
      <c r="DY6">
        <v>5</v>
      </c>
      <c r="DZ6">
        <v>20313428</v>
      </c>
      <c r="EA6">
        <v>100285</v>
      </c>
      <c r="EB6" t="s">
        <v>1971</v>
      </c>
      <c r="EE6" t="s">
        <v>345</v>
      </c>
      <c r="EF6">
        <v>-2.4245362661989844E-14</v>
      </c>
      <c r="EH6">
        <v>-2.4245362661989844E-14</v>
      </c>
      <c r="EI6" t="s">
        <v>1753</v>
      </c>
      <c r="EJ6">
        <v>2025</v>
      </c>
      <c r="EK6" t="s">
        <v>4435</v>
      </c>
      <c r="EL6" s="6">
        <v>45833</v>
      </c>
      <c r="EM6">
        <v>5</v>
      </c>
      <c r="EN6">
        <v>-2.4245362661989844E-14</v>
      </c>
      <c r="EO6">
        <v>100315</v>
      </c>
      <c r="EP6" t="s">
        <v>2035</v>
      </c>
      <c r="EU6" t="s">
        <v>5796</v>
      </c>
      <c r="EV6" t="s">
        <v>1940</v>
      </c>
      <c r="EW6">
        <v>1.6</v>
      </c>
      <c r="EX6">
        <v>0.166076</v>
      </c>
      <c r="EY6" t="s">
        <v>1774</v>
      </c>
      <c r="EZ6">
        <v>2025</v>
      </c>
      <c r="FA6" t="s">
        <v>5797</v>
      </c>
      <c r="FB6" s="6">
        <v>45868</v>
      </c>
      <c r="FC6">
        <v>5</v>
      </c>
      <c r="FD6">
        <v>1831984</v>
      </c>
      <c r="FE6">
        <v>15671511</v>
      </c>
      <c r="FF6" t="s">
        <v>5798</v>
      </c>
      <c r="FI6" t="s">
        <v>4317</v>
      </c>
      <c r="FJ6">
        <v>-2.4245362661989844E-14</v>
      </c>
      <c r="FL6">
        <v>-2.4245362661989844E-14</v>
      </c>
      <c r="FM6" t="s">
        <v>1753</v>
      </c>
      <c r="FN6">
        <v>2025</v>
      </c>
      <c r="FO6" t="s">
        <v>4318</v>
      </c>
      <c r="FP6" s="6">
        <v>45727</v>
      </c>
      <c r="FQ6">
        <v>2</v>
      </c>
      <c r="FR6">
        <v>-2.4245362661989844E-14</v>
      </c>
      <c r="FS6">
        <v>14184925</v>
      </c>
      <c r="FT6" t="s">
        <v>4319</v>
      </c>
      <c r="FY6" t="s">
        <v>2212</v>
      </c>
      <c r="FZ6" t="s">
        <v>1752</v>
      </c>
      <c r="GA6">
        <v>0.13453599999999999</v>
      </c>
      <c r="GB6">
        <v>2.8862130000000001</v>
      </c>
      <c r="GC6" t="s">
        <v>1788</v>
      </c>
      <c r="GD6">
        <v>2025</v>
      </c>
      <c r="GE6" t="s">
        <v>2213</v>
      </c>
      <c r="GF6" s="6">
        <v>45763</v>
      </c>
      <c r="GG6">
        <v>5</v>
      </c>
      <c r="GH6">
        <v>8820180</v>
      </c>
      <c r="GI6">
        <v>136547</v>
      </c>
      <c r="GJ6" t="s">
        <v>2214</v>
      </c>
      <c r="GM6" t="s">
        <v>2268</v>
      </c>
      <c r="GN6">
        <v>9.1156550000000003</v>
      </c>
      <c r="GO6" t="s">
        <v>1828</v>
      </c>
      <c r="GP6">
        <v>1.9185270000000001</v>
      </c>
      <c r="GQ6" t="s">
        <v>1774</v>
      </c>
      <c r="GR6">
        <v>2025</v>
      </c>
      <c r="GS6" t="s">
        <v>2845</v>
      </c>
      <c r="GT6" s="6">
        <v>45915</v>
      </c>
      <c r="GU6">
        <v>5</v>
      </c>
      <c r="GV6">
        <v>59415568</v>
      </c>
      <c r="GW6">
        <v>193974</v>
      </c>
      <c r="GX6" t="s">
        <v>2270</v>
      </c>
      <c r="IG6" t="s">
        <v>5527</v>
      </c>
      <c r="IH6" t="s">
        <v>1752</v>
      </c>
      <c r="II6">
        <v>4.0572999999999998E-2</v>
      </c>
      <c r="IJ6">
        <v>0.50158800000000003</v>
      </c>
      <c r="IK6" t="s">
        <v>1774</v>
      </c>
      <c r="IL6">
        <v>2025</v>
      </c>
      <c r="IM6" t="s">
        <v>1834</v>
      </c>
      <c r="IN6" s="6">
        <v>45876</v>
      </c>
      <c r="IO6">
        <v>5</v>
      </c>
      <c r="IP6">
        <v>9913385</v>
      </c>
      <c r="IQ6">
        <v>136983</v>
      </c>
      <c r="IR6" t="s">
        <v>5528</v>
      </c>
      <c r="IU6" t="s">
        <v>3420</v>
      </c>
      <c r="IV6">
        <v>-2.4245362661989844E-14</v>
      </c>
      <c r="IX6">
        <v>-2.4245362661989844E-14</v>
      </c>
      <c r="IY6" t="s">
        <v>1753</v>
      </c>
      <c r="IZ6">
        <v>2023</v>
      </c>
      <c r="JA6" t="s">
        <v>3421</v>
      </c>
      <c r="JB6" s="6">
        <v>45391</v>
      </c>
      <c r="JC6">
        <v>5</v>
      </c>
      <c r="JD6">
        <v>-2.4245362661989844E-14</v>
      </c>
      <c r="JE6">
        <v>17116871</v>
      </c>
      <c r="JF6" t="s">
        <v>3422</v>
      </c>
      <c r="KO6" t="s">
        <v>3183</v>
      </c>
      <c r="KQ6">
        <v>-2.4245362661989844E-14</v>
      </c>
      <c r="KR6">
        <v>-2.4245362661989844E-14</v>
      </c>
      <c r="KS6" t="s">
        <v>1753</v>
      </c>
      <c r="KT6">
        <v>2024</v>
      </c>
      <c r="KU6" t="s">
        <v>3184</v>
      </c>
      <c r="KV6" s="6">
        <v>45762</v>
      </c>
      <c r="KW6">
        <v>4</v>
      </c>
      <c r="KX6">
        <v>-2.4245362661989844E-14</v>
      </c>
      <c r="KY6">
        <v>46286147</v>
      </c>
      <c r="KZ6" t="s">
        <v>3185</v>
      </c>
      <c r="MW6" t="s">
        <v>5075</v>
      </c>
      <c r="MY6">
        <v>-2.4245362661989844E-14</v>
      </c>
      <c r="MZ6">
        <v>-2.4245362661989844E-14</v>
      </c>
      <c r="NA6" t="s">
        <v>1753</v>
      </c>
      <c r="NB6">
        <v>2025</v>
      </c>
      <c r="NC6" t="s">
        <v>5076</v>
      </c>
      <c r="ND6" s="6">
        <v>45722</v>
      </c>
      <c r="NE6">
        <v>5</v>
      </c>
      <c r="NF6">
        <v>-2.4245362661989844E-14</v>
      </c>
      <c r="NG6">
        <v>71246103</v>
      </c>
      <c r="NH6" t="s">
        <v>5077</v>
      </c>
      <c r="NK6" t="s">
        <v>1941</v>
      </c>
      <c r="NL6">
        <v>9.8281089999999995</v>
      </c>
      <c r="NM6" t="s">
        <v>1752</v>
      </c>
      <c r="NN6">
        <v>0.166571</v>
      </c>
      <c r="NO6" t="s">
        <v>1825</v>
      </c>
      <c r="NP6">
        <v>2025</v>
      </c>
      <c r="NQ6" t="s">
        <v>4432</v>
      </c>
      <c r="NR6" s="6">
        <v>46090</v>
      </c>
      <c r="NS6">
        <v>5</v>
      </c>
      <c r="NT6">
        <v>21146454</v>
      </c>
      <c r="NU6">
        <v>153737</v>
      </c>
      <c r="NV6" t="s">
        <v>1943</v>
      </c>
      <c r="QW6" t="s">
        <v>523</v>
      </c>
      <c r="QX6">
        <v>2.8</v>
      </c>
      <c r="QY6" t="s">
        <v>1940</v>
      </c>
      <c r="QZ6">
        <v>0.73512200000000005</v>
      </c>
      <c r="RA6" t="s">
        <v>1753</v>
      </c>
      <c r="RB6">
        <v>2024</v>
      </c>
      <c r="RC6" t="s">
        <v>3118</v>
      </c>
      <c r="RD6" s="6">
        <v>45701</v>
      </c>
      <c r="RE6">
        <v>3</v>
      </c>
      <c r="RF6">
        <v>34469864</v>
      </c>
      <c r="RG6">
        <v>69491275</v>
      </c>
      <c r="RH6" t="s">
        <v>3096</v>
      </c>
      <c r="UY6" t="s">
        <v>3160</v>
      </c>
      <c r="VA6">
        <v>-2.4245362661989844E-14</v>
      </c>
      <c r="VB6">
        <v>-2.4245362661989844E-14</v>
      </c>
      <c r="VC6" t="s">
        <v>1753</v>
      </c>
      <c r="VD6">
        <v>2022</v>
      </c>
      <c r="VE6" t="s">
        <v>3161</v>
      </c>
      <c r="VF6" s="6">
        <v>44693</v>
      </c>
      <c r="VG6">
        <v>5</v>
      </c>
      <c r="VH6">
        <v>-2.4245362661989844E-14</v>
      </c>
      <c r="VI6">
        <v>113413</v>
      </c>
      <c r="VJ6" t="s">
        <v>3162</v>
      </c>
      <c r="VM6" t="s">
        <v>2689</v>
      </c>
      <c r="VN6">
        <v>-2.4245362661989844E-14</v>
      </c>
      <c r="VP6">
        <v>-2.4245362661989844E-14</v>
      </c>
      <c r="VQ6" t="s">
        <v>1753</v>
      </c>
      <c r="VR6">
        <v>2025</v>
      </c>
      <c r="VS6" t="s">
        <v>5566</v>
      </c>
      <c r="VT6" s="6">
        <v>45777</v>
      </c>
      <c r="VU6">
        <v>5</v>
      </c>
      <c r="VV6">
        <v>-2.4245362661989844E-14</v>
      </c>
      <c r="VW6">
        <v>957754</v>
      </c>
      <c r="VX6" t="s">
        <v>2690</v>
      </c>
    </row>
    <row r="7" spans="1:600" x14ac:dyDescent="0.25">
      <c r="AE7" t="s">
        <v>2415</v>
      </c>
      <c r="AF7" t="s">
        <v>1752</v>
      </c>
      <c r="AG7">
        <v>0.32230900000000001</v>
      </c>
      <c r="AH7">
        <v>0.38473400000000002</v>
      </c>
      <c r="AI7" t="s">
        <v>1788</v>
      </c>
      <c r="AJ7">
        <v>2025</v>
      </c>
      <c r="AK7" t="s">
        <v>2416</v>
      </c>
      <c r="AL7" s="6">
        <v>45891</v>
      </c>
      <c r="AM7">
        <v>5</v>
      </c>
      <c r="AN7">
        <v>9283621</v>
      </c>
      <c r="AO7">
        <v>100097</v>
      </c>
      <c r="AP7" t="s">
        <v>2417</v>
      </c>
      <c r="AS7" t="s">
        <v>2092</v>
      </c>
      <c r="AT7">
        <v>8.1423999999999996E-2</v>
      </c>
      <c r="AU7" t="s">
        <v>1752</v>
      </c>
      <c r="AV7">
        <v>0.194387</v>
      </c>
      <c r="AW7" t="s">
        <v>1788</v>
      </c>
      <c r="AX7">
        <v>2025</v>
      </c>
      <c r="AY7" t="s">
        <v>2093</v>
      </c>
      <c r="AZ7" s="6">
        <v>45694</v>
      </c>
      <c r="BA7">
        <v>5</v>
      </c>
      <c r="BB7">
        <v>5430637.3600000003</v>
      </c>
      <c r="BC7">
        <v>111827</v>
      </c>
      <c r="BD7" t="s">
        <v>2094</v>
      </c>
      <c r="BI7" t="s">
        <v>3014</v>
      </c>
      <c r="BJ7" t="s">
        <v>1828</v>
      </c>
      <c r="BK7">
        <v>13.01698</v>
      </c>
      <c r="BL7">
        <v>13.663121</v>
      </c>
      <c r="BM7" t="s">
        <v>1788</v>
      </c>
      <c r="BN7">
        <v>2025</v>
      </c>
      <c r="BO7" t="s">
        <v>3015</v>
      </c>
      <c r="BP7" s="6">
        <v>46029</v>
      </c>
      <c r="BQ7">
        <v>5</v>
      </c>
      <c r="BR7">
        <v>769456564.02999997</v>
      </c>
      <c r="BS7">
        <v>115705</v>
      </c>
      <c r="BT7" t="s">
        <v>3016</v>
      </c>
      <c r="BW7" t="s">
        <v>1875</v>
      </c>
      <c r="BX7">
        <v>3.6669E-2</v>
      </c>
      <c r="BY7" t="s">
        <v>1752</v>
      </c>
      <c r="BZ7">
        <v>1.85477</v>
      </c>
      <c r="CA7" t="s">
        <v>1788</v>
      </c>
      <c r="CB7">
        <v>2025</v>
      </c>
      <c r="CC7" t="s">
        <v>1876</v>
      </c>
      <c r="CD7" s="6">
        <v>45840</v>
      </c>
      <c r="CE7">
        <v>5</v>
      </c>
      <c r="CF7">
        <v>11214774</v>
      </c>
      <c r="CG7">
        <v>136424</v>
      </c>
      <c r="CH7" t="s">
        <v>1877</v>
      </c>
      <c r="DQ7" t="s">
        <v>5295</v>
      </c>
      <c r="DR7" t="s">
        <v>1828</v>
      </c>
      <c r="DS7">
        <v>0.87248300000000001</v>
      </c>
      <c r="DT7">
        <v>1.0253380000000001</v>
      </c>
      <c r="DU7" t="s">
        <v>1774</v>
      </c>
      <c r="DV7">
        <v>2025</v>
      </c>
      <c r="DW7" t="s">
        <v>5296</v>
      </c>
      <c r="DX7" s="6">
        <v>45925</v>
      </c>
      <c r="DY7">
        <v>5</v>
      </c>
      <c r="DZ7">
        <v>17030868</v>
      </c>
      <c r="EA7">
        <v>10659312</v>
      </c>
      <c r="EB7" t="s">
        <v>5297</v>
      </c>
      <c r="EE7" t="s">
        <v>1705</v>
      </c>
      <c r="EF7">
        <v>-2.4245362661989844E-14</v>
      </c>
      <c r="EH7">
        <v>-2.4245362661989844E-14</v>
      </c>
      <c r="EI7" t="s">
        <v>1753</v>
      </c>
      <c r="EJ7">
        <v>2025</v>
      </c>
      <c r="EK7" t="s">
        <v>4436</v>
      </c>
      <c r="EL7" s="6">
        <v>46063</v>
      </c>
      <c r="EM7">
        <v>5</v>
      </c>
      <c r="EN7">
        <v>-2.4245362661989844E-14</v>
      </c>
      <c r="EO7">
        <v>100348</v>
      </c>
      <c r="EP7" t="s">
        <v>2397</v>
      </c>
      <c r="EU7" t="s">
        <v>5799</v>
      </c>
      <c r="EV7" t="s">
        <v>1940</v>
      </c>
      <c r="EW7">
        <v>2</v>
      </c>
      <c r="EX7">
        <v>7.1676000000000004E-2</v>
      </c>
      <c r="EY7" t="s">
        <v>1774</v>
      </c>
      <c r="EZ7">
        <v>2025</v>
      </c>
      <c r="FA7" t="s">
        <v>5800</v>
      </c>
      <c r="FB7" s="6">
        <v>45875</v>
      </c>
      <c r="FC7">
        <v>5</v>
      </c>
      <c r="FD7">
        <v>790660</v>
      </c>
      <c r="FE7">
        <v>8159946</v>
      </c>
      <c r="FF7" t="s">
        <v>5801</v>
      </c>
      <c r="FY7" t="s">
        <v>2415</v>
      </c>
      <c r="FZ7" t="s">
        <v>1752</v>
      </c>
      <c r="GA7">
        <v>4.4719000000000002E-2</v>
      </c>
      <c r="GB7">
        <v>0.46202700000000002</v>
      </c>
      <c r="GC7" t="s">
        <v>1788</v>
      </c>
      <c r="GD7">
        <v>2025</v>
      </c>
      <c r="GE7" t="s">
        <v>2416</v>
      </c>
      <c r="GF7" s="6">
        <v>45891</v>
      </c>
      <c r="GG7">
        <v>5</v>
      </c>
      <c r="GH7">
        <v>1288063</v>
      </c>
      <c r="GI7">
        <v>100097</v>
      </c>
      <c r="GJ7" t="s">
        <v>2417</v>
      </c>
      <c r="GM7" t="s">
        <v>1941</v>
      </c>
      <c r="GN7">
        <v>8.2331090000000007</v>
      </c>
      <c r="GO7" t="s">
        <v>1828</v>
      </c>
      <c r="GP7">
        <v>0.55610599999999999</v>
      </c>
      <c r="GQ7" t="s">
        <v>1774</v>
      </c>
      <c r="GR7">
        <v>2025</v>
      </c>
      <c r="GS7" t="s">
        <v>2845</v>
      </c>
      <c r="GT7" s="6">
        <v>45915</v>
      </c>
      <c r="GU7">
        <v>5</v>
      </c>
      <c r="GV7">
        <v>53663156</v>
      </c>
      <c r="GW7">
        <v>153737</v>
      </c>
      <c r="GX7" t="s">
        <v>1943</v>
      </c>
      <c r="IG7" t="s">
        <v>5529</v>
      </c>
      <c r="IH7" t="s">
        <v>1752</v>
      </c>
      <c r="II7">
        <v>1.8164880000000001</v>
      </c>
      <c r="IJ7">
        <v>0.44746799999999998</v>
      </c>
      <c r="IK7" t="s">
        <v>1825</v>
      </c>
      <c r="IL7">
        <v>2024</v>
      </c>
      <c r="IM7" t="s">
        <v>1834</v>
      </c>
      <c r="IN7" s="6">
        <v>45770</v>
      </c>
      <c r="IO7">
        <v>5</v>
      </c>
      <c r="IP7">
        <v>9838031</v>
      </c>
      <c r="IQ7">
        <v>116661</v>
      </c>
      <c r="IR7" t="s">
        <v>5530</v>
      </c>
      <c r="IU7" t="s">
        <v>3423</v>
      </c>
      <c r="IV7">
        <v>-2.4245362661989844E-14</v>
      </c>
      <c r="IX7">
        <v>-2.4245362661989844E-14</v>
      </c>
      <c r="IY7" t="s">
        <v>1842</v>
      </c>
      <c r="IZ7">
        <v>2025</v>
      </c>
      <c r="JA7" t="s">
        <v>3424</v>
      </c>
      <c r="JB7" s="6">
        <v>45895</v>
      </c>
      <c r="JC7">
        <v>5</v>
      </c>
      <c r="JD7">
        <v>-2.4245362661989844E-14</v>
      </c>
      <c r="JE7">
        <v>21723747</v>
      </c>
      <c r="JF7" t="s">
        <v>3425</v>
      </c>
      <c r="KO7" t="s">
        <v>3981</v>
      </c>
      <c r="KQ7">
        <v>-2.4245362661989844E-14</v>
      </c>
      <c r="KR7">
        <v>-2.4245362661989844E-14</v>
      </c>
      <c r="KS7" t="s">
        <v>1753</v>
      </c>
      <c r="KT7">
        <v>2024</v>
      </c>
      <c r="KU7" t="s">
        <v>3982</v>
      </c>
      <c r="KV7" s="6">
        <v>45743</v>
      </c>
      <c r="KW7">
        <v>4</v>
      </c>
      <c r="KX7">
        <v>-2.4245362661989844E-14</v>
      </c>
      <c r="KY7">
        <v>33322594</v>
      </c>
      <c r="KZ7" t="s">
        <v>3983</v>
      </c>
      <c r="MW7" t="s">
        <v>5078</v>
      </c>
      <c r="MY7">
        <v>-2.4245362661989844E-14</v>
      </c>
      <c r="MZ7">
        <v>-2.4245362661989844E-14</v>
      </c>
      <c r="NA7" t="s">
        <v>1753</v>
      </c>
      <c r="NB7">
        <v>2021</v>
      </c>
      <c r="NC7" t="s">
        <v>5079</v>
      </c>
      <c r="ND7" s="6">
        <v>44693</v>
      </c>
      <c r="NE7">
        <v>5</v>
      </c>
      <c r="NF7">
        <v>-2.4245362661989844E-14</v>
      </c>
      <c r="NG7">
        <v>350245</v>
      </c>
      <c r="NH7" t="s">
        <v>5080</v>
      </c>
      <c r="NK7" t="s">
        <v>1871</v>
      </c>
      <c r="NL7">
        <v>6.9724510000000004</v>
      </c>
      <c r="NM7" t="s">
        <v>1752</v>
      </c>
      <c r="NN7">
        <v>3.9573999999999998E-2</v>
      </c>
      <c r="NO7" t="s">
        <v>1825</v>
      </c>
      <c r="NP7">
        <v>2025</v>
      </c>
      <c r="NQ7" t="s">
        <v>4432</v>
      </c>
      <c r="NR7" s="6">
        <v>46090</v>
      </c>
      <c r="NS7">
        <v>5</v>
      </c>
      <c r="NT7">
        <v>15002135</v>
      </c>
      <c r="NU7">
        <v>117929</v>
      </c>
      <c r="NV7" t="s">
        <v>1873</v>
      </c>
      <c r="QW7" t="s">
        <v>4717</v>
      </c>
      <c r="QX7">
        <v>2.8</v>
      </c>
      <c r="QY7" t="s">
        <v>1940</v>
      </c>
      <c r="QZ7">
        <v>2.6547749999999999</v>
      </c>
      <c r="RA7" t="s">
        <v>1753</v>
      </c>
      <c r="RB7">
        <v>2024</v>
      </c>
      <c r="RC7" t="s">
        <v>3118</v>
      </c>
      <c r="RD7" s="6">
        <v>45701</v>
      </c>
      <c r="RE7">
        <v>3</v>
      </c>
      <c r="RF7">
        <v>34469864</v>
      </c>
      <c r="RG7">
        <v>50818234</v>
      </c>
      <c r="RH7" t="s">
        <v>4718</v>
      </c>
      <c r="UY7" t="s">
        <v>2125</v>
      </c>
      <c r="VA7">
        <v>-2.4245362661989844E-14</v>
      </c>
      <c r="VB7">
        <v>-2.4245362661989844E-14</v>
      </c>
      <c r="VC7" t="s">
        <v>1781</v>
      </c>
      <c r="VD7">
        <v>2024</v>
      </c>
      <c r="VE7" t="s">
        <v>5711</v>
      </c>
      <c r="VF7" s="6">
        <v>45365</v>
      </c>
      <c r="VG7">
        <v>5</v>
      </c>
      <c r="VH7">
        <v>-2.4245362661989844E-14</v>
      </c>
      <c r="VI7">
        <v>101689</v>
      </c>
      <c r="VJ7" t="s">
        <v>2127</v>
      </c>
      <c r="VM7" t="s">
        <v>5567</v>
      </c>
      <c r="VN7">
        <v>-2.4245362661989844E-14</v>
      </c>
      <c r="VP7">
        <v>-2.4245362661989844E-14</v>
      </c>
      <c r="VQ7" t="s">
        <v>1753</v>
      </c>
      <c r="VR7">
        <v>2025</v>
      </c>
      <c r="VS7" t="s">
        <v>5568</v>
      </c>
      <c r="VT7" s="6">
        <v>45833</v>
      </c>
      <c r="VU7">
        <v>5</v>
      </c>
      <c r="VV7">
        <v>-2.4245362661989844E-14</v>
      </c>
      <c r="VW7">
        <v>48550004</v>
      </c>
      <c r="VX7" t="s">
        <v>5569</v>
      </c>
    </row>
    <row r="8" spans="1:600" x14ac:dyDescent="0.25">
      <c r="AE8" t="s">
        <v>1422</v>
      </c>
      <c r="AF8" t="s">
        <v>1752</v>
      </c>
      <c r="AG8">
        <v>1.1725810000000001</v>
      </c>
      <c r="AH8">
        <v>0.15703400000000001</v>
      </c>
      <c r="AI8" t="s">
        <v>1781</v>
      </c>
      <c r="AJ8">
        <v>2026</v>
      </c>
      <c r="AK8" t="s">
        <v>1906</v>
      </c>
      <c r="AL8" s="6">
        <v>46051</v>
      </c>
      <c r="AM8">
        <v>5</v>
      </c>
      <c r="AN8">
        <v>4510016</v>
      </c>
      <c r="AO8">
        <v>225757</v>
      </c>
      <c r="AP8" t="s">
        <v>3065</v>
      </c>
      <c r="AS8" t="s">
        <v>1883</v>
      </c>
      <c r="AT8">
        <v>6.6940000000000003E-3</v>
      </c>
      <c r="AU8" t="s">
        <v>1752</v>
      </c>
      <c r="AV8">
        <v>5.5948409999999997</v>
      </c>
      <c r="AW8" t="s">
        <v>1753</v>
      </c>
      <c r="AX8">
        <v>2024</v>
      </c>
      <c r="AY8" t="s">
        <v>1884</v>
      </c>
      <c r="AZ8" s="6">
        <v>45819</v>
      </c>
      <c r="BA8">
        <v>5</v>
      </c>
      <c r="BB8">
        <v>402911.11</v>
      </c>
      <c r="BC8">
        <v>15291339</v>
      </c>
      <c r="BD8" t="s">
        <v>1885</v>
      </c>
      <c r="BI8" t="s">
        <v>28</v>
      </c>
      <c r="BJ8" t="s">
        <v>1752</v>
      </c>
      <c r="BK8">
        <v>17</v>
      </c>
      <c r="BL8">
        <v>3.5607669999999998</v>
      </c>
      <c r="BM8" t="s">
        <v>1753</v>
      </c>
      <c r="BN8">
        <v>2025</v>
      </c>
      <c r="BO8" t="s">
        <v>3012</v>
      </c>
      <c r="BP8" s="6">
        <v>46077</v>
      </c>
      <c r="BQ8">
        <v>5</v>
      </c>
      <c r="BR8">
        <v>452395488</v>
      </c>
      <c r="BS8">
        <v>210870</v>
      </c>
      <c r="BT8" t="s">
        <v>3013</v>
      </c>
      <c r="BW8" t="s">
        <v>1784</v>
      </c>
      <c r="BX8">
        <v>1.3672E-2</v>
      </c>
      <c r="BY8" t="s">
        <v>1752</v>
      </c>
      <c r="BZ8">
        <v>7.3932999999999999E-2</v>
      </c>
      <c r="CA8" t="s">
        <v>1774</v>
      </c>
      <c r="CB8">
        <v>2026</v>
      </c>
      <c r="CC8" t="s">
        <v>1874</v>
      </c>
      <c r="CD8" s="6">
        <v>46063</v>
      </c>
      <c r="CE8">
        <v>5</v>
      </c>
      <c r="CF8">
        <v>4181589</v>
      </c>
      <c r="CG8">
        <v>100142</v>
      </c>
      <c r="CH8" t="s">
        <v>1786</v>
      </c>
      <c r="DQ8" t="s">
        <v>2162</v>
      </c>
      <c r="DR8" t="s">
        <v>1752</v>
      </c>
      <c r="DS8">
        <v>4.2</v>
      </c>
      <c r="DT8">
        <v>7.9800999999999997E-2</v>
      </c>
      <c r="DU8" t="s">
        <v>1753</v>
      </c>
      <c r="DV8">
        <v>2024</v>
      </c>
      <c r="DW8" t="s">
        <v>2163</v>
      </c>
      <c r="DX8" s="6">
        <v>45842</v>
      </c>
      <c r="DY8">
        <v>5</v>
      </c>
      <c r="DZ8">
        <v>12195268.279999999</v>
      </c>
      <c r="EA8">
        <v>193849</v>
      </c>
      <c r="EB8" t="s">
        <v>2164</v>
      </c>
      <c r="EE8" t="s">
        <v>4060</v>
      </c>
      <c r="EF8">
        <v>-2.4245362661989844E-14</v>
      </c>
      <c r="EH8">
        <v>-2.4245362661989844E-14</v>
      </c>
      <c r="EI8" t="s">
        <v>1753</v>
      </c>
      <c r="EJ8">
        <v>2025</v>
      </c>
      <c r="EK8" t="s">
        <v>4433</v>
      </c>
      <c r="EL8" s="6">
        <v>45965</v>
      </c>
      <c r="EM8">
        <v>5</v>
      </c>
      <c r="EN8">
        <v>-2.4245362661989844E-14</v>
      </c>
      <c r="EO8">
        <v>100532</v>
      </c>
      <c r="EP8" t="s">
        <v>4062</v>
      </c>
      <c r="EU8" t="s">
        <v>3592</v>
      </c>
      <c r="EV8" t="s">
        <v>1940</v>
      </c>
      <c r="EW8">
        <v>1.4</v>
      </c>
      <c r="EX8">
        <v>3.3172E-2</v>
      </c>
      <c r="EY8" t="s">
        <v>1753</v>
      </c>
      <c r="EZ8">
        <v>2024</v>
      </c>
      <c r="FA8" t="s">
        <v>3593</v>
      </c>
      <c r="FB8" s="6">
        <v>45734</v>
      </c>
      <c r="FC8">
        <v>5</v>
      </c>
      <c r="FD8">
        <v>324266.19</v>
      </c>
      <c r="FE8">
        <v>32162827</v>
      </c>
      <c r="FF8" t="s">
        <v>3594</v>
      </c>
      <c r="FY8" t="s">
        <v>3243</v>
      </c>
      <c r="FZ8" t="s">
        <v>1752</v>
      </c>
      <c r="GA8">
        <v>0.16970499999999999</v>
      </c>
      <c r="GB8">
        <v>0.39931699999999998</v>
      </c>
      <c r="GC8" t="s">
        <v>1788</v>
      </c>
      <c r="GD8">
        <v>2025</v>
      </c>
      <c r="GE8" t="s">
        <v>3244</v>
      </c>
      <c r="GF8" s="6">
        <v>46001</v>
      </c>
      <c r="GG8">
        <v>5</v>
      </c>
      <c r="GH8">
        <v>1277431</v>
      </c>
      <c r="GI8">
        <v>1182195</v>
      </c>
      <c r="GJ8" t="s">
        <v>3245</v>
      </c>
      <c r="GM8" t="s">
        <v>2614</v>
      </c>
      <c r="GN8">
        <v>4.3375130000000004</v>
      </c>
      <c r="GO8" t="s">
        <v>1828</v>
      </c>
      <c r="GP8">
        <v>1.9799040000000001</v>
      </c>
      <c r="GQ8" t="s">
        <v>1774</v>
      </c>
      <c r="GR8">
        <v>2025</v>
      </c>
      <c r="GS8" t="s">
        <v>2845</v>
      </c>
      <c r="GT8" s="6">
        <v>45915</v>
      </c>
      <c r="GU8">
        <v>5</v>
      </c>
      <c r="GV8">
        <v>28271780</v>
      </c>
      <c r="GW8">
        <v>58244711</v>
      </c>
      <c r="GX8" t="s">
        <v>2616</v>
      </c>
      <c r="IG8" t="s">
        <v>5531</v>
      </c>
      <c r="IH8" t="s">
        <v>1752</v>
      </c>
      <c r="II8">
        <v>2.1016110000000001</v>
      </c>
      <c r="IJ8">
        <v>0.53575799999999996</v>
      </c>
      <c r="IK8" t="s">
        <v>1788</v>
      </c>
      <c r="IL8">
        <v>2025</v>
      </c>
      <c r="IM8" t="s">
        <v>5532</v>
      </c>
      <c r="IN8" s="6">
        <v>46020</v>
      </c>
      <c r="IO8">
        <v>5</v>
      </c>
      <c r="IP8">
        <v>9803301</v>
      </c>
      <c r="IQ8">
        <v>119078</v>
      </c>
      <c r="IR8" t="s">
        <v>5533</v>
      </c>
      <c r="IU8" t="s">
        <v>3426</v>
      </c>
      <c r="IV8">
        <v>-2.4245362661989844E-14</v>
      </c>
      <c r="IX8">
        <v>-2.4245362661989844E-14</v>
      </c>
      <c r="IY8" t="s">
        <v>1753</v>
      </c>
      <c r="IZ8">
        <v>2024</v>
      </c>
      <c r="JA8" t="s">
        <v>3427</v>
      </c>
      <c r="JB8" s="6">
        <v>45814</v>
      </c>
      <c r="JC8">
        <v>5</v>
      </c>
      <c r="JD8">
        <v>-2.4245362661989844E-14</v>
      </c>
      <c r="JE8">
        <v>44938828</v>
      </c>
      <c r="JF8" t="s">
        <v>3428</v>
      </c>
      <c r="KO8" t="s">
        <v>1110</v>
      </c>
      <c r="KQ8">
        <v>-2.4245362661989844E-14</v>
      </c>
      <c r="KR8">
        <v>-2.4245362661989844E-14</v>
      </c>
      <c r="KS8" t="s">
        <v>1774</v>
      </c>
      <c r="KT8">
        <v>2023</v>
      </c>
      <c r="KU8" t="s">
        <v>2226</v>
      </c>
      <c r="KV8" s="6">
        <v>45174</v>
      </c>
      <c r="KW8">
        <v>4</v>
      </c>
      <c r="KX8">
        <v>-2.4245362661989844E-14</v>
      </c>
      <c r="KY8">
        <v>202476</v>
      </c>
      <c r="KZ8" t="s">
        <v>2227</v>
      </c>
      <c r="MW8" t="s">
        <v>4740</v>
      </c>
      <c r="MY8">
        <v>-2.4245362661989844E-14</v>
      </c>
      <c r="MZ8">
        <v>-2.4245362661989844E-14</v>
      </c>
      <c r="NA8" t="s">
        <v>1753</v>
      </c>
      <c r="NB8">
        <v>2022</v>
      </c>
      <c r="NC8" t="s">
        <v>5081</v>
      </c>
      <c r="ND8" s="6">
        <v>45000</v>
      </c>
      <c r="NE8">
        <v>5</v>
      </c>
      <c r="NF8">
        <v>-2.4245362661989844E-14</v>
      </c>
      <c r="NG8">
        <v>17202339</v>
      </c>
      <c r="NH8" t="s">
        <v>4742</v>
      </c>
      <c r="NK8" t="s">
        <v>2808</v>
      </c>
      <c r="NL8">
        <v>5.541194</v>
      </c>
      <c r="NM8" t="s">
        <v>1752</v>
      </c>
      <c r="NN8">
        <v>0.13655500000000001</v>
      </c>
      <c r="NO8" t="s">
        <v>1825</v>
      </c>
      <c r="NP8">
        <v>2025</v>
      </c>
      <c r="NQ8" t="s">
        <v>4432</v>
      </c>
      <c r="NR8" s="6">
        <v>46090</v>
      </c>
      <c r="NS8">
        <v>5</v>
      </c>
      <c r="NT8">
        <v>11922599</v>
      </c>
      <c r="NU8">
        <v>101729</v>
      </c>
      <c r="NV8" t="s">
        <v>2810</v>
      </c>
      <c r="UY8" t="s">
        <v>2304</v>
      </c>
      <c r="VA8">
        <v>-2.4245362661989844E-14</v>
      </c>
      <c r="VB8">
        <v>-2.4245362661989844E-14</v>
      </c>
      <c r="VC8" t="s">
        <v>1753</v>
      </c>
      <c r="VD8">
        <v>2021</v>
      </c>
      <c r="VE8" t="s">
        <v>2305</v>
      </c>
      <c r="VF8" s="6">
        <v>44693</v>
      </c>
      <c r="VG8">
        <v>5</v>
      </c>
      <c r="VH8">
        <v>-2.4245362661989844E-14</v>
      </c>
      <c r="VI8">
        <v>313098</v>
      </c>
      <c r="VJ8" t="s">
        <v>2306</v>
      </c>
      <c r="VM8" t="s">
        <v>484</v>
      </c>
      <c r="VN8">
        <v>-2.4245362661989844E-14</v>
      </c>
      <c r="VP8">
        <v>-2.4245362661989844E-14</v>
      </c>
      <c r="VQ8" t="s">
        <v>1753</v>
      </c>
      <c r="VR8">
        <v>2023</v>
      </c>
      <c r="VS8" t="s">
        <v>5570</v>
      </c>
      <c r="VT8" s="6">
        <v>45404</v>
      </c>
      <c r="VU8">
        <v>5</v>
      </c>
      <c r="VV8">
        <v>-2.4245362661989844E-14</v>
      </c>
      <c r="VW8">
        <v>101695</v>
      </c>
      <c r="VX8" t="s">
        <v>3011</v>
      </c>
    </row>
    <row r="9" spans="1:600" x14ac:dyDescent="0.25">
      <c r="AE9" t="s">
        <v>2125</v>
      </c>
      <c r="AF9" t="s">
        <v>1940</v>
      </c>
      <c r="AG9">
        <v>5.9742000000000003E-2</v>
      </c>
      <c r="AH9">
        <v>0.18884000000000001</v>
      </c>
      <c r="AI9" t="s">
        <v>1774</v>
      </c>
      <c r="AJ9">
        <v>2025</v>
      </c>
      <c r="AK9" t="s">
        <v>2126</v>
      </c>
      <c r="AL9" s="6">
        <v>45838</v>
      </c>
      <c r="AM9">
        <v>5</v>
      </c>
      <c r="AN9">
        <v>3508648</v>
      </c>
      <c r="AO9">
        <v>101689</v>
      </c>
      <c r="AP9" t="s">
        <v>2127</v>
      </c>
      <c r="AS9" t="s">
        <v>3768</v>
      </c>
      <c r="AT9">
        <v>5.1640000000000002E-3</v>
      </c>
      <c r="AU9" t="s">
        <v>1752</v>
      </c>
      <c r="AV9">
        <v>5.0558560000000003</v>
      </c>
      <c r="AW9" t="s">
        <v>1753</v>
      </c>
      <c r="AX9">
        <v>2024</v>
      </c>
      <c r="AY9" t="s">
        <v>3769</v>
      </c>
      <c r="AZ9" s="6">
        <v>45814</v>
      </c>
      <c r="BA9">
        <v>5</v>
      </c>
      <c r="BB9">
        <v>310853.61</v>
      </c>
      <c r="BC9">
        <v>36034450</v>
      </c>
      <c r="BD9" t="s">
        <v>3770</v>
      </c>
      <c r="BI9" t="s">
        <v>1741</v>
      </c>
      <c r="BJ9" t="s">
        <v>1828</v>
      </c>
      <c r="BK9">
        <v>24.9</v>
      </c>
      <c r="BL9">
        <v>7.4053610000000001</v>
      </c>
      <c r="BM9" t="s">
        <v>1788</v>
      </c>
      <c r="BN9">
        <v>2026</v>
      </c>
      <c r="BO9" t="s">
        <v>2365</v>
      </c>
      <c r="BP9" s="6">
        <v>45981</v>
      </c>
      <c r="BQ9">
        <v>5</v>
      </c>
      <c r="BR9">
        <v>361900000</v>
      </c>
      <c r="BS9">
        <v>100487</v>
      </c>
      <c r="BT9" t="s">
        <v>2231</v>
      </c>
      <c r="BW9" t="s">
        <v>3343</v>
      </c>
      <c r="BX9">
        <v>7.0479999999999996E-3</v>
      </c>
      <c r="BY9" t="s">
        <v>1752</v>
      </c>
      <c r="BZ9">
        <v>0.37631900000000001</v>
      </c>
      <c r="CA9" t="s">
        <v>1825</v>
      </c>
      <c r="CB9">
        <v>2024</v>
      </c>
      <c r="CC9" t="s">
        <v>3630</v>
      </c>
      <c r="CD9" s="6">
        <v>45742</v>
      </c>
      <c r="CE9">
        <v>5</v>
      </c>
      <c r="CF9">
        <v>2163480.08</v>
      </c>
      <c r="CG9">
        <v>153672</v>
      </c>
      <c r="CH9" t="s">
        <v>3345</v>
      </c>
      <c r="DQ9" t="s">
        <v>4334</v>
      </c>
      <c r="DR9" t="s">
        <v>1752</v>
      </c>
      <c r="DS9">
        <v>0.181587</v>
      </c>
      <c r="DT9">
        <v>4.4729999999999999E-2</v>
      </c>
      <c r="DU9" t="s">
        <v>1788</v>
      </c>
      <c r="DV9">
        <v>2025</v>
      </c>
      <c r="DW9" t="s">
        <v>4335</v>
      </c>
      <c r="DX9" s="6">
        <v>45993</v>
      </c>
      <c r="DY9">
        <v>5</v>
      </c>
      <c r="DZ9">
        <v>6513526</v>
      </c>
      <c r="EA9">
        <v>100415</v>
      </c>
      <c r="EB9" t="s">
        <v>4336</v>
      </c>
      <c r="EE9" t="s">
        <v>4437</v>
      </c>
      <c r="EF9">
        <v>-2.4245362661989844E-14</v>
      </c>
      <c r="EH9">
        <v>-2.4245362661989844E-14</v>
      </c>
      <c r="EI9" t="s">
        <v>1753</v>
      </c>
      <c r="EJ9">
        <v>2025</v>
      </c>
      <c r="EK9" t="s">
        <v>4438</v>
      </c>
      <c r="EL9" s="6">
        <v>45975</v>
      </c>
      <c r="EM9">
        <v>5</v>
      </c>
      <c r="EN9">
        <v>-2.4245362661989844E-14</v>
      </c>
      <c r="EO9">
        <v>100875</v>
      </c>
      <c r="EP9" t="s">
        <v>4439</v>
      </c>
      <c r="EU9" t="s">
        <v>5802</v>
      </c>
      <c r="EW9">
        <v>-2.4245362661989844E-14</v>
      </c>
      <c r="EX9">
        <v>-2.4245362661989844E-14</v>
      </c>
      <c r="EY9" t="s">
        <v>1753</v>
      </c>
      <c r="EZ9">
        <v>2022</v>
      </c>
      <c r="FA9" t="s">
        <v>5803</v>
      </c>
      <c r="FB9" s="6">
        <v>44693</v>
      </c>
      <c r="FC9">
        <v>5</v>
      </c>
      <c r="FD9">
        <v>-2.4245362661989844E-14</v>
      </c>
      <c r="FE9">
        <v>42802932</v>
      </c>
      <c r="FF9" t="s">
        <v>5804</v>
      </c>
      <c r="FY9" t="s">
        <v>3246</v>
      </c>
      <c r="FZ9" t="s">
        <v>1752</v>
      </c>
      <c r="GA9">
        <v>0.87970999999999999</v>
      </c>
      <c r="GB9">
        <v>7.2147000000000003E-2</v>
      </c>
      <c r="GC9" t="s">
        <v>1788</v>
      </c>
      <c r="GD9">
        <v>2025</v>
      </c>
      <c r="GE9" t="s">
        <v>3247</v>
      </c>
      <c r="GF9" s="6">
        <v>46001</v>
      </c>
      <c r="GG9">
        <v>5</v>
      </c>
      <c r="GH9">
        <v>230801</v>
      </c>
      <c r="GI9">
        <v>225528</v>
      </c>
      <c r="GJ9" t="s">
        <v>3248</v>
      </c>
      <c r="GM9" t="s">
        <v>2425</v>
      </c>
      <c r="GN9">
        <v>2.9755229999999999</v>
      </c>
      <c r="GO9" t="s">
        <v>1828</v>
      </c>
      <c r="GP9">
        <v>1.8793820000000001</v>
      </c>
      <c r="GQ9" t="s">
        <v>1825</v>
      </c>
      <c r="GR9">
        <v>2024</v>
      </c>
      <c r="GS9" t="s">
        <v>2845</v>
      </c>
      <c r="GT9" s="6">
        <v>45714</v>
      </c>
      <c r="GU9">
        <v>5</v>
      </c>
      <c r="GV9">
        <v>22402236</v>
      </c>
      <c r="GW9">
        <v>101460</v>
      </c>
      <c r="GX9" t="s">
        <v>2427</v>
      </c>
      <c r="IG9" t="s">
        <v>2078</v>
      </c>
      <c r="IH9" t="s">
        <v>1752</v>
      </c>
      <c r="II9">
        <v>9.1548000000000004E-2</v>
      </c>
      <c r="IJ9">
        <v>0.42805900000000002</v>
      </c>
      <c r="IK9" t="s">
        <v>1788</v>
      </c>
      <c r="IL9">
        <v>2025</v>
      </c>
      <c r="IM9" t="s">
        <v>2079</v>
      </c>
      <c r="IN9" s="6">
        <v>45883</v>
      </c>
      <c r="IO9">
        <v>5</v>
      </c>
      <c r="IP9">
        <v>8456771.8599999994</v>
      </c>
      <c r="IQ9">
        <v>815253</v>
      </c>
      <c r="IR9" t="s">
        <v>2080</v>
      </c>
      <c r="IU9" t="s">
        <v>3429</v>
      </c>
      <c r="IV9">
        <v>-2.4245362661989844E-14</v>
      </c>
      <c r="IX9">
        <v>-2.4245362661989844E-14</v>
      </c>
      <c r="IY9" t="s">
        <v>1753</v>
      </c>
      <c r="IZ9">
        <v>2023</v>
      </c>
      <c r="JA9" t="s">
        <v>3430</v>
      </c>
      <c r="JB9" s="6">
        <v>45068</v>
      </c>
      <c r="JC9">
        <v>5</v>
      </c>
      <c r="JD9">
        <v>-2.4245362661989844E-14</v>
      </c>
      <c r="JE9">
        <v>902509</v>
      </c>
      <c r="JF9" t="s">
        <v>3431</v>
      </c>
      <c r="MW9" t="s">
        <v>5082</v>
      </c>
      <c r="MY9">
        <v>-2.4245362661989844E-14</v>
      </c>
      <c r="MZ9">
        <v>-2.4245362661989844E-14</v>
      </c>
      <c r="NA9" t="s">
        <v>1753</v>
      </c>
      <c r="NB9">
        <v>2021</v>
      </c>
      <c r="NC9" t="s">
        <v>5083</v>
      </c>
      <c r="ND9" s="6">
        <v>44693</v>
      </c>
      <c r="NE9">
        <v>5</v>
      </c>
      <c r="NF9">
        <v>-2.4245362661989844E-14</v>
      </c>
      <c r="NG9">
        <v>171311</v>
      </c>
      <c r="NH9" t="s">
        <v>5084</v>
      </c>
      <c r="NK9" t="s">
        <v>2280</v>
      </c>
      <c r="NL9">
        <v>4.6426449999999999</v>
      </c>
      <c r="NM9" t="s">
        <v>1752</v>
      </c>
      <c r="NN9">
        <v>0.166571</v>
      </c>
      <c r="NO9" t="s">
        <v>1825</v>
      </c>
      <c r="NP9">
        <v>2025</v>
      </c>
      <c r="NQ9" t="s">
        <v>4432</v>
      </c>
      <c r="NR9" s="6">
        <v>46090</v>
      </c>
      <c r="NS9">
        <v>5</v>
      </c>
      <c r="NT9">
        <v>9989254</v>
      </c>
      <c r="NU9">
        <v>100995</v>
      </c>
      <c r="NV9" t="s">
        <v>2282</v>
      </c>
      <c r="UY9" t="s">
        <v>2307</v>
      </c>
      <c r="VA9">
        <v>-2.4245362661989844E-14</v>
      </c>
      <c r="VB9">
        <v>-2.4245362661989844E-14</v>
      </c>
      <c r="VC9" t="s">
        <v>1753</v>
      </c>
      <c r="VD9">
        <v>2021</v>
      </c>
      <c r="VE9" t="s">
        <v>2308</v>
      </c>
      <c r="VF9" s="6">
        <v>44693</v>
      </c>
      <c r="VG9">
        <v>5</v>
      </c>
      <c r="VH9">
        <v>-2.4245362661989844E-14</v>
      </c>
      <c r="VI9">
        <v>100060</v>
      </c>
      <c r="VJ9" t="s">
        <v>2309</v>
      </c>
      <c r="VM9" t="s">
        <v>2346</v>
      </c>
      <c r="VN9">
        <v>-2.4245362661989844E-14</v>
      </c>
      <c r="VP9">
        <v>-2.4245362661989844E-14</v>
      </c>
      <c r="VQ9" t="s">
        <v>1753</v>
      </c>
      <c r="VR9">
        <v>2024</v>
      </c>
      <c r="VS9" t="s">
        <v>5566</v>
      </c>
      <c r="VT9" s="6">
        <v>45348</v>
      </c>
      <c r="VU9">
        <v>5</v>
      </c>
      <c r="VV9">
        <v>-2.4245362661989844E-14</v>
      </c>
      <c r="VW9">
        <v>46386935</v>
      </c>
      <c r="VX9" t="s">
        <v>2348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679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680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681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682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683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684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685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686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687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688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689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690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691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692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693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694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695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696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697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698</v>
      </c>
      <c r="AE2" s="3" t="s">
        <v>699</v>
      </c>
      <c r="BI2" s="3" t="s">
        <v>700</v>
      </c>
      <c r="CM2" s="3" t="s">
        <v>701</v>
      </c>
      <c r="DQ2" s="3" t="s">
        <v>702</v>
      </c>
      <c r="EU2" s="3" t="s">
        <v>155</v>
      </c>
      <c r="FY2" s="3" t="s">
        <v>703</v>
      </c>
      <c r="HC2" s="3" t="s">
        <v>200</v>
      </c>
      <c r="IG2" s="3" t="s">
        <v>37</v>
      </c>
      <c r="JK2" s="3" t="s">
        <v>704</v>
      </c>
      <c r="KO2" s="3" t="s">
        <v>705</v>
      </c>
      <c r="LS2" s="3" t="s">
        <v>423</v>
      </c>
      <c r="MW2" s="3" t="s">
        <v>706</v>
      </c>
      <c r="OA2" s="3" t="s">
        <v>707</v>
      </c>
      <c r="PE2" s="3" t="s">
        <v>708</v>
      </c>
      <c r="QI2" s="3" t="s">
        <v>709</v>
      </c>
      <c r="RM2" s="3" t="s">
        <v>710</v>
      </c>
      <c r="SQ2" s="3" t="s">
        <v>711</v>
      </c>
      <c r="TU2" s="3" t="s">
        <v>225</v>
      </c>
      <c r="UY2" s="3" t="s">
        <v>712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_xll.BDS("ICII US Equity","SUPPLY_CHAIN_SUPPLIERS_ALL_DATA")</f>
        <v>#N/A N/A</v>
      </c>
      <c r="O5" t="str">
        <f>_xll.BDS("ICII US Equity","SUPPLY_CHAIN_CUSTOMERS_ALL_DATA")</f>
        <v>#N/A N/A</v>
      </c>
      <c r="AE5" t="str">
        <f>_xll.BDS("GDT US Equity","SUPPLY_CHAIN_SUPPLIERS_ALL_DATA")</f>
        <v>#N/A N/A</v>
      </c>
      <c r="AS5" t="str">
        <f>_xll.BDS("GDT US Equity","SUPPLY_CHAIN_CUSTOMERS_ALL_DATA")</f>
        <v>#N/A N/A</v>
      </c>
      <c r="BI5" t="str">
        <f>_xll.BDS("SNPS US Equity","SUPPLY_CHAIN_SUPPLIERS_ALL_DATA","cols=12;rows=5")</f>
        <v>000660 KS Equity</v>
      </c>
      <c r="BJ5" t="s">
        <v>1752</v>
      </c>
      <c r="BK5">
        <v>6.9986999999999994E-2</v>
      </c>
      <c r="BL5">
        <v>3.195624</v>
      </c>
      <c r="BM5" t="s">
        <v>1825</v>
      </c>
      <c r="BN5">
        <v>2024</v>
      </c>
      <c r="BO5" t="s">
        <v>2487</v>
      </c>
      <c r="BP5" s="6">
        <v>45805</v>
      </c>
      <c r="BQ5">
        <v>5</v>
      </c>
      <c r="BR5">
        <v>8835872.8200000003</v>
      </c>
      <c r="BS5">
        <v>193974</v>
      </c>
      <c r="BT5" t="s">
        <v>2270</v>
      </c>
      <c r="BW5" t="str">
        <f>_xll.BDS("SNPS US Equity","SUPPLY_CHAIN_CUSTOMERS_ALL_DATA","cols=12;rows=5")</f>
        <v>2454 TT Equity</v>
      </c>
      <c r="BX5">
        <v>3.6540590000000002</v>
      </c>
      <c r="BY5" t="s">
        <v>1752</v>
      </c>
      <c r="BZ5">
        <v>2.4199099999999998</v>
      </c>
      <c r="CA5" t="s">
        <v>1781</v>
      </c>
      <c r="CB5">
        <v>2025</v>
      </c>
      <c r="CC5" t="s">
        <v>2457</v>
      </c>
      <c r="CD5" s="6">
        <v>45866</v>
      </c>
      <c r="CE5">
        <v>5</v>
      </c>
      <c r="CF5">
        <v>58486037.799999997</v>
      </c>
      <c r="CG5">
        <v>7359591</v>
      </c>
      <c r="CH5" t="s">
        <v>2458</v>
      </c>
      <c r="CM5" t="str">
        <f>_xll.BDS("STLD US Equity","SUPPLY_CHAIN_SUPPLIERS_ALL_DATA","cols=12;rows=5")</f>
        <v>ERA FP Equity</v>
      </c>
      <c r="CN5" t="s">
        <v>1752</v>
      </c>
      <c r="CO5">
        <v>2.0635810000000001</v>
      </c>
      <c r="CP5">
        <v>0.41614800000000002</v>
      </c>
      <c r="CQ5" t="s">
        <v>1774</v>
      </c>
      <c r="CR5">
        <v>2025</v>
      </c>
      <c r="CS5" t="s">
        <v>2889</v>
      </c>
      <c r="CT5" s="6">
        <v>45869</v>
      </c>
      <c r="CU5">
        <v>5</v>
      </c>
      <c r="CV5">
        <v>16417367.99</v>
      </c>
      <c r="CW5">
        <v>153771</v>
      </c>
      <c r="CX5" t="s">
        <v>2890</v>
      </c>
      <c r="DA5" t="str">
        <f>_xll.BDS("STLD US Equity","SUPPLY_CHAIN_CUSTOMERS_ALL_DATA","cols=12;rows=5")</f>
        <v>VOW GR Equity</v>
      </c>
      <c r="DB5">
        <v>2.7378469999999999</v>
      </c>
      <c r="DC5" t="s">
        <v>1752</v>
      </c>
      <c r="DD5">
        <v>0.163989</v>
      </c>
      <c r="DE5" t="s">
        <v>1774</v>
      </c>
      <c r="DF5">
        <v>2025</v>
      </c>
      <c r="DG5" t="s">
        <v>5225</v>
      </c>
      <c r="DH5" s="6">
        <v>45937</v>
      </c>
      <c r="DI5">
        <v>5</v>
      </c>
      <c r="DJ5">
        <v>124986080</v>
      </c>
      <c r="DK5">
        <v>115757</v>
      </c>
      <c r="DL5" t="s">
        <v>5226</v>
      </c>
      <c r="DQ5" t="str">
        <f>_xll.BDS("1996074D US Equity","SUPPLY_CHAIN_SUPPLIERS_ALL_DATA")</f>
        <v>#N/A N/A</v>
      </c>
      <c r="EE5" t="str">
        <f>_xll.BDS("1996074D US Equity","SUPPLY_CHAIN_CUSTOMERS_ALL_DATA")</f>
        <v>#N/A N/A</v>
      </c>
      <c r="EU5" t="str">
        <f>_xll.BDS("COV US Equity","SUPPLY_CHAIN_SUPPLIERS_ALL_DATA")</f>
        <v>#N/A N/A</v>
      </c>
      <c r="FI5" t="str">
        <f>_xll.BDS("COV US Equity","SUPPLY_CHAIN_CUSTOMERS_ALL_DATA")</f>
        <v>#N/A N/A</v>
      </c>
      <c r="FY5" t="str">
        <f>_xll.BDS("3075558Q US Equity","SUPPLY_CHAIN_SUPPLIERS_ALL_DATA")</f>
        <v>#N/A N/A</v>
      </c>
      <c r="GM5" t="str">
        <f>_xll.BDS("3075558Q US Equity","SUPPLY_CHAIN_CUSTOMERS_ALL_DATA")</f>
        <v>#N/A N/A</v>
      </c>
      <c r="HC5" t="str">
        <f>_xll.BDS("1920486D US Equity","SUPPLY_CHAIN_SUPPLIERS_ALL_DATA")</f>
        <v>#N/A N/A</v>
      </c>
      <c r="HQ5" t="str">
        <f>_xll.BDS("1920486D US Equity","SUPPLY_CHAIN_CUSTOMERS_ALL_DATA")</f>
        <v>#N/A N/A</v>
      </c>
      <c r="IG5" t="str">
        <f>_xll.BDS("nan Equity","SUPPLY_CHAIN_SUPPLIERS_ALL_DATA")</f>
        <v>#N/A N/A</v>
      </c>
      <c r="IU5" t="str">
        <f>_xll.BDS("nan Equity","SUPPLY_CHAIN_CUSTOMERS_ALL_DATA")</f>
        <v>#N/A N/A</v>
      </c>
      <c r="JK5" t="str">
        <f>_xll.BDS("GNK US Equity","SUPPLY_CHAIN_SUPPLIERS_ALL_DATA","cols=12;rows=1")</f>
        <v>AEGCZ HK Equity</v>
      </c>
      <c r="JM5">
        <v>-2.4245362661989844E-14</v>
      </c>
      <c r="JN5">
        <v>-2.4245362661989844E-14</v>
      </c>
      <c r="JO5" t="s">
        <v>1753</v>
      </c>
      <c r="JP5">
        <v>2022</v>
      </c>
      <c r="JQ5" t="s">
        <v>5441</v>
      </c>
      <c r="JR5" s="6">
        <v>44979</v>
      </c>
      <c r="JS5">
        <v>1</v>
      </c>
      <c r="JT5">
        <v>-2.4245362661989844E-14</v>
      </c>
      <c r="JU5">
        <v>9488367</v>
      </c>
      <c r="JV5" t="s">
        <v>5442</v>
      </c>
      <c r="JY5" t="str">
        <f>_xll.BDS("GNK US Equity","SUPPLY_CHAIN_CUSTOMERS_ALL_DATA","cols=12;rows=5")</f>
        <v>6434539Z GR Equity</v>
      </c>
      <c r="JZ5">
        <v>11</v>
      </c>
      <c r="KB5">
        <v>-2.4245362661989844E-14</v>
      </c>
      <c r="KC5" t="s">
        <v>1753</v>
      </c>
      <c r="KD5">
        <v>2025</v>
      </c>
      <c r="KE5" t="s">
        <v>4166</v>
      </c>
      <c r="KF5" s="6">
        <v>46071</v>
      </c>
      <c r="KG5">
        <v>5</v>
      </c>
      <c r="KH5">
        <v>9406485</v>
      </c>
      <c r="KI5">
        <v>22675103</v>
      </c>
      <c r="KJ5" t="s">
        <v>4167</v>
      </c>
      <c r="KO5" t="str">
        <f>_xll.BDS("HAFC US Equity","SUPPLY_CHAIN_SUPPLIERS_ALL_DATA","cols=12;rows=2")</f>
        <v>003490 KS Equity</v>
      </c>
      <c r="KQ5">
        <v>-2.4245362661989844E-14</v>
      </c>
      <c r="KR5">
        <v>-2.4245362661989844E-14</v>
      </c>
      <c r="KS5" t="s">
        <v>1768</v>
      </c>
      <c r="KT5">
        <v>2024</v>
      </c>
      <c r="KU5" t="s">
        <v>3974</v>
      </c>
      <c r="KV5" s="6">
        <v>45610</v>
      </c>
      <c r="KW5">
        <v>2</v>
      </c>
      <c r="KX5">
        <v>-2.4245362661989844E-14</v>
      </c>
      <c r="KY5">
        <v>129220</v>
      </c>
      <c r="KZ5" t="s">
        <v>3371</v>
      </c>
      <c r="LC5" t="str">
        <f>_xll.BDS("HAFC US Equity","SUPPLY_CHAIN_CUSTOMERS_ALL_DATA")</f>
        <v>#N/A N/A</v>
      </c>
      <c r="LS5" t="str">
        <f>_xll.BDS("AMAT US Equity","SUPPLY_CHAIN_SUPPLIERS_ALL_DATA","cols=12;rows=5")</f>
        <v>UCTT US Equity</v>
      </c>
      <c r="LT5" t="s">
        <v>1752</v>
      </c>
      <c r="LU5">
        <v>21.700001</v>
      </c>
      <c r="LV5">
        <v>3.0809289999999998</v>
      </c>
      <c r="LW5" t="s">
        <v>1753</v>
      </c>
      <c r="LX5">
        <v>2025</v>
      </c>
      <c r="LY5" t="s">
        <v>5539</v>
      </c>
      <c r="LZ5" s="6">
        <v>46076</v>
      </c>
      <c r="MA5">
        <v>5</v>
      </c>
      <c r="MB5">
        <v>111429504</v>
      </c>
      <c r="MC5">
        <v>8597928</v>
      </c>
      <c r="MD5" t="s">
        <v>5200</v>
      </c>
      <c r="MG5" t="str">
        <f>_xll.BDS("AMAT US Equity","SUPPLY_CHAIN_CUSTOMERS_ALL_DATA","cols=12;rows=5")</f>
        <v>2330 TT Equity</v>
      </c>
      <c r="MH5">
        <v>18</v>
      </c>
      <c r="MI5" t="s">
        <v>1828</v>
      </c>
      <c r="MJ5">
        <v>15.083428</v>
      </c>
      <c r="MK5" t="s">
        <v>1761</v>
      </c>
      <c r="ML5">
        <v>2025</v>
      </c>
      <c r="MM5" t="s">
        <v>5365</v>
      </c>
      <c r="MN5" s="6">
        <v>45799</v>
      </c>
      <c r="MO5">
        <v>5</v>
      </c>
      <c r="MP5">
        <v>1283939968</v>
      </c>
      <c r="MQ5">
        <v>153737</v>
      </c>
      <c r="MR5" t="s">
        <v>1943</v>
      </c>
      <c r="MW5" t="str">
        <f>_xll.BDS("PPC US Equity","SUPPLY_CHAIN_SUPPLIERS_ALL_DATA","cols=12;rows=5")</f>
        <v>JBS US Equity</v>
      </c>
      <c r="MX5" t="s">
        <v>1752</v>
      </c>
      <c r="MY5">
        <v>0.34573300000000001</v>
      </c>
      <c r="MZ5">
        <v>1.780027</v>
      </c>
      <c r="NA5" t="s">
        <v>1753</v>
      </c>
      <c r="NB5">
        <v>2025</v>
      </c>
      <c r="NC5" t="s">
        <v>5718</v>
      </c>
      <c r="ND5" s="6">
        <v>46065</v>
      </c>
      <c r="NE5">
        <v>5</v>
      </c>
      <c r="NF5">
        <v>71821464</v>
      </c>
      <c r="NG5">
        <v>72382298</v>
      </c>
      <c r="NH5" t="s">
        <v>5719</v>
      </c>
      <c r="NK5" t="str">
        <f>_xll.BDS("PPC US Equity","SUPPLY_CHAIN_CUSTOMERS_ALL_DATA","cols=12;rows=5")</f>
        <v>COST US Equity</v>
      </c>
      <c r="NL5">
        <v>5.8073949999999996</v>
      </c>
      <c r="NM5" t="s">
        <v>1752</v>
      </c>
      <c r="NN5">
        <v>0.33593200000000001</v>
      </c>
      <c r="NO5" t="s">
        <v>1788</v>
      </c>
      <c r="NP5">
        <v>2025</v>
      </c>
      <c r="NQ5" t="s">
        <v>3432</v>
      </c>
      <c r="NR5" s="6">
        <v>45999</v>
      </c>
      <c r="NS5">
        <v>5</v>
      </c>
      <c r="NT5">
        <v>252073136</v>
      </c>
      <c r="NU5">
        <v>101758</v>
      </c>
      <c r="NV5" t="s">
        <v>2796</v>
      </c>
      <c r="OA5" t="str">
        <f>_xll.BDS("PEBO US Equity","SUPPLY_CHAIN_SUPPLIERS_ALL_DATA")</f>
        <v>#N/A N/A</v>
      </c>
      <c r="OO5" t="str">
        <f>_xll.BDS("PEBO US Equity","SUPPLY_CHAIN_CUSTOMERS_ALL_DATA")</f>
        <v>#N/A N/A</v>
      </c>
      <c r="PE5" t="str">
        <f>_xll.BDS("HON US Equity","SUPPLY_CHAIN_SUPPLIERS_ALL_DATA","cols=12;rows=5")</f>
        <v>CLS CN Equity</v>
      </c>
      <c r="PF5" t="s">
        <v>1752</v>
      </c>
      <c r="PG5">
        <v>4.9330850000000002</v>
      </c>
      <c r="PH5">
        <v>2.2964980000000002</v>
      </c>
      <c r="PI5" t="s">
        <v>1788</v>
      </c>
      <c r="PJ5">
        <v>2025</v>
      </c>
      <c r="PK5" t="s">
        <v>5463</v>
      </c>
      <c r="PL5" s="6">
        <v>46013</v>
      </c>
      <c r="PM5">
        <v>5</v>
      </c>
      <c r="PN5">
        <v>157562736</v>
      </c>
      <c r="PO5">
        <v>349266</v>
      </c>
      <c r="PP5" t="s">
        <v>5464</v>
      </c>
      <c r="PS5" t="str">
        <f>_xll.BDS("HON US Equity","SUPPLY_CHAIN_CUSTOMERS_ALL_DATA","cols=12;rows=5")</f>
        <v>3352Z US Equity</v>
      </c>
      <c r="PT5">
        <v>12.69163</v>
      </c>
      <c r="PV5">
        <v>-2.4245362661989844E-14</v>
      </c>
      <c r="PW5" t="s">
        <v>1753</v>
      </c>
      <c r="PX5">
        <v>2025</v>
      </c>
      <c r="PY5" t="s">
        <v>5443</v>
      </c>
      <c r="PZ5" s="6">
        <v>46070</v>
      </c>
      <c r="QA5">
        <v>5</v>
      </c>
      <c r="QB5">
        <v>1188000000</v>
      </c>
      <c r="QC5">
        <v>218252</v>
      </c>
      <c r="QD5" t="s">
        <v>1793</v>
      </c>
      <c r="QI5" t="str">
        <f>_xll.BDS("PRSU US Equity","SUPPLY_CHAIN_SUPPLIERS_ALL_DATA","cols=12;rows=3")</f>
        <v>1972 HK Equity</v>
      </c>
      <c r="QK5">
        <v>-2.4245362661989844E-14</v>
      </c>
      <c r="QL5">
        <v>-2.4245362661989844E-14</v>
      </c>
      <c r="QM5" t="s">
        <v>1753</v>
      </c>
      <c r="QN5">
        <v>2021</v>
      </c>
      <c r="QO5" t="s">
        <v>5248</v>
      </c>
      <c r="QP5" s="6">
        <v>44652</v>
      </c>
      <c r="QQ5">
        <v>3</v>
      </c>
      <c r="QR5">
        <v>-2.4245362661989844E-14</v>
      </c>
      <c r="QS5">
        <v>953675</v>
      </c>
      <c r="QT5" t="s">
        <v>2589</v>
      </c>
      <c r="QW5" t="str">
        <f>_xll.BDS("PRSU US Equity","SUPPLY_CHAIN_CUSTOMERS_ALL_DATA","cols=12;rows=1")</f>
        <v>TMB VN Equity</v>
      </c>
      <c r="QX5">
        <v>-2.4245362661989844E-14</v>
      </c>
      <c r="QZ5">
        <v>-2.4245362661989844E-14</v>
      </c>
      <c r="RA5" t="s">
        <v>1753</v>
      </c>
      <c r="RB5">
        <v>2024</v>
      </c>
      <c r="RC5" t="s">
        <v>5223</v>
      </c>
      <c r="RD5" s="6">
        <v>45751</v>
      </c>
      <c r="RE5">
        <v>1</v>
      </c>
      <c r="RF5">
        <v>-2.4245362661989844E-14</v>
      </c>
      <c r="RG5">
        <v>21103239</v>
      </c>
      <c r="RH5" t="s">
        <v>5224</v>
      </c>
      <c r="RM5" t="str">
        <f>_xll.BDS("FITB US Equity","SUPPLY_CHAIN_SUPPLIERS_ALL_DATA","cols=12;rows=5")</f>
        <v>004800 KS Equity</v>
      </c>
      <c r="RO5">
        <v>-2.4245362661989844E-14</v>
      </c>
      <c r="RP5">
        <v>-2.4245362661989844E-14</v>
      </c>
      <c r="RQ5" t="s">
        <v>1761</v>
      </c>
      <c r="RR5">
        <v>2025</v>
      </c>
      <c r="RS5" t="s">
        <v>2829</v>
      </c>
      <c r="RT5" s="6">
        <v>45883</v>
      </c>
      <c r="RU5">
        <v>5</v>
      </c>
      <c r="RV5">
        <v>-2.4245362661989844E-14</v>
      </c>
      <c r="RW5">
        <v>118099</v>
      </c>
      <c r="RX5" t="s">
        <v>2137</v>
      </c>
      <c r="SA5" t="str">
        <f>_xll.BDS("FITB US Equity","SUPPLY_CHAIN_CUSTOMERS_ALL_DATA","cols=12;rows=1")</f>
        <v>USIO US Equity</v>
      </c>
      <c r="SB5">
        <v>-2.4245362661989844E-14</v>
      </c>
      <c r="SD5">
        <v>-2.4245362661989844E-14</v>
      </c>
      <c r="SE5" t="s">
        <v>1753</v>
      </c>
      <c r="SF5">
        <v>2024</v>
      </c>
      <c r="SG5" t="s">
        <v>1895</v>
      </c>
      <c r="SH5" s="6">
        <v>45742</v>
      </c>
      <c r="SI5">
        <v>1</v>
      </c>
      <c r="SJ5">
        <v>-2.4245362661989844E-14</v>
      </c>
      <c r="SK5">
        <v>381245</v>
      </c>
      <c r="SL5" t="s">
        <v>1896</v>
      </c>
      <c r="SQ5" t="str">
        <f>_xll.BDS("XRX US Equity","SUPPLY_CHAIN_SUPPLIERS_ALL_DATA","cols=12;rows=5")</f>
        <v>4901 JP Equity</v>
      </c>
      <c r="SR5" t="s">
        <v>1752</v>
      </c>
      <c r="SS5">
        <v>4.2803089999999999</v>
      </c>
      <c r="ST5">
        <v>20.793240000000001</v>
      </c>
      <c r="SU5" t="s">
        <v>1753</v>
      </c>
      <c r="SV5">
        <v>2024</v>
      </c>
      <c r="SW5" t="s">
        <v>5127</v>
      </c>
      <c r="SX5" s="6">
        <v>45712</v>
      </c>
      <c r="SY5">
        <v>5</v>
      </c>
      <c r="SZ5">
        <v>221499984</v>
      </c>
      <c r="TA5">
        <v>113590</v>
      </c>
      <c r="TB5" t="s">
        <v>5128</v>
      </c>
      <c r="TE5" t="str">
        <f>_xll.BDS("XRX US Equity","SUPPLY_CHAIN_CUSTOMERS_ALL_DATA","cols=12;rows=5")</f>
        <v>SNX US Equity</v>
      </c>
      <c r="TF5">
        <v>1.5706199999999999</v>
      </c>
      <c r="TG5" t="s">
        <v>1752</v>
      </c>
      <c r="TH5">
        <v>0.19680800000000001</v>
      </c>
      <c r="TI5" t="s">
        <v>1825</v>
      </c>
      <c r="TJ5">
        <v>2025</v>
      </c>
      <c r="TK5" t="s">
        <v>1826</v>
      </c>
      <c r="TL5" s="6">
        <v>46056</v>
      </c>
      <c r="TM5">
        <v>5</v>
      </c>
      <c r="TN5">
        <v>31852174</v>
      </c>
      <c r="TO5">
        <v>1499717</v>
      </c>
      <c r="TP5" t="s">
        <v>1827</v>
      </c>
      <c r="TU5" t="str">
        <f>_xll.BDS("2596516D US Equity","SUPPLY_CHAIN_SUPPLIERS_ALL_DATA")</f>
        <v>#N/A N/A</v>
      </c>
      <c r="UI5" t="str">
        <f>_xll.BDS("2596516D US Equity","SUPPLY_CHAIN_CUSTOMERS_ALL_DATA")</f>
        <v>#N/A N/A</v>
      </c>
      <c r="UY5" t="str">
        <f>_xll.BDS("BMC US Equity","SUPPLY_CHAIN_SUPPLIERS_ALL_DATA","cols=12;rows=1")</f>
        <v>AMZN US Equity</v>
      </c>
      <c r="VA5">
        <v>-2.4245362661989844E-14</v>
      </c>
      <c r="VB5">
        <v>-2.4245362661989844E-14</v>
      </c>
      <c r="VC5" t="s">
        <v>1753</v>
      </c>
      <c r="VD5">
        <v>2025</v>
      </c>
      <c r="VE5" t="s">
        <v>2155</v>
      </c>
      <c r="VF5" s="6">
        <v>45959</v>
      </c>
      <c r="VG5">
        <v>1</v>
      </c>
      <c r="VH5">
        <v>-2.4245362661989844E-14</v>
      </c>
      <c r="VI5">
        <v>216952</v>
      </c>
      <c r="VJ5" t="s">
        <v>1899</v>
      </c>
      <c r="VM5" t="str">
        <f>_xll.BDS("BMC US Equity","SUPPLY_CHAIN_CUSTOMERS_ALL_DATA")</f>
        <v>#N/A N/A</v>
      </c>
    </row>
    <row r="6" spans="1:600" x14ac:dyDescent="0.25">
      <c r="BI6" t="s">
        <v>2488</v>
      </c>
      <c r="BJ6" t="s">
        <v>1940</v>
      </c>
      <c r="BK6">
        <v>1.3923300000000001</v>
      </c>
      <c r="BL6">
        <v>0.75693999999999995</v>
      </c>
      <c r="BM6" t="s">
        <v>1753</v>
      </c>
      <c r="BN6">
        <v>2025</v>
      </c>
      <c r="BO6" t="s">
        <v>2489</v>
      </c>
      <c r="BP6" s="6">
        <v>46064</v>
      </c>
      <c r="BQ6">
        <v>5</v>
      </c>
      <c r="BR6">
        <v>3873000</v>
      </c>
      <c r="BS6">
        <v>202222</v>
      </c>
      <c r="BT6" t="s">
        <v>2490</v>
      </c>
      <c r="BW6" t="s">
        <v>1969</v>
      </c>
      <c r="BX6">
        <v>0.13498599999999999</v>
      </c>
      <c r="BY6" t="s">
        <v>1752</v>
      </c>
      <c r="BZ6">
        <v>1.9434E-2</v>
      </c>
      <c r="CA6" t="s">
        <v>1774</v>
      </c>
      <c r="CB6">
        <v>2025</v>
      </c>
      <c r="CC6" t="s">
        <v>1970</v>
      </c>
      <c r="CD6" s="6">
        <v>45876</v>
      </c>
      <c r="CE6">
        <v>5</v>
      </c>
      <c r="CF6">
        <v>2165531</v>
      </c>
      <c r="CG6">
        <v>100285</v>
      </c>
      <c r="CH6" t="s">
        <v>1971</v>
      </c>
      <c r="CM6" t="s">
        <v>5180</v>
      </c>
      <c r="CN6" t="s">
        <v>1752</v>
      </c>
      <c r="CO6">
        <v>0.102524</v>
      </c>
      <c r="CP6">
        <v>0.202073</v>
      </c>
      <c r="CQ6" t="s">
        <v>1774</v>
      </c>
      <c r="CR6">
        <v>2025</v>
      </c>
      <c r="CS6" t="s">
        <v>5181</v>
      </c>
      <c r="CT6" s="6">
        <v>45910</v>
      </c>
      <c r="CU6">
        <v>5</v>
      </c>
      <c r="CV6">
        <v>7971942.7199999997</v>
      </c>
      <c r="CW6">
        <v>115230</v>
      </c>
      <c r="CX6" t="s">
        <v>5182</v>
      </c>
      <c r="DA6" t="s">
        <v>1641</v>
      </c>
      <c r="DB6">
        <v>1.694944</v>
      </c>
      <c r="DC6" t="s">
        <v>1752</v>
      </c>
      <c r="DD6">
        <v>0.182614</v>
      </c>
      <c r="DE6" t="s">
        <v>1774</v>
      </c>
      <c r="DF6">
        <v>2025</v>
      </c>
      <c r="DG6" t="s">
        <v>5225</v>
      </c>
      <c r="DH6" s="6">
        <v>45937</v>
      </c>
      <c r="DI6">
        <v>5</v>
      </c>
      <c r="DJ6">
        <v>77376280</v>
      </c>
      <c r="DK6">
        <v>100602</v>
      </c>
      <c r="DL6" t="s">
        <v>4322</v>
      </c>
      <c r="JY6" t="s">
        <v>4168</v>
      </c>
      <c r="JZ6">
        <v>11</v>
      </c>
      <c r="KA6" t="s">
        <v>1752</v>
      </c>
      <c r="KB6">
        <v>2.0746000000000001E-2</v>
      </c>
      <c r="KC6" t="s">
        <v>1753</v>
      </c>
      <c r="KD6">
        <v>2024</v>
      </c>
      <c r="KE6" t="s">
        <v>4169</v>
      </c>
      <c r="KF6" s="6">
        <v>45709</v>
      </c>
      <c r="KG6">
        <v>5</v>
      </c>
      <c r="KH6">
        <v>11632940</v>
      </c>
      <c r="KI6">
        <v>199455</v>
      </c>
      <c r="KJ6" t="s">
        <v>4170</v>
      </c>
      <c r="KO6" t="s">
        <v>2366</v>
      </c>
      <c r="KQ6">
        <v>-2.4245362661989844E-14</v>
      </c>
      <c r="KR6">
        <v>-2.4245362661989844E-14</v>
      </c>
      <c r="KS6" t="s">
        <v>1753</v>
      </c>
      <c r="KT6">
        <v>2026</v>
      </c>
      <c r="KU6" t="s">
        <v>3975</v>
      </c>
      <c r="KV6" s="6">
        <v>46078</v>
      </c>
      <c r="KW6">
        <v>2</v>
      </c>
      <c r="KX6">
        <v>-2.4245362661989844E-14</v>
      </c>
      <c r="KY6">
        <v>100302</v>
      </c>
      <c r="KZ6" t="s">
        <v>2367</v>
      </c>
      <c r="LS6" t="s">
        <v>5462</v>
      </c>
      <c r="LT6" t="s">
        <v>1752</v>
      </c>
      <c r="LU6">
        <v>3.0541680000000002</v>
      </c>
      <c r="LV6">
        <v>2.7595510000000001</v>
      </c>
      <c r="LW6" t="s">
        <v>1788</v>
      </c>
      <c r="LX6">
        <v>2025</v>
      </c>
      <c r="LY6" t="s">
        <v>5463</v>
      </c>
      <c r="LZ6" s="6">
        <v>46013</v>
      </c>
      <c r="MA6">
        <v>5</v>
      </c>
      <c r="MB6">
        <v>97550128</v>
      </c>
      <c r="MC6">
        <v>349266</v>
      </c>
      <c r="MD6" t="s">
        <v>5464</v>
      </c>
      <c r="MG6" t="s">
        <v>1871</v>
      </c>
      <c r="MH6">
        <v>17</v>
      </c>
      <c r="MI6" t="s">
        <v>1828</v>
      </c>
      <c r="MJ6">
        <v>13.483905</v>
      </c>
      <c r="MK6" t="s">
        <v>1761</v>
      </c>
      <c r="ML6">
        <v>2025</v>
      </c>
      <c r="MM6" t="s">
        <v>5365</v>
      </c>
      <c r="MN6" s="6">
        <v>45799</v>
      </c>
      <c r="MO6">
        <v>5</v>
      </c>
      <c r="MP6">
        <v>1212610048</v>
      </c>
      <c r="MQ6">
        <v>117929</v>
      </c>
      <c r="MR6" t="s">
        <v>1873</v>
      </c>
      <c r="MW6" t="s">
        <v>5720</v>
      </c>
      <c r="MY6">
        <v>-2.4245362661989844E-14</v>
      </c>
      <c r="MZ6">
        <v>-2.4245362661989844E-14</v>
      </c>
      <c r="NA6" t="s">
        <v>1781</v>
      </c>
      <c r="NB6">
        <v>2023</v>
      </c>
      <c r="NC6" t="s">
        <v>5721</v>
      </c>
      <c r="ND6" s="6">
        <v>45043</v>
      </c>
      <c r="NE6">
        <v>5</v>
      </c>
      <c r="NF6">
        <v>-2.4245362661989844E-14</v>
      </c>
      <c r="NG6">
        <v>35380448</v>
      </c>
      <c r="NH6" t="s">
        <v>5722</v>
      </c>
      <c r="NK6" t="s">
        <v>991</v>
      </c>
      <c r="NL6">
        <v>4.7295040000000004</v>
      </c>
      <c r="NM6" t="s">
        <v>1752</v>
      </c>
      <c r="NN6">
        <v>0.79087200000000002</v>
      </c>
      <c r="NO6" t="s">
        <v>1788</v>
      </c>
      <c r="NP6">
        <v>2025</v>
      </c>
      <c r="NQ6" t="s">
        <v>3432</v>
      </c>
      <c r="NR6" s="6">
        <v>45999</v>
      </c>
      <c r="NS6">
        <v>5</v>
      </c>
      <c r="NT6">
        <v>205286688</v>
      </c>
      <c r="NU6">
        <v>100864</v>
      </c>
      <c r="NV6" t="s">
        <v>2331</v>
      </c>
      <c r="PE6" t="s">
        <v>5465</v>
      </c>
      <c r="PF6" t="s">
        <v>1752</v>
      </c>
      <c r="PG6">
        <v>1.8928469999999999</v>
      </c>
      <c r="PH6">
        <v>1.1381829999999999</v>
      </c>
      <c r="PI6" t="s">
        <v>1774</v>
      </c>
      <c r="PJ6">
        <v>2025</v>
      </c>
      <c r="PK6" t="s">
        <v>5466</v>
      </c>
      <c r="PL6" s="6">
        <v>45867</v>
      </c>
      <c r="PM6">
        <v>5</v>
      </c>
      <c r="PN6">
        <v>72035608</v>
      </c>
      <c r="PO6">
        <v>225605</v>
      </c>
      <c r="PP6" t="s">
        <v>5467</v>
      </c>
      <c r="PS6" t="s">
        <v>3366</v>
      </c>
      <c r="PT6">
        <v>3.3300339999999999</v>
      </c>
      <c r="PU6" t="s">
        <v>1752</v>
      </c>
      <c r="PV6">
        <v>1.6969829999999999</v>
      </c>
      <c r="PW6" t="s">
        <v>1774</v>
      </c>
      <c r="PX6">
        <v>2025</v>
      </c>
      <c r="PY6" t="s">
        <v>2516</v>
      </c>
      <c r="PZ6" s="6">
        <v>45898</v>
      </c>
      <c r="QA6">
        <v>5</v>
      </c>
      <c r="QB6">
        <v>344725120</v>
      </c>
      <c r="QC6">
        <v>100211</v>
      </c>
      <c r="QD6" t="s">
        <v>3368</v>
      </c>
      <c r="QI6" t="s">
        <v>5249</v>
      </c>
      <c r="QK6">
        <v>-2.4245362661989844E-14</v>
      </c>
      <c r="QL6">
        <v>-2.4245362661989844E-14</v>
      </c>
      <c r="QM6" t="s">
        <v>1753</v>
      </c>
      <c r="QN6">
        <v>2024</v>
      </c>
      <c r="QO6" t="s">
        <v>5250</v>
      </c>
      <c r="QP6" s="6">
        <v>45799</v>
      </c>
      <c r="QQ6">
        <v>3</v>
      </c>
      <c r="QR6">
        <v>-2.4245362661989844E-14</v>
      </c>
      <c r="QS6">
        <v>28462012</v>
      </c>
      <c r="QT6" t="s">
        <v>5251</v>
      </c>
      <c r="RM6" t="s">
        <v>2830</v>
      </c>
      <c r="RO6">
        <v>-2.4245362661989844E-14</v>
      </c>
      <c r="RP6">
        <v>-2.4245362661989844E-14</v>
      </c>
      <c r="RQ6" t="s">
        <v>1788</v>
      </c>
      <c r="RR6">
        <v>2024</v>
      </c>
      <c r="RS6" t="s">
        <v>2831</v>
      </c>
      <c r="RT6" s="6">
        <v>45608</v>
      </c>
      <c r="RU6">
        <v>5</v>
      </c>
      <c r="RV6">
        <v>-2.4245362661989844E-14</v>
      </c>
      <c r="RW6">
        <v>159743</v>
      </c>
      <c r="RX6" t="s">
        <v>2832</v>
      </c>
      <c r="SQ6" t="s">
        <v>2212</v>
      </c>
      <c r="SR6" t="s">
        <v>1752</v>
      </c>
      <c r="SS6">
        <v>1.489474</v>
      </c>
      <c r="ST6">
        <v>8.7893709999999992</v>
      </c>
      <c r="SU6" t="s">
        <v>1788</v>
      </c>
      <c r="SV6">
        <v>2025</v>
      </c>
      <c r="SW6" t="s">
        <v>2213</v>
      </c>
      <c r="SX6" s="6">
        <v>45763</v>
      </c>
      <c r="SY6">
        <v>5</v>
      </c>
      <c r="SZ6">
        <v>97649912</v>
      </c>
      <c r="TA6">
        <v>136547</v>
      </c>
      <c r="TB6" t="s">
        <v>2214</v>
      </c>
      <c r="TE6" t="s">
        <v>2310</v>
      </c>
      <c r="TF6">
        <v>0.31558199999999997</v>
      </c>
      <c r="TG6" t="s">
        <v>1752</v>
      </c>
      <c r="TH6">
        <v>4.5779690000000004</v>
      </c>
      <c r="TI6" t="s">
        <v>1781</v>
      </c>
      <c r="TJ6">
        <v>2026</v>
      </c>
      <c r="TK6" t="s">
        <v>4230</v>
      </c>
      <c r="TL6" s="6">
        <v>46063</v>
      </c>
      <c r="TM6">
        <v>5</v>
      </c>
      <c r="TN6">
        <v>6400001</v>
      </c>
      <c r="TO6">
        <v>49991909</v>
      </c>
      <c r="TP6" t="s">
        <v>2312</v>
      </c>
    </row>
    <row r="7" spans="1:600" x14ac:dyDescent="0.25">
      <c r="BI7" t="s">
        <v>1554</v>
      </c>
      <c r="BJ7" t="s">
        <v>1752</v>
      </c>
      <c r="BK7">
        <v>3.5019999999999999E-3</v>
      </c>
      <c r="BL7">
        <v>0.37431399999999998</v>
      </c>
      <c r="BM7" t="s">
        <v>1825</v>
      </c>
      <c r="BN7">
        <v>2026</v>
      </c>
      <c r="BO7" t="s">
        <v>2352</v>
      </c>
      <c r="BP7" s="6">
        <v>46087</v>
      </c>
      <c r="BQ7">
        <v>5</v>
      </c>
      <c r="BR7">
        <v>2385808</v>
      </c>
      <c r="BS7">
        <v>313657</v>
      </c>
      <c r="BT7" t="s">
        <v>2353</v>
      </c>
      <c r="BW7" t="s">
        <v>1547</v>
      </c>
      <c r="BX7">
        <v>0.11786099999999999</v>
      </c>
      <c r="BY7" t="s">
        <v>1752</v>
      </c>
      <c r="BZ7">
        <v>2.8398E-2</v>
      </c>
      <c r="CA7" t="s">
        <v>1781</v>
      </c>
      <c r="CB7">
        <v>2025</v>
      </c>
      <c r="CC7" t="s">
        <v>2157</v>
      </c>
      <c r="CD7" s="6">
        <v>45784</v>
      </c>
      <c r="CE7">
        <v>5</v>
      </c>
      <c r="CF7">
        <v>1715246</v>
      </c>
      <c r="CG7">
        <v>100115</v>
      </c>
      <c r="CH7" t="s">
        <v>1922</v>
      </c>
      <c r="CM7" t="s">
        <v>2307</v>
      </c>
      <c r="CO7">
        <v>-2.4245362661989844E-14</v>
      </c>
      <c r="CP7">
        <v>-2.4245362661989844E-14</v>
      </c>
      <c r="CQ7" t="s">
        <v>1753</v>
      </c>
      <c r="CR7">
        <v>2021</v>
      </c>
      <c r="CS7" t="s">
        <v>2308</v>
      </c>
      <c r="CT7" s="6">
        <v>44693</v>
      </c>
      <c r="CU7">
        <v>5</v>
      </c>
      <c r="CV7">
        <v>-2.4245362661989844E-14</v>
      </c>
      <c r="CW7">
        <v>100060</v>
      </c>
      <c r="CX7" t="s">
        <v>2309</v>
      </c>
      <c r="DA7" t="s">
        <v>5227</v>
      </c>
      <c r="DB7">
        <v>1.5770789999999999</v>
      </c>
      <c r="DC7" t="s">
        <v>1752</v>
      </c>
      <c r="DD7">
        <v>0.19286300000000001</v>
      </c>
      <c r="DE7" t="s">
        <v>1774</v>
      </c>
      <c r="DF7">
        <v>2025</v>
      </c>
      <c r="DG7" t="s">
        <v>5225</v>
      </c>
      <c r="DH7" s="6">
        <v>45937</v>
      </c>
      <c r="DI7">
        <v>5</v>
      </c>
      <c r="DJ7">
        <v>71995600</v>
      </c>
      <c r="DK7">
        <v>41633927</v>
      </c>
      <c r="DL7" t="s">
        <v>5228</v>
      </c>
      <c r="JY7" t="s">
        <v>4171</v>
      </c>
      <c r="JZ7">
        <v>1.8702909999999999</v>
      </c>
      <c r="KA7" t="s">
        <v>1752</v>
      </c>
      <c r="KB7">
        <v>8.1234000000000001E-2</v>
      </c>
      <c r="KC7" t="s">
        <v>1774</v>
      </c>
      <c r="KD7">
        <v>2025</v>
      </c>
      <c r="KE7" t="s">
        <v>4172</v>
      </c>
      <c r="KF7" s="6">
        <v>45751</v>
      </c>
      <c r="KG7">
        <v>5</v>
      </c>
      <c r="KH7">
        <v>1855385</v>
      </c>
      <c r="KI7">
        <v>153693</v>
      </c>
      <c r="KJ7" t="s">
        <v>4173</v>
      </c>
      <c r="LS7" t="s">
        <v>5540</v>
      </c>
      <c r="LT7" t="s">
        <v>1752</v>
      </c>
      <c r="LU7">
        <v>26</v>
      </c>
      <c r="LV7">
        <v>2.6673879999999999</v>
      </c>
      <c r="LW7" t="s">
        <v>1753</v>
      </c>
      <c r="LX7">
        <v>2024</v>
      </c>
      <c r="LY7" t="s">
        <v>5541</v>
      </c>
      <c r="LZ7" s="6">
        <v>45706</v>
      </c>
      <c r="MA7">
        <v>5</v>
      </c>
      <c r="MB7">
        <v>96332728</v>
      </c>
      <c r="MC7">
        <v>171252</v>
      </c>
      <c r="MD7" t="s">
        <v>5542</v>
      </c>
      <c r="MG7" t="s">
        <v>2280</v>
      </c>
      <c r="MH7">
        <v>3.1587649999999998</v>
      </c>
      <c r="MI7" t="s">
        <v>1828</v>
      </c>
      <c r="MJ7">
        <v>4.0765820000000001</v>
      </c>
      <c r="MK7" t="s">
        <v>1788</v>
      </c>
      <c r="ML7">
        <v>2025</v>
      </c>
      <c r="MM7" t="s">
        <v>5366</v>
      </c>
      <c r="MN7" s="6">
        <v>45931</v>
      </c>
      <c r="MO7">
        <v>5</v>
      </c>
      <c r="MP7">
        <v>230653024</v>
      </c>
      <c r="MQ7">
        <v>100995</v>
      </c>
      <c r="MR7" t="s">
        <v>2282</v>
      </c>
      <c r="MW7" t="s">
        <v>5723</v>
      </c>
      <c r="MY7">
        <v>-2.4245362661989844E-14</v>
      </c>
      <c r="MZ7">
        <v>-2.4245362661989844E-14</v>
      </c>
      <c r="NA7" t="s">
        <v>1753</v>
      </c>
      <c r="NB7">
        <v>2023</v>
      </c>
      <c r="NC7" t="s">
        <v>5724</v>
      </c>
      <c r="ND7" s="6">
        <v>45349</v>
      </c>
      <c r="NE7">
        <v>5</v>
      </c>
      <c r="NF7">
        <v>-2.4245362661989844E-14</v>
      </c>
      <c r="NG7">
        <v>12937242</v>
      </c>
      <c r="NH7" t="s">
        <v>5725</v>
      </c>
      <c r="NK7" t="s">
        <v>2799</v>
      </c>
      <c r="NL7">
        <v>2.6295519999999999</v>
      </c>
      <c r="NM7" t="s">
        <v>1752</v>
      </c>
      <c r="NN7">
        <v>0.52319899999999997</v>
      </c>
      <c r="NO7" t="s">
        <v>1788</v>
      </c>
      <c r="NP7">
        <v>2025</v>
      </c>
      <c r="NQ7" t="s">
        <v>3432</v>
      </c>
      <c r="NR7" s="6">
        <v>45999</v>
      </c>
      <c r="NS7">
        <v>5</v>
      </c>
      <c r="NT7">
        <v>114137128</v>
      </c>
      <c r="NU7">
        <v>112370</v>
      </c>
      <c r="NV7" t="s">
        <v>2800</v>
      </c>
      <c r="PE7" t="s">
        <v>2608</v>
      </c>
      <c r="PF7" t="s">
        <v>1752</v>
      </c>
      <c r="PG7">
        <v>4.1948800000000004</v>
      </c>
      <c r="PH7">
        <v>1.013388</v>
      </c>
      <c r="PI7" t="s">
        <v>1774</v>
      </c>
      <c r="PJ7">
        <v>2025</v>
      </c>
      <c r="PK7" t="s">
        <v>2609</v>
      </c>
      <c r="PL7" s="6">
        <v>45922</v>
      </c>
      <c r="PM7">
        <v>5</v>
      </c>
      <c r="PN7">
        <v>64137324</v>
      </c>
      <c r="PO7">
        <v>11937231</v>
      </c>
      <c r="PP7" t="s">
        <v>2610</v>
      </c>
      <c r="PS7" t="s">
        <v>1831</v>
      </c>
      <c r="PT7">
        <v>2.5462289999999999</v>
      </c>
      <c r="PU7" t="s">
        <v>1752</v>
      </c>
      <c r="PV7">
        <v>1.6969829999999999</v>
      </c>
      <c r="PW7" t="s">
        <v>1774</v>
      </c>
      <c r="PX7">
        <v>2025</v>
      </c>
      <c r="PY7" t="s">
        <v>2516</v>
      </c>
      <c r="PZ7" s="6">
        <v>45898</v>
      </c>
      <c r="QA7">
        <v>5</v>
      </c>
      <c r="QB7">
        <v>263585632</v>
      </c>
      <c r="QC7">
        <v>876285</v>
      </c>
      <c r="QD7" t="s">
        <v>1833</v>
      </c>
      <c r="QI7" t="s">
        <v>5252</v>
      </c>
      <c r="QK7">
        <v>-2.4245362661989844E-14</v>
      </c>
      <c r="QL7">
        <v>-2.4245362661989844E-14</v>
      </c>
      <c r="QM7" t="s">
        <v>1753</v>
      </c>
      <c r="QN7">
        <v>2024</v>
      </c>
      <c r="QO7" t="s">
        <v>5253</v>
      </c>
      <c r="QP7" s="6">
        <v>45416</v>
      </c>
      <c r="QQ7">
        <v>3</v>
      </c>
      <c r="QR7">
        <v>-2.4245362661989844E-14</v>
      </c>
      <c r="QS7">
        <v>45273724</v>
      </c>
      <c r="QT7" t="s">
        <v>5254</v>
      </c>
      <c r="RM7" t="s">
        <v>2833</v>
      </c>
      <c r="RO7">
        <v>-2.4245362661989844E-14</v>
      </c>
      <c r="RP7">
        <v>-2.4245362661989844E-14</v>
      </c>
      <c r="RQ7" t="s">
        <v>1753</v>
      </c>
      <c r="RR7">
        <v>2023</v>
      </c>
      <c r="RS7" t="s">
        <v>2834</v>
      </c>
      <c r="RT7" s="6">
        <v>45462</v>
      </c>
      <c r="RU7">
        <v>5</v>
      </c>
      <c r="RV7">
        <v>-2.4245362661989844E-14</v>
      </c>
      <c r="RW7">
        <v>48621208</v>
      </c>
      <c r="RX7" t="s">
        <v>2835</v>
      </c>
      <c r="SQ7" t="s">
        <v>924</v>
      </c>
      <c r="SR7" t="s">
        <v>1752</v>
      </c>
      <c r="SS7">
        <v>0.171538</v>
      </c>
      <c r="ST7">
        <v>1.2689820000000001</v>
      </c>
      <c r="SU7" t="s">
        <v>1774</v>
      </c>
      <c r="SV7">
        <v>2025</v>
      </c>
      <c r="SW7" t="s">
        <v>2418</v>
      </c>
      <c r="SX7" s="6">
        <v>45846</v>
      </c>
      <c r="SY7">
        <v>5</v>
      </c>
      <c r="SZ7">
        <v>13083203</v>
      </c>
      <c r="TA7">
        <v>42602315</v>
      </c>
      <c r="TB7" t="s">
        <v>2419</v>
      </c>
      <c r="TE7" t="s">
        <v>3435</v>
      </c>
      <c r="TF7">
        <v>0.12892500000000001</v>
      </c>
      <c r="TG7" t="s">
        <v>1752</v>
      </c>
      <c r="TH7">
        <v>0.107617</v>
      </c>
      <c r="TI7" t="s">
        <v>1774</v>
      </c>
      <c r="TJ7">
        <v>2025</v>
      </c>
      <c r="TK7" t="s">
        <v>3436</v>
      </c>
      <c r="TL7" s="6">
        <v>46008</v>
      </c>
      <c r="TM7">
        <v>5</v>
      </c>
      <c r="TN7">
        <v>2502764.6800000002</v>
      </c>
      <c r="TO7">
        <v>349049</v>
      </c>
      <c r="TP7" t="s">
        <v>3437</v>
      </c>
    </row>
    <row r="8" spans="1:600" x14ac:dyDescent="0.25">
      <c r="BI8" t="s">
        <v>226</v>
      </c>
      <c r="BJ8" t="s">
        <v>1752</v>
      </c>
      <c r="BK8">
        <v>1.08E-3</v>
      </c>
      <c r="BL8">
        <v>0.237701</v>
      </c>
      <c r="BM8" t="s">
        <v>1788</v>
      </c>
      <c r="BN8">
        <v>2025</v>
      </c>
      <c r="BO8" t="s">
        <v>2491</v>
      </c>
      <c r="BP8" s="6">
        <v>45843</v>
      </c>
      <c r="BQ8">
        <v>5</v>
      </c>
      <c r="BR8">
        <v>756713</v>
      </c>
      <c r="BS8">
        <v>101743</v>
      </c>
      <c r="BT8" t="s">
        <v>2156</v>
      </c>
      <c r="BW8" t="s">
        <v>2459</v>
      </c>
      <c r="BX8">
        <v>4.9280999999999998E-2</v>
      </c>
      <c r="BY8" t="s">
        <v>1752</v>
      </c>
      <c r="BZ8">
        <v>0.59355500000000005</v>
      </c>
      <c r="CA8" t="s">
        <v>1781</v>
      </c>
      <c r="CB8">
        <v>2025</v>
      </c>
      <c r="CC8" t="s">
        <v>2460</v>
      </c>
      <c r="CD8" s="6">
        <v>45820</v>
      </c>
      <c r="CE8">
        <v>5</v>
      </c>
      <c r="CF8">
        <v>788021.54</v>
      </c>
      <c r="CG8">
        <v>117587</v>
      </c>
      <c r="CH8" t="s">
        <v>2461</v>
      </c>
      <c r="CM8" t="s">
        <v>2392</v>
      </c>
      <c r="CO8">
        <v>-2.4245362661989844E-14</v>
      </c>
      <c r="CP8">
        <v>-2.4245362661989844E-14</v>
      </c>
      <c r="CQ8" t="s">
        <v>1753</v>
      </c>
      <c r="CR8">
        <v>2021</v>
      </c>
      <c r="CS8" t="s">
        <v>2393</v>
      </c>
      <c r="CT8" s="6">
        <v>44693</v>
      </c>
      <c r="CU8">
        <v>5</v>
      </c>
      <c r="CV8">
        <v>-2.4245362661989844E-14</v>
      </c>
      <c r="CW8">
        <v>101690</v>
      </c>
      <c r="CX8" t="s">
        <v>2394</v>
      </c>
      <c r="DA8" t="s">
        <v>5229</v>
      </c>
      <c r="DB8">
        <v>1.4699450000000001</v>
      </c>
      <c r="DC8" t="s">
        <v>1828</v>
      </c>
      <c r="DD8">
        <v>7.1693160000000002</v>
      </c>
      <c r="DE8" t="s">
        <v>1774</v>
      </c>
      <c r="DF8">
        <v>2025</v>
      </c>
      <c r="DG8" t="s">
        <v>5225</v>
      </c>
      <c r="DH8" s="6">
        <v>45937</v>
      </c>
      <c r="DI8">
        <v>5</v>
      </c>
      <c r="DJ8">
        <v>67104796</v>
      </c>
      <c r="DK8">
        <v>101539</v>
      </c>
      <c r="DL8" t="s">
        <v>5230</v>
      </c>
      <c r="JY8" t="s">
        <v>4174</v>
      </c>
      <c r="JZ8">
        <v>1.4510510000000001</v>
      </c>
      <c r="KA8" t="s">
        <v>1752</v>
      </c>
      <c r="KB8">
        <v>1.4725E-2</v>
      </c>
      <c r="KC8" t="s">
        <v>1825</v>
      </c>
      <c r="KD8">
        <v>2025</v>
      </c>
      <c r="KE8" t="s">
        <v>4175</v>
      </c>
      <c r="KF8" s="6">
        <v>45890</v>
      </c>
      <c r="KG8">
        <v>5</v>
      </c>
      <c r="KH8">
        <v>1174466</v>
      </c>
      <c r="KI8">
        <v>100232</v>
      </c>
      <c r="KJ8" t="s">
        <v>4176</v>
      </c>
      <c r="LS8" t="s">
        <v>772</v>
      </c>
      <c r="LT8" t="s">
        <v>1752</v>
      </c>
      <c r="LU8">
        <v>14</v>
      </c>
      <c r="LV8">
        <v>2.5732710000000001</v>
      </c>
      <c r="LW8" t="s">
        <v>1753</v>
      </c>
      <c r="LX8">
        <v>2025</v>
      </c>
      <c r="LY8" t="s">
        <v>4420</v>
      </c>
      <c r="LZ8" s="6">
        <v>46077</v>
      </c>
      <c r="MA8">
        <v>5</v>
      </c>
      <c r="MB8">
        <v>93068784</v>
      </c>
      <c r="MC8">
        <v>102417</v>
      </c>
      <c r="MD8" t="s">
        <v>2954</v>
      </c>
      <c r="MG8" t="s">
        <v>2808</v>
      </c>
      <c r="MH8">
        <v>2.5439250000000002</v>
      </c>
      <c r="MI8" t="s">
        <v>1828</v>
      </c>
      <c r="MJ8">
        <v>5.2326030000000001</v>
      </c>
      <c r="MK8" t="s">
        <v>1788</v>
      </c>
      <c r="ML8">
        <v>2025</v>
      </c>
      <c r="MM8" t="s">
        <v>5366</v>
      </c>
      <c r="MN8" s="6">
        <v>45931</v>
      </c>
      <c r="MO8">
        <v>5</v>
      </c>
      <c r="MP8">
        <v>185757408</v>
      </c>
      <c r="MQ8">
        <v>101729</v>
      </c>
      <c r="MR8" t="s">
        <v>2810</v>
      </c>
      <c r="MW8" t="s">
        <v>2304</v>
      </c>
      <c r="MY8">
        <v>-2.4245362661989844E-14</v>
      </c>
      <c r="MZ8">
        <v>-2.4245362661989844E-14</v>
      </c>
      <c r="NA8" t="s">
        <v>1753</v>
      </c>
      <c r="NB8">
        <v>2021</v>
      </c>
      <c r="NC8" t="s">
        <v>2305</v>
      </c>
      <c r="ND8" s="6">
        <v>44693</v>
      </c>
      <c r="NE8">
        <v>5</v>
      </c>
      <c r="NF8">
        <v>-2.4245362661989844E-14</v>
      </c>
      <c r="NG8">
        <v>313098</v>
      </c>
      <c r="NH8" t="s">
        <v>2306</v>
      </c>
      <c r="NK8" t="s">
        <v>3433</v>
      </c>
      <c r="NL8">
        <v>2.342203</v>
      </c>
      <c r="NM8" t="s">
        <v>1752</v>
      </c>
      <c r="NN8">
        <v>0.88434800000000002</v>
      </c>
      <c r="NO8" t="s">
        <v>1788</v>
      </c>
      <c r="NP8">
        <v>2025</v>
      </c>
      <c r="NQ8" t="s">
        <v>3432</v>
      </c>
      <c r="NR8" s="6">
        <v>45999</v>
      </c>
      <c r="NS8">
        <v>5</v>
      </c>
      <c r="NT8">
        <v>101664592</v>
      </c>
      <c r="NU8">
        <v>143036</v>
      </c>
      <c r="NV8" t="s">
        <v>3434</v>
      </c>
      <c r="PE8" t="s">
        <v>5468</v>
      </c>
      <c r="PF8" t="s">
        <v>1752</v>
      </c>
      <c r="PG8">
        <v>4.2606400000000004</v>
      </c>
      <c r="PH8">
        <v>0.70126500000000003</v>
      </c>
      <c r="PI8" t="s">
        <v>1774</v>
      </c>
      <c r="PJ8">
        <v>2025</v>
      </c>
      <c r="PK8" t="s">
        <v>5469</v>
      </c>
      <c r="PL8" s="6">
        <v>45961</v>
      </c>
      <c r="PM8">
        <v>5</v>
      </c>
      <c r="PN8">
        <v>47629481.530000001</v>
      </c>
      <c r="PO8">
        <v>47700205</v>
      </c>
      <c r="PP8" t="s">
        <v>5470</v>
      </c>
      <c r="PS8" t="s">
        <v>3532</v>
      </c>
      <c r="PT8">
        <v>1.896647</v>
      </c>
      <c r="PU8" t="s">
        <v>1752</v>
      </c>
      <c r="PV8">
        <v>1.1313219999999999</v>
      </c>
      <c r="PW8" t="s">
        <v>1774</v>
      </c>
      <c r="PX8">
        <v>2025</v>
      </c>
      <c r="PY8" t="s">
        <v>2516</v>
      </c>
      <c r="PZ8" s="6">
        <v>45898</v>
      </c>
      <c r="QA8">
        <v>5</v>
      </c>
      <c r="QB8">
        <v>196340896</v>
      </c>
      <c r="QC8">
        <v>156923</v>
      </c>
      <c r="QD8" t="s">
        <v>3533</v>
      </c>
      <c r="RM8" t="s">
        <v>2836</v>
      </c>
      <c r="RO8">
        <v>-2.4245362661989844E-14</v>
      </c>
      <c r="RP8">
        <v>-2.4245362661989844E-14</v>
      </c>
      <c r="RQ8" t="s">
        <v>1753</v>
      </c>
      <c r="RR8">
        <v>2024</v>
      </c>
      <c r="RS8" t="s">
        <v>2837</v>
      </c>
      <c r="RT8" s="6">
        <v>45714</v>
      </c>
      <c r="RU8">
        <v>5</v>
      </c>
      <c r="RV8">
        <v>-2.4245362661989844E-14</v>
      </c>
      <c r="RW8">
        <v>100457</v>
      </c>
      <c r="RX8" t="s">
        <v>2838</v>
      </c>
      <c r="SQ8" t="s">
        <v>2006</v>
      </c>
      <c r="SR8" t="s">
        <v>1940</v>
      </c>
      <c r="SS8">
        <v>0.11415599999999999</v>
      </c>
      <c r="ST8">
        <v>1.9941009999999999</v>
      </c>
      <c r="SU8" t="s">
        <v>1788</v>
      </c>
      <c r="SV8">
        <v>2026</v>
      </c>
      <c r="SW8" t="s">
        <v>3659</v>
      </c>
      <c r="SX8" s="6">
        <v>46058</v>
      </c>
      <c r="SY8">
        <v>5</v>
      </c>
      <c r="SZ8">
        <v>8595589.2599999998</v>
      </c>
      <c r="TA8">
        <v>7259059</v>
      </c>
      <c r="TB8" t="s">
        <v>2008</v>
      </c>
      <c r="TE8" t="s">
        <v>1954</v>
      </c>
      <c r="TF8">
        <v>0.115815</v>
      </c>
      <c r="TG8" t="s">
        <v>1752</v>
      </c>
      <c r="TH8">
        <v>4.1390999999999997E-2</v>
      </c>
      <c r="TI8" t="s">
        <v>1781</v>
      </c>
      <c r="TJ8">
        <v>2025</v>
      </c>
      <c r="TK8" t="s">
        <v>1955</v>
      </c>
      <c r="TL8" s="6">
        <v>45820</v>
      </c>
      <c r="TM8">
        <v>5</v>
      </c>
      <c r="TN8">
        <v>1687428</v>
      </c>
      <c r="TO8">
        <v>12129192</v>
      </c>
      <c r="TP8" t="s">
        <v>1956</v>
      </c>
    </row>
    <row r="9" spans="1:600" x14ac:dyDescent="0.25">
      <c r="BI9" t="s">
        <v>2492</v>
      </c>
      <c r="BJ9" t="s">
        <v>1752</v>
      </c>
      <c r="BK9">
        <v>6.5779999999999996E-3</v>
      </c>
      <c r="BL9">
        <v>4.0340000000000003E-3</v>
      </c>
      <c r="BM9" t="s">
        <v>1825</v>
      </c>
      <c r="BN9">
        <v>2024</v>
      </c>
      <c r="BO9" t="s">
        <v>2493</v>
      </c>
      <c r="BP9" s="6">
        <v>45750</v>
      </c>
      <c r="BQ9">
        <v>5</v>
      </c>
      <c r="BR9">
        <v>10984.26</v>
      </c>
      <c r="BS9">
        <v>27395152</v>
      </c>
      <c r="BT9" t="s">
        <v>2494</v>
      </c>
      <c r="BW9" t="s">
        <v>2462</v>
      </c>
      <c r="BX9">
        <v>1.7725000000000001E-2</v>
      </c>
      <c r="BY9" t="s">
        <v>1828</v>
      </c>
      <c r="BZ9">
        <v>4.1203999999999998E-2</v>
      </c>
      <c r="CA9" t="s">
        <v>1788</v>
      </c>
      <c r="CB9">
        <v>2025</v>
      </c>
      <c r="CC9" t="s">
        <v>2463</v>
      </c>
      <c r="CD9" s="6">
        <v>46007</v>
      </c>
      <c r="CE9">
        <v>5</v>
      </c>
      <c r="CF9">
        <v>399679</v>
      </c>
      <c r="CG9">
        <v>143027</v>
      </c>
      <c r="CH9" t="s">
        <v>2464</v>
      </c>
      <c r="CM9" t="s">
        <v>5273</v>
      </c>
      <c r="CO9">
        <v>-2.4245362661989844E-14</v>
      </c>
      <c r="CP9">
        <v>-2.4245362661989844E-14</v>
      </c>
      <c r="CQ9" t="s">
        <v>1753</v>
      </c>
      <c r="CR9">
        <v>2021</v>
      </c>
      <c r="CS9" t="s">
        <v>5274</v>
      </c>
      <c r="CT9" s="6">
        <v>44693</v>
      </c>
      <c r="CU9">
        <v>5</v>
      </c>
      <c r="CV9">
        <v>-2.4245362661989844E-14</v>
      </c>
      <c r="CW9">
        <v>101000</v>
      </c>
      <c r="CX9" t="s">
        <v>5275</v>
      </c>
      <c r="DA9" t="s">
        <v>4334</v>
      </c>
      <c r="DB9">
        <v>1.15822</v>
      </c>
      <c r="DC9" t="s">
        <v>1828</v>
      </c>
      <c r="DD9">
        <v>6.8136809999999999</v>
      </c>
      <c r="DE9" t="s">
        <v>1774</v>
      </c>
      <c r="DF9">
        <v>2025</v>
      </c>
      <c r="DG9" t="s">
        <v>5225</v>
      </c>
      <c r="DH9" s="6">
        <v>45937</v>
      </c>
      <c r="DI9">
        <v>5</v>
      </c>
      <c r="DJ9">
        <v>52874168</v>
      </c>
      <c r="DK9">
        <v>100415</v>
      </c>
      <c r="DL9" t="s">
        <v>4336</v>
      </c>
      <c r="JY9" t="s">
        <v>4177</v>
      </c>
      <c r="JZ9">
        <v>-2.4245362661989844E-14</v>
      </c>
      <c r="KB9">
        <v>-2.4245362661989844E-14</v>
      </c>
      <c r="KC9" t="s">
        <v>1753</v>
      </c>
      <c r="KD9">
        <v>2025</v>
      </c>
      <c r="KE9" t="s">
        <v>4166</v>
      </c>
      <c r="KF9" s="6">
        <v>46071</v>
      </c>
      <c r="KG9">
        <v>5</v>
      </c>
      <c r="KH9">
        <v>-2.4245362661989844E-14</v>
      </c>
      <c r="KI9">
        <v>15564250</v>
      </c>
      <c r="KJ9" t="s">
        <v>4178</v>
      </c>
      <c r="LS9" t="s">
        <v>5543</v>
      </c>
      <c r="LT9" t="s">
        <v>1752</v>
      </c>
      <c r="LU9">
        <v>39.222942000000003</v>
      </c>
      <c r="LV9">
        <v>2.5692750000000002</v>
      </c>
      <c r="LW9" t="s">
        <v>1753</v>
      </c>
      <c r="LX9">
        <v>2025</v>
      </c>
      <c r="LY9" t="s">
        <v>5544</v>
      </c>
      <c r="LZ9" s="6">
        <v>46073</v>
      </c>
      <c r="MA9">
        <v>5</v>
      </c>
      <c r="MB9">
        <v>92924250</v>
      </c>
      <c r="MC9">
        <v>51018342</v>
      </c>
      <c r="MD9" t="s">
        <v>5545</v>
      </c>
      <c r="MG9" t="s">
        <v>2268</v>
      </c>
      <c r="MH9">
        <v>1.4184159999999999</v>
      </c>
      <c r="MI9" t="s">
        <v>1828</v>
      </c>
      <c r="MJ9">
        <v>3.3443610000000001</v>
      </c>
      <c r="MK9" t="s">
        <v>1788</v>
      </c>
      <c r="ML9">
        <v>2025</v>
      </c>
      <c r="MM9" t="s">
        <v>5366</v>
      </c>
      <c r="MN9" s="6">
        <v>45931</v>
      </c>
      <c r="MO9">
        <v>5</v>
      </c>
      <c r="MP9">
        <v>103572736</v>
      </c>
      <c r="MQ9">
        <v>193974</v>
      </c>
      <c r="MR9" t="s">
        <v>2270</v>
      </c>
      <c r="MW9" t="s">
        <v>2307</v>
      </c>
      <c r="MY9">
        <v>-2.4245362661989844E-14</v>
      </c>
      <c r="MZ9">
        <v>-2.4245362661989844E-14</v>
      </c>
      <c r="NA9" t="s">
        <v>1753</v>
      </c>
      <c r="NB9">
        <v>2021</v>
      </c>
      <c r="NC9" t="s">
        <v>2308</v>
      </c>
      <c r="ND9" s="6">
        <v>44693</v>
      </c>
      <c r="NE9">
        <v>5</v>
      </c>
      <c r="NF9">
        <v>-2.4245362661989844E-14</v>
      </c>
      <c r="NG9">
        <v>100060</v>
      </c>
      <c r="NH9" t="s">
        <v>2309</v>
      </c>
      <c r="NK9" t="s">
        <v>2089</v>
      </c>
      <c r="NL9">
        <v>2.170194</v>
      </c>
      <c r="NM9" t="s">
        <v>1752</v>
      </c>
      <c r="NN9">
        <v>0.47422399999999998</v>
      </c>
      <c r="NO9" t="s">
        <v>1781</v>
      </c>
      <c r="NP9">
        <v>2025</v>
      </c>
      <c r="NQ9" t="s">
        <v>3432</v>
      </c>
      <c r="NR9" s="6">
        <v>45812</v>
      </c>
      <c r="NS9">
        <v>5</v>
      </c>
      <c r="NT9">
        <v>94198448</v>
      </c>
      <c r="NU9">
        <v>115268</v>
      </c>
      <c r="NV9" t="s">
        <v>2091</v>
      </c>
      <c r="PE9" t="s">
        <v>5471</v>
      </c>
      <c r="PF9" t="s">
        <v>1752</v>
      </c>
      <c r="PG9">
        <v>30.781739999999999</v>
      </c>
      <c r="PH9">
        <v>0.62680199999999997</v>
      </c>
      <c r="PI9" t="s">
        <v>1753</v>
      </c>
      <c r="PJ9">
        <v>2025</v>
      </c>
      <c r="PK9" t="s">
        <v>5472</v>
      </c>
      <c r="PL9" s="6">
        <v>45818</v>
      </c>
      <c r="PM9">
        <v>5</v>
      </c>
      <c r="PN9">
        <v>38070899.18</v>
      </c>
      <c r="PO9">
        <v>174401</v>
      </c>
      <c r="PP9" t="s">
        <v>5473</v>
      </c>
      <c r="PS9" t="s">
        <v>4352</v>
      </c>
      <c r="PT9">
        <v>1.3805559999999999</v>
      </c>
      <c r="PU9" t="s">
        <v>1752</v>
      </c>
      <c r="PV9">
        <v>1.0273540000000001</v>
      </c>
      <c r="PW9" t="s">
        <v>1774</v>
      </c>
      <c r="PX9">
        <v>2025</v>
      </c>
      <c r="PY9" t="s">
        <v>2516</v>
      </c>
      <c r="PZ9" s="6">
        <v>45898</v>
      </c>
      <c r="QA9">
        <v>5</v>
      </c>
      <c r="QB9">
        <v>142915152</v>
      </c>
      <c r="QC9">
        <v>10451815</v>
      </c>
      <c r="QD9" t="s">
        <v>4353</v>
      </c>
      <c r="RM9" t="s">
        <v>2839</v>
      </c>
      <c r="RO9">
        <v>-2.4245362661989844E-14</v>
      </c>
      <c r="RP9">
        <v>-2.4245362661989844E-14</v>
      </c>
      <c r="RQ9" t="s">
        <v>1774</v>
      </c>
      <c r="RR9">
        <v>2024</v>
      </c>
      <c r="RS9" t="s">
        <v>2840</v>
      </c>
      <c r="RT9" s="6">
        <v>45433</v>
      </c>
      <c r="RU9">
        <v>5</v>
      </c>
      <c r="RV9">
        <v>-2.4245362661989844E-14</v>
      </c>
      <c r="RW9">
        <v>103350</v>
      </c>
      <c r="RX9" t="s">
        <v>2841</v>
      </c>
      <c r="SQ9" t="s">
        <v>2215</v>
      </c>
      <c r="SR9" t="s">
        <v>1752</v>
      </c>
      <c r="SS9">
        <v>7.6977000000000004E-2</v>
      </c>
      <c r="ST9">
        <v>0.58445800000000003</v>
      </c>
      <c r="SU9" t="s">
        <v>1788</v>
      </c>
      <c r="SV9">
        <v>2025</v>
      </c>
      <c r="SW9" t="s">
        <v>2216</v>
      </c>
      <c r="SX9" s="6">
        <v>45867</v>
      </c>
      <c r="SY9">
        <v>5</v>
      </c>
      <c r="SZ9">
        <v>6025760</v>
      </c>
      <c r="TA9">
        <v>117092</v>
      </c>
      <c r="TB9" t="s">
        <v>2217</v>
      </c>
      <c r="TE9" t="s">
        <v>1191</v>
      </c>
      <c r="TF9">
        <v>4.8992000000000001E-2</v>
      </c>
      <c r="TG9" t="s">
        <v>1752</v>
      </c>
      <c r="TH9">
        <v>6.3288999999999998E-2</v>
      </c>
      <c r="TI9" t="s">
        <v>1825</v>
      </c>
      <c r="TJ9">
        <v>2025</v>
      </c>
      <c r="TK9" t="s">
        <v>2627</v>
      </c>
      <c r="TL9" s="6">
        <v>46091</v>
      </c>
      <c r="TM9">
        <v>5</v>
      </c>
      <c r="TN9">
        <v>993554</v>
      </c>
      <c r="TO9">
        <v>156637</v>
      </c>
      <c r="TP9" t="s">
        <v>2828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714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715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716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717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718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719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720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721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722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723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724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725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726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727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728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729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730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731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732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733</v>
      </c>
      <c r="AE2" s="3" t="s">
        <v>734</v>
      </c>
      <c r="BI2" s="3" t="s">
        <v>735</v>
      </c>
      <c r="CM2" s="3" t="s">
        <v>736</v>
      </c>
      <c r="DQ2" s="3" t="s">
        <v>737</v>
      </c>
      <c r="EU2" s="3" t="s">
        <v>738</v>
      </c>
      <c r="FY2" s="3" t="s">
        <v>739</v>
      </c>
      <c r="HC2" s="3" t="s">
        <v>740</v>
      </c>
      <c r="IG2" s="3" t="s">
        <v>741</v>
      </c>
      <c r="JK2" s="3" t="s">
        <v>742</v>
      </c>
      <c r="KO2" s="3" t="s">
        <v>743</v>
      </c>
      <c r="LS2" s="3" t="s">
        <v>744</v>
      </c>
      <c r="MW2" s="3" t="s">
        <v>260</v>
      </c>
      <c r="OA2" s="3" t="s">
        <v>745</v>
      </c>
      <c r="PE2" s="3" t="s">
        <v>746</v>
      </c>
      <c r="QI2" s="3" t="s">
        <v>747</v>
      </c>
      <c r="RM2" s="3" t="s">
        <v>748</v>
      </c>
      <c r="SQ2" s="3" t="s">
        <v>749</v>
      </c>
      <c r="TU2" s="3" t="s">
        <v>750</v>
      </c>
      <c r="UY2" s="3" t="s">
        <v>751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_xll.BDS("FRME US Equity","SUPPLY_CHAIN_SUPPLIERS_ALL_DATA")</f>
        <v>#N/A N/A</v>
      </c>
      <c r="O5" t="str">
        <f>_xll.BDS("FRME US Equity","SUPPLY_CHAIN_CUSTOMERS_ALL_DATA")</f>
        <v>#N/A N/A</v>
      </c>
      <c r="AE5" t="str">
        <f>_xll.BDS("UPBD US Equity","SUPPLY_CHAIN_SUPPLIERS_ALL_DATA","cols=12;rows=5")</f>
        <v>066570 KS Equity</v>
      </c>
      <c r="AF5" t="s">
        <v>1752</v>
      </c>
      <c r="AG5">
        <v>0.31305500000000003</v>
      </c>
      <c r="AH5">
        <v>8.2071670000000001</v>
      </c>
      <c r="AI5" t="s">
        <v>1788</v>
      </c>
      <c r="AJ5">
        <v>2025</v>
      </c>
      <c r="AK5" t="s">
        <v>1927</v>
      </c>
      <c r="AL5" s="6">
        <v>46014</v>
      </c>
      <c r="AM5">
        <v>5</v>
      </c>
      <c r="AN5">
        <v>49398423.189999998</v>
      </c>
      <c r="AO5">
        <v>7583418</v>
      </c>
      <c r="AP5" t="s">
        <v>1928</v>
      </c>
      <c r="AS5" t="str">
        <f>_xll.BDS("UPBD US Equity","SUPPLY_CHAIN_CUSTOMERS_ALL_DATA","cols=12;rows=1")</f>
        <v>0112951Z US Equity</v>
      </c>
      <c r="AT5">
        <v>-2.4245362661989844E-14</v>
      </c>
      <c r="AV5">
        <v>-2.4245362661989844E-14</v>
      </c>
      <c r="AW5" t="s">
        <v>1753</v>
      </c>
      <c r="AX5">
        <v>2023</v>
      </c>
      <c r="AY5" t="s">
        <v>4640</v>
      </c>
      <c r="AZ5" s="6">
        <v>45034</v>
      </c>
      <c r="BA5">
        <v>1</v>
      </c>
      <c r="BB5">
        <v>-2.4245362661989844E-14</v>
      </c>
      <c r="BC5">
        <v>27254212</v>
      </c>
      <c r="BD5" t="s">
        <v>4641</v>
      </c>
      <c r="BI5" t="str">
        <f>_xll.BDS("PBKS US Equity","SUPPLY_CHAIN_SUPPLIERS_ALL_DATA")</f>
        <v>#N/A N/A</v>
      </c>
      <c r="BW5" t="str">
        <f>_xll.BDS("PBKS US Equity","SUPPLY_CHAIN_CUSTOMERS_ALL_DATA")</f>
        <v>#N/A N/A</v>
      </c>
      <c r="CM5" t="str">
        <f>_xll.BDS("FSH US Equity","SUPPLY_CHAIN_SUPPLIERS_ALL_DATA")</f>
        <v>#N/A N/A</v>
      </c>
      <c r="DA5" t="str">
        <f>_xll.BDS("FSH US Equity","SUPPLY_CHAIN_CUSTOMERS_ALL_DATA")</f>
        <v>#N/A N/A</v>
      </c>
      <c r="DQ5" t="str">
        <f>_xll.BDS("ANSS US Equity","SUPPLY_CHAIN_SUPPLIERS_ALL_DATA","cols=12;rows=5")</f>
        <v>NVDA US Equity</v>
      </c>
      <c r="DR5" t="s">
        <v>1752</v>
      </c>
      <c r="DS5">
        <v>2.1979999999999999E-3</v>
      </c>
      <c r="DT5">
        <v>1.1893229999999999</v>
      </c>
      <c r="DU5" t="s">
        <v>1825</v>
      </c>
      <c r="DV5">
        <v>2025</v>
      </c>
      <c r="DW5" t="s">
        <v>2352</v>
      </c>
      <c r="DX5" s="6">
        <v>45720</v>
      </c>
      <c r="DY5">
        <v>5</v>
      </c>
      <c r="DZ5">
        <v>864495</v>
      </c>
      <c r="EA5">
        <v>313657</v>
      </c>
      <c r="EB5" t="s">
        <v>2353</v>
      </c>
      <c r="EE5" t="str">
        <f>_xll.BDS("ANSS US Equity","SUPPLY_CHAIN_CUSTOMERS_ALL_DATA","cols=12;rows=5")</f>
        <v>CAT US Equity</v>
      </c>
      <c r="EF5">
        <v>1.0061290000000001</v>
      </c>
      <c r="EG5" t="s">
        <v>1752</v>
      </c>
      <c r="EH5">
        <v>5.4675000000000001E-2</v>
      </c>
      <c r="EI5" t="s">
        <v>1781</v>
      </c>
      <c r="EJ5">
        <v>2025</v>
      </c>
      <c r="EK5" t="s">
        <v>1970</v>
      </c>
      <c r="EL5" s="6">
        <v>45852</v>
      </c>
      <c r="EM5">
        <v>5</v>
      </c>
      <c r="EN5">
        <v>5079854</v>
      </c>
      <c r="EO5">
        <v>100285</v>
      </c>
      <c r="EP5" t="s">
        <v>1971</v>
      </c>
      <c r="EU5" t="str">
        <f>_xll.BDS("ITW US Equity","SUPPLY_CHAIN_SUPPLIERS_ALL_DATA","cols=12;rows=5")</f>
        <v>179 HK Equity</v>
      </c>
      <c r="EV5" t="s">
        <v>1752</v>
      </c>
      <c r="EW5">
        <v>6.5320000000000003E-2</v>
      </c>
      <c r="EX5">
        <v>2.7040999999999999E-2</v>
      </c>
      <c r="EY5" t="s">
        <v>1774</v>
      </c>
      <c r="EZ5">
        <v>2026</v>
      </c>
      <c r="FA5" t="s">
        <v>5571</v>
      </c>
      <c r="FB5" s="6">
        <v>46044</v>
      </c>
      <c r="FC5">
        <v>5</v>
      </c>
      <c r="FD5">
        <v>598816</v>
      </c>
      <c r="FE5">
        <v>116426</v>
      </c>
      <c r="FF5" t="s">
        <v>5572</v>
      </c>
      <c r="FI5" t="str">
        <f>_xll.BDS("ITW US Equity","SUPPLY_CHAIN_CUSTOMERS_ALL_DATA","cols=12;rows=5")</f>
        <v>TSCO US Equity</v>
      </c>
      <c r="FJ5">
        <v>1.765717</v>
      </c>
      <c r="FK5" t="s">
        <v>1752</v>
      </c>
      <c r="FL5">
        <v>2.5065909999999998</v>
      </c>
      <c r="FM5" t="s">
        <v>1774</v>
      </c>
      <c r="FN5">
        <v>2025</v>
      </c>
      <c r="FO5" t="s">
        <v>4250</v>
      </c>
      <c r="FP5" s="6">
        <v>45917</v>
      </c>
      <c r="FQ5">
        <v>5</v>
      </c>
      <c r="FR5">
        <v>70178408</v>
      </c>
      <c r="FS5">
        <v>126788</v>
      </c>
      <c r="FT5" t="s">
        <v>4251</v>
      </c>
      <c r="FY5" t="str">
        <f>_xll.BDS("CDNS US Equity","SUPPLY_CHAIN_SUPPLIERS_ALL_DATA","cols=12;rows=5")</f>
        <v>JBL US Equity</v>
      </c>
      <c r="FZ5" t="s">
        <v>1752</v>
      </c>
      <c r="GA5">
        <v>8.6149999999999994E-3</v>
      </c>
      <c r="GB5">
        <v>0.36618000000000001</v>
      </c>
      <c r="GC5" t="s">
        <v>1788</v>
      </c>
      <c r="GD5">
        <v>2025</v>
      </c>
      <c r="GE5" t="s">
        <v>2216</v>
      </c>
      <c r="GF5" s="6">
        <v>45867</v>
      </c>
      <c r="GG5">
        <v>5</v>
      </c>
      <c r="GH5">
        <v>674382</v>
      </c>
      <c r="GI5">
        <v>117092</v>
      </c>
      <c r="GJ5" t="s">
        <v>2217</v>
      </c>
      <c r="GM5" t="str">
        <f>_xll.BDS("CDNS US Equity","SUPPLY_CHAIN_CUSTOMERS_ALL_DATA","cols=12;rows=5")</f>
        <v>IBM US Equity</v>
      </c>
      <c r="GN5">
        <v>0.89326300000000003</v>
      </c>
      <c r="GO5" t="s">
        <v>1752</v>
      </c>
      <c r="GP5">
        <v>0.17047000000000001</v>
      </c>
      <c r="GQ5" t="s">
        <v>1781</v>
      </c>
      <c r="GR5">
        <v>2025</v>
      </c>
      <c r="GS5" t="s">
        <v>1869</v>
      </c>
      <c r="GT5" s="6">
        <v>45797</v>
      </c>
      <c r="GU5">
        <v>5</v>
      </c>
      <c r="GV5">
        <v>11097597</v>
      </c>
      <c r="GW5">
        <v>100801</v>
      </c>
      <c r="GX5" t="s">
        <v>1870</v>
      </c>
      <c r="HC5" t="str">
        <f>_xll.BDS("1023761D US Equity","SUPPLY_CHAIN_SUPPLIERS_ALL_DATA")</f>
        <v>#N/A N/A</v>
      </c>
      <c r="HQ5" t="str">
        <f>_xll.BDS("1023761D US Equity","SUPPLY_CHAIN_CUSTOMERS_ALL_DATA")</f>
        <v>#N/A N/A</v>
      </c>
      <c r="IG5" t="str">
        <f>_xll.BDS("0941825D US Equity","SUPPLY_CHAIN_SUPPLIERS_ALL_DATA")</f>
        <v>#N/A N/A</v>
      </c>
      <c r="IU5" t="str">
        <f>_xll.BDS("0941825D US Equity","SUPPLY_CHAIN_CUSTOMERS_ALL_DATA")</f>
        <v>#N/A N/A</v>
      </c>
      <c r="JK5" t="str">
        <f>_xll.BDS("GLK US Equity","SUPPLY_CHAIN_SUPPLIERS_ALL_DATA")</f>
        <v>#N/A N/A</v>
      </c>
      <c r="JY5" t="str">
        <f>_xll.BDS("GLK US Equity","SUPPLY_CHAIN_CUSTOMERS_ALL_DATA")</f>
        <v>#N/A N/A</v>
      </c>
      <c r="KO5" t="str">
        <f>_xll.BDS("MCDTA US Equity","SUPPLY_CHAIN_SUPPLIERS_ALL_DATA")</f>
        <v>#N/A N/A</v>
      </c>
      <c r="LC5" t="str">
        <f>_xll.BDS("MCDTA US Equity","SUPPLY_CHAIN_CUSTOMERS_ALL_DATA")</f>
        <v>#N/A N/A</v>
      </c>
      <c r="LS5" t="str">
        <f>_xll.BDS("2313711D US Equity","SUPPLY_CHAIN_SUPPLIERS_ALL_DATA")</f>
        <v>#N/A N/A</v>
      </c>
      <c r="MG5" t="str">
        <f>_xll.BDS("2313711D US Equity","SUPPLY_CHAIN_CUSTOMERS_ALL_DATA")</f>
        <v>#N/A N/A</v>
      </c>
      <c r="MW5" t="str">
        <f>_xll.BDS("GE US Equity","SUPPLY_CHAIN_SUPPLIERS_ALL_DATA","cols=12;rows=5")</f>
        <v>SAF FP Equity</v>
      </c>
      <c r="MX5" t="s">
        <v>1752</v>
      </c>
      <c r="MY5">
        <v>7.9101749999999997</v>
      </c>
      <c r="MZ5">
        <v>9.7364909999999991</v>
      </c>
      <c r="NA5" t="s">
        <v>1774</v>
      </c>
      <c r="NB5">
        <v>2025</v>
      </c>
      <c r="NC5" t="s">
        <v>2600</v>
      </c>
      <c r="ND5" s="6">
        <v>45874</v>
      </c>
      <c r="NE5">
        <v>5</v>
      </c>
      <c r="NF5">
        <v>666294015.34000003</v>
      </c>
      <c r="NG5">
        <v>115519</v>
      </c>
      <c r="NH5" t="s">
        <v>2601</v>
      </c>
      <c r="NK5" t="str">
        <f>_xll.BDS("GE US Equity","SUPPLY_CHAIN_CUSTOMERS_ALL_DATA","cols=12;rows=5")</f>
        <v>3352Z US Equity</v>
      </c>
      <c r="NL5">
        <v>10</v>
      </c>
      <c r="NN5">
        <v>-2.4245362661989844E-14</v>
      </c>
      <c r="NO5" t="s">
        <v>1753</v>
      </c>
      <c r="NP5">
        <v>2025</v>
      </c>
      <c r="NQ5" t="s">
        <v>4410</v>
      </c>
      <c r="NR5" s="6">
        <v>46051</v>
      </c>
      <c r="NS5">
        <v>5</v>
      </c>
      <c r="NT5">
        <v>1146375040</v>
      </c>
      <c r="NU5">
        <v>218252</v>
      </c>
      <c r="NV5" t="s">
        <v>1793</v>
      </c>
      <c r="OA5" t="str">
        <f>_xll.BDS("CRI US Equity","SUPPLY_CHAIN_SUPPLIERS_ALL_DATA","cols=12;rows=5")</f>
        <v>MUST SP Equity</v>
      </c>
      <c r="OB5" t="s">
        <v>1940</v>
      </c>
      <c r="OC5">
        <v>8.3000000000000007</v>
      </c>
      <c r="OD5">
        <v>0.88045399999999996</v>
      </c>
      <c r="OE5" t="s">
        <v>1842</v>
      </c>
      <c r="OF5">
        <v>2025</v>
      </c>
      <c r="OG5" t="s">
        <v>4789</v>
      </c>
      <c r="OH5" s="6">
        <v>45883</v>
      </c>
      <c r="OI5">
        <v>5</v>
      </c>
      <c r="OJ5">
        <v>2505147.5</v>
      </c>
      <c r="OK5">
        <v>46286147</v>
      </c>
      <c r="OL5" t="s">
        <v>3185</v>
      </c>
      <c r="OO5" t="str">
        <f>_xll.BDS("CRI US Equity","SUPPLY_CHAIN_CUSTOMERS_ALL_DATA","cols=12;rows=5")</f>
        <v>AMZN US Equity</v>
      </c>
      <c r="OP5">
        <v>12.337997</v>
      </c>
      <c r="OQ5" t="s">
        <v>1752</v>
      </c>
      <c r="OR5">
        <v>0.105449</v>
      </c>
      <c r="OS5" t="s">
        <v>1774</v>
      </c>
      <c r="OT5">
        <v>2025</v>
      </c>
      <c r="OU5" t="s">
        <v>4165</v>
      </c>
      <c r="OV5" s="6">
        <v>46011</v>
      </c>
      <c r="OW5">
        <v>5</v>
      </c>
      <c r="OX5">
        <v>93501784</v>
      </c>
      <c r="OY5">
        <v>216952</v>
      </c>
      <c r="OZ5" t="s">
        <v>1899</v>
      </c>
      <c r="PE5" t="str">
        <f>_xll.BDS("HAL US Equity","SUPPLY_CHAIN_SUPPLIERS_ALL_DATA","cols=12;rows=5")</f>
        <v>KEMIRA FH Equity</v>
      </c>
      <c r="PF5" t="s">
        <v>1752</v>
      </c>
      <c r="PG5">
        <v>1.939522</v>
      </c>
      <c r="PH5">
        <v>0.30949900000000002</v>
      </c>
      <c r="PI5" t="s">
        <v>1788</v>
      </c>
      <c r="PJ5">
        <v>2025</v>
      </c>
      <c r="PK5" t="s">
        <v>4042</v>
      </c>
      <c r="PL5" s="6">
        <v>45985</v>
      </c>
      <c r="PM5">
        <v>5</v>
      </c>
      <c r="PN5">
        <v>15588229.289999999</v>
      </c>
      <c r="PO5">
        <v>125320</v>
      </c>
      <c r="PP5" t="s">
        <v>4043</v>
      </c>
      <c r="PS5" t="str">
        <f>_xll.BDS("HAL US Equity","SUPPLY_CHAIN_CUSTOMERS_ALL_DATA","cols=12;rows=5")</f>
        <v>0318891D GR Equity</v>
      </c>
      <c r="PT5">
        <v>-2.4245362661989844E-14</v>
      </c>
      <c r="PV5">
        <v>-2.4245362661989844E-14</v>
      </c>
      <c r="PW5" t="s">
        <v>1753</v>
      </c>
      <c r="PX5">
        <v>2024</v>
      </c>
      <c r="PY5" t="s">
        <v>3854</v>
      </c>
      <c r="PZ5" s="6">
        <v>45433</v>
      </c>
      <c r="QA5">
        <v>5</v>
      </c>
      <c r="QB5">
        <v>-2.4245362661989844E-14</v>
      </c>
      <c r="QC5">
        <v>16893145</v>
      </c>
      <c r="QD5" t="s">
        <v>3855</v>
      </c>
      <c r="QI5" t="str">
        <f>_xll.BDS("ACH US Equity","SUPPLY_CHAIN_SUPPLIERS_ALL_DATA","cols=12;rows=5")</f>
        <v>CAH US Equity</v>
      </c>
      <c r="QJ5" t="s">
        <v>1752</v>
      </c>
      <c r="QK5">
        <v>0.38073899999999999</v>
      </c>
      <c r="QL5">
        <v>10.801985999999999</v>
      </c>
      <c r="QM5" t="s">
        <v>1825</v>
      </c>
      <c r="QN5">
        <v>2025</v>
      </c>
      <c r="QO5" t="s">
        <v>3553</v>
      </c>
      <c r="QP5" s="6">
        <v>45954</v>
      </c>
      <c r="QQ5">
        <v>5</v>
      </c>
      <c r="QR5">
        <v>229048768</v>
      </c>
      <c r="QS5">
        <v>102782</v>
      </c>
      <c r="QT5" t="s">
        <v>1991</v>
      </c>
      <c r="QW5" t="str">
        <f>_xll.BDS("ACH US Equity","SUPPLY_CHAIN_CUSTOMERS_ALL_DATA","cols=12;rows=4")</f>
        <v>1339564D US Equity</v>
      </c>
      <c r="QX5">
        <v>33</v>
      </c>
      <c r="QZ5">
        <v>-2.4245362661989844E-14</v>
      </c>
      <c r="RA5" t="s">
        <v>1753</v>
      </c>
      <c r="RB5">
        <v>2024</v>
      </c>
      <c r="RC5" t="s">
        <v>4502</v>
      </c>
      <c r="RD5" s="6">
        <v>45716</v>
      </c>
      <c r="RE5">
        <v>4</v>
      </c>
      <c r="RF5">
        <v>882822848</v>
      </c>
      <c r="RG5">
        <v>48003505</v>
      </c>
      <c r="RH5" t="s">
        <v>3554</v>
      </c>
      <c r="RM5" t="str">
        <f>_xll.BDS("COLB US Equity","SUPPLY_CHAIN_SUPPLIERS_ALL_DATA","cols=12;rows=1")</f>
        <v>INVE US Equity</v>
      </c>
      <c r="RO5">
        <v>-2.4245362661989844E-14</v>
      </c>
      <c r="RP5">
        <v>-2.4245362661989844E-14</v>
      </c>
      <c r="RQ5" t="s">
        <v>1788</v>
      </c>
      <c r="RR5">
        <v>2022</v>
      </c>
      <c r="RS5" t="s">
        <v>5904</v>
      </c>
      <c r="RT5" s="6">
        <v>44882</v>
      </c>
      <c r="RU5">
        <v>1</v>
      </c>
      <c r="RV5">
        <v>-2.4245362661989844E-14</v>
      </c>
      <c r="RW5">
        <v>225752</v>
      </c>
      <c r="RX5" t="s">
        <v>5031</v>
      </c>
      <c r="SA5" t="str">
        <f>_xll.BDS("COLB US Equity","SUPPLY_CHAIN_CUSTOMERS_ALL_DATA")</f>
        <v>#N/A N/A</v>
      </c>
      <c r="SQ5" t="str">
        <f>_xll.BDS("AME US Equity","SUPPLY_CHAIN_SUPPLIERS_ALL_DATA","cols=12;rows=5")</f>
        <v>COHR US Equity</v>
      </c>
      <c r="SR5" t="s">
        <v>1752</v>
      </c>
      <c r="SS5">
        <v>0.78954899999999995</v>
      </c>
      <c r="ST5">
        <v>1.1186320000000001</v>
      </c>
      <c r="SU5" t="s">
        <v>1781</v>
      </c>
      <c r="SV5">
        <v>2026</v>
      </c>
      <c r="SW5" t="s">
        <v>2175</v>
      </c>
      <c r="SX5" s="6">
        <v>45967</v>
      </c>
      <c r="SY5">
        <v>5</v>
      </c>
      <c r="SZ5">
        <v>12485928</v>
      </c>
      <c r="TA5">
        <v>104637</v>
      </c>
      <c r="TB5" t="s">
        <v>2176</v>
      </c>
      <c r="TE5" t="str">
        <f>_xll.BDS("AME US Equity","SUPPLY_CHAIN_CUSTOMERS_ALL_DATA","cols=12;rows=5")</f>
        <v>SNX US Equity</v>
      </c>
      <c r="TF5">
        <v>0.51854</v>
      </c>
      <c r="TG5" t="s">
        <v>1752</v>
      </c>
      <c r="TH5">
        <v>5.5598000000000002E-2</v>
      </c>
      <c r="TI5" t="s">
        <v>1825</v>
      </c>
      <c r="TJ5">
        <v>2025</v>
      </c>
      <c r="TK5" t="s">
        <v>1826</v>
      </c>
      <c r="TL5" s="6">
        <v>46056</v>
      </c>
      <c r="TM5">
        <v>5</v>
      </c>
      <c r="TN5">
        <v>8998197</v>
      </c>
      <c r="TO5">
        <v>1499717</v>
      </c>
      <c r="TP5" t="s">
        <v>1827</v>
      </c>
      <c r="TU5" t="str">
        <f>_xll.BDS("9993232D US Equity","SUPPLY_CHAIN_SUPPLIERS_ALL_DATA")</f>
        <v>#N/A N/A</v>
      </c>
      <c r="UI5" t="str">
        <f>_xll.BDS("9993232D US Equity","SUPPLY_CHAIN_CUSTOMERS_ALL_DATA")</f>
        <v>#N/A N/A</v>
      </c>
      <c r="UY5" t="str">
        <f>_xll.BDS("0687288D US Equity","SUPPLY_CHAIN_SUPPLIERS_ALL_DATA")</f>
        <v>#N/A N/A</v>
      </c>
      <c r="VM5" t="str">
        <f>_xll.BDS("0687288D US Equity","SUPPLY_CHAIN_CUSTOMERS_ALL_DATA")</f>
        <v>#N/A N/A</v>
      </c>
    </row>
    <row r="6" spans="1:600" x14ac:dyDescent="0.25">
      <c r="AE6" t="s">
        <v>3249</v>
      </c>
      <c r="AF6" t="s">
        <v>1752</v>
      </c>
      <c r="AG6">
        <v>0.57902799999999999</v>
      </c>
      <c r="AH6">
        <v>6.0229179999999998</v>
      </c>
      <c r="AI6" t="s">
        <v>1774</v>
      </c>
      <c r="AJ6">
        <v>2025</v>
      </c>
      <c r="AK6" t="s">
        <v>3250</v>
      </c>
      <c r="AL6" s="6">
        <v>45910</v>
      </c>
      <c r="AM6">
        <v>5</v>
      </c>
      <c r="AN6">
        <v>35305629.829999998</v>
      </c>
      <c r="AO6">
        <v>193775</v>
      </c>
      <c r="AP6" t="s">
        <v>3251</v>
      </c>
      <c r="DQ6" t="s">
        <v>226</v>
      </c>
      <c r="DR6" t="s">
        <v>1752</v>
      </c>
      <c r="DS6">
        <v>2.9500000000000001E-4</v>
      </c>
      <c r="DT6">
        <v>0.28482499999999999</v>
      </c>
      <c r="DU6" t="s">
        <v>1788</v>
      </c>
      <c r="DV6">
        <v>2025</v>
      </c>
      <c r="DW6" t="s">
        <v>2491</v>
      </c>
      <c r="DX6" s="6">
        <v>45843</v>
      </c>
      <c r="DY6">
        <v>5</v>
      </c>
      <c r="DZ6">
        <v>206695</v>
      </c>
      <c r="EA6">
        <v>101743</v>
      </c>
      <c r="EB6" t="s">
        <v>2156</v>
      </c>
      <c r="EE6" t="s">
        <v>1831</v>
      </c>
      <c r="EF6">
        <v>0.29458299999999998</v>
      </c>
      <c r="EG6" t="s">
        <v>1752</v>
      </c>
      <c r="EH6">
        <v>1.1786E-2</v>
      </c>
      <c r="EI6" t="s">
        <v>1825</v>
      </c>
      <c r="EJ6">
        <v>2024</v>
      </c>
      <c r="EK6" t="s">
        <v>1832</v>
      </c>
      <c r="EL6" s="6">
        <v>45727</v>
      </c>
      <c r="EM6">
        <v>5</v>
      </c>
      <c r="EN6">
        <v>2601504.2599999998</v>
      </c>
      <c r="EO6">
        <v>876285</v>
      </c>
      <c r="EP6" t="s">
        <v>1833</v>
      </c>
      <c r="EU6" t="s">
        <v>5573</v>
      </c>
      <c r="EV6" t="s">
        <v>1752</v>
      </c>
      <c r="EW6">
        <v>1.0368839999999999</v>
      </c>
      <c r="EX6">
        <v>1.9713000000000001E-2</v>
      </c>
      <c r="EY6" t="s">
        <v>1768</v>
      </c>
      <c r="EZ6">
        <v>2025</v>
      </c>
      <c r="FA6" t="s">
        <v>5574</v>
      </c>
      <c r="FB6" s="6">
        <v>45975</v>
      </c>
      <c r="FC6">
        <v>5</v>
      </c>
      <c r="FD6">
        <v>438049.33</v>
      </c>
      <c r="FE6">
        <v>7994346</v>
      </c>
      <c r="FF6" t="s">
        <v>5575</v>
      </c>
      <c r="FI6" t="s">
        <v>1954</v>
      </c>
      <c r="FJ6">
        <v>0.121521</v>
      </c>
      <c r="FK6" t="s">
        <v>1752</v>
      </c>
      <c r="FL6">
        <v>0.11847199999999999</v>
      </c>
      <c r="FM6" t="s">
        <v>1781</v>
      </c>
      <c r="FN6">
        <v>2025</v>
      </c>
      <c r="FO6" t="s">
        <v>1955</v>
      </c>
      <c r="FP6" s="6">
        <v>45820</v>
      </c>
      <c r="FQ6">
        <v>5</v>
      </c>
      <c r="FR6">
        <v>4829866</v>
      </c>
      <c r="FS6">
        <v>12129192</v>
      </c>
      <c r="FT6" t="s">
        <v>1956</v>
      </c>
      <c r="FY6" t="s">
        <v>3993</v>
      </c>
      <c r="FZ6" t="s">
        <v>1752</v>
      </c>
      <c r="GA6">
        <v>0.47023999999999999</v>
      </c>
      <c r="GB6">
        <v>1.5184E-2</v>
      </c>
      <c r="GC6" t="s">
        <v>1774</v>
      </c>
      <c r="GD6">
        <v>2026</v>
      </c>
      <c r="GE6" t="s">
        <v>3994</v>
      </c>
      <c r="GF6" s="6">
        <v>45979</v>
      </c>
      <c r="GG6">
        <v>5</v>
      </c>
      <c r="GH6">
        <v>27664</v>
      </c>
      <c r="GI6">
        <v>8819707</v>
      </c>
      <c r="GJ6" t="s">
        <v>3995</v>
      </c>
      <c r="GM6" t="s">
        <v>1926</v>
      </c>
      <c r="GN6">
        <v>0.111944</v>
      </c>
      <c r="GO6" t="s">
        <v>1940</v>
      </c>
      <c r="GP6">
        <v>4.2687000000000003E-2</v>
      </c>
      <c r="GQ6" t="s">
        <v>1788</v>
      </c>
      <c r="GR6">
        <v>2024</v>
      </c>
      <c r="GS6" t="s">
        <v>1927</v>
      </c>
      <c r="GT6" s="6">
        <v>45727</v>
      </c>
      <c r="GU6">
        <v>5</v>
      </c>
      <c r="GV6">
        <v>1361123.17</v>
      </c>
      <c r="GW6">
        <v>7583418</v>
      </c>
      <c r="GX6" t="s">
        <v>1928</v>
      </c>
      <c r="MW6" t="s">
        <v>2602</v>
      </c>
      <c r="MX6" t="s">
        <v>1752</v>
      </c>
      <c r="MY6">
        <v>13.760432</v>
      </c>
      <c r="MZ6">
        <v>4.7536569999999996</v>
      </c>
      <c r="NA6" t="s">
        <v>1774</v>
      </c>
      <c r="NB6">
        <v>2025</v>
      </c>
      <c r="NC6" t="s">
        <v>2603</v>
      </c>
      <c r="ND6" s="6">
        <v>45937</v>
      </c>
      <c r="NE6">
        <v>5</v>
      </c>
      <c r="NF6">
        <v>325305405.77999997</v>
      </c>
      <c r="NG6">
        <v>8445936</v>
      </c>
      <c r="NH6" t="s">
        <v>2604</v>
      </c>
      <c r="NK6" t="s">
        <v>3366</v>
      </c>
      <c r="NL6">
        <v>9.2636719999999997</v>
      </c>
      <c r="NM6" t="s">
        <v>1752</v>
      </c>
      <c r="NN6">
        <v>5.0267530000000002</v>
      </c>
      <c r="NO6" t="s">
        <v>1774</v>
      </c>
      <c r="NP6">
        <v>2025</v>
      </c>
      <c r="NQ6" t="s">
        <v>2518</v>
      </c>
      <c r="NR6" s="6">
        <v>45888</v>
      </c>
      <c r="NS6">
        <v>5</v>
      </c>
      <c r="NT6">
        <v>1021134592</v>
      </c>
      <c r="NU6">
        <v>100211</v>
      </c>
      <c r="NV6" t="s">
        <v>3368</v>
      </c>
      <c r="OA6" t="s">
        <v>4790</v>
      </c>
      <c r="OB6" t="s">
        <v>1940</v>
      </c>
      <c r="OC6">
        <v>1.796896</v>
      </c>
      <c r="OD6">
        <v>0.85958699999999999</v>
      </c>
      <c r="OE6" t="s">
        <v>1753</v>
      </c>
      <c r="OF6">
        <v>2024</v>
      </c>
      <c r="OG6" t="s">
        <v>4791</v>
      </c>
      <c r="OH6" s="6">
        <v>45709</v>
      </c>
      <c r="OI6">
        <v>5</v>
      </c>
      <c r="OJ6">
        <v>2363201</v>
      </c>
      <c r="OK6">
        <v>108536</v>
      </c>
      <c r="OL6" t="s">
        <v>4792</v>
      </c>
      <c r="OO6" t="s">
        <v>2750</v>
      </c>
      <c r="OP6">
        <v>10.76221</v>
      </c>
      <c r="OQ6" t="s">
        <v>1752</v>
      </c>
      <c r="OR6">
        <v>6.0546999999999997E-2</v>
      </c>
      <c r="OS6" t="s">
        <v>1774</v>
      </c>
      <c r="OT6">
        <v>2025</v>
      </c>
      <c r="OU6" t="s">
        <v>4165</v>
      </c>
      <c r="OV6" s="6">
        <v>46011</v>
      </c>
      <c r="OW6">
        <v>5</v>
      </c>
      <c r="OX6">
        <v>81559904</v>
      </c>
      <c r="OY6">
        <v>101616</v>
      </c>
      <c r="OZ6" t="s">
        <v>2752</v>
      </c>
      <c r="PE6" t="s">
        <v>4044</v>
      </c>
      <c r="PF6" t="s">
        <v>1752</v>
      </c>
      <c r="PG6">
        <v>0.27696199999999999</v>
      </c>
      <c r="PH6">
        <v>0.10642600000000001</v>
      </c>
      <c r="PI6" t="s">
        <v>1774</v>
      </c>
      <c r="PJ6">
        <v>2025</v>
      </c>
      <c r="PK6" t="s">
        <v>4045</v>
      </c>
      <c r="PL6" s="6">
        <v>45917</v>
      </c>
      <c r="PM6">
        <v>5</v>
      </c>
      <c r="PN6">
        <v>5197870.25</v>
      </c>
      <c r="PO6">
        <v>23059377</v>
      </c>
      <c r="PP6" t="s">
        <v>4046</v>
      </c>
      <c r="PS6" t="s">
        <v>3856</v>
      </c>
      <c r="PT6">
        <v>-2.4245362661989844E-14</v>
      </c>
      <c r="PV6">
        <v>-2.4245362661989844E-14</v>
      </c>
      <c r="PW6" t="s">
        <v>1753</v>
      </c>
      <c r="PX6">
        <v>2024</v>
      </c>
      <c r="PY6" t="s">
        <v>3857</v>
      </c>
      <c r="PZ6" s="6">
        <v>45863</v>
      </c>
      <c r="QA6">
        <v>5</v>
      </c>
      <c r="QB6">
        <v>-2.4245362661989844E-14</v>
      </c>
      <c r="QC6">
        <v>28626174</v>
      </c>
      <c r="QD6" t="s">
        <v>3858</v>
      </c>
      <c r="QI6" t="s">
        <v>560</v>
      </c>
      <c r="QJ6" t="s">
        <v>1752</v>
      </c>
      <c r="QK6">
        <v>0.96265599999999996</v>
      </c>
      <c r="QL6">
        <v>6.652323</v>
      </c>
      <c r="QM6" t="s">
        <v>1774</v>
      </c>
      <c r="QN6">
        <v>2025</v>
      </c>
      <c r="QO6" t="s">
        <v>2210</v>
      </c>
      <c r="QP6" s="6">
        <v>45914</v>
      </c>
      <c r="QQ6">
        <v>5</v>
      </c>
      <c r="QR6">
        <v>141057984</v>
      </c>
      <c r="QS6">
        <v>101166</v>
      </c>
      <c r="QT6" t="s">
        <v>2211</v>
      </c>
      <c r="QW6" t="s">
        <v>3555</v>
      </c>
      <c r="QX6">
        <v>21</v>
      </c>
      <c r="QZ6">
        <v>-2.4245362661989844E-14</v>
      </c>
      <c r="RA6" t="s">
        <v>1753</v>
      </c>
      <c r="RB6">
        <v>2024</v>
      </c>
      <c r="RC6" t="s">
        <v>4502</v>
      </c>
      <c r="RD6" s="6">
        <v>45716</v>
      </c>
      <c r="RE6">
        <v>4</v>
      </c>
      <c r="RF6">
        <v>561796352</v>
      </c>
      <c r="RG6">
        <v>353064</v>
      </c>
      <c r="RH6" t="s">
        <v>3556</v>
      </c>
      <c r="SQ6" t="s">
        <v>2177</v>
      </c>
      <c r="SR6" t="s">
        <v>1752</v>
      </c>
      <c r="SS6">
        <v>19.696718000000001</v>
      </c>
      <c r="ST6">
        <v>3.3241E-2</v>
      </c>
      <c r="SU6" t="s">
        <v>1774</v>
      </c>
      <c r="SV6">
        <v>2025</v>
      </c>
      <c r="SW6" t="s">
        <v>2178</v>
      </c>
      <c r="SX6" s="6">
        <v>45686</v>
      </c>
      <c r="SY6">
        <v>5</v>
      </c>
      <c r="SZ6">
        <v>350070</v>
      </c>
      <c r="TA6">
        <v>182091</v>
      </c>
      <c r="TB6" t="s">
        <v>2179</v>
      </c>
      <c r="TE6" t="s">
        <v>1458</v>
      </c>
      <c r="TF6">
        <v>0.167073</v>
      </c>
      <c r="TG6" t="s">
        <v>1828</v>
      </c>
      <c r="TH6">
        <v>0.27559099999999997</v>
      </c>
      <c r="TI6" t="s">
        <v>1788</v>
      </c>
      <c r="TJ6">
        <v>2025</v>
      </c>
      <c r="TK6" t="s">
        <v>1829</v>
      </c>
      <c r="TL6" s="6">
        <v>45904</v>
      </c>
      <c r="TM6">
        <v>5</v>
      </c>
      <c r="TN6">
        <v>2899217</v>
      </c>
      <c r="TO6">
        <v>100438</v>
      </c>
      <c r="TP6" t="s">
        <v>1830</v>
      </c>
    </row>
    <row r="7" spans="1:600" x14ac:dyDescent="0.25">
      <c r="AE7" t="s">
        <v>2961</v>
      </c>
      <c r="AF7" t="s">
        <v>1752</v>
      </c>
      <c r="AG7">
        <v>3.2333000000000001E-2</v>
      </c>
      <c r="AH7">
        <v>1.1327039999999999</v>
      </c>
      <c r="AI7" t="s">
        <v>1774</v>
      </c>
      <c r="AJ7">
        <v>2026</v>
      </c>
      <c r="AK7" t="s">
        <v>3252</v>
      </c>
      <c r="AL7" s="6">
        <v>46049</v>
      </c>
      <c r="AM7">
        <v>5</v>
      </c>
      <c r="AN7">
        <v>6817492</v>
      </c>
      <c r="AO7">
        <v>101365</v>
      </c>
      <c r="AP7" t="s">
        <v>2963</v>
      </c>
      <c r="DQ7" t="s">
        <v>5769</v>
      </c>
      <c r="DS7">
        <v>-2.4245362661989844E-14</v>
      </c>
      <c r="DT7">
        <v>-2.4245362661989844E-14</v>
      </c>
      <c r="DU7" t="s">
        <v>1753</v>
      </c>
      <c r="DV7">
        <v>2023</v>
      </c>
      <c r="DW7" t="s">
        <v>5770</v>
      </c>
      <c r="DX7" s="6">
        <v>45288</v>
      </c>
      <c r="DY7">
        <v>5</v>
      </c>
      <c r="DZ7">
        <v>-2.4245362661989844E-14</v>
      </c>
      <c r="EA7">
        <v>24943849</v>
      </c>
      <c r="EB7" t="s">
        <v>5771</v>
      </c>
      <c r="EE7" t="s">
        <v>2462</v>
      </c>
      <c r="EF7">
        <v>7.5909000000000004E-2</v>
      </c>
      <c r="EG7" t="s">
        <v>1828</v>
      </c>
      <c r="EH7">
        <v>4.3750999999999998E-2</v>
      </c>
      <c r="EI7" t="s">
        <v>1781</v>
      </c>
      <c r="EJ7">
        <v>2025</v>
      </c>
      <c r="EK7" t="s">
        <v>2463</v>
      </c>
      <c r="EL7" s="6">
        <v>45818</v>
      </c>
      <c r="EM7">
        <v>5</v>
      </c>
      <c r="EN7">
        <v>383259</v>
      </c>
      <c r="EO7">
        <v>143027</v>
      </c>
      <c r="EP7" t="s">
        <v>2464</v>
      </c>
      <c r="EU7" t="s">
        <v>2106</v>
      </c>
      <c r="EV7" t="s">
        <v>1828</v>
      </c>
      <c r="EW7">
        <v>2.2953000000000001E-2</v>
      </c>
      <c r="EX7">
        <v>0.34573199999999998</v>
      </c>
      <c r="EY7" t="s">
        <v>1774</v>
      </c>
      <c r="EZ7">
        <v>2025</v>
      </c>
      <c r="FA7" t="s">
        <v>2107</v>
      </c>
      <c r="FB7" s="6">
        <v>45922</v>
      </c>
      <c r="FC7">
        <v>5</v>
      </c>
      <c r="FD7">
        <v>395808.42</v>
      </c>
      <c r="FE7">
        <v>186659</v>
      </c>
      <c r="FF7" t="s">
        <v>2108</v>
      </c>
      <c r="FI7" t="s">
        <v>2817</v>
      </c>
      <c r="FJ7">
        <v>8.0078999999999997E-2</v>
      </c>
      <c r="FK7" t="s">
        <v>1752</v>
      </c>
      <c r="FL7">
        <v>5.1369999999999999E-2</v>
      </c>
      <c r="FM7" t="s">
        <v>1774</v>
      </c>
      <c r="FN7">
        <v>2025</v>
      </c>
      <c r="FO7" t="s">
        <v>2818</v>
      </c>
      <c r="FP7" s="6">
        <v>45943</v>
      </c>
      <c r="FQ7">
        <v>5</v>
      </c>
      <c r="FR7">
        <v>3182731</v>
      </c>
      <c r="FS7">
        <v>101754</v>
      </c>
      <c r="FT7" t="s">
        <v>2819</v>
      </c>
      <c r="FY7" t="s">
        <v>2928</v>
      </c>
      <c r="FZ7" t="s">
        <v>1752</v>
      </c>
      <c r="GA7">
        <v>1.81E-3</v>
      </c>
      <c r="GB7">
        <v>3.0500000000000002E-3</v>
      </c>
      <c r="GC7" t="s">
        <v>1825</v>
      </c>
      <c r="GD7">
        <v>2025</v>
      </c>
      <c r="GE7" t="s">
        <v>2929</v>
      </c>
      <c r="GF7" s="6">
        <v>46018</v>
      </c>
      <c r="GG7">
        <v>5</v>
      </c>
      <c r="GH7">
        <v>5557</v>
      </c>
      <c r="GI7">
        <v>916504</v>
      </c>
      <c r="GJ7" t="s">
        <v>2930</v>
      </c>
      <c r="GM7" t="s">
        <v>1941</v>
      </c>
      <c r="GN7">
        <v>-2.4245362661989844E-14</v>
      </c>
      <c r="GP7">
        <v>-2.4245362661989844E-14</v>
      </c>
      <c r="GQ7" t="s">
        <v>1753</v>
      </c>
      <c r="GR7">
        <v>2023</v>
      </c>
      <c r="GS7" t="s">
        <v>1942</v>
      </c>
      <c r="GT7" s="6">
        <v>45219</v>
      </c>
      <c r="GU7">
        <v>5</v>
      </c>
      <c r="GV7">
        <v>-2.4245362661989844E-14</v>
      </c>
      <c r="GW7">
        <v>153737</v>
      </c>
      <c r="GX7" t="s">
        <v>1943</v>
      </c>
      <c r="MW7" t="s">
        <v>2605</v>
      </c>
      <c r="MX7" t="s">
        <v>1752</v>
      </c>
      <c r="MY7">
        <v>11</v>
      </c>
      <c r="MZ7">
        <v>3.1337429999999999</v>
      </c>
      <c r="NA7" t="s">
        <v>1753</v>
      </c>
      <c r="NB7">
        <v>2025</v>
      </c>
      <c r="NC7" t="s">
        <v>2606</v>
      </c>
      <c r="ND7" s="6">
        <v>46065</v>
      </c>
      <c r="NE7">
        <v>5</v>
      </c>
      <c r="NF7">
        <v>226930000</v>
      </c>
      <c r="NG7">
        <v>59099358</v>
      </c>
      <c r="NH7" t="s">
        <v>2607</v>
      </c>
      <c r="NK7" t="s">
        <v>1831</v>
      </c>
      <c r="NL7">
        <v>4.5319979999999997</v>
      </c>
      <c r="NM7" t="s">
        <v>1752</v>
      </c>
      <c r="NN7">
        <v>3.2162160000000002</v>
      </c>
      <c r="NO7" t="s">
        <v>1774</v>
      </c>
      <c r="NP7">
        <v>2025</v>
      </c>
      <c r="NQ7" t="s">
        <v>2518</v>
      </c>
      <c r="NR7" s="6">
        <v>45888</v>
      </c>
      <c r="NS7">
        <v>5</v>
      </c>
      <c r="NT7">
        <v>499562144</v>
      </c>
      <c r="NU7">
        <v>876285</v>
      </c>
      <c r="NV7" t="s">
        <v>1833</v>
      </c>
      <c r="OA7" t="s">
        <v>4793</v>
      </c>
      <c r="OB7" t="s">
        <v>1940</v>
      </c>
      <c r="OC7">
        <v>0.9</v>
      </c>
      <c r="OD7">
        <v>0.54882699999999995</v>
      </c>
      <c r="OE7" t="s">
        <v>1753</v>
      </c>
      <c r="OF7">
        <v>2024</v>
      </c>
      <c r="OG7" t="s">
        <v>4794</v>
      </c>
      <c r="OH7" s="6">
        <v>45700</v>
      </c>
      <c r="OI7">
        <v>5</v>
      </c>
      <c r="OJ7">
        <v>1508480.24</v>
      </c>
      <c r="OK7">
        <v>310269</v>
      </c>
      <c r="OL7" t="s">
        <v>4795</v>
      </c>
      <c r="OO7" t="s">
        <v>2797</v>
      </c>
      <c r="OP7">
        <v>7.1730109999999998</v>
      </c>
      <c r="OQ7" t="s">
        <v>1752</v>
      </c>
      <c r="OR7">
        <v>0.29971700000000001</v>
      </c>
      <c r="OS7" t="s">
        <v>1774</v>
      </c>
      <c r="OT7">
        <v>2025</v>
      </c>
      <c r="OU7" t="s">
        <v>4165</v>
      </c>
      <c r="OV7" s="6">
        <v>46011</v>
      </c>
      <c r="OW7">
        <v>5</v>
      </c>
      <c r="OX7">
        <v>54359660</v>
      </c>
      <c r="OY7">
        <v>100436</v>
      </c>
      <c r="OZ7" t="s">
        <v>2798</v>
      </c>
      <c r="PE7" t="s">
        <v>3660</v>
      </c>
      <c r="PF7" t="s">
        <v>1828</v>
      </c>
      <c r="PG7">
        <v>0.37539699999999998</v>
      </c>
      <c r="PH7">
        <v>1.0442119999999999</v>
      </c>
      <c r="PI7" t="s">
        <v>1788</v>
      </c>
      <c r="PJ7">
        <v>2025</v>
      </c>
      <c r="PK7" t="s">
        <v>3661</v>
      </c>
      <c r="PL7" s="6">
        <v>45979</v>
      </c>
      <c r="PM7">
        <v>5</v>
      </c>
      <c r="PN7">
        <v>4067952.52</v>
      </c>
      <c r="PO7">
        <v>115557</v>
      </c>
      <c r="PP7" t="s">
        <v>3662</v>
      </c>
      <c r="PS7" t="s">
        <v>3859</v>
      </c>
      <c r="PT7">
        <v>-2.4245362661989844E-14</v>
      </c>
      <c r="PV7">
        <v>-2.4245362661989844E-14</v>
      </c>
      <c r="PW7" t="s">
        <v>1753</v>
      </c>
      <c r="PX7">
        <v>2022</v>
      </c>
      <c r="PY7" t="s">
        <v>3854</v>
      </c>
      <c r="PZ7" s="6">
        <v>44804</v>
      </c>
      <c r="QA7">
        <v>5</v>
      </c>
      <c r="QB7">
        <v>-2.4245362661989844E-14</v>
      </c>
      <c r="QC7">
        <v>70486837</v>
      </c>
      <c r="QD7" t="s">
        <v>3860</v>
      </c>
      <c r="QI7" t="s">
        <v>4890</v>
      </c>
      <c r="QJ7" t="s">
        <v>1752</v>
      </c>
      <c r="QK7">
        <v>0.260772</v>
      </c>
      <c r="QL7">
        <v>0.513567</v>
      </c>
      <c r="QM7" t="s">
        <v>1774</v>
      </c>
      <c r="QN7">
        <v>2025</v>
      </c>
      <c r="QO7" t="s">
        <v>4891</v>
      </c>
      <c r="QP7" s="6">
        <v>45882</v>
      </c>
      <c r="QQ7">
        <v>5</v>
      </c>
      <c r="QR7">
        <v>10889839</v>
      </c>
      <c r="QS7">
        <v>107244</v>
      </c>
      <c r="QT7" t="s">
        <v>4892</v>
      </c>
      <c r="QW7" t="s">
        <v>1910</v>
      </c>
      <c r="QX7">
        <v>10</v>
      </c>
      <c r="QY7" t="s">
        <v>1752</v>
      </c>
      <c r="QZ7">
        <v>1.781817</v>
      </c>
      <c r="RA7" t="s">
        <v>1753</v>
      </c>
      <c r="RB7">
        <v>2024</v>
      </c>
      <c r="RC7" t="s">
        <v>4502</v>
      </c>
      <c r="RD7" s="6">
        <v>45716</v>
      </c>
      <c r="RE7">
        <v>4</v>
      </c>
      <c r="RF7">
        <v>267522080</v>
      </c>
      <c r="RG7">
        <v>21445200</v>
      </c>
      <c r="RH7" t="s">
        <v>1911</v>
      </c>
      <c r="SQ7" t="s">
        <v>2180</v>
      </c>
      <c r="SR7" t="s">
        <v>1752</v>
      </c>
      <c r="SS7">
        <v>1.057606</v>
      </c>
      <c r="ST7">
        <v>1.4137E-2</v>
      </c>
      <c r="SU7" t="s">
        <v>1825</v>
      </c>
      <c r="SV7">
        <v>2024</v>
      </c>
      <c r="SW7" t="s">
        <v>2181</v>
      </c>
      <c r="SX7" s="6">
        <v>45770</v>
      </c>
      <c r="SY7">
        <v>5</v>
      </c>
      <c r="SZ7">
        <v>157795</v>
      </c>
      <c r="TA7">
        <v>1176738</v>
      </c>
      <c r="TB7" t="s">
        <v>2182</v>
      </c>
      <c r="TE7" t="s">
        <v>1831</v>
      </c>
      <c r="TF7">
        <v>1.3025999999999999E-2</v>
      </c>
      <c r="TG7" t="s">
        <v>1752</v>
      </c>
      <c r="TH7">
        <v>1.526E-3</v>
      </c>
      <c r="TI7" t="s">
        <v>1774</v>
      </c>
      <c r="TJ7">
        <v>2025</v>
      </c>
      <c r="TK7" t="s">
        <v>1832</v>
      </c>
      <c r="TL7" s="6">
        <v>45874</v>
      </c>
      <c r="TM7">
        <v>5</v>
      </c>
      <c r="TN7">
        <v>236860.83</v>
      </c>
      <c r="TO7">
        <v>876285</v>
      </c>
      <c r="TP7" t="s">
        <v>1833</v>
      </c>
    </row>
    <row r="8" spans="1:600" x14ac:dyDescent="0.25">
      <c r="AE8" t="s">
        <v>3253</v>
      </c>
      <c r="AF8" t="s">
        <v>1752</v>
      </c>
      <c r="AG8">
        <v>2.3578999999999999E-2</v>
      </c>
      <c r="AH8">
        <v>0.13633799999999999</v>
      </c>
      <c r="AI8" t="s">
        <v>1781</v>
      </c>
      <c r="AJ8">
        <v>2025</v>
      </c>
      <c r="AK8" t="s">
        <v>3254</v>
      </c>
      <c r="AL8" s="6">
        <v>45849</v>
      </c>
      <c r="AM8">
        <v>5</v>
      </c>
      <c r="AN8">
        <v>853796</v>
      </c>
      <c r="AO8">
        <v>101655</v>
      </c>
      <c r="AP8" t="s">
        <v>3255</v>
      </c>
      <c r="DQ8" t="s">
        <v>5772</v>
      </c>
      <c r="DS8">
        <v>-2.4245362661989844E-14</v>
      </c>
      <c r="DT8">
        <v>-2.4245362661989844E-14</v>
      </c>
      <c r="DU8" t="s">
        <v>1753</v>
      </c>
      <c r="DV8">
        <v>2025</v>
      </c>
      <c r="DW8" t="s">
        <v>4398</v>
      </c>
      <c r="DX8" s="6">
        <v>45700</v>
      </c>
      <c r="DY8">
        <v>5</v>
      </c>
      <c r="DZ8">
        <v>-2.4245362661989844E-14</v>
      </c>
      <c r="EA8">
        <v>49686350</v>
      </c>
      <c r="EB8" t="s">
        <v>5773</v>
      </c>
      <c r="EE8" t="s">
        <v>4394</v>
      </c>
      <c r="EF8">
        <v>-2.4245362661989844E-14</v>
      </c>
      <c r="EH8">
        <v>-2.4245362661989844E-14</v>
      </c>
      <c r="EI8" t="s">
        <v>1753</v>
      </c>
      <c r="EJ8">
        <v>2023</v>
      </c>
      <c r="EK8" t="s">
        <v>4395</v>
      </c>
      <c r="EL8" s="6">
        <v>45380</v>
      </c>
      <c r="EM8">
        <v>5</v>
      </c>
      <c r="EN8">
        <v>-2.4245362661989844E-14</v>
      </c>
      <c r="EO8">
        <v>17242472</v>
      </c>
      <c r="EP8" t="s">
        <v>4396</v>
      </c>
      <c r="EU8" t="s">
        <v>5576</v>
      </c>
      <c r="EV8" t="s">
        <v>1752</v>
      </c>
      <c r="EW8">
        <v>0.181979</v>
      </c>
      <c r="EX8">
        <v>8.0459999999999993E-3</v>
      </c>
      <c r="EY8" t="s">
        <v>1774</v>
      </c>
      <c r="EZ8">
        <v>2026</v>
      </c>
      <c r="FA8" t="s">
        <v>5577</v>
      </c>
      <c r="FB8" s="6">
        <v>46056</v>
      </c>
      <c r="FC8">
        <v>5</v>
      </c>
      <c r="FD8">
        <v>170799.32</v>
      </c>
      <c r="FE8">
        <v>8061855</v>
      </c>
      <c r="FF8" t="s">
        <v>5578</v>
      </c>
      <c r="FI8" t="s">
        <v>1547</v>
      </c>
      <c r="FJ8">
        <v>5.5352999999999999E-2</v>
      </c>
      <c r="FK8" t="s">
        <v>1752</v>
      </c>
      <c r="FL8">
        <v>3.6423999999999998E-2</v>
      </c>
      <c r="FM8" t="s">
        <v>1781</v>
      </c>
      <c r="FN8">
        <v>2025</v>
      </c>
      <c r="FO8" t="s">
        <v>2157</v>
      </c>
      <c r="FP8" s="6">
        <v>45784</v>
      </c>
      <c r="FQ8">
        <v>5</v>
      </c>
      <c r="FR8">
        <v>2200019</v>
      </c>
      <c r="FS8">
        <v>100115</v>
      </c>
      <c r="FT8" t="s">
        <v>1922</v>
      </c>
      <c r="FY8" t="s">
        <v>3996</v>
      </c>
      <c r="GA8">
        <v>-2.4245362661989844E-14</v>
      </c>
      <c r="GB8">
        <v>-2.4245362661989844E-14</v>
      </c>
      <c r="GC8" t="s">
        <v>1768</v>
      </c>
      <c r="GD8">
        <v>2025</v>
      </c>
      <c r="GE8" t="s">
        <v>3997</v>
      </c>
      <c r="GF8" s="6">
        <v>45975</v>
      </c>
      <c r="GG8">
        <v>5</v>
      </c>
      <c r="GH8">
        <v>-2.4245362661989844E-14</v>
      </c>
      <c r="GI8">
        <v>69599645</v>
      </c>
      <c r="GJ8" t="s">
        <v>3998</v>
      </c>
      <c r="GM8" t="s">
        <v>1944</v>
      </c>
      <c r="GN8">
        <v>-2.4245362661989844E-14</v>
      </c>
      <c r="GP8">
        <v>-2.4245362661989844E-14</v>
      </c>
      <c r="GQ8" t="s">
        <v>1753</v>
      </c>
      <c r="GR8">
        <v>2024</v>
      </c>
      <c r="GS8" t="s">
        <v>1945</v>
      </c>
      <c r="GT8" s="6">
        <v>45755</v>
      </c>
      <c r="GU8">
        <v>5</v>
      </c>
      <c r="GV8">
        <v>-2.4245362661989844E-14</v>
      </c>
      <c r="GW8">
        <v>7940946</v>
      </c>
      <c r="GX8" t="s">
        <v>1946</v>
      </c>
      <c r="MW8" t="s">
        <v>2608</v>
      </c>
      <c r="MX8" t="s">
        <v>1752</v>
      </c>
      <c r="MY8">
        <v>8.8672269999999997</v>
      </c>
      <c r="MZ8">
        <v>1.980351</v>
      </c>
      <c r="NA8" t="s">
        <v>1774</v>
      </c>
      <c r="NB8">
        <v>2025</v>
      </c>
      <c r="NC8" t="s">
        <v>2609</v>
      </c>
      <c r="ND8" s="6">
        <v>45922</v>
      </c>
      <c r="NE8">
        <v>5</v>
      </c>
      <c r="NF8">
        <v>135574848</v>
      </c>
      <c r="NG8">
        <v>11937231</v>
      </c>
      <c r="NH8" t="s">
        <v>2610</v>
      </c>
      <c r="NK8" t="s">
        <v>4352</v>
      </c>
      <c r="NL8">
        <v>3.2472560000000001</v>
      </c>
      <c r="NM8" t="s">
        <v>1752</v>
      </c>
      <c r="NN8">
        <v>2.573108</v>
      </c>
      <c r="NO8" t="s">
        <v>1774</v>
      </c>
      <c r="NP8">
        <v>2025</v>
      </c>
      <c r="NQ8" t="s">
        <v>2518</v>
      </c>
      <c r="NR8" s="6">
        <v>45888</v>
      </c>
      <c r="NS8">
        <v>5</v>
      </c>
      <c r="NT8">
        <v>357945024</v>
      </c>
      <c r="NU8">
        <v>10451815</v>
      </c>
      <c r="NV8" t="s">
        <v>4353</v>
      </c>
      <c r="OA8" t="s">
        <v>4796</v>
      </c>
      <c r="OB8" t="s">
        <v>1752</v>
      </c>
      <c r="OC8">
        <v>7.6872999999999997E-2</v>
      </c>
      <c r="OD8">
        <v>6.8477999999999997E-2</v>
      </c>
      <c r="OE8" t="s">
        <v>1825</v>
      </c>
      <c r="OF8">
        <v>2024</v>
      </c>
      <c r="OG8" t="s">
        <v>4797</v>
      </c>
      <c r="OH8" s="6">
        <v>45814</v>
      </c>
      <c r="OI8">
        <v>5</v>
      </c>
      <c r="OJ8">
        <v>235822.22</v>
      </c>
      <c r="OK8">
        <v>7826393</v>
      </c>
      <c r="OL8" t="s">
        <v>4798</v>
      </c>
      <c r="OO8" t="s">
        <v>2325</v>
      </c>
      <c r="OP8">
        <v>3.1533899999999999</v>
      </c>
      <c r="OQ8" t="s">
        <v>1752</v>
      </c>
      <c r="OR8">
        <v>0.23451900000000001</v>
      </c>
      <c r="OS8" t="s">
        <v>1774</v>
      </c>
      <c r="OT8">
        <v>2025</v>
      </c>
      <c r="OU8" t="s">
        <v>4165</v>
      </c>
      <c r="OV8" s="6">
        <v>46011</v>
      </c>
      <c r="OW8">
        <v>5</v>
      </c>
      <c r="OX8">
        <v>23897524</v>
      </c>
      <c r="OY8">
        <v>101481</v>
      </c>
      <c r="OZ8" t="s">
        <v>2327</v>
      </c>
      <c r="PE8" t="s">
        <v>4047</v>
      </c>
      <c r="PF8" t="s">
        <v>1752</v>
      </c>
      <c r="PG8">
        <v>0.68987299999999996</v>
      </c>
      <c r="PH8">
        <v>6.7391999999999994E-2</v>
      </c>
      <c r="PI8" t="s">
        <v>1774</v>
      </c>
      <c r="PJ8">
        <v>2026</v>
      </c>
      <c r="PK8" t="s">
        <v>4048</v>
      </c>
      <c r="PL8" s="6">
        <v>45966</v>
      </c>
      <c r="PM8">
        <v>5</v>
      </c>
      <c r="PN8">
        <v>3140992</v>
      </c>
      <c r="PO8">
        <v>9777162</v>
      </c>
      <c r="PP8" t="s">
        <v>4049</v>
      </c>
      <c r="PS8" t="s">
        <v>3861</v>
      </c>
      <c r="PT8">
        <v>-2.4245362661989844E-14</v>
      </c>
      <c r="PV8">
        <v>-2.4245362661989844E-14</v>
      </c>
      <c r="PW8" t="s">
        <v>1753</v>
      </c>
      <c r="PX8">
        <v>2023</v>
      </c>
      <c r="PY8" t="s">
        <v>3854</v>
      </c>
      <c r="PZ8" s="6">
        <v>45089</v>
      </c>
      <c r="QA8">
        <v>5</v>
      </c>
      <c r="QB8">
        <v>-2.4245362661989844E-14</v>
      </c>
      <c r="QC8">
        <v>20718267</v>
      </c>
      <c r="QD8" t="s">
        <v>3862</v>
      </c>
      <c r="QI8" t="s">
        <v>3104</v>
      </c>
      <c r="QK8">
        <v>-2.4245362661989844E-14</v>
      </c>
      <c r="QL8">
        <v>-2.4245362661989844E-14</v>
      </c>
      <c r="QM8" t="s">
        <v>1753</v>
      </c>
      <c r="QN8">
        <v>2022</v>
      </c>
      <c r="QO8" t="s">
        <v>3105</v>
      </c>
      <c r="QP8" s="6">
        <v>44693</v>
      </c>
      <c r="QQ8">
        <v>5</v>
      </c>
      <c r="QR8">
        <v>-2.4245362661989844E-14</v>
      </c>
      <c r="QS8">
        <v>114991</v>
      </c>
      <c r="QT8" t="s">
        <v>3106</v>
      </c>
      <c r="QW8" t="s">
        <v>4503</v>
      </c>
      <c r="QX8">
        <v>-2.4245362661989844E-14</v>
      </c>
      <c r="QZ8">
        <v>-2.4245362661989844E-14</v>
      </c>
      <c r="RA8" t="s">
        <v>1753</v>
      </c>
      <c r="RB8">
        <v>2021</v>
      </c>
      <c r="RC8" t="s">
        <v>4504</v>
      </c>
      <c r="RD8" s="6">
        <v>44650</v>
      </c>
      <c r="RE8">
        <v>4</v>
      </c>
      <c r="RF8">
        <v>-2.4245362661989844E-14</v>
      </c>
      <c r="RG8">
        <v>9371524</v>
      </c>
      <c r="RH8" t="s">
        <v>4505</v>
      </c>
      <c r="SQ8" t="s">
        <v>2183</v>
      </c>
      <c r="SR8" t="s">
        <v>1752</v>
      </c>
      <c r="SS8">
        <v>1.3960000000000001E-3</v>
      </c>
      <c r="ST8">
        <v>9.2500000000000004E-4</v>
      </c>
      <c r="SU8" t="s">
        <v>1781</v>
      </c>
      <c r="SV8">
        <v>2026</v>
      </c>
      <c r="SW8" t="s">
        <v>2184</v>
      </c>
      <c r="SX8" s="6">
        <v>45925</v>
      </c>
      <c r="SY8">
        <v>5</v>
      </c>
      <c r="SZ8">
        <v>10325</v>
      </c>
      <c r="TA8">
        <v>100001</v>
      </c>
      <c r="TB8" t="s">
        <v>2185</v>
      </c>
      <c r="TE8" t="s">
        <v>670</v>
      </c>
      <c r="TF8">
        <v>6.9740000000000002E-3</v>
      </c>
      <c r="TG8" t="s">
        <v>1828</v>
      </c>
      <c r="TH8">
        <v>0.28678999999999999</v>
      </c>
      <c r="TI8" t="s">
        <v>1774</v>
      </c>
      <c r="TJ8">
        <v>2025</v>
      </c>
      <c r="TK8" t="s">
        <v>1834</v>
      </c>
      <c r="TL8" s="6">
        <v>45876</v>
      </c>
      <c r="TM8">
        <v>5</v>
      </c>
      <c r="TN8">
        <v>121025</v>
      </c>
      <c r="TO8">
        <v>101930</v>
      </c>
      <c r="TP8" t="s">
        <v>1835</v>
      </c>
    </row>
    <row r="9" spans="1:600" x14ac:dyDescent="0.25">
      <c r="AE9" t="s">
        <v>3256</v>
      </c>
      <c r="AF9" t="s">
        <v>1752</v>
      </c>
      <c r="AG9">
        <v>8.1049999999999994E-3</v>
      </c>
      <c r="AH9">
        <v>3.3024999999999999E-2</v>
      </c>
      <c r="AI9" t="s">
        <v>1788</v>
      </c>
      <c r="AJ9">
        <v>2025</v>
      </c>
      <c r="AK9" t="s">
        <v>3257</v>
      </c>
      <c r="AL9" s="6">
        <v>45974</v>
      </c>
      <c r="AM9">
        <v>5</v>
      </c>
      <c r="AN9">
        <v>198826.32</v>
      </c>
      <c r="AO9">
        <v>193571</v>
      </c>
      <c r="AP9" t="s">
        <v>3258</v>
      </c>
      <c r="DQ9" t="s">
        <v>5774</v>
      </c>
      <c r="DS9">
        <v>-2.4245362661989844E-14</v>
      </c>
      <c r="DT9">
        <v>-2.4245362661989844E-14</v>
      </c>
      <c r="DU9" t="s">
        <v>1753</v>
      </c>
      <c r="DV9">
        <v>2024</v>
      </c>
      <c r="DW9" t="s">
        <v>5775</v>
      </c>
      <c r="DX9" s="6">
        <v>45707</v>
      </c>
      <c r="DY9">
        <v>5</v>
      </c>
      <c r="DZ9">
        <v>-2.4245362661989844E-14</v>
      </c>
      <c r="EA9">
        <v>8162887</v>
      </c>
      <c r="EB9" t="s">
        <v>5776</v>
      </c>
      <c r="EE9" t="s">
        <v>4397</v>
      </c>
      <c r="EF9">
        <v>-2.4245362661989844E-14</v>
      </c>
      <c r="EH9">
        <v>-2.4245362661989844E-14</v>
      </c>
      <c r="EI9" t="s">
        <v>1753</v>
      </c>
      <c r="EJ9">
        <v>2022</v>
      </c>
      <c r="EK9" t="s">
        <v>4398</v>
      </c>
      <c r="EL9" s="6">
        <v>44931</v>
      </c>
      <c r="EM9">
        <v>5</v>
      </c>
      <c r="EN9">
        <v>-2.4245362661989844E-14</v>
      </c>
      <c r="EO9">
        <v>33887145</v>
      </c>
      <c r="EP9" t="s">
        <v>4399</v>
      </c>
      <c r="EU9" t="s">
        <v>5579</v>
      </c>
      <c r="EV9" t="s">
        <v>1752</v>
      </c>
      <c r="EW9">
        <v>0.146649</v>
      </c>
      <c r="EX9">
        <v>6.999E-3</v>
      </c>
      <c r="EY9" t="s">
        <v>1781</v>
      </c>
      <c r="EZ9">
        <v>2025</v>
      </c>
      <c r="FA9" t="s">
        <v>5580</v>
      </c>
      <c r="FB9" s="6">
        <v>45814</v>
      </c>
      <c r="FC9">
        <v>5</v>
      </c>
      <c r="FD9">
        <v>154990</v>
      </c>
      <c r="FE9">
        <v>136312</v>
      </c>
      <c r="FF9" t="s">
        <v>5581</v>
      </c>
      <c r="FI9" t="s">
        <v>1935</v>
      </c>
      <c r="FJ9">
        <v>4.3901000000000003E-2</v>
      </c>
      <c r="FK9" t="s">
        <v>1752</v>
      </c>
      <c r="FL9">
        <v>1.1003000000000001E-2</v>
      </c>
      <c r="FM9" t="s">
        <v>1774</v>
      </c>
      <c r="FN9">
        <v>2026</v>
      </c>
      <c r="FO9" t="s">
        <v>2703</v>
      </c>
      <c r="FP9" s="6">
        <v>45940</v>
      </c>
      <c r="FQ9">
        <v>5</v>
      </c>
      <c r="FR9">
        <v>1744856</v>
      </c>
      <c r="FS9">
        <v>100916</v>
      </c>
      <c r="FT9" t="s">
        <v>1936</v>
      </c>
      <c r="FY9" t="s">
        <v>3999</v>
      </c>
      <c r="GA9">
        <v>-2.4245362661989844E-14</v>
      </c>
      <c r="GB9">
        <v>-2.4245362661989844E-14</v>
      </c>
      <c r="GC9" t="s">
        <v>1842</v>
      </c>
      <c r="GD9">
        <v>2023</v>
      </c>
      <c r="GE9" t="s">
        <v>4000</v>
      </c>
      <c r="GF9" s="6">
        <v>45168</v>
      </c>
      <c r="GG9">
        <v>5</v>
      </c>
      <c r="GH9">
        <v>-2.4245362661989844E-14</v>
      </c>
      <c r="GI9">
        <v>130875</v>
      </c>
      <c r="GJ9" t="s">
        <v>4001</v>
      </c>
      <c r="GM9" t="s">
        <v>1947</v>
      </c>
      <c r="GN9">
        <v>-2.4245362661989844E-14</v>
      </c>
      <c r="GP9">
        <v>-2.4245362661989844E-14</v>
      </c>
      <c r="GQ9" t="s">
        <v>1753</v>
      </c>
      <c r="GR9">
        <v>2021</v>
      </c>
      <c r="GS9" t="s">
        <v>1948</v>
      </c>
      <c r="GT9" s="6">
        <v>44701</v>
      </c>
      <c r="GU9">
        <v>5</v>
      </c>
      <c r="GV9">
        <v>-2.4245362661989844E-14</v>
      </c>
      <c r="GW9">
        <v>9281579</v>
      </c>
      <c r="GX9" t="s">
        <v>1949</v>
      </c>
      <c r="MW9" t="s">
        <v>2611</v>
      </c>
      <c r="MX9" t="s">
        <v>1752</v>
      </c>
      <c r="MY9">
        <v>9.9027270000000005</v>
      </c>
      <c r="MZ9">
        <v>1.5774429999999999</v>
      </c>
      <c r="NA9" t="s">
        <v>1774</v>
      </c>
      <c r="NB9">
        <v>2025</v>
      </c>
      <c r="NC9" t="s">
        <v>2612</v>
      </c>
      <c r="ND9" s="6">
        <v>45904</v>
      </c>
      <c r="NE9">
        <v>5</v>
      </c>
      <c r="NF9">
        <v>107991712</v>
      </c>
      <c r="NG9">
        <v>187877</v>
      </c>
      <c r="NH9" t="s">
        <v>2613</v>
      </c>
      <c r="NK9" t="s">
        <v>4411</v>
      </c>
      <c r="NL9">
        <v>3.0622020000000001</v>
      </c>
      <c r="NM9" t="s">
        <v>1752</v>
      </c>
      <c r="NN9">
        <v>2.546176</v>
      </c>
      <c r="NO9" t="s">
        <v>1774</v>
      </c>
      <c r="NP9">
        <v>2025</v>
      </c>
      <c r="NQ9" t="s">
        <v>2518</v>
      </c>
      <c r="NR9" s="6">
        <v>45888</v>
      </c>
      <c r="NS9">
        <v>5</v>
      </c>
      <c r="NT9">
        <v>337546528</v>
      </c>
      <c r="NU9">
        <v>100090</v>
      </c>
      <c r="NV9" t="s">
        <v>4412</v>
      </c>
      <c r="OA9" t="s">
        <v>4799</v>
      </c>
      <c r="OC9">
        <v>-2.4245362661989844E-14</v>
      </c>
      <c r="OD9">
        <v>-2.4245362661989844E-14</v>
      </c>
      <c r="OE9" t="s">
        <v>1854</v>
      </c>
      <c r="OF9">
        <v>2023</v>
      </c>
      <c r="OG9" t="s">
        <v>4800</v>
      </c>
      <c r="OH9" s="6">
        <v>45061</v>
      </c>
      <c r="OI9">
        <v>5</v>
      </c>
      <c r="OJ9">
        <v>-2.4245362661989844E-14</v>
      </c>
      <c r="OK9">
        <v>129239</v>
      </c>
      <c r="OL9" t="s">
        <v>4801</v>
      </c>
      <c r="OO9" t="s">
        <v>1918</v>
      </c>
      <c r="OP9">
        <v>1.808808</v>
      </c>
      <c r="OQ9" t="s">
        <v>1752</v>
      </c>
      <c r="OR9">
        <v>3.6575899999999999</v>
      </c>
      <c r="OS9" t="s">
        <v>1774</v>
      </c>
      <c r="OT9">
        <v>2025</v>
      </c>
      <c r="OU9" t="s">
        <v>4165</v>
      </c>
      <c r="OV9" s="6">
        <v>46011</v>
      </c>
      <c r="OW9">
        <v>5</v>
      </c>
      <c r="OX9">
        <v>13707798</v>
      </c>
      <c r="OY9">
        <v>9183698</v>
      </c>
      <c r="OZ9" t="s">
        <v>1920</v>
      </c>
      <c r="PE9" t="s">
        <v>4050</v>
      </c>
      <c r="PF9" t="s">
        <v>1752</v>
      </c>
      <c r="PG9">
        <v>5</v>
      </c>
      <c r="PH9">
        <v>5.5208E-2</v>
      </c>
      <c r="PI9" t="s">
        <v>1753</v>
      </c>
      <c r="PJ9">
        <v>2025</v>
      </c>
      <c r="PK9" t="s">
        <v>4051</v>
      </c>
      <c r="PL9" s="6">
        <v>45863</v>
      </c>
      <c r="PM9">
        <v>5</v>
      </c>
      <c r="PN9">
        <v>2545087.5</v>
      </c>
      <c r="PO9">
        <v>72027718</v>
      </c>
      <c r="PP9" t="s">
        <v>4052</v>
      </c>
      <c r="PS9" t="s">
        <v>3863</v>
      </c>
      <c r="PT9">
        <v>-2.4245362661989844E-14</v>
      </c>
      <c r="PV9">
        <v>-2.4245362661989844E-14</v>
      </c>
      <c r="PW9" t="s">
        <v>1753</v>
      </c>
      <c r="PX9">
        <v>2024</v>
      </c>
      <c r="PY9" t="s">
        <v>3854</v>
      </c>
      <c r="PZ9" s="6">
        <v>45498</v>
      </c>
      <c r="QA9">
        <v>5</v>
      </c>
      <c r="QB9">
        <v>-2.4245362661989844E-14</v>
      </c>
      <c r="QC9">
        <v>7619777</v>
      </c>
      <c r="QD9" t="s">
        <v>3864</v>
      </c>
      <c r="QI9" t="s">
        <v>2304</v>
      </c>
      <c r="QK9">
        <v>-2.4245362661989844E-14</v>
      </c>
      <c r="QL9">
        <v>-2.4245362661989844E-14</v>
      </c>
      <c r="QM9" t="s">
        <v>1753</v>
      </c>
      <c r="QN9">
        <v>2021</v>
      </c>
      <c r="QO9" t="s">
        <v>2305</v>
      </c>
      <c r="QP9" s="6">
        <v>44693</v>
      </c>
      <c r="QQ9">
        <v>5</v>
      </c>
      <c r="QR9">
        <v>-2.4245362661989844E-14</v>
      </c>
      <c r="QS9">
        <v>313098</v>
      </c>
      <c r="QT9" t="s">
        <v>2306</v>
      </c>
      <c r="SQ9" t="s">
        <v>2186</v>
      </c>
      <c r="SS9">
        <v>-2.4245362661989844E-14</v>
      </c>
      <c r="ST9">
        <v>-2.4245362661989844E-14</v>
      </c>
      <c r="SU9" t="s">
        <v>1753</v>
      </c>
      <c r="SV9">
        <v>2025</v>
      </c>
      <c r="SW9" t="s">
        <v>2187</v>
      </c>
      <c r="SX9" s="6">
        <v>45832</v>
      </c>
      <c r="SY9">
        <v>5</v>
      </c>
      <c r="SZ9">
        <v>-2.4245362661989844E-14</v>
      </c>
      <c r="TA9">
        <v>71442896</v>
      </c>
      <c r="TB9" t="s">
        <v>2188</v>
      </c>
      <c r="TE9" t="s">
        <v>1836</v>
      </c>
      <c r="TF9">
        <v>-2.4245362661989844E-14</v>
      </c>
      <c r="TH9">
        <v>-2.4245362661989844E-14</v>
      </c>
      <c r="TI9" t="s">
        <v>1753</v>
      </c>
      <c r="TJ9">
        <v>2022</v>
      </c>
      <c r="TK9" t="s">
        <v>1837</v>
      </c>
      <c r="TL9" s="6">
        <v>45035</v>
      </c>
      <c r="TM9">
        <v>5</v>
      </c>
      <c r="TN9">
        <v>-2.4245362661989844E-14</v>
      </c>
      <c r="TO9">
        <v>183709</v>
      </c>
      <c r="TP9" t="s">
        <v>1838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753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754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755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756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757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758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759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760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761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762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763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764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765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766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767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768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769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770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771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772</v>
      </c>
      <c r="AE2" s="3" t="s">
        <v>773</v>
      </c>
      <c r="BI2" s="3" t="s">
        <v>668</v>
      </c>
      <c r="CM2" s="3" t="s">
        <v>774</v>
      </c>
      <c r="DQ2" s="3" t="s">
        <v>775</v>
      </c>
      <c r="EU2" s="3" t="s">
        <v>733</v>
      </c>
      <c r="FY2" s="3" t="s">
        <v>776</v>
      </c>
      <c r="HC2" s="3" t="s">
        <v>777</v>
      </c>
      <c r="IG2" s="3" t="s">
        <v>778</v>
      </c>
      <c r="JK2" s="3" t="s">
        <v>779</v>
      </c>
      <c r="KO2" s="3" t="s">
        <v>780</v>
      </c>
      <c r="LS2" s="3" t="s">
        <v>781</v>
      </c>
      <c r="MW2" s="3" t="s">
        <v>782</v>
      </c>
      <c r="OA2" s="3" t="s">
        <v>783</v>
      </c>
      <c r="PE2" s="3" t="s">
        <v>784</v>
      </c>
      <c r="QI2" s="3" t="s">
        <v>785</v>
      </c>
      <c r="RM2" s="3" t="s">
        <v>786</v>
      </c>
      <c r="SQ2" s="3" t="s">
        <v>787</v>
      </c>
      <c r="TU2" s="3" t="s">
        <v>788</v>
      </c>
      <c r="UY2" s="3" t="s">
        <v>789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_xll.BDS("BHE US Equity","SUPPLY_CHAIN_SUPPLIERS_ALL_DATA","cols=12;rows=5")</f>
        <v>FTG CN Equity</v>
      </c>
      <c r="B5" t="s">
        <v>1752</v>
      </c>
      <c r="C5">
        <v>9.1342000000000007E-2</v>
      </c>
      <c r="D5">
        <v>5.3709999999999999E-3</v>
      </c>
      <c r="E5" t="s">
        <v>1825</v>
      </c>
      <c r="F5">
        <v>2025</v>
      </c>
      <c r="G5" t="s">
        <v>4605</v>
      </c>
      <c r="H5" s="6">
        <v>46078</v>
      </c>
      <c r="I5">
        <v>5</v>
      </c>
      <c r="J5">
        <v>33809.769999999997</v>
      </c>
      <c r="K5">
        <v>109437</v>
      </c>
      <c r="L5" t="s">
        <v>4606</v>
      </c>
      <c r="O5" t="str">
        <f>_xll.BDS("BHE US Equity","SUPPLY_CHAIN_CUSTOMERS_ALL_DATA","cols=12;rows=5")</f>
        <v>AMAT US Equity</v>
      </c>
      <c r="P5">
        <v>14</v>
      </c>
      <c r="Q5" t="s">
        <v>1752</v>
      </c>
      <c r="R5">
        <v>2.5732710000000001</v>
      </c>
      <c r="S5" t="s">
        <v>1753</v>
      </c>
      <c r="T5">
        <v>2025</v>
      </c>
      <c r="U5" t="s">
        <v>4420</v>
      </c>
      <c r="V5" s="6">
        <v>46077</v>
      </c>
      <c r="W5">
        <v>5</v>
      </c>
      <c r="X5">
        <v>93068784</v>
      </c>
      <c r="Y5">
        <v>102032</v>
      </c>
      <c r="Z5" t="s">
        <v>3840</v>
      </c>
      <c r="AE5" t="str">
        <f>_xll.BDS("BAX US Equity","SUPPLY_CHAIN_SUPPLIERS_ALL_DATA","cols=12;rows=5")</f>
        <v>BHE US Equity</v>
      </c>
      <c r="AF5" t="s">
        <v>1752</v>
      </c>
      <c r="AG5">
        <v>1.118628</v>
      </c>
      <c r="AH5">
        <v>0.40062900000000001</v>
      </c>
      <c r="AI5" t="s">
        <v>1781</v>
      </c>
      <c r="AJ5">
        <v>2025</v>
      </c>
      <c r="AK5" t="s">
        <v>2953</v>
      </c>
      <c r="AL5" s="6">
        <v>45793</v>
      </c>
      <c r="AM5">
        <v>5</v>
      </c>
      <c r="AN5">
        <v>7067089</v>
      </c>
      <c r="AO5">
        <v>102417</v>
      </c>
      <c r="AP5" t="s">
        <v>2954</v>
      </c>
      <c r="AS5" t="str">
        <f>_xll.BDS("BAX US Equity","SUPPLY_CHAIN_CUSTOMERS_ALL_DATA","cols=12;rows=5")</f>
        <v>1788 TT Equity</v>
      </c>
      <c r="AT5">
        <v>2.648E-2</v>
      </c>
      <c r="AU5" t="s">
        <v>1752</v>
      </c>
      <c r="AV5">
        <v>3.0847989999999998</v>
      </c>
      <c r="AW5" t="s">
        <v>1753</v>
      </c>
      <c r="AX5">
        <v>2024</v>
      </c>
      <c r="AY5" t="s">
        <v>3721</v>
      </c>
      <c r="AZ5" s="6">
        <v>45784</v>
      </c>
      <c r="BA5">
        <v>5</v>
      </c>
      <c r="BB5">
        <v>720839.48</v>
      </c>
      <c r="BC5">
        <v>9152670</v>
      </c>
      <c r="BD5" t="s">
        <v>3722</v>
      </c>
      <c r="BI5" t="str">
        <f>_xll.BDS("TER US Equity","SUPPLY_CHAIN_SUPPLIERS_ALL_DATA","cols=12;rows=5")</f>
        <v>NVDA US Equity</v>
      </c>
      <c r="BJ5" t="s">
        <v>1752</v>
      </c>
      <c r="BK5">
        <v>4.0030999999999997E-2</v>
      </c>
      <c r="BL5">
        <v>5.8820439999999996</v>
      </c>
      <c r="BM5" t="s">
        <v>1825</v>
      </c>
      <c r="BN5">
        <v>2026</v>
      </c>
      <c r="BO5" t="s">
        <v>2352</v>
      </c>
      <c r="BP5" s="6">
        <v>46087</v>
      </c>
      <c r="BQ5">
        <v>5</v>
      </c>
      <c r="BR5">
        <v>27271920</v>
      </c>
      <c r="BS5">
        <v>313657</v>
      </c>
      <c r="BT5" t="s">
        <v>2353</v>
      </c>
      <c r="BW5" t="str">
        <f>_xll.BDS("TER US Equity","SUPPLY_CHAIN_CUSTOMERS_ALL_DATA","cols=12;rows=5")</f>
        <v>005930 KS Equity</v>
      </c>
      <c r="BX5">
        <v>12.5</v>
      </c>
      <c r="BY5" t="s">
        <v>1828</v>
      </c>
      <c r="BZ5">
        <v>0.93494999999999995</v>
      </c>
      <c r="CA5" t="s">
        <v>1753</v>
      </c>
      <c r="CB5">
        <v>2024</v>
      </c>
      <c r="CC5" t="s">
        <v>2844</v>
      </c>
      <c r="CD5" s="6">
        <v>45708</v>
      </c>
      <c r="CE5">
        <v>5</v>
      </c>
      <c r="CF5">
        <v>88121248</v>
      </c>
      <c r="CG5">
        <v>117929</v>
      </c>
      <c r="CH5" t="s">
        <v>1873</v>
      </c>
      <c r="CM5" t="str">
        <f>_xll.BDS("1567696D US Equity","SUPPLY_CHAIN_SUPPLIERS_ALL_DATA")</f>
        <v>#N/A N/A</v>
      </c>
      <c r="DA5" t="str">
        <f>_xll.BDS("1567696D US Equity","SUPPLY_CHAIN_CUSTOMERS_ALL_DATA")</f>
        <v>#N/A N/A</v>
      </c>
      <c r="DQ5" t="str">
        <f>_xll.BDS("ASB US Equity","SUPPLY_CHAIN_SUPPLIERS_ALL_DATA","cols=12;rows=2")</f>
        <v>NICE IT Equity</v>
      </c>
      <c r="DS5">
        <v>-2.4245362661989844E-14</v>
      </c>
      <c r="DT5">
        <v>-2.4245362661989844E-14</v>
      </c>
      <c r="DU5" t="s">
        <v>1781</v>
      </c>
      <c r="DV5">
        <v>2023</v>
      </c>
      <c r="DW5" t="s">
        <v>2550</v>
      </c>
      <c r="DX5" s="6">
        <v>45057</v>
      </c>
      <c r="DY5">
        <v>2</v>
      </c>
      <c r="DZ5">
        <v>-2.4245362661989844E-14</v>
      </c>
      <c r="EA5">
        <v>173249</v>
      </c>
      <c r="EB5" t="s">
        <v>2551</v>
      </c>
      <c r="EE5" t="str">
        <f>_xll.BDS("ASB US Equity","SUPPLY_CHAIN_CUSTOMERS_ALL_DATA")</f>
        <v>#N/A N/A</v>
      </c>
      <c r="EU5" t="str">
        <f>_xll.BDS("FRME US Equity","SUPPLY_CHAIN_SUPPLIERS_ALL_DATA")</f>
        <v>#N/A N/A</v>
      </c>
      <c r="FI5" t="str">
        <f>_xll.BDS("FRME US Equity","SUPPLY_CHAIN_CUSTOMERS_ALL_DATA")</f>
        <v>#N/A N/A</v>
      </c>
      <c r="FY5" t="str">
        <f>_xll.BDS("3346Q US Equity","SUPPLY_CHAIN_SUPPLIERS_ALL_DATA")</f>
        <v>#N/A N/A</v>
      </c>
      <c r="GM5" t="str">
        <f>_xll.BDS("3346Q US Equity","SUPPLY_CHAIN_CUSTOMERS_ALL_DATA")</f>
        <v>#N/A N/A</v>
      </c>
      <c r="HC5" t="str">
        <f>_xll.BDS("DLTR US Equity","SUPPLY_CHAIN_SUPPLIERS_ALL_DATA","cols=12;rows=5")</f>
        <v>PG US Equity</v>
      </c>
      <c r="HD5" t="s">
        <v>1752</v>
      </c>
      <c r="HE5">
        <v>0.88598100000000002</v>
      </c>
      <c r="HF5">
        <v>6.2499180000000001</v>
      </c>
      <c r="HG5" t="s">
        <v>1825</v>
      </c>
      <c r="HH5">
        <v>2025</v>
      </c>
      <c r="HI5" t="s">
        <v>3110</v>
      </c>
      <c r="HJ5" s="6">
        <v>45883</v>
      </c>
      <c r="HK5">
        <v>5</v>
      </c>
      <c r="HL5">
        <v>186685056</v>
      </c>
      <c r="HM5">
        <v>101215</v>
      </c>
      <c r="HN5" t="s">
        <v>3111</v>
      </c>
      <c r="HQ5" t="str">
        <f>_xll.BDS("DLTR US Equity","SUPPLY_CHAIN_CUSTOMERS_ALL_DATA","cols=12;rows=2")</f>
        <v>CART US Equity</v>
      </c>
      <c r="HR5">
        <v>-2.4245362661989844E-14</v>
      </c>
      <c r="HT5">
        <v>-2.4245362661989844E-14</v>
      </c>
      <c r="HU5" t="s">
        <v>1753</v>
      </c>
      <c r="HV5">
        <v>2025</v>
      </c>
      <c r="HW5" t="s">
        <v>4908</v>
      </c>
      <c r="HX5" s="6">
        <v>45742</v>
      </c>
      <c r="HY5">
        <v>2</v>
      </c>
      <c r="HZ5">
        <v>-2.4245362661989844E-14</v>
      </c>
      <c r="IA5">
        <v>41633687</v>
      </c>
      <c r="IB5" t="s">
        <v>1807</v>
      </c>
      <c r="IG5" t="str">
        <f>_xll.BDS("GNLN US Equity","SUPPLY_CHAIN_SUPPLIERS_ALL_DATA","cols=12;rows=5")</f>
        <v>1002988D US Equity</v>
      </c>
      <c r="II5">
        <v>-2.4245362661989844E-14</v>
      </c>
      <c r="IJ5">
        <v>-2.4245362661989844E-14</v>
      </c>
      <c r="IK5" t="s">
        <v>1753</v>
      </c>
      <c r="IL5">
        <v>2024</v>
      </c>
      <c r="IM5" t="s">
        <v>4642</v>
      </c>
      <c r="IN5" s="6">
        <v>45737</v>
      </c>
      <c r="IO5">
        <v>5</v>
      </c>
      <c r="IP5">
        <v>-2.4245362661989844E-14</v>
      </c>
      <c r="IQ5">
        <v>40599053</v>
      </c>
      <c r="IR5" t="s">
        <v>4643</v>
      </c>
      <c r="IU5" t="str">
        <f>_xll.BDS("GNLN US Equity","SUPPLY_CHAIN_CUSTOMERS_ALL_DATA","cols=12;rows=3")</f>
        <v>AMZN US Equity</v>
      </c>
      <c r="IV5">
        <v>-2.4245362661989844E-14</v>
      </c>
      <c r="IX5">
        <v>-2.4245362661989844E-14</v>
      </c>
      <c r="IY5" t="s">
        <v>1753</v>
      </c>
      <c r="IZ5">
        <v>2024</v>
      </c>
      <c r="JA5" t="s">
        <v>4642</v>
      </c>
      <c r="JB5" s="6">
        <v>45737</v>
      </c>
      <c r="JC5">
        <v>3</v>
      </c>
      <c r="JD5">
        <v>-2.4245362661989844E-14</v>
      </c>
      <c r="JE5">
        <v>216952</v>
      </c>
      <c r="JF5" t="s">
        <v>1899</v>
      </c>
      <c r="JK5" t="str">
        <f>_xll.BDS("1537336D US Equity","SUPPLY_CHAIN_SUPPLIERS_ALL_DATA")</f>
        <v>#N/A N/A</v>
      </c>
      <c r="JY5" t="str">
        <f>_xll.BDS("1537336D US Equity","SUPPLY_CHAIN_CUSTOMERS_ALL_DATA")</f>
        <v>#N/A N/A</v>
      </c>
      <c r="KO5" t="str">
        <f>_xll.BDS("PACW US Equity","SUPPLY_CHAIN_SUPPLIERS_ALL_DATA")</f>
        <v>#N/A N/A</v>
      </c>
      <c r="LC5" t="str">
        <f>_xll.BDS("PACW US Equity","SUPPLY_CHAIN_CUSTOMERS_ALL_DATA","cols=12;rows=1")</f>
        <v>SNX US Equity</v>
      </c>
      <c r="LD5">
        <v>-2.4245362661989844E-14</v>
      </c>
      <c r="LF5">
        <v>-2.4245362661989844E-14</v>
      </c>
      <c r="LG5" t="s">
        <v>1753</v>
      </c>
      <c r="LH5">
        <v>2021</v>
      </c>
      <c r="LI5" t="s">
        <v>2674</v>
      </c>
      <c r="LJ5" s="6">
        <v>44656</v>
      </c>
      <c r="LK5">
        <v>1</v>
      </c>
      <c r="LL5">
        <v>-2.4245362661989844E-14</v>
      </c>
      <c r="LM5">
        <v>1499717</v>
      </c>
      <c r="LN5" t="s">
        <v>1827</v>
      </c>
      <c r="LS5" t="str">
        <f>_xll.BDS("SCUR US Equity","SUPPLY_CHAIN_SUPPLIERS_ALL_DATA")</f>
        <v>#N/A N/A</v>
      </c>
      <c r="MG5" t="str">
        <f>_xll.BDS("SCUR US Equity","SUPPLY_CHAIN_CUSTOMERS_ALL_DATA")</f>
        <v>#N/A N/A</v>
      </c>
      <c r="MW5" t="str">
        <f>_xll.BDS("TWC US Equity","SUPPLY_CHAIN_SUPPLIERS_ALL_DATA")</f>
        <v>#N/A N/A</v>
      </c>
      <c r="NK5" t="str">
        <f>_xll.BDS("TWC US Equity","SUPPLY_CHAIN_CUSTOMERS_ALL_DATA")</f>
        <v>#N/A N/A</v>
      </c>
      <c r="OA5" t="str">
        <f>_xll.BDS("TDW US Equity","SUPPLY_CHAIN_SUPPLIERS_ALL_DATA","cols=12;rows=5")</f>
        <v>0180636D CH Equity</v>
      </c>
      <c r="OC5">
        <v>-2.4245362661989844E-14</v>
      </c>
      <c r="OD5">
        <v>-2.4245362661989844E-14</v>
      </c>
      <c r="OE5" t="s">
        <v>1781</v>
      </c>
      <c r="OF5">
        <v>2025</v>
      </c>
      <c r="OG5" t="s">
        <v>3033</v>
      </c>
      <c r="OH5" s="6">
        <v>45818</v>
      </c>
      <c r="OI5">
        <v>5</v>
      </c>
      <c r="OJ5">
        <v>-2.4245362661989844E-14</v>
      </c>
      <c r="OK5">
        <v>19591900</v>
      </c>
      <c r="OL5" t="s">
        <v>3034</v>
      </c>
      <c r="OO5" t="str">
        <f>_xll.BDS("TDW US Equity","SUPPLY_CHAIN_CUSTOMERS_ALL_DATA","cols=12;rows=5")</f>
        <v>ENI IM Equity</v>
      </c>
      <c r="OP5">
        <v>12.3</v>
      </c>
      <c r="OQ5" t="s">
        <v>1752</v>
      </c>
      <c r="OR5">
        <v>0.17800099999999999</v>
      </c>
      <c r="OS5" t="s">
        <v>1753</v>
      </c>
      <c r="OT5">
        <v>2024</v>
      </c>
      <c r="OU5" t="s">
        <v>5700</v>
      </c>
      <c r="OV5" s="6">
        <v>45715</v>
      </c>
      <c r="OW5">
        <v>5</v>
      </c>
      <c r="OX5">
        <v>41384428</v>
      </c>
      <c r="OY5">
        <v>143031</v>
      </c>
      <c r="OZ5" t="s">
        <v>5701</v>
      </c>
      <c r="PE5" t="str">
        <f>_xll.BDS("FCHDQ US Equity","SUPPLY_CHAIN_SUPPLIERS_ALL_DATA")</f>
        <v>#N/A N/A</v>
      </c>
      <c r="PS5" t="str">
        <f>_xll.BDS("FCHDQ US Equity","SUPPLY_CHAIN_CUSTOMERS_ALL_DATA")</f>
        <v>#N/A N/A</v>
      </c>
      <c r="QI5" t="str">
        <f>_xll.BDS("BLKB US Equity","SUPPLY_CHAIN_SUPPLIERS_ALL_DATA","cols=12;rows=2")</f>
        <v>0170016D US Equity</v>
      </c>
      <c r="QK5">
        <v>-2.4245362661989844E-14</v>
      </c>
      <c r="QL5">
        <v>-2.4245362661989844E-14</v>
      </c>
      <c r="QM5" t="s">
        <v>1753</v>
      </c>
      <c r="QN5">
        <v>2024</v>
      </c>
      <c r="QO5" t="s">
        <v>5474</v>
      </c>
      <c r="QP5" s="6">
        <v>45574</v>
      </c>
      <c r="QQ5">
        <v>2</v>
      </c>
      <c r="QR5">
        <v>-2.4245362661989844E-14</v>
      </c>
      <c r="QS5">
        <v>29162065</v>
      </c>
      <c r="QT5" t="s">
        <v>4196</v>
      </c>
      <c r="QW5" t="str">
        <f>_xll.BDS("BLKB US Equity","SUPPLY_CHAIN_CUSTOMERS_ALL_DATA","cols=12;rows=5")</f>
        <v>0153039D US Equity</v>
      </c>
      <c r="QX5">
        <v>-2.4245362661989844E-14</v>
      </c>
      <c r="QZ5">
        <v>-2.4245362661989844E-14</v>
      </c>
      <c r="RA5" t="s">
        <v>1781</v>
      </c>
      <c r="RB5">
        <v>2024</v>
      </c>
      <c r="RC5" t="s">
        <v>5399</v>
      </c>
      <c r="RD5" s="6">
        <v>45412</v>
      </c>
      <c r="RE5">
        <v>5</v>
      </c>
      <c r="RF5">
        <v>-2.4245362661989844E-14</v>
      </c>
      <c r="RG5">
        <v>29035669</v>
      </c>
      <c r="RH5" t="s">
        <v>5400</v>
      </c>
      <c r="RM5" t="str">
        <f>_xll.BDS("2217881D US Equity","SUPPLY_CHAIN_SUPPLIERS_ALL_DATA")</f>
        <v>#N/A N/A</v>
      </c>
      <c r="SA5" t="str">
        <f>_xll.BDS("2217881D US Equity","SUPPLY_CHAIN_CUSTOMERS_ALL_DATA")</f>
        <v>#N/A N/A</v>
      </c>
      <c r="SQ5" t="str">
        <f>_xll.BDS("1847569D US Equity","SUPPLY_CHAIN_SUPPLIERS_ALL_DATA")</f>
        <v>#N/A N/A</v>
      </c>
      <c r="TE5" t="str">
        <f>_xll.BDS("1847569D US Equity","SUPPLY_CHAIN_CUSTOMERS_ALL_DATA")</f>
        <v>#N/A N/A</v>
      </c>
      <c r="TU5" t="str">
        <f>_xll.BDS("3017264Q US Equity","SUPPLY_CHAIN_SUPPLIERS_ALL_DATA")</f>
        <v>#N/A N/A</v>
      </c>
      <c r="UI5" t="str">
        <f>_xll.BDS("3017264Q US Equity","SUPPLY_CHAIN_CUSTOMERS_ALL_DATA")</f>
        <v>#N/A N/A</v>
      </c>
      <c r="UY5" t="str">
        <f>_xll.BDS("UBSI US Equity","SUPPLY_CHAIN_SUPPLIERS_ALL_DATA","cols=12;rows=1")</f>
        <v>FICO US Equity</v>
      </c>
      <c r="VA5">
        <v>-2.4245362661989844E-14</v>
      </c>
      <c r="VB5">
        <v>-2.4245362661989844E-14</v>
      </c>
      <c r="VC5" t="s">
        <v>1753</v>
      </c>
      <c r="VD5">
        <v>2024</v>
      </c>
      <c r="VE5" t="s">
        <v>2224</v>
      </c>
      <c r="VF5" s="6">
        <v>45348</v>
      </c>
      <c r="VG5">
        <v>1</v>
      </c>
      <c r="VH5">
        <v>-2.4245362661989844E-14</v>
      </c>
      <c r="VI5">
        <v>103869</v>
      </c>
      <c r="VJ5" t="s">
        <v>2225</v>
      </c>
      <c r="VM5" t="str">
        <f>_xll.BDS("UBSI US Equity","SUPPLY_CHAIN_CUSTOMERS_ALL_DATA")</f>
        <v>#N/A N/A</v>
      </c>
    </row>
    <row r="6" spans="1:600" x14ac:dyDescent="0.25">
      <c r="A6" t="s">
        <v>4743</v>
      </c>
      <c r="C6">
        <v>-2.4245362661989844E-14</v>
      </c>
      <c r="D6">
        <v>-2.4245362661989844E-14</v>
      </c>
      <c r="E6" t="s">
        <v>1753</v>
      </c>
      <c r="F6">
        <v>2024</v>
      </c>
      <c r="G6" t="s">
        <v>4744</v>
      </c>
      <c r="H6" s="6">
        <v>45769</v>
      </c>
      <c r="I6">
        <v>5</v>
      </c>
      <c r="J6">
        <v>-2.4245362661989844E-14</v>
      </c>
      <c r="K6">
        <v>40367348</v>
      </c>
      <c r="L6" t="s">
        <v>4745</v>
      </c>
      <c r="O6" t="s">
        <v>3841</v>
      </c>
      <c r="P6">
        <v>6.172383</v>
      </c>
      <c r="Q6" t="s">
        <v>1752</v>
      </c>
      <c r="R6">
        <v>1.0408580000000001</v>
      </c>
      <c r="S6" t="s">
        <v>1781</v>
      </c>
      <c r="T6">
        <v>2025</v>
      </c>
      <c r="U6" t="s">
        <v>2953</v>
      </c>
      <c r="V6" s="6">
        <v>45793</v>
      </c>
      <c r="W6">
        <v>5</v>
      </c>
      <c r="X6">
        <v>38994896</v>
      </c>
      <c r="Y6">
        <v>163205</v>
      </c>
      <c r="Z6" t="s">
        <v>3842</v>
      </c>
      <c r="AE6" t="s">
        <v>3904</v>
      </c>
      <c r="AF6" t="s">
        <v>1752</v>
      </c>
      <c r="AG6">
        <v>1.7139150000000001</v>
      </c>
      <c r="AH6">
        <v>0.34947299999999998</v>
      </c>
      <c r="AI6" t="s">
        <v>1774</v>
      </c>
      <c r="AJ6">
        <v>2025</v>
      </c>
      <c r="AK6" t="s">
        <v>3905</v>
      </c>
      <c r="AL6" s="6">
        <v>45899</v>
      </c>
      <c r="AM6">
        <v>5</v>
      </c>
      <c r="AN6">
        <v>6356911</v>
      </c>
      <c r="AO6">
        <v>194140</v>
      </c>
      <c r="AP6" t="s">
        <v>3906</v>
      </c>
      <c r="AS6" t="s">
        <v>3723</v>
      </c>
      <c r="AT6">
        <v>1.3072E-2</v>
      </c>
      <c r="AU6" t="s">
        <v>1752</v>
      </c>
      <c r="AV6">
        <v>1.9261200000000001</v>
      </c>
      <c r="AW6" t="s">
        <v>1768</v>
      </c>
      <c r="AX6">
        <v>2025</v>
      </c>
      <c r="AY6" t="s">
        <v>3724</v>
      </c>
      <c r="AZ6" s="6">
        <v>45975</v>
      </c>
      <c r="BA6">
        <v>5</v>
      </c>
      <c r="BB6">
        <v>359532.99</v>
      </c>
      <c r="BC6">
        <v>128926</v>
      </c>
      <c r="BD6" t="s">
        <v>3725</v>
      </c>
      <c r="BI6" t="s">
        <v>2212</v>
      </c>
      <c r="BJ6" t="s">
        <v>1752</v>
      </c>
      <c r="BK6">
        <v>0.13453599999999999</v>
      </c>
      <c r="BL6">
        <v>2.8862130000000001</v>
      </c>
      <c r="BM6" t="s">
        <v>1788</v>
      </c>
      <c r="BN6">
        <v>2025</v>
      </c>
      <c r="BO6" t="s">
        <v>2213</v>
      </c>
      <c r="BP6" s="6">
        <v>45763</v>
      </c>
      <c r="BQ6">
        <v>5</v>
      </c>
      <c r="BR6">
        <v>8820180</v>
      </c>
      <c r="BS6">
        <v>136547</v>
      </c>
      <c r="BT6" t="s">
        <v>2214</v>
      </c>
      <c r="BW6" t="s">
        <v>2268</v>
      </c>
      <c r="BX6">
        <v>9.1156550000000003</v>
      </c>
      <c r="BY6" t="s">
        <v>1828</v>
      </c>
      <c r="BZ6">
        <v>1.9185270000000001</v>
      </c>
      <c r="CA6" t="s">
        <v>1774</v>
      </c>
      <c r="CB6">
        <v>2025</v>
      </c>
      <c r="CC6" t="s">
        <v>2845</v>
      </c>
      <c r="CD6" s="6">
        <v>45915</v>
      </c>
      <c r="CE6">
        <v>5</v>
      </c>
      <c r="CF6">
        <v>59415568</v>
      </c>
      <c r="CG6">
        <v>193974</v>
      </c>
      <c r="CH6" t="s">
        <v>2270</v>
      </c>
      <c r="DQ6" t="s">
        <v>1110</v>
      </c>
      <c r="DS6">
        <v>-2.4245362661989844E-14</v>
      </c>
      <c r="DT6">
        <v>-2.4245362661989844E-14</v>
      </c>
      <c r="DU6" t="s">
        <v>1774</v>
      </c>
      <c r="DV6">
        <v>2023</v>
      </c>
      <c r="DW6" t="s">
        <v>2226</v>
      </c>
      <c r="DX6" s="6">
        <v>45174</v>
      </c>
      <c r="DY6">
        <v>2</v>
      </c>
      <c r="DZ6">
        <v>-2.4245362661989844E-14</v>
      </c>
      <c r="EA6">
        <v>202476</v>
      </c>
      <c r="EB6" t="s">
        <v>2227</v>
      </c>
      <c r="HC6" t="s">
        <v>4630</v>
      </c>
      <c r="HD6" t="s">
        <v>1752</v>
      </c>
      <c r="HE6">
        <v>0.24703800000000001</v>
      </c>
      <c r="HF6">
        <v>1.8991819999999999</v>
      </c>
      <c r="HG6" t="s">
        <v>1774</v>
      </c>
      <c r="HH6">
        <v>2025</v>
      </c>
      <c r="HI6" t="s">
        <v>4631</v>
      </c>
      <c r="HJ6" s="6">
        <v>45855</v>
      </c>
      <c r="HK6">
        <v>5</v>
      </c>
      <c r="HL6">
        <v>56728572</v>
      </c>
      <c r="HM6">
        <v>101158</v>
      </c>
      <c r="HN6" t="s">
        <v>4632</v>
      </c>
      <c r="HQ6" t="s">
        <v>4909</v>
      </c>
      <c r="HR6">
        <v>-2.4245362661989844E-14</v>
      </c>
      <c r="HT6">
        <v>-2.4245362661989844E-14</v>
      </c>
      <c r="HU6" t="s">
        <v>1753</v>
      </c>
      <c r="HV6">
        <v>2023</v>
      </c>
      <c r="HW6" t="s">
        <v>4910</v>
      </c>
      <c r="HX6" s="6">
        <v>44995</v>
      </c>
      <c r="HY6">
        <v>2</v>
      </c>
      <c r="HZ6">
        <v>-2.4245362661989844E-14</v>
      </c>
      <c r="IA6">
        <v>36241360</v>
      </c>
      <c r="IB6" t="s">
        <v>4911</v>
      </c>
      <c r="IG6" t="s">
        <v>4644</v>
      </c>
      <c r="II6">
        <v>-2.4245362661989844E-14</v>
      </c>
      <c r="IJ6">
        <v>-2.4245362661989844E-14</v>
      </c>
      <c r="IK6" t="s">
        <v>1753</v>
      </c>
      <c r="IL6">
        <v>2024</v>
      </c>
      <c r="IM6" t="s">
        <v>4642</v>
      </c>
      <c r="IN6" s="6">
        <v>45737</v>
      </c>
      <c r="IO6">
        <v>5</v>
      </c>
      <c r="IP6">
        <v>-2.4245362661989844E-14</v>
      </c>
      <c r="IQ6">
        <v>45988061</v>
      </c>
      <c r="IR6" t="s">
        <v>4645</v>
      </c>
      <c r="IU6" t="s">
        <v>1154</v>
      </c>
      <c r="IV6">
        <v>-2.4245362661989844E-14</v>
      </c>
      <c r="IX6">
        <v>-2.4245362661989844E-14</v>
      </c>
      <c r="IY6" t="s">
        <v>1753</v>
      </c>
      <c r="IZ6">
        <v>2024</v>
      </c>
      <c r="JA6" t="s">
        <v>4642</v>
      </c>
      <c r="JB6" s="6">
        <v>45737</v>
      </c>
      <c r="JC6">
        <v>3</v>
      </c>
      <c r="JD6">
        <v>-2.4245362661989844E-14</v>
      </c>
      <c r="JE6">
        <v>348546</v>
      </c>
      <c r="JF6" t="s">
        <v>4214</v>
      </c>
      <c r="OA6" t="s">
        <v>3035</v>
      </c>
      <c r="OC6">
        <v>-2.4245362661989844E-14</v>
      </c>
      <c r="OD6">
        <v>-2.4245362661989844E-14</v>
      </c>
      <c r="OE6" t="s">
        <v>1781</v>
      </c>
      <c r="OF6">
        <v>2025</v>
      </c>
      <c r="OG6" t="s">
        <v>3033</v>
      </c>
      <c r="OH6" s="6">
        <v>45814</v>
      </c>
      <c r="OI6">
        <v>5</v>
      </c>
      <c r="OJ6">
        <v>-2.4245362661989844E-14</v>
      </c>
      <c r="OK6">
        <v>31304178</v>
      </c>
      <c r="OL6" t="s">
        <v>3036</v>
      </c>
      <c r="OO6" t="s">
        <v>2036</v>
      </c>
      <c r="OP6">
        <v>6.4477789999999997</v>
      </c>
      <c r="OQ6" t="s">
        <v>1752</v>
      </c>
      <c r="OR6">
        <v>4.3334999999999999E-2</v>
      </c>
      <c r="OS6" t="s">
        <v>1788</v>
      </c>
      <c r="OT6">
        <v>2025</v>
      </c>
      <c r="OU6" t="s">
        <v>5702</v>
      </c>
      <c r="OV6" s="6">
        <v>46020</v>
      </c>
      <c r="OW6">
        <v>5</v>
      </c>
      <c r="OX6">
        <v>21994212</v>
      </c>
      <c r="OY6">
        <v>9268711</v>
      </c>
      <c r="OZ6" t="s">
        <v>2037</v>
      </c>
      <c r="QI6" t="s">
        <v>5475</v>
      </c>
      <c r="QK6">
        <v>-2.4245362661989844E-14</v>
      </c>
      <c r="QL6">
        <v>-2.4245362661989844E-14</v>
      </c>
      <c r="QM6" t="s">
        <v>1753</v>
      </c>
      <c r="QN6">
        <v>2021</v>
      </c>
      <c r="QO6" t="s">
        <v>5476</v>
      </c>
      <c r="QP6" s="6">
        <v>44693</v>
      </c>
      <c r="QQ6">
        <v>2</v>
      </c>
      <c r="QR6">
        <v>-2.4245362661989844E-14</v>
      </c>
      <c r="QS6">
        <v>36484351</v>
      </c>
      <c r="QT6" t="s">
        <v>5477</v>
      </c>
      <c r="QW6" t="s">
        <v>5401</v>
      </c>
      <c r="QX6">
        <v>-2.4245362661989844E-14</v>
      </c>
      <c r="QZ6">
        <v>-2.4245362661989844E-14</v>
      </c>
      <c r="RA6" t="s">
        <v>1781</v>
      </c>
      <c r="RB6">
        <v>2024</v>
      </c>
      <c r="RC6" t="s">
        <v>5399</v>
      </c>
      <c r="RD6" s="6">
        <v>45412</v>
      </c>
      <c r="RE6">
        <v>5</v>
      </c>
      <c r="RF6">
        <v>-2.4245362661989844E-14</v>
      </c>
      <c r="RG6">
        <v>902189</v>
      </c>
      <c r="RH6" t="s">
        <v>5402</v>
      </c>
    </row>
    <row r="7" spans="1:600" x14ac:dyDescent="0.25">
      <c r="A7" t="s">
        <v>3107</v>
      </c>
      <c r="C7">
        <v>-2.4245362661989844E-14</v>
      </c>
      <c r="D7">
        <v>-2.4245362661989844E-14</v>
      </c>
      <c r="E7" t="s">
        <v>1753</v>
      </c>
      <c r="F7">
        <v>2021</v>
      </c>
      <c r="G7" t="s">
        <v>3108</v>
      </c>
      <c r="H7" s="6">
        <v>44693</v>
      </c>
      <c r="I7">
        <v>5</v>
      </c>
      <c r="J7">
        <v>-2.4245362661989844E-14</v>
      </c>
      <c r="K7">
        <v>310116</v>
      </c>
      <c r="L7" t="s">
        <v>3109</v>
      </c>
      <c r="O7" t="s">
        <v>3837</v>
      </c>
      <c r="P7">
        <v>5.346991</v>
      </c>
      <c r="Q7" t="s">
        <v>1752</v>
      </c>
      <c r="R7">
        <v>1.4037200000000001</v>
      </c>
      <c r="S7" t="s">
        <v>1781</v>
      </c>
      <c r="T7">
        <v>2025</v>
      </c>
      <c r="U7" t="s">
        <v>2953</v>
      </c>
      <c r="V7" s="6">
        <v>45793</v>
      </c>
      <c r="W7">
        <v>5</v>
      </c>
      <c r="X7">
        <v>33780364</v>
      </c>
      <c r="Y7">
        <v>105120</v>
      </c>
      <c r="Z7" t="s">
        <v>3839</v>
      </c>
      <c r="AE7" t="s">
        <v>3444</v>
      </c>
      <c r="AF7" t="s">
        <v>1752</v>
      </c>
      <c r="AG7">
        <v>0.10432</v>
      </c>
      <c r="AH7">
        <v>0.237146</v>
      </c>
      <c r="AI7" t="s">
        <v>1774</v>
      </c>
      <c r="AJ7">
        <v>2026</v>
      </c>
      <c r="AK7" t="s">
        <v>3445</v>
      </c>
      <c r="AL7" s="6">
        <v>46071</v>
      </c>
      <c r="AM7">
        <v>5</v>
      </c>
      <c r="AN7">
        <v>5684397</v>
      </c>
      <c r="AO7">
        <v>61417091</v>
      </c>
      <c r="AP7" t="s">
        <v>3446</v>
      </c>
      <c r="AS7" t="s">
        <v>3726</v>
      </c>
      <c r="AT7">
        <v>-2.4245362661989844E-14</v>
      </c>
      <c r="AV7">
        <v>-2.4245362661989844E-14</v>
      </c>
      <c r="AW7" t="s">
        <v>1753</v>
      </c>
      <c r="AX7">
        <v>2022</v>
      </c>
      <c r="AY7" t="s">
        <v>3727</v>
      </c>
      <c r="AZ7" s="6">
        <v>45005</v>
      </c>
      <c r="BA7">
        <v>5</v>
      </c>
      <c r="BB7">
        <v>-2.4245362661989844E-14</v>
      </c>
      <c r="BC7">
        <v>18841705</v>
      </c>
      <c r="BD7" t="s">
        <v>3728</v>
      </c>
      <c r="BI7" t="s">
        <v>2415</v>
      </c>
      <c r="BJ7" t="s">
        <v>1752</v>
      </c>
      <c r="BK7">
        <v>4.4719000000000002E-2</v>
      </c>
      <c r="BL7">
        <v>0.46202700000000002</v>
      </c>
      <c r="BM7" t="s">
        <v>1788</v>
      </c>
      <c r="BN7">
        <v>2025</v>
      </c>
      <c r="BO7" t="s">
        <v>2416</v>
      </c>
      <c r="BP7" s="6">
        <v>45891</v>
      </c>
      <c r="BQ7">
        <v>5</v>
      </c>
      <c r="BR7">
        <v>1288063</v>
      </c>
      <c r="BS7">
        <v>100097</v>
      </c>
      <c r="BT7" t="s">
        <v>2417</v>
      </c>
      <c r="BW7" t="s">
        <v>1941</v>
      </c>
      <c r="BX7">
        <v>8.2331090000000007</v>
      </c>
      <c r="BY7" t="s">
        <v>1828</v>
      </c>
      <c r="BZ7">
        <v>0.55610599999999999</v>
      </c>
      <c r="CA7" t="s">
        <v>1774</v>
      </c>
      <c r="CB7">
        <v>2025</v>
      </c>
      <c r="CC7" t="s">
        <v>2845</v>
      </c>
      <c r="CD7" s="6">
        <v>45915</v>
      </c>
      <c r="CE7">
        <v>5</v>
      </c>
      <c r="CF7">
        <v>53663156</v>
      </c>
      <c r="CG7">
        <v>153737</v>
      </c>
      <c r="CH7" t="s">
        <v>1943</v>
      </c>
      <c r="HC7" t="s">
        <v>4633</v>
      </c>
      <c r="HD7" t="s">
        <v>1752</v>
      </c>
      <c r="HE7">
        <v>0.17825099999999999</v>
      </c>
      <c r="HF7">
        <v>1.5222199999999999</v>
      </c>
      <c r="HG7" t="s">
        <v>1774</v>
      </c>
      <c r="HH7">
        <v>2025</v>
      </c>
      <c r="HI7" t="s">
        <v>4634</v>
      </c>
      <c r="HJ7" s="6">
        <v>45896</v>
      </c>
      <c r="HK7">
        <v>5</v>
      </c>
      <c r="HL7">
        <v>47890990.359999999</v>
      </c>
      <c r="HM7">
        <v>112571</v>
      </c>
      <c r="HN7" t="s">
        <v>4635</v>
      </c>
      <c r="IG7" t="s">
        <v>4646</v>
      </c>
      <c r="II7">
        <v>-2.4245362661989844E-14</v>
      </c>
      <c r="IJ7">
        <v>-2.4245362661989844E-14</v>
      </c>
      <c r="IK7" t="s">
        <v>1753</v>
      </c>
      <c r="IL7">
        <v>2025</v>
      </c>
      <c r="IM7" t="s">
        <v>4647</v>
      </c>
      <c r="IN7" s="6">
        <v>45799</v>
      </c>
      <c r="IO7">
        <v>5</v>
      </c>
      <c r="IP7">
        <v>-2.4245362661989844E-14</v>
      </c>
      <c r="IQ7">
        <v>59736561</v>
      </c>
      <c r="IR7" t="s">
        <v>4648</v>
      </c>
      <c r="IU7" t="s">
        <v>4737</v>
      </c>
      <c r="IV7">
        <v>-2.4245362661989844E-14</v>
      </c>
      <c r="IX7">
        <v>-2.4245362661989844E-14</v>
      </c>
      <c r="IY7" t="s">
        <v>1753</v>
      </c>
      <c r="IZ7">
        <v>2024</v>
      </c>
      <c r="JA7" t="s">
        <v>4642</v>
      </c>
      <c r="JB7" s="6">
        <v>45737</v>
      </c>
      <c r="JC7">
        <v>3</v>
      </c>
      <c r="JD7">
        <v>-2.4245362661989844E-14</v>
      </c>
      <c r="JE7">
        <v>16555082</v>
      </c>
      <c r="JF7" t="s">
        <v>4738</v>
      </c>
      <c r="OA7" t="s">
        <v>3037</v>
      </c>
      <c r="OC7">
        <v>-2.4245362661989844E-14</v>
      </c>
      <c r="OD7">
        <v>-2.4245362661989844E-14</v>
      </c>
      <c r="OE7" t="s">
        <v>1781</v>
      </c>
      <c r="OF7">
        <v>2025</v>
      </c>
      <c r="OG7" t="s">
        <v>3033</v>
      </c>
      <c r="OH7" s="6">
        <v>45814</v>
      </c>
      <c r="OI7">
        <v>5</v>
      </c>
      <c r="OJ7">
        <v>-2.4245362661989844E-14</v>
      </c>
      <c r="OK7">
        <v>32224962</v>
      </c>
      <c r="OL7" t="s">
        <v>3038</v>
      </c>
      <c r="OO7" t="s">
        <v>5703</v>
      </c>
      <c r="OP7">
        <v>6.2280990000000003</v>
      </c>
      <c r="OQ7" t="s">
        <v>1752</v>
      </c>
      <c r="OR7">
        <v>4.9572999999999999E-2</v>
      </c>
      <c r="OS7" t="s">
        <v>1788</v>
      </c>
      <c r="OT7">
        <v>2025</v>
      </c>
      <c r="OU7" t="s">
        <v>5702</v>
      </c>
      <c r="OV7" s="6">
        <v>46020</v>
      </c>
      <c r="OW7">
        <v>5</v>
      </c>
      <c r="OX7">
        <v>21244856</v>
      </c>
      <c r="OY7">
        <v>101491</v>
      </c>
      <c r="OZ7" t="s">
        <v>5704</v>
      </c>
      <c r="QW7" t="s">
        <v>5403</v>
      </c>
      <c r="QX7">
        <v>-2.4245362661989844E-14</v>
      </c>
      <c r="QZ7">
        <v>-2.4245362661989844E-14</v>
      </c>
      <c r="RA7" t="s">
        <v>1781</v>
      </c>
      <c r="RB7">
        <v>2024</v>
      </c>
      <c r="RC7" t="s">
        <v>5399</v>
      </c>
      <c r="RD7" s="6">
        <v>45412</v>
      </c>
      <c r="RE7">
        <v>5</v>
      </c>
      <c r="RF7">
        <v>-2.4245362661989844E-14</v>
      </c>
      <c r="RG7">
        <v>30932742</v>
      </c>
      <c r="RH7" t="s">
        <v>5404</v>
      </c>
    </row>
    <row r="8" spans="1:600" x14ac:dyDescent="0.25">
      <c r="A8" t="s">
        <v>3099</v>
      </c>
      <c r="C8">
        <v>-2.4245362661989844E-14</v>
      </c>
      <c r="D8">
        <v>-2.4245362661989844E-14</v>
      </c>
      <c r="E8" t="s">
        <v>1753</v>
      </c>
      <c r="F8">
        <v>2021</v>
      </c>
      <c r="G8" t="s">
        <v>3100</v>
      </c>
      <c r="H8" s="6">
        <v>44693</v>
      </c>
      <c r="I8">
        <v>5</v>
      </c>
      <c r="J8">
        <v>-2.4245362661989844E-14</v>
      </c>
      <c r="K8">
        <v>100760</v>
      </c>
      <c r="L8" t="s">
        <v>3101</v>
      </c>
      <c r="O8" t="s">
        <v>1908</v>
      </c>
      <c r="P8">
        <v>4.8063099999999999</v>
      </c>
      <c r="Q8" t="s">
        <v>1752</v>
      </c>
      <c r="R8">
        <v>0.187551</v>
      </c>
      <c r="S8" t="s">
        <v>1781</v>
      </c>
      <c r="T8">
        <v>2025</v>
      </c>
      <c r="U8" t="s">
        <v>2953</v>
      </c>
      <c r="V8" s="6">
        <v>45793</v>
      </c>
      <c r="W8">
        <v>5</v>
      </c>
      <c r="X8">
        <v>30364536</v>
      </c>
      <c r="Y8">
        <v>101555</v>
      </c>
      <c r="Z8" t="s">
        <v>1909</v>
      </c>
      <c r="AE8" t="s">
        <v>2944</v>
      </c>
      <c r="AF8" t="s">
        <v>1752</v>
      </c>
      <c r="AG8">
        <v>3.0757509999999999</v>
      </c>
      <c r="AH8">
        <v>0.25219200000000003</v>
      </c>
      <c r="AI8" t="s">
        <v>1788</v>
      </c>
      <c r="AJ8">
        <v>2025</v>
      </c>
      <c r="AK8" t="s">
        <v>3907</v>
      </c>
      <c r="AL8" s="6">
        <v>46050</v>
      </c>
      <c r="AM8">
        <v>5</v>
      </c>
      <c r="AN8">
        <v>4753819</v>
      </c>
      <c r="AO8">
        <v>126764</v>
      </c>
      <c r="AP8" t="s">
        <v>2946</v>
      </c>
      <c r="AS8" t="s">
        <v>3729</v>
      </c>
      <c r="AT8">
        <v>-2.4245362661989844E-14</v>
      </c>
      <c r="AV8">
        <v>-2.4245362661989844E-14</v>
      </c>
      <c r="AW8" t="s">
        <v>1753</v>
      </c>
      <c r="AX8">
        <v>2025</v>
      </c>
      <c r="AY8" t="s">
        <v>3730</v>
      </c>
      <c r="AZ8" s="6">
        <v>46030</v>
      </c>
      <c r="BA8">
        <v>5</v>
      </c>
      <c r="BB8">
        <v>-2.4245362661989844E-14</v>
      </c>
      <c r="BC8">
        <v>1017025</v>
      </c>
      <c r="BD8" t="s">
        <v>3731</v>
      </c>
      <c r="BI8" t="s">
        <v>3243</v>
      </c>
      <c r="BJ8" t="s">
        <v>1752</v>
      </c>
      <c r="BK8">
        <v>0.16970499999999999</v>
      </c>
      <c r="BL8">
        <v>0.39931699999999998</v>
      </c>
      <c r="BM8" t="s">
        <v>1788</v>
      </c>
      <c r="BN8">
        <v>2025</v>
      </c>
      <c r="BO8" t="s">
        <v>3244</v>
      </c>
      <c r="BP8" s="6">
        <v>46001</v>
      </c>
      <c r="BQ8">
        <v>5</v>
      </c>
      <c r="BR8">
        <v>1277431</v>
      </c>
      <c r="BS8">
        <v>1182195</v>
      </c>
      <c r="BT8" t="s">
        <v>3245</v>
      </c>
      <c r="BW8" t="s">
        <v>2614</v>
      </c>
      <c r="BX8">
        <v>4.3375130000000004</v>
      </c>
      <c r="BY8" t="s">
        <v>1828</v>
      </c>
      <c r="BZ8">
        <v>1.9799040000000001</v>
      </c>
      <c r="CA8" t="s">
        <v>1774</v>
      </c>
      <c r="CB8">
        <v>2025</v>
      </c>
      <c r="CC8" t="s">
        <v>2845</v>
      </c>
      <c r="CD8" s="6">
        <v>45915</v>
      </c>
      <c r="CE8">
        <v>5</v>
      </c>
      <c r="CF8">
        <v>28271780</v>
      </c>
      <c r="CG8">
        <v>58244711</v>
      </c>
      <c r="CH8" t="s">
        <v>2616</v>
      </c>
      <c r="HC8" t="s">
        <v>4912</v>
      </c>
      <c r="HD8" t="s">
        <v>1940</v>
      </c>
      <c r="HE8">
        <v>2.829078</v>
      </c>
      <c r="HF8">
        <v>1.5595559999999999</v>
      </c>
      <c r="HG8" t="s">
        <v>1753</v>
      </c>
      <c r="HH8">
        <v>2024</v>
      </c>
      <c r="HI8" t="s">
        <v>4913</v>
      </c>
      <c r="HJ8" s="6">
        <v>45713</v>
      </c>
      <c r="HK8">
        <v>5</v>
      </c>
      <c r="HL8">
        <v>37281180</v>
      </c>
      <c r="HM8">
        <v>154861</v>
      </c>
      <c r="HN8" t="s">
        <v>4914</v>
      </c>
      <c r="IG8" t="s">
        <v>4649</v>
      </c>
      <c r="II8">
        <v>-2.4245362661989844E-14</v>
      </c>
      <c r="IJ8">
        <v>-2.4245362661989844E-14</v>
      </c>
      <c r="IK8" t="s">
        <v>1753</v>
      </c>
      <c r="IL8">
        <v>2023</v>
      </c>
      <c r="IM8" t="s">
        <v>4647</v>
      </c>
      <c r="IN8" s="6">
        <v>45022</v>
      </c>
      <c r="IO8">
        <v>5</v>
      </c>
      <c r="IP8">
        <v>-2.4245362661989844E-14</v>
      </c>
      <c r="IQ8">
        <v>69744910</v>
      </c>
      <c r="IR8" t="s">
        <v>4650</v>
      </c>
      <c r="OA8" t="s">
        <v>3039</v>
      </c>
      <c r="OC8">
        <v>-2.4245362661989844E-14</v>
      </c>
      <c r="OD8">
        <v>-2.4245362661989844E-14</v>
      </c>
      <c r="OE8" t="s">
        <v>1781</v>
      </c>
      <c r="OF8">
        <v>2025</v>
      </c>
      <c r="OG8" t="s">
        <v>3033</v>
      </c>
      <c r="OH8" s="6">
        <v>45818</v>
      </c>
      <c r="OI8">
        <v>5</v>
      </c>
      <c r="OJ8">
        <v>-2.4245362661989844E-14</v>
      </c>
      <c r="OK8">
        <v>39534758</v>
      </c>
      <c r="OL8" t="s">
        <v>3040</v>
      </c>
      <c r="OO8" t="s">
        <v>345</v>
      </c>
      <c r="OP8">
        <v>5.8970770000000003</v>
      </c>
      <c r="OQ8" t="s">
        <v>1752</v>
      </c>
      <c r="OR8">
        <v>5.6982999999999999E-2</v>
      </c>
      <c r="OS8" t="s">
        <v>1788</v>
      </c>
      <c r="OT8">
        <v>2025</v>
      </c>
      <c r="OU8" t="s">
        <v>5702</v>
      </c>
      <c r="OV8" s="6">
        <v>46020</v>
      </c>
      <c r="OW8">
        <v>5</v>
      </c>
      <c r="OX8">
        <v>20115696</v>
      </c>
      <c r="OY8">
        <v>100315</v>
      </c>
      <c r="OZ8" t="s">
        <v>2035</v>
      </c>
      <c r="QW8" t="s">
        <v>5405</v>
      </c>
      <c r="QX8">
        <v>-2.4245362661989844E-14</v>
      </c>
      <c r="QZ8">
        <v>-2.4245362661989844E-14</v>
      </c>
      <c r="RA8" t="s">
        <v>1753</v>
      </c>
      <c r="RB8">
        <v>2023</v>
      </c>
      <c r="RC8" t="s">
        <v>5406</v>
      </c>
      <c r="RD8" s="6">
        <v>45043</v>
      </c>
      <c r="RE8">
        <v>5</v>
      </c>
      <c r="RF8">
        <v>-2.4245362661989844E-14</v>
      </c>
      <c r="RG8">
        <v>68607915</v>
      </c>
      <c r="RH8" t="s">
        <v>5407</v>
      </c>
    </row>
    <row r="9" spans="1:600" x14ac:dyDescent="0.25">
      <c r="A9" t="s">
        <v>5480</v>
      </c>
      <c r="C9">
        <v>-2.4245362661989844E-14</v>
      </c>
      <c r="D9">
        <v>-2.4245362661989844E-14</v>
      </c>
      <c r="E9" t="s">
        <v>1753</v>
      </c>
      <c r="F9">
        <v>2021</v>
      </c>
      <c r="G9" t="s">
        <v>5481</v>
      </c>
      <c r="H9" s="6">
        <v>44693</v>
      </c>
      <c r="I9">
        <v>5</v>
      </c>
      <c r="J9">
        <v>-2.4245362661989844E-14</v>
      </c>
      <c r="K9">
        <v>100466</v>
      </c>
      <c r="L9" t="s">
        <v>5482</v>
      </c>
      <c r="O9" t="s">
        <v>1144</v>
      </c>
      <c r="P9">
        <v>2.4254549999999999</v>
      </c>
      <c r="Q9" t="s">
        <v>1752</v>
      </c>
      <c r="R9">
        <v>0.117365</v>
      </c>
      <c r="S9" t="s">
        <v>1781</v>
      </c>
      <c r="T9">
        <v>2025</v>
      </c>
      <c r="U9" t="s">
        <v>2953</v>
      </c>
      <c r="V9" s="6">
        <v>45793</v>
      </c>
      <c r="W9">
        <v>5</v>
      </c>
      <c r="X9">
        <v>15323152</v>
      </c>
      <c r="Y9">
        <v>100185</v>
      </c>
      <c r="Z9" t="s">
        <v>4383</v>
      </c>
      <c r="AE9" t="s">
        <v>3726</v>
      </c>
      <c r="AF9" t="s">
        <v>1752</v>
      </c>
      <c r="AG9">
        <v>10.127708</v>
      </c>
      <c r="AH9">
        <v>0.109997</v>
      </c>
      <c r="AI9" t="s">
        <v>1768</v>
      </c>
      <c r="AJ9">
        <v>2025</v>
      </c>
      <c r="AK9" t="s">
        <v>3908</v>
      </c>
      <c r="AL9" s="6">
        <v>45975</v>
      </c>
      <c r="AM9">
        <v>5</v>
      </c>
      <c r="AN9">
        <v>1993134.38</v>
      </c>
      <c r="AO9">
        <v>18841705</v>
      </c>
      <c r="AP9" t="s">
        <v>3728</v>
      </c>
      <c r="AS9" t="s">
        <v>2734</v>
      </c>
      <c r="AT9">
        <v>-2.4245362661989844E-14</v>
      </c>
      <c r="AV9">
        <v>-2.4245362661989844E-14</v>
      </c>
      <c r="AW9" t="s">
        <v>1768</v>
      </c>
      <c r="AX9">
        <v>2025</v>
      </c>
      <c r="AY9" t="s">
        <v>3732</v>
      </c>
      <c r="AZ9" s="6">
        <v>45986</v>
      </c>
      <c r="BA9">
        <v>5</v>
      </c>
      <c r="BB9">
        <v>-2.4245362661989844E-14</v>
      </c>
      <c r="BC9">
        <v>27516715</v>
      </c>
      <c r="BD9" t="s">
        <v>2736</v>
      </c>
      <c r="BI9" t="s">
        <v>3246</v>
      </c>
      <c r="BJ9" t="s">
        <v>1752</v>
      </c>
      <c r="BK9">
        <v>0.87970999999999999</v>
      </c>
      <c r="BL9">
        <v>7.2147000000000003E-2</v>
      </c>
      <c r="BM9" t="s">
        <v>1788</v>
      </c>
      <c r="BN9">
        <v>2025</v>
      </c>
      <c r="BO9" t="s">
        <v>3247</v>
      </c>
      <c r="BP9" s="6">
        <v>46001</v>
      </c>
      <c r="BQ9">
        <v>5</v>
      </c>
      <c r="BR9">
        <v>230801</v>
      </c>
      <c r="BS9">
        <v>225528</v>
      </c>
      <c r="BT9" t="s">
        <v>3248</v>
      </c>
      <c r="BW9" t="s">
        <v>2425</v>
      </c>
      <c r="BX9">
        <v>2.9755229999999999</v>
      </c>
      <c r="BY9" t="s">
        <v>1828</v>
      </c>
      <c r="BZ9">
        <v>1.8793820000000001</v>
      </c>
      <c r="CA9" t="s">
        <v>1825</v>
      </c>
      <c r="CB9">
        <v>2024</v>
      </c>
      <c r="CC9" t="s">
        <v>2845</v>
      </c>
      <c r="CD9" s="6">
        <v>45714</v>
      </c>
      <c r="CE9">
        <v>5</v>
      </c>
      <c r="CF9">
        <v>22402236</v>
      </c>
      <c r="CG9">
        <v>101460</v>
      </c>
      <c r="CH9" t="s">
        <v>2427</v>
      </c>
      <c r="HC9" t="s">
        <v>4915</v>
      </c>
      <c r="HD9" t="s">
        <v>1752</v>
      </c>
      <c r="HE9">
        <v>2.6486839999999998</v>
      </c>
      <c r="HF9">
        <v>1.243028</v>
      </c>
      <c r="HG9" t="s">
        <v>1781</v>
      </c>
      <c r="HH9">
        <v>2025</v>
      </c>
      <c r="HI9" t="s">
        <v>4916</v>
      </c>
      <c r="HJ9" s="6">
        <v>45849</v>
      </c>
      <c r="HK9">
        <v>5</v>
      </c>
      <c r="HL9">
        <v>37129252</v>
      </c>
      <c r="HM9">
        <v>368063</v>
      </c>
      <c r="HN9" t="s">
        <v>4917</v>
      </c>
      <c r="IG9" t="s">
        <v>4651</v>
      </c>
      <c r="II9">
        <v>-2.4245362661989844E-14</v>
      </c>
      <c r="IJ9">
        <v>-2.4245362661989844E-14</v>
      </c>
      <c r="IK9" t="s">
        <v>1753</v>
      </c>
      <c r="IL9">
        <v>2021</v>
      </c>
      <c r="IM9" t="s">
        <v>4652</v>
      </c>
      <c r="IN9" s="6">
        <v>44651</v>
      </c>
      <c r="IO9">
        <v>5</v>
      </c>
      <c r="IP9">
        <v>-2.4245362661989844E-14</v>
      </c>
      <c r="IQ9">
        <v>221418</v>
      </c>
      <c r="IR9" t="s">
        <v>4653</v>
      </c>
      <c r="OA9" t="s">
        <v>3041</v>
      </c>
      <c r="OC9">
        <v>-2.4245362661989844E-14</v>
      </c>
      <c r="OD9">
        <v>-2.4245362661989844E-14</v>
      </c>
      <c r="OE9" t="s">
        <v>1781</v>
      </c>
      <c r="OF9">
        <v>2025</v>
      </c>
      <c r="OG9" t="s">
        <v>3033</v>
      </c>
      <c r="OH9" s="6">
        <v>45820</v>
      </c>
      <c r="OI9">
        <v>5</v>
      </c>
      <c r="OJ9">
        <v>-2.4245362661989844E-14</v>
      </c>
      <c r="OK9">
        <v>35505891</v>
      </c>
      <c r="OL9" t="s">
        <v>3042</v>
      </c>
      <c r="OO9" t="s">
        <v>2138</v>
      </c>
      <c r="OP9">
        <v>4.775379</v>
      </c>
      <c r="OQ9" t="s">
        <v>1752</v>
      </c>
      <c r="OR9">
        <v>4.5310000000000003E-2</v>
      </c>
      <c r="OS9" t="s">
        <v>1788</v>
      </c>
      <c r="OT9">
        <v>2025</v>
      </c>
      <c r="OU9" t="s">
        <v>5702</v>
      </c>
      <c r="OV9" s="6">
        <v>46020</v>
      </c>
      <c r="OW9">
        <v>5</v>
      </c>
      <c r="OX9">
        <v>16289439</v>
      </c>
      <c r="OY9">
        <v>948637</v>
      </c>
      <c r="OZ9" t="s">
        <v>2140</v>
      </c>
      <c r="QW9" t="s">
        <v>5408</v>
      </c>
      <c r="QX9">
        <v>-2.4245362661989844E-14</v>
      </c>
      <c r="QZ9">
        <v>-2.4245362661989844E-14</v>
      </c>
      <c r="RA9" t="s">
        <v>1753</v>
      </c>
      <c r="RB9">
        <v>2023</v>
      </c>
      <c r="RC9" t="s">
        <v>5406</v>
      </c>
      <c r="RD9" s="6">
        <v>45133</v>
      </c>
      <c r="RE9">
        <v>5</v>
      </c>
      <c r="RF9">
        <v>-2.4245362661989844E-14</v>
      </c>
      <c r="RG9">
        <v>69669951</v>
      </c>
      <c r="RH9" t="s">
        <v>5409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791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792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793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794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795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796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797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798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799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800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801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802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803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804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805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806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807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808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809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80</v>
      </c>
      <c r="AE2" s="3" t="s">
        <v>810</v>
      </c>
      <c r="BI2" s="3" t="s">
        <v>811</v>
      </c>
      <c r="CM2" s="3" t="s">
        <v>812</v>
      </c>
      <c r="DQ2" s="3" t="s">
        <v>813</v>
      </c>
      <c r="EU2" s="3" t="s">
        <v>814</v>
      </c>
      <c r="FY2" s="3" t="s">
        <v>815</v>
      </c>
      <c r="HC2" s="3" t="s">
        <v>816</v>
      </c>
      <c r="IG2" s="3" t="s">
        <v>817</v>
      </c>
      <c r="JK2" s="3" t="s">
        <v>818</v>
      </c>
      <c r="KO2" s="3" t="s">
        <v>819</v>
      </c>
      <c r="LS2" s="3" t="s">
        <v>820</v>
      </c>
      <c r="MW2" s="3" t="s">
        <v>821</v>
      </c>
      <c r="OA2" s="3" t="s">
        <v>822</v>
      </c>
      <c r="PE2" s="3" t="s">
        <v>669</v>
      </c>
      <c r="QI2" s="3" t="s">
        <v>823</v>
      </c>
      <c r="RM2" s="3" t="s">
        <v>824</v>
      </c>
      <c r="SQ2" s="3" t="s">
        <v>151</v>
      </c>
      <c r="TU2" s="3" t="s">
        <v>825</v>
      </c>
      <c r="UY2" s="3" t="s">
        <v>826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_xll.BDS("2326248D US Equity","SUPPLY_CHAIN_SUPPLIERS_ALL_DATA")</f>
        <v>#N/A N/A</v>
      </c>
      <c r="O5" t="str">
        <f>_xll.BDS("2326248D US Equity","SUPPLY_CHAIN_CUSTOMERS_ALL_DATA")</f>
        <v>#N/A N/A</v>
      </c>
      <c r="AE5" t="str">
        <f>_xll.BDS("BGGSQ US Equity","SUPPLY_CHAIN_SUPPLIERS_ALL_DATA","cols=12;rows=5")</f>
        <v>6042 JP Equity</v>
      </c>
      <c r="AG5">
        <v>15.3</v>
      </c>
      <c r="AH5">
        <v>-2.4245362661989844E-14</v>
      </c>
      <c r="AI5" t="s">
        <v>1753</v>
      </c>
      <c r="AJ5">
        <v>2025</v>
      </c>
      <c r="AK5" t="s">
        <v>2996</v>
      </c>
      <c r="AL5" s="6">
        <v>45834</v>
      </c>
      <c r="AM5">
        <v>5</v>
      </c>
      <c r="AN5">
        <v>2093018.36</v>
      </c>
      <c r="AO5">
        <v>114330</v>
      </c>
      <c r="AP5" t="s">
        <v>2997</v>
      </c>
      <c r="AS5" t="str">
        <f>_xll.BDS("BGGSQ US Equity","SUPPLY_CHAIN_CUSTOMERS_ALL_DATA","cols=12;rows=5")</f>
        <v>000816 CH Equity</v>
      </c>
      <c r="AT5">
        <v>-2.4245362661989844E-14</v>
      </c>
      <c r="AV5">
        <v>-2.4245362661989844E-14</v>
      </c>
      <c r="AW5" t="s">
        <v>1842</v>
      </c>
      <c r="AX5">
        <v>2025</v>
      </c>
      <c r="AY5" t="s">
        <v>4991</v>
      </c>
      <c r="AZ5" s="6">
        <v>45884</v>
      </c>
      <c r="BA5">
        <v>5</v>
      </c>
      <c r="BB5">
        <v>-2.4245362661989844E-14</v>
      </c>
      <c r="BC5">
        <v>223498</v>
      </c>
      <c r="BD5" t="s">
        <v>3000</v>
      </c>
      <c r="BI5" t="str">
        <f>_xll.BDS("CVG US Equity","SUPPLY_CHAIN_SUPPLIERS_ALL_DATA")</f>
        <v>#N/A N/A</v>
      </c>
      <c r="BW5" t="str">
        <f>_xll.BDS("CVG US Equity","SUPPLY_CHAIN_CUSTOMERS_ALL_DATA")</f>
        <v>#N/A N/A</v>
      </c>
      <c r="CM5" t="str">
        <f>_xll.BDS("DIS US Equity","SUPPLY_CHAIN_SUPPLIERS_ALL_DATA","cols=12;rows=5")</f>
        <v>GTN US Equity</v>
      </c>
      <c r="CN5" t="s">
        <v>1940</v>
      </c>
      <c r="CO5">
        <v>11</v>
      </c>
      <c r="CP5">
        <v>2.5200550000000002</v>
      </c>
      <c r="CQ5" t="s">
        <v>1753</v>
      </c>
      <c r="CR5">
        <v>2024</v>
      </c>
      <c r="CS5" t="s">
        <v>2923</v>
      </c>
      <c r="CT5" s="6">
        <v>45715</v>
      </c>
      <c r="CU5">
        <v>5</v>
      </c>
      <c r="CV5">
        <v>100210000</v>
      </c>
      <c r="CW5">
        <v>104103</v>
      </c>
      <c r="CX5" t="s">
        <v>2924</v>
      </c>
      <c r="DA5" t="str">
        <f>_xll.BDS("DIS US Equity","SUPPLY_CHAIN_CUSTOMERS_ALL_DATA","cols=12;rows=5")</f>
        <v>AD NA Equity</v>
      </c>
      <c r="DB5">
        <v>0.105923</v>
      </c>
      <c r="DC5" t="s">
        <v>1752</v>
      </c>
      <c r="DD5">
        <v>0.13025800000000001</v>
      </c>
      <c r="DE5" t="s">
        <v>1774</v>
      </c>
      <c r="DF5">
        <v>2025</v>
      </c>
      <c r="DG5" t="s">
        <v>2087</v>
      </c>
      <c r="DH5" s="6">
        <v>45887</v>
      </c>
      <c r="DI5">
        <v>5</v>
      </c>
      <c r="DJ5">
        <v>25058004.829999998</v>
      </c>
      <c r="DK5">
        <v>115643</v>
      </c>
      <c r="DL5" t="s">
        <v>2088</v>
      </c>
      <c r="DQ5" t="str">
        <f>_xll.BDS("FLG US Equity","SUPPLY_CHAIN_SUPPLIERS_ALL_DATA","cols=12;rows=5")</f>
        <v>CXM US Equity</v>
      </c>
      <c r="DS5">
        <v>-2.4245362661989844E-14</v>
      </c>
      <c r="DT5">
        <v>-2.4245362661989844E-14</v>
      </c>
      <c r="DU5" t="s">
        <v>1774</v>
      </c>
      <c r="DV5">
        <v>2026</v>
      </c>
      <c r="DW5" t="s">
        <v>3631</v>
      </c>
      <c r="DX5" s="6">
        <v>45902</v>
      </c>
      <c r="DY5">
        <v>5</v>
      </c>
      <c r="DZ5">
        <v>-2.4245362661989844E-14</v>
      </c>
      <c r="EA5">
        <v>34392121</v>
      </c>
      <c r="EB5" t="s">
        <v>3238</v>
      </c>
      <c r="EE5" t="str">
        <f>_xll.BDS("FLG US Equity","SUPPLY_CHAIN_CUSTOMERS_ALL_DATA")</f>
        <v>#N/A N/A</v>
      </c>
      <c r="EU5" t="str">
        <f>_xll.BDS("BHC CN Equity","SUPPLY_CHAIN_SUPPLIERS_ALL_DATA","cols=12;rows=5")</f>
        <v>ATR US Equity</v>
      </c>
      <c r="EV5" t="s">
        <v>1752</v>
      </c>
      <c r="EW5">
        <v>0.26260800000000001</v>
      </c>
      <c r="EX5">
        <v>0.30788500000000002</v>
      </c>
      <c r="EY5" t="s">
        <v>1774</v>
      </c>
      <c r="EZ5">
        <v>2025</v>
      </c>
      <c r="FA5" t="s">
        <v>3442</v>
      </c>
      <c r="FB5" s="6">
        <v>45914</v>
      </c>
      <c r="FC5">
        <v>5</v>
      </c>
      <c r="FD5">
        <v>2352239</v>
      </c>
      <c r="FE5">
        <v>117116</v>
      </c>
      <c r="FF5" t="s">
        <v>3443</v>
      </c>
      <c r="FI5" t="str">
        <f>_xll.BDS("BHC CN Equity","SUPPLY_CHAIN_CUSTOMERS_ALL_DATA","cols=12;rows=5")</f>
        <v>COR US Equity</v>
      </c>
      <c r="FJ5">
        <v>19</v>
      </c>
      <c r="FK5" t="s">
        <v>1752</v>
      </c>
      <c r="FL5">
        <v>0.62373500000000004</v>
      </c>
      <c r="FM5" t="s">
        <v>1753</v>
      </c>
      <c r="FN5">
        <v>2024</v>
      </c>
      <c r="FO5" t="s">
        <v>3270</v>
      </c>
      <c r="FP5" s="6">
        <v>45708</v>
      </c>
      <c r="FQ5">
        <v>5</v>
      </c>
      <c r="FR5">
        <v>457187488</v>
      </c>
      <c r="FS5">
        <v>156969</v>
      </c>
      <c r="FT5" t="s">
        <v>2340</v>
      </c>
      <c r="FY5" t="str">
        <f>_xll.BDS("KTOS US Equity","SUPPLY_CHAIN_SUPPLIERS_ALL_DATA","cols=12;rows=5")</f>
        <v>EMKR US Equity</v>
      </c>
      <c r="FZ5" t="s">
        <v>1752</v>
      </c>
      <c r="GA5">
        <v>9.3566800000000008</v>
      </c>
      <c r="GB5">
        <v>0.78878000000000004</v>
      </c>
      <c r="GC5" t="s">
        <v>1781</v>
      </c>
      <c r="GD5">
        <v>2025</v>
      </c>
      <c r="GE5" t="s">
        <v>3940</v>
      </c>
      <c r="GF5" s="6">
        <v>45811</v>
      </c>
      <c r="GG5">
        <v>5</v>
      </c>
      <c r="GH5">
        <v>1806307</v>
      </c>
      <c r="GI5">
        <v>214506</v>
      </c>
      <c r="GJ5" t="s">
        <v>3941</v>
      </c>
      <c r="GM5" t="str">
        <f>_xll.BDS("KTOS US Equity","SUPPLY_CHAIN_CUSTOMERS_ALL_DATA","cols=12;rows=5")</f>
        <v>3352Z US Equity</v>
      </c>
      <c r="GN5">
        <v>68</v>
      </c>
      <c r="GP5">
        <v>-2.4245362661989844E-14</v>
      </c>
      <c r="GQ5" t="s">
        <v>1753</v>
      </c>
      <c r="GR5">
        <v>2025</v>
      </c>
      <c r="GS5" t="s">
        <v>3528</v>
      </c>
      <c r="GT5" s="6">
        <v>46076</v>
      </c>
      <c r="GU5">
        <v>5</v>
      </c>
      <c r="GV5">
        <v>229275000</v>
      </c>
      <c r="GW5">
        <v>218252</v>
      </c>
      <c r="GX5" t="s">
        <v>1793</v>
      </c>
      <c r="HC5" t="str">
        <f>_xll.BDS("SYBT US Equity","SUPPLY_CHAIN_SUPPLIERS_ALL_DATA")</f>
        <v>#N/A N/A</v>
      </c>
      <c r="HQ5" t="str">
        <f>_xll.BDS("SYBT US Equity","SUPPLY_CHAIN_CUSTOMERS_ALL_DATA")</f>
        <v>#N/A N/A</v>
      </c>
      <c r="IG5" t="str">
        <f>_xll.BDS("PFS US Equity","SUPPLY_CHAIN_SUPPLIERS_ALL_DATA","cols=12;rows=2")</f>
        <v>1747628D US Equity</v>
      </c>
      <c r="II5">
        <v>-2.4245362661989844E-14</v>
      </c>
      <c r="IJ5">
        <v>-2.4245362661989844E-14</v>
      </c>
      <c r="IK5" t="s">
        <v>1753</v>
      </c>
      <c r="IL5">
        <v>2023</v>
      </c>
      <c r="IM5" t="s">
        <v>5697</v>
      </c>
      <c r="IN5" s="6">
        <v>45181</v>
      </c>
      <c r="IO5">
        <v>2</v>
      </c>
      <c r="IP5">
        <v>-2.4245362661989844E-14</v>
      </c>
      <c r="IQ5">
        <v>65868490</v>
      </c>
      <c r="IR5" t="s">
        <v>5698</v>
      </c>
      <c r="IU5" t="str">
        <f>_xll.BDS("PFS US Equity","SUPPLY_CHAIN_CUSTOMERS_ALL_DATA")</f>
        <v>#N/A N/A</v>
      </c>
      <c r="JK5" t="str">
        <f>_xll.BDS("ZLC US Equity","SUPPLY_CHAIN_SUPPLIERS_ALL_DATA")</f>
        <v>#N/A N/A</v>
      </c>
      <c r="JY5" t="str">
        <f>_xll.BDS("ZLC US Equity","SUPPLY_CHAIN_CUSTOMERS_ALL_DATA")</f>
        <v>#N/A N/A</v>
      </c>
      <c r="KO5" t="str">
        <f>_xll.BDS("APC US Equity","SUPPLY_CHAIN_SUPPLIERS_ALL_DATA")</f>
        <v>#N/A N/A</v>
      </c>
      <c r="LC5" t="str">
        <f>_xll.BDS("APC US Equity","SUPPLY_CHAIN_CUSTOMERS_ALL_DATA")</f>
        <v>#N/A N/A</v>
      </c>
      <c r="LS5" t="str">
        <f>_xll.BDS("KG US Equity","SUPPLY_CHAIN_SUPPLIERS_ALL_DATA")</f>
        <v>#N/A N/A</v>
      </c>
      <c r="MG5" t="str">
        <f>_xll.BDS("KG US Equity","SUPPLY_CHAIN_CUSTOMERS_ALL_DATA")</f>
        <v>#N/A N/A</v>
      </c>
      <c r="MW5" t="str">
        <f>_xll.BDS("GLW US Equity","SUPPLY_CHAIN_SUPPLIERS_ALL_DATA","cols=12;rows=5")</f>
        <v>300570 CH Equity</v>
      </c>
      <c r="MX5" t="s">
        <v>1752</v>
      </c>
      <c r="MY5">
        <v>70.099997999999999</v>
      </c>
      <c r="MZ5">
        <v>1.5170360000000001</v>
      </c>
      <c r="NA5" t="s">
        <v>1753</v>
      </c>
      <c r="NB5">
        <v>2024</v>
      </c>
      <c r="NC5" t="s">
        <v>5268</v>
      </c>
      <c r="ND5" s="6">
        <v>45745</v>
      </c>
      <c r="NE5">
        <v>5</v>
      </c>
      <c r="NF5">
        <v>33536623.91</v>
      </c>
      <c r="NG5">
        <v>30291601</v>
      </c>
      <c r="NH5" t="s">
        <v>5269</v>
      </c>
      <c r="NK5" t="str">
        <f>_xll.BDS("GLW US Equity","SUPPLY_CHAIN_CUSTOMERS_ALL_DATA","cols=12;rows=5")</f>
        <v>005930 KS Equity</v>
      </c>
      <c r="NL5">
        <v>4.6196169999999999</v>
      </c>
      <c r="NM5" t="s">
        <v>1752</v>
      </c>
      <c r="NN5">
        <v>0.49962600000000001</v>
      </c>
      <c r="NO5" t="s">
        <v>1788</v>
      </c>
      <c r="NP5">
        <v>2025</v>
      </c>
      <c r="NQ5" t="s">
        <v>4415</v>
      </c>
      <c r="NR5" s="6">
        <v>45982</v>
      </c>
      <c r="NS5">
        <v>5</v>
      </c>
      <c r="NT5">
        <v>189404304</v>
      </c>
      <c r="NU5">
        <v>117929</v>
      </c>
      <c r="NV5" t="s">
        <v>1873</v>
      </c>
      <c r="OA5" t="str">
        <f>_xll.BDS("TRA US Equity","SUPPLY_CHAIN_SUPPLIERS_ALL_DATA")</f>
        <v>#N/A N/A</v>
      </c>
      <c r="OO5" t="str">
        <f>_xll.BDS("TRA US Equity","SUPPLY_CHAIN_CUSTOMERS_ALL_DATA")</f>
        <v>#N/A N/A</v>
      </c>
      <c r="PE5" t="str">
        <f>_xll.BDS("TOWN US Equity","SUPPLY_CHAIN_SUPPLIERS_ALL_DATA")</f>
        <v>#N/A N/A</v>
      </c>
      <c r="PS5" t="str">
        <f>_xll.BDS("TOWN US Equity","SUPPLY_CHAIN_CUSTOMERS_ALL_DATA")</f>
        <v>#N/A N/A</v>
      </c>
      <c r="QI5" t="str">
        <f>_xll.BDS("CLM US Equity","SUPPLY_CHAIN_SUPPLIERS_ALL_DATA")</f>
        <v>#N/A N/A</v>
      </c>
      <c r="QW5" t="str">
        <f>_xll.BDS("CLM US Equity","SUPPLY_CHAIN_CUSTOMERS_ALL_DATA")</f>
        <v>#N/A N/A</v>
      </c>
      <c r="RM5" t="str">
        <f>_xll.BDS("CAR US Equity","SUPPLY_CHAIN_SUPPLIERS_ALL_DATA","cols=12;rows=5")</f>
        <v>VRRM US Equity</v>
      </c>
      <c r="RN5" t="s">
        <v>1752</v>
      </c>
      <c r="RO5">
        <v>13.5</v>
      </c>
      <c r="RP5">
        <v>1.973611</v>
      </c>
      <c r="RQ5" t="s">
        <v>1753</v>
      </c>
      <c r="RR5">
        <v>2024</v>
      </c>
      <c r="RS5" t="s">
        <v>2101</v>
      </c>
      <c r="RT5" s="6">
        <v>45715</v>
      </c>
      <c r="RU5">
        <v>5</v>
      </c>
      <c r="RV5">
        <v>29673236</v>
      </c>
      <c r="RW5">
        <v>51985055</v>
      </c>
      <c r="RX5" t="s">
        <v>2102</v>
      </c>
      <c r="SA5" t="str">
        <f>_xll.BDS("CAR US Equity","SUPPLY_CHAIN_CUSTOMERS_ALL_DATA","cols=12;rows=5")</f>
        <v>EIH IN Equity</v>
      </c>
      <c r="SB5">
        <v>1.306E-2</v>
      </c>
      <c r="SC5" t="s">
        <v>1752</v>
      </c>
      <c r="SD5">
        <v>0.69246200000000002</v>
      </c>
      <c r="SE5" t="s">
        <v>1753</v>
      </c>
      <c r="SF5">
        <v>2025</v>
      </c>
      <c r="SG5" t="s">
        <v>1758</v>
      </c>
      <c r="SH5" s="6">
        <v>45850</v>
      </c>
      <c r="SI5">
        <v>5</v>
      </c>
      <c r="SJ5">
        <v>381034.1</v>
      </c>
      <c r="SK5">
        <v>162657</v>
      </c>
      <c r="SL5" t="s">
        <v>1759</v>
      </c>
      <c r="SQ5" t="str">
        <f>_xll.BDS("MFE US Equity","SUPPLY_CHAIN_SUPPLIERS_ALL_DATA","cols=12;rows=2")</f>
        <v>EMBASSY IN Equity</v>
      </c>
      <c r="SS5">
        <v>-2.4245362661989844E-14</v>
      </c>
      <c r="ST5">
        <v>-2.4245362661989844E-14</v>
      </c>
      <c r="SU5" t="s">
        <v>1753</v>
      </c>
      <c r="SV5">
        <v>2022</v>
      </c>
      <c r="SW5" t="s">
        <v>2382</v>
      </c>
      <c r="SX5" s="6">
        <v>44698</v>
      </c>
      <c r="SY5">
        <v>2</v>
      </c>
      <c r="SZ5">
        <v>-2.4245362661989844E-14</v>
      </c>
      <c r="TA5">
        <v>63052670</v>
      </c>
      <c r="TB5" t="s">
        <v>2383</v>
      </c>
      <c r="TE5" t="str">
        <f>_xll.BDS("MFE US Equity","SUPPLY_CHAIN_CUSTOMERS_ALL_DATA","cols=12;rows=5")</f>
        <v>2760 JP Equity</v>
      </c>
      <c r="TF5">
        <v>-2.4245362661989844E-14</v>
      </c>
      <c r="TH5">
        <v>-2.4245362661989844E-14</v>
      </c>
      <c r="TI5" t="s">
        <v>1774</v>
      </c>
      <c r="TJ5">
        <v>2023</v>
      </c>
      <c r="TK5" t="s">
        <v>1775</v>
      </c>
      <c r="TL5" s="6">
        <v>44865</v>
      </c>
      <c r="TM5">
        <v>5</v>
      </c>
      <c r="TN5">
        <v>-2.4245362661989844E-14</v>
      </c>
      <c r="TO5">
        <v>955442</v>
      </c>
      <c r="TP5" t="s">
        <v>1776</v>
      </c>
      <c r="TU5" t="str">
        <f>_xll.BDS("DIOD US Equity","SUPPLY_CHAIN_SUPPLIERS_ALL_DATA","cols=12;rows=5")</f>
        <v>3675 TT Equity</v>
      </c>
      <c r="TV5" t="s">
        <v>1752</v>
      </c>
      <c r="TW5">
        <v>62.961627999999997</v>
      </c>
      <c r="TX5">
        <v>5.3038740000000004</v>
      </c>
      <c r="TY5" t="s">
        <v>1842</v>
      </c>
      <c r="TZ5">
        <v>2025</v>
      </c>
      <c r="UA5" t="s">
        <v>2654</v>
      </c>
      <c r="UB5" s="6">
        <v>45870</v>
      </c>
      <c r="UC5">
        <v>5</v>
      </c>
      <c r="UD5">
        <v>12571933.57</v>
      </c>
      <c r="UE5">
        <v>16929755</v>
      </c>
      <c r="UF5" t="s">
        <v>2655</v>
      </c>
      <c r="UI5" t="str">
        <f>_xll.BDS("DIOD US Equity","SUPPLY_CHAIN_CUSTOMERS_ALL_DATA","cols=12;rows=5")</f>
        <v>ARW US Equity</v>
      </c>
      <c r="UJ5">
        <v>11.336077</v>
      </c>
      <c r="UK5" t="s">
        <v>1752</v>
      </c>
      <c r="UL5">
        <v>0.62331800000000004</v>
      </c>
      <c r="UM5" t="s">
        <v>1781</v>
      </c>
      <c r="UN5">
        <v>2025</v>
      </c>
      <c r="UO5" t="s">
        <v>4671</v>
      </c>
      <c r="UP5" s="6">
        <v>45818</v>
      </c>
      <c r="UQ5">
        <v>5</v>
      </c>
      <c r="UR5">
        <v>37648584</v>
      </c>
      <c r="US5">
        <v>100115</v>
      </c>
      <c r="UT5" t="s">
        <v>1922</v>
      </c>
      <c r="UY5" t="str">
        <f>_xll.BDS("3024Q US Equity","SUPPLY_CHAIN_SUPPLIERS_ALL_DATA")</f>
        <v>#N/A N/A</v>
      </c>
      <c r="VM5" t="str">
        <f>_xll.BDS("3024Q US Equity","SUPPLY_CHAIN_CUSTOMERS_ALL_DATA")</f>
        <v>#N/A N/A</v>
      </c>
    </row>
    <row r="6" spans="1:600" x14ac:dyDescent="0.25">
      <c r="AE6" t="s">
        <v>2998</v>
      </c>
      <c r="AG6">
        <v>-2.4245362661989844E-14</v>
      </c>
      <c r="AH6">
        <v>-2.4245362661989844E-14</v>
      </c>
      <c r="AI6" t="s">
        <v>1842</v>
      </c>
      <c r="AJ6">
        <v>2022</v>
      </c>
      <c r="AK6" t="s">
        <v>2999</v>
      </c>
      <c r="AL6" s="6">
        <v>44788</v>
      </c>
      <c r="AM6">
        <v>5</v>
      </c>
      <c r="AN6">
        <v>-2.4245362661989844E-14</v>
      </c>
      <c r="AO6">
        <v>223498</v>
      </c>
      <c r="AP6" t="s">
        <v>3000</v>
      </c>
      <c r="AS6" t="s">
        <v>4992</v>
      </c>
      <c r="AT6">
        <v>-2.4245362661989844E-14</v>
      </c>
      <c r="AV6">
        <v>-2.4245362661989844E-14</v>
      </c>
      <c r="AW6" t="s">
        <v>1753</v>
      </c>
      <c r="AX6">
        <v>2024</v>
      </c>
      <c r="AY6" t="s">
        <v>4993</v>
      </c>
      <c r="AZ6" s="6">
        <v>45722</v>
      </c>
      <c r="BA6">
        <v>5</v>
      </c>
      <c r="BB6">
        <v>-2.4245362661989844E-14</v>
      </c>
      <c r="BC6">
        <v>103466</v>
      </c>
      <c r="BD6" t="s">
        <v>4994</v>
      </c>
      <c r="CM6" t="s">
        <v>226</v>
      </c>
      <c r="CN6" t="s">
        <v>1752</v>
      </c>
      <c r="CO6">
        <v>0.136354</v>
      </c>
      <c r="CP6">
        <v>0.64509000000000005</v>
      </c>
      <c r="CQ6" t="s">
        <v>1788</v>
      </c>
      <c r="CR6">
        <v>2025</v>
      </c>
      <c r="CS6" t="s">
        <v>2491</v>
      </c>
      <c r="CT6" s="6">
        <v>45843</v>
      </c>
      <c r="CU6">
        <v>5</v>
      </c>
      <c r="CV6">
        <v>95537792</v>
      </c>
      <c r="CW6">
        <v>101743</v>
      </c>
      <c r="CX6" t="s">
        <v>2156</v>
      </c>
      <c r="DA6" t="s">
        <v>2089</v>
      </c>
      <c r="DB6">
        <v>9.5786999999999997E-2</v>
      </c>
      <c r="DC6" t="s">
        <v>1752</v>
      </c>
      <c r="DD6">
        <v>0.115719</v>
      </c>
      <c r="DE6" t="s">
        <v>1774</v>
      </c>
      <c r="DF6">
        <v>2025</v>
      </c>
      <c r="DG6" t="s">
        <v>2090</v>
      </c>
      <c r="DH6" s="6">
        <v>45919</v>
      </c>
      <c r="DI6">
        <v>5</v>
      </c>
      <c r="DJ6">
        <v>22674200.559999999</v>
      </c>
      <c r="DK6">
        <v>115268</v>
      </c>
      <c r="DL6" t="s">
        <v>2091</v>
      </c>
      <c r="DQ6" t="s">
        <v>3632</v>
      </c>
      <c r="DS6">
        <v>-2.4245362661989844E-14</v>
      </c>
      <c r="DT6">
        <v>-2.4245362661989844E-14</v>
      </c>
      <c r="DU6" t="s">
        <v>1753</v>
      </c>
      <c r="DV6">
        <v>2023</v>
      </c>
      <c r="DW6" t="s">
        <v>3633</v>
      </c>
      <c r="DX6" s="6">
        <v>45350</v>
      </c>
      <c r="DY6">
        <v>5</v>
      </c>
      <c r="DZ6">
        <v>-2.4245362661989844E-14</v>
      </c>
      <c r="EA6">
        <v>33628170</v>
      </c>
      <c r="EB6" t="s">
        <v>3634</v>
      </c>
      <c r="EU6" t="s">
        <v>3444</v>
      </c>
      <c r="EV6" t="s">
        <v>1752</v>
      </c>
      <c r="EW6">
        <v>2.2218999999999999E-2</v>
      </c>
      <c r="EX6">
        <v>0.16142799999999999</v>
      </c>
      <c r="EY6" t="s">
        <v>1774</v>
      </c>
      <c r="EZ6">
        <v>2026</v>
      </c>
      <c r="FA6" t="s">
        <v>3445</v>
      </c>
      <c r="FB6" s="6">
        <v>46071</v>
      </c>
      <c r="FC6">
        <v>5</v>
      </c>
      <c r="FD6">
        <v>1210713</v>
      </c>
      <c r="FE6">
        <v>61417091</v>
      </c>
      <c r="FF6" t="s">
        <v>3446</v>
      </c>
      <c r="FI6" t="s">
        <v>2341</v>
      </c>
      <c r="FJ6">
        <v>15</v>
      </c>
      <c r="FK6" t="s">
        <v>1752</v>
      </c>
      <c r="FL6">
        <v>0.43576500000000001</v>
      </c>
      <c r="FM6" t="s">
        <v>1753</v>
      </c>
      <c r="FN6">
        <v>2024</v>
      </c>
      <c r="FO6" t="s">
        <v>3270</v>
      </c>
      <c r="FP6" s="6">
        <v>45708</v>
      </c>
      <c r="FQ6">
        <v>5</v>
      </c>
      <c r="FR6">
        <v>360937504</v>
      </c>
      <c r="FS6">
        <v>154936</v>
      </c>
      <c r="FT6" t="s">
        <v>2342</v>
      </c>
      <c r="FY6" t="s">
        <v>3942</v>
      </c>
      <c r="FZ6" t="s">
        <v>1752</v>
      </c>
      <c r="GA6">
        <v>4.64039</v>
      </c>
      <c r="GB6">
        <v>0.28101399999999999</v>
      </c>
      <c r="GC6" t="s">
        <v>1774</v>
      </c>
      <c r="GD6">
        <v>2025</v>
      </c>
      <c r="GE6" t="s">
        <v>3943</v>
      </c>
      <c r="GF6" s="6">
        <v>45967</v>
      </c>
      <c r="GG6">
        <v>5</v>
      </c>
      <c r="GH6">
        <v>760142</v>
      </c>
      <c r="GI6">
        <v>101147</v>
      </c>
      <c r="GJ6" t="s">
        <v>3944</v>
      </c>
      <c r="GM6" t="s">
        <v>3529</v>
      </c>
      <c r="GN6">
        <v>3.3295330000000001</v>
      </c>
      <c r="GO6" t="s">
        <v>1752</v>
      </c>
      <c r="GP6">
        <v>0.14169699999999999</v>
      </c>
      <c r="GQ6" t="s">
        <v>1788</v>
      </c>
      <c r="GR6">
        <v>2025</v>
      </c>
      <c r="GS6" t="s">
        <v>3530</v>
      </c>
      <c r="GT6" s="6">
        <v>45986</v>
      </c>
      <c r="GU6">
        <v>5</v>
      </c>
      <c r="GV6">
        <v>11573457</v>
      </c>
      <c r="GW6">
        <v>101090</v>
      </c>
      <c r="GX6" t="s">
        <v>3531</v>
      </c>
      <c r="IG6" t="s">
        <v>2128</v>
      </c>
      <c r="II6">
        <v>-2.4245362661989844E-14</v>
      </c>
      <c r="IJ6">
        <v>-2.4245362661989844E-14</v>
      </c>
      <c r="IK6" t="s">
        <v>1753</v>
      </c>
      <c r="IL6">
        <v>2023</v>
      </c>
      <c r="IM6" t="s">
        <v>5699</v>
      </c>
      <c r="IN6" s="6">
        <v>45350</v>
      </c>
      <c r="IO6">
        <v>2</v>
      </c>
      <c r="IP6">
        <v>-2.4245362661989844E-14</v>
      </c>
      <c r="IQ6">
        <v>35300053</v>
      </c>
      <c r="IR6" t="s">
        <v>2130</v>
      </c>
      <c r="MW6" t="s">
        <v>2174</v>
      </c>
      <c r="MX6" t="s">
        <v>1752</v>
      </c>
      <c r="MY6">
        <v>0.55191900000000005</v>
      </c>
      <c r="MZ6">
        <v>0.33829599999999999</v>
      </c>
      <c r="NA6" t="s">
        <v>1781</v>
      </c>
      <c r="NB6">
        <v>2026</v>
      </c>
      <c r="NC6" t="s">
        <v>2175</v>
      </c>
      <c r="ND6" s="6">
        <v>45967</v>
      </c>
      <c r="NE6">
        <v>5</v>
      </c>
      <c r="NF6">
        <v>8728047</v>
      </c>
      <c r="NG6">
        <v>104637</v>
      </c>
      <c r="NH6" t="s">
        <v>2176</v>
      </c>
      <c r="NK6" t="s">
        <v>4416</v>
      </c>
      <c r="NL6">
        <v>4.5903020000000003</v>
      </c>
      <c r="NM6" t="s">
        <v>1752</v>
      </c>
      <c r="NN6">
        <v>10.347038</v>
      </c>
      <c r="NO6" t="s">
        <v>1788</v>
      </c>
      <c r="NP6">
        <v>2025</v>
      </c>
      <c r="NQ6" t="s">
        <v>4415</v>
      </c>
      <c r="NR6" s="6">
        <v>45982</v>
      </c>
      <c r="NS6">
        <v>5</v>
      </c>
      <c r="NT6">
        <v>188202384</v>
      </c>
      <c r="NU6">
        <v>18170741</v>
      </c>
      <c r="NV6" t="s">
        <v>4417</v>
      </c>
      <c r="RM6" t="s">
        <v>2103</v>
      </c>
      <c r="RN6" t="s">
        <v>1752</v>
      </c>
      <c r="RO6">
        <v>0.38619700000000001</v>
      </c>
      <c r="RP6">
        <v>0.47442000000000001</v>
      </c>
      <c r="RQ6" t="s">
        <v>1774</v>
      </c>
      <c r="RR6">
        <v>2025</v>
      </c>
      <c r="RS6" t="s">
        <v>2104</v>
      </c>
      <c r="RT6" s="6">
        <v>45952</v>
      </c>
      <c r="RU6">
        <v>5</v>
      </c>
      <c r="RV6">
        <v>7236754.0099999998</v>
      </c>
      <c r="RW6">
        <v>27639867</v>
      </c>
      <c r="RX6" t="s">
        <v>2105</v>
      </c>
      <c r="SA6" t="s">
        <v>1760</v>
      </c>
      <c r="SB6">
        <v>-2.4245362661989844E-14</v>
      </c>
      <c r="SD6">
        <v>-2.4245362661989844E-14</v>
      </c>
      <c r="SE6" t="s">
        <v>1761</v>
      </c>
      <c r="SF6">
        <v>2024</v>
      </c>
      <c r="SG6" t="s">
        <v>1762</v>
      </c>
      <c r="SH6" s="6">
        <v>45518</v>
      </c>
      <c r="SI6">
        <v>5</v>
      </c>
      <c r="SJ6">
        <v>-2.4245362661989844E-14</v>
      </c>
      <c r="SK6">
        <v>130119</v>
      </c>
      <c r="SL6" t="s">
        <v>1763</v>
      </c>
      <c r="SQ6" t="s">
        <v>2384</v>
      </c>
      <c r="SS6">
        <v>-2.4245362661989844E-14</v>
      </c>
      <c r="ST6">
        <v>-2.4245362661989844E-14</v>
      </c>
      <c r="SU6" t="s">
        <v>1753</v>
      </c>
      <c r="SV6">
        <v>2022</v>
      </c>
      <c r="SW6" t="s">
        <v>2385</v>
      </c>
      <c r="SX6" s="6">
        <v>44883</v>
      </c>
      <c r="SY6">
        <v>2</v>
      </c>
      <c r="SZ6">
        <v>-2.4245362661989844E-14</v>
      </c>
      <c r="TA6">
        <v>68965235</v>
      </c>
      <c r="TB6" t="s">
        <v>2386</v>
      </c>
      <c r="TE6" t="s">
        <v>1777</v>
      </c>
      <c r="TF6">
        <v>-2.4245362661989844E-14</v>
      </c>
      <c r="TH6">
        <v>-2.4245362661989844E-14</v>
      </c>
      <c r="TI6" t="s">
        <v>1753</v>
      </c>
      <c r="TJ6">
        <v>2025</v>
      </c>
      <c r="TK6" t="s">
        <v>1778</v>
      </c>
      <c r="TL6" s="6">
        <v>45881</v>
      </c>
      <c r="TM6">
        <v>5</v>
      </c>
      <c r="TN6">
        <v>-2.4245362661989844E-14</v>
      </c>
      <c r="TO6">
        <v>386756</v>
      </c>
      <c r="TP6" t="s">
        <v>1779</v>
      </c>
      <c r="TU6" t="s">
        <v>1929</v>
      </c>
      <c r="TV6" t="s">
        <v>1752</v>
      </c>
      <c r="TW6">
        <v>0.65956800000000004</v>
      </c>
      <c r="TX6">
        <v>0.63297000000000003</v>
      </c>
      <c r="TY6" t="s">
        <v>1753</v>
      </c>
      <c r="TZ6">
        <v>2025</v>
      </c>
      <c r="UA6" t="s">
        <v>2656</v>
      </c>
      <c r="UB6" s="6">
        <v>46063</v>
      </c>
      <c r="UC6">
        <v>5</v>
      </c>
      <c r="UD6">
        <v>1613500</v>
      </c>
      <c r="UE6">
        <v>17392177</v>
      </c>
      <c r="UF6" t="s">
        <v>1931</v>
      </c>
      <c r="UI6" t="s">
        <v>1923</v>
      </c>
      <c r="UJ6">
        <v>10.351977</v>
      </c>
      <c r="UK6" t="s">
        <v>1752</v>
      </c>
      <c r="UL6">
        <v>0.47902600000000001</v>
      </c>
      <c r="UM6" t="s">
        <v>1781</v>
      </c>
      <c r="UN6">
        <v>2025</v>
      </c>
      <c r="UO6" t="s">
        <v>4671</v>
      </c>
      <c r="UP6" s="6">
        <v>45818</v>
      </c>
      <c r="UQ6">
        <v>5</v>
      </c>
      <c r="UR6">
        <v>34380260</v>
      </c>
      <c r="US6">
        <v>1459396</v>
      </c>
      <c r="UT6" t="s">
        <v>1925</v>
      </c>
    </row>
    <row r="7" spans="1:600" x14ac:dyDescent="0.25">
      <c r="AE7" t="s">
        <v>3001</v>
      </c>
      <c r="AG7">
        <v>-2.4245362661989844E-14</v>
      </c>
      <c r="AH7">
        <v>-2.4245362661989844E-14</v>
      </c>
      <c r="AI7" t="s">
        <v>1753</v>
      </c>
      <c r="AJ7">
        <v>2024</v>
      </c>
      <c r="AK7" t="s">
        <v>3002</v>
      </c>
      <c r="AL7" s="6">
        <v>45768</v>
      </c>
      <c r="AM7">
        <v>5</v>
      </c>
      <c r="AN7">
        <v>-2.4245362661989844E-14</v>
      </c>
      <c r="AO7">
        <v>9038856</v>
      </c>
      <c r="AP7" t="s">
        <v>3003</v>
      </c>
      <c r="AS7" t="s">
        <v>4995</v>
      </c>
      <c r="AT7">
        <v>-2.4245362661989844E-14</v>
      </c>
      <c r="AV7">
        <v>-2.4245362661989844E-14</v>
      </c>
      <c r="AW7" t="s">
        <v>1753</v>
      </c>
      <c r="AX7">
        <v>2022</v>
      </c>
      <c r="AY7" t="s">
        <v>4996</v>
      </c>
      <c r="AZ7" s="6">
        <v>44855</v>
      </c>
      <c r="BA7">
        <v>5</v>
      </c>
      <c r="BB7">
        <v>-2.4245362661989844E-14</v>
      </c>
      <c r="BC7">
        <v>111680</v>
      </c>
      <c r="BD7" t="s">
        <v>4997</v>
      </c>
      <c r="CM7" t="s">
        <v>4815</v>
      </c>
      <c r="CN7" t="s">
        <v>1752</v>
      </c>
      <c r="CO7">
        <v>8.6999999999999993</v>
      </c>
      <c r="CP7">
        <v>0.35915200000000003</v>
      </c>
      <c r="CQ7" t="s">
        <v>1753</v>
      </c>
      <c r="CR7">
        <v>2024</v>
      </c>
      <c r="CS7" t="s">
        <v>4816</v>
      </c>
      <c r="CT7" s="6">
        <v>45716</v>
      </c>
      <c r="CU7">
        <v>5</v>
      </c>
      <c r="CV7">
        <v>52541236</v>
      </c>
      <c r="CW7">
        <v>33838804</v>
      </c>
      <c r="CX7" t="s">
        <v>4817</v>
      </c>
      <c r="DA7" t="s">
        <v>2092</v>
      </c>
      <c r="DB7">
        <v>2.0863E-2</v>
      </c>
      <c r="DC7" t="s">
        <v>1752</v>
      </c>
      <c r="DD7">
        <v>0.187834</v>
      </c>
      <c r="DE7" t="s">
        <v>1788</v>
      </c>
      <c r="DF7">
        <v>2025</v>
      </c>
      <c r="DG7" t="s">
        <v>2093</v>
      </c>
      <c r="DH7" s="6">
        <v>45694</v>
      </c>
      <c r="DI7">
        <v>5</v>
      </c>
      <c r="DJ7">
        <v>5247564.7699999996</v>
      </c>
      <c r="DK7">
        <v>111827</v>
      </c>
      <c r="DL7" t="s">
        <v>2094</v>
      </c>
      <c r="DQ7" t="s">
        <v>3635</v>
      </c>
      <c r="DS7">
        <v>-2.4245362661989844E-14</v>
      </c>
      <c r="DT7">
        <v>-2.4245362661989844E-14</v>
      </c>
      <c r="DU7" t="s">
        <v>1753</v>
      </c>
      <c r="DV7">
        <v>2024</v>
      </c>
      <c r="DW7" t="s">
        <v>3636</v>
      </c>
      <c r="DX7" s="6">
        <v>45716</v>
      </c>
      <c r="DY7">
        <v>5</v>
      </c>
      <c r="DZ7">
        <v>-2.4245362661989844E-14</v>
      </c>
      <c r="EA7">
        <v>29175351</v>
      </c>
      <c r="EB7" t="s">
        <v>3637</v>
      </c>
      <c r="EU7" t="s">
        <v>3447</v>
      </c>
      <c r="EW7">
        <v>-2.4245362661989844E-14</v>
      </c>
      <c r="EX7">
        <v>-2.4245362661989844E-14</v>
      </c>
      <c r="EY7" t="s">
        <v>1753</v>
      </c>
      <c r="EZ7">
        <v>2025</v>
      </c>
      <c r="FA7" t="s">
        <v>3448</v>
      </c>
      <c r="FB7" s="6">
        <v>45834</v>
      </c>
      <c r="FC7">
        <v>5</v>
      </c>
      <c r="FD7">
        <v>-2.4245362661989844E-14</v>
      </c>
      <c r="FE7">
        <v>113879</v>
      </c>
      <c r="FF7" t="s">
        <v>3449</v>
      </c>
      <c r="FI7" t="s">
        <v>1461</v>
      </c>
      <c r="FJ7">
        <v>14</v>
      </c>
      <c r="FK7" t="s">
        <v>1752</v>
      </c>
      <c r="FL7">
        <v>0.62815500000000002</v>
      </c>
      <c r="FM7" t="s">
        <v>1753</v>
      </c>
      <c r="FN7">
        <v>2024</v>
      </c>
      <c r="FO7" t="s">
        <v>3270</v>
      </c>
      <c r="FP7" s="6">
        <v>45708</v>
      </c>
      <c r="FQ7">
        <v>5</v>
      </c>
      <c r="FR7">
        <v>336875008</v>
      </c>
      <c r="FS7">
        <v>102782</v>
      </c>
      <c r="FT7" t="s">
        <v>1991</v>
      </c>
      <c r="FY7" t="s">
        <v>3945</v>
      </c>
      <c r="FZ7" t="s">
        <v>1752</v>
      </c>
      <c r="GA7">
        <v>5.3432E-2</v>
      </c>
      <c r="GB7">
        <v>8.8173000000000001E-2</v>
      </c>
      <c r="GC7" t="s">
        <v>1825</v>
      </c>
      <c r="GD7">
        <v>2025</v>
      </c>
      <c r="GE7" t="s">
        <v>3946</v>
      </c>
      <c r="GF7" s="6">
        <v>45810</v>
      </c>
      <c r="GG7">
        <v>5</v>
      </c>
      <c r="GH7">
        <v>201917</v>
      </c>
      <c r="GI7">
        <v>194484</v>
      </c>
      <c r="GJ7" t="s">
        <v>3947</v>
      </c>
      <c r="GM7" t="s">
        <v>3532</v>
      </c>
      <c r="GN7">
        <v>2.267166</v>
      </c>
      <c r="GO7" t="s">
        <v>1752</v>
      </c>
      <c r="GP7">
        <v>4.8143999999999999E-2</v>
      </c>
      <c r="GQ7" t="s">
        <v>1788</v>
      </c>
      <c r="GR7">
        <v>2025</v>
      </c>
      <c r="GS7" t="s">
        <v>3530</v>
      </c>
      <c r="GT7" s="6">
        <v>45986</v>
      </c>
      <c r="GU7">
        <v>5</v>
      </c>
      <c r="GV7">
        <v>7880669</v>
      </c>
      <c r="GW7">
        <v>156923</v>
      </c>
      <c r="GX7" t="s">
        <v>3533</v>
      </c>
      <c r="MW7" t="s">
        <v>5157</v>
      </c>
      <c r="MX7" t="s">
        <v>1752</v>
      </c>
      <c r="MY7">
        <v>0.948411</v>
      </c>
      <c r="MZ7">
        <v>0.14854400000000001</v>
      </c>
      <c r="NA7" t="s">
        <v>1774</v>
      </c>
      <c r="NB7">
        <v>2025</v>
      </c>
      <c r="NC7" t="s">
        <v>5158</v>
      </c>
      <c r="ND7" s="6">
        <v>45902</v>
      </c>
      <c r="NE7">
        <v>5</v>
      </c>
      <c r="NF7">
        <v>3669042</v>
      </c>
      <c r="NG7">
        <v>47762945</v>
      </c>
      <c r="NH7" t="s">
        <v>5159</v>
      </c>
      <c r="NK7" t="s">
        <v>4418</v>
      </c>
      <c r="NL7">
        <v>3.8943539999999999</v>
      </c>
      <c r="NM7" t="s">
        <v>1752</v>
      </c>
      <c r="NN7">
        <v>2.5072610000000002</v>
      </c>
      <c r="NO7" t="s">
        <v>1788</v>
      </c>
      <c r="NP7">
        <v>2025</v>
      </c>
      <c r="NQ7" t="s">
        <v>4415</v>
      </c>
      <c r="NR7" s="6">
        <v>45982</v>
      </c>
      <c r="NS7">
        <v>5</v>
      </c>
      <c r="NT7">
        <v>159668512</v>
      </c>
      <c r="NU7">
        <v>221432</v>
      </c>
      <c r="NV7" t="s">
        <v>4419</v>
      </c>
      <c r="RM7" t="s">
        <v>2106</v>
      </c>
      <c r="RN7" t="s">
        <v>1828</v>
      </c>
      <c r="RO7">
        <v>0.254056</v>
      </c>
      <c r="RP7">
        <v>0.26785799999999998</v>
      </c>
      <c r="RQ7" t="s">
        <v>1825</v>
      </c>
      <c r="RR7">
        <v>2024</v>
      </c>
      <c r="RS7" t="s">
        <v>2107</v>
      </c>
      <c r="RT7" s="6">
        <v>45770</v>
      </c>
      <c r="RU7">
        <v>5</v>
      </c>
      <c r="RV7">
        <v>4756853.6399999997</v>
      </c>
      <c r="RW7">
        <v>186659</v>
      </c>
      <c r="RX7" t="s">
        <v>2108</v>
      </c>
      <c r="SA7" t="s">
        <v>1764</v>
      </c>
      <c r="SB7">
        <v>-2.4245362661989844E-14</v>
      </c>
      <c r="SD7">
        <v>-2.4245362661989844E-14</v>
      </c>
      <c r="SE7" t="s">
        <v>1761</v>
      </c>
      <c r="SF7">
        <v>2024</v>
      </c>
      <c r="SG7" t="s">
        <v>1765</v>
      </c>
      <c r="SH7" s="6">
        <v>45518</v>
      </c>
      <c r="SI7">
        <v>5</v>
      </c>
      <c r="SJ7">
        <v>-2.4245362661989844E-14</v>
      </c>
      <c r="SK7">
        <v>227699</v>
      </c>
      <c r="SL7" t="s">
        <v>1766</v>
      </c>
      <c r="TE7" t="s">
        <v>1780</v>
      </c>
      <c r="TF7">
        <v>-2.4245362661989844E-14</v>
      </c>
      <c r="TH7">
        <v>-2.4245362661989844E-14</v>
      </c>
      <c r="TI7" t="s">
        <v>1781</v>
      </c>
      <c r="TJ7">
        <v>2022</v>
      </c>
      <c r="TK7" t="s">
        <v>1782</v>
      </c>
      <c r="TL7" s="6">
        <v>44726</v>
      </c>
      <c r="TM7">
        <v>5</v>
      </c>
      <c r="TN7">
        <v>-2.4245362661989844E-14</v>
      </c>
      <c r="TO7">
        <v>115240</v>
      </c>
      <c r="TP7" t="s">
        <v>1783</v>
      </c>
      <c r="TU7" t="s">
        <v>2657</v>
      </c>
      <c r="TV7" t="s">
        <v>1752</v>
      </c>
      <c r="TW7">
        <v>0.283022</v>
      </c>
      <c r="TX7">
        <v>0.19370599999999999</v>
      </c>
      <c r="TY7" t="s">
        <v>1781</v>
      </c>
      <c r="TZ7">
        <v>2025</v>
      </c>
      <c r="UA7" t="s">
        <v>2658</v>
      </c>
      <c r="UB7" s="6">
        <v>45785</v>
      </c>
      <c r="UC7">
        <v>5</v>
      </c>
      <c r="UD7">
        <v>435298.39</v>
      </c>
      <c r="UE7">
        <v>7303046</v>
      </c>
      <c r="UF7" t="s">
        <v>2659</v>
      </c>
      <c r="UI7" t="s">
        <v>1784</v>
      </c>
      <c r="UJ7">
        <v>8.2055910000000001</v>
      </c>
      <c r="UK7" t="s">
        <v>1752</v>
      </c>
      <c r="UL7">
        <v>0.57644499999999999</v>
      </c>
      <c r="UM7" t="s">
        <v>1781</v>
      </c>
      <c r="UN7">
        <v>2025</v>
      </c>
      <c r="UO7" t="s">
        <v>4671</v>
      </c>
      <c r="UP7" s="6">
        <v>45818</v>
      </c>
      <c r="UQ7">
        <v>5</v>
      </c>
      <c r="UR7">
        <v>27251834</v>
      </c>
      <c r="US7">
        <v>100142</v>
      </c>
      <c r="UT7" t="s">
        <v>1786</v>
      </c>
    </row>
    <row r="8" spans="1:600" x14ac:dyDescent="0.25">
      <c r="AE8" t="s">
        <v>3004</v>
      </c>
      <c r="AG8">
        <v>-2.4245362661989844E-14</v>
      </c>
      <c r="AH8">
        <v>-2.4245362661989844E-14</v>
      </c>
      <c r="AI8" t="s">
        <v>1753</v>
      </c>
      <c r="AJ8">
        <v>2025</v>
      </c>
      <c r="AK8" t="s">
        <v>3005</v>
      </c>
      <c r="AL8" s="6">
        <v>45846</v>
      </c>
      <c r="AM8">
        <v>5</v>
      </c>
      <c r="AN8">
        <v>-2.4245362661989844E-14</v>
      </c>
      <c r="AO8">
        <v>30648823</v>
      </c>
      <c r="AP8" t="s">
        <v>3006</v>
      </c>
      <c r="AS8" t="s">
        <v>2092</v>
      </c>
      <c r="AT8">
        <v>-2.4245362661989844E-14</v>
      </c>
      <c r="AV8">
        <v>-2.4245362661989844E-14</v>
      </c>
      <c r="AW8" t="s">
        <v>1788</v>
      </c>
      <c r="AX8">
        <v>2024</v>
      </c>
      <c r="AY8" t="s">
        <v>4998</v>
      </c>
      <c r="AZ8" s="6">
        <v>45316</v>
      </c>
      <c r="BA8">
        <v>5</v>
      </c>
      <c r="BB8">
        <v>-2.4245362661989844E-14</v>
      </c>
      <c r="BC8">
        <v>111827</v>
      </c>
      <c r="BD8" t="s">
        <v>2094</v>
      </c>
      <c r="CM8" t="s">
        <v>2925</v>
      </c>
      <c r="CN8" t="s">
        <v>1752</v>
      </c>
      <c r="CO8">
        <v>2.0555249999999998</v>
      </c>
      <c r="CP8">
        <v>0.15715399999999999</v>
      </c>
      <c r="CQ8" t="s">
        <v>1774</v>
      </c>
      <c r="CR8">
        <v>2025</v>
      </c>
      <c r="CS8" t="s">
        <v>2926</v>
      </c>
      <c r="CT8" s="6">
        <v>45884</v>
      </c>
      <c r="CU8">
        <v>5</v>
      </c>
      <c r="CV8">
        <v>22837664</v>
      </c>
      <c r="CW8">
        <v>17257533</v>
      </c>
      <c r="CX8" t="s">
        <v>2927</v>
      </c>
      <c r="DA8" t="s">
        <v>2095</v>
      </c>
      <c r="DB8">
        <v>9.5700000000000004E-3</v>
      </c>
      <c r="DC8" t="s">
        <v>1752</v>
      </c>
      <c r="DD8">
        <v>7.616047</v>
      </c>
      <c r="DE8" t="s">
        <v>1753</v>
      </c>
      <c r="DF8">
        <v>2025</v>
      </c>
      <c r="DG8" t="s">
        <v>2096</v>
      </c>
      <c r="DH8" s="6">
        <v>45869</v>
      </c>
      <c r="DI8">
        <v>5</v>
      </c>
      <c r="DJ8">
        <v>2250536.7200000002</v>
      </c>
      <c r="DK8">
        <v>16852453</v>
      </c>
      <c r="DL8" t="s">
        <v>2097</v>
      </c>
      <c r="DQ8" t="s">
        <v>2152</v>
      </c>
      <c r="DS8">
        <v>-2.4245362661989844E-14</v>
      </c>
      <c r="DT8">
        <v>-2.4245362661989844E-14</v>
      </c>
      <c r="DU8" t="s">
        <v>1768</v>
      </c>
      <c r="DV8">
        <v>2023</v>
      </c>
      <c r="DW8" t="s">
        <v>2153</v>
      </c>
      <c r="DX8" s="6">
        <v>45245</v>
      </c>
      <c r="DY8">
        <v>5</v>
      </c>
      <c r="DZ8">
        <v>-2.4245362661989844E-14</v>
      </c>
      <c r="EA8">
        <v>103882</v>
      </c>
      <c r="EB8" t="s">
        <v>2154</v>
      </c>
      <c r="EU8" t="s">
        <v>3450</v>
      </c>
      <c r="EW8">
        <v>-2.4245362661989844E-14</v>
      </c>
      <c r="EX8">
        <v>-2.4245362661989844E-14</v>
      </c>
      <c r="EY8" t="s">
        <v>1753</v>
      </c>
      <c r="EZ8">
        <v>2025</v>
      </c>
      <c r="FA8" t="s">
        <v>3451</v>
      </c>
      <c r="FB8" s="6">
        <v>45831</v>
      </c>
      <c r="FC8">
        <v>5</v>
      </c>
      <c r="FD8">
        <v>-2.4245362661989844E-14</v>
      </c>
      <c r="FE8">
        <v>114633</v>
      </c>
      <c r="FF8" t="s">
        <v>3452</v>
      </c>
      <c r="FI8" t="s">
        <v>2086</v>
      </c>
      <c r="FJ8">
        <v>0.56705499999999998</v>
      </c>
      <c r="FK8" t="s">
        <v>1752</v>
      </c>
      <c r="FL8">
        <v>7.4500999999999998E-2</v>
      </c>
      <c r="FM8" t="s">
        <v>1774</v>
      </c>
      <c r="FN8">
        <v>2025</v>
      </c>
      <c r="FO8" t="s">
        <v>2087</v>
      </c>
      <c r="FP8" s="6">
        <v>45887</v>
      </c>
      <c r="FQ8">
        <v>5</v>
      </c>
      <c r="FR8">
        <v>14331914.74</v>
      </c>
      <c r="FS8">
        <v>115643</v>
      </c>
      <c r="FT8" t="s">
        <v>2088</v>
      </c>
      <c r="FY8" t="s">
        <v>2307</v>
      </c>
      <c r="GA8">
        <v>-2.4245362661989844E-14</v>
      </c>
      <c r="GB8">
        <v>-2.4245362661989844E-14</v>
      </c>
      <c r="GC8" t="s">
        <v>1753</v>
      </c>
      <c r="GD8">
        <v>2021</v>
      </c>
      <c r="GE8" t="s">
        <v>2308</v>
      </c>
      <c r="GF8" s="6">
        <v>44693</v>
      </c>
      <c r="GG8">
        <v>5</v>
      </c>
      <c r="GH8">
        <v>-2.4245362661989844E-14</v>
      </c>
      <c r="GI8">
        <v>100060</v>
      </c>
      <c r="GJ8" t="s">
        <v>2309</v>
      </c>
      <c r="GM8" t="s">
        <v>1908</v>
      </c>
      <c r="GN8">
        <v>2.0591710000000001</v>
      </c>
      <c r="GO8" t="s">
        <v>1752</v>
      </c>
      <c r="GP8">
        <v>3.9990999999999999E-2</v>
      </c>
      <c r="GQ8" t="s">
        <v>1788</v>
      </c>
      <c r="GR8">
        <v>2025</v>
      </c>
      <c r="GS8" t="s">
        <v>3530</v>
      </c>
      <c r="GT8" s="6">
        <v>45986</v>
      </c>
      <c r="GU8">
        <v>5</v>
      </c>
      <c r="GV8">
        <v>7157678</v>
      </c>
      <c r="GW8">
        <v>101555</v>
      </c>
      <c r="GX8" t="s">
        <v>1909</v>
      </c>
      <c r="MW8" t="s">
        <v>3120</v>
      </c>
      <c r="MX8" t="s">
        <v>1752</v>
      </c>
      <c r="MY8">
        <v>1.0460000000000001E-2</v>
      </c>
      <c r="MZ8">
        <v>6.7876000000000006E-2</v>
      </c>
      <c r="NA8" t="s">
        <v>1788</v>
      </c>
      <c r="NB8">
        <v>2025</v>
      </c>
      <c r="NC8" t="s">
        <v>3121</v>
      </c>
      <c r="ND8" s="6">
        <v>46003</v>
      </c>
      <c r="NE8">
        <v>5</v>
      </c>
      <c r="NF8">
        <v>1751541.21</v>
      </c>
      <c r="NG8">
        <v>115694</v>
      </c>
      <c r="NH8" t="s">
        <v>3122</v>
      </c>
      <c r="NK8" t="s">
        <v>484</v>
      </c>
      <c r="NL8">
        <v>3.708545</v>
      </c>
      <c r="NM8" t="s">
        <v>1752</v>
      </c>
      <c r="NN8">
        <v>0.28092400000000001</v>
      </c>
      <c r="NO8" t="s">
        <v>1788</v>
      </c>
      <c r="NP8">
        <v>2025</v>
      </c>
      <c r="NQ8" t="s">
        <v>4415</v>
      </c>
      <c r="NR8" s="6">
        <v>45982</v>
      </c>
      <c r="NS8">
        <v>5</v>
      </c>
      <c r="NT8">
        <v>152050352</v>
      </c>
      <c r="NU8">
        <v>101695</v>
      </c>
      <c r="NV8" t="s">
        <v>3011</v>
      </c>
      <c r="RM8" t="s">
        <v>385</v>
      </c>
      <c r="RN8" t="s">
        <v>1752</v>
      </c>
      <c r="RO8">
        <v>2.1909000000000001E-2</v>
      </c>
      <c r="RP8">
        <v>0.25751600000000002</v>
      </c>
      <c r="RQ8" t="s">
        <v>1825</v>
      </c>
      <c r="RR8">
        <v>2025</v>
      </c>
      <c r="RS8" t="s">
        <v>1897</v>
      </c>
      <c r="RT8" s="6">
        <v>45848</v>
      </c>
      <c r="RU8">
        <v>5</v>
      </c>
      <c r="RV8">
        <v>3484188</v>
      </c>
      <c r="RW8">
        <v>101752</v>
      </c>
      <c r="RX8" t="s">
        <v>2109</v>
      </c>
      <c r="SA8" t="s">
        <v>1767</v>
      </c>
      <c r="SB8">
        <v>-2.4245362661989844E-14</v>
      </c>
      <c r="SD8">
        <v>-2.4245362661989844E-14</v>
      </c>
      <c r="SE8" t="s">
        <v>1768</v>
      </c>
      <c r="SF8">
        <v>2025</v>
      </c>
      <c r="SG8" t="s">
        <v>1769</v>
      </c>
      <c r="SH8" s="6">
        <v>45975</v>
      </c>
      <c r="SI8">
        <v>5</v>
      </c>
      <c r="SJ8">
        <v>-2.4245362661989844E-14</v>
      </c>
      <c r="SK8">
        <v>9760711</v>
      </c>
      <c r="SL8" t="s">
        <v>1770</v>
      </c>
      <c r="TE8" t="s">
        <v>1784</v>
      </c>
      <c r="TF8">
        <v>-2.4245362661989844E-14</v>
      </c>
      <c r="TH8">
        <v>-2.4245362661989844E-14</v>
      </c>
      <c r="TI8" t="s">
        <v>1753</v>
      </c>
      <c r="TJ8">
        <v>2022</v>
      </c>
      <c r="TK8" t="s">
        <v>1785</v>
      </c>
      <c r="TL8" s="6">
        <v>44839</v>
      </c>
      <c r="TM8">
        <v>5</v>
      </c>
      <c r="TN8">
        <v>-2.4245362661989844E-14</v>
      </c>
      <c r="TO8">
        <v>100142</v>
      </c>
      <c r="TP8" t="s">
        <v>1786</v>
      </c>
      <c r="TU8" t="s">
        <v>2459</v>
      </c>
      <c r="TV8" t="s">
        <v>1752</v>
      </c>
      <c r="TW8">
        <v>6.9256999999999999E-2</v>
      </c>
      <c r="TX8">
        <v>6.2349000000000002E-2</v>
      </c>
      <c r="TY8" t="s">
        <v>1781</v>
      </c>
      <c r="TZ8">
        <v>2025</v>
      </c>
      <c r="UA8" t="s">
        <v>2460</v>
      </c>
      <c r="UB8" s="6">
        <v>45820</v>
      </c>
      <c r="UC8">
        <v>5</v>
      </c>
      <c r="UD8">
        <v>141764.43</v>
      </c>
      <c r="UE8">
        <v>117587</v>
      </c>
      <c r="UF8" t="s">
        <v>2461</v>
      </c>
      <c r="UI8" t="s">
        <v>3166</v>
      </c>
      <c r="UJ8">
        <v>7.884646</v>
      </c>
      <c r="UK8" t="s">
        <v>1752</v>
      </c>
      <c r="UL8">
        <v>0.35955700000000002</v>
      </c>
      <c r="UM8" t="s">
        <v>1781</v>
      </c>
      <c r="UN8">
        <v>2025</v>
      </c>
      <c r="UO8" t="s">
        <v>4671</v>
      </c>
      <c r="UP8" s="6">
        <v>45818</v>
      </c>
      <c r="UQ8">
        <v>5</v>
      </c>
      <c r="UR8">
        <v>26185934</v>
      </c>
      <c r="US8">
        <v>9568853</v>
      </c>
      <c r="UT8" t="s">
        <v>3167</v>
      </c>
    </row>
    <row r="9" spans="1:600" x14ac:dyDescent="0.25">
      <c r="AE9" t="s">
        <v>3007</v>
      </c>
      <c r="AG9">
        <v>-2.4245362661989844E-14</v>
      </c>
      <c r="AH9">
        <v>-2.4245362661989844E-14</v>
      </c>
      <c r="AI9" t="s">
        <v>1753</v>
      </c>
      <c r="AJ9">
        <v>2023</v>
      </c>
      <c r="AK9" t="s">
        <v>3008</v>
      </c>
      <c r="AL9" s="6">
        <v>45404</v>
      </c>
      <c r="AM9">
        <v>5</v>
      </c>
      <c r="AN9">
        <v>-2.4245362661989844E-14</v>
      </c>
      <c r="AO9">
        <v>24572025</v>
      </c>
      <c r="AP9" t="s">
        <v>3009</v>
      </c>
      <c r="AS9" t="s">
        <v>3799</v>
      </c>
      <c r="AT9">
        <v>-2.4245362661989844E-14</v>
      </c>
      <c r="AV9">
        <v>-2.4245362661989844E-14</v>
      </c>
      <c r="AW9" t="s">
        <v>1774</v>
      </c>
      <c r="AX9">
        <v>2025</v>
      </c>
      <c r="AY9" t="s">
        <v>3800</v>
      </c>
      <c r="AZ9" s="6">
        <v>45818</v>
      </c>
      <c r="BA9">
        <v>5</v>
      </c>
      <c r="BB9">
        <v>-2.4245362661989844E-14</v>
      </c>
      <c r="BC9">
        <v>171397</v>
      </c>
      <c r="BD9" t="s">
        <v>3801</v>
      </c>
      <c r="CM9" t="s">
        <v>4818</v>
      </c>
      <c r="CN9" t="s">
        <v>1752</v>
      </c>
      <c r="CO9">
        <v>0.29686099999999999</v>
      </c>
      <c r="CP9">
        <v>6.9705000000000003E-2</v>
      </c>
      <c r="CQ9" t="s">
        <v>1825</v>
      </c>
      <c r="CR9">
        <v>2025</v>
      </c>
      <c r="CS9" t="s">
        <v>4819</v>
      </c>
      <c r="CT9" s="6">
        <v>46087</v>
      </c>
      <c r="CU9">
        <v>5</v>
      </c>
      <c r="CV9">
        <v>11619140</v>
      </c>
      <c r="CW9">
        <v>101204</v>
      </c>
      <c r="CX9" t="s">
        <v>4820</v>
      </c>
      <c r="DA9" t="s">
        <v>2098</v>
      </c>
      <c r="DB9">
        <v>5.3379999999999999E-3</v>
      </c>
      <c r="DC9" t="s">
        <v>1752</v>
      </c>
      <c r="DD9">
        <v>1.0343059999999999</v>
      </c>
      <c r="DE9" t="s">
        <v>1781</v>
      </c>
      <c r="DF9">
        <v>2026</v>
      </c>
      <c r="DG9" t="s">
        <v>2099</v>
      </c>
      <c r="DH9" s="6">
        <v>45852</v>
      </c>
      <c r="DI9">
        <v>5</v>
      </c>
      <c r="DJ9">
        <v>1261005</v>
      </c>
      <c r="DK9">
        <v>9515683</v>
      </c>
      <c r="DL9" t="s">
        <v>2100</v>
      </c>
      <c r="DQ9" t="s">
        <v>2242</v>
      </c>
      <c r="DS9">
        <v>-2.4245362661989844E-14</v>
      </c>
      <c r="DT9">
        <v>-2.4245362661989844E-14</v>
      </c>
      <c r="DU9" t="s">
        <v>1788</v>
      </c>
      <c r="DV9">
        <v>2023</v>
      </c>
      <c r="DW9" t="s">
        <v>3638</v>
      </c>
      <c r="DX9" s="6">
        <v>45231</v>
      </c>
      <c r="DY9">
        <v>5</v>
      </c>
      <c r="DZ9">
        <v>-2.4245362661989844E-14</v>
      </c>
      <c r="EA9">
        <v>69762655</v>
      </c>
      <c r="EB9" t="s">
        <v>2244</v>
      </c>
      <c r="EU9" t="s">
        <v>2304</v>
      </c>
      <c r="EW9">
        <v>-2.4245362661989844E-14</v>
      </c>
      <c r="EX9">
        <v>-2.4245362661989844E-14</v>
      </c>
      <c r="EY9" t="s">
        <v>1753</v>
      </c>
      <c r="EZ9">
        <v>2021</v>
      </c>
      <c r="FA9" t="s">
        <v>2305</v>
      </c>
      <c r="FB9" s="6">
        <v>44693</v>
      </c>
      <c r="FC9">
        <v>5</v>
      </c>
      <c r="FD9">
        <v>-2.4245362661989844E-14</v>
      </c>
      <c r="FE9">
        <v>313098</v>
      </c>
      <c r="FF9" t="s">
        <v>2306</v>
      </c>
      <c r="FI9" t="s">
        <v>3271</v>
      </c>
      <c r="FJ9">
        <v>-2.4245362661989844E-14</v>
      </c>
      <c r="FL9">
        <v>-2.4245362661989844E-14</v>
      </c>
      <c r="FM9" t="s">
        <v>1753</v>
      </c>
      <c r="FN9">
        <v>2024</v>
      </c>
      <c r="FO9" t="s">
        <v>3272</v>
      </c>
      <c r="FP9" s="6">
        <v>45771</v>
      </c>
      <c r="FQ9">
        <v>5</v>
      </c>
      <c r="FR9">
        <v>-2.4245362661989844E-14</v>
      </c>
      <c r="FS9">
        <v>16825202</v>
      </c>
      <c r="FT9" t="s">
        <v>3273</v>
      </c>
      <c r="FY9" t="s">
        <v>2392</v>
      </c>
      <c r="GA9">
        <v>-2.4245362661989844E-14</v>
      </c>
      <c r="GB9">
        <v>-2.4245362661989844E-14</v>
      </c>
      <c r="GC9" t="s">
        <v>1753</v>
      </c>
      <c r="GD9">
        <v>2021</v>
      </c>
      <c r="GE9" t="s">
        <v>2393</v>
      </c>
      <c r="GF9" s="6">
        <v>44693</v>
      </c>
      <c r="GG9">
        <v>5</v>
      </c>
      <c r="GH9">
        <v>-2.4245362661989844E-14</v>
      </c>
      <c r="GI9">
        <v>101690</v>
      </c>
      <c r="GJ9" t="s">
        <v>2394</v>
      </c>
      <c r="GM9" t="s">
        <v>3366</v>
      </c>
      <c r="GN9">
        <v>1.3989849999999999</v>
      </c>
      <c r="GO9" t="s">
        <v>1752</v>
      </c>
      <c r="GP9">
        <v>1.8962E-2</v>
      </c>
      <c r="GQ9" t="s">
        <v>1788</v>
      </c>
      <c r="GR9">
        <v>2025</v>
      </c>
      <c r="GS9" t="s">
        <v>3530</v>
      </c>
      <c r="GT9" s="6">
        <v>45986</v>
      </c>
      <c r="GU9">
        <v>5</v>
      </c>
      <c r="GV9">
        <v>4862872</v>
      </c>
      <c r="GW9">
        <v>100211</v>
      </c>
      <c r="GX9" t="s">
        <v>3368</v>
      </c>
      <c r="MW9" t="s">
        <v>5270</v>
      </c>
      <c r="MX9" t="s">
        <v>1940</v>
      </c>
      <c r="MY9">
        <v>2.8</v>
      </c>
      <c r="MZ9">
        <v>0.25838499999999998</v>
      </c>
      <c r="NA9" t="s">
        <v>1753</v>
      </c>
      <c r="NB9">
        <v>2024</v>
      </c>
      <c r="NC9" t="s">
        <v>5271</v>
      </c>
      <c r="ND9" s="6">
        <v>45794</v>
      </c>
      <c r="NE9">
        <v>5</v>
      </c>
      <c r="NF9">
        <v>1325627.46</v>
      </c>
      <c r="NG9">
        <v>42581762</v>
      </c>
      <c r="NH9" t="s">
        <v>5272</v>
      </c>
      <c r="NK9" t="s">
        <v>1144</v>
      </c>
      <c r="NL9">
        <v>3.6126870000000002</v>
      </c>
      <c r="NM9" t="s">
        <v>1828</v>
      </c>
      <c r="NN9">
        <v>3.4366629999999998</v>
      </c>
      <c r="NO9" t="s">
        <v>1788</v>
      </c>
      <c r="NP9">
        <v>2025</v>
      </c>
      <c r="NQ9" t="s">
        <v>4415</v>
      </c>
      <c r="NR9" s="6">
        <v>45982</v>
      </c>
      <c r="NS9">
        <v>5</v>
      </c>
      <c r="NT9">
        <v>148120160</v>
      </c>
      <c r="NU9">
        <v>100185</v>
      </c>
      <c r="NV9" t="s">
        <v>4383</v>
      </c>
      <c r="RM9" t="s">
        <v>2110</v>
      </c>
      <c r="RN9" t="s">
        <v>1752</v>
      </c>
      <c r="RO9">
        <v>3.7962999999999997E-2</v>
      </c>
      <c r="RP9">
        <v>0.117649</v>
      </c>
      <c r="RQ9" t="s">
        <v>1774</v>
      </c>
      <c r="RR9">
        <v>2025</v>
      </c>
      <c r="RS9" t="s">
        <v>2111</v>
      </c>
      <c r="RT9" s="6">
        <v>45917</v>
      </c>
      <c r="RU9">
        <v>5</v>
      </c>
      <c r="RV9">
        <v>1794964.29</v>
      </c>
      <c r="RW9">
        <v>112156</v>
      </c>
      <c r="RX9" t="s">
        <v>2112</v>
      </c>
      <c r="SA9" t="s">
        <v>1771</v>
      </c>
      <c r="SB9">
        <v>-2.4245362661989844E-14</v>
      </c>
      <c r="SD9">
        <v>-2.4245362661989844E-14</v>
      </c>
      <c r="SE9" t="s">
        <v>1753</v>
      </c>
      <c r="SF9">
        <v>2022</v>
      </c>
      <c r="SG9" t="s">
        <v>1772</v>
      </c>
      <c r="SH9" s="6">
        <v>44973</v>
      </c>
      <c r="SI9">
        <v>5</v>
      </c>
      <c r="SJ9">
        <v>-2.4245362661989844E-14</v>
      </c>
      <c r="SK9">
        <v>11599856</v>
      </c>
      <c r="SL9" t="s">
        <v>1773</v>
      </c>
      <c r="TE9" t="s">
        <v>1787</v>
      </c>
      <c r="TF9">
        <v>-2.4245362661989844E-14</v>
      </c>
      <c r="TH9">
        <v>-2.4245362661989844E-14</v>
      </c>
      <c r="TI9" t="s">
        <v>1788</v>
      </c>
      <c r="TJ9">
        <v>2025</v>
      </c>
      <c r="TK9" t="s">
        <v>1789</v>
      </c>
      <c r="TL9" s="6">
        <v>45699</v>
      </c>
      <c r="TM9">
        <v>5</v>
      </c>
      <c r="TN9">
        <v>-2.4245362661989844E-14</v>
      </c>
      <c r="TO9">
        <v>178651</v>
      </c>
      <c r="TP9" t="s">
        <v>1790</v>
      </c>
      <c r="TU9" t="s">
        <v>2660</v>
      </c>
      <c r="TV9" t="s">
        <v>1752</v>
      </c>
      <c r="TW9">
        <v>7.0347999999999994E-2</v>
      </c>
      <c r="TX9">
        <v>2.4290000000000002E-3</v>
      </c>
      <c r="TY9" t="s">
        <v>1788</v>
      </c>
      <c r="TZ9">
        <v>2025</v>
      </c>
      <c r="UA9" t="s">
        <v>2661</v>
      </c>
      <c r="UB9" s="6">
        <v>45971</v>
      </c>
      <c r="UC9">
        <v>5</v>
      </c>
      <c r="UD9">
        <v>6598.88</v>
      </c>
      <c r="UE9">
        <v>13527827</v>
      </c>
      <c r="UF9" t="s">
        <v>2662</v>
      </c>
      <c r="UI9" t="s">
        <v>1180</v>
      </c>
      <c r="UJ9">
        <v>7.7972510000000002</v>
      </c>
      <c r="UK9" t="s">
        <v>1752</v>
      </c>
      <c r="UL9">
        <v>4.0078999999999997E-2</v>
      </c>
      <c r="UM9" t="s">
        <v>1781</v>
      </c>
      <c r="UN9">
        <v>2025</v>
      </c>
      <c r="UO9" t="s">
        <v>4671</v>
      </c>
      <c r="UP9" s="6">
        <v>45818</v>
      </c>
      <c r="UQ9">
        <v>5</v>
      </c>
      <c r="UR9">
        <v>25895684</v>
      </c>
      <c r="US9">
        <v>100193</v>
      </c>
      <c r="UT9" t="s">
        <v>1951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828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829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830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831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832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833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834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835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836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837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838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839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840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841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842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843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844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845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846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847</v>
      </c>
      <c r="AE2" s="3" t="s">
        <v>848</v>
      </c>
      <c r="BI2" s="3" t="s">
        <v>849</v>
      </c>
      <c r="CM2" s="3" t="s">
        <v>126</v>
      </c>
      <c r="DQ2" s="3" t="s">
        <v>850</v>
      </c>
      <c r="EU2" s="3" t="s">
        <v>851</v>
      </c>
      <c r="FY2" s="3" t="s">
        <v>852</v>
      </c>
      <c r="HC2" s="3" t="s">
        <v>350</v>
      </c>
      <c r="IG2" s="3" t="s">
        <v>853</v>
      </c>
      <c r="JK2" s="3" t="s">
        <v>458</v>
      </c>
      <c r="KO2" s="3" t="s">
        <v>37</v>
      </c>
      <c r="LS2" s="3" t="s">
        <v>854</v>
      </c>
      <c r="MW2" s="3" t="s">
        <v>814</v>
      </c>
      <c r="OA2" s="3" t="s">
        <v>855</v>
      </c>
      <c r="PE2" s="3" t="s">
        <v>856</v>
      </c>
      <c r="QI2" s="3" t="s">
        <v>857</v>
      </c>
      <c r="RM2" s="3" t="s">
        <v>858</v>
      </c>
      <c r="SQ2" s="3" t="s">
        <v>859</v>
      </c>
      <c r="TU2" s="3" t="s">
        <v>860</v>
      </c>
      <c r="UY2" s="3" t="s">
        <v>861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_xll.BDS("390297Q US Equity","SUPPLY_CHAIN_SUPPLIERS_ALL_DATA")</f>
        <v>#N/A N/A</v>
      </c>
      <c r="O5" t="str">
        <f>_xll.BDS("390297Q US Equity","SUPPLY_CHAIN_CUSTOMERS_ALL_DATA")</f>
        <v>#N/A N/A</v>
      </c>
      <c r="AE5" t="str">
        <f>_xll.BDS("ANAT US Equity","SUPPLY_CHAIN_SUPPLIERS_ALL_DATA")</f>
        <v>#N/A N/A</v>
      </c>
      <c r="AS5" t="str">
        <f>_xll.BDS("ANAT US Equity","SUPPLY_CHAIN_CUSTOMERS_ALL_DATA")</f>
        <v>#N/A N/A</v>
      </c>
      <c r="BI5" t="str">
        <f>_xll.BDS("STJ US Equity","SUPPLY_CHAIN_SUPPLIERS_ALL_DATA")</f>
        <v>#N/A N/A</v>
      </c>
      <c r="BW5" t="str">
        <f>_xll.BDS("STJ US Equity","SUPPLY_CHAIN_CUSTOMERS_ALL_DATA")</f>
        <v>#N/A N/A</v>
      </c>
      <c r="CM5" t="str">
        <f>_xll.BDS("WFC US Equity","SUPPLY_CHAIN_SUPPLIERS_ALL_DATA","cols=12;rows=5")</f>
        <v>ADBE US Equity</v>
      </c>
      <c r="CN5" t="s">
        <v>1940</v>
      </c>
      <c r="CO5">
        <v>0.357321</v>
      </c>
      <c r="CP5">
        <v>0.15107200000000001</v>
      </c>
      <c r="CQ5" t="s">
        <v>1774</v>
      </c>
      <c r="CR5">
        <v>2025</v>
      </c>
      <c r="CS5" t="s">
        <v>2126</v>
      </c>
      <c r="CT5" s="6">
        <v>45838</v>
      </c>
      <c r="CU5">
        <v>5</v>
      </c>
      <c r="CV5">
        <v>20985462</v>
      </c>
      <c r="CW5">
        <v>101689</v>
      </c>
      <c r="CX5" t="s">
        <v>2127</v>
      </c>
      <c r="DA5" t="str">
        <f>_xll.BDS("WFC US Equity","SUPPLY_CHAIN_CUSTOMERS_ALL_DATA","cols=12;rows=5")</f>
        <v>CDW US Equity</v>
      </c>
      <c r="DB5">
        <v>4.1894000000000001E-2</v>
      </c>
      <c r="DC5" t="s">
        <v>1752</v>
      </c>
      <c r="DD5">
        <v>0.304456</v>
      </c>
      <c r="DE5" t="s">
        <v>1781</v>
      </c>
      <c r="DF5">
        <v>2025</v>
      </c>
      <c r="DG5" t="s">
        <v>1955</v>
      </c>
      <c r="DH5" s="6">
        <v>45820</v>
      </c>
      <c r="DI5">
        <v>5</v>
      </c>
      <c r="DJ5">
        <v>12412062</v>
      </c>
      <c r="DK5">
        <v>12129192</v>
      </c>
      <c r="DL5" t="s">
        <v>1956</v>
      </c>
      <c r="DQ5" t="str">
        <f>_xll.BDS("HTRN US Equity","SUPPLY_CHAIN_SUPPLIERS_ALL_DATA")</f>
        <v>#N/A N/A</v>
      </c>
      <c r="EE5" t="str">
        <f>_xll.BDS("HTRN US Equity","SUPPLY_CHAIN_CUSTOMERS_ALL_DATA")</f>
        <v>#N/A N/A</v>
      </c>
      <c r="EU5" t="str">
        <f>_xll.BDS("HCBK US Equity","SUPPLY_CHAIN_SUPPLIERS_ALL_DATA")</f>
        <v>#N/A N/A</v>
      </c>
      <c r="FI5" t="str">
        <f>_xll.BDS("HCBK US Equity","SUPPLY_CHAIN_CUSTOMERS_ALL_DATA")</f>
        <v>#N/A N/A</v>
      </c>
      <c r="FY5" t="str">
        <f>_xll.BDS("MAFB US Equity","SUPPLY_CHAIN_SUPPLIERS_ALL_DATA")</f>
        <v>#N/A N/A</v>
      </c>
      <c r="GM5" t="str">
        <f>_xll.BDS("MAFB US Equity","SUPPLY_CHAIN_CUSTOMERS_ALL_DATA")</f>
        <v>#N/A N/A</v>
      </c>
      <c r="HC5" t="str">
        <f>_xll.BDS("JNY US Equity","SUPPLY_CHAIN_SUPPLIERS_ALL_DATA")</f>
        <v>#N/A N/A</v>
      </c>
      <c r="HQ5" t="str">
        <f>_xll.BDS("JNY US Equity","SUPPLY_CHAIN_CUSTOMERS_ALL_DATA","cols=12;rows=1")</f>
        <v>MAPI IJ Equity</v>
      </c>
      <c r="HR5">
        <v>-2.4245362661989844E-14</v>
      </c>
      <c r="HT5">
        <v>-2.4245362661989844E-14</v>
      </c>
      <c r="HU5" t="s">
        <v>1753</v>
      </c>
      <c r="HV5">
        <v>2023</v>
      </c>
      <c r="HW5" t="s">
        <v>1919</v>
      </c>
      <c r="HX5" s="6">
        <v>45412</v>
      </c>
      <c r="HY5">
        <v>1</v>
      </c>
      <c r="HZ5">
        <v>-2.4245362661989844E-14</v>
      </c>
      <c r="IA5">
        <v>9183698</v>
      </c>
      <c r="IB5" t="s">
        <v>1920</v>
      </c>
      <c r="IG5" t="str">
        <f>_xll.BDS("KMB US Equity","SUPPLY_CHAIN_SUPPLIERS_ALL_DATA","cols=12;rows=5")</f>
        <v>GPK US Equity</v>
      </c>
      <c r="IH5" t="s">
        <v>1752</v>
      </c>
      <c r="II5">
        <v>1.0643819999999999</v>
      </c>
      <c r="IJ5">
        <v>0.85077700000000001</v>
      </c>
      <c r="IK5" t="s">
        <v>1825</v>
      </c>
      <c r="IL5">
        <v>2025</v>
      </c>
      <c r="IM5" t="s">
        <v>4015</v>
      </c>
      <c r="IN5" s="6">
        <v>46076</v>
      </c>
      <c r="IO5">
        <v>5</v>
      </c>
      <c r="IP5">
        <v>22383952</v>
      </c>
      <c r="IQ5">
        <v>187274</v>
      </c>
      <c r="IR5" t="s">
        <v>4016</v>
      </c>
      <c r="IU5" t="str">
        <f>_xll.BDS("KMB US Equity","SUPPLY_CHAIN_CUSTOMERS_ALL_DATA","cols=12;rows=5")</f>
        <v>WMT US Equity</v>
      </c>
      <c r="IV5">
        <v>16</v>
      </c>
      <c r="IW5" t="s">
        <v>1752</v>
      </c>
      <c r="IX5">
        <v>0.49151</v>
      </c>
      <c r="IY5" t="s">
        <v>1753</v>
      </c>
      <c r="IZ5">
        <v>2025</v>
      </c>
      <c r="JA5" t="s">
        <v>4413</v>
      </c>
      <c r="JB5" s="6">
        <v>46065</v>
      </c>
      <c r="JC5">
        <v>5</v>
      </c>
      <c r="JD5">
        <v>657880000</v>
      </c>
      <c r="JE5">
        <v>101616</v>
      </c>
      <c r="JF5" t="s">
        <v>2752</v>
      </c>
      <c r="JK5" t="str">
        <f>_xll.BDS("SUSQ US Equity","SUPPLY_CHAIN_SUPPLIERS_ALL_DATA")</f>
        <v>#N/A N/A</v>
      </c>
      <c r="JY5" t="str">
        <f>_xll.BDS("SUSQ US Equity","SUPPLY_CHAIN_CUSTOMERS_ALL_DATA")</f>
        <v>#N/A N/A</v>
      </c>
      <c r="KO5" t="str">
        <f>_xll.BDS("nan Equity","SUPPLY_CHAIN_SUPPLIERS_ALL_DATA")</f>
        <v>#N/A N/A</v>
      </c>
      <c r="LC5" t="str">
        <f>_xll.BDS("nan Equity","SUPPLY_CHAIN_CUSTOMERS_ALL_DATA")</f>
        <v>#N/A N/A</v>
      </c>
      <c r="LS5" t="str">
        <f>_xll.BDS("JDAS US Equity","SUPPLY_CHAIN_SUPPLIERS_ALL_DATA","cols=12;rows=1")</f>
        <v>MSFT US Equity</v>
      </c>
      <c r="LU5">
        <v>-2.4245362661989844E-14</v>
      </c>
      <c r="LV5">
        <v>-2.4245362661989844E-14</v>
      </c>
      <c r="LW5" t="s">
        <v>1753</v>
      </c>
      <c r="LX5">
        <v>2025</v>
      </c>
      <c r="LY5" t="s">
        <v>5149</v>
      </c>
      <c r="LZ5" s="6">
        <v>45974</v>
      </c>
      <c r="MA5">
        <v>1</v>
      </c>
      <c r="MB5">
        <v>-2.4245362661989844E-14</v>
      </c>
      <c r="MC5">
        <v>101743</v>
      </c>
      <c r="MD5" t="s">
        <v>2156</v>
      </c>
      <c r="MG5" t="str">
        <f>_xll.BDS("JDAS US Equity","SUPPLY_CHAIN_CUSTOMERS_ALL_DATA")</f>
        <v>#N/A N/A</v>
      </c>
      <c r="MW5" t="str">
        <f>_xll.BDS("BHC CN Equity","SUPPLY_CHAIN_SUPPLIERS_ALL_DATA","cols=12;rows=5")</f>
        <v>ATR US Equity</v>
      </c>
      <c r="MX5" t="s">
        <v>1752</v>
      </c>
      <c r="MY5">
        <v>0.26260800000000001</v>
      </c>
      <c r="MZ5">
        <v>0.30788500000000002</v>
      </c>
      <c r="NA5" t="s">
        <v>1774</v>
      </c>
      <c r="NB5">
        <v>2025</v>
      </c>
      <c r="NC5" t="s">
        <v>3442</v>
      </c>
      <c r="ND5" s="6">
        <v>45914</v>
      </c>
      <c r="NE5">
        <v>5</v>
      </c>
      <c r="NF5">
        <v>2352239</v>
      </c>
      <c r="NG5">
        <v>117116</v>
      </c>
      <c r="NH5" t="s">
        <v>3443</v>
      </c>
      <c r="NK5" t="str">
        <f>_xll.BDS("BHC CN Equity","SUPPLY_CHAIN_CUSTOMERS_ALL_DATA","cols=12;rows=5")</f>
        <v>COR US Equity</v>
      </c>
      <c r="NL5">
        <v>19</v>
      </c>
      <c r="NM5" t="s">
        <v>1752</v>
      </c>
      <c r="NN5">
        <v>0.62373500000000004</v>
      </c>
      <c r="NO5" t="s">
        <v>1753</v>
      </c>
      <c r="NP5">
        <v>2024</v>
      </c>
      <c r="NQ5" t="s">
        <v>3270</v>
      </c>
      <c r="NR5" s="6">
        <v>45708</v>
      </c>
      <c r="NS5">
        <v>5</v>
      </c>
      <c r="NT5">
        <v>457187488</v>
      </c>
      <c r="NU5">
        <v>156969</v>
      </c>
      <c r="NV5" t="s">
        <v>2340</v>
      </c>
      <c r="OA5" t="str">
        <f>_xll.BDS("MEDQ US Equity","SUPPLY_CHAIN_SUPPLIERS_ALL_DATA")</f>
        <v>#N/A N/A</v>
      </c>
      <c r="OO5" t="str">
        <f>_xll.BDS("MEDQ US Equity","SUPPLY_CHAIN_CUSTOMERS_ALL_DATA")</f>
        <v>#N/A N/A</v>
      </c>
      <c r="PE5" t="str">
        <f>_xll.BDS("XPO US Equity","SUPPLY_CHAIN_SUPPLIERS_ALL_DATA","cols=12;rows=5")</f>
        <v>EXTR US Equity</v>
      </c>
      <c r="PF5" t="s">
        <v>1828</v>
      </c>
      <c r="PG5">
        <v>0.165661</v>
      </c>
      <c r="PH5">
        <v>0.33158399999999999</v>
      </c>
      <c r="PI5" t="s">
        <v>1781</v>
      </c>
      <c r="PJ5">
        <v>2026</v>
      </c>
      <c r="PK5" t="s">
        <v>2643</v>
      </c>
      <c r="PL5" s="6">
        <v>46049</v>
      </c>
      <c r="PM5">
        <v>5</v>
      </c>
      <c r="PN5">
        <v>513955</v>
      </c>
      <c r="PO5">
        <v>386537</v>
      </c>
      <c r="PP5" t="s">
        <v>2644</v>
      </c>
      <c r="PS5" t="str">
        <f>_xll.BDS("XPO US Equity","SUPPLY_CHAIN_CUSTOMERS_ALL_DATA","cols=12;rows=5")</f>
        <v>BP/ LN Equity</v>
      </c>
      <c r="PT5">
        <v>1.299342</v>
      </c>
      <c r="PU5" t="s">
        <v>1752</v>
      </c>
      <c r="PV5">
        <v>9.4878000000000004E-2</v>
      </c>
      <c r="PW5" t="s">
        <v>1774</v>
      </c>
      <c r="PX5">
        <v>2025</v>
      </c>
      <c r="PY5" t="s">
        <v>2245</v>
      </c>
      <c r="PZ5" s="6">
        <v>45916</v>
      </c>
      <c r="QA5">
        <v>5</v>
      </c>
      <c r="QB5">
        <v>27026314</v>
      </c>
      <c r="QC5">
        <v>100228</v>
      </c>
      <c r="QD5" t="s">
        <v>3791</v>
      </c>
      <c r="QI5" t="str">
        <f>_xll.BDS("PGR US Equity","SUPPLY_CHAIN_SUPPLIERS_ALL_DATA","cols=12;rows=5")</f>
        <v>0374933Z US Equity</v>
      </c>
      <c r="QK5">
        <v>-2.4245362661989844E-14</v>
      </c>
      <c r="QL5">
        <v>-2.4245362661989844E-14</v>
      </c>
      <c r="QM5" t="s">
        <v>1753</v>
      </c>
      <c r="QN5">
        <v>2026</v>
      </c>
      <c r="QO5" t="s">
        <v>4654</v>
      </c>
      <c r="QP5" s="6">
        <v>46057</v>
      </c>
      <c r="QQ5">
        <v>5</v>
      </c>
      <c r="QR5">
        <v>-2.4245362661989844E-14</v>
      </c>
      <c r="QS5">
        <v>28250109</v>
      </c>
      <c r="QT5" t="s">
        <v>4655</v>
      </c>
      <c r="QW5" t="str">
        <f>_xll.BDS("PGR US Equity","SUPPLY_CHAIN_CUSTOMERS_ALL_DATA")</f>
        <v>#N/A N/A</v>
      </c>
      <c r="RM5" t="str">
        <f>_xll.BDS("ATNY US Equity","SUPPLY_CHAIN_SUPPLIERS_ALL_DATA","cols=12;rows=5")</f>
        <v>AQN CN Equity</v>
      </c>
      <c r="RO5">
        <v>-2.4245362661989844E-14</v>
      </c>
      <c r="RP5">
        <v>-2.4245362661989844E-14</v>
      </c>
      <c r="RQ5" t="s">
        <v>1753</v>
      </c>
      <c r="RR5">
        <v>2021</v>
      </c>
      <c r="RS5" t="s">
        <v>3108</v>
      </c>
      <c r="RT5" s="6">
        <v>44693</v>
      </c>
      <c r="RU5">
        <v>5</v>
      </c>
      <c r="RV5">
        <v>-2.4245362661989844E-14</v>
      </c>
      <c r="RW5">
        <v>310116</v>
      </c>
      <c r="RX5" t="s">
        <v>3109</v>
      </c>
      <c r="SA5" t="str">
        <f>_xll.BDS("ATNY US Equity","SUPPLY_CHAIN_CUSTOMERS_ALL_DATA","cols=12;rows=1")</f>
        <v>SNX US Equity</v>
      </c>
      <c r="SB5">
        <v>-2.4245362661989844E-14</v>
      </c>
      <c r="SD5">
        <v>-2.4245362661989844E-14</v>
      </c>
      <c r="SE5" t="s">
        <v>1753</v>
      </c>
      <c r="SF5">
        <v>2021</v>
      </c>
      <c r="SG5" t="s">
        <v>2674</v>
      </c>
      <c r="SH5" s="6">
        <v>44656</v>
      </c>
      <c r="SI5">
        <v>1</v>
      </c>
      <c r="SJ5">
        <v>-2.4245362661989844E-14</v>
      </c>
      <c r="SK5">
        <v>1499717</v>
      </c>
      <c r="SL5" t="s">
        <v>1827</v>
      </c>
      <c r="SQ5" t="str">
        <f>_xll.BDS("HOPE US Equity","SUPPLY_CHAIN_SUPPLIERS_ALL_DATA","cols=12;rows=1")</f>
        <v>NICE IT Equity</v>
      </c>
      <c r="SS5">
        <v>-2.4245362661989844E-14</v>
      </c>
      <c r="ST5">
        <v>-2.4245362661989844E-14</v>
      </c>
      <c r="SU5" t="s">
        <v>1781</v>
      </c>
      <c r="SV5">
        <v>2023</v>
      </c>
      <c r="SW5" t="s">
        <v>2550</v>
      </c>
      <c r="SX5" s="6">
        <v>45057</v>
      </c>
      <c r="SY5">
        <v>1</v>
      </c>
      <c r="SZ5">
        <v>-2.4245362661989844E-14</v>
      </c>
      <c r="TA5">
        <v>173249</v>
      </c>
      <c r="TB5" t="s">
        <v>2551</v>
      </c>
      <c r="TE5" t="str">
        <f>_xll.BDS("HOPE US Equity","SUPPLY_CHAIN_CUSTOMERS_ALL_DATA")</f>
        <v>#N/A N/A</v>
      </c>
      <c r="TU5" t="str">
        <f>_xll.BDS("SRGAQ US Equity","SUPPLY_CHAIN_SUPPLIERS_ALL_DATA","cols=12;rows=5")</f>
        <v>2307356Z US Equity</v>
      </c>
      <c r="TW5">
        <v>-2.4245362661989844E-14</v>
      </c>
      <c r="TX5">
        <v>-2.4245362661989844E-14</v>
      </c>
      <c r="TY5" t="s">
        <v>1774</v>
      </c>
      <c r="TZ5">
        <v>2023</v>
      </c>
      <c r="UA5" t="s">
        <v>3928</v>
      </c>
      <c r="UB5" s="6">
        <v>45096</v>
      </c>
      <c r="UC5">
        <v>5</v>
      </c>
      <c r="UD5">
        <v>-2.4245362661989844E-14</v>
      </c>
      <c r="UE5">
        <v>8079015</v>
      </c>
      <c r="UF5" t="s">
        <v>3929</v>
      </c>
      <c r="UI5" t="str">
        <f>_xll.BDS("SRGAQ US Equity","SUPPLY_CHAIN_CUSTOMERS_ALL_DATA","cols=12;rows=1")</f>
        <v>1868126D US Equity</v>
      </c>
      <c r="UJ5">
        <v>-2.4245362661989844E-14</v>
      </c>
      <c r="UL5">
        <v>-2.4245362661989844E-14</v>
      </c>
      <c r="UM5" t="s">
        <v>1774</v>
      </c>
      <c r="UN5">
        <v>2024</v>
      </c>
      <c r="UO5" t="s">
        <v>3777</v>
      </c>
      <c r="UP5" s="6">
        <v>45594</v>
      </c>
      <c r="UQ5">
        <v>1</v>
      </c>
      <c r="UR5">
        <v>-2.4245362661989844E-14</v>
      </c>
      <c r="US5">
        <v>171753</v>
      </c>
      <c r="UT5" t="s">
        <v>3778</v>
      </c>
      <c r="UY5" t="str">
        <f>_xll.BDS("ECL US Equity","SUPPLY_CHAIN_SUPPLIERS_ALL_DATA","cols=12;rows=5")</f>
        <v>CLN SW Equity</v>
      </c>
      <c r="UZ5" t="s">
        <v>1752</v>
      </c>
      <c r="VA5">
        <v>0.27591199999999999</v>
      </c>
      <c r="VB5">
        <v>0.13944000000000001</v>
      </c>
      <c r="VC5" t="s">
        <v>1774</v>
      </c>
      <c r="VD5">
        <v>2025</v>
      </c>
      <c r="VE5" t="s">
        <v>5867</v>
      </c>
      <c r="VF5" s="6">
        <v>45922</v>
      </c>
      <c r="VG5">
        <v>5</v>
      </c>
      <c r="VH5">
        <v>3306709.64</v>
      </c>
      <c r="VI5">
        <v>162326</v>
      </c>
      <c r="VJ5" t="s">
        <v>5868</v>
      </c>
      <c r="VM5" t="str">
        <f>_xll.BDS("ECL US Equity","SUPPLY_CHAIN_CUSTOMERS_ALL_DATA","cols=12;rows=5")</f>
        <v>WMT US Equity</v>
      </c>
      <c r="VN5">
        <v>1.7977730000000001</v>
      </c>
      <c r="VO5" t="s">
        <v>1752</v>
      </c>
      <c r="VP5">
        <v>5.2520999999999998E-2</v>
      </c>
      <c r="VQ5" t="s">
        <v>1825</v>
      </c>
      <c r="VR5">
        <v>2025</v>
      </c>
      <c r="VS5" t="s">
        <v>5163</v>
      </c>
      <c r="VT5" s="6">
        <v>46071</v>
      </c>
      <c r="VU5">
        <v>5</v>
      </c>
      <c r="VV5">
        <v>70748656</v>
      </c>
      <c r="VW5">
        <v>101616</v>
      </c>
      <c r="VX5" t="s">
        <v>2752</v>
      </c>
    </row>
    <row r="6" spans="1:600" x14ac:dyDescent="0.25">
      <c r="CM6" t="s">
        <v>1787</v>
      </c>
      <c r="CN6" t="s">
        <v>1940</v>
      </c>
      <c r="CO6">
        <v>5.2993949999999996</v>
      </c>
      <c r="CP6">
        <v>7.1481000000000003E-2</v>
      </c>
      <c r="CQ6" t="s">
        <v>1781</v>
      </c>
      <c r="CR6">
        <v>2026</v>
      </c>
      <c r="CS6" t="s">
        <v>2131</v>
      </c>
      <c r="CT6" s="6">
        <v>45898</v>
      </c>
      <c r="CU6">
        <v>5</v>
      </c>
      <c r="CV6">
        <v>9563900.9100000001</v>
      </c>
      <c r="CW6">
        <v>178651</v>
      </c>
      <c r="CX6" t="s">
        <v>1790</v>
      </c>
      <c r="DA6" t="s">
        <v>1957</v>
      </c>
      <c r="DB6">
        <v>-2.4245362661989844E-14</v>
      </c>
      <c r="DD6">
        <v>-2.4245362661989844E-14</v>
      </c>
      <c r="DE6" t="s">
        <v>1753</v>
      </c>
      <c r="DF6">
        <v>2024</v>
      </c>
      <c r="DG6" t="s">
        <v>1958</v>
      </c>
      <c r="DH6" s="6">
        <v>45756</v>
      </c>
      <c r="DI6">
        <v>5</v>
      </c>
      <c r="DJ6">
        <v>-2.4245362661989844E-14</v>
      </c>
      <c r="DK6">
        <v>23063237</v>
      </c>
      <c r="DL6" t="s">
        <v>1959</v>
      </c>
      <c r="IG6" t="s">
        <v>4041</v>
      </c>
      <c r="IH6" t="s">
        <v>1752</v>
      </c>
      <c r="II6">
        <v>1.6809879999999999</v>
      </c>
      <c r="IJ6">
        <v>0.388326</v>
      </c>
      <c r="IK6" t="s">
        <v>1788</v>
      </c>
      <c r="IL6">
        <v>2025</v>
      </c>
      <c r="IM6" t="s">
        <v>4042</v>
      </c>
      <c r="IN6" s="6">
        <v>45985</v>
      </c>
      <c r="IO6">
        <v>5</v>
      </c>
      <c r="IP6">
        <v>13510351.98</v>
      </c>
      <c r="IQ6">
        <v>125320</v>
      </c>
      <c r="IR6" t="s">
        <v>4043</v>
      </c>
      <c r="IU6" t="s">
        <v>2794</v>
      </c>
      <c r="IV6">
        <v>7.6823969999999999</v>
      </c>
      <c r="IW6" t="s">
        <v>1752</v>
      </c>
      <c r="IX6">
        <v>0.65840699999999996</v>
      </c>
      <c r="IY6" t="s">
        <v>1788</v>
      </c>
      <c r="IZ6">
        <v>2025</v>
      </c>
      <c r="JA6" t="s">
        <v>4414</v>
      </c>
      <c r="JB6" s="6">
        <v>46003</v>
      </c>
      <c r="JC6">
        <v>5</v>
      </c>
      <c r="JD6">
        <v>385233792</v>
      </c>
      <c r="JE6">
        <v>101758</v>
      </c>
      <c r="JF6" t="s">
        <v>2796</v>
      </c>
      <c r="MW6" t="s">
        <v>3444</v>
      </c>
      <c r="MX6" t="s">
        <v>1752</v>
      </c>
      <c r="MY6">
        <v>2.2218999999999999E-2</v>
      </c>
      <c r="MZ6">
        <v>0.16142799999999999</v>
      </c>
      <c r="NA6" t="s">
        <v>1774</v>
      </c>
      <c r="NB6">
        <v>2026</v>
      </c>
      <c r="NC6" t="s">
        <v>3445</v>
      </c>
      <c r="ND6" s="6">
        <v>46071</v>
      </c>
      <c r="NE6">
        <v>5</v>
      </c>
      <c r="NF6">
        <v>1210713</v>
      </c>
      <c r="NG6">
        <v>61417091</v>
      </c>
      <c r="NH6" t="s">
        <v>3446</v>
      </c>
      <c r="NK6" t="s">
        <v>2341</v>
      </c>
      <c r="NL6">
        <v>15</v>
      </c>
      <c r="NM6" t="s">
        <v>1752</v>
      </c>
      <c r="NN6">
        <v>0.43576500000000001</v>
      </c>
      <c r="NO6" t="s">
        <v>1753</v>
      </c>
      <c r="NP6">
        <v>2024</v>
      </c>
      <c r="NQ6" t="s">
        <v>3270</v>
      </c>
      <c r="NR6" s="6">
        <v>45708</v>
      </c>
      <c r="NS6">
        <v>5</v>
      </c>
      <c r="NT6">
        <v>360937504</v>
      </c>
      <c r="NU6">
        <v>154936</v>
      </c>
      <c r="NV6" t="s">
        <v>2342</v>
      </c>
      <c r="PE6" t="s">
        <v>2392</v>
      </c>
      <c r="PG6">
        <v>-2.4245362661989844E-14</v>
      </c>
      <c r="PH6">
        <v>-2.4245362661989844E-14</v>
      </c>
      <c r="PI6" t="s">
        <v>1753</v>
      </c>
      <c r="PJ6">
        <v>2021</v>
      </c>
      <c r="PK6" t="s">
        <v>2393</v>
      </c>
      <c r="PL6" s="6">
        <v>44693</v>
      </c>
      <c r="PM6">
        <v>5</v>
      </c>
      <c r="PN6">
        <v>-2.4245362661989844E-14</v>
      </c>
      <c r="PO6">
        <v>101690</v>
      </c>
      <c r="PP6" t="s">
        <v>2394</v>
      </c>
      <c r="PS6" t="s">
        <v>1935</v>
      </c>
      <c r="PT6">
        <v>1.0567569999999999</v>
      </c>
      <c r="PU6" t="s">
        <v>1752</v>
      </c>
      <c r="PV6">
        <v>0.13860900000000001</v>
      </c>
      <c r="PW6" t="s">
        <v>1774</v>
      </c>
      <c r="PX6">
        <v>2025</v>
      </c>
      <c r="PY6" t="s">
        <v>2245</v>
      </c>
      <c r="PZ6" s="6">
        <v>45916</v>
      </c>
      <c r="QA6">
        <v>5</v>
      </c>
      <c r="QB6">
        <v>21980546</v>
      </c>
      <c r="QC6">
        <v>100916</v>
      </c>
      <c r="QD6" t="s">
        <v>1936</v>
      </c>
      <c r="QI6" t="s">
        <v>4450</v>
      </c>
      <c r="QK6">
        <v>-2.4245362661989844E-14</v>
      </c>
      <c r="QL6">
        <v>-2.4245362661989844E-14</v>
      </c>
      <c r="QM6" t="s">
        <v>1781</v>
      </c>
      <c r="QN6">
        <v>2024</v>
      </c>
      <c r="QO6" t="s">
        <v>4508</v>
      </c>
      <c r="QP6" s="6">
        <v>45421</v>
      </c>
      <c r="QQ6">
        <v>5</v>
      </c>
      <c r="QR6">
        <v>-2.4245362661989844E-14</v>
      </c>
      <c r="QS6">
        <v>65608618</v>
      </c>
      <c r="QT6" t="s">
        <v>4452</v>
      </c>
      <c r="RM6" t="s">
        <v>3623</v>
      </c>
      <c r="RO6">
        <v>-2.4245362661989844E-14</v>
      </c>
      <c r="RP6">
        <v>-2.4245362661989844E-14</v>
      </c>
      <c r="RQ6" t="s">
        <v>1753</v>
      </c>
      <c r="RR6">
        <v>2021</v>
      </c>
      <c r="RS6" t="s">
        <v>3624</v>
      </c>
      <c r="RT6" s="6">
        <v>44693</v>
      </c>
      <c r="RU6">
        <v>5</v>
      </c>
      <c r="RV6">
        <v>-2.4245362661989844E-14</v>
      </c>
      <c r="RW6">
        <v>964326</v>
      </c>
      <c r="RX6" t="s">
        <v>3625</v>
      </c>
      <c r="TU6" t="s">
        <v>3930</v>
      </c>
      <c r="TW6">
        <v>-2.4245362661989844E-14</v>
      </c>
      <c r="TX6">
        <v>-2.4245362661989844E-14</v>
      </c>
      <c r="TY6" t="s">
        <v>1774</v>
      </c>
      <c r="TZ6">
        <v>2023</v>
      </c>
      <c r="UA6" t="s">
        <v>3928</v>
      </c>
      <c r="UB6" s="6">
        <v>45096</v>
      </c>
      <c r="UC6">
        <v>5</v>
      </c>
      <c r="UD6">
        <v>-2.4245362661989844E-14</v>
      </c>
      <c r="UE6">
        <v>7281169</v>
      </c>
      <c r="UF6" t="s">
        <v>3931</v>
      </c>
      <c r="UY6" t="s">
        <v>3875</v>
      </c>
      <c r="UZ6" t="s">
        <v>1828</v>
      </c>
      <c r="VA6">
        <v>0.23535700000000001</v>
      </c>
      <c r="VB6">
        <v>0.98457099999999997</v>
      </c>
      <c r="VC6" t="s">
        <v>1788</v>
      </c>
      <c r="VD6">
        <v>2025</v>
      </c>
      <c r="VE6" t="s">
        <v>3876</v>
      </c>
      <c r="VF6" s="6">
        <v>45966</v>
      </c>
      <c r="VG6">
        <v>5</v>
      </c>
      <c r="VH6">
        <v>2447889</v>
      </c>
      <c r="VI6">
        <v>10656931</v>
      </c>
      <c r="VJ6" t="s">
        <v>3877</v>
      </c>
      <c r="VM6" t="s">
        <v>484</v>
      </c>
      <c r="VN6">
        <v>1.6844600000000001</v>
      </c>
      <c r="VO6" t="s">
        <v>1752</v>
      </c>
      <c r="VP6">
        <v>8.8949E-2</v>
      </c>
      <c r="VQ6" t="s">
        <v>1825</v>
      </c>
      <c r="VR6">
        <v>2025</v>
      </c>
      <c r="VS6" t="s">
        <v>5163</v>
      </c>
      <c r="VT6" s="6">
        <v>46071</v>
      </c>
      <c r="VU6">
        <v>5</v>
      </c>
      <c r="VV6">
        <v>66289396</v>
      </c>
      <c r="VW6">
        <v>101695</v>
      </c>
      <c r="VX6" t="s">
        <v>3011</v>
      </c>
    </row>
    <row r="7" spans="1:600" x14ac:dyDescent="0.25">
      <c r="CM7" t="s">
        <v>2199</v>
      </c>
      <c r="CN7" t="s">
        <v>1940</v>
      </c>
      <c r="CO7">
        <v>0.56072500000000003</v>
      </c>
      <c r="CP7">
        <v>1.5883999999999999E-2</v>
      </c>
      <c r="CQ7" t="s">
        <v>1753</v>
      </c>
      <c r="CR7">
        <v>2025</v>
      </c>
      <c r="CS7" t="s">
        <v>2200</v>
      </c>
      <c r="CT7" s="6">
        <v>46066</v>
      </c>
      <c r="CU7">
        <v>5</v>
      </c>
      <c r="CV7">
        <v>2177750</v>
      </c>
      <c r="CW7">
        <v>126273</v>
      </c>
      <c r="CX7" t="s">
        <v>2201</v>
      </c>
      <c r="DA7" t="s">
        <v>1960</v>
      </c>
      <c r="DB7">
        <v>-2.4245362661989844E-14</v>
      </c>
      <c r="DD7">
        <v>-2.4245362661989844E-14</v>
      </c>
      <c r="DE7" t="s">
        <v>1781</v>
      </c>
      <c r="DF7">
        <v>2025</v>
      </c>
      <c r="DG7" t="s">
        <v>1961</v>
      </c>
      <c r="DH7" s="6">
        <v>45799</v>
      </c>
      <c r="DI7">
        <v>5</v>
      </c>
      <c r="DJ7">
        <v>-2.4245362661989844E-14</v>
      </c>
      <c r="DK7">
        <v>313021</v>
      </c>
      <c r="DL7" t="s">
        <v>1962</v>
      </c>
      <c r="IG7" t="s">
        <v>3444</v>
      </c>
      <c r="IH7" t="s">
        <v>1752</v>
      </c>
      <c r="II7">
        <v>0.184448</v>
      </c>
      <c r="IJ7">
        <v>0.38200600000000001</v>
      </c>
      <c r="IK7" t="s">
        <v>1774</v>
      </c>
      <c r="IL7">
        <v>2026</v>
      </c>
      <c r="IM7" t="s">
        <v>3445</v>
      </c>
      <c r="IN7" s="6">
        <v>46071</v>
      </c>
      <c r="IO7">
        <v>5</v>
      </c>
      <c r="IP7">
        <v>10050572</v>
      </c>
      <c r="IQ7">
        <v>61417091</v>
      </c>
      <c r="IR7" t="s">
        <v>3446</v>
      </c>
      <c r="IU7" t="s">
        <v>1079</v>
      </c>
      <c r="IV7">
        <v>5.4442880000000002</v>
      </c>
      <c r="IW7" t="s">
        <v>1752</v>
      </c>
      <c r="IX7">
        <v>0.30788700000000002</v>
      </c>
      <c r="IY7" t="s">
        <v>1788</v>
      </c>
      <c r="IZ7">
        <v>2025</v>
      </c>
      <c r="JA7" t="s">
        <v>4414</v>
      </c>
      <c r="JB7" s="6">
        <v>46003</v>
      </c>
      <c r="JC7">
        <v>5</v>
      </c>
      <c r="JD7">
        <v>273003808</v>
      </c>
      <c r="JE7">
        <v>216952</v>
      </c>
      <c r="JF7" t="s">
        <v>1899</v>
      </c>
      <c r="MW7" t="s">
        <v>3447</v>
      </c>
      <c r="MY7">
        <v>-2.4245362661989844E-14</v>
      </c>
      <c r="MZ7">
        <v>-2.4245362661989844E-14</v>
      </c>
      <c r="NA7" t="s">
        <v>1753</v>
      </c>
      <c r="NB7">
        <v>2025</v>
      </c>
      <c r="NC7" t="s">
        <v>3448</v>
      </c>
      <c r="ND7" s="6">
        <v>45834</v>
      </c>
      <c r="NE7">
        <v>5</v>
      </c>
      <c r="NF7">
        <v>-2.4245362661989844E-14</v>
      </c>
      <c r="NG7">
        <v>113879</v>
      </c>
      <c r="NH7" t="s">
        <v>3449</v>
      </c>
      <c r="NK7" t="s">
        <v>1461</v>
      </c>
      <c r="NL7">
        <v>14</v>
      </c>
      <c r="NM7" t="s">
        <v>1752</v>
      </c>
      <c r="NN7">
        <v>0.62815500000000002</v>
      </c>
      <c r="NO7" t="s">
        <v>1753</v>
      </c>
      <c r="NP7">
        <v>2024</v>
      </c>
      <c r="NQ7" t="s">
        <v>3270</v>
      </c>
      <c r="NR7" s="6">
        <v>45708</v>
      </c>
      <c r="NS7">
        <v>5</v>
      </c>
      <c r="NT7">
        <v>336875008</v>
      </c>
      <c r="NU7">
        <v>102782</v>
      </c>
      <c r="NV7" t="s">
        <v>1991</v>
      </c>
      <c r="PE7" t="s">
        <v>2645</v>
      </c>
      <c r="PG7">
        <v>-2.4245362661989844E-14</v>
      </c>
      <c r="PH7">
        <v>-2.4245362661989844E-14</v>
      </c>
      <c r="PI7" t="s">
        <v>1753</v>
      </c>
      <c r="PJ7">
        <v>2021</v>
      </c>
      <c r="PK7" t="s">
        <v>2646</v>
      </c>
      <c r="PL7" s="6">
        <v>44693</v>
      </c>
      <c r="PM7">
        <v>5</v>
      </c>
      <c r="PN7">
        <v>-2.4245362661989844E-14</v>
      </c>
      <c r="PO7">
        <v>101224</v>
      </c>
      <c r="PP7" t="s">
        <v>2647</v>
      </c>
      <c r="PS7" t="s">
        <v>4733</v>
      </c>
      <c r="PT7">
        <v>1.0088429999999999</v>
      </c>
      <c r="PU7" t="s">
        <v>1752</v>
      </c>
      <c r="PV7">
        <v>0.12273000000000001</v>
      </c>
      <c r="PW7" t="s">
        <v>1774</v>
      </c>
      <c r="PX7">
        <v>2025</v>
      </c>
      <c r="PY7" t="s">
        <v>2245</v>
      </c>
      <c r="PZ7" s="6">
        <v>45916</v>
      </c>
      <c r="QA7">
        <v>5</v>
      </c>
      <c r="QB7">
        <v>20983934</v>
      </c>
      <c r="QC7">
        <v>114428</v>
      </c>
      <c r="QD7" t="s">
        <v>4734</v>
      </c>
      <c r="QI7" t="s">
        <v>4656</v>
      </c>
      <c r="QK7">
        <v>-2.4245362661989844E-14</v>
      </c>
      <c r="QL7">
        <v>-2.4245362661989844E-14</v>
      </c>
      <c r="QM7" t="s">
        <v>1753</v>
      </c>
      <c r="QN7">
        <v>2022</v>
      </c>
      <c r="QO7" t="s">
        <v>4657</v>
      </c>
      <c r="QP7" s="6">
        <v>44862</v>
      </c>
      <c r="QQ7">
        <v>5</v>
      </c>
      <c r="QR7">
        <v>-2.4245362661989844E-14</v>
      </c>
      <c r="QS7">
        <v>68654798</v>
      </c>
      <c r="QT7" t="s">
        <v>4658</v>
      </c>
      <c r="RM7" t="s">
        <v>2663</v>
      </c>
      <c r="RO7">
        <v>-2.4245362661989844E-14</v>
      </c>
      <c r="RP7">
        <v>-2.4245362661989844E-14</v>
      </c>
      <c r="RQ7" t="s">
        <v>1753</v>
      </c>
      <c r="RR7">
        <v>2021</v>
      </c>
      <c r="RS7" t="s">
        <v>2664</v>
      </c>
      <c r="RT7" s="6">
        <v>44693</v>
      </c>
      <c r="RU7">
        <v>5</v>
      </c>
      <c r="RV7">
        <v>-2.4245362661989844E-14</v>
      </c>
      <c r="RW7">
        <v>100481</v>
      </c>
      <c r="RX7" t="s">
        <v>2665</v>
      </c>
      <c r="TU7" t="s">
        <v>3932</v>
      </c>
      <c r="TW7">
        <v>-2.4245362661989844E-14</v>
      </c>
      <c r="TX7">
        <v>-2.4245362661989844E-14</v>
      </c>
      <c r="TY7" t="s">
        <v>1753</v>
      </c>
      <c r="TZ7">
        <v>2022</v>
      </c>
      <c r="UA7" t="s">
        <v>3933</v>
      </c>
      <c r="UB7" s="6">
        <v>45015</v>
      </c>
      <c r="UC7">
        <v>5</v>
      </c>
      <c r="UD7">
        <v>-2.4245362661989844E-14</v>
      </c>
      <c r="UE7">
        <v>70011056</v>
      </c>
      <c r="UF7" t="s">
        <v>3934</v>
      </c>
      <c r="UY7" t="s">
        <v>856</v>
      </c>
      <c r="UZ7" t="s">
        <v>1752</v>
      </c>
      <c r="VA7">
        <v>7.2828000000000004E-2</v>
      </c>
      <c r="VB7">
        <v>6.8084000000000006E-2</v>
      </c>
      <c r="VC7" t="s">
        <v>1774</v>
      </c>
      <c r="VD7">
        <v>2025</v>
      </c>
      <c r="VE7" t="s">
        <v>2245</v>
      </c>
      <c r="VF7" s="6">
        <v>45916</v>
      </c>
      <c r="VG7">
        <v>5</v>
      </c>
      <c r="VH7">
        <v>1514822</v>
      </c>
      <c r="VI7">
        <v>7359873</v>
      </c>
      <c r="VJ7" t="s">
        <v>2246</v>
      </c>
      <c r="VM7" t="s">
        <v>2794</v>
      </c>
      <c r="VN7">
        <v>1.474974</v>
      </c>
      <c r="VO7" t="s">
        <v>1752</v>
      </c>
      <c r="VP7">
        <v>9.9206000000000003E-2</v>
      </c>
      <c r="VQ7" t="s">
        <v>1825</v>
      </c>
      <c r="VR7">
        <v>2025</v>
      </c>
      <c r="VS7" t="s">
        <v>5163</v>
      </c>
      <c r="VT7" s="6">
        <v>46071</v>
      </c>
      <c r="VU7">
        <v>5</v>
      </c>
      <c r="VV7">
        <v>58045388</v>
      </c>
      <c r="VW7">
        <v>101758</v>
      </c>
      <c r="VX7" t="s">
        <v>2796</v>
      </c>
    </row>
    <row r="8" spans="1:600" x14ac:dyDescent="0.25">
      <c r="CM8" t="s">
        <v>2202</v>
      </c>
      <c r="CN8" t="s">
        <v>1940</v>
      </c>
      <c r="CO8">
        <v>0.78817400000000004</v>
      </c>
      <c r="CP8">
        <v>1.4283000000000001E-2</v>
      </c>
      <c r="CQ8" t="s">
        <v>1753</v>
      </c>
      <c r="CR8">
        <v>2025</v>
      </c>
      <c r="CS8" t="s">
        <v>2203</v>
      </c>
      <c r="CT8" s="6">
        <v>46058</v>
      </c>
      <c r="CU8">
        <v>5</v>
      </c>
      <c r="CV8">
        <v>1958250</v>
      </c>
      <c r="CW8">
        <v>106045</v>
      </c>
      <c r="CX8" t="s">
        <v>2204</v>
      </c>
      <c r="DA8" t="s">
        <v>1963</v>
      </c>
      <c r="DB8">
        <v>-2.4245362661989844E-14</v>
      </c>
      <c r="DD8">
        <v>-2.4245362661989844E-14</v>
      </c>
      <c r="DE8" t="s">
        <v>1753</v>
      </c>
      <c r="DF8">
        <v>2022</v>
      </c>
      <c r="DG8" t="s">
        <v>1964</v>
      </c>
      <c r="DH8" s="6">
        <v>44986</v>
      </c>
      <c r="DI8">
        <v>5</v>
      </c>
      <c r="DJ8">
        <v>-2.4245362661989844E-14</v>
      </c>
      <c r="DK8">
        <v>394590</v>
      </c>
      <c r="DL8" t="s">
        <v>1965</v>
      </c>
      <c r="IG8" t="s">
        <v>5278</v>
      </c>
      <c r="IH8" t="s">
        <v>1752</v>
      </c>
      <c r="II8">
        <v>0.60759700000000005</v>
      </c>
      <c r="IJ8">
        <v>0.198102</v>
      </c>
      <c r="IK8" t="s">
        <v>1788</v>
      </c>
      <c r="IL8">
        <v>2025</v>
      </c>
      <c r="IM8" t="s">
        <v>5279</v>
      </c>
      <c r="IN8" s="6">
        <v>46064</v>
      </c>
      <c r="IO8">
        <v>5</v>
      </c>
      <c r="IP8">
        <v>6892216.5800000001</v>
      </c>
      <c r="IQ8">
        <v>115787</v>
      </c>
      <c r="IR8" t="s">
        <v>5280</v>
      </c>
      <c r="IU8" t="s">
        <v>991</v>
      </c>
      <c r="IV8">
        <v>3.0315669999999999</v>
      </c>
      <c r="IW8" t="s">
        <v>1752</v>
      </c>
      <c r="IX8">
        <v>0.58565299999999998</v>
      </c>
      <c r="IY8" t="s">
        <v>1788</v>
      </c>
      <c r="IZ8">
        <v>2025</v>
      </c>
      <c r="JA8" t="s">
        <v>4414</v>
      </c>
      <c r="JB8" s="6">
        <v>46003</v>
      </c>
      <c r="JC8">
        <v>5</v>
      </c>
      <c r="JD8">
        <v>152017920</v>
      </c>
      <c r="JE8">
        <v>100864</v>
      </c>
      <c r="JF8" t="s">
        <v>2331</v>
      </c>
      <c r="MW8" t="s">
        <v>3450</v>
      </c>
      <c r="MY8">
        <v>-2.4245362661989844E-14</v>
      </c>
      <c r="MZ8">
        <v>-2.4245362661989844E-14</v>
      </c>
      <c r="NA8" t="s">
        <v>1753</v>
      </c>
      <c r="NB8">
        <v>2025</v>
      </c>
      <c r="NC8" t="s">
        <v>3451</v>
      </c>
      <c r="ND8" s="6">
        <v>45831</v>
      </c>
      <c r="NE8">
        <v>5</v>
      </c>
      <c r="NF8">
        <v>-2.4245362661989844E-14</v>
      </c>
      <c r="NG8">
        <v>114633</v>
      </c>
      <c r="NH8" t="s">
        <v>3452</v>
      </c>
      <c r="NK8" t="s">
        <v>2086</v>
      </c>
      <c r="NL8">
        <v>0.56705499999999998</v>
      </c>
      <c r="NM8" t="s">
        <v>1752</v>
      </c>
      <c r="NN8">
        <v>7.4500999999999998E-2</v>
      </c>
      <c r="NO8" t="s">
        <v>1774</v>
      </c>
      <c r="NP8">
        <v>2025</v>
      </c>
      <c r="NQ8" t="s">
        <v>2087</v>
      </c>
      <c r="NR8" s="6">
        <v>45887</v>
      </c>
      <c r="NS8">
        <v>5</v>
      </c>
      <c r="NT8">
        <v>14331914.74</v>
      </c>
      <c r="NU8">
        <v>115643</v>
      </c>
      <c r="NV8" t="s">
        <v>2088</v>
      </c>
      <c r="PE8" t="s">
        <v>2648</v>
      </c>
      <c r="PG8">
        <v>-2.4245362661989844E-14</v>
      </c>
      <c r="PH8">
        <v>-2.4245362661989844E-14</v>
      </c>
      <c r="PI8" t="s">
        <v>1753</v>
      </c>
      <c r="PJ8">
        <v>2021</v>
      </c>
      <c r="PK8" t="s">
        <v>2649</v>
      </c>
      <c r="PL8" s="6">
        <v>44693</v>
      </c>
      <c r="PM8">
        <v>5</v>
      </c>
      <c r="PN8">
        <v>-2.4245362661989844E-14</v>
      </c>
      <c r="PO8">
        <v>101225</v>
      </c>
      <c r="PP8" t="s">
        <v>2650</v>
      </c>
      <c r="PS8" t="s">
        <v>4633</v>
      </c>
      <c r="PT8">
        <v>0.91420599999999996</v>
      </c>
      <c r="PU8" t="s">
        <v>1752</v>
      </c>
      <c r="PV8">
        <v>0.138595</v>
      </c>
      <c r="PW8" t="s">
        <v>1774</v>
      </c>
      <c r="PX8">
        <v>2025</v>
      </c>
      <c r="PY8" t="s">
        <v>2245</v>
      </c>
      <c r="PZ8" s="6">
        <v>45916</v>
      </c>
      <c r="QA8">
        <v>5</v>
      </c>
      <c r="QB8">
        <v>19015484</v>
      </c>
      <c r="QC8">
        <v>112571</v>
      </c>
      <c r="QD8" t="s">
        <v>4635</v>
      </c>
      <c r="QI8" t="s">
        <v>4659</v>
      </c>
      <c r="QK8">
        <v>-2.4245362661989844E-14</v>
      </c>
      <c r="QL8">
        <v>-2.4245362661989844E-14</v>
      </c>
      <c r="QM8" t="s">
        <v>1788</v>
      </c>
      <c r="QN8">
        <v>2025</v>
      </c>
      <c r="QO8" t="s">
        <v>4660</v>
      </c>
      <c r="QP8" s="6">
        <v>45965</v>
      </c>
      <c r="QQ8">
        <v>5</v>
      </c>
      <c r="QR8">
        <v>-2.4245362661989844E-14</v>
      </c>
      <c r="QS8">
        <v>51446588</v>
      </c>
      <c r="QT8" t="s">
        <v>4661</v>
      </c>
      <c r="RM8" t="s">
        <v>3626</v>
      </c>
      <c r="RO8">
        <v>-2.4245362661989844E-14</v>
      </c>
      <c r="RP8">
        <v>-2.4245362661989844E-14</v>
      </c>
      <c r="RQ8" t="s">
        <v>1753</v>
      </c>
      <c r="RR8">
        <v>2021</v>
      </c>
      <c r="RS8" t="s">
        <v>3627</v>
      </c>
      <c r="RT8" s="6">
        <v>44693</v>
      </c>
      <c r="RU8">
        <v>5</v>
      </c>
      <c r="RV8">
        <v>-2.4245362661989844E-14</v>
      </c>
      <c r="RW8">
        <v>101086</v>
      </c>
      <c r="RX8" t="s">
        <v>3628</v>
      </c>
      <c r="TU8" t="s">
        <v>3935</v>
      </c>
      <c r="TW8">
        <v>-2.4245362661989844E-14</v>
      </c>
      <c r="TX8">
        <v>-2.4245362661989844E-14</v>
      </c>
      <c r="TY8" t="s">
        <v>1774</v>
      </c>
      <c r="TZ8">
        <v>2023</v>
      </c>
      <c r="UA8" t="s">
        <v>3928</v>
      </c>
      <c r="UB8" s="6">
        <v>45096</v>
      </c>
      <c r="UC8">
        <v>5</v>
      </c>
      <c r="UD8">
        <v>-2.4245362661989844E-14</v>
      </c>
      <c r="UE8">
        <v>65205099</v>
      </c>
      <c r="UF8" t="s">
        <v>3936</v>
      </c>
      <c r="UY8" t="s">
        <v>5869</v>
      </c>
      <c r="VA8">
        <v>-2.4245362661989844E-14</v>
      </c>
      <c r="VB8">
        <v>-2.4245362661989844E-14</v>
      </c>
      <c r="VC8" t="s">
        <v>1768</v>
      </c>
      <c r="VD8">
        <v>2025</v>
      </c>
      <c r="VE8" t="s">
        <v>5870</v>
      </c>
      <c r="VF8" s="6">
        <v>45975</v>
      </c>
      <c r="VG8">
        <v>5</v>
      </c>
      <c r="VH8">
        <v>-2.4245362661989844E-14</v>
      </c>
      <c r="VI8">
        <v>17472489</v>
      </c>
      <c r="VJ8" t="s">
        <v>5871</v>
      </c>
      <c r="VM8" t="s">
        <v>2628</v>
      </c>
      <c r="VN8">
        <v>1.0282009999999999</v>
      </c>
      <c r="VO8" t="s">
        <v>1752</v>
      </c>
      <c r="VP8">
        <v>8.8413000000000005E-2</v>
      </c>
      <c r="VQ8" t="s">
        <v>1825</v>
      </c>
      <c r="VR8">
        <v>2025</v>
      </c>
      <c r="VS8" t="s">
        <v>5163</v>
      </c>
      <c r="VT8" s="6">
        <v>46071</v>
      </c>
      <c r="VU8">
        <v>5</v>
      </c>
      <c r="VV8">
        <v>40463308</v>
      </c>
      <c r="VW8">
        <v>46946968</v>
      </c>
      <c r="VX8" t="s">
        <v>2629</v>
      </c>
    </row>
    <row r="9" spans="1:600" x14ac:dyDescent="0.25">
      <c r="CM9" t="s">
        <v>2205</v>
      </c>
      <c r="CN9" t="s">
        <v>1940</v>
      </c>
      <c r="CO9">
        <v>0.777281</v>
      </c>
      <c r="CP9">
        <v>1.0723999999999999E-2</v>
      </c>
      <c r="CQ9" t="s">
        <v>1753</v>
      </c>
      <c r="CR9">
        <v>2024</v>
      </c>
      <c r="CS9" t="s">
        <v>2206</v>
      </c>
      <c r="CT9" s="6">
        <v>45694</v>
      </c>
      <c r="CU9">
        <v>5</v>
      </c>
      <c r="CV9">
        <v>1463750</v>
      </c>
      <c r="CW9">
        <v>106543</v>
      </c>
      <c r="CX9" t="s">
        <v>2207</v>
      </c>
      <c r="DA9" t="s">
        <v>1966</v>
      </c>
      <c r="DB9">
        <v>-2.4245362661989844E-14</v>
      </c>
      <c r="DD9">
        <v>-2.4245362661989844E-14</v>
      </c>
      <c r="DE9" t="s">
        <v>1753</v>
      </c>
      <c r="DF9">
        <v>2023</v>
      </c>
      <c r="DG9" t="s">
        <v>1967</v>
      </c>
      <c r="DH9" s="6">
        <v>45175</v>
      </c>
      <c r="DI9">
        <v>5</v>
      </c>
      <c r="DJ9">
        <v>-2.4245362661989844E-14</v>
      </c>
      <c r="DK9">
        <v>100555</v>
      </c>
      <c r="DL9" t="s">
        <v>1968</v>
      </c>
      <c r="IG9" t="s">
        <v>2955</v>
      </c>
      <c r="IH9" t="s">
        <v>1752</v>
      </c>
      <c r="II9">
        <v>0.550265</v>
      </c>
      <c r="IJ9">
        <v>0.112704</v>
      </c>
      <c r="IK9" t="s">
        <v>1774</v>
      </c>
      <c r="IL9">
        <v>2025</v>
      </c>
      <c r="IM9" t="s">
        <v>2956</v>
      </c>
      <c r="IN9" s="6">
        <v>45833</v>
      </c>
      <c r="IO9">
        <v>5</v>
      </c>
      <c r="IP9">
        <v>3501699</v>
      </c>
      <c r="IQ9">
        <v>106173</v>
      </c>
      <c r="IR9" t="s">
        <v>2957</v>
      </c>
      <c r="IU9" t="s">
        <v>2089</v>
      </c>
      <c r="IV9">
        <v>2.3337400000000001</v>
      </c>
      <c r="IW9" t="s">
        <v>1752</v>
      </c>
      <c r="IX9">
        <v>0.61890199999999995</v>
      </c>
      <c r="IY9" t="s">
        <v>1788</v>
      </c>
      <c r="IZ9">
        <v>2025</v>
      </c>
      <c r="JA9" t="s">
        <v>4414</v>
      </c>
      <c r="JB9" s="6">
        <v>46003</v>
      </c>
      <c r="JC9">
        <v>5</v>
      </c>
      <c r="JD9">
        <v>117025392</v>
      </c>
      <c r="JE9">
        <v>115268</v>
      </c>
      <c r="JF9" t="s">
        <v>2091</v>
      </c>
      <c r="MW9" t="s">
        <v>2304</v>
      </c>
      <c r="MY9">
        <v>-2.4245362661989844E-14</v>
      </c>
      <c r="MZ9">
        <v>-2.4245362661989844E-14</v>
      </c>
      <c r="NA9" t="s">
        <v>1753</v>
      </c>
      <c r="NB9">
        <v>2021</v>
      </c>
      <c r="NC9" t="s">
        <v>2305</v>
      </c>
      <c r="ND9" s="6">
        <v>44693</v>
      </c>
      <c r="NE9">
        <v>5</v>
      </c>
      <c r="NF9">
        <v>-2.4245362661989844E-14</v>
      </c>
      <c r="NG9">
        <v>313098</v>
      </c>
      <c r="NH9" t="s">
        <v>2306</v>
      </c>
      <c r="NK9" t="s">
        <v>3271</v>
      </c>
      <c r="NL9">
        <v>-2.4245362661989844E-14</v>
      </c>
      <c r="NN9">
        <v>-2.4245362661989844E-14</v>
      </c>
      <c r="NO9" t="s">
        <v>1753</v>
      </c>
      <c r="NP9">
        <v>2024</v>
      </c>
      <c r="NQ9" t="s">
        <v>3272</v>
      </c>
      <c r="NR9" s="6">
        <v>45771</v>
      </c>
      <c r="NS9">
        <v>5</v>
      </c>
      <c r="NT9">
        <v>-2.4245362661989844E-14</v>
      </c>
      <c r="NU9">
        <v>16825202</v>
      </c>
      <c r="NV9" t="s">
        <v>3273</v>
      </c>
      <c r="PE9" t="s">
        <v>2651</v>
      </c>
      <c r="PG9">
        <v>-2.4245362661989844E-14</v>
      </c>
      <c r="PH9">
        <v>-2.4245362661989844E-14</v>
      </c>
      <c r="PI9" t="s">
        <v>1753</v>
      </c>
      <c r="PJ9">
        <v>2021</v>
      </c>
      <c r="PK9" t="s">
        <v>2652</v>
      </c>
      <c r="PL9" s="6">
        <v>44693</v>
      </c>
      <c r="PM9">
        <v>5</v>
      </c>
      <c r="PN9">
        <v>-2.4245362661989844E-14</v>
      </c>
      <c r="PO9">
        <v>101315</v>
      </c>
      <c r="PP9" t="s">
        <v>2653</v>
      </c>
      <c r="PS9" t="s">
        <v>4735</v>
      </c>
      <c r="PT9">
        <v>0.81113800000000003</v>
      </c>
      <c r="PU9" t="s">
        <v>1752</v>
      </c>
      <c r="PV9">
        <v>8.5227999999999998E-2</v>
      </c>
      <c r="PW9" t="s">
        <v>1774</v>
      </c>
      <c r="PX9">
        <v>2025</v>
      </c>
      <c r="PY9" t="s">
        <v>2245</v>
      </c>
      <c r="PZ9" s="6">
        <v>45916</v>
      </c>
      <c r="QA9">
        <v>5</v>
      </c>
      <c r="QB9">
        <v>16871670</v>
      </c>
      <c r="QC9">
        <v>100109</v>
      </c>
      <c r="QD9" t="s">
        <v>4736</v>
      </c>
      <c r="QI9" t="s">
        <v>4662</v>
      </c>
      <c r="QK9">
        <v>-2.4245362661989844E-14</v>
      </c>
      <c r="QL9">
        <v>-2.4245362661989844E-14</v>
      </c>
      <c r="QM9" t="s">
        <v>1753</v>
      </c>
      <c r="QN9">
        <v>2025</v>
      </c>
      <c r="QO9" t="s">
        <v>4663</v>
      </c>
      <c r="QP9" s="6">
        <v>45793</v>
      </c>
      <c r="QQ9">
        <v>5</v>
      </c>
      <c r="QR9">
        <v>-2.4245362661989844E-14</v>
      </c>
      <c r="QS9">
        <v>1475463</v>
      </c>
      <c r="QT9" t="s">
        <v>4664</v>
      </c>
      <c r="RM9" t="s">
        <v>4060</v>
      </c>
      <c r="RO9">
        <v>-2.4245362661989844E-14</v>
      </c>
      <c r="RP9">
        <v>-2.4245362661989844E-14</v>
      </c>
      <c r="RQ9" t="s">
        <v>1753</v>
      </c>
      <c r="RR9">
        <v>2021</v>
      </c>
      <c r="RS9" t="s">
        <v>4061</v>
      </c>
      <c r="RT9" s="6">
        <v>44693</v>
      </c>
      <c r="RU9">
        <v>5</v>
      </c>
      <c r="RV9">
        <v>-2.4245362661989844E-14</v>
      </c>
      <c r="RW9">
        <v>100532</v>
      </c>
      <c r="RX9" t="s">
        <v>4062</v>
      </c>
      <c r="TU9" t="s">
        <v>3937</v>
      </c>
      <c r="TW9">
        <v>-2.4245362661989844E-14</v>
      </c>
      <c r="TX9">
        <v>-2.4245362661989844E-14</v>
      </c>
      <c r="TY9" t="s">
        <v>1774</v>
      </c>
      <c r="TZ9">
        <v>2023</v>
      </c>
      <c r="UA9" t="s">
        <v>3938</v>
      </c>
      <c r="UB9" s="6">
        <v>45152</v>
      </c>
      <c r="UC9">
        <v>5</v>
      </c>
      <c r="UD9">
        <v>-2.4245362661989844E-14</v>
      </c>
      <c r="UE9">
        <v>48470462</v>
      </c>
      <c r="UF9" t="s">
        <v>3939</v>
      </c>
      <c r="UY9" t="s">
        <v>5872</v>
      </c>
      <c r="VA9">
        <v>-2.4245362661989844E-14</v>
      </c>
      <c r="VB9">
        <v>-2.4245362661989844E-14</v>
      </c>
      <c r="VC9" t="s">
        <v>1842</v>
      </c>
      <c r="VD9">
        <v>2022</v>
      </c>
      <c r="VE9" t="s">
        <v>5873</v>
      </c>
      <c r="VF9" s="6">
        <v>44788</v>
      </c>
      <c r="VG9">
        <v>5</v>
      </c>
      <c r="VH9">
        <v>-2.4245362661989844E-14</v>
      </c>
      <c r="VI9">
        <v>40130546</v>
      </c>
      <c r="VJ9" t="s">
        <v>5874</v>
      </c>
      <c r="VM9" t="s">
        <v>1111</v>
      </c>
      <c r="VN9">
        <v>0.83748599999999995</v>
      </c>
      <c r="VO9" t="s">
        <v>1752</v>
      </c>
      <c r="VP9">
        <v>0.194213</v>
      </c>
      <c r="VQ9" t="s">
        <v>1825</v>
      </c>
      <c r="VR9">
        <v>2025</v>
      </c>
      <c r="VS9" t="s">
        <v>5163</v>
      </c>
      <c r="VT9" s="6">
        <v>46071</v>
      </c>
      <c r="VU9">
        <v>5</v>
      </c>
      <c r="VV9">
        <v>32958004</v>
      </c>
      <c r="VW9">
        <v>101433</v>
      </c>
      <c r="VX9" t="s">
        <v>5101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863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864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865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866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867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868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869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870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871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872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873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874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875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876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877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878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879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880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881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815</v>
      </c>
      <c r="AE2" s="3" t="s">
        <v>186</v>
      </c>
      <c r="BI2" s="3" t="s">
        <v>500</v>
      </c>
      <c r="CM2" s="3" t="s">
        <v>882</v>
      </c>
      <c r="DQ2" s="3" t="s">
        <v>883</v>
      </c>
      <c r="EU2" s="3" t="s">
        <v>884</v>
      </c>
      <c r="FY2" s="3" t="s">
        <v>885</v>
      </c>
      <c r="HC2" s="3" t="s">
        <v>886</v>
      </c>
      <c r="IG2" s="3" t="s">
        <v>887</v>
      </c>
      <c r="JK2" s="3" t="s">
        <v>888</v>
      </c>
      <c r="KO2" s="3" t="s">
        <v>235</v>
      </c>
      <c r="LS2" s="3" t="s">
        <v>604</v>
      </c>
      <c r="MW2" s="3" t="s">
        <v>889</v>
      </c>
      <c r="OA2" s="3" t="s">
        <v>890</v>
      </c>
      <c r="PE2" s="3" t="s">
        <v>86</v>
      </c>
      <c r="QI2" s="3" t="s">
        <v>891</v>
      </c>
      <c r="RM2" s="3" t="s">
        <v>463</v>
      </c>
      <c r="SQ2" s="3" t="s">
        <v>892</v>
      </c>
      <c r="TU2" s="3" t="s">
        <v>893</v>
      </c>
      <c r="UY2" s="3" t="s">
        <v>894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_xll.BDS("KTOS US Equity","SUPPLY_CHAIN_SUPPLIERS_ALL_DATA","cols=12;rows=5")</f>
        <v>EMKR US Equity</v>
      </c>
      <c r="B5" t="s">
        <v>1752</v>
      </c>
      <c r="C5">
        <v>9.3566800000000008</v>
      </c>
      <c r="D5">
        <v>0.78878000000000004</v>
      </c>
      <c r="E5" t="s">
        <v>1781</v>
      </c>
      <c r="F5">
        <v>2025</v>
      </c>
      <c r="G5" t="s">
        <v>3940</v>
      </c>
      <c r="H5" s="6">
        <v>45811</v>
      </c>
      <c r="I5">
        <v>5</v>
      </c>
      <c r="J5">
        <v>1806307</v>
      </c>
      <c r="K5">
        <v>214506</v>
      </c>
      <c r="L5" t="s">
        <v>3941</v>
      </c>
      <c r="O5" t="str">
        <f>_xll.BDS("KTOS US Equity","SUPPLY_CHAIN_CUSTOMERS_ALL_DATA","cols=12;rows=5")</f>
        <v>3352Z US Equity</v>
      </c>
      <c r="P5">
        <v>68</v>
      </c>
      <c r="R5">
        <v>-2.4245362661989844E-14</v>
      </c>
      <c r="S5" t="s">
        <v>1753</v>
      </c>
      <c r="T5">
        <v>2025</v>
      </c>
      <c r="U5" t="s">
        <v>3528</v>
      </c>
      <c r="V5" s="6">
        <v>46076</v>
      </c>
      <c r="W5">
        <v>5</v>
      </c>
      <c r="X5">
        <v>229275000</v>
      </c>
      <c r="Y5">
        <v>218252</v>
      </c>
      <c r="Z5" t="s">
        <v>1793</v>
      </c>
      <c r="AE5" t="str">
        <f>_xll.BDS("ENDPQ US Equity","SUPPLY_CHAIN_SUPPLIERS_ALL_DATA","cols=12;rows=5")</f>
        <v>0177858D US Equity</v>
      </c>
      <c r="AG5">
        <v>-2.4245362661989844E-14</v>
      </c>
      <c r="AH5">
        <v>-2.4245362661989844E-14</v>
      </c>
      <c r="AI5" t="s">
        <v>1788</v>
      </c>
      <c r="AJ5">
        <v>2022</v>
      </c>
      <c r="AK5" t="s">
        <v>1986</v>
      </c>
      <c r="AL5" s="6">
        <v>44789</v>
      </c>
      <c r="AM5">
        <v>5</v>
      </c>
      <c r="AN5">
        <v>-2.4245362661989844E-14</v>
      </c>
      <c r="AO5">
        <v>15116708</v>
      </c>
      <c r="AP5" t="s">
        <v>2189</v>
      </c>
      <c r="AS5" t="str">
        <f>_xll.BDS("ENDPQ US Equity","SUPPLY_CHAIN_CUSTOMERS_ALL_DATA","cols=12;rows=5")</f>
        <v>0219682Z US Equity</v>
      </c>
      <c r="AT5">
        <v>-2.4245362661989844E-14</v>
      </c>
      <c r="AV5">
        <v>-2.4245362661989844E-14</v>
      </c>
      <c r="AW5" t="s">
        <v>1753</v>
      </c>
      <c r="AX5">
        <v>2023</v>
      </c>
      <c r="AY5" t="s">
        <v>1983</v>
      </c>
      <c r="AZ5" s="6">
        <v>45357</v>
      </c>
      <c r="BA5">
        <v>5</v>
      </c>
      <c r="BB5">
        <v>-2.4245362661989844E-14</v>
      </c>
      <c r="BC5">
        <v>962205</v>
      </c>
      <c r="BD5" t="s">
        <v>1984</v>
      </c>
      <c r="BI5" t="str">
        <f>_xll.BDS("DHI US Equity","SUPPLY_CHAIN_SUPPLIERS_ALL_DATA","cols=12;rows=5")</f>
        <v>FOR US Equity</v>
      </c>
      <c r="BJ5" t="s">
        <v>1752</v>
      </c>
      <c r="BK5">
        <v>82.838065999999998</v>
      </c>
      <c r="BL5">
        <v>5.2919179999999999</v>
      </c>
      <c r="BM5" t="s">
        <v>1753</v>
      </c>
      <c r="BN5">
        <v>2025</v>
      </c>
      <c r="BO5" t="s">
        <v>2675</v>
      </c>
      <c r="BP5" s="6">
        <v>45980</v>
      </c>
      <c r="BQ5">
        <v>5</v>
      </c>
      <c r="BR5">
        <v>344275000</v>
      </c>
      <c r="BS5">
        <v>11874264</v>
      </c>
      <c r="BT5" t="s">
        <v>2676</v>
      </c>
      <c r="BW5" t="str">
        <f>_xll.BDS("DHI US Equity","SUPPLY_CHAIN_CUSTOMERS_ALL_DATA","cols=12;rows=1")</f>
        <v>FOR US Equity</v>
      </c>
      <c r="BX5">
        <v>1.168E-3</v>
      </c>
      <c r="BY5" t="s">
        <v>1752</v>
      </c>
      <c r="BZ5">
        <v>3.0794999999999999E-2</v>
      </c>
      <c r="CA5" t="s">
        <v>1753</v>
      </c>
      <c r="CB5">
        <v>2025</v>
      </c>
      <c r="CC5" t="s">
        <v>2675</v>
      </c>
      <c r="CD5" s="6">
        <v>45980</v>
      </c>
      <c r="CE5">
        <v>1</v>
      </c>
      <c r="CF5">
        <v>100000</v>
      </c>
      <c r="CG5">
        <v>11874264</v>
      </c>
      <c r="CH5" t="s">
        <v>2676</v>
      </c>
      <c r="CM5" t="str">
        <f>_xll.BDS("MO US Equity","SUPPLY_CHAIN_SUPPLIERS_ALL_DATA","cols=12;rows=5")</f>
        <v>UVV US Equity</v>
      </c>
      <c r="CN5" t="s">
        <v>1752</v>
      </c>
      <c r="CO5">
        <v>6.3903869999999996</v>
      </c>
      <c r="CP5">
        <v>2.8869959999999999</v>
      </c>
      <c r="CQ5" t="s">
        <v>1825</v>
      </c>
      <c r="CR5">
        <v>2025</v>
      </c>
      <c r="CS5" t="s">
        <v>5367</v>
      </c>
      <c r="CT5" s="6">
        <v>45860</v>
      </c>
      <c r="CU5">
        <v>5</v>
      </c>
      <c r="CV5">
        <v>44878344</v>
      </c>
      <c r="CW5">
        <v>101564</v>
      </c>
      <c r="CX5" t="s">
        <v>5368</v>
      </c>
      <c r="DA5" t="str">
        <f>_xll.BDS("MO US Equity","SUPPLY_CHAIN_CUSTOMERS_ALL_DATA","cols=12;rows=5")</f>
        <v>0835017D US Equity</v>
      </c>
      <c r="DB5">
        <v>-2.4245362661989844E-14</v>
      </c>
      <c r="DD5">
        <v>-2.4245362661989844E-14</v>
      </c>
      <c r="DE5" t="s">
        <v>1753</v>
      </c>
      <c r="DF5">
        <v>2022</v>
      </c>
      <c r="DG5" t="s">
        <v>2009</v>
      </c>
      <c r="DH5" s="6">
        <v>45008</v>
      </c>
      <c r="DI5">
        <v>5</v>
      </c>
      <c r="DJ5">
        <v>-2.4245362661989844E-14</v>
      </c>
      <c r="DK5">
        <v>17495090</v>
      </c>
      <c r="DL5" t="s">
        <v>2010</v>
      </c>
      <c r="DQ5" t="str">
        <f>_xll.BDS("FFWM US Equity","SUPPLY_CHAIN_SUPPLIERS_ALL_DATA")</f>
        <v>#N/A N/A</v>
      </c>
      <c r="EE5" t="str">
        <f>_xll.BDS("FFWM US Equity","SUPPLY_CHAIN_CUSTOMERS_ALL_DATA")</f>
        <v>#N/A N/A</v>
      </c>
      <c r="EU5" t="str">
        <f>_xll.BDS("CMLS US Equity","SUPPLY_CHAIN_SUPPLIERS_ALL_DATA","cols=12;rows=5")</f>
        <v>0322986Z US Equity</v>
      </c>
      <c r="EW5">
        <v>-2.4245362661989844E-14</v>
      </c>
      <c r="EX5">
        <v>-2.4245362661989844E-14</v>
      </c>
      <c r="EY5" t="s">
        <v>1753</v>
      </c>
      <c r="EZ5">
        <v>2022</v>
      </c>
      <c r="FA5" t="s">
        <v>4151</v>
      </c>
      <c r="FB5" s="6">
        <v>44810</v>
      </c>
      <c r="FC5">
        <v>5</v>
      </c>
      <c r="FD5">
        <v>-2.4245362661989844E-14</v>
      </c>
      <c r="FE5">
        <v>938028</v>
      </c>
      <c r="FF5" t="s">
        <v>5255</v>
      </c>
      <c r="FI5" t="str">
        <f>_xll.BDS("CMLS US Equity","SUPPLY_CHAIN_CUSTOMERS_ALL_DATA","cols=12;rows=1")</f>
        <v>0571898D US Equity</v>
      </c>
      <c r="FJ5">
        <v>-2.4245362661989844E-14</v>
      </c>
      <c r="FL5">
        <v>-2.4245362661989844E-14</v>
      </c>
      <c r="FM5" t="s">
        <v>1753</v>
      </c>
      <c r="FN5">
        <v>2022</v>
      </c>
      <c r="FO5" t="s">
        <v>4151</v>
      </c>
      <c r="FP5" s="6">
        <v>44810</v>
      </c>
      <c r="FQ5">
        <v>1</v>
      </c>
      <c r="FR5">
        <v>-2.4245362661989844E-14</v>
      </c>
      <c r="FS5">
        <v>32313626</v>
      </c>
      <c r="FT5" t="s">
        <v>3619</v>
      </c>
      <c r="FY5" t="str">
        <f>_xll.BDS("GHC US Equity","SUPPLY_CHAIN_SUPPLIERS_ALL_DATA","cols=12;rows=5")</f>
        <v>000270 KS Equity</v>
      </c>
      <c r="GA5">
        <v>-2.4245362661989844E-14</v>
      </c>
      <c r="GB5">
        <v>-2.4245362661989844E-14</v>
      </c>
      <c r="GC5" t="s">
        <v>1753</v>
      </c>
      <c r="GD5">
        <v>2023</v>
      </c>
      <c r="GE5" t="s">
        <v>3984</v>
      </c>
      <c r="GF5" s="6">
        <v>45196</v>
      </c>
      <c r="GG5">
        <v>5</v>
      </c>
      <c r="GH5">
        <v>-2.4245362661989844E-14</v>
      </c>
      <c r="GI5">
        <v>117682</v>
      </c>
      <c r="GJ5" t="s">
        <v>3985</v>
      </c>
      <c r="GM5" t="str">
        <f>_xll.BDS("GHC US Equity","SUPPLY_CHAIN_CUSTOMERS_ALL_DATA","cols=12;rows=4")</f>
        <v>9877893Z US Equity</v>
      </c>
      <c r="GN5">
        <v>-2.4245362661989844E-14</v>
      </c>
      <c r="GP5">
        <v>-2.4245362661989844E-14</v>
      </c>
      <c r="GQ5" t="s">
        <v>1753</v>
      </c>
      <c r="GR5">
        <v>2024</v>
      </c>
      <c r="GS5" t="s">
        <v>3792</v>
      </c>
      <c r="GT5" s="6">
        <v>45714</v>
      </c>
      <c r="GU5">
        <v>4</v>
      </c>
      <c r="GV5">
        <v>-2.4245362661989844E-14</v>
      </c>
      <c r="GW5">
        <v>17483390</v>
      </c>
      <c r="GX5" t="s">
        <v>3376</v>
      </c>
      <c r="HC5" t="str">
        <f>_xll.BDS("496112Q US Equity","SUPPLY_CHAIN_SUPPLIERS_ALL_DATA")</f>
        <v>#N/A N/A</v>
      </c>
      <c r="HQ5" t="str">
        <f>_xll.BDS("496112Q US Equity","SUPPLY_CHAIN_CUSTOMERS_ALL_DATA")</f>
        <v>#N/A N/A</v>
      </c>
      <c r="IG5" t="str">
        <f>_xll.BDS("0964591D US Equity","SUPPLY_CHAIN_SUPPLIERS_ALL_DATA")</f>
        <v>#N/A N/A</v>
      </c>
      <c r="IU5" t="str">
        <f>_xll.BDS("0964591D US Equity","SUPPLY_CHAIN_CUSTOMERS_ALL_DATA")</f>
        <v>#N/A N/A</v>
      </c>
      <c r="JK5" t="str">
        <f>_xll.BDS("1642488D US Equity","SUPPLY_CHAIN_SUPPLIERS_ALL_DATA")</f>
        <v>#N/A N/A</v>
      </c>
      <c r="JY5" t="str">
        <f>_xll.BDS("1642488D US Equity","SUPPLY_CHAIN_CUSTOMERS_ALL_DATA")</f>
        <v>#N/A N/A</v>
      </c>
      <c r="KO5" t="str">
        <f>_xll.BDS("2860436Q US Equity","SUPPLY_CHAIN_SUPPLIERS_ALL_DATA")</f>
        <v>#N/A N/A</v>
      </c>
      <c r="LC5" t="str">
        <f>_xll.BDS("2860436Q US Equity","SUPPLY_CHAIN_CUSTOMERS_ALL_DATA")</f>
        <v>#N/A N/A</v>
      </c>
      <c r="LS5" t="str">
        <f>_xll.BDS("EXE US Equity","SUPPLY_CHAIN_SUPPLIERS_ALL_DATA","cols=12;rows=5")</f>
        <v>PRIM US Equity</v>
      </c>
      <c r="LT5" t="s">
        <v>1752</v>
      </c>
      <c r="LU5">
        <v>1.7344569999999999</v>
      </c>
      <c r="LV5">
        <v>1.9459360000000001</v>
      </c>
      <c r="LW5" t="s">
        <v>1781</v>
      </c>
      <c r="LX5">
        <v>2025</v>
      </c>
      <c r="LY5" t="s">
        <v>3948</v>
      </c>
      <c r="LZ5" s="6">
        <v>45863</v>
      </c>
      <c r="MA5">
        <v>5</v>
      </c>
      <c r="MB5">
        <v>28585794</v>
      </c>
      <c r="MC5">
        <v>10832677</v>
      </c>
      <c r="MD5" t="s">
        <v>3949</v>
      </c>
      <c r="MG5" t="str">
        <f>_xll.BDS("EXE US Equity","SUPPLY_CHAIN_CUSTOMERS_ALL_DATA","cols=12;rows=3")</f>
        <v>37895Z CY Equity</v>
      </c>
      <c r="MH5">
        <v>-2.4245362661989844E-14</v>
      </c>
      <c r="MJ5">
        <v>-2.4245362661989844E-14</v>
      </c>
      <c r="MK5" t="s">
        <v>1753</v>
      </c>
      <c r="ML5">
        <v>2023</v>
      </c>
      <c r="MM5" t="s">
        <v>2146</v>
      </c>
      <c r="MN5" s="6">
        <v>45343</v>
      </c>
      <c r="MO5">
        <v>3</v>
      </c>
      <c r="MP5">
        <v>-2.4245362661989844E-14</v>
      </c>
      <c r="MQ5">
        <v>27049163</v>
      </c>
      <c r="MR5" t="s">
        <v>2147</v>
      </c>
      <c r="MW5" t="str">
        <f>_xll.BDS("HFWA US Equity","SUPPLY_CHAIN_SUPPLIERS_ALL_DATA")</f>
        <v>#N/A N/A</v>
      </c>
      <c r="NK5" t="str">
        <f>_xll.BDS("HFWA US Equity","SUPPLY_CHAIN_CUSTOMERS_ALL_DATA")</f>
        <v>#N/A N/A</v>
      </c>
      <c r="OA5" t="str">
        <f>_xll.BDS("RFH US Equity","SUPPLY_CHAIN_SUPPLIERS_ALL_DATA")</f>
        <v>#N/A N/A</v>
      </c>
      <c r="OO5" t="str">
        <f>_xll.BDS("RFH US Equity","SUPPLY_CHAIN_CUSTOMERS_ALL_DATA")</f>
        <v>#N/A N/A</v>
      </c>
      <c r="PE5" t="str">
        <f>_xll.BDS("TFC US Equity","SUPPLY_CHAIN_SUPPLIERS_ALL_DATA","cols=12;rows=5")</f>
        <v>ADBE US Equity</v>
      </c>
      <c r="PF5" t="s">
        <v>1940</v>
      </c>
      <c r="PG5">
        <v>9.3438999999999994E-2</v>
      </c>
      <c r="PH5">
        <v>0.18883900000000001</v>
      </c>
      <c r="PI5" t="s">
        <v>1774</v>
      </c>
      <c r="PJ5">
        <v>2025</v>
      </c>
      <c r="PK5" t="s">
        <v>2126</v>
      </c>
      <c r="PL5" s="6">
        <v>45838</v>
      </c>
      <c r="PM5">
        <v>5</v>
      </c>
      <c r="PN5">
        <v>5487672</v>
      </c>
      <c r="PO5">
        <v>101689</v>
      </c>
      <c r="PP5" t="s">
        <v>2127</v>
      </c>
      <c r="PS5" t="str">
        <f>_xll.BDS("TFC US Equity","SUPPLY_CHAIN_CUSTOMERS_ALL_DATA","cols=12;rows=1")</f>
        <v>RENG IN Equity</v>
      </c>
      <c r="PT5">
        <v>-2.4245362661989844E-14</v>
      </c>
      <c r="PV5">
        <v>-2.4245362661989844E-14</v>
      </c>
      <c r="PW5" t="s">
        <v>1753</v>
      </c>
      <c r="PX5">
        <v>2025</v>
      </c>
      <c r="PY5" t="s">
        <v>1756</v>
      </c>
      <c r="PZ5" s="6">
        <v>45901</v>
      </c>
      <c r="QA5">
        <v>1</v>
      </c>
      <c r="QB5">
        <v>-2.4245362661989844E-14</v>
      </c>
      <c r="QC5">
        <v>182734</v>
      </c>
      <c r="QD5" t="s">
        <v>1757</v>
      </c>
      <c r="QI5" t="str">
        <f>_xll.BDS("2993Q US Equity","SUPPLY_CHAIN_SUPPLIERS_ALL_DATA")</f>
        <v>#N/A N/A</v>
      </c>
      <c r="QW5" t="str">
        <f>_xll.BDS("2993Q US Equity","SUPPLY_CHAIN_CUSTOMERS_ALL_DATA")</f>
        <v>#N/A N/A</v>
      </c>
      <c r="RM5" t="str">
        <f>_xll.BDS("ATBA AV Equity","SUPPLY_CHAIN_SUPPLIERS_ALL_DATA","cols=12;rows=5")</f>
        <v>000676 CH Equity</v>
      </c>
      <c r="RO5">
        <v>-2.4245362661989844E-14</v>
      </c>
      <c r="RP5">
        <v>-2.4245362661989844E-14</v>
      </c>
      <c r="RQ5" t="s">
        <v>1842</v>
      </c>
      <c r="RR5">
        <v>2025</v>
      </c>
      <c r="RS5" t="s">
        <v>5113</v>
      </c>
      <c r="RT5" s="6">
        <v>45896</v>
      </c>
      <c r="RU5">
        <v>5</v>
      </c>
      <c r="RV5">
        <v>-2.4245362661989844E-14</v>
      </c>
      <c r="RW5">
        <v>193970</v>
      </c>
      <c r="RX5" t="s">
        <v>5114</v>
      </c>
      <c r="SA5" t="str">
        <f>_xll.BDS("ATBA AV Equity","SUPPLY_CHAIN_CUSTOMERS_ALL_DATA","cols=12;rows=5")</f>
        <v>066570 KS Equity</v>
      </c>
      <c r="SB5">
        <v>-2.4245362661989844E-14</v>
      </c>
      <c r="SD5">
        <v>-2.4245362661989844E-14</v>
      </c>
      <c r="SE5" t="s">
        <v>1753</v>
      </c>
      <c r="SF5">
        <v>2025</v>
      </c>
      <c r="SG5" t="s">
        <v>3346</v>
      </c>
      <c r="SH5" s="6">
        <v>45757</v>
      </c>
      <c r="SI5">
        <v>5</v>
      </c>
      <c r="SJ5">
        <v>-2.4245362661989844E-14</v>
      </c>
      <c r="SK5">
        <v>7583418</v>
      </c>
      <c r="SL5" t="s">
        <v>1928</v>
      </c>
      <c r="SQ5" t="str">
        <f>_xll.BDS("EWBC US Equity","SUPPLY_CHAIN_SUPPLIERS_ALL_DATA","cols=12;rows=1")</f>
        <v>BRX US Equity</v>
      </c>
      <c r="SS5">
        <v>-2.4245362661989844E-14</v>
      </c>
      <c r="ST5">
        <v>-2.4245362661989844E-14</v>
      </c>
      <c r="SU5" t="s">
        <v>1753</v>
      </c>
      <c r="SV5">
        <v>2024</v>
      </c>
      <c r="SW5" t="s">
        <v>3029</v>
      </c>
      <c r="SX5" s="6">
        <v>45698</v>
      </c>
      <c r="SY5">
        <v>1</v>
      </c>
      <c r="SZ5">
        <v>-2.4245362661989844E-14</v>
      </c>
      <c r="TA5">
        <v>24112045</v>
      </c>
      <c r="TB5" t="s">
        <v>3030</v>
      </c>
      <c r="TE5" t="str">
        <f>_xll.BDS("EWBC US Equity","SUPPLY_CHAIN_CUSTOMERS_ALL_DATA")</f>
        <v>#N/A N/A</v>
      </c>
      <c r="TU5" t="str">
        <f>_xll.BDS("ASNAQ US Equity","SUPPLY_CHAIN_SUPPLIERS_ALL_DATA","cols=12;rows=4")</f>
        <v>AEP US Equity</v>
      </c>
      <c r="TW5">
        <v>-2.4245362661989844E-14</v>
      </c>
      <c r="TX5">
        <v>-2.4245362661989844E-14</v>
      </c>
      <c r="TY5" t="s">
        <v>1753</v>
      </c>
      <c r="TZ5">
        <v>2021</v>
      </c>
      <c r="UA5" t="s">
        <v>2308</v>
      </c>
      <c r="UB5" s="6">
        <v>44693</v>
      </c>
      <c r="UC5">
        <v>4</v>
      </c>
      <c r="UD5">
        <v>-2.4245362661989844E-14</v>
      </c>
      <c r="UE5">
        <v>100060</v>
      </c>
      <c r="UF5" t="s">
        <v>2309</v>
      </c>
      <c r="UI5" t="str">
        <f>_xll.BDS("ASNAQ US Equity","SUPPLY_CHAIN_CUSTOMERS_ALL_DATA")</f>
        <v>#N/A N/A</v>
      </c>
      <c r="UY5" t="str">
        <f>_xll.BDS("SXC US Equity","SUPPLY_CHAIN_SUPPLIERS_ALL_DATA","cols=12;rows=5")</f>
        <v>AEE US Equity</v>
      </c>
      <c r="VA5">
        <v>-2.4245362661989844E-14</v>
      </c>
      <c r="VB5">
        <v>-2.4245362661989844E-14</v>
      </c>
      <c r="VC5" t="s">
        <v>1753</v>
      </c>
      <c r="VD5">
        <v>2021</v>
      </c>
      <c r="VE5" t="s">
        <v>2305</v>
      </c>
      <c r="VF5" s="6">
        <v>44693</v>
      </c>
      <c r="VG5">
        <v>5</v>
      </c>
      <c r="VH5">
        <v>-2.4245362661989844E-14</v>
      </c>
      <c r="VI5">
        <v>313098</v>
      </c>
      <c r="VJ5" t="s">
        <v>2306</v>
      </c>
      <c r="VM5" t="str">
        <f>_xll.BDS("SXC US Equity","SUPPLY_CHAIN_CUSTOMERS_ALL_DATA","cols=12;rows=5")</f>
        <v>CLF US Equity</v>
      </c>
      <c r="VN5">
        <v>63.900002000000001</v>
      </c>
      <c r="VO5" t="s">
        <v>1752</v>
      </c>
      <c r="VP5">
        <v>6.4698960000000003</v>
      </c>
      <c r="VQ5" t="s">
        <v>1753</v>
      </c>
      <c r="VR5">
        <v>2024</v>
      </c>
      <c r="VS5" t="s">
        <v>1992</v>
      </c>
      <c r="VT5" s="6">
        <v>45709</v>
      </c>
      <c r="VU5">
        <v>5</v>
      </c>
      <c r="VV5">
        <v>309180160</v>
      </c>
      <c r="VW5">
        <v>100344</v>
      </c>
      <c r="VX5" t="s">
        <v>1993</v>
      </c>
    </row>
    <row r="6" spans="1:600" x14ac:dyDescent="0.25">
      <c r="A6" t="s">
        <v>3942</v>
      </c>
      <c r="B6" t="s">
        <v>1752</v>
      </c>
      <c r="C6">
        <v>4.64039</v>
      </c>
      <c r="D6">
        <v>0.28101399999999999</v>
      </c>
      <c r="E6" t="s">
        <v>1774</v>
      </c>
      <c r="F6">
        <v>2025</v>
      </c>
      <c r="G6" t="s">
        <v>3943</v>
      </c>
      <c r="H6" s="6">
        <v>45967</v>
      </c>
      <c r="I6">
        <v>5</v>
      </c>
      <c r="J6">
        <v>760142</v>
      </c>
      <c r="K6">
        <v>101147</v>
      </c>
      <c r="L6" t="s">
        <v>3944</v>
      </c>
      <c r="O6" t="s">
        <v>3529</v>
      </c>
      <c r="P6">
        <v>3.3295330000000001</v>
      </c>
      <c r="Q6" t="s">
        <v>1752</v>
      </c>
      <c r="R6">
        <v>0.14169699999999999</v>
      </c>
      <c r="S6" t="s">
        <v>1788</v>
      </c>
      <c r="T6">
        <v>2025</v>
      </c>
      <c r="U6" t="s">
        <v>3530</v>
      </c>
      <c r="V6" s="6">
        <v>45986</v>
      </c>
      <c r="W6">
        <v>5</v>
      </c>
      <c r="X6">
        <v>11573457</v>
      </c>
      <c r="Y6">
        <v>101090</v>
      </c>
      <c r="Z6" t="s">
        <v>3531</v>
      </c>
      <c r="AE6" t="s">
        <v>1764</v>
      </c>
      <c r="AG6">
        <v>-2.4245362661989844E-14</v>
      </c>
      <c r="AH6">
        <v>-2.4245362661989844E-14</v>
      </c>
      <c r="AI6" t="s">
        <v>1753</v>
      </c>
      <c r="AJ6">
        <v>2021</v>
      </c>
      <c r="AK6" t="s">
        <v>2190</v>
      </c>
      <c r="AL6" s="6">
        <v>44641</v>
      </c>
      <c r="AM6">
        <v>5</v>
      </c>
      <c r="AN6">
        <v>-2.4245362661989844E-14</v>
      </c>
      <c r="AO6">
        <v>227699</v>
      </c>
      <c r="AP6" t="s">
        <v>1766</v>
      </c>
      <c r="AS6" t="s">
        <v>1985</v>
      </c>
      <c r="AT6">
        <v>-2.4245362661989844E-14</v>
      </c>
      <c r="AV6">
        <v>-2.4245362661989844E-14</v>
      </c>
      <c r="AW6" t="s">
        <v>1788</v>
      </c>
      <c r="AX6">
        <v>2022</v>
      </c>
      <c r="AY6" t="s">
        <v>1986</v>
      </c>
      <c r="AZ6" s="6">
        <v>44789</v>
      </c>
      <c r="BA6">
        <v>5</v>
      </c>
      <c r="BB6">
        <v>-2.4245362661989844E-14</v>
      </c>
      <c r="BC6">
        <v>17074135</v>
      </c>
      <c r="BD6" t="s">
        <v>1987</v>
      </c>
      <c r="BI6" t="s">
        <v>2677</v>
      </c>
      <c r="BJ6" t="s">
        <v>1752</v>
      </c>
      <c r="BK6">
        <v>5.4120119999999998</v>
      </c>
      <c r="BL6">
        <v>2.2954590000000001</v>
      </c>
      <c r="BM6" t="s">
        <v>1774</v>
      </c>
      <c r="BN6">
        <v>2025</v>
      </c>
      <c r="BO6" t="s">
        <v>2678</v>
      </c>
      <c r="BP6" s="6">
        <v>45922</v>
      </c>
      <c r="BQ6">
        <v>5</v>
      </c>
      <c r="BR6">
        <v>159816720</v>
      </c>
      <c r="BS6">
        <v>7785692</v>
      </c>
      <c r="BT6" t="s">
        <v>2679</v>
      </c>
      <c r="CM6" t="s">
        <v>5369</v>
      </c>
      <c r="CN6" t="s">
        <v>1752</v>
      </c>
      <c r="CO6">
        <v>0.330704</v>
      </c>
      <c r="CP6">
        <v>0.342885</v>
      </c>
      <c r="CQ6" t="s">
        <v>1788</v>
      </c>
      <c r="CR6">
        <v>2025</v>
      </c>
      <c r="CS6" t="s">
        <v>5370</v>
      </c>
      <c r="CT6" s="6">
        <v>46027</v>
      </c>
      <c r="CU6">
        <v>5</v>
      </c>
      <c r="CV6">
        <v>4935037.9400000004</v>
      </c>
      <c r="CW6">
        <v>8082154</v>
      </c>
      <c r="CX6" t="s">
        <v>5371</v>
      </c>
      <c r="DA6" t="s">
        <v>2011</v>
      </c>
      <c r="DB6">
        <v>-2.4245362661989844E-14</v>
      </c>
      <c r="DD6">
        <v>-2.4245362661989844E-14</v>
      </c>
      <c r="DE6" t="s">
        <v>1753</v>
      </c>
      <c r="DF6">
        <v>2022</v>
      </c>
      <c r="DG6" t="s">
        <v>2009</v>
      </c>
      <c r="DH6" s="6">
        <v>45008</v>
      </c>
      <c r="DI6">
        <v>5</v>
      </c>
      <c r="DJ6">
        <v>-2.4245362661989844E-14</v>
      </c>
      <c r="DK6">
        <v>217460</v>
      </c>
      <c r="DL6" t="s">
        <v>2012</v>
      </c>
      <c r="EU6" t="s">
        <v>5256</v>
      </c>
      <c r="EW6">
        <v>-2.4245362661989844E-14</v>
      </c>
      <c r="EX6">
        <v>-2.4245362661989844E-14</v>
      </c>
      <c r="EY6" t="s">
        <v>1753</v>
      </c>
      <c r="EZ6">
        <v>2022</v>
      </c>
      <c r="FA6" t="s">
        <v>4151</v>
      </c>
      <c r="FB6" s="6">
        <v>44810</v>
      </c>
      <c r="FC6">
        <v>5</v>
      </c>
      <c r="FD6">
        <v>-2.4245362661989844E-14</v>
      </c>
      <c r="FE6">
        <v>28173837</v>
      </c>
      <c r="FF6" t="s">
        <v>5257</v>
      </c>
      <c r="FY6" t="s">
        <v>3986</v>
      </c>
      <c r="GA6">
        <v>-2.4245362661989844E-14</v>
      </c>
      <c r="GB6">
        <v>-2.4245362661989844E-14</v>
      </c>
      <c r="GC6" t="s">
        <v>1753</v>
      </c>
      <c r="GD6">
        <v>2023</v>
      </c>
      <c r="GE6" t="s">
        <v>3987</v>
      </c>
      <c r="GF6" s="6">
        <v>45346</v>
      </c>
      <c r="GG6">
        <v>5</v>
      </c>
      <c r="GH6">
        <v>-2.4245362661989844E-14</v>
      </c>
      <c r="GI6">
        <v>196885</v>
      </c>
      <c r="GJ6" t="s">
        <v>3988</v>
      </c>
      <c r="GM6" t="s">
        <v>3793</v>
      </c>
      <c r="GN6">
        <v>-2.4245362661989844E-14</v>
      </c>
      <c r="GP6">
        <v>-2.4245362661989844E-14</v>
      </c>
      <c r="GQ6" t="s">
        <v>1788</v>
      </c>
      <c r="GR6">
        <v>2025</v>
      </c>
      <c r="GS6" t="s">
        <v>3794</v>
      </c>
      <c r="GT6" s="6">
        <v>45966</v>
      </c>
      <c r="GU6">
        <v>4</v>
      </c>
      <c r="GV6">
        <v>-2.4245362661989844E-14</v>
      </c>
      <c r="GW6">
        <v>9221017</v>
      </c>
      <c r="GX6" t="s">
        <v>3795</v>
      </c>
      <c r="LS6" t="s">
        <v>3950</v>
      </c>
      <c r="LT6" t="s">
        <v>1828</v>
      </c>
      <c r="LU6">
        <v>6.8882709999999996</v>
      </c>
      <c r="LV6">
        <v>4.017131</v>
      </c>
      <c r="LW6" t="s">
        <v>1774</v>
      </c>
      <c r="LX6">
        <v>2025</v>
      </c>
      <c r="LY6" t="s">
        <v>3951</v>
      </c>
      <c r="LZ6" s="6">
        <v>45929</v>
      </c>
      <c r="MA6">
        <v>5</v>
      </c>
      <c r="MB6">
        <v>26392548</v>
      </c>
      <c r="MC6">
        <v>13070762</v>
      </c>
      <c r="MD6" t="s">
        <v>3952</v>
      </c>
      <c r="MG6" t="s">
        <v>2036</v>
      </c>
      <c r="MH6">
        <v>-2.4245362661989844E-14</v>
      </c>
      <c r="MJ6">
        <v>-2.4245362661989844E-14</v>
      </c>
      <c r="MK6" t="s">
        <v>1753</v>
      </c>
      <c r="ML6">
        <v>2023</v>
      </c>
      <c r="MM6" t="s">
        <v>2146</v>
      </c>
      <c r="MN6" s="6">
        <v>45343</v>
      </c>
      <c r="MO6">
        <v>3</v>
      </c>
      <c r="MP6">
        <v>-2.4245362661989844E-14</v>
      </c>
      <c r="MQ6">
        <v>9268711</v>
      </c>
      <c r="MR6" t="s">
        <v>2037</v>
      </c>
      <c r="PE6" t="s">
        <v>2128</v>
      </c>
      <c r="PF6" t="s">
        <v>1940</v>
      </c>
      <c r="PG6">
        <v>1.151538</v>
      </c>
      <c r="PH6">
        <v>7.7191999999999997E-2</v>
      </c>
      <c r="PI6" t="s">
        <v>1753</v>
      </c>
      <c r="PJ6">
        <v>2024</v>
      </c>
      <c r="PK6" t="s">
        <v>2129</v>
      </c>
      <c r="PL6" s="6">
        <v>45716</v>
      </c>
      <c r="PM6">
        <v>5</v>
      </c>
      <c r="PN6">
        <v>2317499</v>
      </c>
      <c r="PO6">
        <v>35300053</v>
      </c>
      <c r="PP6" t="s">
        <v>2130</v>
      </c>
      <c r="RM6" t="s">
        <v>5115</v>
      </c>
      <c r="RO6">
        <v>-2.4245362661989844E-14</v>
      </c>
      <c r="RP6">
        <v>-2.4245362661989844E-14</v>
      </c>
      <c r="RQ6" t="s">
        <v>1761</v>
      </c>
      <c r="RR6">
        <v>2023</v>
      </c>
      <c r="RS6" t="s">
        <v>5116</v>
      </c>
      <c r="RT6" s="6">
        <v>45152</v>
      </c>
      <c r="RU6">
        <v>5</v>
      </c>
      <c r="RV6">
        <v>-2.4245362661989844E-14</v>
      </c>
      <c r="RW6">
        <v>9996300</v>
      </c>
      <c r="RX6" t="s">
        <v>5117</v>
      </c>
      <c r="SA6" t="s">
        <v>3347</v>
      </c>
      <c r="SB6">
        <v>-2.4245362661989844E-14</v>
      </c>
      <c r="SD6">
        <v>-2.4245362661989844E-14</v>
      </c>
      <c r="SE6" t="s">
        <v>1768</v>
      </c>
      <c r="SF6">
        <v>2022</v>
      </c>
      <c r="SG6" t="s">
        <v>3348</v>
      </c>
      <c r="SH6" s="6">
        <v>44916</v>
      </c>
      <c r="SI6">
        <v>5</v>
      </c>
      <c r="SJ6">
        <v>-2.4245362661989844E-14</v>
      </c>
      <c r="SK6">
        <v>7312672</v>
      </c>
      <c r="SL6" t="s">
        <v>3349</v>
      </c>
      <c r="TU6" t="s">
        <v>2663</v>
      </c>
      <c r="TW6">
        <v>-2.4245362661989844E-14</v>
      </c>
      <c r="TX6">
        <v>-2.4245362661989844E-14</v>
      </c>
      <c r="TY6" t="s">
        <v>1753</v>
      </c>
      <c r="TZ6">
        <v>2021</v>
      </c>
      <c r="UA6" t="s">
        <v>2664</v>
      </c>
      <c r="UB6" s="6">
        <v>44693</v>
      </c>
      <c r="UC6">
        <v>4</v>
      </c>
      <c r="UD6">
        <v>-2.4245362661989844E-14</v>
      </c>
      <c r="UE6">
        <v>100481</v>
      </c>
      <c r="UF6" t="s">
        <v>2665</v>
      </c>
      <c r="UY6" t="s">
        <v>5415</v>
      </c>
      <c r="VA6">
        <v>-2.4245362661989844E-14</v>
      </c>
      <c r="VB6">
        <v>-2.4245362661989844E-14</v>
      </c>
      <c r="VC6" t="s">
        <v>1774</v>
      </c>
      <c r="VD6">
        <v>2024</v>
      </c>
      <c r="VE6" t="s">
        <v>5416</v>
      </c>
      <c r="VF6" s="6">
        <v>45481</v>
      </c>
      <c r="VG6">
        <v>5</v>
      </c>
      <c r="VH6">
        <v>-2.4245362661989844E-14</v>
      </c>
      <c r="VI6">
        <v>1184706</v>
      </c>
      <c r="VJ6" t="s">
        <v>5417</v>
      </c>
      <c r="VM6" t="s">
        <v>1994</v>
      </c>
      <c r="VN6">
        <v>14.7</v>
      </c>
      <c r="VO6" t="s">
        <v>1752</v>
      </c>
      <c r="VP6">
        <v>2.0241820000000001</v>
      </c>
      <c r="VQ6" t="s">
        <v>1753</v>
      </c>
      <c r="VR6">
        <v>2024</v>
      </c>
      <c r="VS6" t="s">
        <v>1992</v>
      </c>
      <c r="VT6" s="6">
        <v>45709</v>
      </c>
      <c r="VU6">
        <v>5</v>
      </c>
      <c r="VV6">
        <v>71150000</v>
      </c>
      <c r="VW6">
        <v>101582</v>
      </c>
      <c r="VX6" t="s">
        <v>1995</v>
      </c>
    </row>
    <row r="7" spans="1:600" x14ac:dyDescent="0.25">
      <c r="A7" t="s">
        <v>3945</v>
      </c>
      <c r="B7" t="s">
        <v>1752</v>
      </c>
      <c r="C7">
        <v>5.3432E-2</v>
      </c>
      <c r="D7">
        <v>8.8173000000000001E-2</v>
      </c>
      <c r="E7" t="s">
        <v>1825</v>
      </c>
      <c r="F7">
        <v>2025</v>
      </c>
      <c r="G7" t="s">
        <v>3946</v>
      </c>
      <c r="H7" s="6">
        <v>45810</v>
      </c>
      <c r="I7">
        <v>5</v>
      </c>
      <c r="J7">
        <v>201917</v>
      </c>
      <c r="K7">
        <v>194484</v>
      </c>
      <c r="L7" t="s">
        <v>3947</v>
      </c>
      <c r="O7" t="s">
        <v>3532</v>
      </c>
      <c r="P7">
        <v>2.267166</v>
      </c>
      <c r="Q7" t="s">
        <v>1752</v>
      </c>
      <c r="R7">
        <v>4.8143999999999999E-2</v>
      </c>
      <c r="S7" t="s">
        <v>1788</v>
      </c>
      <c r="T7">
        <v>2025</v>
      </c>
      <c r="U7" t="s">
        <v>3530</v>
      </c>
      <c r="V7" s="6">
        <v>45986</v>
      </c>
      <c r="W7">
        <v>5</v>
      </c>
      <c r="X7">
        <v>7880669</v>
      </c>
      <c r="Y7">
        <v>156923</v>
      </c>
      <c r="Z7" t="s">
        <v>3533</v>
      </c>
      <c r="AE7" t="s">
        <v>2191</v>
      </c>
      <c r="AG7">
        <v>-2.4245362661989844E-14</v>
      </c>
      <c r="AH7">
        <v>-2.4245362661989844E-14</v>
      </c>
      <c r="AI7" t="s">
        <v>1788</v>
      </c>
      <c r="AJ7">
        <v>2022</v>
      </c>
      <c r="AK7" t="s">
        <v>1986</v>
      </c>
      <c r="AL7" s="6">
        <v>44789</v>
      </c>
      <c r="AM7">
        <v>5</v>
      </c>
      <c r="AN7">
        <v>-2.4245362661989844E-14</v>
      </c>
      <c r="AO7">
        <v>33866804</v>
      </c>
      <c r="AP7" t="s">
        <v>2192</v>
      </c>
      <c r="AS7" t="s">
        <v>1791</v>
      </c>
      <c r="AT7">
        <v>-2.4245362661989844E-14</v>
      </c>
      <c r="AV7">
        <v>-2.4245362661989844E-14</v>
      </c>
      <c r="AW7" t="s">
        <v>1753</v>
      </c>
      <c r="AX7">
        <v>2023</v>
      </c>
      <c r="AY7" t="s">
        <v>1983</v>
      </c>
      <c r="AZ7" s="6">
        <v>45357</v>
      </c>
      <c r="BA7">
        <v>5</v>
      </c>
      <c r="BB7">
        <v>-2.4245362661989844E-14</v>
      </c>
      <c r="BC7">
        <v>218252</v>
      </c>
      <c r="BD7" t="s">
        <v>1793</v>
      </c>
      <c r="BI7" t="s">
        <v>1056</v>
      </c>
      <c r="BJ7" t="s">
        <v>1752</v>
      </c>
      <c r="BK7">
        <v>2.1373730000000002</v>
      </c>
      <c r="BL7">
        <v>0.86022299999999996</v>
      </c>
      <c r="BM7" t="s">
        <v>1774</v>
      </c>
      <c r="BN7">
        <v>2025</v>
      </c>
      <c r="BO7" t="s">
        <v>1933</v>
      </c>
      <c r="BP7" s="6">
        <v>45890</v>
      </c>
      <c r="BQ7">
        <v>5</v>
      </c>
      <c r="BR7">
        <v>59891328</v>
      </c>
      <c r="BS7">
        <v>105429</v>
      </c>
      <c r="BT7" t="s">
        <v>2680</v>
      </c>
      <c r="CM7" t="s">
        <v>5372</v>
      </c>
      <c r="CO7">
        <v>-2.4245362661989844E-14</v>
      </c>
      <c r="CP7">
        <v>-2.4245362661989844E-14</v>
      </c>
      <c r="CQ7" t="s">
        <v>1753</v>
      </c>
      <c r="CR7">
        <v>2021</v>
      </c>
      <c r="CS7" t="s">
        <v>5373</v>
      </c>
      <c r="CT7" s="6">
        <v>44665</v>
      </c>
      <c r="CU7">
        <v>5</v>
      </c>
      <c r="CV7">
        <v>-2.4245362661989844E-14</v>
      </c>
      <c r="CW7">
        <v>17598053</v>
      </c>
      <c r="CX7" t="s">
        <v>5374</v>
      </c>
      <c r="DA7" t="s">
        <v>2013</v>
      </c>
      <c r="DB7">
        <v>-2.4245362661989844E-14</v>
      </c>
      <c r="DD7">
        <v>-2.4245362661989844E-14</v>
      </c>
      <c r="DE7" t="s">
        <v>1753</v>
      </c>
      <c r="DF7">
        <v>2022</v>
      </c>
      <c r="DG7" t="s">
        <v>2009</v>
      </c>
      <c r="DH7" s="6">
        <v>45008</v>
      </c>
      <c r="DI7">
        <v>5</v>
      </c>
      <c r="DJ7">
        <v>-2.4245362661989844E-14</v>
      </c>
      <c r="DK7">
        <v>959444</v>
      </c>
      <c r="DL7" t="s">
        <v>2014</v>
      </c>
      <c r="EU7" t="s">
        <v>5258</v>
      </c>
      <c r="EW7">
        <v>-2.4245362661989844E-14</v>
      </c>
      <c r="EX7">
        <v>-2.4245362661989844E-14</v>
      </c>
      <c r="EY7" t="s">
        <v>1753</v>
      </c>
      <c r="EZ7">
        <v>2025</v>
      </c>
      <c r="FA7" t="s">
        <v>4151</v>
      </c>
      <c r="FB7" s="6">
        <v>45706</v>
      </c>
      <c r="FC7">
        <v>5</v>
      </c>
      <c r="FD7">
        <v>-2.4245362661989844E-14</v>
      </c>
      <c r="FE7">
        <v>30909132</v>
      </c>
      <c r="FF7" t="s">
        <v>5259</v>
      </c>
      <c r="FY7" t="s">
        <v>3989</v>
      </c>
      <c r="GA7">
        <v>-2.4245362661989844E-14</v>
      </c>
      <c r="GB7">
        <v>-2.4245362661989844E-14</v>
      </c>
      <c r="GC7" t="s">
        <v>1753</v>
      </c>
      <c r="GD7">
        <v>2023</v>
      </c>
      <c r="GE7" t="s">
        <v>3984</v>
      </c>
      <c r="GF7" s="6">
        <v>45196</v>
      </c>
      <c r="GG7">
        <v>5</v>
      </c>
      <c r="GH7">
        <v>-2.4245362661989844E-14</v>
      </c>
      <c r="GI7">
        <v>115114</v>
      </c>
      <c r="GJ7" t="s">
        <v>3990</v>
      </c>
      <c r="GM7" t="s">
        <v>3796</v>
      </c>
      <c r="GN7">
        <v>-2.4245362661989844E-14</v>
      </c>
      <c r="GP7">
        <v>-2.4245362661989844E-14</v>
      </c>
      <c r="GQ7" t="s">
        <v>1753</v>
      </c>
      <c r="GR7">
        <v>2025</v>
      </c>
      <c r="GS7" t="s">
        <v>3797</v>
      </c>
      <c r="GT7" s="6">
        <v>45960</v>
      </c>
      <c r="GU7">
        <v>4</v>
      </c>
      <c r="GV7">
        <v>-2.4245362661989844E-14</v>
      </c>
      <c r="GW7">
        <v>11891475</v>
      </c>
      <c r="GX7" t="s">
        <v>3798</v>
      </c>
      <c r="LS7" t="s">
        <v>2053</v>
      </c>
      <c r="LT7" t="s">
        <v>1752</v>
      </c>
      <c r="LU7">
        <v>0.46423900000000001</v>
      </c>
      <c r="LV7">
        <v>0.187949</v>
      </c>
      <c r="LW7" t="s">
        <v>1788</v>
      </c>
      <c r="LX7">
        <v>2025</v>
      </c>
      <c r="LY7" t="s">
        <v>2054</v>
      </c>
      <c r="LZ7" s="6">
        <v>46027</v>
      </c>
      <c r="MA7">
        <v>5</v>
      </c>
      <c r="MB7">
        <v>2943275</v>
      </c>
      <c r="MC7">
        <v>36965288</v>
      </c>
      <c r="MD7" t="s">
        <v>2055</v>
      </c>
      <c r="MG7" t="s">
        <v>2148</v>
      </c>
      <c r="MH7">
        <v>-2.4245362661989844E-14</v>
      </c>
      <c r="MJ7">
        <v>-2.4245362661989844E-14</v>
      </c>
      <c r="MK7" t="s">
        <v>1753</v>
      </c>
      <c r="ML7">
        <v>2023</v>
      </c>
      <c r="MM7" t="s">
        <v>2146</v>
      </c>
      <c r="MN7" s="6">
        <v>45343</v>
      </c>
      <c r="MO7">
        <v>3</v>
      </c>
      <c r="MP7">
        <v>-2.4245362661989844E-14</v>
      </c>
      <c r="MQ7">
        <v>225906</v>
      </c>
      <c r="MR7" t="s">
        <v>2149</v>
      </c>
      <c r="PE7" t="s">
        <v>1787</v>
      </c>
      <c r="PF7" t="s">
        <v>1940</v>
      </c>
      <c r="PG7">
        <v>0.492811</v>
      </c>
      <c r="PH7">
        <v>2.9784000000000001E-2</v>
      </c>
      <c r="PI7" t="s">
        <v>1781</v>
      </c>
      <c r="PJ7">
        <v>2026</v>
      </c>
      <c r="PK7" t="s">
        <v>2131</v>
      </c>
      <c r="PL7" s="6">
        <v>45898</v>
      </c>
      <c r="PM7">
        <v>5</v>
      </c>
      <c r="PN7">
        <v>889383.69</v>
      </c>
      <c r="PO7">
        <v>178651</v>
      </c>
      <c r="PP7" t="s">
        <v>1790</v>
      </c>
      <c r="RM7" t="s">
        <v>5118</v>
      </c>
      <c r="RO7">
        <v>-2.4245362661989844E-14</v>
      </c>
      <c r="RP7">
        <v>-2.4245362661989844E-14</v>
      </c>
      <c r="RQ7" t="s">
        <v>1753</v>
      </c>
      <c r="RR7">
        <v>2021</v>
      </c>
      <c r="RS7" t="s">
        <v>5119</v>
      </c>
      <c r="RT7" s="6">
        <v>44642</v>
      </c>
      <c r="RU7">
        <v>5</v>
      </c>
      <c r="RV7">
        <v>-2.4245362661989844E-14</v>
      </c>
      <c r="RW7">
        <v>27882222</v>
      </c>
      <c r="RX7" t="s">
        <v>5120</v>
      </c>
      <c r="SA7" t="s">
        <v>3350</v>
      </c>
      <c r="SB7">
        <v>-2.4245362661989844E-14</v>
      </c>
      <c r="SD7">
        <v>-2.4245362661989844E-14</v>
      </c>
      <c r="SE7" t="s">
        <v>1774</v>
      </c>
      <c r="SF7">
        <v>2026</v>
      </c>
      <c r="SG7" t="s">
        <v>3351</v>
      </c>
      <c r="SH7" s="6">
        <v>45974</v>
      </c>
      <c r="SI7">
        <v>5</v>
      </c>
      <c r="SJ7">
        <v>-2.4245362661989844E-14</v>
      </c>
      <c r="SK7">
        <v>19060015</v>
      </c>
      <c r="SL7" t="s">
        <v>3352</v>
      </c>
      <c r="TU7" t="s">
        <v>2666</v>
      </c>
      <c r="TW7">
        <v>-2.4245362661989844E-14</v>
      </c>
      <c r="TX7">
        <v>-2.4245362661989844E-14</v>
      </c>
      <c r="TY7" t="s">
        <v>1788</v>
      </c>
      <c r="TZ7">
        <v>2024</v>
      </c>
      <c r="UA7" t="s">
        <v>2667</v>
      </c>
      <c r="UB7" s="6">
        <v>45659</v>
      </c>
      <c r="UC7">
        <v>4</v>
      </c>
      <c r="UD7">
        <v>-2.4245362661989844E-14</v>
      </c>
      <c r="UE7">
        <v>11225923</v>
      </c>
      <c r="UF7" t="s">
        <v>2668</v>
      </c>
      <c r="UY7" t="s">
        <v>5418</v>
      </c>
      <c r="VA7">
        <v>-2.4245362661989844E-14</v>
      </c>
      <c r="VB7">
        <v>-2.4245362661989844E-14</v>
      </c>
      <c r="VC7" t="s">
        <v>1753</v>
      </c>
      <c r="VD7">
        <v>2021</v>
      </c>
      <c r="VE7" t="s">
        <v>5419</v>
      </c>
      <c r="VF7" s="6">
        <v>44693</v>
      </c>
      <c r="VG7">
        <v>5</v>
      </c>
      <c r="VH7">
        <v>-2.4245362661989844E-14</v>
      </c>
      <c r="VI7">
        <v>101074</v>
      </c>
      <c r="VJ7" t="s">
        <v>5420</v>
      </c>
      <c r="VM7" t="s">
        <v>1996</v>
      </c>
      <c r="VN7">
        <v>0.68460600000000005</v>
      </c>
      <c r="VO7" t="s">
        <v>1752</v>
      </c>
      <c r="VP7">
        <v>2.0983000000000002E-2</v>
      </c>
      <c r="VQ7" t="s">
        <v>1774</v>
      </c>
      <c r="VR7">
        <v>2025</v>
      </c>
      <c r="VS7" t="s">
        <v>1997</v>
      </c>
      <c r="VT7" s="6">
        <v>45940</v>
      </c>
      <c r="VU7">
        <v>5</v>
      </c>
      <c r="VV7">
        <v>2971875</v>
      </c>
      <c r="VW7">
        <v>225547</v>
      </c>
      <c r="VX7" t="s">
        <v>1998</v>
      </c>
    </row>
    <row r="8" spans="1:600" x14ac:dyDescent="0.25">
      <c r="A8" t="s">
        <v>2307</v>
      </c>
      <c r="C8">
        <v>-2.4245362661989844E-14</v>
      </c>
      <c r="D8">
        <v>-2.4245362661989844E-14</v>
      </c>
      <c r="E8" t="s">
        <v>1753</v>
      </c>
      <c r="F8">
        <v>2021</v>
      </c>
      <c r="G8" t="s">
        <v>2308</v>
      </c>
      <c r="H8" s="6">
        <v>44693</v>
      </c>
      <c r="I8">
        <v>5</v>
      </c>
      <c r="J8">
        <v>-2.4245362661989844E-14</v>
      </c>
      <c r="K8">
        <v>100060</v>
      </c>
      <c r="L8" t="s">
        <v>2309</v>
      </c>
      <c r="O8" t="s">
        <v>1908</v>
      </c>
      <c r="P8">
        <v>2.0591710000000001</v>
      </c>
      <c r="Q8" t="s">
        <v>1752</v>
      </c>
      <c r="R8">
        <v>3.9990999999999999E-2</v>
      </c>
      <c r="S8" t="s">
        <v>1788</v>
      </c>
      <c r="T8">
        <v>2025</v>
      </c>
      <c r="U8" t="s">
        <v>3530</v>
      </c>
      <c r="V8" s="6">
        <v>45986</v>
      </c>
      <c r="W8">
        <v>5</v>
      </c>
      <c r="X8">
        <v>7157678</v>
      </c>
      <c r="Y8">
        <v>101555</v>
      </c>
      <c r="Z8" t="s">
        <v>1909</v>
      </c>
      <c r="AE8" t="s">
        <v>2193</v>
      </c>
      <c r="AG8">
        <v>-2.4245362661989844E-14</v>
      </c>
      <c r="AH8">
        <v>-2.4245362661989844E-14</v>
      </c>
      <c r="AI8" t="s">
        <v>1788</v>
      </c>
      <c r="AJ8">
        <v>2023</v>
      </c>
      <c r="AK8" t="s">
        <v>2194</v>
      </c>
      <c r="AL8" s="6">
        <v>45236</v>
      </c>
      <c r="AM8">
        <v>5</v>
      </c>
      <c r="AN8">
        <v>-2.4245362661989844E-14</v>
      </c>
      <c r="AO8">
        <v>62555598</v>
      </c>
      <c r="AP8" t="s">
        <v>2195</v>
      </c>
      <c r="AS8" t="s">
        <v>1988</v>
      </c>
      <c r="AT8">
        <v>-2.4245362661989844E-14</v>
      </c>
      <c r="AV8">
        <v>-2.4245362661989844E-14</v>
      </c>
      <c r="AW8" t="s">
        <v>1753</v>
      </c>
      <c r="AX8">
        <v>2025</v>
      </c>
      <c r="AY8" t="s">
        <v>1989</v>
      </c>
      <c r="AZ8" s="6">
        <v>45832</v>
      </c>
      <c r="BA8">
        <v>5</v>
      </c>
      <c r="BB8">
        <v>-2.4245362661989844E-14</v>
      </c>
      <c r="BC8">
        <v>114396</v>
      </c>
      <c r="BD8" t="s">
        <v>1990</v>
      </c>
      <c r="BI8" t="s">
        <v>2681</v>
      </c>
      <c r="BJ8" t="s">
        <v>1752</v>
      </c>
      <c r="BK8">
        <v>0.39032499999999998</v>
      </c>
      <c r="BL8">
        <v>0.35400799999999999</v>
      </c>
      <c r="BM8" t="s">
        <v>1774</v>
      </c>
      <c r="BN8">
        <v>2025</v>
      </c>
      <c r="BO8" t="s">
        <v>2682</v>
      </c>
      <c r="BP8" s="6">
        <v>45869</v>
      </c>
      <c r="BQ8">
        <v>5</v>
      </c>
      <c r="BR8">
        <v>24647072</v>
      </c>
      <c r="BS8">
        <v>101341</v>
      </c>
      <c r="BT8" t="s">
        <v>2683</v>
      </c>
      <c r="CM8" t="s">
        <v>5375</v>
      </c>
      <c r="CO8">
        <v>-2.4245362661989844E-14</v>
      </c>
      <c r="CP8">
        <v>-2.4245362661989844E-14</v>
      </c>
      <c r="CQ8" t="s">
        <v>1788</v>
      </c>
      <c r="CR8">
        <v>2025</v>
      </c>
      <c r="CS8" t="s">
        <v>5376</v>
      </c>
      <c r="CT8" s="6">
        <v>45989</v>
      </c>
      <c r="CU8">
        <v>5</v>
      </c>
      <c r="CV8">
        <v>-2.4245362661989844E-14</v>
      </c>
      <c r="CW8">
        <v>7783080</v>
      </c>
      <c r="CX8" t="s">
        <v>5377</v>
      </c>
      <c r="DA8" t="s">
        <v>2015</v>
      </c>
      <c r="DB8">
        <v>-2.4245362661989844E-14</v>
      </c>
      <c r="DD8">
        <v>-2.4245362661989844E-14</v>
      </c>
      <c r="DE8" t="s">
        <v>1753</v>
      </c>
      <c r="DF8">
        <v>2022</v>
      </c>
      <c r="DG8" t="s">
        <v>2009</v>
      </c>
      <c r="DH8" s="6">
        <v>45008</v>
      </c>
      <c r="DI8">
        <v>5</v>
      </c>
      <c r="DJ8">
        <v>-2.4245362661989844E-14</v>
      </c>
      <c r="DK8">
        <v>949869</v>
      </c>
      <c r="DL8" t="s">
        <v>2016</v>
      </c>
      <c r="EU8" t="s">
        <v>3618</v>
      </c>
      <c r="EW8">
        <v>-2.4245362661989844E-14</v>
      </c>
      <c r="EX8">
        <v>-2.4245362661989844E-14</v>
      </c>
      <c r="EY8" t="s">
        <v>1753</v>
      </c>
      <c r="EZ8">
        <v>2024</v>
      </c>
      <c r="FA8" t="s">
        <v>4151</v>
      </c>
      <c r="FB8" s="6">
        <v>45594</v>
      </c>
      <c r="FC8">
        <v>5</v>
      </c>
      <c r="FD8">
        <v>-2.4245362661989844E-14</v>
      </c>
      <c r="FE8">
        <v>32313626</v>
      </c>
      <c r="FF8" t="s">
        <v>3619</v>
      </c>
      <c r="FY8" t="s">
        <v>3991</v>
      </c>
      <c r="GA8">
        <v>-2.4245362661989844E-14</v>
      </c>
      <c r="GB8">
        <v>-2.4245362661989844E-14</v>
      </c>
      <c r="GC8" t="s">
        <v>1753</v>
      </c>
      <c r="GD8">
        <v>2023</v>
      </c>
      <c r="GE8" t="s">
        <v>3984</v>
      </c>
      <c r="GF8" s="6">
        <v>45196</v>
      </c>
      <c r="GG8">
        <v>5</v>
      </c>
      <c r="GH8">
        <v>-2.4245362661989844E-14</v>
      </c>
      <c r="GI8">
        <v>100747</v>
      </c>
      <c r="GJ8" t="s">
        <v>3992</v>
      </c>
      <c r="GM8" t="s">
        <v>3799</v>
      </c>
      <c r="GN8">
        <v>-2.4245362661989844E-14</v>
      </c>
      <c r="GP8">
        <v>-2.4245362661989844E-14</v>
      </c>
      <c r="GQ8" t="s">
        <v>1774</v>
      </c>
      <c r="GR8">
        <v>2025</v>
      </c>
      <c r="GS8" t="s">
        <v>3800</v>
      </c>
      <c r="GT8" s="6">
        <v>45800</v>
      </c>
      <c r="GU8">
        <v>4</v>
      </c>
      <c r="GV8">
        <v>-2.4245362661989844E-14</v>
      </c>
      <c r="GW8">
        <v>171397</v>
      </c>
      <c r="GX8" t="s">
        <v>3801</v>
      </c>
      <c r="LS8" t="s">
        <v>3953</v>
      </c>
      <c r="LU8">
        <v>-2.4245362661989844E-14</v>
      </c>
      <c r="LV8">
        <v>-2.4245362661989844E-14</v>
      </c>
      <c r="LW8" t="s">
        <v>1753</v>
      </c>
      <c r="LX8">
        <v>2023</v>
      </c>
      <c r="LY8" t="s">
        <v>2146</v>
      </c>
      <c r="LZ8" s="6">
        <v>45343</v>
      </c>
      <c r="MA8">
        <v>5</v>
      </c>
      <c r="MB8">
        <v>-2.4245362661989844E-14</v>
      </c>
      <c r="MC8">
        <v>50563862</v>
      </c>
      <c r="MD8" t="s">
        <v>3954</v>
      </c>
      <c r="PE8" t="s">
        <v>2132</v>
      </c>
      <c r="PG8">
        <v>0.44397199999999998</v>
      </c>
      <c r="PH8">
        <v>-2.4245362661989844E-14</v>
      </c>
      <c r="PI8" t="s">
        <v>1825</v>
      </c>
      <c r="PJ8">
        <v>2024</v>
      </c>
      <c r="PK8" t="s">
        <v>2133</v>
      </c>
      <c r="PL8" s="6">
        <v>45699</v>
      </c>
      <c r="PM8">
        <v>5</v>
      </c>
      <c r="PN8">
        <v>316250</v>
      </c>
      <c r="PO8">
        <v>10086577</v>
      </c>
      <c r="PP8" t="s">
        <v>2134</v>
      </c>
      <c r="RM8" t="s">
        <v>5121</v>
      </c>
      <c r="RO8">
        <v>-2.4245362661989844E-14</v>
      </c>
      <c r="RP8">
        <v>-2.4245362661989844E-14</v>
      </c>
      <c r="RQ8" t="s">
        <v>1753</v>
      </c>
      <c r="RR8">
        <v>2024</v>
      </c>
      <c r="RS8" t="s">
        <v>5122</v>
      </c>
      <c r="RT8" s="6">
        <v>45803</v>
      </c>
      <c r="RU8">
        <v>5</v>
      </c>
      <c r="RV8">
        <v>-2.4245362661989844E-14</v>
      </c>
      <c r="RW8">
        <v>870231</v>
      </c>
      <c r="RX8" t="s">
        <v>5123</v>
      </c>
      <c r="SA8" t="s">
        <v>3353</v>
      </c>
      <c r="SB8">
        <v>-2.4245362661989844E-14</v>
      </c>
      <c r="SD8">
        <v>-2.4245362661989844E-14</v>
      </c>
      <c r="SE8" t="s">
        <v>1753</v>
      </c>
      <c r="SF8">
        <v>2024</v>
      </c>
      <c r="SG8" t="s">
        <v>3354</v>
      </c>
      <c r="SH8" s="6">
        <v>45767</v>
      </c>
      <c r="SI8">
        <v>5</v>
      </c>
      <c r="SJ8">
        <v>-2.4245362661989844E-14</v>
      </c>
      <c r="SK8">
        <v>26949139</v>
      </c>
      <c r="SL8" t="s">
        <v>3355</v>
      </c>
      <c r="TU8" t="s">
        <v>2669</v>
      </c>
      <c r="TW8">
        <v>-2.4245362661989844E-14</v>
      </c>
      <c r="TX8">
        <v>-2.4245362661989844E-14</v>
      </c>
      <c r="TY8" t="s">
        <v>1753</v>
      </c>
      <c r="TZ8">
        <v>2021</v>
      </c>
      <c r="UA8" t="s">
        <v>2670</v>
      </c>
      <c r="UB8" s="6">
        <v>44693</v>
      </c>
      <c r="UC8">
        <v>4</v>
      </c>
      <c r="UD8">
        <v>-2.4245362661989844E-14</v>
      </c>
      <c r="UE8">
        <v>101153</v>
      </c>
      <c r="UF8" t="s">
        <v>2671</v>
      </c>
      <c r="UY8" t="s">
        <v>4060</v>
      </c>
      <c r="VA8">
        <v>-2.4245362661989844E-14</v>
      </c>
      <c r="VB8">
        <v>-2.4245362661989844E-14</v>
      </c>
      <c r="VC8" t="s">
        <v>1753</v>
      </c>
      <c r="VD8">
        <v>2021</v>
      </c>
      <c r="VE8" t="s">
        <v>4061</v>
      </c>
      <c r="VF8" s="6">
        <v>44693</v>
      </c>
      <c r="VG8">
        <v>5</v>
      </c>
      <c r="VH8">
        <v>-2.4245362661989844E-14</v>
      </c>
      <c r="VI8">
        <v>100532</v>
      </c>
      <c r="VJ8" t="s">
        <v>4062</v>
      </c>
      <c r="VM8" t="s">
        <v>1999</v>
      </c>
      <c r="VN8">
        <v>-2.4245362661989844E-14</v>
      </c>
      <c r="VP8">
        <v>-2.4245362661989844E-14</v>
      </c>
      <c r="VQ8" t="s">
        <v>1753</v>
      </c>
      <c r="VR8">
        <v>2024</v>
      </c>
      <c r="VS8" t="s">
        <v>1992</v>
      </c>
      <c r="VT8" s="6">
        <v>45709</v>
      </c>
      <c r="VU8">
        <v>5</v>
      </c>
      <c r="VV8">
        <v>-2.4245362661989844E-14</v>
      </c>
      <c r="VW8">
        <v>69744668</v>
      </c>
      <c r="VX8" t="s">
        <v>2000</v>
      </c>
    </row>
    <row r="9" spans="1:600" x14ac:dyDescent="0.25">
      <c r="A9" t="s">
        <v>2392</v>
      </c>
      <c r="C9">
        <v>-2.4245362661989844E-14</v>
      </c>
      <c r="D9">
        <v>-2.4245362661989844E-14</v>
      </c>
      <c r="E9" t="s">
        <v>1753</v>
      </c>
      <c r="F9">
        <v>2021</v>
      </c>
      <c r="G9" t="s">
        <v>2393</v>
      </c>
      <c r="H9" s="6">
        <v>44693</v>
      </c>
      <c r="I9">
        <v>5</v>
      </c>
      <c r="J9">
        <v>-2.4245362661989844E-14</v>
      </c>
      <c r="K9">
        <v>101690</v>
      </c>
      <c r="L9" t="s">
        <v>2394</v>
      </c>
      <c r="O9" t="s">
        <v>3366</v>
      </c>
      <c r="P9">
        <v>1.3989849999999999</v>
      </c>
      <c r="Q9" t="s">
        <v>1752</v>
      </c>
      <c r="R9">
        <v>1.8962E-2</v>
      </c>
      <c r="S9" t="s">
        <v>1788</v>
      </c>
      <c r="T9">
        <v>2025</v>
      </c>
      <c r="U9" t="s">
        <v>3530</v>
      </c>
      <c r="V9" s="6">
        <v>45986</v>
      </c>
      <c r="W9">
        <v>5</v>
      </c>
      <c r="X9">
        <v>4862872</v>
      </c>
      <c r="Y9">
        <v>100211</v>
      </c>
      <c r="Z9" t="s">
        <v>3368</v>
      </c>
      <c r="AE9" t="s">
        <v>2196</v>
      </c>
      <c r="AG9">
        <v>-2.4245362661989844E-14</v>
      </c>
      <c r="AH9">
        <v>-2.4245362661989844E-14</v>
      </c>
      <c r="AI9" t="s">
        <v>1753</v>
      </c>
      <c r="AJ9">
        <v>2023</v>
      </c>
      <c r="AK9" t="s">
        <v>2197</v>
      </c>
      <c r="AL9" s="6">
        <v>45042</v>
      </c>
      <c r="AM9">
        <v>5</v>
      </c>
      <c r="AN9">
        <v>-2.4245362661989844E-14</v>
      </c>
      <c r="AO9">
        <v>66992559</v>
      </c>
      <c r="AP9" t="s">
        <v>2198</v>
      </c>
      <c r="AS9" t="s">
        <v>1461</v>
      </c>
      <c r="AT9">
        <v>-2.4245362661989844E-14</v>
      </c>
      <c r="AV9">
        <v>-2.4245362661989844E-14</v>
      </c>
      <c r="AW9" t="s">
        <v>1753</v>
      </c>
      <c r="AX9">
        <v>2023</v>
      </c>
      <c r="AY9" t="s">
        <v>1983</v>
      </c>
      <c r="AZ9" s="6">
        <v>45357</v>
      </c>
      <c r="BA9">
        <v>5</v>
      </c>
      <c r="BB9">
        <v>-2.4245362661989844E-14</v>
      </c>
      <c r="BC9">
        <v>102782</v>
      </c>
      <c r="BD9" t="s">
        <v>1991</v>
      </c>
      <c r="BI9" t="s">
        <v>2684</v>
      </c>
      <c r="BJ9" t="s">
        <v>1752</v>
      </c>
      <c r="BK9">
        <v>1.1846829999999999</v>
      </c>
      <c r="BL9">
        <v>0.20474999999999999</v>
      </c>
      <c r="BM9" t="s">
        <v>1774</v>
      </c>
      <c r="BN9">
        <v>2025</v>
      </c>
      <c r="BO9" t="s">
        <v>2685</v>
      </c>
      <c r="BP9" s="6">
        <v>45876</v>
      </c>
      <c r="BQ9">
        <v>5</v>
      </c>
      <c r="BR9">
        <v>14255291</v>
      </c>
      <c r="BS9">
        <v>23071317</v>
      </c>
      <c r="BT9" t="s">
        <v>2686</v>
      </c>
      <c r="CM9" t="s">
        <v>4450</v>
      </c>
      <c r="CO9">
        <v>-2.4245362661989844E-14</v>
      </c>
      <c r="CP9">
        <v>-2.4245362661989844E-14</v>
      </c>
      <c r="CQ9" t="s">
        <v>1781</v>
      </c>
      <c r="CR9">
        <v>2024</v>
      </c>
      <c r="CS9" t="s">
        <v>4508</v>
      </c>
      <c r="CT9" s="6">
        <v>45421</v>
      </c>
      <c r="CU9">
        <v>5</v>
      </c>
      <c r="CV9">
        <v>-2.4245362661989844E-14</v>
      </c>
      <c r="CW9">
        <v>65608618</v>
      </c>
      <c r="CX9" t="s">
        <v>4452</v>
      </c>
      <c r="DA9" t="s">
        <v>2017</v>
      </c>
      <c r="DB9">
        <v>-2.4245362661989844E-14</v>
      </c>
      <c r="DD9">
        <v>-2.4245362661989844E-14</v>
      </c>
      <c r="DE9" t="s">
        <v>1753</v>
      </c>
      <c r="DF9">
        <v>2022</v>
      </c>
      <c r="DG9" t="s">
        <v>2009</v>
      </c>
      <c r="DH9" s="6">
        <v>45008</v>
      </c>
      <c r="DI9">
        <v>5</v>
      </c>
      <c r="DJ9">
        <v>-2.4245362661989844E-14</v>
      </c>
      <c r="DK9">
        <v>55455507</v>
      </c>
      <c r="DL9" t="s">
        <v>2018</v>
      </c>
      <c r="EU9" t="s">
        <v>5260</v>
      </c>
      <c r="EW9">
        <v>-2.4245362661989844E-14</v>
      </c>
      <c r="EX9">
        <v>-2.4245362661989844E-14</v>
      </c>
      <c r="EY9" t="s">
        <v>1753</v>
      </c>
      <c r="EZ9">
        <v>2022</v>
      </c>
      <c r="FA9" t="s">
        <v>4151</v>
      </c>
      <c r="FB9" s="6">
        <v>44810</v>
      </c>
      <c r="FC9">
        <v>5</v>
      </c>
      <c r="FD9">
        <v>-2.4245362661989844E-14</v>
      </c>
      <c r="FE9">
        <v>904046</v>
      </c>
      <c r="FF9" t="s">
        <v>5261</v>
      </c>
      <c r="FY9" t="s">
        <v>2307</v>
      </c>
      <c r="GA9">
        <v>-2.4245362661989844E-14</v>
      </c>
      <c r="GB9">
        <v>-2.4245362661989844E-14</v>
      </c>
      <c r="GC9" t="s">
        <v>1753</v>
      </c>
      <c r="GD9">
        <v>2021</v>
      </c>
      <c r="GE9" t="s">
        <v>2308</v>
      </c>
      <c r="GF9" s="6">
        <v>44693</v>
      </c>
      <c r="GG9">
        <v>5</v>
      </c>
      <c r="GH9">
        <v>-2.4245362661989844E-14</v>
      </c>
      <c r="GI9">
        <v>100060</v>
      </c>
      <c r="GJ9" t="s">
        <v>2309</v>
      </c>
      <c r="LS9" t="s">
        <v>3955</v>
      </c>
      <c r="LU9">
        <v>-2.4245362661989844E-14</v>
      </c>
      <c r="LV9">
        <v>-2.4245362661989844E-14</v>
      </c>
      <c r="LW9" t="s">
        <v>1753</v>
      </c>
      <c r="LX9">
        <v>2026</v>
      </c>
      <c r="LY9" t="s">
        <v>3956</v>
      </c>
      <c r="LZ9" s="6">
        <v>46077</v>
      </c>
      <c r="MA9">
        <v>5</v>
      </c>
      <c r="MB9">
        <v>-2.4245362661989844E-14</v>
      </c>
      <c r="MC9">
        <v>71762443</v>
      </c>
      <c r="MD9" t="s">
        <v>3957</v>
      </c>
      <c r="PE9" t="s">
        <v>2135</v>
      </c>
      <c r="PG9">
        <v>-2.4245362661989844E-14</v>
      </c>
      <c r="PH9">
        <v>-2.4245362661989844E-14</v>
      </c>
      <c r="PI9" t="s">
        <v>1768</v>
      </c>
      <c r="PJ9">
        <v>2025</v>
      </c>
      <c r="PK9" t="s">
        <v>2136</v>
      </c>
      <c r="PL9" s="6">
        <v>45974</v>
      </c>
      <c r="PM9">
        <v>5</v>
      </c>
      <c r="PN9">
        <v>-2.4245362661989844E-14</v>
      </c>
      <c r="PO9">
        <v>118099</v>
      </c>
      <c r="PP9" t="s">
        <v>2137</v>
      </c>
      <c r="RM9" t="s">
        <v>5124</v>
      </c>
      <c r="RO9">
        <v>-2.4245362661989844E-14</v>
      </c>
      <c r="RP9">
        <v>-2.4245362661989844E-14</v>
      </c>
      <c r="RQ9" t="s">
        <v>1753</v>
      </c>
      <c r="RR9">
        <v>2022</v>
      </c>
      <c r="RS9" t="s">
        <v>5125</v>
      </c>
      <c r="RT9" s="6">
        <v>45000</v>
      </c>
      <c r="RU9">
        <v>5</v>
      </c>
      <c r="RV9">
        <v>-2.4245362661989844E-14</v>
      </c>
      <c r="RW9">
        <v>69704831</v>
      </c>
      <c r="RX9" t="s">
        <v>5126</v>
      </c>
      <c r="SA9" t="s">
        <v>3356</v>
      </c>
      <c r="SB9">
        <v>-2.4245362661989844E-14</v>
      </c>
      <c r="SD9">
        <v>-2.4245362661989844E-14</v>
      </c>
      <c r="SE9" t="s">
        <v>1753</v>
      </c>
      <c r="SF9">
        <v>2024</v>
      </c>
      <c r="SG9" t="s">
        <v>3357</v>
      </c>
      <c r="SH9" s="6">
        <v>45777</v>
      </c>
      <c r="SI9">
        <v>5</v>
      </c>
      <c r="SJ9">
        <v>-2.4245362661989844E-14</v>
      </c>
      <c r="SK9">
        <v>384701</v>
      </c>
      <c r="SL9" t="s">
        <v>3358</v>
      </c>
      <c r="UY9" t="s">
        <v>2663</v>
      </c>
      <c r="VA9">
        <v>-2.4245362661989844E-14</v>
      </c>
      <c r="VB9">
        <v>-2.4245362661989844E-14</v>
      </c>
      <c r="VC9" t="s">
        <v>1753</v>
      </c>
      <c r="VD9">
        <v>2021</v>
      </c>
      <c r="VE9" t="s">
        <v>2664</v>
      </c>
      <c r="VF9" s="6">
        <v>44693</v>
      </c>
      <c r="VG9">
        <v>5</v>
      </c>
      <c r="VH9">
        <v>-2.4245362661989844E-14</v>
      </c>
      <c r="VI9">
        <v>100481</v>
      </c>
      <c r="VJ9" t="s">
        <v>2665</v>
      </c>
      <c r="VM9" t="s">
        <v>2001</v>
      </c>
      <c r="VN9">
        <v>-2.4245362661989844E-14</v>
      </c>
      <c r="VP9">
        <v>-2.4245362661989844E-14</v>
      </c>
      <c r="VQ9" t="s">
        <v>1753</v>
      </c>
      <c r="VR9">
        <v>2023</v>
      </c>
      <c r="VS9" t="s">
        <v>2002</v>
      </c>
      <c r="VT9" s="6">
        <v>45344</v>
      </c>
      <c r="VU9">
        <v>5</v>
      </c>
      <c r="VV9">
        <v>-2.4245362661989844E-14</v>
      </c>
      <c r="VW9">
        <v>65924963</v>
      </c>
      <c r="VX9" t="s">
        <v>2003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896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897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898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899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900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901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902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903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904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905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906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907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908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909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910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911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912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913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914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915</v>
      </c>
      <c r="AE2" s="3" t="s">
        <v>916</v>
      </c>
      <c r="BI2" s="3" t="s">
        <v>917</v>
      </c>
      <c r="CM2" s="3" t="s">
        <v>90</v>
      </c>
      <c r="DQ2" s="3" t="s">
        <v>263</v>
      </c>
      <c r="EU2" s="3" t="s">
        <v>601</v>
      </c>
      <c r="FY2" s="3" t="s">
        <v>918</v>
      </c>
      <c r="HC2" s="3" t="s">
        <v>739</v>
      </c>
      <c r="IG2" s="3" t="s">
        <v>919</v>
      </c>
      <c r="JK2" s="3" t="s">
        <v>920</v>
      </c>
      <c r="KO2" s="3" t="s">
        <v>86</v>
      </c>
      <c r="LS2" s="3" t="s">
        <v>921</v>
      </c>
      <c r="MW2" s="3" t="s">
        <v>922</v>
      </c>
      <c r="OA2" s="3" t="s">
        <v>457</v>
      </c>
      <c r="PE2" s="3" t="s">
        <v>923</v>
      </c>
      <c r="QI2" s="3" t="s">
        <v>381</v>
      </c>
      <c r="RM2" s="3" t="s">
        <v>80</v>
      </c>
      <c r="SQ2" s="3" t="s">
        <v>924</v>
      </c>
      <c r="TU2" s="3" t="s">
        <v>925</v>
      </c>
      <c r="UY2" s="3" t="s">
        <v>926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_xll.BDS("AIV US Equity","SUPPLY_CHAIN_SUPPLIERS_ALL_DATA","cols=12;rows=1")</f>
        <v>MS US Equity</v>
      </c>
      <c r="C5">
        <v>-2.4245362661989844E-14</v>
      </c>
      <c r="D5">
        <v>-2.4245362661989844E-14</v>
      </c>
      <c r="E5" t="s">
        <v>1753</v>
      </c>
      <c r="F5">
        <v>2025</v>
      </c>
      <c r="G5" t="s">
        <v>4392</v>
      </c>
      <c r="H5" s="6">
        <v>45875</v>
      </c>
      <c r="I5">
        <v>1</v>
      </c>
      <c r="J5">
        <v>-2.4245362661989844E-14</v>
      </c>
      <c r="K5">
        <v>116646</v>
      </c>
      <c r="L5" t="s">
        <v>5239</v>
      </c>
      <c r="O5" t="str">
        <f>_xll.BDS("AIV US Equity","SUPPLY_CHAIN_CUSTOMERS_ALL_DATA","cols=12;rows=1")</f>
        <v>29326Z US Equity</v>
      </c>
      <c r="P5">
        <v>-2.4245362661989844E-14</v>
      </c>
      <c r="R5">
        <v>-2.4245362661989844E-14</v>
      </c>
      <c r="S5" t="s">
        <v>1753</v>
      </c>
      <c r="T5">
        <v>2025</v>
      </c>
      <c r="U5" t="s">
        <v>4392</v>
      </c>
      <c r="V5" s="6">
        <v>45875</v>
      </c>
      <c r="W5">
        <v>1</v>
      </c>
      <c r="X5">
        <v>-2.4245362661989844E-14</v>
      </c>
      <c r="Y5">
        <v>7389859</v>
      </c>
      <c r="Z5" t="s">
        <v>4393</v>
      </c>
      <c r="AE5" t="str">
        <f>_xll.BDS("FSCO US Equity","SUPPLY_CHAIN_SUPPLIERS_ALL_DATA")</f>
        <v>#N/A N/A</v>
      </c>
      <c r="AS5" t="str">
        <f>_xll.BDS("FSCO US Equity","SUPPLY_CHAIN_CUSTOMERS_ALL_DATA")</f>
        <v>#N/A N/A</v>
      </c>
      <c r="BI5" t="str">
        <f>_xll.BDS("2319518D US Equity","SUPPLY_CHAIN_SUPPLIERS_ALL_DATA","cols=12;rows=2")</f>
        <v>9924155Z US Equity</v>
      </c>
      <c r="BK5">
        <v>-2.4245362661989844E-14</v>
      </c>
      <c r="BL5">
        <v>-2.4245362661989844E-14</v>
      </c>
      <c r="BM5" t="s">
        <v>1753</v>
      </c>
      <c r="BN5">
        <v>2022</v>
      </c>
      <c r="BO5" t="s">
        <v>3958</v>
      </c>
      <c r="BP5" s="6">
        <v>44861</v>
      </c>
      <c r="BQ5">
        <v>2</v>
      </c>
      <c r="BR5">
        <v>-2.4245362661989844E-14</v>
      </c>
      <c r="BS5">
        <v>24868859</v>
      </c>
      <c r="BT5" t="s">
        <v>3959</v>
      </c>
      <c r="BW5" t="str">
        <f>_xll.BDS("2319518D US Equity","SUPPLY_CHAIN_CUSTOMERS_ALL_DATA")</f>
        <v>#N/A N/A</v>
      </c>
      <c r="CM5" t="str">
        <f>_xll.BDS("RVTY US Equity","SUPPLY_CHAIN_SUPPLIERS_ALL_DATA","cols=12;rows=5")</f>
        <v>UPS US Equity</v>
      </c>
      <c r="CN5" t="s">
        <v>1752</v>
      </c>
      <c r="CO5">
        <v>5.5890000000000002E-2</v>
      </c>
      <c r="CP5">
        <v>3.6901579999999998</v>
      </c>
      <c r="CQ5" t="s">
        <v>1788</v>
      </c>
      <c r="CR5">
        <v>2025</v>
      </c>
      <c r="CS5" t="s">
        <v>2463</v>
      </c>
      <c r="CT5" s="6">
        <v>46007</v>
      </c>
      <c r="CU5">
        <v>5</v>
      </c>
      <c r="CV5">
        <v>11968844</v>
      </c>
      <c r="CW5">
        <v>143027</v>
      </c>
      <c r="CX5" t="s">
        <v>2464</v>
      </c>
      <c r="DA5" t="str">
        <f>_xll.BDS("RVTY US Equity","SUPPLY_CHAIN_CUSTOMERS_ALL_DATA","cols=12;rows=5")</f>
        <v>002971 CH Equity</v>
      </c>
      <c r="DB5">
        <v>-2.4245362661989844E-14</v>
      </c>
      <c r="DD5">
        <v>-2.4245362661989844E-14</v>
      </c>
      <c r="DE5" t="s">
        <v>1842</v>
      </c>
      <c r="DF5">
        <v>2025</v>
      </c>
      <c r="DG5" t="s">
        <v>3808</v>
      </c>
      <c r="DH5" s="6">
        <v>45888</v>
      </c>
      <c r="DI5">
        <v>5</v>
      </c>
      <c r="DJ5">
        <v>-2.4245362661989844E-14</v>
      </c>
      <c r="DK5">
        <v>61902583</v>
      </c>
      <c r="DL5" t="s">
        <v>3809</v>
      </c>
      <c r="DQ5" t="str">
        <f>_xll.BDS("YDKN US Equity","SUPPLY_CHAIN_SUPPLIERS_ALL_DATA")</f>
        <v>#N/A N/A</v>
      </c>
      <c r="EE5" t="str">
        <f>_xll.BDS("YDKN US Equity","SUPPLY_CHAIN_CUSTOMERS_ALL_DATA")</f>
        <v>#N/A N/A</v>
      </c>
      <c r="EU5" t="str">
        <f>_xll.BDS("DFODQ US Equity","SUPPLY_CHAIN_SUPPLIERS_ALL_DATA","cols=12;rows=5")</f>
        <v>AEE US Equity</v>
      </c>
      <c r="EW5">
        <v>-2.4245362661989844E-14</v>
      </c>
      <c r="EX5">
        <v>-2.4245362661989844E-14</v>
      </c>
      <c r="EY5" t="s">
        <v>1753</v>
      </c>
      <c r="EZ5">
        <v>2021</v>
      </c>
      <c r="FA5" t="s">
        <v>2305</v>
      </c>
      <c r="FB5" s="6">
        <v>44693</v>
      </c>
      <c r="FC5">
        <v>5</v>
      </c>
      <c r="FD5">
        <v>-2.4245362661989844E-14</v>
      </c>
      <c r="FE5">
        <v>313098</v>
      </c>
      <c r="FF5" t="s">
        <v>2306</v>
      </c>
      <c r="FI5" t="str">
        <f>_xll.BDS("DFODQ US Equity","SUPPLY_CHAIN_CUSTOMERS_ALL_DATA")</f>
        <v>#N/A N/A</v>
      </c>
      <c r="FY5" t="str">
        <f>_xll.BDS("MCO US Equity","SUPPLY_CHAIN_SUPPLIERS_ALL_DATA","cols=12;rows=5")</f>
        <v>ICRA IN Equity</v>
      </c>
      <c r="FZ5" t="s">
        <v>1752</v>
      </c>
      <c r="GA5">
        <v>30.385428999999998</v>
      </c>
      <c r="GB5">
        <v>0.41481600000000002</v>
      </c>
      <c r="GC5" t="s">
        <v>1753</v>
      </c>
      <c r="GD5">
        <v>2025</v>
      </c>
      <c r="GE5" t="s">
        <v>2585</v>
      </c>
      <c r="GF5" s="6">
        <v>45843</v>
      </c>
      <c r="GG5">
        <v>5</v>
      </c>
      <c r="GH5">
        <v>4466522.1399999997</v>
      </c>
      <c r="GI5">
        <v>1711028</v>
      </c>
      <c r="GJ5" t="s">
        <v>2586</v>
      </c>
      <c r="GM5" t="str">
        <f>_xll.BDS("MCO US Equity","SUPPLY_CHAIN_CUSTOMERS_ALL_DATA","cols=12;rows=2")</f>
        <v>ICRA IN Equity</v>
      </c>
      <c r="GN5">
        <v>2.1999999999999999E-5</v>
      </c>
      <c r="GO5" t="s">
        <v>1752</v>
      </c>
      <c r="GP5">
        <v>4.0689999999999997E-3</v>
      </c>
      <c r="GQ5" t="s">
        <v>1753</v>
      </c>
      <c r="GR5">
        <v>2025</v>
      </c>
      <c r="GS5" t="s">
        <v>2585</v>
      </c>
      <c r="GT5" s="6">
        <v>45843</v>
      </c>
      <c r="GU5">
        <v>2</v>
      </c>
      <c r="GV5">
        <v>405.2</v>
      </c>
      <c r="GW5">
        <v>1711028</v>
      </c>
      <c r="GX5" t="s">
        <v>2586</v>
      </c>
      <c r="HC5" t="str">
        <f>_xll.BDS("CDNS US Equity","SUPPLY_CHAIN_SUPPLIERS_ALL_DATA","cols=12;rows=5")</f>
        <v>JBL US Equity</v>
      </c>
      <c r="HD5" t="s">
        <v>1752</v>
      </c>
      <c r="HE5">
        <v>8.6149999999999994E-3</v>
      </c>
      <c r="HF5">
        <v>0.36618000000000001</v>
      </c>
      <c r="HG5" t="s">
        <v>1788</v>
      </c>
      <c r="HH5">
        <v>2025</v>
      </c>
      <c r="HI5" t="s">
        <v>2216</v>
      </c>
      <c r="HJ5" s="6">
        <v>45867</v>
      </c>
      <c r="HK5">
        <v>5</v>
      </c>
      <c r="HL5">
        <v>674382</v>
      </c>
      <c r="HM5">
        <v>117092</v>
      </c>
      <c r="HN5" t="s">
        <v>2217</v>
      </c>
      <c r="HQ5" t="str">
        <f>_xll.BDS("CDNS US Equity","SUPPLY_CHAIN_CUSTOMERS_ALL_DATA","cols=12;rows=5")</f>
        <v>IBM US Equity</v>
      </c>
      <c r="HR5">
        <v>0.89326300000000003</v>
      </c>
      <c r="HS5" t="s">
        <v>1752</v>
      </c>
      <c r="HT5">
        <v>0.17047000000000001</v>
      </c>
      <c r="HU5" t="s">
        <v>1781</v>
      </c>
      <c r="HV5">
        <v>2025</v>
      </c>
      <c r="HW5" t="s">
        <v>1869</v>
      </c>
      <c r="HX5" s="6">
        <v>45797</v>
      </c>
      <c r="HY5">
        <v>5</v>
      </c>
      <c r="HZ5">
        <v>11097597</v>
      </c>
      <c r="IA5">
        <v>100801</v>
      </c>
      <c r="IB5" t="s">
        <v>1870</v>
      </c>
      <c r="IG5" t="str">
        <f>_xll.BDS("1742858D US Equity","SUPPLY_CHAIN_SUPPLIERS_ALL_DATA")</f>
        <v>#N/A N/A</v>
      </c>
      <c r="IU5" t="str">
        <f>_xll.BDS("1742858D US Equity","SUPPLY_CHAIN_CUSTOMERS_ALL_DATA")</f>
        <v>#N/A N/A</v>
      </c>
      <c r="JK5" t="str">
        <f>_xll.BDS("STEL US Equity","SUPPLY_CHAIN_SUPPLIERS_ALL_DATA")</f>
        <v>#N/A N/A</v>
      </c>
      <c r="JY5" t="str">
        <f>_xll.BDS("STEL US Equity","SUPPLY_CHAIN_CUSTOMERS_ALL_DATA")</f>
        <v>#N/A N/A</v>
      </c>
      <c r="KO5" t="str">
        <f>_xll.BDS("TFC US Equity","SUPPLY_CHAIN_SUPPLIERS_ALL_DATA","cols=12;rows=5")</f>
        <v>ADBE US Equity</v>
      </c>
      <c r="KP5" t="s">
        <v>1940</v>
      </c>
      <c r="KQ5">
        <v>9.3438999999999994E-2</v>
      </c>
      <c r="KR5">
        <v>0.18883900000000001</v>
      </c>
      <c r="KS5" t="s">
        <v>1774</v>
      </c>
      <c r="KT5">
        <v>2025</v>
      </c>
      <c r="KU5" t="s">
        <v>2126</v>
      </c>
      <c r="KV5" s="6">
        <v>45838</v>
      </c>
      <c r="KW5">
        <v>5</v>
      </c>
      <c r="KX5">
        <v>5487672</v>
      </c>
      <c r="KY5">
        <v>101689</v>
      </c>
      <c r="KZ5" t="s">
        <v>2127</v>
      </c>
      <c r="LC5" t="str">
        <f>_xll.BDS("TFC US Equity","SUPPLY_CHAIN_CUSTOMERS_ALL_DATA","cols=12;rows=1")</f>
        <v>RENG IN Equity</v>
      </c>
      <c r="LD5">
        <v>-2.4245362661989844E-14</v>
      </c>
      <c r="LF5">
        <v>-2.4245362661989844E-14</v>
      </c>
      <c r="LG5" t="s">
        <v>1753</v>
      </c>
      <c r="LH5">
        <v>2025</v>
      </c>
      <c r="LI5" t="s">
        <v>1756</v>
      </c>
      <c r="LJ5" s="6">
        <v>45901</v>
      </c>
      <c r="LK5">
        <v>1</v>
      </c>
      <c r="LL5">
        <v>-2.4245362661989844E-14</v>
      </c>
      <c r="LM5">
        <v>182734</v>
      </c>
      <c r="LN5" t="s">
        <v>1757</v>
      </c>
      <c r="LS5" t="str">
        <f>_xll.BDS("NEM US Equity","SUPPLY_CHAIN_SUPPLIERS_ALL_DATA","cols=12;rows=5")</f>
        <v>LUG CN Equity</v>
      </c>
      <c r="LT5" t="s">
        <v>1752</v>
      </c>
      <c r="LU5">
        <v>33.538722999999997</v>
      </c>
      <c r="LV5">
        <v>7.6862120000000003</v>
      </c>
      <c r="LW5" t="s">
        <v>1788</v>
      </c>
      <c r="LX5">
        <v>2025</v>
      </c>
      <c r="LY5" t="s">
        <v>5932</v>
      </c>
      <c r="LZ5" s="6">
        <v>45967</v>
      </c>
      <c r="MA5">
        <v>5</v>
      </c>
      <c r="MB5">
        <v>149958000</v>
      </c>
      <c r="MC5">
        <v>171851</v>
      </c>
      <c r="MD5" t="s">
        <v>5933</v>
      </c>
      <c r="MG5" t="str">
        <f>_xll.BDS("NEM US Equity","SUPPLY_CHAIN_CUSTOMERS_ALL_DATA","cols=12;rows=5")</f>
        <v>STAN LN Equity</v>
      </c>
      <c r="MH5">
        <v>27</v>
      </c>
      <c r="MI5" t="s">
        <v>1752</v>
      </c>
      <c r="MJ5">
        <v>46.704490999999997</v>
      </c>
      <c r="MK5" t="s">
        <v>1753</v>
      </c>
      <c r="ML5">
        <v>2025</v>
      </c>
      <c r="MM5" t="s">
        <v>3146</v>
      </c>
      <c r="MN5" s="6">
        <v>46072</v>
      </c>
      <c r="MO5">
        <v>5</v>
      </c>
      <c r="MP5">
        <v>1502250000</v>
      </c>
      <c r="MQ5">
        <v>112319</v>
      </c>
      <c r="MR5" t="s">
        <v>5740</v>
      </c>
      <c r="MW5" t="str">
        <f>_xll.BDS("9749933D US Equity","SUPPLY_CHAIN_SUPPLIERS_ALL_DATA")</f>
        <v>#N/A N/A</v>
      </c>
      <c r="NK5" t="str">
        <f>_xll.BDS("9749933D US Equity","SUPPLY_CHAIN_CUSTOMERS_ALL_DATA")</f>
        <v>#N/A N/A</v>
      </c>
      <c r="OA5" t="str">
        <f>_xll.BDS("9994967D US Equity","SUPPLY_CHAIN_SUPPLIERS_ALL_DATA","cols=12;rows=5")</f>
        <v>0230214D LN Equity</v>
      </c>
      <c r="OC5">
        <v>-2.4245362661989844E-14</v>
      </c>
      <c r="OD5">
        <v>-2.4245362661989844E-14</v>
      </c>
      <c r="OE5" t="s">
        <v>1753</v>
      </c>
      <c r="OF5">
        <v>2023</v>
      </c>
      <c r="OG5" t="s">
        <v>2811</v>
      </c>
      <c r="OH5" s="6">
        <v>45028</v>
      </c>
      <c r="OI5">
        <v>5</v>
      </c>
      <c r="OJ5">
        <v>-2.4245362661989844E-14</v>
      </c>
      <c r="OK5">
        <v>27703404</v>
      </c>
      <c r="OL5" t="s">
        <v>3195</v>
      </c>
      <c r="OO5" t="str">
        <f>_xll.BDS("9994967D US Equity","SUPPLY_CHAIN_CUSTOMERS_ALL_DATA","cols=12;rows=4")</f>
        <v>0130612D US Equity</v>
      </c>
      <c r="OP5">
        <v>-2.4245362661989844E-14</v>
      </c>
      <c r="OR5">
        <v>-2.4245362661989844E-14</v>
      </c>
      <c r="OS5" t="s">
        <v>1753</v>
      </c>
      <c r="OT5">
        <v>2022</v>
      </c>
      <c r="OU5" t="s">
        <v>2811</v>
      </c>
      <c r="OV5" s="6">
        <v>44665</v>
      </c>
      <c r="OW5">
        <v>4</v>
      </c>
      <c r="OX5">
        <v>-2.4245362661989844E-14</v>
      </c>
      <c r="OY5">
        <v>19528005</v>
      </c>
      <c r="OZ5" t="s">
        <v>2812</v>
      </c>
      <c r="PE5" t="str">
        <f>_xll.BDS("ESGR US Equity","SUPPLY_CHAIN_SUPPLIERS_ALL_DATA","cols=12;rows=2")</f>
        <v>ALIC IN Equity</v>
      </c>
      <c r="PF5" t="s">
        <v>1752</v>
      </c>
      <c r="PG5">
        <v>1.5250000000000001E-3</v>
      </c>
      <c r="PH5">
        <v>5.9800000000000001E-4</v>
      </c>
      <c r="PI5" t="s">
        <v>1781</v>
      </c>
      <c r="PJ5">
        <v>2026</v>
      </c>
      <c r="PK5" t="s">
        <v>2863</v>
      </c>
      <c r="PL5" s="6">
        <v>45877</v>
      </c>
      <c r="PM5">
        <v>2</v>
      </c>
      <c r="PN5">
        <v>756.45</v>
      </c>
      <c r="PO5">
        <v>178184</v>
      </c>
      <c r="PP5" t="s">
        <v>2864</v>
      </c>
      <c r="PS5" t="str">
        <f>_xll.BDS("ESGR US Equity","SUPPLY_CHAIN_CUSTOMERS_ALL_DATA","cols=12;rows=4")</f>
        <v>000320 KS Equity</v>
      </c>
      <c r="PT5">
        <v>-2.4245362661989844E-14</v>
      </c>
      <c r="PV5">
        <v>-2.4245362661989844E-14</v>
      </c>
      <c r="PW5" t="s">
        <v>1854</v>
      </c>
      <c r="PX5">
        <v>2025</v>
      </c>
      <c r="PY5" t="s">
        <v>5679</v>
      </c>
      <c r="PZ5" s="6">
        <v>45792</v>
      </c>
      <c r="QA5">
        <v>4</v>
      </c>
      <c r="QB5">
        <v>-2.4245362661989844E-14</v>
      </c>
      <c r="QC5">
        <v>129006</v>
      </c>
      <c r="QD5" t="s">
        <v>5680</v>
      </c>
      <c r="QI5" t="str">
        <f>_xll.BDS("1260972D US Equity","SUPPLY_CHAIN_SUPPLIERS_ALL_DATA")</f>
        <v>#N/A N/A</v>
      </c>
      <c r="QW5" t="str">
        <f>_xll.BDS("1260972D US Equity","SUPPLY_CHAIN_CUSTOMERS_ALL_DATA")</f>
        <v>#N/A N/A</v>
      </c>
      <c r="RM5" t="str">
        <f>_xll.BDS("2326248D US Equity","SUPPLY_CHAIN_SUPPLIERS_ALL_DATA")</f>
        <v>#N/A N/A</v>
      </c>
      <c r="SA5" t="str">
        <f>_xll.BDS("2326248D US Equity","SUPPLY_CHAIN_CUSTOMERS_ALL_DATA")</f>
        <v>#N/A N/A</v>
      </c>
      <c r="SQ5" t="str">
        <f>_xll.BDS("HPE US Equity","SUPPLY_CHAIN_SUPPLIERS_ALL_DATA","cols=12;rows=5")</f>
        <v>2356 TT Equity</v>
      </c>
      <c r="SR5" t="s">
        <v>1752</v>
      </c>
      <c r="SS5">
        <v>31.028231000000002</v>
      </c>
      <c r="ST5">
        <v>27.952665</v>
      </c>
      <c r="SU5" t="s">
        <v>1788</v>
      </c>
      <c r="SV5">
        <v>2025</v>
      </c>
      <c r="SW5" t="s">
        <v>4293</v>
      </c>
      <c r="SX5" s="6">
        <v>46035</v>
      </c>
      <c r="SY5">
        <v>5</v>
      </c>
      <c r="SZ5">
        <v>1828116121.97</v>
      </c>
      <c r="TA5">
        <v>193712</v>
      </c>
      <c r="TB5" t="s">
        <v>4294</v>
      </c>
      <c r="TE5" t="str">
        <f>_xll.BDS("HPE US Equity","SUPPLY_CHAIN_CUSTOMERS_ALL_DATA","cols=12;rows=5")</f>
        <v>ARW US Equity</v>
      </c>
      <c r="TF5">
        <v>6.2410899999999998</v>
      </c>
      <c r="TG5" t="s">
        <v>1752</v>
      </c>
      <c r="TH5">
        <v>7.8808930000000004</v>
      </c>
      <c r="TI5" t="s">
        <v>1774</v>
      </c>
      <c r="TJ5">
        <v>2025</v>
      </c>
      <c r="TK5" t="s">
        <v>2418</v>
      </c>
      <c r="TL5" s="6">
        <v>45846</v>
      </c>
      <c r="TM5">
        <v>5</v>
      </c>
      <c r="TN5">
        <v>476007936</v>
      </c>
      <c r="TO5">
        <v>100115</v>
      </c>
      <c r="TP5" t="s">
        <v>1922</v>
      </c>
      <c r="TU5" t="str">
        <f>_xll.BDS("2269312Q US Equity","SUPPLY_CHAIN_SUPPLIERS_ALL_DATA")</f>
        <v>#N/A N/A</v>
      </c>
      <c r="UI5" t="str">
        <f>_xll.BDS("2269312Q US Equity","SUPPLY_CHAIN_CUSTOMERS_ALL_DATA")</f>
        <v>#N/A N/A</v>
      </c>
      <c r="UY5" t="str">
        <f>_xll.BDS("AXNT US Equity","SUPPLY_CHAIN_SUPPLIERS_ALL_DATA")</f>
        <v>#N/A N/A</v>
      </c>
      <c r="VM5" t="str">
        <f>_xll.BDS("AXNT US Equity","SUPPLY_CHAIN_CUSTOMERS_ALL_DATA")</f>
        <v>#N/A N/A</v>
      </c>
    </row>
    <row r="6" spans="1:600" x14ac:dyDescent="0.25">
      <c r="BI6" t="s">
        <v>3960</v>
      </c>
      <c r="BK6">
        <v>-2.4245362661989844E-14</v>
      </c>
      <c r="BL6">
        <v>-2.4245362661989844E-14</v>
      </c>
      <c r="BM6" t="s">
        <v>1753</v>
      </c>
      <c r="BN6">
        <v>2024</v>
      </c>
      <c r="BO6" t="s">
        <v>3961</v>
      </c>
      <c r="BP6" s="6">
        <v>45533</v>
      </c>
      <c r="BQ6">
        <v>2</v>
      </c>
      <c r="BR6">
        <v>-2.4245362661989844E-14</v>
      </c>
      <c r="BS6">
        <v>7119186</v>
      </c>
      <c r="BT6" t="s">
        <v>3962</v>
      </c>
      <c r="CM6" t="s">
        <v>3976</v>
      </c>
      <c r="CN6" t="s">
        <v>1752</v>
      </c>
      <c r="CO6">
        <v>0.31914300000000001</v>
      </c>
      <c r="CP6">
        <v>0.73328199999999999</v>
      </c>
      <c r="CQ6" t="s">
        <v>1781</v>
      </c>
      <c r="CR6">
        <v>2025</v>
      </c>
      <c r="CS6" t="s">
        <v>3977</v>
      </c>
      <c r="CT6" s="6">
        <v>45958</v>
      </c>
      <c r="CU6">
        <v>5</v>
      </c>
      <c r="CV6">
        <v>2353606.12</v>
      </c>
      <c r="CW6">
        <v>111769</v>
      </c>
      <c r="CX6" t="s">
        <v>3978</v>
      </c>
      <c r="DA6" t="s">
        <v>4400</v>
      </c>
      <c r="DB6">
        <v>-2.4245362661989844E-14</v>
      </c>
      <c r="DD6">
        <v>-2.4245362661989844E-14</v>
      </c>
      <c r="DE6" t="s">
        <v>1753</v>
      </c>
      <c r="DF6">
        <v>2022</v>
      </c>
      <c r="DG6" t="s">
        <v>4401</v>
      </c>
      <c r="DH6" s="6">
        <v>45015</v>
      </c>
      <c r="DI6">
        <v>5</v>
      </c>
      <c r="DJ6">
        <v>-2.4245362661989844E-14</v>
      </c>
      <c r="DK6">
        <v>21694063</v>
      </c>
      <c r="DL6" t="s">
        <v>4402</v>
      </c>
      <c r="EU6" t="s">
        <v>2307</v>
      </c>
      <c r="EW6">
        <v>-2.4245362661989844E-14</v>
      </c>
      <c r="EX6">
        <v>-2.4245362661989844E-14</v>
      </c>
      <c r="EY6" t="s">
        <v>1753</v>
      </c>
      <c r="EZ6">
        <v>2021</v>
      </c>
      <c r="FA6" t="s">
        <v>2308</v>
      </c>
      <c r="FB6" s="6">
        <v>44693</v>
      </c>
      <c r="FC6">
        <v>5</v>
      </c>
      <c r="FD6">
        <v>-2.4245362661989844E-14</v>
      </c>
      <c r="FE6">
        <v>100060</v>
      </c>
      <c r="FF6" t="s">
        <v>2309</v>
      </c>
      <c r="FY6" t="s">
        <v>2587</v>
      </c>
      <c r="GA6">
        <v>-2.4245362661989844E-14</v>
      </c>
      <c r="GB6">
        <v>-2.4245362661989844E-14</v>
      </c>
      <c r="GC6" t="s">
        <v>1753</v>
      </c>
      <c r="GD6">
        <v>2024</v>
      </c>
      <c r="GE6" t="s">
        <v>2588</v>
      </c>
      <c r="GF6" s="6">
        <v>45755</v>
      </c>
      <c r="GG6">
        <v>5</v>
      </c>
      <c r="GH6">
        <v>-2.4245362661989844E-14</v>
      </c>
      <c r="GI6">
        <v>953675</v>
      </c>
      <c r="GJ6" t="s">
        <v>2589</v>
      </c>
      <c r="GM6" t="s">
        <v>4770</v>
      </c>
      <c r="GN6">
        <v>-2.4245362661989844E-14</v>
      </c>
      <c r="GP6">
        <v>-2.4245362661989844E-14</v>
      </c>
      <c r="GQ6" t="s">
        <v>1753</v>
      </c>
      <c r="GR6">
        <v>2021</v>
      </c>
      <c r="GS6" t="s">
        <v>4771</v>
      </c>
      <c r="GT6" s="6">
        <v>44701</v>
      </c>
      <c r="GU6">
        <v>2</v>
      </c>
      <c r="GV6">
        <v>-2.4245362661989844E-14</v>
      </c>
      <c r="GW6">
        <v>812306</v>
      </c>
      <c r="GX6" t="s">
        <v>4772</v>
      </c>
      <c r="HC6" t="s">
        <v>3993</v>
      </c>
      <c r="HD6" t="s">
        <v>1752</v>
      </c>
      <c r="HE6">
        <v>0.47023999999999999</v>
      </c>
      <c r="HF6">
        <v>1.5184E-2</v>
      </c>
      <c r="HG6" t="s">
        <v>1774</v>
      </c>
      <c r="HH6">
        <v>2026</v>
      </c>
      <c r="HI6" t="s">
        <v>3994</v>
      </c>
      <c r="HJ6" s="6">
        <v>45979</v>
      </c>
      <c r="HK6">
        <v>5</v>
      </c>
      <c r="HL6">
        <v>27664</v>
      </c>
      <c r="HM6">
        <v>8819707</v>
      </c>
      <c r="HN6" t="s">
        <v>3995</v>
      </c>
      <c r="HQ6" t="s">
        <v>1926</v>
      </c>
      <c r="HR6">
        <v>0.111944</v>
      </c>
      <c r="HS6" t="s">
        <v>1940</v>
      </c>
      <c r="HT6">
        <v>4.2687000000000003E-2</v>
      </c>
      <c r="HU6" t="s">
        <v>1788</v>
      </c>
      <c r="HV6">
        <v>2024</v>
      </c>
      <c r="HW6" t="s">
        <v>1927</v>
      </c>
      <c r="HX6" s="6">
        <v>45727</v>
      </c>
      <c r="HY6">
        <v>5</v>
      </c>
      <c r="HZ6">
        <v>1361123.17</v>
      </c>
      <c r="IA6">
        <v>7583418</v>
      </c>
      <c r="IB6" t="s">
        <v>1928</v>
      </c>
      <c r="KO6" t="s">
        <v>2128</v>
      </c>
      <c r="KP6" t="s">
        <v>1940</v>
      </c>
      <c r="KQ6">
        <v>1.151538</v>
      </c>
      <c r="KR6">
        <v>7.7191999999999997E-2</v>
      </c>
      <c r="KS6" t="s">
        <v>1753</v>
      </c>
      <c r="KT6">
        <v>2024</v>
      </c>
      <c r="KU6" t="s">
        <v>2129</v>
      </c>
      <c r="KV6" s="6">
        <v>45716</v>
      </c>
      <c r="KW6">
        <v>5</v>
      </c>
      <c r="KX6">
        <v>2317499</v>
      </c>
      <c r="KY6">
        <v>35300053</v>
      </c>
      <c r="KZ6" t="s">
        <v>2130</v>
      </c>
      <c r="LS6" t="s">
        <v>5934</v>
      </c>
      <c r="LT6" t="s">
        <v>1752</v>
      </c>
      <c r="LU6">
        <v>10</v>
      </c>
      <c r="LV6">
        <v>1.783593</v>
      </c>
      <c r="LW6" t="s">
        <v>1753</v>
      </c>
      <c r="LX6">
        <v>2025</v>
      </c>
      <c r="LY6" t="s">
        <v>5935</v>
      </c>
      <c r="LZ6" s="6">
        <v>45888</v>
      </c>
      <c r="MA6">
        <v>5</v>
      </c>
      <c r="MB6">
        <v>39312681.009999998</v>
      </c>
      <c r="MC6">
        <v>132755</v>
      </c>
      <c r="MD6" t="s">
        <v>5936</v>
      </c>
      <c r="MG6" t="s">
        <v>347</v>
      </c>
      <c r="MH6">
        <v>11</v>
      </c>
      <c r="MI6" t="s">
        <v>1752</v>
      </c>
      <c r="MJ6">
        <v>2.6129229999999999</v>
      </c>
      <c r="MK6" t="s">
        <v>1753</v>
      </c>
      <c r="ML6">
        <v>2025</v>
      </c>
      <c r="MM6" t="s">
        <v>3146</v>
      </c>
      <c r="MN6" s="6">
        <v>46072</v>
      </c>
      <c r="MO6">
        <v>5</v>
      </c>
      <c r="MP6">
        <v>624750000</v>
      </c>
      <c r="MQ6">
        <v>100312</v>
      </c>
      <c r="MR6" t="s">
        <v>5741</v>
      </c>
      <c r="OA6" t="s">
        <v>3196</v>
      </c>
      <c r="OC6">
        <v>-2.4245362661989844E-14</v>
      </c>
      <c r="OD6">
        <v>-2.4245362661989844E-14</v>
      </c>
      <c r="OE6" t="s">
        <v>1753</v>
      </c>
      <c r="OF6">
        <v>2022</v>
      </c>
      <c r="OG6" t="s">
        <v>2813</v>
      </c>
      <c r="OH6" s="6">
        <v>44986</v>
      </c>
      <c r="OI6">
        <v>5</v>
      </c>
      <c r="OJ6">
        <v>-2.4245362661989844E-14</v>
      </c>
      <c r="OK6">
        <v>233682</v>
      </c>
      <c r="OL6" t="s">
        <v>3197</v>
      </c>
      <c r="OO6" t="s">
        <v>2372</v>
      </c>
      <c r="OP6">
        <v>-2.4245362661989844E-14</v>
      </c>
      <c r="OR6">
        <v>-2.4245362661989844E-14</v>
      </c>
      <c r="OS6" t="s">
        <v>1753</v>
      </c>
      <c r="OT6">
        <v>2022</v>
      </c>
      <c r="OU6" t="s">
        <v>2813</v>
      </c>
      <c r="OV6" s="6">
        <v>44986</v>
      </c>
      <c r="OW6">
        <v>4</v>
      </c>
      <c r="OX6">
        <v>-2.4245362661989844E-14</v>
      </c>
      <c r="OY6">
        <v>14038385</v>
      </c>
      <c r="OZ6" t="s">
        <v>2373</v>
      </c>
      <c r="PE6" t="s">
        <v>2865</v>
      </c>
      <c r="PG6">
        <v>-2.4245362661989844E-14</v>
      </c>
      <c r="PH6">
        <v>-2.4245362661989844E-14</v>
      </c>
      <c r="PI6" t="s">
        <v>1768</v>
      </c>
      <c r="PJ6">
        <v>2023</v>
      </c>
      <c r="PK6" t="s">
        <v>2866</v>
      </c>
      <c r="PL6" s="6">
        <v>45243</v>
      </c>
      <c r="PM6">
        <v>2</v>
      </c>
      <c r="PN6">
        <v>-2.4245362661989844E-14</v>
      </c>
      <c r="PO6">
        <v>866344</v>
      </c>
      <c r="PP6" t="s">
        <v>2867</v>
      </c>
      <c r="PS6" t="s">
        <v>5681</v>
      </c>
      <c r="PT6">
        <v>-2.4245362661989844E-14</v>
      </c>
      <c r="PV6">
        <v>-2.4245362661989844E-14</v>
      </c>
      <c r="PW6" t="s">
        <v>1753</v>
      </c>
      <c r="PX6">
        <v>2023</v>
      </c>
      <c r="PY6" t="s">
        <v>5682</v>
      </c>
      <c r="PZ6" s="6">
        <v>45180</v>
      </c>
      <c r="QA6">
        <v>4</v>
      </c>
      <c r="QB6">
        <v>-2.4245362661989844E-14</v>
      </c>
      <c r="QC6">
        <v>17075175</v>
      </c>
      <c r="QD6" t="s">
        <v>5683</v>
      </c>
      <c r="SQ6" t="s">
        <v>3920</v>
      </c>
      <c r="SR6" t="s">
        <v>1752</v>
      </c>
      <c r="SS6">
        <v>2.7800349999999998</v>
      </c>
      <c r="ST6">
        <v>8.0667629999999999</v>
      </c>
      <c r="SU6" t="s">
        <v>1788</v>
      </c>
      <c r="SV6">
        <v>2025</v>
      </c>
      <c r="SW6" t="s">
        <v>3921</v>
      </c>
      <c r="SX6" s="6">
        <v>46087</v>
      </c>
      <c r="SY6">
        <v>5</v>
      </c>
      <c r="SZ6">
        <v>527569647.02999997</v>
      </c>
      <c r="TA6">
        <v>7975354</v>
      </c>
      <c r="TB6" t="s">
        <v>3922</v>
      </c>
      <c r="TE6" t="s">
        <v>1954</v>
      </c>
      <c r="TF6">
        <v>4.2125120000000003</v>
      </c>
      <c r="TG6" t="s">
        <v>1752</v>
      </c>
      <c r="TH6">
        <v>7.8808939999999996</v>
      </c>
      <c r="TI6" t="s">
        <v>1774</v>
      </c>
      <c r="TJ6">
        <v>2025</v>
      </c>
      <c r="TK6" t="s">
        <v>2418</v>
      </c>
      <c r="TL6" s="6">
        <v>45846</v>
      </c>
      <c r="TM6">
        <v>5</v>
      </c>
      <c r="TN6">
        <v>321288288</v>
      </c>
      <c r="TO6">
        <v>12129192</v>
      </c>
      <c r="TP6" t="s">
        <v>1956</v>
      </c>
    </row>
    <row r="7" spans="1:600" x14ac:dyDescent="0.25">
      <c r="CM7" t="s">
        <v>4579</v>
      </c>
      <c r="CN7" t="s">
        <v>1940</v>
      </c>
      <c r="CO7">
        <v>0.24615000000000001</v>
      </c>
      <c r="CP7">
        <v>0.37029400000000001</v>
      </c>
      <c r="CQ7" t="s">
        <v>1753</v>
      </c>
      <c r="CR7">
        <v>2024</v>
      </c>
      <c r="CS7" t="s">
        <v>4580</v>
      </c>
      <c r="CT7" s="6">
        <v>45713</v>
      </c>
      <c r="CU7">
        <v>5</v>
      </c>
      <c r="CV7">
        <v>920250</v>
      </c>
      <c r="CW7">
        <v>386356</v>
      </c>
      <c r="CX7" t="s">
        <v>4581</v>
      </c>
      <c r="DA7" t="s">
        <v>3396</v>
      </c>
      <c r="DB7">
        <v>-2.4245362661989844E-14</v>
      </c>
      <c r="DD7">
        <v>-2.4245362661989844E-14</v>
      </c>
      <c r="DE7" t="s">
        <v>1753</v>
      </c>
      <c r="DF7">
        <v>2024</v>
      </c>
      <c r="DG7" t="s">
        <v>4403</v>
      </c>
      <c r="DH7" s="6">
        <v>45783</v>
      </c>
      <c r="DI7">
        <v>5</v>
      </c>
      <c r="DJ7">
        <v>-2.4245362661989844E-14</v>
      </c>
      <c r="DK7">
        <v>9152714</v>
      </c>
      <c r="DL7" t="s">
        <v>3398</v>
      </c>
      <c r="EU7" t="s">
        <v>1180</v>
      </c>
      <c r="EW7">
        <v>-2.4245362661989844E-14</v>
      </c>
      <c r="EX7">
        <v>-2.4245362661989844E-14</v>
      </c>
      <c r="EY7" t="s">
        <v>1753</v>
      </c>
      <c r="EZ7">
        <v>2021</v>
      </c>
      <c r="FA7" t="s">
        <v>2395</v>
      </c>
      <c r="FB7" s="6">
        <v>44693</v>
      </c>
      <c r="FC7">
        <v>5</v>
      </c>
      <c r="FD7">
        <v>-2.4245362661989844E-14</v>
      </c>
      <c r="FE7">
        <v>100193</v>
      </c>
      <c r="FF7" t="s">
        <v>1951</v>
      </c>
      <c r="FY7" t="s">
        <v>2590</v>
      </c>
      <c r="GA7">
        <v>-2.4245362661989844E-14</v>
      </c>
      <c r="GB7">
        <v>-2.4245362661989844E-14</v>
      </c>
      <c r="GC7" t="s">
        <v>1842</v>
      </c>
      <c r="GD7">
        <v>2024</v>
      </c>
      <c r="GE7" t="s">
        <v>2591</v>
      </c>
      <c r="GF7" s="6">
        <v>45513</v>
      </c>
      <c r="GG7">
        <v>5</v>
      </c>
      <c r="GH7">
        <v>-2.4245362661989844E-14</v>
      </c>
      <c r="GI7">
        <v>24238752</v>
      </c>
      <c r="GJ7" t="s">
        <v>2592</v>
      </c>
      <c r="HC7" t="s">
        <v>2928</v>
      </c>
      <c r="HD7" t="s">
        <v>1752</v>
      </c>
      <c r="HE7">
        <v>1.81E-3</v>
      </c>
      <c r="HF7">
        <v>3.0500000000000002E-3</v>
      </c>
      <c r="HG7" t="s">
        <v>1825</v>
      </c>
      <c r="HH7">
        <v>2025</v>
      </c>
      <c r="HI7" t="s">
        <v>2929</v>
      </c>
      <c r="HJ7" s="6">
        <v>46018</v>
      </c>
      <c r="HK7">
        <v>5</v>
      </c>
      <c r="HL7">
        <v>5557</v>
      </c>
      <c r="HM7">
        <v>916504</v>
      </c>
      <c r="HN7" t="s">
        <v>2930</v>
      </c>
      <c r="HQ7" t="s">
        <v>1941</v>
      </c>
      <c r="HR7">
        <v>-2.4245362661989844E-14</v>
      </c>
      <c r="HT7">
        <v>-2.4245362661989844E-14</v>
      </c>
      <c r="HU7" t="s">
        <v>1753</v>
      </c>
      <c r="HV7">
        <v>2023</v>
      </c>
      <c r="HW7" t="s">
        <v>1942</v>
      </c>
      <c r="HX7" s="6">
        <v>45219</v>
      </c>
      <c r="HY7">
        <v>5</v>
      </c>
      <c r="HZ7">
        <v>-2.4245362661989844E-14</v>
      </c>
      <c r="IA7">
        <v>153737</v>
      </c>
      <c r="IB7" t="s">
        <v>1943</v>
      </c>
      <c r="KO7" t="s">
        <v>1787</v>
      </c>
      <c r="KP7" t="s">
        <v>1940</v>
      </c>
      <c r="KQ7">
        <v>0.492811</v>
      </c>
      <c r="KR7">
        <v>2.9784000000000001E-2</v>
      </c>
      <c r="KS7" t="s">
        <v>1781</v>
      </c>
      <c r="KT7">
        <v>2026</v>
      </c>
      <c r="KU7" t="s">
        <v>2131</v>
      </c>
      <c r="KV7" s="6">
        <v>45898</v>
      </c>
      <c r="KW7">
        <v>5</v>
      </c>
      <c r="KX7">
        <v>889383.69</v>
      </c>
      <c r="KY7">
        <v>178651</v>
      </c>
      <c r="KZ7" t="s">
        <v>1790</v>
      </c>
      <c r="LS7" t="s">
        <v>1969</v>
      </c>
      <c r="LT7" t="s">
        <v>1828</v>
      </c>
      <c r="LU7">
        <v>0.16830700000000001</v>
      </c>
      <c r="LV7">
        <v>3.8358669999999999</v>
      </c>
      <c r="LW7" t="s">
        <v>1788</v>
      </c>
      <c r="LX7">
        <v>2025</v>
      </c>
      <c r="LY7" t="s">
        <v>5937</v>
      </c>
      <c r="LZ7" s="6">
        <v>45958</v>
      </c>
      <c r="MA7">
        <v>5</v>
      </c>
      <c r="MB7">
        <v>27886752</v>
      </c>
      <c r="MC7">
        <v>100285</v>
      </c>
      <c r="MD7" t="s">
        <v>1971</v>
      </c>
      <c r="MG7" t="s">
        <v>5742</v>
      </c>
      <c r="MH7">
        <v>10</v>
      </c>
      <c r="MI7" t="s">
        <v>1752</v>
      </c>
      <c r="MJ7">
        <v>7.5377780000000003</v>
      </c>
      <c r="MK7" t="s">
        <v>1753</v>
      </c>
      <c r="ML7">
        <v>2024</v>
      </c>
      <c r="MM7" t="s">
        <v>5743</v>
      </c>
      <c r="MN7" s="6">
        <v>45709</v>
      </c>
      <c r="MO7">
        <v>5</v>
      </c>
      <c r="MP7">
        <v>474250000</v>
      </c>
      <c r="MQ7">
        <v>110411</v>
      </c>
      <c r="MR7" t="s">
        <v>5744</v>
      </c>
      <c r="OA7" t="s">
        <v>3198</v>
      </c>
      <c r="OC7">
        <v>-2.4245362661989844E-14</v>
      </c>
      <c r="OD7">
        <v>-2.4245362661989844E-14</v>
      </c>
      <c r="OE7" t="s">
        <v>1753</v>
      </c>
      <c r="OF7">
        <v>2022</v>
      </c>
      <c r="OG7" t="s">
        <v>2811</v>
      </c>
      <c r="OH7" s="6">
        <v>44658</v>
      </c>
      <c r="OI7">
        <v>5</v>
      </c>
      <c r="OJ7">
        <v>-2.4245362661989844E-14</v>
      </c>
      <c r="OK7">
        <v>13534348</v>
      </c>
      <c r="OL7" t="s">
        <v>3199</v>
      </c>
      <c r="OO7" t="s">
        <v>2814</v>
      </c>
      <c r="OP7">
        <v>-2.4245362661989844E-14</v>
      </c>
      <c r="OR7">
        <v>-2.4245362661989844E-14</v>
      </c>
      <c r="OS7" t="s">
        <v>1753</v>
      </c>
      <c r="OT7">
        <v>2022</v>
      </c>
      <c r="OU7" t="s">
        <v>2815</v>
      </c>
      <c r="OV7" s="6">
        <v>44916</v>
      </c>
      <c r="OW7">
        <v>4</v>
      </c>
      <c r="OX7">
        <v>-2.4245362661989844E-14</v>
      </c>
      <c r="OY7">
        <v>28707504</v>
      </c>
      <c r="OZ7" t="s">
        <v>2816</v>
      </c>
      <c r="PS7" t="s">
        <v>5684</v>
      </c>
      <c r="PT7">
        <v>-2.4245362661989844E-14</v>
      </c>
      <c r="PV7">
        <v>-2.4245362661989844E-14</v>
      </c>
      <c r="PW7" t="s">
        <v>1753</v>
      </c>
      <c r="PX7">
        <v>2022</v>
      </c>
      <c r="PY7" t="s">
        <v>5685</v>
      </c>
      <c r="PZ7" s="6">
        <v>45044</v>
      </c>
      <c r="QA7">
        <v>4</v>
      </c>
      <c r="QB7">
        <v>-2.4245362661989844E-14</v>
      </c>
      <c r="QC7">
        <v>8059898</v>
      </c>
      <c r="QD7" t="s">
        <v>5686</v>
      </c>
      <c r="SQ7" t="s">
        <v>1554</v>
      </c>
      <c r="SR7" t="s">
        <v>1752</v>
      </c>
      <c r="SS7">
        <v>0.484518</v>
      </c>
      <c r="ST7">
        <v>5.1271760000000004</v>
      </c>
      <c r="SU7" t="s">
        <v>1825</v>
      </c>
      <c r="SV7">
        <v>2026</v>
      </c>
      <c r="SW7" t="s">
        <v>2352</v>
      </c>
      <c r="SX7" s="6">
        <v>46087</v>
      </c>
      <c r="SY7">
        <v>5</v>
      </c>
      <c r="SZ7">
        <v>330087584</v>
      </c>
      <c r="TA7">
        <v>313657</v>
      </c>
      <c r="TB7" t="s">
        <v>2353</v>
      </c>
      <c r="TE7" t="s">
        <v>1824</v>
      </c>
      <c r="TF7">
        <v>3.7042269999999999</v>
      </c>
      <c r="TG7" t="s">
        <v>1752</v>
      </c>
      <c r="TH7">
        <v>2.2152959999999999</v>
      </c>
      <c r="TI7" t="s">
        <v>1825</v>
      </c>
      <c r="TJ7">
        <v>2025</v>
      </c>
      <c r="TK7" t="s">
        <v>1826</v>
      </c>
      <c r="TL7" s="6">
        <v>46056</v>
      </c>
      <c r="TM7">
        <v>5</v>
      </c>
      <c r="TN7">
        <v>358532160</v>
      </c>
      <c r="TO7">
        <v>1499717</v>
      </c>
      <c r="TP7" t="s">
        <v>1827</v>
      </c>
    </row>
    <row r="8" spans="1:600" x14ac:dyDescent="0.25">
      <c r="CM8" t="s">
        <v>3186</v>
      </c>
      <c r="CN8" t="s">
        <v>1828</v>
      </c>
      <c r="CO8">
        <v>7.76E-4</v>
      </c>
      <c r="CP8">
        <v>0.29293799999999998</v>
      </c>
      <c r="CQ8" t="s">
        <v>1774</v>
      </c>
      <c r="CR8">
        <v>2025</v>
      </c>
      <c r="CS8" t="s">
        <v>3187</v>
      </c>
      <c r="CT8" s="6">
        <v>46024</v>
      </c>
      <c r="CU8">
        <v>5</v>
      </c>
      <c r="CV8">
        <v>54191.5</v>
      </c>
      <c r="CW8">
        <v>115110</v>
      </c>
      <c r="CX8" t="s">
        <v>3188</v>
      </c>
      <c r="DA8" t="s">
        <v>4404</v>
      </c>
      <c r="DB8">
        <v>-2.4245362661989844E-14</v>
      </c>
      <c r="DD8">
        <v>-2.4245362661989844E-14</v>
      </c>
      <c r="DE8" t="s">
        <v>1753</v>
      </c>
      <c r="DF8">
        <v>2024</v>
      </c>
      <c r="DG8" t="s">
        <v>4405</v>
      </c>
      <c r="DH8" s="6">
        <v>45742</v>
      </c>
      <c r="DI8">
        <v>5</v>
      </c>
      <c r="DJ8">
        <v>-2.4245362661989844E-14</v>
      </c>
      <c r="DK8">
        <v>14195302</v>
      </c>
      <c r="DL8" t="s">
        <v>4406</v>
      </c>
      <c r="EU8" t="s">
        <v>1705</v>
      </c>
      <c r="EW8">
        <v>-2.4245362661989844E-14</v>
      </c>
      <c r="EX8">
        <v>-2.4245362661989844E-14</v>
      </c>
      <c r="EY8" t="s">
        <v>1753</v>
      </c>
      <c r="EZ8">
        <v>2021</v>
      </c>
      <c r="FA8" t="s">
        <v>2396</v>
      </c>
      <c r="FB8" s="6">
        <v>44693</v>
      </c>
      <c r="FC8">
        <v>5</v>
      </c>
      <c r="FD8">
        <v>-2.4245362661989844E-14</v>
      </c>
      <c r="FE8">
        <v>100348</v>
      </c>
      <c r="FF8" t="s">
        <v>2397</v>
      </c>
      <c r="FY8" t="s">
        <v>2593</v>
      </c>
      <c r="GA8">
        <v>-2.4245362661989844E-14</v>
      </c>
      <c r="GB8">
        <v>-2.4245362661989844E-14</v>
      </c>
      <c r="GC8" t="s">
        <v>1753</v>
      </c>
      <c r="GD8">
        <v>2025</v>
      </c>
      <c r="GE8" t="s">
        <v>2594</v>
      </c>
      <c r="GF8" s="6">
        <v>45835</v>
      </c>
      <c r="GG8">
        <v>5</v>
      </c>
      <c r="GH8">
        <v>-2.4245362661989844E-14</v>
      </c>
      <c r="GI8">
        <v>69427339</v>
      </c>
      <c r="GJ8" t="s">
        <v>2595</v>
      </c>
      <c r="HC8" t="s">
        <v>3996</v>
      </c>
      <c r="HE8">
        <v>-2.4245362661989844E-14</v>
      </c>
      <c r="HF8">
        <v>-2.4245362661989844E-14</v>
      </c>
      <c r="HG8" t="s">
        <v>1768</v>
      </c>
      <c r="HH8">
        <v>2025</v>
      </c>
      <c r="HI8" t="s">
        <v>3997</v>
      </c>
      <c r="HJ8" s="6">
        <v>45975</v>
      </c>
      <c r="HK8">
        <v>5</v>
      </c>
      <c r="HL8">
        <v>-2.4245362661989844E-14</v>
      </c>
      <c r="HM8">
        <v>69599645</v>
      </c>
      <c r="HN8" t="s">
        <v>3998</v>
      </c>
      <c r="HQ8" t="s">
        <v>1944</v>
      </c>
      <c r="HR8">
        <v>-2.4245362661989844E-14</v>
      </c>
      <c r="HT8">
        <v>-2.4245362661989844E-14</v>
      </c>
      <c r="HU8" t="s">
        <v>1753</v>
      </c>
      <c r="HV8">
        <v>2024</v>
      </c>
      <c r="HW8" t="s">
        <v>1945</v>
      </c>
      <c r="HX8" s="6">
        <v>45755</v>
      </c>
      <c r="HY8">
        <v>5</v>
      </c>
      <c r="HZ8">
        <v>-2.4245362661989844E-14</v>
      </c>
      <c r="IA8">
        <v>7940946</v>
      </c>
      <c r="IB8" t="s">
        <v>1946</v>
      </c>
      <c r="KO8" t="s">
        <v>2132</v>
      </c>
      <c r="KQ8">
        <v>0.44397199999999998</v>
      </c>
      <c r="KR8">
        <v>-2.4245362661989844E-14</v>
      </c>
      <c r="KS8" t="s">
        <v>1825</v>
      </c>
      <c r="KT8">
        <v>2024</v>
      </c>
      <c r="KU8" t="s">
        <v>2133</v>
      </c>
      <c r="KV8" s="6">
        <v>45699</v>
      </c>
      <c r="KW8">
        <v>5</v>
      </c>
      <c r="KX8">
        <v>316250</v>
      </c>
      <c r="KY8">
        <v>10086577</v>
      </c>
      <c r="KZ8" t="s">
        <v>2134</v>
      </c>
      <c r="LS8" t="s">
        <v>5938</v>
      </c>
      <c r="LT8" t="s">
        <v>1752</v>
      </c>
      <c r="LU8">
        <v>11</v>
      </c>
      <c r="LV8">
        <v>0.93660100000000002</v>
      </c>
      <c r="LW8" t="s">
        <v>1753</v>
      </c>
      <c r="LX8">
        <v>2024</v>
      </c>
      <c r="LY8" t="s">
        <v>5939</v>
      </c>
      <c r="LZ8" s="6">
        <v>45967</v>
      </c>
      <c r="MA8">
        <v>5</v>
      </c>
      <c r="MB8">
        <v>19783362</v>
      </c>
      <c r="MC8">
        <v>106508</v>
      </c>
      <c r="MD8" t="s">
        <v>5940</v>
      </c>
      <c r="MG8" t="s">
        <v>5745</v>
      </c>
      <c r="MH8">
        <v>-2.4245362661989844E-14</v>
      </c>
      <c r="MJ8">
        <v>-2.4245362661989844E-14</v>
      </c>
      <c r="MK8" t="s">
        <v>1753</v>
      </c>
      <c r="ML8">
        <v>2024</v>
      </c>
      <c r="MM8" t="s">
        <v>5746</v>
      </c>
      <c r="MN8" s="6">
        <v>45581</v>
      </c>
      <c r="MO8">
        <v>5</v>
      </c>
      <c r="MP8">
        <v>-2.4245362661989844E-14</v>
      </c>
      <c r="MQ8">
        <v>395168</v>
      </c>
      <c r="MR8" t="s">
        <v>5747</v>
      </c>
      <c r="OA8" t="s">
        <v>3200</v>
      </c>
      <c r="OC8">
        <v>-2.4245362661989844E-14</v>
      </c>
      <c r="OD8">
        <v>-2.4245362661989844E-14</v>
      </c>
      <c r="OE8" t="s">
        <v>1753</v>
      </c>
      <c r="OF8">
        <v>2022</v>
      </c>
      <c r="OG8" t="s">
        <v>2813</v>
      </c>
      <c r="OH8" s="6">
        <v>44986</v>
      </c>
      <c r="OI8">
        <v>5</v>
      </c>
      <c r="OJ8">
        <v>-2.4245362661989844E-14</v>
      </c>
      <c r="OK8">
        <v>27109755</v>
      </c>
      <c r="OL8" t="s">
        <v>3201</v>
      </c>
      <c r="OO8" t="s">
        <v>2628</v>
      </c>
      <c r="OP8">
        <v>-2.4245362661989844E-14</v>
      </c>
      <c r="OR8">
        <v>-2.4245362661989844E-14</v>
      </c>
      <c r="OS8" t="s">
        <v>1753</v>
      </c>
      <c r="OT8">
        <v>2023</v>
      </c>
      <c r="OU8" t="s">
        <v>2811</v>
      </c>
      <c r="OV8" s="6">
        <v>45028</v>
      </c>
      <c r="OW8">
        <v>4</v>
      </c>
      <c r="OX8">
        <v>-2.4245362661989844E-14</v>
      </c>
      <c r="OY8">
        <v>46946968</v>
      </c>
      <c r="OZ8" t="s">
        <v>2629</v>
      </c>
      <c r="PS8" t="s">
        <v>5687</v>
      </c>
      <c r="PT8">
        <v>-2.4245362661989844E-14</v>
      </c>
      <c r="PV8">
        <v>-2.4245362661989844E-14</v>
      </c>
      <c r="PW8" t="s">
        <v>1753</v>
      </c>
      <c r="PX8">
        <v>2023</v>
      </c>
      <c r="PY8" t="s">
        <v>5688</v>
      </c>
      <c r="PZ8" s="6">
        <v>45174</v>
      </c>
      <c r="QA8">
        <v>4</v>
      </c>
      <c r="QB8">
        <v>-2.4245362661989844E-14</v>
      </c>
      <c r="QC8">
        <v>100067</v>
      </c>
      <c r="QD8" t="s">
        <v>5689</v>
      </c>
      <c r="SQ8" t="s">
        <v>3923</v>
      </c>
      <c r="SR8" t="s">
        <v>1752</v>
      </c>
      <c r="SS8">
        <v>0.49171399999999998</v>
      </c>
      <c r="ST8">
        <v>4.9231530000000001</v>
      </c>
      <c r="SU8" t="s">
        <v>1774</v>
      </c>
      <c r="SV8">
        <v>2025</v>
      </c>
      <c r="SW8" t="s">
        <v>3924</v>
      </c>
      <c r="SX8" s="6">
        <v>45889</v>
      </c>
      <c r="SY8">
        <v>5</v>
      </c>
      <c r="SZ8">
        <v>286008065.88</v>
      </c>
      <c r="TA8">
        <v>119133</v>
      </c>
      <c r="TB8" t="s">
        <v>3925</v>
      </c>
      <c r="TE8" t="s">
        <v>4681</v>
      </c>
      <c r="TF8">
        <v>2.2282519999999999</v>
      </c>
      <c r="TG8" t="s">
        <v>1752</v>
      </c>
      <c r="TH8">
        <v>0.82639099999999999</v>
      </c>
      <c r="TI8" t="s">
        <v>1774</v>
      </c>
      <c r="TJ8">
        <v>2025</v>
      </c>
      <c r="TK8" t="s">
        <v>2418</v>
      </c>
      <c r="TL8" s="6">
        <v>45846</v>
      </c>
      <c r="TM8">
        <v>5</v>
      </c>
      <c r="TN8">
        <v>169948784</v>
      </c>
      <c r="TO8">
        <v>52332183</v>
      </c>
      <c r="TP8" t="s">
        <v>4682</v>
      </c>
    </row>
    <row r="9" spans="1:600" x14ac:dyDescent="0.25">
      <c r="CM9" t="s">
        <v>4582</v>
      </c>
      <c r="CO9">
        <v>-2.4245362661989844E-14</v>
      </c>
      <c r="CP9">
        <v>-2.4245362661989844E-14</v>
      </c>
      <c r="CQ9" t="s">
        <v>1753</v>
      </c>
      <c r="CR9">
        <v>2022</v>
      </c>
      <c r="CS9" t="s">
        <v>4583</v>
      </c>
      <c r="CT9" s="6">
        <v>45008</v>
      </c>
      <c r="CU9">
        <v>5</v>
      </c>
      <c r="CV9">
        <v>-2.4245362661989844E-14</v>
      </c>
      <c r="CW9">
        <v>1459297</v>
      </c>
      <c r="CX9" t="s">
        <v>4584</v>
      </c>
      <c r="DA9" t="s">
        <v>4407</v>
      </c>
      <c r="DB9">
        <v>-2.4245362661989844E-14</v>
      </c>
      <c r="DD9">
        <v>-2.4245362661989844E-14</v>
      </c>
      <c r="DE9" t="s">
        <v>1753</v>
      </c>
      <c r="DF9">
        <v>2023</v>
      </c>
      <c r="DG9" t="s">
        <v>4408</v>
      </c>
      <c r="DH9" s="6">
        <v>45420</v>
      </c>
      <c r="DI9">
        <v>5</v>
      </c>
      <c r="DJ9">
        <v>-2.4245362661989844E-14</v>
      </c>
      <c r="DK9">
        <v>52333389</v>
      </c>
      <c r="DL9" t="s">
        <v>4409</v>
      </c>
      <c r="EU9" t="s">
        <v>3099</v>
      </c>
      <c r="EW9">
        <v>-2.4245362661989844E-14</v>
      </c>
      <c r="EX9">
        <v>-2.4245362661989844E-14</v>
      </c>
      <c r="EY9" t="s">
        <v>1753</v>
      </c>
      <c r="EZ9">
        <v>2021</v>
      </c>
      <c r="FA9" t="s">
        <v>3100</v>
      </c>
      <c r="FB9" s="6">
        <v>44693</v>
      </c>
      <c r="FC9">
        <v>5</v>
      </c>
      <c r="FD9">
        <v>-2.4245362661989844E-14</v>
      </c>
      <c r="FE9">
        <v>100760</v>
      </c>
      <c r="FF9" t="s">
        <v>3101</v>
      </c>
      <c r="FY9" t="s">
        <v>2596</v>
      </c>
      <c r="GA9">
        <v>-2.4245362661989844E-14</v>
      </c>
      <c r="GB9">
        <v>-2.4245362661989844E-14</v>
      </c>
      <c r="GC9" t="s">
        <v>1753</v>
      </c>
      <c r="GD9">
        <v>2021</v>
      </c>
      <c r="GE9" t="s">
        <v>2597</v>
      </c>
      <c r="GF9" s="6">
        <v>44650</v>
      </c>
      <c r="GG9">
        <v>5</v>
      </c>
      <c r="GH9">
        <v>-2.4245362661989844E-14</v>
      </c>
      <c r="GI9">
        <v>111137</v>
      </c>
      <c r="GJ9" t="s">
        <v>2598</v>
      </c>
      <c r="HC9" t="s">
        <v>3999</v>
      </c>
      <c r="HE9">
        <v>-2.4245362661989844E-14</v>
      </c>
      <c r="HF9">
        <v>-2.4245362661989844E-14</v>
      </c>
      <c r="HG9" t="s">
        <v>1842</v>
      </c>
      <c r="HH9">
        <v>2023</v>
      </c>
      <c r="HI9" t="s">
        <v>4000</v>
      </c>
      <c r="HJ9" s="6">
        <v>45168</v>
      </c>
      <c r="HK9">
        <v>5</v>
      </c>
      <c r="HL9">
        <v>-2.4245362661989844E-14</v>
      </c>
      <c r="HM9">
        <v>130875</v>
      </c>
      <c r="HN9" t="s">
        <v>4001</v>
      </c>
      <c r="HQ9" t="s">
        <v>1947</v>
      </c>
      <c r="HR9">
        <v>-2.4245362661989844E-14</v>
      </c>
      <c r="HT9">
        <v>-2.4245362661989844E-14</v>
      </c>
      <c r="HU9" t="s">
        <v>1753</v>
      </c>
      <c r="HV9">
        <v>2021</v>
      </c>
      <c r="HW9" t="s">
        <v>1948</v>
      </c>
      <c r="HX9" s="6">
        <v>44701</v>
      </c>
      <c r="HY9">
        <v>5</v>
      </c>
      <c r="HZ9">
        <v>-2.4245362661989844E-14</v>
      </c>
      <c r="IA9">
        <v>9281579</v>
      </c>
      <c r="IB9" t="s">
        <v>1949</v>
      </c>
      <c r="KO9" t="s">
        <v>2135</v>
      </c>
      <c r="KQ9">
        <v>-2.4245362661989844E-14</v>
      </c>
      <c r="KR9">
        <v>-2.4245362661989844E-14</v>
      </c>
      <c r="KS9" t="s">
        <v>1768</v>
      </c>
      <c r="KT9">
        <v>2025</v>
      </c>
      <c r="KU9" t="s">
        <v>2136</v>
      </c>
      <c r="KV9" s="6">
        <v>45974</v>
      </c>
      <c r="KW9">
        <v>5</v>
      </c>
      <c r="KX9">
        <v>-2.4245362661989844E-14</v>
      </c>
      <c r="KY9">
        <v>118099</v>
      </c>
      <c r="KZ9" t="s">
        <v>2137</v>
      </c>
      <c r="LS9" t="s">
        <v>5941</v>
      </c>
      <c r="LT9" t="s">
        <v>1828</v>
      </c>
      <c r="LU9">
        <v>0.92833299999999996</v>
      </c>
      <c r="LV9">
        <v>1.998883</v>
      </c>
      <c r="LW9" t="s">
        <v>1788</v>
      </c>
      <c r="LX9">
        <v>2025</v>
      </c>
      <c r="LY9" t="s">
        <v>5937</v>
      </c>
      <c r="LZ9" s="6">
        <v>45958</v>
      </c>
      <c r="MA9">
        <v>5</v>
      </c>
      <c r="MB9">
        <v>14531879</v>
      </c>
      <c r="MC9">
        <v>58890738</v>
      </c>
      <c r="MD9" t="s">
        <v>5942</v>
      </c>
      <c r="MG9" t="s">
        <v>5748</v>
      </c>
      <c r="MH9">
        <v>-2.4245362661989844E-14</v>
      </c>
      <c r="MJ9">
        <v>-2.4245362661989844E-14</v>
      </c>
      <c r="MK9" t="s">
        <v>1753</v>
      </c>
      <c r="ML9">
        <v>2021</v>
      </c>
      <c r="MM9" t="s">
        <v>5749</v>
      </c>
      <c r="MN9" s="6">
        <v>44694</v>
      </c>
      <c r="MO9">
        <v>5</v>
      </c>
      <c r="MP9">
        <v>-2.4245362661989844E-14</v>
      </c>
      <c r="MQ9">
        <v>154157</v>
      </c>
      <c r="MR9" t="s">
        <v>5750</v>
      </c>
      <c r="OA9" t="s">
        <v>3202</v>
      </c>
      <c r="OC9">
        <v>-2.4245362661989844E-14</v>
      </c>
      <c r="OD9">
        <v>-2.4245362661989844E-14</v>
      </c>
      <c r="OE9" t="s">
        <v>1753</v>
      </c>
      <c r="OF9">
        <v>2022</v>
      </c>
      <c r="OG9" t="s">
        <v>2813</v>
      </c>
      <c r="OH9" s="6">
        <v>44986</v>
      </c>
      <c r="OI9">
        <v>5</v>
      </c>
      <c r="OJ9">
        <v>-2.4245362661989844E-14</v>
      </c>
      <c r="OK9">
        <v>21425016</v>
      </c>
      <c r="OL9" t="s">
        <v>3203</v>
      </c>
      <c r="SQ9" t="s">
        <v>2335</v>
      </c>
      <c r="SR9" t="s">
        <v>1752</v>
      </c>
      <c r="SS9">
        <v>1.087032</v>
      </c>
      <c r="ST9">
        <v>3.6755100000000001</v>
      </c>
      <c r="SU9" t="s">
        <v>1788</v>
      </c>
      <c r="SV9">
        <v>2025</v>
      </c>
      <c r="SW9" t="s">
        <v>4732</v>
      </c>
      <c r="SX9" s="6">
        <v>45727</v>
      </c>
      <c r="SY9">
        <v>5</v>
      </c>
      <c r="SZ9">
        <v>204321584</v>
      </c>
      <c r="TA9">
        <v>130929</v>
      </c>
      <c r="TB9" t="s">
        <v>2336</v>
      </c>
      <c r="TE9" t="s">
        <v>226</v>
      </c>
      <c r="TF9">
        <v>1.7294510000000001</v>
      </c>
      <c r="TG9" t="s">
        <v>1752</v>
      </c>
      <c r="TH9">
        <v>0.60178500000000001</v>
      </c>
      <c r="TI9" t="s">
        <v>1774</v>
      </c>
      <c r="TJ9">
        <v>2025</v>
      </c>
      <c r="TK9" t="s">
        <v>2418</v>
      </c>
      <c r="TL9" s="6">
        <v>45846</v>
      </c>
      <c r="TM9">
        <v>5</v>
      </c>
      <c r="TN9">
        <v>131905232</v>
      </c>
      <c r="TO9">
        <v>101743</v>
      </c>
      <c r="TP9" t="s">
        <v>2156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928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929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930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931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932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933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934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935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936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937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938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939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940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941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942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943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944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945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946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947</v>
      </c>
      <c r="AE2" s="3" t="s">
        <v>73</v>
      </c>
      <c r="BI2" s="3" t="s">
        <v>948</v>
      </c>
      <c r="CM2" s="3" t="s">
        <v>949</v>
      </c>
      <c r="DQ2" s="3" t="s">
        <v>90</v>
      </c>
      <c r="EU2" s="3" t="s">
        <v>950</v>
      </c>
      <c r="FY2" s="3" t="s">
        <v>951</v>
      </c>
      <c r="HC2" s="3" t="s">
        <v>952</v>
      </c>
      <c r="IG2" s="3" t="s">
        <v>953</v>
      </c>
      <c r="JK2" s="3" t="s">
        <v>668</v>
      </c>
      <c r="KO2" s="3" t="s">
        <v>954</v>
      </c>
      <c r="LS2" s="3" t="s">
        <v>955</v>
      </c>
      <c r="MW2" s="3" t="s">
        <v>956</v>
      </c>
      <c r="OA2" s="3" t="s">
        <v>957</v>
      </c>
      <c r="PE2" s="3" t="s">
        <v>958</v>
      </c>
      <c r="QI2" s="3" t="s">
        <v>959</v>
      </c>
      <c r="RM2" s="3" t="s">
        <v>960</v>
      </c>
      <c r="SQ2" s="3" t="s">
        <v>961</v>
      </c>
      <c r="TU2" s="3" t="s">
        <v>962</v>
      </c>
      <c r="UY2" s="3" t="s">
        <v>963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_xll.BDS("2213185D US Equity","SUPPLY_CHAIN_SUPPLIERS_ALL_DATA")</f>
        <v>#N/A N/A</v>
      </c>
      <c r="O5" t="str">
        <f>_xll.BDS("2213185D US Equity","SUPPLY_CHAIN_CUSTOMERS_ALL_DATA")</f>
        <v>#N/A N/A</v>
      </c>
      <c r="AE5" t="str">
        <f>_xll.BDS("3499164Q US Equity","SUPPLY_CHAIN_SUPPLIERS_ALL_DATA","cols=12;rows=1")</f>
        <v>DELL US Equity</v>
      </c>
      <c r="AG5">
        <v>-2.4245362661989844E-14</v>
      </c>
      <c r="AH5">
        <v>-2.4245362661989844E-14</v>
      </c>
      <c r="AI5" t="s">
        <v>1788</v>
      </c>
      <c r="AJ5">
        <v>2023</v>
      </c>
      <c r="AK5" t="s">
        <v>3017</v>
      </c>
      <c r="AL5" s="6">
        <v>44886</v>
      </c>
      <c r="AM5">
        <v>1</v>
      </c>
      <c r="AN5">
        <v>-2.4245362661989844E-14</v>
      </c>
      <c r="AO5">
        <v>50985605</v>
      </c>
      <c r="AP5" t="s">
        <v>2424</v>
      </c>
      <c r="AS5" t="str">
        <f>_xll.BDS("3499164Q US Equity","SUPPLY_CHAIN_CUSTOMERS_ALL_DATA","cols=12;rows=4")</f>
        <v>6166 TT Equity</v>
      </c>
      <c r="AT5">
        <v>-2.4245362661989844E-14</v>
      </c>
      <c r="AV5">
        <v>-2.4245362661989844E-14</v>
      </c>
      <c r="AW5" t="s">
        <v>1753</v>
      </c>
      <c r="AX5">
        <v>2021</v>
      </c>
      <c r="AY5" t="s">
        <v>3259</v>
      </c>
      <c r="AZ5" s="6">
        <v>44714</v>
      </c>
      <c r="BA5">
        <v>4</v>
      </c>
      <c r="BB5">
        <v>-2.4245362661989844E-14</v>
      </c>
      <c r="BC5">
        <v>870997</v>
      </c>
      <c r="BD5" t="s">
        <v>3260</v>
      </c>
      <c r="BI5" t="str">
        <f>_xll.BDS("MTSI US Equity","SUPPLY_CHAIN_SUPPLIERS_ALL_DATA","cols=12;rows=5")</f>
        <v>3711 TT Equity</v>
      </c>
      <c r="BJ5" t="s">
        <v>1752</v>
      </c>
      <c r="BK5">
        <v>4.8763000000000001E-2</v>
      </c>
      <c r="BL5">
        <v>2.0760719999999999</v>
      </c>
      <c r="BM5" t="s">
        <v>1781</v>
      </c>
      <c r="BN5">
        <v>2025</v>
      </c>
      <c r="BO5" t="s">
        <v>2615</v>
      </c>
      <c r="BP5" s="6">
        <v>45819</v>
      </c>
      <c r="BQ5">
        <v>5</v>
      </c>
      <c r="BR5">
        <v>2196203.0699999998</v>
      </c>
      <c r="BS5">
        <v>58244711</v>
      </c>
      <c r="BT5" t="s">
        <v>2616</v>
      </c>
      <c r="BW5" t="str">
        <f>_xll.BDS("MTSI US Equity","SUPPLY_CHAIN_CUSTOMERS_ALL_DATA","cols=12;rows=5")</f>
        <v>941 HK Equity</v>
      </c>
      <c r="BX5">
        <v>1.115434</v>
      </c>
      <c r="BY5" t="s">
        <v>1752</v>
      </c>
      <c r="BZ5">
        <v>9.1739999999999999E-3</v>
      </c>
      <c r="CA5" t="s">
        <v>1825</v>
      </c>
      <c r="CB5">
        <v>2024</v>
      </c>
      <c r="CC5" t="s">
        <v>3505</v>
      </c>
      <c r="CD5" s="6">
        <v>45744</v>
      </c>
      <c r="CE5">
        <v>5</v>
      </c>
      <c r="CF5">
        <v>2435443.1800000002</v>
      </c>
      <c r="CG5">
        <v>223340</v>
      </c>
      <c r="CH5" t="s">
        <v>3506</v>
      </c>
      <c r="CM5" t="str">
        <f>_xll.BDS("FPI US Equity","SUPPLY_CHAIN_SUPPLIERS_ALL_DATA")</f>
        <v>#N/A N/A</v>
      </c>
      <c r="DA5" t="str">
        <f>_xll.BDS("FPI US Equity","SUPPLY_CHAIN_CUSTOMERS_ALL_DATA")</f>
        <v>#N/A N/A</v>
      </c>
      <c r="DQ5" t="str">
        <f>_xll.BDS("RVTY US Equity","SUPPLY_CHAIN_SUPPLIERS_ALL_DATA","cols=12;rows=5")</f>
        <v>UPS US Equity</v>
      </c>
      <c r="DR5" t="s">
        <v>1752</v>
      </c>
      <c r="DS5">
        <v>5.5890000000000002E-2</v>
      </c>
      <c r="DT5">
        <v>3.6901579999999998</v>
      </c>
      <c r="DU5" t="s">
        <v>1788</v>
      </c>
      <c r="DV5">
        <v>2025</v>
      </c>
      <c r="DW5" t="s">
        <v>2463</v>
      </c>
      <c r="DX5" s="6">
        <v>46007</v>
      </c>
      <c r="DY5">
        <v>5</v>
      </c>
      <c r="DZ5">
        <v>11968844</v>
      </c>
      <c r="EA5">
        <v>143027</v>
      </c>
      <c r="EB5" t="s">
        <v>2464</v>
      </c>
      <c r="EE5" t="str">
        <f>_xll.BDS("RVTY US Equity","SUPPLY_CHAIN_CUSTOMERS_ALL_DATA","cols=12;rows=5")</f>
        <v>002971 CH Equity</v>
      </c>
      <c r="EF5">
        <v>-2.4245362661989844E-14</v>
      </c>
      <c r="EH5">
        <v>-2.4245362661989844E-14</v>
      </c>
      <c r="EI5" t="s">
        <v>1842</v>
      </c>
      <c r="EJ5">
        <v>2025</v>
      </c>
      <c r="EK5" t="s">
        <v>3808</v>
      </c>
      <c r="EL5" s="6">
        <v>45888</v>
      </c>
      <c r="EM5">
        <v>5</v>
      </c>
      <c r="EN5">
        <v>-2.4245362661989844E-14</v>
      </c>
      <c r="EO5">
        <v>61902583</v>
      </c>
      <c r="EP5" t="s">
        <v>3809</v>
      </c>
      <c r="EU5" t="str">
        <f>_xll.BDS("TTEC US Equity","SUPPLY_CHAIN_SUPPLIERS_ALL_DATA","cols=12;rows=5")</f>
        <v>CSCO US Equity</v>
      </c>
      <c r="EV5" t="s">
        <v>1752</v>
      </c>
      <c r="EW5">
        <v>1.8321E-2</v>
      </c>
      <c r="EX5">
        <v>0.57097699999999996</v>
      </c>
      <c r="EY5" t="s">
        <v>1774</v>
      </c>
      <c r="EZ5">
        <v>2025</v>
      </c>
      <c r="FA5" t="s">
        <v>4893</v>
      </c>
      <c r="FB5" s="6">
        <v>45783</v>
      </c>
      <c r="FC5">
        <v>5</v>
      </c>
      <c r="FD5">
        <v>2563291</v>
      </c>
      <c r="FE5">
        <v>69423747</v>
      </c>
      <c r="FF5" t="s">
        <v>2158</v>
      </c>
      <c r="FI5" t="str">
        <f>_xll.BDS("TTEC US Equity","SUPPLY_CHAIN_CUSTOMERS_ALL_DATA","cols=12;rows=5")</f>
        <v>0170016D US Equity</v>
      </c>
      <c r="FJ5">
        <v>-2.4245362661989844E-14</v>
      </c>
      <c r="FL5">
        <v>-2.4245362661989844E-14</v>
      </c>
      <c r="FM5" t="s">
        <v>1753</v>
      </c>
      <c r="FN5">
        <v>2022</v>
      </c>
      <c r="FO5" t="s">
        <v>4195</v>
      </c>
      <c r="FP5" s="6">
        <v>44988</v>
      </c>
      <c r="FQ5">
        <v>5</v>
      </c>
      <c r="FR5">
        <v>-2.4245362661989844E-14</v>
      </c>
      <c r="FS5">
        <v>29162065</v>
      </c>
      <c r="FT5" t="s">
        <v>4196</v>
      </c>
      <c r="FY5" t="str">
        <f>_xll.BDS("UCB US Equity","SUPPLY_CHAIN_SUPPLIERS_ALL_DATA","cols=12;rows=1")</f>
        <v>3764228Z US Equity</v>
      </c>
      <c r="GA5">
        <v>-2.4245362661989844E-14</v>
      </c>
      <c r="GB5">
        <v>-2.4245362661989844E-14</v>
      </c>
      <c r="GC5" t="s">
        <v>1753</v>
      </c>
      <c r="GD5">
        <v>2024</v>
      </c>
      <c r="GE5" t="s">
        <v>3926</v>
      </c>
      <c r="GF5" s="6">
        <v>45520</v>
      </c>
      <c r="GG5">
        <v>1</v>
      </c>
      <c r="GH5">
        <v>-2.4245362661989844E-14</v>
      </c>
      <c r="GI5">
        <v>20340995</v>
      </c>
      <c r="GJ5" t="s">
        <v>3927</v>
      </c>
      <c r="GM5" t="str">
        <f>_xll.BDS("UCB US Equity","SUPPLY_CHAIN_CUSTOMERS_ALL_DATA")</f>
        <v>#N/A N/A</v>
      </c>
      <c r="HC5" t="str">
        <f>_xll.BDS("RNST US Equity","SUPPLY_CHAIN_SUPPLIERS_ALL_DATA")</f>
        <v>#N/A N/A</v>
      </c>
      <c r="HQ5" t="str">
        <f>_xll.BDS("RNST US Equity","SUPPLY_CHAIN_CUSTOMERS_ALL_DATA")</f>
        <v>#N/A N/A</v>
      </c>
      <c r="IG5" t="str">
        <f>_xll.BDS("MOLX US Equity","SUPPLY_CHAIN_SUPPLIERS_ALL_DATA","cols=12;rows=5")</f>
        <v>002130 CH Equity</v>
      </c>
      <c r="II5">
        <v>-2.4245362661989844E-14</v>
      </c>
      <c r="IJ5">
        <v>-2.4245362661989844E-14</v>
      </c>
      <c r="IK5" t="s">
        <v>1788</v>
      </c>
      <c r="IL5">
        <v>2025</v>
      </c>
      <c r="IM5" t="s">
        <v>4526</v>
      </c>
      <c r="IN5" s="6">
        <v>45986</v>
      </c>
      <c r="IO5">
        <v>5</v>
      </c>
      <c r="IP5">
        <v>-2.4245362661989844E-14</v>
      </c>
      <c r="IQ5">
        <v>11715184</v>
      </c>
      <c r="IR5" t="s">
        <v>4527</v>
      </c>
      <c r="IU5" t="str">
        <f>_xll.BDS("MOLX US Equity","SUPPLY_CHAIN_CUSTOMERS_ALL_DATA","cols=12;rows=5")</f>
        <v>001287 CH Equity</v>
      </c>
      <c r="IV5">
        <v>-2.4245362661989844E-14</v>
      </c>
      <c r="IX5">
        <v>-2.4245362661989844E-14</v>
      </c>
      <c r="IY5" t="s">
        <v>1842</v>
      </c>
      <c r="IZ5">
        <v>2025</v>
      </c>
      <c r="JA5" t="s">
        <v>3377</v>
      </c>
      <c r="JB5" s="6">
        <v>45895</v>
      </c>
      <c r="JC5">
        <v>5</v>
      </c>
      <c r="JD5">
        <v>-2.4245362661989844E-14</v>
      </c>
      <c r="JE5">
        <v>69878455</v>
      </c>
      <c r="JF5" t="s">
        <v>3378</v>
      </c>
      <c r="JK5" t="str">
        <f>_xll.BDS("TER US Equity","SUPPLY_CHAIN_SUPPLIERS_ALL_DATA","cols=12;rows=5")</f>
        <v>NVDA US Equity</v>
      </c>
      <c r="JL5" t="s">
        <v>1752</v>
      </c>
      <c r="JM5">
        <v>4.0030999999999997E-2</v>
      </c>
      <c r="JN5">
        <v>5.8820439999999996</v>
      </c>
      <c r="JO5" t="s">
        <v>1825</v>
      </c>
      <c r="JP5">
        <v>2026</v>
      </c>
      <c r="JQ5" t="s">
        <v>2352</v>
      </c>
      <c r="JR5" s="6">
        <v>46087</v>
      </c>
      <c r="JS5">
        <v>5</v>
      </c>
      <c r="JT5">
        <v>27271920</v>
      </c>
      <c r="JU5">
        <v>313657</v>
      </c>
      <c r="JV5" t="s">
        <v>2353</v>
      </c>
      <c r="JY5" t="str">
        <f>_xll.BDS("TER US Equity","SUPPLY_CHAIN_CUSTOMERS_ALL_DATA","cols=12;rows=5")</f>
        <v>005930 KS Equity</v>
      </c>
      <c r="JZ5">
        <v>12.5</v>
      </c>
      <c r="KA5" t="s">
        <v>1828</v>
      </c>
      <c r="KB5">
        <v>0.93494999999999995</v>
      </c>
      <c r="KC5" t="s">
        <v>1753</v>
      </c>
      <c r="KD5">
        <v>2024</v>
      </c>
      <c r="KE5" t="s">
        <v>2844</v>
      </c>
      <c r="KF5" s="6">
        <v>45708</v>
      </c>
      <c r="KG5">
        <v>5</v>
      </c>
      <c r="KH5">
        <v>88121248</v>
      </c>
      <c r="KI5">
        <v>117929</v>
      </c>
      <c r="KJ5" t="s">
        <v>1873</v>
      </c>
      <c r="KO5" t="str">
        <f>_xll.BDS("244630Q US Equity","SUPPLY_CHAIN_SUPPLIERS_ALL_DATA")</f>
        <v>#N/A N/A</v>
      </c>
      <c r="LC5" t="str">
        <f>_xll.BDS("244630Q US Equity","SUPPLY_CHAIN_CUSTOMERS_ALL_DATA")</f>
        <v>#N/A N/A</v>
      </c>
      <c r="LS5" t="str">
        <f>_xll.BDS("ELX US Equity","SUPPLY_CHAIN_SUPPLIERS_ALL_DATA")</f>
        <v>#N/A N/A</v>
      </c>
      <c r="MG5" t="str">
        <f>_xll.BDS("ELX US Equity","SUPPLY_CHAIN_CUSTOMERS_ALL_DATA")</f>
        <v>#N/A N/A</v>
      </c>
      <c r="MW5" t="str">
        <f>_xll.BDS("CHZ US Equity","SUPPLY_CHAIN_SUPPLIERS_ALL_DATA")</f>
        <v>#N/A N/A</v>
      </c>
      <c r="NK5" t="str">
        <f>_xll.BDS("CHZ US Equity","SUPPLY_CHAIN_CUSTOMERS_ALL_DATA")</f>
        <v>#N/A N/A</v>
      </c>
      <c r="OA5" t="str">
        <f>_xll.BDS("SKS US Equity","SUPPLY_CHAIN_SUPPLIERS_ALL_DATA","cols=12;rows=1")</f>
        <v>UE US Equity</v>
      </c>
      <c r="OC5">
        <v>-2.4245362661989844E-14</v>
      </c>
      <c r="OD5">
        <v>-2.4245362661989844E-14</v>
      </c>
      <c r="OE5" t="s">
        <v>1753</v>
      </c>
      <c r="OF5">
        <v>2024</v>
      </c>
      <c r="OG5" t="s">
        <v>5848</v>
      </c>
      <c r="OH5" s="6">
        <v>45701</v>
      </c>
      <c r="OI5">
        <v>1</v>
      </c>
      <c r="OJ5">
        <v>-2.4245362661989844E-14</v>
      </c>
      <c r="OK5">
        <v>39980720</v>
      </c>
      <c r="OL5" t="s">
        <v>5849</v>
      </c>
      <c r="OO5" t="str">
        <f>_xll.BDS("SKS US Equity","SUPPLY_CHAIN_CUSTOMERS_ALL_DATA","cols=12;rows=1")</f>
        <v>GCARSOA1 MM Equity</v>
      </c>
      <c r="OP5">
        <v>-2.4245362661989844E-14</v>
      </c>
      <c r="OR5">
        <v>-2.4245362661989844E-14</v>
      </c>
      <c r="OS5" t="s">
        <v>1753</v>
      </c>
      <c r="OT5">
        <v>2021</v>
      </c>
      <c r="OU5" t="s">
        <v>4160</v>
      </c>
      <c r="OV5" s="6">
        <v>44684</v>
      </c>
      <c r="OW5">
        <v>1</v>
      </c>
      <c r="OX5">
        <v>-2.4245362661989844E-14</v>
      </c>
      <c r="OY5">
        <v>116659</v>
      </c>
      <c r="OZ5" t="s">
        <v>4161</v>
      </c>
      <c r="PE5" t="str">
        <f>_xll.BDS("1986522D US Equity","SUPPLY_CHAIN_SUPPLIERS_ALL_DATA","cols=12;rows=1")</f>
        <v>FE US Equity</v>
      </c>
      <c r="PG5">
        <v>-2.4245362661989844E-14</v>
      </c>
      <c r="PH5">
        <v>-2.4245362661989844E-14</v>
      </c>
      <c r="PI5" t="s">
        <v>1753</v>
      </c>
      <c r="PJ5">
        <v>2021</v>
      </c>
      <c r="PK5" t="s">
        <v>2222</v>
      </c>
      <c r="PL5" s="6">
        <v>44693</v>
      </c>
      <c r="PM5">
        <v>1</v>
      </c>
      <c r="PN5">
        <v>-2.4245362661989844E-14</v>
      </c>
      <c r="PO5">
        <v>302916</v>
      </c>
      <c r="PP5" t="s">
        <v>2223</v>
      </c>
      <c r="PS5" t="str">
        <f>_xll.BDS("1986522D US Equity","SUPPLY_CHAIN_CUSTOMERS_ALL_DATA")</f>
        <v>#N/A N/A</v>
      </c>
      <c r="QI5" t="str">
        <f>_xll.BDS("STFC US Equity","SUPPLY_CHAIN_SUPPLIERS_ALL_DATA","cols=12;rows=1")</f>
        <v>OSPN US Equity</v>
      </c>
      <c r="QK5">
        <v>-2.4245362661989844E-14</v>
      </c>
      <c r="QL5">
        <v>-2.4245362661989844E-14</v>
      </c>
      <c r="QM5" t="s">
        <v>1781</v>
      </c>
      <c r="QN5">
        <v>2022</v>
      </c>
      <c r="QO5" t="s">
        <v>5692</v>
      </c>
      <c r="QP5" s="6">
        <v>44698</v>
      </c>
      <c r="QQ5">
        <v>1</v>
      </c>
      <c r="QR5">
        <v>-2.4245362661989844E-14</v>
      </c>
      <c r="QS5">
        <v>313721</v>
      </c>
      <c r="QT5" t="s">
        <v>5693</v>
      </c>
      <c r="QW5" t="str">
        <f>_xll.BDS("STFC US Equity","SUPPLY_CHAIN_CUSTOMERS_ALL_DATA")</f>
        <v>#N/A N/A</v>
      </c>
      <c r="RM5" t="str">
        <f>_xll.BDS("NHC US Equity","SUPPLY_CHAIN_SUPPLIERS_ALL_DATA","cols=12;rows=3")</f>
        <v>NHI US Equity</v>
      </c>
      <c r="RN5" t="s">
        <v>1940</v>
      </c>
      <c r="RO5">
        <v>11.938624000000001</v>
      </c>
      <c r="RP5">
        <v>3.2867700000000002</v>
      </c>
      <c r="RQ5" t="s">
        <v>1753</v>
      </c>
      <c r="RR5">
        <v>2024</v>
      </c>
      <c r="RS5" t="s">
        <v>5444</v>
      </c>
      <c r="RT5" s="6">
        <v>45713</v>
      </c>
      <c r="RU5">
        <v>3</v>
      </c>
      <c r="RV5">
        <v>10004000</v>
      </c>
      <c r="RW5">
        <v>101041</v>
      </c>
      <c r="RX5" t="s">
        <v>5445</v>
      </c>
      <c r="SA5" t="str">
        <f>_xll.BDS("NHC US Equity","SUPPLY_CHAIN_CUSTOMERS_ALL_DATA","cols=12;rows=1")</f>
        <v>9877893Z US Equity</v>
      </c>
      <c r="SB5">
        <v>-2.4245362661989844E-14</v>
      </c>
      <c r="SD5">
        <v>-2.4245362661989844E-14</v>
      </c>
      <c r="SE5" t="s">
        <v>1753</v>
      </c>
      <c r="SF5">
        <v>2024</v>
      </c>
      <c r="SG5" t="s">
        <v>3375</v>
      </c>
      <c r="SH5" s="6">
        <v>45716</v>
      </c>
      <c r="SI5">
        <v>1</v>
      </c>
      <c r="SJ5">
        <v>-2.4245362661989844E-14</v>
      </c>
      <c r="SK5">
        <v>17483390</v>
      </c>
      <c r="SL5" t="s">
        <v>3376</v>
      </c>
      <c r="SQ5" t="str">
        <f>_xll.BDS("605018Q US Equity","SUPPLY_CHAIN_SUPPLIERS_ALL_DATA")</f>
        <v>#N/A N/A</v>
      </c>
      <c r="TE5" t="str">
        <f>_xll.BDS("605018Q US Equity","SUPPLY_CHAIN_CUSTOMERS_ALL_DATA")</f>
        <v>#N/A N/A</v>
      </c>
      <c r="TU5" t="str">
        <f>_xll.BDS("CNOB US Equity","SUPPLY_CHAIN_SUPPLIERS_ALL_DATA","cols=12;rows=1")</f>
        <v>NCNO US Equity</v>
      </c>
      <c r="TW5">
        <v>-2.4245362661989844E-14</v>
      </c>
      <c r="TX5">
        <v>-2.4245362661989844E-14</v>
      </c>
      <c r="TY5" t="s">
        <v>1753</v>
      </c>
      <c r="TZ5">
        <v>2025</v>
      </c>
      <c r="UA5" t="s">
        <v>2584</v>
      </c>
      <c r="UB5" s="6">
        <v>45748</v>
      </c>
      <c r="UC5">
        <v>1</v>
      </c>
      <c r="UD5">
        <v>-2.4245362661989844E-14</v>
      </c>
      <c r="UE5">
        <v>69921002</v>
      </c>
      <c r="UF5" t="s">
        <v>2535</v>
      </c>
      <c r="UI5" t="str">
        <f>_xll.BDS("CNOB US Equity","SUPPLY_CHAIN_CUSTOMERS_ALL_DATA")</f>
        <v>#N/A N/A</v>
      </c>
      <c r="UY5" t="str">
        <f>_xll.BDS("PRA US Equity","SUPPLY_CHAIN_SUPPLIERS_ALL_DATA")</f>
        <v>#N/A N/A</v>
      </c>
      <c r="VM5" t="str">
        <f>_xll.BDS("PRA US Equity","SUPPLY_CHAIN_CUSTOMERS_ALL_DATA")</f>
        <v>#N/A N/A</v>
      </c>
    </row>
    <row r="6" spans="1:600" x14ac:dyDescent="0.25">
      <c r="AS6" t="s">
        <v>3261</v>
      </c>
      <c r="AT6">
        <v>-2.4245362661989844E-14</v>
      </c>
      <c r="AV6">
        <v>-2.4245362661989844E-14</v>
      </c>
      <c r="AW6" t="s">
        <v>1753</v>
      </c>
      <c r="AX6">
        <v>2022</v>
      </c>
      <c r="AY6" t="s">
        <v>3262</v>
      </c>
      <c r="AZ6" s="6">
        <v>44677</v>
      </c>
      <c r="BA6">
        <v>4</v>
      </c>
      <c r="BB6">
        <v>-2.4245362661989844E-14</v>
      </c>
      <c r="BC6">
        <v>111270</v>
      </c>
      <c r="BD6" t="s">
        <v>3263</v>
      </c>
      <c r="BI6" t="s">
        <v>2617</v>
      </c>
      <c r="BJ6" t="s">
        <v>1752</v>
      </c>
      <c r="BK6">
        <v>1.323008</v>
      </c>
      <c r="BL6">
        <v>1.3594919999999999</v>
      </c>
      <c r="BM6" t="s">
        <v>1781</v>
      </c>
      <c r="BN6">
        <v>2025</v>
      </c>
      <c r="BO6" t="s">
        <v>2618</v>
      </c>
      <c r="BP6" s="6">
        <v>45861</v>
      </c>
      <c r="BQ6">
        <v>5</v>
      </c>
      <c r="BR6">
        <v>1438159.03</v>
      </c>
      <c r="BS6">
        <v>14336256</v>
      </c>
      <c r="BT6" t="s">
        <v>2619</v>
      </c>
      <c r="BW6" t="s">
        <v>1547</v>
      </c>
      <c r="BX6">
        <v>1.004659</v>
      </c>
      <c r="BY6" t="s">
        <v>1752</v>
      </c>
      <c r="BZ6">
        <v>3.6281000000000001E-2</v>
      </c>
      <c r="CA6" t="s">
        <v>1781</v>
      </c>
      <c r="CB6">
        <v>2025</v>
      </c>
      <c r="CC6" t="s">
        <v>2157</v>
      </c>
      <c r="CD6" s="6">
        <v>45784</v>
      </c>
      <c r="CE6">
        <v>5</v>
      </c>
      <c r="CF6">
        <v>2191381</v>
      </c>
      <c r="CG6">
        <v>100115</v>
      </c>
      <c r="CH6" t="s">
        <v>1922</v>
      </c>
      <c r="DQ6" t="s">
        <v>3976</v>
      </c>
      <c r="DR6" t="s">
        <v>1752</v>
      </c>
      <c r="DS6">
        <v>0.31914300000000001</v>
      </c>
      <c r="DT6">
        <v>0.73328199999999999</v>
      </c>
      <c r="DU6" t="s">
        <v>1781</v>
      </c>
      <c r="DV6">
        <v>2025</v>
      </c>
      <c r="DW6" t="s">
        <v>3977</v>
      </c>
      <c r="DX6" s="6">
        <v>45958</v>
      </c>
      <c r="DY6">
        <v>5</v>
      </c>
      <c r="DZ6">
        <v>2353606.12</v>
      </c>
      <c r="EA6">
        <v>111769</v>
      </c>
      <c r="EB6" t="s">
        <v>3978</v>
      </c>
      <c r="EE6" t="s">
        <v>4400</v>
      </c>
      <c r="EF6">
        <v>-2.4245362661989844E-14</v>
      </c>
      <c r="EH6">
        <v>-2.4245362661989844E-14</v>
      </c>
      <c r="EI6" t="s">
        <v>1753</v>
      </c>
      <c r="EJ6">
        <v>2022</v>
      </c>
      <c r="EK6" t="s">
        <v>4401</v>
      </c>
      <c r="EL6" s="6">
        <v>45015</v>
      </c>
      <c r="EM6">
        <v>5</v>
      </c>
      <c r="EN6">
        <v>-2.4245362661989844E-14</v>
      </c>
      <c r="EO6">
        <v>21694063</v>
      </c>
      <c r="EP6" t="s">
        <v>4402</v>
      </c>
      <c r="EU6" t="s">
        <v>4894</v>
      </c>
      <c r="EV6" t="s">
        <v>1752</v>
      </c>
      <c r="EW6">
        <v>6.7214999999999997E-2</v>
      </c>
      <c r="EX6">
        <v>7.7119999999999994E-2</v>
      </c>
      <c r="EY6" t="s">
        <v>1781</v>
      </c>
      <c r="EZ6">
        <v>2025</v>
      </c>
      <c r="FA6" t="s">
        <v>4895</v>
      </c>
      <c r="FB6" s="6">
        <v>45855</v>
      </c>
      <c r="FC6">
        <v>5</v>
      </c>
      <c r="FD6">
        <v>319697</v>
      </c>
      <c r="FE6">
        <v>171977</v>
      </c>
      <c r="FF6" t="s">
        <v>4896</v>
      </c>
      <c r="FI6" t="s">
        <v>4197</v>
      </c>
      <c r="FJ6">
        <v>-2.4245362661989844E-14</v>
      </c>
      <c r="FL6">
        <v>-2.4245362661989844E-14</v>
      </c>
      <c r="FM6" t="s">
        <v>1753</v>
      </c>
      <c r="FN6">
        <v>2022</v>
      </c>
      <c r="FO6" t="s">
        <v>4195</v>
      </c>
      <c r="FP6" s="6">
        <v>44988</v>
      </c>
      <c r="FQ6">
        <v>5</v>
      </c>
      <c r="FR6">
        <v>-2.4245362661989844E-14</v>
      </c>
      <c r="FS6">
        <v>29691544</v>
      </c>
      <c r="FT6" t="s">
        <v>4198</v>
      </c>
      <c r="IG6" t="s">
        <v>4528</v>
      </c>
      <c r="II6">
        <v>-2.4245362661989844E-14</v>
      </c>
      <c r="IJ6">
        <v>-2.4245362661989844E-14</v>
      </c>
      <c r="IK6" t="s">
        <v>1753</v>
      </c>
      <c r="IL6">
        <v>2023</v>
      </c>
      <c r="IM6" t="s">
        <v>4529</v>
      </c>
      <c r="IN6" s="6">
        <v>45401</v>
      </c>
      <c r="IO6">
        <v>5</v>
      </c>
      <c r="IP6">
        <v>-2.4245362661989844E-14</v>
      </c>
      <c r="IQ6">
        <v>43772961</v>
      </c>
      <c r="IR6" t="s">
        <v>4530</v>
      </c>
      <c r="IU6" t="s">
        <v>3379</v>
      </c>
      <c r="IV6">
        <v>-2.4245362661989844E-14</v>
      </c>
      <c r="IX6">
        <v>-2.4245362661989844E-14</v>
      </c>
      <c r="IY6" t="s">
        <v>1753</v>
      </c>
      <c r="IZ6">
        <v>2024</v>
      </c>
      <c r="JA6" t="s">
        <v>3380</v>
      </c>
      <c r="JB6" s="6">
        <v>45806</v>
      </c>
      <c r="JC6">
        <v>5</v>
      </c>
      <c r="JD6">
        <v>-2.4245362661989844E-14</v>
      </c>
      <c r="JE6">
        <v>7687936</v>
      </c>
      <c r="JF6" t="s">
        <v>3381</v>
      </c>
      <c r="JK6" t="s">
        <v>2212</v>
      </c>
      <c r="JL6" t="s">
        <v>1752</v>
      </c>
      <c r="JM6">
        <v>0.13453599999999999</v>
      </c>
      <c r="JN6">
        <v>2.8862130000000001</v>
      </c>
      <c r="JO6" t="s">
        <v>1788</v>
      </c>
      <c r="JP6">
        <v>2025</v>
      </c>
      <c r="JQ6" t="s">
        <v>2213</v>
      </c>
      <c r="JR6" s="6">
        <v>45763</v>
      </c>
      <c r="JS6">
        <v>5</v>
      </c>
      <c r="JT6">
        <v>8820180</v>
      </c>
      <c r="JU6">
        <v>136547</v>
      </c>
      <c r="JV6" t="s">
        <v>2214</v>
      </c>
      <c r="JY6" t="s">
        <v>2268</v>
      </c>
      <c r="JZ6">
        <v>9.1156550000000003</v>
      </c>
      <c r="KA6" t="s">
        <v>1828</v>
      </c>
      <c r="KB6">
        <v>1.9185270000000001</v>
      </c>
      <c r="KC6" t="s">
        <v>1774</v>
      </c>
      <c r="KD6">
        <v>2025</v>
      </c>
      <c r="KE6" t="s">
        <v>2845</v>
      </c>
      <c r="KF6" s="6">
        <v>45915</v>
      </c>
      <c r="KG6">
        <v>5</v>
      </c>
      <c r="KH6">
        <v>59415568</v>
      </c>
      <c r="KI6">
        <v>193974</v>
      </c>
      <c r="KJ6" t="s">
        <v>2270</v>
      </c>
      <c r="RM6" t="s">
        <v>5446</v>
      </c>
      <c r="RO6">
        <v>-2.4245362661989844E-14</v>
      </c>
      <c r="RP6">
        <v>-2.4245362661989844E-14</v>
      </c>
      <c r="RQ6" t="s">
        <v>1753</v>
      </c>
      <c r="RR6">
        <v>2024</v>
      </c>
      <c r="RS6" t="s">
        <v>5447</v>
      </c>
      <c r="RT6" s="6">
        <v>45320</v>
      </c>
      <c r="RU6">
        <v>3</v>
      </c>
      <c r="RV6">
        <v>-2.4245362661989844E-14</v>
      </c>
      <c r="RW6">
        <v>19468402</v>
      </c>
      <c r="RX6" t="s">
        <v>5448</v>
      </c>
    </row>
    <row r="7" spans="1:600" x14ac:dyDescent="0.25">
      <c r="AS7" t="s">
        <v>3264</v>
      </c>
      <c r="AT7">
        <v>-2.4245362661989844E-14</v>
      </c>
      <c r="AV7">
        <v>-2.4245362661989844E-14</v>
      </c>
      <c r="AW7" t="s">
        <v>1753</v>
      </c>
      <c r="AX7">
        <v>2021</v>
      </c>
      <c r="AY7" t="s">
        <v>3265</v>
      </c>
      <c r="AZ7" s="6">
        <v>44729</v>
      </c>
      <c r="BA7">
        <v>4</v>
      </c>
      <c r="BB7">
        <v>-2.4245362661989844E-14</v>
      </c>
      <c r="BC7">
        <v>115688</v>
      </c>
      <c r="BD7" t="s">
        <v>3266</v>
      </c>
      <c r="BI7" t="s">
        <v>2259</v>
      </c>
      <c r="BJ7" t="s">
        <v>1752</v>
      </c>
      <c r="BK7">
        <v>0.17249</v>
      </c>
      <c r="BL7">
        <v>0.57415000000000005</v>
      </c>
      <c r="BM7" t="s">
        <v>1774</v>
      </c>
      <c r="BN7">
        <v>2025</v>
      </c>
      <c r="BO7" t="s">
        <v>2260</v>
      </c>
      <c r="BP7" s="6">
        <v>46014</v>
      </c>
      <c r="BQ7">
        <v>5</v>
      </c>
      <c r="BR7">
        <v>682486</v>
      </c>
      <c r="BS7">
        <v>159009</v>
      </c>
      <c r="BT7" t="s">
        <v>2261</v>
      </c>
      <c r="BW7" t="s">
        <v>1908</v>
      </c>
      <c r="BX7">
        <v>0.51476</v>
      </c>
      <c r="BY7" t="s">
        <v>1752</v>
      </c>
      <c r="BZ7">
        <v>7.5420000000000001E-3</v>
      </c>
      <c r="CA7" t="s">
        <v>1774</v>
      </c>
      <c r="CB7">
        <v>2025</v>
      </c>
      <c r="CC7" t="s">
        <v>2515</v>
      </c>
      <c r="CD7" s="6">
        <v>45895</v>
      </c>
      <c r="CE7">
        <v>5</v>
      </c>
      <c r="CF7">
        <v>1297601</v>
      </c>
      <c r="CG7">
        <v>101555</v>
      </c>
      <c r="CH7" t="s">
        <v>1909</v>
      </c>
      <c r="DQ7" t="s">
        <v>4579</v>
      </c>
      <c r="DR7" t="s">
        <v>1940</v>
      </c>
      <c r="DS7">
        <v>0.24615000000000001</v>
      </c>
      <c r="DT7">
        <v>0.37029400000000001</v>
      </c>
      <c r="DU7" t="s">
        <v>1753</v>
      </c>
      <c r="DV7">
        <v>2024</v>
      </c>
      <c r="DW7" t="s">
        <v>4580</v>
      </c>
      <c r="DX7" s="6">
        <v>45713</v>
      </c>
      <c r="DY7">
        <v>5</v>
      </c>
      <c r="DZ7">
        <v>920250</v>
      </c>
      <c r="EA7">
        <v>386356</v>
      </c>
      <c r="EB7" t="s">
        <v>4581</v>
      </c>
      <c r="EE7" t="s">
        <v>3396</v>
      </c>
      <c r="EF7">
        <v>-2.4245362661989844E-14</v>
      </c>
      <c r="EH7">
        <v>-2.4245362661989844E-14</v>
      </c>
      <c r="EI7" t="s">
        <v>1753</v>
      </c>
      <c r="EJ7">
        <v>2024</v>
      </c>
      <c r="EK7" t="s">
        <v>4403</v>
      </c>
      <c r="EL7" s="6">
        <v>45783</v>
      </c>
      <c r="EM7">
        <v>5</v>
      </c>
      <c r="EN7">
        <v>-2.4245362661989844E-14</v>
      </c>
      <c r="EO7">
        <v>9152714</v>
      </c>
      <c r="EP7" t="s">
        <v>3398</v>
      </c>
      <c r="EU7" t="s">
        <v>4897</v>
      </c>
      <c r="EW7">
        <v>-2.4245362661989844E-14</v>
      </c>
      <c r="EX7">
        <v>-2.4245362661989844E-14</v>
      </c>
      <c r="EY7" t="s">
        <v>1788</v>
      </c>
      <c r="EZ7">
        <v>2025</v>
      </c>
      <c r="FA7" t="s">
        <v>4898</v>
      </c>
      <c r="FB7" s="6">
        <v>45967</v>
      </c>
      <c r="FC7">
        <v>5</v>
      </c>
      <c r="FD7">
        <v>-2.4245362661989844E-14</v>
      </c>
      <c r="FE7">
        <v>30156827</v>
      </c>
      <c r="FF7" t="s">
        <v>4899</v>
      </c>
      <c r="FI7" t="s">
        <v>4199</v>
      </c>
      <c r="FJ7">
        <v>-2.4245362661989844E-14</v>
      </c>
      <c r="FL7">
        <v>-2.4245362661989844E-14</v>
      </c>
      <c r="FM7" t="s">
        <v>1753</v>
      </c>
      <c r="FN7">
        <v>2022</v>
      </c>
      <c r="FO7" t="s">
        <v>4195</v>
      </c>
      <c r="FP7" s="6">
        <v>44988</v>
      </c>
      <c r="FQ7">
        <v>5</v>
      </c>
      <c r="FR7">
        <v>-2.4245362661989844E-14</v>
      </c>
      <c r="FS7">
        <v>17612590</v>
      </c>
      <c r="FT7" t="s">
        <v>4200</v>
      </c>
      <c r="IG7" t="s">
        <v>4531</v>
      </c>
      <c r="II7">
        <v>-2.4245362661989844E-14</v>
      </c>
      <c r="IJ7">
        <v>-2.4245362661989844E-14</v>
      </c>
      <c r="IK7" t="s">
        <v>1753</v>
      </c>
      <c r="IL7">
        <v>2024</v>
      </c>
      <c r="IM7" t="s">
        <v>4532</v>
      </c>
      <c r="IN7" s="6">
        <v>45771</v>
      </c>
      <c r="IO7">
        <v>5</v>
      </c>
      <c r="IP7">
        <v>-2.4245362661989844E-14</v>
      </c>
      <c r="IQ7">
        <v>24605281</v>
      </c>
      <c r="IR7" t="s">
        <v>4533</v>
      </c>
      <c r="IU7" t="s">
        <v>3382</v>
      </c>
      <c r="IV7">
        <v>-2.4245362661989844E-14</v>
      </c>
      <c r="IX7">
        <v>-2.4245362661989844E-14</v>
      </c>
      <c r="IY7" t="s">
        <v>1788</v>
      </c>
      <c r="IZ7">
        <v>2025</v>
      </c>
      <c r="JA7" t="s">
        <v>3383</v>
      </c>
      <c r="JB7" s="6">
        <v>46001</v>
      </c>
      <c r="JC7">
        <v>5</v>
      </c>
      <c r="JD7">
        <v>-2.4245362661989844E-14</v>
      </c>
      <c r="JE7">
        <v>1459418</v>
      </c>
      <c r="JF7" t="s">
        <v>3384</v>
      </c>
      <c r="JK7" t="s">
        <v>2415</v>
      </c>
      <c r="JL7" t="s">
        <v>1752</v>
      </c>
      <c r="JM7">
        <v>4.4719000000000002E-2</v>
      </c>
      <c r="JN7">
        <v>0.46202700000000002</v>
      </c>
      <c r="JO7" t="s">
        <v>1788</v>
      </c>
      <c r="JP7">
        <v>2025</v>
      </c>
      <c r="JQ7" t="s">
        <v>2416</v>
      </c>
      <c r="JR7" s="6">
        <v>45891</v>
      </c>
      <c r="JS7">
        <v>5</v>
      </c>
      <c r="JT7">
        <v>1288063</v>
      </c>
      <c r="JU7">
        <v>100097</v>
      </c>
      <c r="JV7" t="s">
        <v>2417</v>
      </c>
      <c r="JY7" t="s">
        <v>1941</v>
      </c>
      <c r="JZ7">
        <v>8.2331090000000007</v>
      </c>
      <c r="KA7" t="s">
        <v>1828</v>
      </c>
      <c r="KB7">
        <v>0.55610599999999999</v>
      </c>
      <c r="KC7" t="s">
        <v>1774</v>
      </c>
      <c r="KD7">
        <v>2025</v>
      </c>
      <c r="KE7" t="s">
        <v>2845</v>
      </c>
      <c r="KF7" s="6">
        <v>45915</v>
      </c>
      <c r="KG7">
        <v>5</v>
      </c>
      <c r="KH7">
        <v>53663156</v>
      </c>
      <c r="KI7">
        <v>153737</v>
      </c>
      <c r="KJ7" t="s">
        <v>1943</v>
      </c>
      <c r="RM7" t="s">
        <v>5449</v>
      </c>
      <c r="RO7">
        <v>-2.4245362661989844E-14</v>
      </c>
      <c r="RP7">
        <v>-2.4245362661989844E-14</v>
      </c>
      <c r="RQ7" t="s">
        <v>1753</v>
      </c>
      <c r="RR7">
        <v>2022</v>
      </c>
      <c r="RS7" t="s">
        <v>5450</v>
      </c>
      <c r="RT7" s="6">
        <v>44974</v>
      </c>
      <c r="RU7">
        <v>3</v>
      </c>
      <c r="RV7">
        <v>-2.4245362661989844E-14</v>
      </c>
      <c r="RW7">
        <v>118464</v>
      </c>
      <c r="RX7" t="s">
        <v>5451</v>
      </c>
    </row>
    <row r="8" spans="1:600" x14ac:dyDescent="0.25">
      <c r="AS8" t="s">
        <v>3267</v>
      </c>
      <c r="AT8">
        <v>-2.4245362661989844E-14</v>
      </c>
      <c r="AV8">
        <v>-2.4245362661989844E-14</v>
      </c>
      <c r="AW8" t="s">
        <v>1753</v>
      </c>
      <c r="AX8">
        <v>2021</v>
      </c>
      <c r="AY8" t="s">
        <v>3268</v>
      </c>
      <c r="AZ8" s="6">
        <v>44687</v>
      </c>
      <c r="BA8">
        <v>4</v>
      </c>
      <c r="BB8">
        <v>-2.4245362661989844E-14</v>
      </c>
      <c r="BC8">
        <v>115518</v>
      </c>
      <c r="BD8" t="s">
        <v>3269</v>
      </c>
      <c r="BI8" t="s">
        <v>2620</v>
      </c>
      <c r="BJ8" t="s">
        <v>1752</v>
      </c>
      <c r="BK8">
        <v>1.010642</v>
      </c>
      <c r="BL8">
        <v>0.33008900000000002</v>
      </c>
      <c r="BM8" t="s">
        <v>1774</v>
      </c>
      <c r="BN8">
        <v>2025</v>
      </c>
      <c r="BO8" t="s">
        <v>2621</v>
      </c>
      <c r="BP8" s="6">
        <v>46014</v>
      </c>
      <c r="BQ8">
        <v>5</v>
      </c>
      <c r="BR8">
        <v>388688.42</v>
      </c>
      <c r="BS8">
        <v>815557</v>
      </c>
      <c r="BT8" t="s">
        <v>2622</v>
      </c>
      <c r="BW8" t="s">
        <v>3909</v>
      </c>
      <c r="BX8">
        <v>0.22331500000000001</v>
      </c>
      <c r="BY8" t="s">
        <v>1752</v>
      </c>
      <c r="BZ8">
        <v>1.5251000000000001E-2</v>
      </c>
      <c r="CA8" t="s">
        <v>1774</v>
      </c>
      <c r="CB8">
        <v>2025</v>
      </c>
      <c r="CC8" t="s">
        <v>5095</v>
      </c>
      <c r="CD8" s="6">
        <v>45908</v>
      </c>
      <c r="CE8">
        <v>5</v>
      </c>
      <c r="CF8">
        <v>562435.83999999997</v>
      </c>
      <c r="CG8">
        <v>304299</v>
      </c>
      <c r="CH8" t="s">
        <v>3911</v>
      </c>
      <c r="DQ8" t="s">
        <v>3186</v>
      </c>
      <c r="DR8" t="s">
        <v>1828</v>
      </c>
      <c r="DS8">
        <v>7.76E-4</v>
      </c>
      <c r="DT8">
        <v>0.29293799999999998</v>
      </c>
      <c r="DU8" t="s">
        <v>1774</v>
      </c>
      <c r="DV8">
        <v>2025</v>
      </c>
      <c r="DW8" t="s">
        <v>3187</v>
      </c>
      <c r="DX8" s="6">
        <v>46024</v>
      </c>
      <c r="DY8">
        <v>5</v>
      </c>
      <c r="DZ8">
        <v>54191.5</v>
      </c>
      <c r="EA8">
        <v>115110</v>
      </c>
      <c r="EB8" t="s">
        <v>3188</v>
      </c>
      <c r="EE8" t="s">
        <v>4404</v>
      </c>
      <c r="EF8">
        <v>-2.4245362661989844E-14</v>
      </c>
      <c r="EH8">
        <v>-2.4245362661989844E-14</v>
      </c>
      <c r="EI8" t="s">
        <v>1753</v>
      </c>
      <c r="EJ8">
        <v>2024</v>
      </c>
      <c r="EK8" t="s">
        <v>4405</v>
      </c>
      <c r="EL8" s="6">
        <v>45742</v>
      </c>
      <c r="EM8">
        <v>5</v>
      </c>
      <c r="EN8">
        <v>-2.4245362661989844E-14</v>
      </c>
      <c r="EO8">
        <v>14195302</v>
      </c>
      <c r="EP8" t="s">
        <v>4406</v>
      </c>
      <c r="EU8" t="s">
        <v>4900</v>
      </c>
      <c r="EW8">
        <v>-2.4245362661989844E-14</v>
      </c>
      <c r="EX8">
        <v>-2.4245362661989844E-14</v>
      </c>
      <c r="EY8" t="s">
        <v>1788</v>
      </c>
      <c r="EZ8">
        <v>2025</v>
      </c>
      <c r="FA8" t="s">
        <v>4898</v>
      </c>
      <c r="FB8" s="6">
        <v>45967</v>
      </c>
      <c r="FC8">
        <v>5</v>
      </c>
      <c r="FD8">
        <v>-2.4245362661989844E-14</v>
      </c>
      <c r="FE8">
        <v>48085238</v>
      </c>
      <c r="FF8" t="s">
        <v>4901</v>
      </c>
      <c r="FI8" t="s">
        <v>4201</v>
      </c>
      <c r="FJ8">
        <v>-2.4245362661989844E-14</v>
      </c>
      <c r="FL8">
        <v>-2.4245362661989844E-14</v>
      </c>
      <c r="FM8" t="s">
        <v>1753</v>
      </c>
      <c r="FN8">
        <v>2022</v>
      </c>
      <c r="FO8" t="s">
        <v>4195</v>
      </c>
      <c r="FP8" s="6">
        <v>44988</v>
      </c>
      <c r="FQ8">
        <v>5</v>
      </c>
      <c r="FR8">
        <v>-2.4245362661989844E-14</v>
      </c>
      <c r="FS8">
        <v>30214106</v>
      </c>
      <c r="FT8" t="s">
        <v>4202</v>
      </c>
      <c r="IG8" t="s">
        <v>4534</v>
      </c>
      <c r="II8">
        <v>-2.4245362661989844E-14</v>
      </c>
      <c r="IJ8">
        <v>-2.4245362661989844E-14</v>
      </c>
      <c r="IK8" t="s">
        <v>1842</v>
      </c>
      <c r="IL8">
        <v>2025</v>
      </c>
      <c r="IM8" t="s">
        <v>4535</v>
      </c>
      <c r="IN8" s="6">
        <v>45888</v>
      </c>
      <c r="IO8">
        <v>5</v>
      </c>
      <c r="IP8">
        <v>-2.4245362661989844E-14</v>
      </c>
      <c r="IQ8">
        <v>21813538</v>
      </c>
      <c r="IR8" t="s">
        <v>4536</v>
      </c>
      <c r="IU8" t="s">
        <v>3385</v>
      </c>
      <c r="IV8">
        <v>-2.4245362661989844E-14</v>
      </c>
      <c r="IX8">
        <v>-2.4245362661989844E-14</v>
      </c>
      <c r="IY8" t="s">
        <v>1753</v>
      </c>
      <c r="IZ8">
        <v>2021</v>
      </c>
      <c r="JA8" t="s">
        <v>3386</v>
      </c>
      <c r="JB8" s="6">
        <v>44713</v>
      </c>
      <c r="JC8">
        <v>5</v>
      </c>
      <c r="JD8">
        <v>-2.4245362661989844E-14</v>
      </c>
      <c r="JE8">
        <v>24105777</v>
      </c>
      <c r="JF8" t="s">
        <v>3387</v>
      </c>
      <c r="JK8" t="s">
        <v>3243</v>
      </c>
      <c r="JL8" t="s">
        <v>1752</v>
      </c>
      <c r="JM8">
        <v>0.16970499999999999</v>
      </c>
      <c r="JN8">
        <v>0.39931699999999998</v>
      </c>
      <c r="JO8" t="s">
        <v>1788</v>
      </c>
      <c r="JP8">
        <v>2025</v>
      </c>
      <c r="JQ8" t="s">
        <v>3244</v>
      </c>
      <c r="JR8" s="6">
        <v>46001</v>
      </c>
      <c r="JS8">
        <v>5</v>
      </c>
      <c r="JT8">
        <v>1277431</v>
      </c>
      <c r="JU8">
        <v>1182195</v>
      </c>
      <c r="JV8" t="s">
        <v>3245</v>
      </c>
      <c r="JY8" t="s">
        <v>2614</v>
      </c>
      <c r="JZ8">
        <v>4.3375130000000004</v>
      </c>
      <c r="KA8" t="s">
        <v>1828</v>
      </c>
      <c r="KB8">
        <v>1.9799040000000001</v>
      </c>
      <c r="KC8" t="s">
        <v>1774</v>
      </c>
      <c r="KD8">
        <v>2025</v>
      </c>
      <c r="KE8" t="s">
        <v>2845</v>
      </c>
      <c r="KF8" s="6">
        <v>45915</v>
      </c>
      <c r="KG8">
        <v>5</v>
      </c>
      <c r="KH8">
        <v>28271780</v>
      </c>
      <c r="KI8">
        <v>58244711</v>
      </c>
      <c r="KJ8" t="s">
        <v>2616</v>
      </c>
    </row>
    <row r="9" spans="1:600" x14ac:dyDescent="0.25">
      <c r="BI9" t="s">
        <v>2623</v>
      </c>
      <c r="BJ9" t="s">
        <v>1828</v>
      </c>
      <c r="BK9">
        <v>0.14222799999999999</v>
      </c>
      <c r="BL9">
        <v>0.108672</v>
      </c>
      <c r="BM9" t="s">
        <v>1774</v>
      </c>
      <c r="BN9">
        <v>2026</v>
      </c>
      <c r="BO9" t="s">
        <v>2624</v>
      </c>
      <c r="BP9" s="6">
        <v>46059</v>
      </c>
      <c r="BQ9">
        <v>5</v>
      </c>
      <c r="BR9">
        <v>14058</v>
      </c>
      <c r="BS9">
        <v>225747</v>
      </c>
      <c r="BT9" t="s">
        <v>2625</v>
      </c>
      <c r="BW9" t="s">
        <v>5096</v>
      </c>
      <c r="BX9">
        <v>-2.4245362661989844E-14</v>
      </c>
      <c r="BZ9">
        <v>-2.4245362661989844E-14</v>
      </c>
      <c r="CA9" t="s">
        <v>1753</v>
      </c>
      <c r="CB9">
        <v>2022</v>
      </c>
      <c r="CC9" t="s">
        <v>5097</v>
      </c>
      <c r="CD9" s="6">
        <v>44879</v>
      </c>
      <c r="CE9">
        <v>5</v>
      </c>
      <c r="CF9">
        <v>-2.4245362661989844E-14</v>
      </c>
      <c r="CG9">
        <v>16768012</v>
      </c>
      <c r="CH9" t="s">
        <v>5098</v>
      </c>
      <c r="DQ9" t="s">
        <v>4582</v>
      </c>
      <c r="DS9">
        <v>-2.4245362661989844E-14</v>
      </c>
      <c r="DT9">
        <v>-2.4245362661989844E-14</v>
      </c>
      <c r="DU9" t="s">
        <v>1753</v>
      </c>
      <c r="DV9">
        <v>2022</v>
      </c>
      <c r="DW9" t="s">
        <v>4583</v>
      </c>
      <c r="DX9" s="6">
        <v>45008</v>
      </c>
      <c r="DY9">
        <v>5</v>
      </c>
      <c r="DZ9">
        <v>-2.4245362661989844E-14</v>
      </c>
      <c r="EA9">
        <v>1459297</v>
      </c>
      <c r="EB9" t="s">
        <v>4584</v>
      </c>
      <c r="EE9" t="s">
        <v>4407</v>
      </c>
      <c r="EF9">
        <v>-2.4245362661989844E-14</v>
      </c>
      <c r="EH9">
        <v>-2.4245362661989844E-14</v>
      </c>
      <c r="EI9" t="s">
        <v>1753</v>
      </c>
      <c r="EJ9">
        <v>2023</v>
      </c>
      <c r="EK9" t="s">
        <v>4408</v>
      </c>
      <c r="EL9" s="6">
        <v>45420</v>
      </c>
      <c r="EM9">
        <v>5</v>
      </c>
      <c r="EN9">
        <v>-2.4245362661989844E-14</v>
      </c>
      <c r="EO9">
        <v>52333389</v>
      </c>
      <c r="EP9" t="s">
        <v>4409</v>
      </c>
      <c r="EU9" t="s">
        <v>1079</v>
      </c>
      <c r="EW9">
        <v>-2.4245362661989844E-14</v>
      </c>
      <c r="EX9">
        <v>-2.4245362661989844E-14</v>
      </c>
      <c r="EY9" t="s">
        <v>1788</v>
      </c>
      <c r="EZ9">
        <v>2025</v>
      </c>
      <c r="FA9" t="s">
        <v>4898</v>
      </c>
      <c r="FB9" s="6">
        <v>45967</v>
      </c>
      <c r="FC9">
        <v>5</v>
      </c>
      <c r="FD9">
        <v>-2.4245362661989844E-14</v>
      </c>
      <c r="FE9">
        <v>216952</v>
      </c>
      <c r="FF9" t="s">
        <v>1899</v>
      </c>
      <c r="FI9" t="s">
        <v>4203</v>
      </c>
      <c r="FJ9">
        <v>-2.4245362661989844E-14</v>
      </c>
      <c r="FL9">
        <v>-2.4245362661989844E-14</v>
      </c>
      <c r="FM9" t="s">
        <v>1753</v>
      </c>
      <c r="FN9">
        <v>2022</v>
      </c>
      <c r="FO9" t="s">
        <v>4195</v>
      </c>
      <c r="FP9" s="6">
        <v>44988</v>
      </c>
      <c r="FQ9">
        <v>5</v>
      </c>
      <c r="FR9">
        <v>-2.4245362661989844E-14</v>
      </c>
      <c r="FS9">
        <v>30467696</v>
      </c>
      <c r="FT9" t="s">
        <v>4204</v>
      </c>
      <c r="IG9" t="s">
        <v>4537</v>
      </c>
      <c r="II9">
        <v>-2.4245362661989844E-14</v>
      </c>
      <c r="IJ9">
        <v>-2.4245362661989844E-14</v>
      </c>
      <c r="IK9" t="s">
        <v>1761</v>
      </c>
      <c r="IL9">
        <v>2025</v>
      </c>
      <c r="IM9" t="s">
        <v>4538</v>
      </c>
      <c r="IN9" s="6">
        <v>45883</v>
      </c>
      <c r="IO9">
        <v>5</v>
      </c>
      <c r="IP9">
        <v>-2.4245362661989844E-14</v>
      </c>
      <c r="IQ9">
        <v>7579901</v>
      </c>
      <c r="IR9" t="s">
        <v>4539</v>
      </c>
      <c r="IU9" t="s">
        <v>3166</v>
      </c>
      <c r="IV9">
        <v>-2.4245362661989844E-14</v>
      </c>
      <c r="IX9">
        <v>-2.4245362661989844E-14</v>
      </c>
      <c r="IY9" t="s">
        <v>1753</v>
      </c>
      <c r="IZ9">
        <v>2022</v>
      </c>
      <c r="JA9" t="s">
        <v>3388</v>
      </c>
      <c r="JB9" s="6">
        <v>45058</v>
      </c>
      <c r="JC9">
        <v>5</v>
      </c>
      <c r="JD9">
        <v>-2.4245362661989844E-14</v>
      </c>
      <c r="JE9">
        <v>9568853</v>
      </c>
      <c r="JF9" t="s">
        <v>3167</v>
      </c>
      <c r="JK9" t="s">
        <v>3246</v>
      </c>
      <c r="JL9" t="s">
        <v>1752</v>
      </c>
      <c r="JM9">
        <v>0.87970999999999999</v>
      </c>
      <c r="JN9">
        <v>7.2147000000000003E-2</v>
      </c>
      <c r="JO9" t="s">
        <v>1788</v>
      </c>
      <c r="JP9">
        <v>2025</v>
      </c>
      <c r="JQ9" t="s">
        <v>3247</v>
      </c>
      <c r="JR9" s="6">
        <v>46001</v>
      </c>
      <c r="JS9">
        <v>5</v>
      </c>
      <c r="JT9">
        <v>230801</v>
      </c>
      <c r="JU9">
        <v>225528</v>
      </c>
      <c r="JV9" t="s">
        <v>3248</v>
      </c>
      <c r="JY9" t="s">
        <v>2425</v>
      </c>
      <c r="JZ9">
        <v>2.9755229999999999</v>
      </c>
      <c r="KA9" t="s">
        <v>1828</v>
      </c>
      <c r="KB9">
        <v>1.8793820000000001</v>
      </c>
      <c r="KC9" t="s">
        <v>1825</v>
      </c>
      <c r="KD9">
        <v>2024</v>
      </c>
      <c r="KE9" t="s">
        <v>2845</v>
      </c>
      <c r="KF9" s="6">
        <v>45714</v>
      </c>
      <c r="KG9">
        <v>5</v>
      </c>
      <c r="KH9">
        <v>22402236</v>
      </c>
      <c r="KI9">
        <v>101460</v>
      </c>
      <c r="KJ9" t="s">
        <v>2427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965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966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967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968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969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970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971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972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973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974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975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976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977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978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979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980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981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982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983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984</v>
      </c>
      <c r="AE2" s="3" t="s">
        <v>348</v>
      </c>
      <c r="BI2" s="3" t="s">
        <v>985</v>
      </c>
      <c r="CM2" s="3" t="s">
        <v>986</v>
      </c>
      <c r="DQ2" s="3" t="s">
        <v>987</v>
      </c>
      <c r="EU2" s="3" t="s">
        <v>337</v>
      </c>
      <c r="FY2" s="3" t="s">
        <v>260</v>
      </c>
      <c r="HC2" s="3" t="s">
        <v>77</v>
      </c>
      <c r="IG2" s="3" t="s">
        <v>988</v>
      </c>
      <c r="JK2" s="3" t="s">
        <v>989</v>
      </c>
      <c r="KO2" s="3" t="s">
        <v>990</v>
      </c>
      <c r="LS2" s="3" t="s">
        <v>991</v>
      </c>
      <c r="MW2" s="3" t="s">
        <v>498</v>
      </c>
      <c r="OA2" s="3" t="s">
        <v>710</v>
      </c>
      <c r="PE2" s="3" t="s">
        <v>992</v>
      </c>
      <c r="QI2" s="3" t="s">
        <v>993</v>
      </c>
      <c r="RM2" s="3" t="s">
        <v>994</v>
      </c>
      <c r="SQ2" s="3" t="s">
        <v>995</v>
      </c>
      <c r="TU2" s="3" t="s">
        <v>996</v>
      </c>
      <c r="UY2" s="3" t="s">
        <v>997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_xll.BDS("CTITQ US Equity","SUPPLY_CHAIN_SUPPLIERS_ALL_DATA")</f>
        <v>#N/A N/A</v>
      </c>
      <c r="O5" t="str">
        <f>_xll.BDS("CTITQ US Equity","SUPPLY_CHAIN_CUSTOMERS_ALL_DATA")</f>
        <v>#N/A N/A</v>
      </c>
      <c r="AE5" t="str">
        <f>_xll.BDS("PB US Equity","SUPPLY_CHAIN_SUPPLIERS_ALL_DATA")</f>
        <v>#N/A N/A</v>
      </c>
      <c r="AS5" t="str">
        <f>_xll.BDS("PB US Equity","SUPPLY_CHAIN_CUSTOMERS_ALL_DATA")</f>
        <v>#N/A N/A</v>
      </c>
      <c r="BI5" t="str">
        <f>_xll.BDS("VIAS US Equity","SUPPLY_CHAIN_SUPPLIERS_ALL_DATA")</f>
        <v>#N/A N/A</v>
      </c>
      <c r="BW5" t="str">
        <f>_xll.BDS("VIAS US Equity","SUPPLY_CHAIN_CUSTOMERS_ALL_DATA")</f>
        <v>#N/A N/A</v>
      </c>
      <c r="CM5" t="str">
        <f>_xll.BDS("LFGRQ US Equity","SUPPLY_CHAIN_SUPPLIERS_ALL_DATA")</f>
        <v>#N/A N/A</v>
      </c>
      <c r="DA5" t="str">
        <f>_xll.BDS("LFGRQ US Equity","SUPPLY_CHAIN_CUSTOMERS_ALL_DATA")</f>
        <v>#N/A N/A</v>
      </c>
      <c r="DQ5" t="str">
        <f>_xll.BDS("NIC US Equity","SUPPLY_CHAIN_SUPPLIERS_ALL_DATA","cols=12;rows=1")</f>
        <v>VYX US Equity</v>
      </c>
      <c r="DS5">
        <v>-2.4245362661989844E-14</v>
      </c>
      <c r="DT5">
        <v>-2.4245362661989844E-14</v>
      </c>
      <c r="DU5" t="s">
        <v>1825</v>
      </c>
      <c r="DV5">
        <v>2023</v>
      </c>
      <c r="DW5" t="s">
        <v>4921</v>
      </c>
      <c r="DX5" s="6">
        <v>45730</v>
      </c>
      <c r="DY5">
        <v>1</v>
      </c>
      <c r="DZ5">
        <v>-2.4245362661989844E-14</v>
      </c>
      <c r="EA5">
        <v>202476</v>
      </c>
      <c r="EB5" t="s">
        <v>2227</v>
      </c>
      <c r="EE5" t="str">
        <f>_xll.BDS("NIC US Equity","SUPPLY_CHAIN_CUSTOMERS_ALL_DATA")</f>
        <v>#N/A N/A</v>
      </c>
      <c r="EU5" t="str">
        <f>_xll.BDS("CFR US Equity","SUPPLY_CHAIN_SUPPLIERS_ALL_DATA","cols=12;rows=4")</f>
        <v>INFO IN Equity</v>
      </c>
      <c r="EV5" t="s">
        <v>1940</v>
      </c>
      <c r="EW5">
        <v>0.140711</v>
      </c>
      <c r="EX5">
        <v>1.91015</v>
      </c>
      <c r="EY5" t="s">
        <v>1825</v>
      </c>
      <c r="EZ5">
        <v>2025</v>
      </c>
      <c r="FA5" t="s">
        <v>3019</v>
      </c>
      <c r="FB5" s="6">
        <v>45810</v>
      </c>
      <c r="FC5">
        <v>4</v>
      </c>
      <c r="FD5">
        <v>6650110.3899999997</v>
      </c>
      <c r="FE5">
        <v>174545</v>
      </c>
      <c r="FF5" t="s">
        <v>3020</v>
      </c>
      <c r="FI5" t="str">
        <f>_xll.BDS("CFR US Equity","SUPPLY_CHAIN_CUSTOMERS_ALL_DATA")</f>
        <v>#N/A N/A</v>
      </c>
      <c r="FY5" t="str">
        <f>_xll.BDS("GE US Equity","SUPPLY_CHAIN_SUPPLIERS_ALL_DATA","cols=12;rows=5")</f>
        <v>SAF FP Equity</v>
      </c>
      <c r="FZ5" t="s">
        <v>1752</v>
      </c>
      <c r="GA5">
        <v>7.9101749999999997</v>
      </c>
      <c r="GB5">
        <v>9.7364909999999991</v>
      </c>
      <c r="GC5" t="s">
        <v>1774</v>
      </c>
      <c r="GD5">
        <v>2025</v>
      </c>
      <c r="GE5" t="s">
        <v>2600</v>
      </c>
      <c r="GF5" s="6">
        <v>45874</v>
      </c>
      <c r="GG5">
        <v>5</v>
      </c>
      <c r="GH5">
        <v>666294015.34000003</v>
      </c>
      <c r="GI5">
        <v>115519</v>
      </c>
      <c r="GJ5" t="s">
        <v>2601</v>
      </c>
      <c r="GM5" t="str">
        <f>_xll.BDS("GE US Equity","SUPPLY_CHAIN_CUSTOMERS_ALL_DATA","cols=12;rows=5")</f>
        <v>3352Z US Equity</v>
      </c>
      <c r="GN5">
        <v>10</v>
      </c>
      <c r="GP5">
        <v>-2.4245362661989844E-14</v>
      </c>
      <c r="GQ5" t="s">
        <v>1753</v>
      </c>
      <c r="GR5">
        <v>2025</v>
      </c>
      <c r="GS5" t="s">
        <v>4410</v>
      </c>
      <c r="GT5" s="6">
        <v>46051</v>
      </c>
      <c r="GU5">
        <v>5</v>
      </c>
      <c r="GV5">
        <v>1146375040</v>
      </c>
      <c r="GW5">
        <v>218252</v>
      </c>
      <c r="GX5" t="s">
        <v>1793</v>
      </c>
      <c r="HC5" t="str">
        <f>_xll.BDS("IBM US Equity","SUPPLY_CHAIN_SUPPLIERS_ALL_DATA","cols=12;rows=5")</f>
        <v>005930 KS Equity</v>
      </c>
      <c r="HD5" t="s">
        <v>1752</v>
      </c>
      <c r="HE5">
        <v>0.49490499999999998</v>
      </c>
      <c r="HF5">
        <v>4.1423690000000004</v>
      </c>
      <c r="HG5" t="s">
        <v>1781</v>
      </c>
      <c r="HH5">
        <v>2025</v>
      </c>
      <c r="HI5" t="s">
        <v>1869</v>
      </c>
      <c r="HJ5" s="6">
        <v>45797</v>
      </c>
      <c r="HK5">
        <v>5</v>
      </c>
      <c r="HL5">
        <v>269668224</v>
      </c>
      <c r="HM5">
        <v>117929</v>
      </c>
      <c r="HN5" t="s">
        <v>1873</v>
      </c>
      <c r="HQ5" t="str">
        <f>_xll.BDS("IBM US Equity","SUPPLY_CHAIN_CUSTOMERS_ALL_DATA","cols=12;rows=5")</f>
        <v>AMZN US Equity</v>
      </c>
      <c r="HR5">
        <v>4.454224</v>
      </c>
      <c r="HS5" t="s">
        <v>1752</v>
      </c>
      <c r="HT5">
        <v>0.84141600000000005</v>
      </c>
      <c r="HU5" t="s">
        <v>1781</v>
      </c>
      <c r="HV5">
        <v>2025</v>
      </c>
      <c r="HW5" t="s">
        <v>1869</v>
      </c>
      <c r="HX5" s="6">
        <v>45797</v>
      </c>
      <c r="HY5">
        <v>5</v>
      </c>
      <c r="HZ5">
        <v>647688704</v>
      </c>
      <c r="IA5">
        <v>216952</v>
      </c>
      <c r="IB5" t="s">
        <v>1899</v>
      </c>
      <c r="IG5" t="str">
        <f>_xll.BDS("345605Q US Equity","SUPPLY_CHAIN_SUPPLIERS_ALL_DATA")</f>
        <v>#N/A N/A</v>
      </c>
      <c r="IU5" t="str">
        <f>_xll.BDS("345605Q US Equity","SUPPLY_CHAIN_CUSTOMERS_ALL_DATA")</f>
        <v>#N/A N/A</v>
      </c>
      <c r="JK5" t="str">
        <f>_xll.BDS("UVSP US Equity","SUPPLY_CHAIN_SUPPLIERS_ALL_DATA")</f>
        <v>#N/A N/A</v>
      </c>
      <c r="JY5" t="str">
        <f>_xll.BDS("UVSP US Equity","SUPPLY_CHAIN_CUSTOMERS_ALL_DATA")</f>
        <v>#N/A N/A</v>
      </c>
      <c r="KO5" t="str">
        <f>_xll.BDS("A US Equity","SUPPLY_CHAIN_SUPPLIERS_ALL_DATA","cols=12;rows=5")</f>
        <v>FLEX US Equity</v>
      </c>
      <c r="KP5" t="s">
        <v>1752</v>
      </c>
      <c r="KQ5">
        <v>0.34430100000000002</v>
      </c>
      <c r="KR5">
        <v>2.8864930000000002</v>
      </c>
      <c r="KS5" t="s">
        <v>1788</v>
      </c>
      <c r="KT5">
        <v>2025</v>
      </c>
      <c r="KU5" t="s">
        <v>2213</v>
      </c>
      <c r="KV5" s="6">
        <v>45763</v>
      </c>
      <c r="KW5">
        <v>5</v>
      </c>
      <c r="KX5">
        <v>22572374</v>
      </c>
      <c r="KY5">
        <v>136547</v>
      </c>
      <c r="KZ5" t="s">
        <v>2214</v>
      </c>
      <c r="LC5" t="str">
        <f>_xll.BDS("A US Equity","SUPPLY_CHAIN_CUSTOMERS_ALL_DATA","cols=12;rows=5")</f>
        <v>6661 TT Equity</v>
      </c>
      <c r="LD5">
        <v>2.7417E-2</v>
      </c>
      <c r="LE5" t="s">
        <v>1752</v>
      </c>
      <c r="LF5">
        <v>31.630337000000001</v>
      </c>
      <c r="LG5" t="s">
        <v>1753</v>
      </c>
      <c r="LH5">
        <v>2024</v>
      </c>
      <c r="LI5" t="s">
        <v>3802</v>
      </c>
      <c r="LJ5" s="6">
        <v>45783</v>
      </c>
      <c r="LK5">
        <v>5</v>
      </c>
      <c r="LL5">
        <v>459641.5</v>
      </c>
      <c r="LM5">
        <v>55506031</v>
      </c>
      <c r="LN5" t="s">
        <v>3803</v>
      </c>
      <c r="LS5" t="str">
        <f>_xll.BDS("KR US Equity","SUPPLY_CHAIN_SUPPLIERS_ALL_DATA","cols=12;rows=5")</f>
        <v>CAH US Equity</v>
      </c>
      <c r="LT5" t="s">
        <v>1752</v>
      </c>
      <c r="LU5">
        <v>3.1469290000000001</v>
      </c>
      <c r="LV5">
        <v>7.2451629999999998</v>
      </c>
      <c r="LW5" t="s">
        <v>1825</v>
      </c>
      <c r="LX5">
        <v>2025</v>
      </c>
      <c r="LY5" t="s">
        <v>3553</v>
      </c>
      <c r="LZ5" s="6">
        <v>45954</v>
      </c>
      <c r="MA5">
        <v>5</v>
      </c>
      <c r="MB5">
        <v>1893160960</v>
      </c>
      <c r="MC5">
        <v>102782</v>
      </c>
      <c r="MD5" t="s">
        <v>1991</v>
      </c>
      <c r="MG5" t="str">
        <f>_xll.BDS("KR US Equity","SUPPLY_CHAIN_CUSTOMERS_ALL_DATA","cols=12;rows=1")</f>
        <v>TTD US Equity</v>
      </c>
      <c r="MH5">
        <v>-2.4245362661989844E-14</v>
      </c>
      <c r="MJ5">
        <v>-2.4245362661989844E-14</v>
      </c>
      <c r="MK5" t="s">
        <v>1788</v>
      </c>
      <c r="ML5">
        <v>2025</v>
      </c>
      <c r="MM5" t="s">
        <v>4389</v>
      </c>
      <c r="MN5" s="6">
        <v>45971</v>
      </c>
      <c r="MO5">
        <v>1</v>
      </c>
      <c r="MP5">
        <v>-2.4245362661989844E-14</v>
      </c>
      <c r="MQ5">
        <v>39234675</v>
      </c>
      <c r="MR5" t="s">
        <v>4390</v>
      </c>
      <c r="MW5" t="str">
        <f>_xll.BDS("9980328D US Equity","SUPPLY_CHAIN_SUPPLIERS_ALL_DATA","cols=12;rows=5")</f>
        <v>1052024D US Equity</v>
      </c>
      <c r="MY5">
        <v>-2.4245362661989844E-14</v>
      </c>
      <c r="MZ5">
        <v>-2.4245362661989844E-14</v>
      </c>
      <c r="NA5" t="s">
        <v>1753</v>
      </c>
      <c r="NB5">
        <v>2024</v>
      </c>
      <c r="NC5" t="s">
        <v>3392</v>
      </c>
      <c r="ND5" s="6">
        <v>45358</v>
      </c>
      <c r="NE5">
        <v>5</v>
      </c>
      <c r="NF5">
        <v>-2.4245362661989844E-14</v>
      </c>
      <c r="NG5">
        <v>41866638</v>
      </c>
      <c r="NH5" t="s">
        <v>3191</v>
      </c>
      <c r="NK5" t="str">
        <f>_xll.BDS("9980328D US Equity","SUPPLY_CHAIN_CUSTOMERS_ALL_DATA","cols=12;rows=5")</f>
        <v>002630 KS Equity</v>
      </c>
      <c r="NL5">
        <v>-2.4245362661989844E-14</v>
      </c>
      <c r="NN5">
        <v>-2.4245362661989844E-14</v>
      </c>
      <c r="NO5" t="s">
        <v>1768</v>
      </c>
      <c r="NP5">
        <v>2023</v>
      </c>
      <c r="NQ5" t="s">
        <v>3389</v>
      </c>
      <c r="NR5" s="6">
        <v>44971</v>
      </c>
      <c r="NS5">
        <v>5</v>
      </c>
      <c r="NT5">
        <v>-2.4245362661989844E-14</v>
      </c>
      <c r="NU5">
        <v>129294</v>
      </c>
      <c r="NV5" t="s">
        <v>3390</v>
      </c>
      <c r="OA5" t="str">
        <f>_xll.BDS("FITB US Equity","SUPPLY_CHAIN_SUPPLIERS_ALL_DATA","cols=12;rows=5")</f>
        <v>004800 KS Equity</v>
      </c>
      <c r="OC5">
        <v>-2.4245362661989844E-14</v>
      </c>
      <c r="OD5">
        <v>-2.4245362661989844E-14</v>
      </c>
      <c r="OE5" t="s">
        <v>1761</v>
      </c>
      <c r="OF5">
        <v>2025</v>
      </c>
      <c r="OG5" t="s">
        <v>2829</v>
      </c>
      <c r="OH5" s="6">
        <v>45883</v>
      </c>
      <c r="OI5">
        <v>5</v>
      </c>
      <c r="OJ5">
        <v>-2.4245362661989844E-14</v>
      </c>
      <c r="OK5">
        <v>118099</v>
      </c>
      <c r="OL5" t="s">
        <v>2137</v>
      </c>
      <c r="OO5" t="str">
        <f>_xll.BDS("FITB US Equity","SUPPLY_CHAIN_CUSTOMERS_ALL_DATA","cols=12;rows=1")</f>
        <v>USIO US Equity</v>
      </c>
      <c r="OP5">
        <v>-2.4245362661989844E-14</v>
      </c>
      <c r="OR5">
        <v>-2.4245362661989844E-14</v>
      </c>
      <c r="OS5" t="s">
        <v>1753</v>
      </c>
      <c r="OT5">
        <v>2024</v>
      </c>
      <c r="OU5" t="s">
        <v>1895</v>
      </c>
      <c r="OV5" s="6">
        <v>45742</v>
      </c>
      <c r="OW5">
        <v>1</v>
      </c>
      <c r="OX5">
        <v>-2.4245362661989844E-14</v>
      </c>
      <c r="OY5">
        <v>381245</v>
      </c>
      <c r="OZ5" t="s">
        <v>1896</v>
      </c>
      <c r="PE5" t="str">
        <f>_xll.BDS("TDY US Equity","SUPPLY_CHAIN_SUPPLIERS_ALL_DATA","cols=12;rows=5")</f>
        <v>VOYG US Equity</v>
      </c>
      <c r="PF5" t="s">
        <v>1752</v>
      </c>
      <c r="PG5">
        <v>5</v>
      </c>
      <c r="PH5">
        <v>0.21875900000000001</v>
      </c>
      <c r="PI5" t="s">
        <v>1753</v>
      </c>
      <c r="PJ5">
        <v>2024</v>
      </c>
      <c r="PK5" t="s">
        <v>2630</v>
      </c>
      <c r="PL5" s="6">
        <v>45793</v>
      </c>
      <c r="PM5">
        <v>5</v>
      </c>
      <c r="PN5">
        <v>1802250</v>
      </c>
      <c r="PO5">
        <v>66280962</v>
      </c>
      <c r="PP5" t="s">
        <v>2631</v>
      </c>
      <c r="PS5" t="str">
        <f>_xll.BDS("TDY US Equity","SUPPLY_CHAIN_CUSTOMERS_ALL_DATA","cols=12;rows=5")</f>
        <v>3352Z US Equity</v>
      </c>
      <c r="PT5">
        <v>25.5</v>
      </c>
      <c r="PV5">
        <v>-2.4245362661989844E-14</v>
      </c>
      <c r="PW5" t="s">
        <v>1753</v>
      </c>
      <c r="PX5">
        <v>2025</v>
      </c>
      <c r="PY5" t="s">
        <v>3487</v>
      </c>
      <c r="PZ5" s="6">
        <v>46073</v>
      </c>
      <c r="QA5">
        <v>5</v>
      </c>
      <c r="QB5">
        <v>389850000</v>
      </c>
      <c r="QC5">
        <v>218252</v>
      </c>
      <c r="QD5" t="s">
        <v>1793</v>
      </c>
      <c r="QI5" t="str">
        <f>_xll.BDS("RIG US Equity","SUPPLY_CHAIN_SUPPLIERS_ALL_DATA","cols=12;rows=5")</f>
        <v>PDM US Equity</v>
      </c>
      <c r="QJ5" t="s">
        <v>1940</v>
      </c>
      <c r="QK5">
        <v>2.0547970000000002</v>
      </c>
      <c r="QL5">
        <v>5.4761680000000004</v>
      </c>
      <c r="QM5" t="s">
        <v>1753</v>
      </c>
      <c r="QN5">
        <v>2024</v>
      </c>
      <c r="QO5" t="s">
        <v>2288</v>
      </c>
      <c r="QP5" s="6">
        <v>45702</v>
      </c>
      <c r="QQ5">
        <v>5</v>
      </c>
      <c r="QR5">
        <v>2929750</v>
      </c>
      <c r="QS5">
        <v>225922</v>
      </c>
      <c r="QT5" t="s">
        <v>2289</v>
      </c>
      <c r="QW5" t="str">
        <f>_xll.BDS("RIG US Equity","SUPPLY_CHAIN_CUSTOMERS_ALL_DATA","cols=12;rows=5")</f>
        <v>PETR4 BZ Equity</v>
      </c>
      <c r="QX5">
        <v>22</v>
      </c>
      <c r="QY5" t="s">
        <v>1828</v>
      </c>
      <c r="QZ5">
        <v>5.0154269999999999</v>
      </c>
      <c r="RA5" t="s">
        <v>1753</v>
      </c>
      <c r="RB5">
        <v>2025</v>
      </c>
      <c r="RC5" t="s">
        <v>2032</v>
      </c>
      <c r="RD5" s="6">
        <v>46076</v>
      </c>
      <c r="RE5">
        <v>5</v>
      </c>
      <c r="RF5">
        <v>218075008</v>
      </c>
      <c r="RG5">
        <v>136114</v>
      </c>
      <c r="RH5" t="s">
        <v>2033</v>
      </c>
      <c r="RM5" t="str">
        <f>_xll.BDS("SAH US Equity","SUPPLY_CHAIN_SUPPLIERS_ALL_DATA","cols=12;rows=5")</f>
        <v>BMW GR Equity</v>
      </c>
      <c r="RN5" t="s">
        <v>1752</v>
      </c>
      <c r="RO5">
        <v>1.059558</v>
      </c>
      <c r="RP5">
        <v>12.225441999999999</v>
      </c>
      <c r="RQ5" t="s">
        <v>1825</v>
      </c>
      <c r="RR5">
        <v>2025</v>
      </c>
      <c r="RS5" t="s">
        <v>5708</v>
      </c>
      <c r="RT5" s="6">
        <v>46083</v>
      </c>
      <c r="RU5">
        <v>5</v>
      </c>
      <c r="RV5">
        <v>400089824</v>
      </c>
      <c r="RW5">
        <v>115682</v>
      </c>
      <c r="RX5" t="s">
        <v>4321</v>
      </c>
      <c r="SA5" t="str">
        <f>_xll.BDS("SAH US Equity","SUPPLY_CHAIN_CUSTOMERS_ALL_DATA")</f>
        <v>#N/A N/A</v>
      </c>
      <c r="SQ5" t="str">
        <f>_xll.BDS("SF US Equity","SUPPLY_CHAIN_SUPPLIERS_ALL_DATA","cols=12;rows=4")</f>
        <v>AHRT US Equity</v>
      </c>
      <c r="SS5">
        <v>-2.4245362661989844E-14</v>
      </c>
      <c r="ST5">
        <v>-2.4245362661989844E-14</v>
      </c>
      <c r="SU5" t="s">
        <v>1788</v>
      </c>
      <c r="SV5">
        <v>2025</v>
      </c>
      <c r="SW5" t="s">
        <v>5676</v>
      </c>
      <c r="SX5" s="6">
        <v>45966</v>
      </c>
      <c r="SY5">
        <v>4</v>
      </c>
      <c r="SZ5">
        <v>-2.4245362661989844E-14</v>
      </c>
      <c r="TA5">
        <v>34865158</v>
      </c>
      <c r="TB5" t="s">
        <v>5677</v>
      </c>
      <c r="TE5" t="str">
        <f>_xll.BDS("SF US Equity","SUPPLY_CHAIN_CUSTOMERS_ALL_DATA","cols=12;rows=1")</f>
        <v>MRX US Equity</v>
      </c>
      <c r="TF5">
        <v>-2.4245362661989844E-14</v>
      </c>
      <c r="TH5">
        <v>-2.4245362661989844E-14</v>
      </c>
      <c r="TI5" t="s">
        <v>1753</v>
      </c>
      <c r="TJ5">
        <v>2024</v>
      </c>
      <c r="TK5" t="s">
        <v>4163</v>
      </c>
      <c r="TL5" s="6">
        <v>45440</v>
      </c>
      <c r="TM5">
        <v>1</v>
      </c>
      <c r="TN5">
        <v>-2.4245362661989844E-14</v>
      </c>
      <c r="TO5">
        <v>25906381</v>
      </c>
      <c r="TP5" t="s">
        <v>4164</v>
      </c>
      <c r="TU5" t="str">
        <f>_xll.BDS("SOCNQ US Equity","SUPPLY_CHAIN_SUPPLIERS_ALL_DATA")</f>
        <v>#N/A N/A</v>
      </c>
      <c r="UI5" t="str">
        <f>_xll.BDS("SOCNQ US Equity","SUPPLY_CHAIN_CUSTOMERS_ALL_DATA","cols=12;rows=1")</f>
        <v>GSANBOB1 MM Equity</v>
      </c>
      <c r="UJ5">
        <v>-2.4245362661989844E-14</v>
      </c>
      <c r="UL5">
        <v>-2.4245362661989844E-14</v>
      </c>
      <c r="UM5" t="s">
        <v>1753</v>
      </c>
      <c r="UN5">
        <v>2022</v>
      </c>
      <c r="UO5" t="s">
        <v>3788</v>
      </c>
      <c r="UP5" s="6">
        <v>44986</v>
      </c>
      <c r="UQ5">
        <v>1</v>
      </c>
      <c r="UR5">
        <v>-2.4245362661989844E-14</v>
      </c>
      <c r="US5">
        <v>34160980</v>
      </c>
      <c r="UT5" t="s">
        <v>3789</v>
      </c>
      <c r="UY5" t="str">
        <f>_xll.BDS("201998Q US Equity","SUPPLY_CHAIN_SUPPLIERS_ALL_DATA")</f>
        <v>#N/A N/A</v>
      </c>
      <c r="VM5" t="str">
        <f>_xll.BDS("201998Q US Equity","SUPPLY_CHAIN_CUSTOMERS_ALL_DATA")</f>
        <v>#N/A N/A</v>
      </c>
    </row>
    <row r="6" spans="1:600" x14ac:dyDescent="0.25">
      <c r="EU6" t="s">
        <v>3021</v>
      </c>
      <c r="EV6" t="s">
        <v>1940</v>
      </c>
      <c r="EW6">
        <v>1.2710490000000001</v>
      </c>
      <c r="EX6">
        <v>0.15052699999999999</v>
      </c>
      <c r="EY6" t="s">
        <v>1753</v>
      </c>
      <c r="EZ6">
        <v>2024</v>
      </c>
      <c r="FA6" t="s">
        <v>3022</v>
      </c>
      <c r="FB6" s="6">
        <v>45733</v>
      </c>
      <c r="FC6">
        <v>4</v>
      </c>
      <c r="FD6">
        <v>490250</v>
      </c>
      <c r="FE6">
        <v>9012118</v>
      </c>
      <c r="FF6" t="s">
        <v>3023</v>
      </c>
      <c r="FY6" t="s">
        <v>2602</v>
      </c>
      <c r="FZ6" t="s">
        <v>1752</v>
      </c>
      <c r="GA6">
        <v>13.760432</v>
      </c>
      <c r="GB6">
        <v>4.7536569999999996</v>
      </c>
      <c r="GC6" t="s">
        <v>1774</v>
      </c>
      <c r="GD6">
        <v>2025</v>
      </c>
      <c r="GE6" t="s">
        <v>2603</v>
      </c>
      <c r="GF6" s="6">
        <v>45937</v>
      </c>
      <c r="GG6">
        <v>5</v>
      </c>
      <c r="GH6">
        <v>325305405.77999997</v>
      </c>
      <c r="GI6">
        <v>8445936</v>
      </c>
      <c r="GJ6" t="s">
        <v>2604</v>
      </c>
      <c r="GM6" t="s">
        <v>3366</v>
      </c>
      <c r="GN6">
        <v>9.2636719999999997</v>
      </c>
      <c r="GO6" t="s">
        <v>1752</v>
      </c>
      <c r="GP6">
        <v>5.0267530000000002</v>
      </c>
      <c r="GQ6" t="s">
        <v>1774</v>
      </c>
      <c r="GR6">
        <v>2025</v>
      </c>
      <c r="GS6" t="s">
        <v>2518</v>
      </c>
      <c r="GT6" s="6">
        <v>45888</v>
      </c>
      <c r="GU6">
        <v>5</v>
      </c>
      <c r="GV6">
        <v>1021134592</v>
      </c>
      <c r="GW6">
        <v>100211</v>
      </c>
      <c r="GX6" t="s">
        <v>3368</v>
      </c>
      <c r="HC6" t="s">
        <v>229</v>
      </c>
      <c r="HD6" t="s">
        <v>1752</v>
      </c>
      <c r="HE6">
        <v>0.86485599999999996</v>
      </c>
      <c r="HF6">
        <v>4.0630959999999998</v>
      </c>
      <c r="HG6" t="s">
        <v>1781</v>
      </c>
      <c r="HH6">
        <v>2025</v>
      </c>
      <c r="HI6" t="s">
        <v>1869</v>
      </c>
      <c r="HJ6" s="6">
        <v>45797</v>
      </c>
      <c r="HK6">
        <v>5</v>
      </c>
      <c r="HL6">
        <v>264507552</v>
      </c>
      <c r="HM6">
        <v>101376</v>
      </c>
      <c r="HN6" t="s">
        <v>2334</v>
      </c>
      <c r="HQ6" t="s">
        <v>226</v>
      </c>
      <c r="HR6">
        <v>3.8131789999999999</v>
      </c>
      <c r="HS6" t="s">
        <v>1752</v>
      </c>
      <c r="HT6">
        <v>2.529652</v>
      </c>
      <c r="HU6" t="s">
        <v>1781</v>
      </c>
      <c r="HV6">
        <v>2025</v>
      </c>
      <c r="HW6" t="s">
        <v>1869</v>
      </c>
      <c r="HX6" s="6">
        <v>45797</v>
      </c>
      <c r="HY6">
        <v>5</v>
      </c>
      <c r="HZ6">
        <v>554474368</v>
      </c>
      <c r="IA6">
        <v>101743</v>
      </c>
      <c r="IB6" t="s">
        <v>2156</v>
      </c>
      <c r="KO6" t="s">
        <v>3976</v>
      </c>
      <c r="KP6" t="s">
        <v>1752</v>
      </c>
      <c r="KQ6">
        <v>0.394424</v>
      </c>
      <c r="KR6">
        <v>0.34537699999999999</v>
      </c>
      <c r="KS6" t="s">
        <v>1781</v>
      </c>
      <c r="KT6">
        <v>2025</v>
      </c>
      <c r="KU6" t="s">
        <v>3977</v>
      </c>
      <c r="KV6" s="6">
        <v>45958</v>
      </c>
      <c r="KW6">
        <v>5</v>
      </c>
      <c r="KX6">
        <v>2908786.82</v>
      </c>
      <c r="KY6">
        <v>111769</v>
      </c>
      <c r="KZ6" t="s">
        <v>3978</v>
      </c>
      <c r="LC6" t="s">
        <v>3804</v>
      </c>
      <c r="LD6">
        <v>-2.4245362661989844E-14</v>
      </c>
      <c r="LF6">
        <v>-2.4245362661989844E-14</v>
      </c>
      <c r="LG6" t="s">
        <v>1753</v>
      </c>
      <c r="LH6">
        <v>2022</v>
      </c>
      <c r="LI6" t="s">
        <v>3805</v>
      </c>
      <c r="LJ6" s="6">
        <v>45044</v>
      </c>
      <c r="LK6">
        <v>5</v>
      </c>
      <c r="LL6">
        <v>-2.4245362661989844E-14</v>
      </c>
      <c r="LM6">
        <v>21756021</v>
      </c>
      <c r="LN6" t="s">
        <v>3806</v>
      </c>
      <c r="LS6" t="s">
        <v>4630</v>
      </c>
      <c r="LT6" t="s">
        <v>1752</v>
      </c>
      <c r="LU6">
        <v>5.077191</v>
      </c>
      <c r="LV6">
        <v>3.3744339999999999</v>
      </c>
      <c r="LW6" t="s">
        <v>1774</v>
      </c>
      <c r="LX6">
        <v>2025</v>
      </c>
      <c r="LY6" t="s">
        <v>4631</v>
      </c>
      <c r="LZ6" s="6">
        <v>45855</v>
      </c>
      <c r="MA6">
        <v>5</v>
      </c>
      <c r="MB6">
        <v>1165900800</v>
      </c>
      <c r="MC6">
        <v>101158</v>
      </c>
      <c r="MD6" t="s">
        <v>4632</v>
      </c>
      <c r="MW6" t="s">
        <v>5777</v>
      </c>
      <c r="MY6">
        <v>-2.4245362661989844E-14</v>
      </c>
      <c r="MZ6">
        <v>-2.4245362661989844E-14</v>
      </c>
      <c r="NA6" t="s">
        <v>1753</v>
      </c>
      <c r="NB6">
        <v>2023</v>
      </c>
      <c r="NC6" t="s">
        <v>3392</v>
      </c>
      <c r="ND6" s="6">
        <v>45068</v>
      </c>
      <c r="NE6">
        <v>5</v>
      </c>
      <c r="NF6">
        <v>-2.4245362661989844E-14</v>
      </c>
      <c r="NG6">
        <v>37260707</v>
      </c>
      <c r="NH6" t="s">
        <v>5778</v>
      </c>
      <c r="NK6" t="s">
        <v>3391</v>
      </c>
      <c r="NL6">
        <v>-2.4245362661989844E-14</v>
      </c>
      <c r="NN6">
        <v>-2.4245362661989844E-14</v>
      </c>
      <c r="NO6" t="s">
        <v>1753</v>
      </c>
      <c r="NP6">
        <v>2022</v>
      </c>
      <c r="NQ6" t="s">
        <v>3392</v>
      </c>
      <c r="NR6" s="6">
        <v>44732</v>
      </c>
      <c r="NS6">
        <v>5</v>
      </c>
      <c r="NT6">
        <v>-2.4245362661989844E-14</v>
      </c>
      <c r="NU6">
        <v>69656039</v>
      </c>
      <c r="NV6" t="s">
        <v>3393</v>
      </c>
      <c r="OA6" t="s">
        <v>2830</v>
      </c>
      <c r="OC6">
        <v>-2.4245362661989844E-14</v>
      </c>
      <c r="OD6">
        <v>-2.4245362661989844E-14</v>
      </c>
      <c r="OE6" t="s">
        <v>1788</v>
      </c>
      <c r="OF6">
        <v>2024</v>
      </c>
      <c r="OG6" t="s">
        <v>2831</v>
      </c>
      <c r="OH6" s="6">
        <v>45608</v>
      </c>
      <c r="OI6">
        <v>5</v>
      </c>
      <c r="OJ6">
        <v>-2.4245362661989844E-14</v>
      </c>
      <c r="OK6">
        <v>159743</v>
      </c>
      <c r="OL6" t="s">
        <v>2832</v>
      </c>
      <c r="PE6" t="s">
        <v>2632</v>
      </c>
      <c r="PF6" t="s">
        <v>1752</v>
      </c>
      <c r="PG6">
        <v>0.172237</v>
      </c>
      <c r="PH6">
        <v>0.17371900000000001</v>
      </c>
      <c r="PI6" t="s">
        <v>1774</v>
      </c>
      <c r="PJ6">
        <v>2025</v>
      </c>
      <c r="PK6" t="s">
        <v>2633</v>
      </c>
      <c r="PL6" s="6">
        <v>45912</v>
      </c>
      <c r="PM6">
        <v>5</v>
      </c>
      <c r="PN6">
        <v>1509788</v>
      </c>
      <c r="PO6">
        <v>100421</v>
      </c>
      <c r="PP6" t="s">
        <v>2634</v>
      </c>
      <c r="PS6" t="s">
        <v>3366</v>
      </c>
      <c r="PT6">
        <v>1.7060219999999999</v>
      </c>
      <c r="PU6" t="s">
        <v>1752</v>
      </c>
      <c r="PV6">
        <v>0.12712399999999999</v>
      </c>
      <c r="PW6" t="s">
        <v>1774</v>
      </c>
      <c r="PX6">
        <v>2025</v>
      </c>
      <c r="PY6" t="s">
        <v>3488</v>
      </c>
      <c r="PZ6" s="6">
        <v>45874</v>
      </c>
      <c r="QA6">
        <v>5</v>
      </c>
      <c r="QB6">
        <v>25824056</v>
      </c>
      <c r="QC6">
        <v>100211</v>
      </c>
      <c r="QD6" t="s">
        <v>3368</v>
      </c>
      <c r="QI6" t="s">
        <v>2053</v>
      </c>
      <c r="QJ6" t="s">
        <v>1752</v>
      </c>
      <c r="QK6">
        <v>0.143071</v>
      </c>
      <c r="QL6">
        <v>0.121754</v>
      </c>
      <c r="QM6" t="s">
        <v>1788</v>
      </c>
      <c r="QN6">
        <v>2025</v>
      </c>
      <c r="QO6" t="s">
        <v>2054</v>
      </c>
      <c r="QP6" s="6">
        <v>46027</v>
      </c>
      <c r="QQ6">
        <v>5</v>
      </c>
      <c r="QR6">
        <v>907070</v>
      </c>
      <c r="QS6">
        <v>36965288</v>
      </c>
      <c r="QT6" t="s">
        <v>2055</v>
      </c>
      <c r="QW6" t="s">
        <v>345</v>
      </c>
      <c r="QX6">
        <v>14.893827999999999</v>
      </c>
      <c r="QY6" t="s">
        <v>1828</v>
      </c>
      <c r="QZ6">
        <v>3.5820059999999998</v>
      </c>
      <c r="RA6" t="s">
        <v>1825</v>
      </c>
      <c r="RB6">
        <v>2025</v>
      </c>
      <c r="RC6" t="s">
        <v>2034</v>
      </c>
      <c r="RD6" s="6">
        <v>46090</v>
      </c>
      <c r="RE6">
        <v>5</v>
      </c>
      <c r="RF6">
        <v>155342624</v>
      </c>
      <c r="RG6">
        <v>100315</v>
      </c>
      <c r="RH6" t="s">
        <v>2035</v>
      </c>
      <c r="RM6" t="s">
        <v>3989</v>
      </c>
      <c r="RN6" t="s">
        <v>1752</v>
      </c>
      <c r="RO6">
        <v>0.30220000000000002</v>
      </c>
      <c r="RP6">
        <v>8.0649650000000008</v>
      </c>
      <c r="RQ6" t="s">
        <v>1825</v>
      </c>
      <c r="RR6">
        <v>2025</v>
      </c>
      <c r="RS6" t="s">
        <v>5708</v>
      </c>
      <c r="RT6" s="6">
        <v>46083</v>
      </c>
      <c r="RU6">
        <v>5</v>
      </c>
      <c r="RV6">
        <v>263934048</v>
      </c>
      <c r="RW6">
        <v>115114</v>
      </c>
      <c r="RX6" t="s">
        <v>3990</v>
      </c>
      <c r="SQ6" t="s">
        <v>4162</v>
      </c>
      <c r="SS6">
        <v>-2.4245362661989844E-14</v>
      </c>
      <c r="ST6">
        <v>-2.4245362661989844E-14</v>
      </c>
      <c r="SU6" t="s">
        <v>1753</v>
      </c>
      <c r="SV6">
        <v>2024</v>
      </c>
      <c r="SW6" t="s">
        <v>5678</v>
      </c>
      <c r="SX6" s="6">
        <v>45440</v>
      </c>
      <c r="SY6">
        <v>4</v>
      </c>
      <c r="SZ6">
        <v>-2.4245362661989844E-14</v>
      </c>
      <c r="TA6">
        <v>25906381</v>
      </c>
      <c r="TB6" t="s">
        <v>4164</v>
      </c>
    </row>
    <row r="7" spans="1:600" x14ac:dyDescent="0.25">
      <c r="EU7" t="s">
        <v>2132</v>
      </c>
      <c r="EW7">
        <v>-2.4245362661989844E-14</v>
      </c>
      <c r="EX7">
        <v>-2.4245362661989844E-14</v>
      </c>
      <c r="EY7" t="s">
        <v>1753</v>
      </c>
      <c r="EZ7">
        <v>2022</v>
      </c>
      <c r="FA7" t="s">
        <v>3024</v>
      </c>
      <c r="FB7" s="6">
        <v>44971</v>
      </c>
      <c r="FC7">
        <v>4</v>
      </c>
      <c r="FD7">
        <v>-2.4245362661989844E-14</v>
      </c>
      <c r="FE7">
        <v>10086577</v>
      </c>
      <c r="FF7" t="s">
        <v>2134</v>
      </c>
      <c r="FY7" t="s">
        <v>2605</v>
      </c>
      <c r="FZ7" t="s">
        <v>1752</v>
      </c>
      <c r="GA7">
        <v>11</v>
      </c>
      <c r="GB7">
        <v>3.1337429999999999</v>
      </c>
      <c r="GC7" t="s">
        <v>1753</v>
      </c>
      <c r="GD7">
        <v>2025</v>
      </c>
      <c r="GE7" t="s">
        <v>2606</v>
      </c>
      <c r="GF7" s="6">
        <v>46065</v>
      </c>
      <c r="GG7">
        <v>5</v>
      </c>
      <c r="GH7">
        <v>226930000</v>
      </c>
      <c r="GI7">
        <v>59099358</v>
      </c>
      <c r="GJ7" t="s">
        <v>2607</v>
      </c>
      <c r="GM7" t="s">
        <v>1831</v>
      </c>
      <c r="GN7">
        <v>4.5319979999999997</v>
      </c>
      <c r="GO7" t="s">
        <v>1752</v>
      </c>
      <c r="GP7">
        <v>3.2162160000000002</v>
      </c>
      <c r="GQ7" t="s">
        <v>1774</v>
      </c>
      <c r="GR7">
        <v>2025</v>
      </c>
      <c r="GS7" t="s">
        <v>2518</v>
      </c>
      <c r="GT7" s="6">
        <v>45888</v>
      </c>
      <c r="GU7">
        <v>5</v>
      </c>
      <c r="GV7">
        <v>499562144</v>
      </c>
      <c r="GW7">
        <v>876285</v>
      </c>
      <c r="GX7" t="s">
        <v>1833</v>
      </c>
      <c r="HC7" t="s">
        <v>1079</v>
      </c>
      <c r="HD7" t="s">
        <v>1752</v>
      </c>
      <c r="HE7">
        <v>0.167933</v>
      </c>
      <c r="HF7">
        <v>4.0156150000000004</v>
      </c>
      <c r="HG7" t="s">
        <v>1781</v>
      </c>
      <c r="HH7">
        <v>2025</v>
      </c>
      <c r="HI7" t="s">
        <v>1869</v>
      </c>
      <c r="HJ7" s="6">
        <v>45797</v>
      </c>
      <c r="HK7">
        <v>5</v>
      </c>
      <c r="HL7">
        <v>261416544</v>
      </c>
      <c r="HM7">
        <v>216952</v>
      </c>
      <c r="HN7" t="s">
        <v>1899</v>
      </c>
      <c r="HQ7" t="s">
        <v>1871</v>
      </c>
      <c r="HR7">
        <v>3.1054590000000002</v>
      </c>
      <c r="HS7" t="s">
        <v>1752</v>
      </c>
      <c r="HT7">
        <v>1.2857479999999999</v>
      </c>
      <c r="HU7" t="s">
        <v>1781</v>
      </c>
      <c r="HV7">
        <v>2025</v>
      </c>
      <c r="HW7" t="s">
        <v>1869</v>
      </c>
      <c r="HX7" s="6">
        <v>45797</v>
      </c>
      <c r="HY7">
        <v>5</v>
      </c>
      <c r="HZ7">
        <v>451564800</v>
      </c>
      <c r="IA7">
        <v>117929</v>
      </c>
      <c r="IB7" t="s">
        <v>1873</v>
      </c>
      <c r="KO7" t="s">
        <v>2415</v>
      </c>
      <c r="KP7" t="s">
        <v>1752</v>
      </c>
      <c r="KQ7">
        <v>5.0733E-2</v>
      </c>
      <c r="KR7">
        <v>0.18220500000000001</v>
      </c>
      <c r="KS7" t="s">
        <v>1788</v>
      </c>
      <c r="KT7">
        <v>2025</v>
      </c>
      <c r="KU7" t="s">
        <v>2416</v>
      </c>
      <c r="KV7" s="6">
        <v>45891</v>
      </c>
      <c r="KW7">
        <v>5</v>
      </c>
      <c r="KX7">
        <v>1461287</v>
      </c>
      <c r="KY7">
        <v>100097</v>
      </c>
      <c r="KZ7" t="s">
        <v>2417</v>
      </c>
      <c r="LC7" t="s">
        <v>3807</v>
      </c>
      <c r="LD7">
        <v>-2.4245362661989844E-14</v>
      </c>
      <c r="LF7">
        <v>-2.4245362661989844E-14</v>
      </c>
      <c r="LG7" t="s">
        <v>1842</v>
      </c>
      <c r="LH7">
        <v>2025</v>
      </c>
      <c r="LI7" t="s">
        <v>3808</v>
      </c>
      <c r="LJ7" s="6">
        <v>45888</v>
      </c>
      <c r="LK7">
        <v>5</v>
      </c>
      <c r="LL7">
        <v>-2.4245362661989844E-14</v>
      </c>
      <c r="LM7">
        <v>61902583</v>
      </c>
      <c r="LN7" t="s">
        <v>3809</v>
      </c>
      <c r="LS7" t="s">
        <v>4633</v>
      </c>
      <c r="LT7" t="s">
        <v>1752</v>
      </c>
      <c r="LU7">
        <v>2.850114</v>
      </c>
      <c r="LV7">
        <v>2.1460170000000001</v>
      </c>
      <c r="LW7" t="s">
        <v>1774</v>
      </c>
      <c r="LX7">
        <v>2025</v>
      </c>
      <c r="LY7" t="s">
        <v>4634</v>
      </c>
      <c r="LZ7" s="6">
        <v>45896</v>
      </c>
      <c r="MA7">
        <v>5</v>
      </c>
      <c r="MB7">
        <v>765744836.12</v>
      </c>
      <c r="MC7">
        <v>112571</v>
      </c>
      <c r="MD7" t="s">
        <v>4635</v>
      </c>
      <c r="MW7" t="s">
        <v>5779</v>
      </c>
      <c r="MY7">
        <v>-2.4245362661989844E-14</v>
      </c>
      <c r="MZ7">
        <v>-2.4245362661989844E-14</v>
      </c>
      <c r="NA7" t="s">
        <v>1753</v>
      </c>
      <c r="NB7">
        <v>2021</v>
      </c>
      <c r="NC7" t="s">
        <v>5780</v>
      </c>
      <c r="ND7" s="6">
        <v>44677</v>
      </c>
      <c r="NE7">
        <v>5</v>
      </c>
      <c r="NF7">
        <v>-2.4245362661989844E-14</v>
      </c>
      <c r="NG7">
        <v>10142668</v>
      </c>
      <c r="NH7" t="s">
        <v>5781</v>
      </c>
      <c r="NK7" t="s">
        <v>3394</v>
      </c>
      <c r="NL7">
        <v>-2.4245362661989844E-14</v>
      </c>
      <c r="NN7">
        <v>-2.4245362661989844E-14</v>
      </c>
      <c r="NO7" t="s">
        <v>1753</v>
      </c>
      <c r="NP7">
        <v>2024</v>
      </c>
      <c r="NQ7" t="s">
        <v>3392</v>
      </c>
      <c r="NR7" s="6">
        <v>45356</v>
      </c>
      <c r="NS7">
        <v>5</v>
      </c>
      <c r="NT7">
        <v>-2.4245362661989844E-14</v>
      </c>
      <c r="NU7">
        <v>70384894</v>
      </c>
      <c r="NV7" t="s">
        <v>3395</v>
      </c>
      <c r="OA7" t="s">
        <v>2833</v>
      </c>
      <c r="OC7">
        <v>-2.4245362661989844E-14</v>
      </c>
      <c r="OD7">
        <v>-2.4245362661989844E-14</v>
      </c>
      <c r="OE7" t="s">
        <v>1753</v>
      </c>
      <c r="OF7">
        <v>2023</v>
      </c>
      <c r="OG7" t="s">
        <v>2834</v>
      </c>
      <c r="OH7" s="6">
        <v>45462</v>
      </c>
      <c r="OI7">
        <v>5</v>
      </c>
      <c r="OJ7">
        <v>-2.4245362661989844E-14</v>
      </c>
      <c r="OK7">
        <v>48621208</v>
      </c>
      <c r="OL7" t="s">
        <v>2835</v>
      </c>
      <c r="PE7" t="s">
        <v>2635</v>
      </c>
      <c r="PF7" t="s">
        <v>1752</v>
      </c>
      <c r="PG7">
        <v>4.3629000000000001E-2</v>
      </c>
      <c r="PH7">
        <v>5.7609E-2</v>
      </c>
      <c r="PI7" t="s">
        <v>1788</v>
      </c>
      <c r="PJ7">
        <v>2025</v>
      </c>
      <c r="PK7" t="s">
        <v>2636</v>
      </c>
      <c r="PL7" s="6">
        <v>45905</v>
      </c>
      <c r="PM7">
        <v>5</v>
      </c>
      <c r="PN7">
        <v>500682</v>
      </c>
      <c r="PO7">
        <v>104365</v>
      </c>
      <c r="PP7" t="s">
        <v>2637</v>
      </c>
      <c r="PS7" t="s">
        <v>1831</v>
      </c>
      <c r="PT7">
        <v>1.304338</v>
      </c>
      <c r="PU7" t="s">
        <v>1752</v>
      </c>
      <c r="PV7">
        <v>0.127112</v>
      </c>
      <c r="PW7" t="s">
        <v>1774</v>
      </c>
      <c r="PX7">
        <v>2025</v>
      </c>
      <c r="PY7" t="s">
        <v>3488</v>
      </c>
      <c r="PZ7" s="6">
        <v>45874</v>
      </c>
      <c r="QA7">
        <v>5</v>
      </c>
      <c r="QB7">
        <v>19743764</v>
      </c>
      <c r="QC7">
        <v>876285</v>
      </c>
      <c r="QD7" t="s">
        <v>1833</v>
      </c>
      <c r="QI7" t="s">
        <v>2056</v>
      </c>
      <c r="QJ7" t="s">
        <v>1752</v>
      </c>
      <c r="QK7">
        <v>2.92E-2</v>
      </c>
      <c r="QL7">
        <v>4.0926999999999998E-2</v>
      </c>
      <c r="QM7" t="s">
        <v>1825</v>
      </c>
      <c r="QN7">
        <v>2025</v>
      </c>
      <c r="QO7" t="s">
        <v>2057</v>
      </c>
      <c r="QP7" s="6">
        <v>46079</v>
      </c>
      <c r="QQ7">
        <v>5</v>
      </c>
      <c r="QR7">
        <v>307768</v>
      </c>
      <c r="QS7">
        <v>49689146</v>
      </c>
      <c r="QT7" t="s">
        <v>2058</v>
      </c>
      <c r="QW7" t="s">
        <v>2036</v>
      </c>
      <c r="QX7">
        <v>14.540621</v>
      </c>
      <c r="QY7" t="s">
        <v>1828</v>
      </c>
      <c r="QZ7">
        <v>2.834212</v>
      </c>
      <c r="RA7" t="s">
        <v>1825</v>
      </c>
      <c r="RB7">
        <v>2025</v>
      </c>
      <c r="RC7" t="s">
        <v>2034</v>
      </c>
      <c r="RD7" s="6">
        <v>46090</v>
      </c>
      <c r="RE7">
        <v>5</v>
      </c>
      <c r="RF7">
        <v>151658672</v>
      </c>
      <c r="RG7">
        <v>9268711</v>
      </c>
      <c r="RH7" t="s">
        <v>2037</v>
      </c>
      <c r="RM7" t="s">
        <v>4323</v>
      </c>
      <c r="RN7" t="s">
        <v>1752</v>
      </c>
      <c r="RO7">
        <v>0.60194000000000003</v>
      </c>
      <c r="RP7">
        <v>6.90944</v>
      </c>
      <c r="RQ7" t="s">
        <v>1825</v>
      </c>
      <c r="RR7">
        <v>2025</v>
      </c>
      <c r="RS7" t="s">
        <v>5708</v>
      </c>
      <c r="RT7" s="6">
        <v>46083</v>
      </c>
      <c r="RU7">
        <v>5</v>
      </c>
      <c r="RV7">
        <v>226118336</v>
      </c>
      <c r="RW7">
        <v>328683</v>
      </c>
      <c r="RX7" t="s">
        <v>4324</v>
      </c>
      <c r="SQ7" t="s">
        <v>3183</v>
      </c>
      <c r="SS7">
        <v>-2.4245362661989844E-14</v>
      </c>
      <c r="ST7">
        <v>-2.4245362661989844E-14</v>
      </c>
      <c r="SU7" t="s">
        <v>1753</v>
      </c>
      <c r="SV7">
        <v>2024</v>
      </c>
      <c r="SW7" t="s">
        <v>3184</v>
      </c>
      <c r="SX7" s="6">
        <v>45762</v>
      </c>
      <c r="SY7">
        <v>4</v>
      </c>
      <c r="SZ7">
        <v>-2.4245362661989844E-14</v>
      </c>
      <c r="TA7">
        <v>46286147</v>
      </c>
      <c r="TB7" t="s">
        <v>3185</v>
      </c>
    </row>
    <row r="8" spans="1:600" x14ac:dyDescent="0.25">
      <c r="EU8" t="s">
        <v>3025</v>
      </c>
      <c r="EW8">
        <v>-2.4245362661989844E-14</v>
      </c>
      <c r="EX8">
        <v>-2.4245362661989844E-14</v>
      </c>
      <c r="EY8" t="s">
        <v>1774</v>
      </c>
      <c r="EZ8">
        <v>2026</v>
      </c>
      <c r="FA8" t="s">
        <v>3026</v>
      </c>
      <c r="FB8" s="6">
        <v>46058</v>
      </c>
      <c r="FC8">
        <v>4</v>
      </c>
      <c r="FD8">
        <v>-2.4245362661989844E-14</v>
      </c>
      <c r="FE8">
        <v>171398</v>
      </c>
      <c r="FF8" t="s">
        <v>3027</v>
      </c>
      <c r="FY8" t="s">
        <v>2608</v>
      </c>
      <c r="FZ8" t="s">
        <v>1752</v>
      </c>
      <c r="GA8">
        <v>8.8672269999999997</v>
      </c>
      <c r="GB8">
        <v>1.980351</v>
      </c>
      <c r="GC8" t="s">
        <v>1774</v>
      </c>
      <c r="GD8">
        <v>2025</v>
      </c>
      <c r="GE8" t="s">
        <v>2609</v>
      </c>
      <c r="GF8" s="6">
        <v>45922</v>
      </c>
      <c r="GG8">
        <v>5</v>
      </c>
      <c r="GH8">
        <v>135574848</v>
      </c>
      <c r="GI8">
        <v>11937231</v>
      </c>
      <c r="GJ8" t="s">
        <v>2610</v>
      </c>
      <c r="GM8" t="s">
        <v>4352</v>
      </c>
      <c r="GN8">
        <v>3.2472560000000001</v>
      </c>
      <c r="GO8" t="s">
        <v>1752</v>
      </c>
      <c r="GP8">
        <v>2.573108</v>
      </c>
      <c r="GQ8" t="s">
        <v>1774</v>
      </c>
      <c r="GR8">
        <v>2025</v>
      </c>
      <c r="GS8" t="s">
        <v>2518</v>
      </c>
      <c r="GT8" s="6">
        <v>45888</v>
      </c>
      <c r="GU8">
        <v>5</v>
      </c>
      <c r="GV8">
        <v>357945024</v>
      </c>
      <c r="GW8">
        <v>10451815</v>
      </c>
      <c r="GX8" t="s">
        <v>4353</v>
      </c>
      <c r="HC8" t="s">
        <v>1824</v>
      </c>
      <c r="HD8" t="s">
        <v>1752</v>
      </c>
      <c r="HE8">
        <v>0.893262</v>
      </c>
      <c r="HF8">
        <v>1.9939499999999999</v>
      </c>
      <c r="HG8" t="s">
        <v>1781</v>
      </c>
      <c r="HH8">
        <v>2025</v>
      </c>
      <c r="HI8" t="s">
        <v>1869</v>
      </c>
      <c r="HJ8" s="6">
        <v>45797</v>
      </c>
      <c r="HK8">
        <v>5</v>
      </c>
      <c r="HL8">
        <v>129806144</v>
      </c>
      <c r="HM8">
        <v>1499717</v>
      </c>
      <c r="HN8" t="s">
        <v>1827</v>
      </c>
      <c r="HQ8" t="s">
        <v>1547</v>
      </c>
      <c r="HR8">
        <v>0.94301500000000005</v>
      </c>
      <c r="HS8" t="s">
        <v>1752</v>
      </c>
      <c r="HT8">
        <v>2.2702520000000002</v>
      </c>
      <c r="HU8" t="s">
        <v>1781</v>
      </c>
      <c r="HV8">
        <v>2025</v>
      </c>
      <c r="HW8" t="s">
        <v>2157</v>
      </c>
      <c r="HX8" s="6">
        <v>45784</v>
      </c>
      <c r="HY8">
        <v>5</v>
      </c>
      <c r="HZ8">
        <v>137123792</v>
      </c>
      <c r="IA8">
        <v>100115</v>
      </c>
      <c r="IB8" t="s">
        <v>1922</v>
      </c>
      <c r="KO8" t="s">
        <v>3151</v>
      </c>
      <c r="KP8" t="s">
        <v>1752</v>
      </c>
      <c r="KQ8">
        <v>0.44491900000000001</v>
      </c>
      <c r="KR8">
        <v>7.1555999999999995E-2</v>
      </c>
      <c r="KS8" t="s">
        <v>1781</v>
      </c>
      <c r="KT8">
        <v>2025</v>
      </c>
      <c r="KU8" t="s">
        <v>3152</v>
      </c>
      <c r="KV8" s="6">
        <v>45787</v>
      </c>
      <c r="KW8">
        <v>5</v>
      </c>
      <c r="KX8">
        <v>559570</v>
      </c>
      <c r="KY8">
        <v>100416</v>
      </c>
      <c r="KZ8" t="s">
        <v>3153</v>
      </c>
      <c r="LC8" t="s">
        <v>3810</v>
      </c>
      <c r="LD8">
        <v>-2.4245362661989844E-14</v>
      </c>
      <c r="LF8">
        <v>-2.4245362661989844E-14</v>
      </c>
      <c r="LG8" t="s">
        <v>1768</v>
      </c>
      <c r="LH8">
        <v>2025</v>
      </c>
      <c r="LI8" t="s">
        <v>3811</v>
      </c>
      <c r="LJ8" s="6">
        <v>45975</v>
      </c>
      <c r="LK8">
        <v>5</v>
      </c>
      <c r="LL8">
        <v>-2.4245362661989844E-14</v>
      </c>
      <c r="LM8">
        <v>815829</v>
      </c>
      <c r="LN8" t="s">
        <v>3812</v>
      </c>
      <c r="LS8" t="s">
        <v>1113</v>
      </c>
      <c r="LT8" t="s">
        <v>1752</v>
      </c>
      <c r="LU8">
        <v>2.936461</v>
      </c>
      <c r="LV8">
        <v>1.790807</v>
      </c>
      <c r="LW8" t="s">
        <v>1825</v>
      </c>
      <c r="LX8">
        <v>2025</v>
      </c>
      <c r="LY8" t="s">
        <v>3110</v>
      </c>
      <c r="LZ8" s="6">
        <v>45883</v>
      </c>
      <c r="MA8">
        <v>5</v>
      </c>
      <c r="MB8">
        <v>618741696</v>
      </c>
      <c r="MC8">
        <v>101215</v>
      </c>
      <c r="MD8" t="s">
        <v>3111</v>
      </c>
      <c r="MW8" t="s">
        <v>5782</v>
      </c>
      <c r="MY8">
        <v>-2.4245362661989844E-14</v>
      </c>
      <c r="MZ8">
        <v>-2.4245362661989844E-14</v>
      </c>
      <c r="NA8" t="s">
        <v>1781</v>
      </c>
      <c r="NB8">
        <v>2024</v>
      </c>
      <c r="NC8" t="s">
        <v>5783</v>
      </c>
      <c r="ND8" s="6">
        <v>45175</v>
      </c>
      <c r="NE8">
        <v>5</v>
      </c>
      <c r="NF8">
        <v>-2.4245362661989844E-14</v>
      </c>
      <c r="NG8">
        <v>126987</v>
      </c>
      <c r="NH8" t="s">
        <v>5784</v>
      </c>
      <c r="NK8" t="s">
        <v>3396</v>
      </c>
      <c r="NL8">
        <v>-2.4245362661989844E-14</v>
      </c>
      <c r="NN8">
        <v>-2.4245362661989844E-14</v>
      </c>
      <c r="NO8" t="s">
        <v>1753</v>
      </c>
      <c r="NP8">
        <v>2022</v>
      </c>
      <c r="NQ8" t="s">
        <v>3397</v>
      </c>
      <c r="NR8" s="6">
        <v>45055</v>
      </c>
      <c r="NS8">
        <v>5</v>
      </c>
      <c r="NT8">
        <v>-2.4245362661989844E-14</v>
      </c>
      <c r="NU8">
        <v>9152714</v>
      </c>
      <c r="NV8" t="s">
        <v>3398</v>
      </c>
      <c r="OA8" t="s">
        <v>2836</v>
      </c>
      <c r="OC8">
        <v>-2.4245362661989844E-14</v>
      </c>
      <c r="OD8">
        <v>-2.4245362661989844E-14</v>
      </c>
      <c r="OE8" t="s">
        <v>1753</v>
      </c>
      <c r="OF8">
        <v>2024</v>
      </c>
      <c r="OG8" t="s">
        <v>2837</v>
      </c>
      <c r="OH8" s="6">
        <v>45714</v>
      </c>
      <c r="OI8">
        <v>5</v>
      </c>
      <c r="OJ8">
        <v>-2.4245362661989844E-14</v>
      </c>
      <c r="OK8">
        <v>100457</v>
      </c>
      <c r="OL8" t="s">
        <v>2838</v>
      </c>
      <c r="PE8" t="s">
        <v>2638</v>
      </c>
      <c r="PF8" t="s">
        <v>1752</v>
      </c>
      <c r="PG8">
        <v>2.3474879999999998</v>
      </c>
      <c r="PH8">
        <v>4.0696999999999997E-2</v>
      </c>
      <c r="PI8" t="s">
        <v>1774</v>
      </c>
      <c r="PJ8">
        <v>2025</v>
      </c>
      <c r="PK8" t="s">
        <v>2639</v>
      </c>
      <c r="PL8" s="6">
        <v>45939</v>
      </c>
      <c r="PM8">
        <v>5</v>
      </c>
      <c r="PN8">
        <v>353696</v>
      </c>
      <c r="PO8">
        <v>69947818</v>
      </c>
      <c r="PP8" t="s">
        <v>2640</v>
      </c>
      <c r="PS8" t="s">
        <v>3489</v>
      </c>
      <c r="PT8">
        <v>0.75061999999999995</v>
      </c>
      <c r="PU8" t="s">
        <v>1752</v>
      </c>
      <c r="PV8">
        <v>0.28763100000000003</v>
      </c>
      <c r="PW8" t="s">
        <v>1774</v>
      </c>
      <c r="PX8">
        <v>2025</v>
      </c>
      <c r="PY8" t="s">
        <v>3488</v>
      </c>
      <c r="PZ8" s="6">
        <v>45874</v>
      </c>
      <c r="QA8">
        <v>5</v>
      </c>
      <c r="QB8">
        <v>11362135</v>
      </c>
      <c r="QC8">
        <v>100710</v>
      </c>
      <c r="QD8" t="s">
        <v>3490</v>
      </c>
      <c r="QI8" t="s">
        <v>2290</v>
      </c>
      <c r="QJ8" t="s">
        <v>1752</v>
      </c>
      <c r="QK8">
        <v>26.017952000000001</v>
      </c>
      <c r="QL8">
        <v>9.0950000000000007E-3</v>
      </c>
      <c r="QM8" t="s">
        <v>1753</v>
      </c>
      <c r="QN8">
        <v>2024</v>
      </c>
      <c r="QO8" t="s">
        <v>2291</v>
      </c>
      <c r="QP8" s="6">
        <v>45747</v>
      </c>
      <c r="QQ8">
        <v>5</v>
      </c>
      <c r="QR8">
        <v>50000</v>
      </c>
      <c r="QS8">
        <v>179138</v>
      </c>
      <c r="QT8" t="s">
        <v>2292</v>
      </c>
      <c r="QW8" t="s">
        <v>2038</v>
      </c>
      <c r="QX8">
        <v>12</v>
      </c>
      <c r="QY8" t="s">
        <v>1828</v>
      </c>
      <c r="QZ8">
        <v>3.400029</v>
      </c>
      <c r="RA8" t="s">
        <v>1753</v>
      </c>
      <c r="RB8">
        <v>2025</v>
      </c>
      <c r="RC8" t="s">
        <v>2032</v>
      </c>
      <c r="RD8" s="6">
        <v>46076</v>
      </c>
      <c r="RE8">
        <v>5</v>
      </c>
      <c r="RF8">
        <v>118950000</v>
      </c>
      <c r="RG8">
        <v>182074</v>
      </c>
      <c r="RH8" t="s">
        <v>2039</v>
      </c>
      <c r="RM8" t="s">
        <v>3991</v>
      </c>
      <c r="RN8" t="s">
        <v>1752</v>
      </c>
      <c r="RO8">
        <v>0.54781299999999999</v>
      </c>
      <c r="RP8">
        <v>5.8047180000000003</v>
      </c>
      <c r="RQ8" t="s">
        <v>1825</v>
      </c>
      <c r="RR8">
        <v>2025</v>
      </c>
      <c r="RS8" t="s">
        <v>5708</v>
      </c>
      <c r="RT8" s="6">
        <v>46083</v>
      </c>
      <c r="RU8">
        <v>5</v>
      </c>
      <c r="RV8">
        <v>189965200</v>
      </c>
      <c r="RW8">
        <v>100747</v>
      </c>
      <c r="RX8" t="s">
        <v>3992</v>
      </c>
      <c r="SQ8" t="s">
        <v>2761</v>
      </c>
      <c r="SS8">
        <v>-2.4245362661989844E-14</v>
      </c>
      <c r="ST8">
        <v>-2.4245362661989844E-14</v>
      </c>
      <c r="SU8" t="s">
        <v>1753</v>
      </c>
      <c r="SV8">
        <v>2024</v>
      </c>
      <c r="SW8" t="s">
        <v>2762</v>
      </c>
      <c r="SX8" s="6">
        <v>45733</v>
      </c>
      <c r="SY8">
        <v>4</v>
      </c>
      <c r="SZ8">
        <v>-2.4245362661989844E-14</v>
      </c>
      <c r="TA8">
        <v>1183488</v>
      </c>
      <c r="TB8" t="s">
        <v>2763</v>
      </c>
    </row>
    <row r="9" spans="1:600" x14ac:dyDescent="0.25">
      <c r="FY9" t="s">
        <v>2611</v>
      </c>
      <c r="FZ9" t="s">
        <v>1752</v>
      </c>
      <c r="GA9">
        <v>9.9027270000000005</v>
      </c>
      <c r="GB9">
        <v>1.5774429999999999</v>
      </c>
      <c r="GC9" t="s">
        <v>1774</v>
      </c>
      <c r="GD9">
        <v>2025</v>
      </c>
      <c r="GE9" t="s">
        <v>2612</v>
      </c>
      <c r="GF9" s="6">
        <v>45904</v>
      </c>
      <c r="GG9">
        <v>5</v>
      </c>
      <c r="GH9">
        <v>107991712</v>
      </c>
      <c r="GI9">
        <v>187877</v>
      </c>
      <c r="GJ9" t="s">
        <v>2613</v>
      </c>
      <c r="GM9" t="s">
        <v>4411</v>
      </c>
      <c r="GN9">
        <v>3.0622020000000001</v>
      </c>
      <c r="GO9" t="s">
        <v>1752</v>
      </c>
      <c r="GP9">
        <v>2.546176</v>
      </c>
      <c r="GQ9" t="s">
        <v>1774</v>
      </c>
      <c r="GR9">
        <v>2025</v>
      </c>
      <c r="GS9" t="s">
        <v>2518</v>
      </c>
      <c r="GT9" s="6">
        <v>45888</v>
      </c>
      <c r="GU9">
        <v>5</v>
      </c>
      <c r="GV9">
        <v>337546528</v>
      </c>
      <c r="GW9">
        <v>100090</v>
      </c>
      <c r="GX9" t="s">
        <v>4412</v>
      </c>
      <c r="HC9" t="s">
        <v>2335</v>
      </c>
      <c r="HD9" t="s">
        <v>1752</v>
      </c>
      <c r="HE9">
        <v>0.59890299999999996</v>
      </c>
      <c r="HF9">
        <v>1.729209</v>
      </c>
      <c r="HG9" t="s">
        <v>1781</v>
      </c>
      <c r="HH9">
        <v>2025</v>
      </c>
      <c r="HI9" t="s">
        <v>1869</v>
      </c>
      <c r="HJ9" s="6">
        <v>45797</v>
      </c>
      <c r="HK9">
        <v>5</v>
      </c>
      <c r="HL9">
        <v>112571504</v>
      </c>
      <c r="HM9">
        <v>130929</v>
      </c>
      <c r="HN9" t="s">
        <v>2336</v>
      </c>
      <c r="HQ9" t="s">
        <v>378</v>
      </c>
      <c r="HR9">
        <v>0.76780499999999996</v>
      </c>
      <c r="HS9" t="s">
        <v>1752</v>
      </c>
      <c r="HT9">
        <v>2.2920660000000002</v>
      </c>
      <c r="HU9" t="s">
        <v>1781</v>
      </c>
      <c r="HV9">
        <v>2025</v>
      </c>
      <c r="HW9" t="s">
        <v>1869</v>
      </c>
      <c r="HX9" s="6">
        <v>45797</v>
      </c>
      <c r="HY9">
        <v>5</v>
      </c>
      <c r="HZ9">
        <v>111646528</v>
      </c>
      <c r="IA9">
        <v>69423747</v>
      </c>
      <c r="IB9" t="s">
        <v>2158</v>
      </c>
      <c r="KO9" t="s">
        <v>2635</v>
      </c>
      <c r="KP9" t="s">
        <v>1752</v>
      </c>
      <c r="KQ9">
        <v>4.2673999999999997E-2</v>
      </c>
      <c r="KR9">
        <v>5.7613999999999999E-2</v>
      </c>
      <c r="KS9" t="s">
        <v>1788</v>
      </c>
      <c r="KT9">
        <v>2025</v>
      </c>
      <c r="KU9" t="s">
        <v>2636</v>
      </c>
      <c r="KV9" s="6">
        <v>45905</v>
      </c>
      <c r="KW9">
        <v>5</v>
      </c>
      <c r="KX9">
        <v>489723</v>
      </c>
      <c r="KY9">
        <v>104365</v>
      </c>
      <c r="KZ9" t="s">
        <v>2637</v>
      </c>
      <c r="LC9" t="s">
        <v>3813</v>
      </c>
      <c r="LD9">
        <v>-2.4245362661989844E-14</v>
      </c>
      <c r="LF9">
        <v>-2.4245362661989844E-14</v>
      </c>
      <c r="LG9" t="s">
        <v>1753</v>
      </c>
      <c r="LH9">
        <v>2024</v>
      </c>
      <c r="LI9" t="s">
        <v>3814</v>
      </c>
      <c r="LJ9" s="6">
        <v>45512</v>
      </c>
      <c r="LK9">
        <v>5</v>
      </c>
      <c r="LL9">
        <v>-2.4245362661989844E-14</v>
      </c>
      <c r="LM9">
        <v>36817400</v>
      </c>
      <c r="LN9" t="s">
        <v>3815</v>
      </c>
      <c r="LS9" t="s">
        <v>4636</v>
      </c>
      <c r="LT9" t="s">
        <v>1752</v>
      </c>
      <c r="LU9">
        <v>2.775217</v>
      </c>
      <c r="LV9">
        <v>1.415462</v>
      </c>
      <c r="LW9" t="s">
        <v>1788</v>
      </c>
      <c r="LX9">
        <v>2025</v>
      </c>
      <c r="LY9" t="s">
        <v>4637</v>
      </c>
      <c r="LZ9" s="6">
        <v>45946</v>
      </c>
      <c r="MA9">
        <v>5</v>
      </c>
      <c r="MB9">
        <v>369860096</v>
      </c>
      <c r="MC9">
        <v>101779</v>
      </c>
      <c r="MD9" t="s">
        <v>4638</v>
      </c>
      <c r="MW9" t="s">
        <v>5785</v>
      </c>
      <c r="MY9">
        <v>-2.4245362661989844E-14</v>
      </c>
      <c r="MZ9">
        <v>-2.4245362661989844E-14</v>
      </c>
      <c r="NA9" t="s">
        <v>1753</v>
      </c>
      <c r="NB9">
        <v>2022</v>
      </c>
      <c r="NC9" t="s">
        <v>5786</v>
      </c>
      <c r="ND9" s="6">
        <v>45033</v>
      </c>
      <c r="NE9">
        <v>5</v>
      </c>
      <c r="NF9">
        <v>-2.4245362661989844E-14</v>
      </c>
      <c r="NG9">
        <v>7360919</v>
      </c>
      <c r="NH9" t="s">
        <v>5787</v>
      </c>
      <c r="NK9" t="s">
        <v>3399</v>
      </c>
      <c r="NL9">
        <v>-2.4245362661989844E-14</v>
      </c>
      <c r="NN9">
        <v>-2.4245362661989844E-14</v>
      </c>
      <c r="NO9" t="s">
        <v>1753</v>
      </c>
      <c r="NP9">
        <v>2022</v>
      </c>
      <c r="NQ9" t="s">
        <v>3400</v>
      </c>
      <c r="NR9" s="6">
        <v>45075</v>
      </c>
      <c r="NS9">
        <v>5</v>
      </c>
      <c r="NT9">
        <v>-2.4245362661989844E-14</v>
      </c>
      <c r="NU9">
        <v>17157811</v>
      </c>
      <c r="NV9" t="s">
        <v>3401</v>
      </c>
      <c r="OA9" t="s">
        <v>2839</v>
      </c>
      <c r="OC9">
        <v>-2.4245362661989844E-14</v>
      </c>
      <c r="OD9">
        <v>-2.4245362661989844E-14</v>
      </c>
      <c r="OE9" t="s">
        <v>1774</v>
      </c>
      <c r="OF9">
        <v>2024</v>
      </c>
      <c r="OG9" t="s">
        <v>2840</v>
      </c>
      <c r="OH9" s="6">
        <v>45433</v>
      </c>
      <c r="OI9">
        <v>5</v>
      </c>
      <c r="OJ9">
        <v>-2.4245362661989844E-14</v>
      </c>
      <c r="OK9">
        <v>103350</v>
      </c>
      <c r="OL9" t="s">
        <v>2841</v>
      </c>
      <c r="PE9" t="s">
        <v>195</v>
      </c>
      <c r="PF9" t="s">
        <v>1752</v>
      </c>
      <c r="PG9">
        <v>6.3287999999999997E-2</v>
      </c>
      <c r="PH9">
        <v>2.1153999999999999E-2</v>
      </c>
      <c r="PI9" t="s">
        <v>1825</v>
      </c>
      <c r="PJ9">
        <v>2025</v>
      </c>
      <c r="PK9" t="s">
        <v>2641</v>
      </c>
      <c r="PL9" s="6">
        <v>45894</v>
      </c>
      <c r="PM9">
        <v>5</v>
      </c>
      <c r="PN9">
        <v>183852</v>
      </c>
      <c r="PO9">
        <v>126302</v>
      </c>
      <c r="PP9" t="s">
        <v>2642</v>
      </c>
      <c r="PS9" t="s">
        <v>1547</v>
      </c>
      <c r="PT9">
        <v>0.57747899999999996</v>
      </c>
      <c r="PU9" t="s">
        <v>1752</v>
      </c>
      <c r="PV9">
        <v>0.138623</v>
      </c>
      <c r="PW9" t="s">
        <v>1781</v>
      </c>
      <c r="PX9">
        <v>2025</v>
      </c>
      <c r="PY9" t="s">
        <v>2157</v>
      </c>
      <c r="PZ9" s="6">
        <v>45784</v>
      </c>
      <c r="QA9">
        <v>5</v>
      </c>
      <c r="QB9">
        <v>8372864</v>
      </c>
      <c r="QC9">
        <v>100115</v>
      </c>
      <c r="QD9" t="s">
        <v>1922</v>
      </c>
      <c r="QI9" t="s">
        <v>2293</v>
      </c>
      <c r="QK9">
        <v>-2.4245362661989844E-14</v>
      </c>
      <c r="QL9">
        <v>-2.4245362661989844E-14</v>
      </c>
      <c r="QM9" t="s">
        <v>1768</v>
      </c>
      <c r="QN9">
        <v>2025</v>
      </c>
      <c r="QO9" t="s">
        <v>2294</v>
      </c>
      <c r="QP9" s="6">
        <v>45965</v>
      </c>
      <c r="QQ9">
        <v>5</v>
      </c>
      <c r="QR9">
        <v>-2.4245362661989844E-14</v>
      </c>
      <c r="QS9">
        <v>330633</v>
      </c>
      <c r="QT9" t="s">
        <v>2295</v>
      </c>
      <c r="QW9" t="s">
        <v>311</v>
      </c>
      <c r="QX9">
        <v>5.1084389999999997</v>
      </c>
      <c r="QY9" t="s">
        <v>1828</v>
      </c>
      <c r="QZ9">
        <v>2.769495</v>
      </c>
      <c r="RA9" t="s">
        <v>1825</v>
      </c>
      <c r="RB9">
        <v>2024</v>
      </c>
      <c r="RC9" t="s">
        <v>2034</v>
      </c>
      <c r="RD9" s="6">
        <v>45763</v>
      </c>
      <c r="RE9">
        <v>5</v>
      </c>
      <c r="RF9">
        <v>48632340</v>
      </c>
      <c r="RG9">
        <v>100078</v>
      </c>
      <c r="RH9" t="s">
        <v>2040</v>
      </c>
      <c r="RM9" t="s">
        <v>2400</v>
      </c>
      <c r="RN9" t="s">
        <v>1752</v>
      </c>
      <c r="RO9">
        <v>0.37443700000000002</v>
      </c>
      <c r="RP9">
        <v>5.2922719999999996</v>
      </c>
      <c r="RQ9" t="s">
        <v>1825</v>
      </c>
      <c r="RR9">
        <v>2025</v>
      </c>
      <c r="RS9" t="s">
        <v>5708</v>
      </c>
      <c r="RT9" s="6">
        <v>46083</v>
      </c>
      <c r="RU9">
        <v>5</v>
      </c>
      <c r="RV9">
        <v>173194896</v>
      </c>
      <c r="RW9">
        <v>16632863</v>
      </c>
      <c r="RX9" t="s">
        <v>2401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999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1000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1001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1002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1003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1004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1005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1006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1007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1008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1009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1010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1011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1012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1013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1014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1015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1016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1017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1018</v>
      </c>
      <c r="AE2" s="3" t="s">
        <v>1019</v>
      </c>
      <c r="BI2" s="3" t="s">
        <v>1020</v>
      </c>
      <c r="CM2" s="3" t="s">
        <v>88</v>
      </c>
      <c r="DQ2" s="3" t="s">
        <v>1019</v>
      </c>
      <c r="EU2" s="3" t="s">
        <v>312</v>
      </c>
      <c r="FY2" s="3" t="s">
        <v>1021</v>
      </c>
      <c r="HC2" s="3" t="s">
        <v>1022</v>
      </c>
      <c r="IG2" s="3" t="s">
        <v>1023</v>
      </c>
      <c r="JK2" s="3" t="s">
        <v>1024</v>
      </c>
      <c r="KO2" s="3" t="s">
        <v>1025</v>
      </c>
      <c r="LS2" s="3" t="s">
        <v>1026</v>
      </c>
      <c r="MW2" s="3" t="s">
        <v>634</v>
      </c>
      <c r="OA2" s="3" t="s">
        <v>37</v>
      </c>
      <c r="PE2" s="3" t="s">
        <v>1027</v>
      </c>
      <c r="QI2" s="3" t="s">
        <v>373</v>
      </c>
      <c r="RM2" s="3" t="s">
        <v>1028</v>
      </c>
      <c r="SQ2" s="3" t="s">
        <v>1029</v>
      </c>
      <c r="TU2" s="3" t="s">
        <v>1030</v>
      </c>
      <c r="UY2" s="3" t="s">
        <v>1031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_xll.BDS("RCNI US Equity","SUPPLY_CHAIN_SUPPLIERS_ALL_DATA")</f>
        <v>#N/A N/A</v>
      </c>
      <c r="O5" t="str">
        <f>_xll.BDS("RCNI US Equity","SUPPLY_CHAIN_CUSTOMERS_ALL_DATA")</f>
        <v>#N/A N/A</v>
      </c>
      <c r="AE5" t="str">
        <f>_xll.BDS("GD US Equity","SUPPLY_CHAIN_SUPPLIERS_ALL_DATA","cols=12;rows=5")</f>
        <v>RTX US Equity</v>
      </c>
      <c r="AF5" t="s">
        <v>1752</v>
      </c>
      <c r="AG5">
        <v>0.86519299999999999</v>
      </c>
      <c r="AH5">
        <v>1.683351</v>
      </c>
      <c r="AI5" t="s">
        <v>1774</v>
      </c>
      <c r="AJ5">
        <v>2025</v>
      </c>
      <c r="AK5" t="s">
        <v>2515</v>
      </c>
      <c r="AL5" s="6">
        <v>45895</v>
      </c>
      <c r="AM5">
        <v>5</v>
      </c>
      <c r="AN5">
        <v>186717296</v>
      </c>
      <c r="AO5">
        <v>101555</v>
      </c>
      <c r="AP5" t="s">
        <v>1909</v>
      </c>
      <c r="AS5" t="str">
        <f>_xll.BDS("GD US Equity","SUPPLY_CHAIN_CUSTOMERS_ALL_DATA","cols=12;rows=5")</f>
        <v>3352Z US Equity</v>
      </c>
      <c r="AT5">
        <v>68.043769999999995</v>
      </c>
      <c r="AV5">
        <v>-2.4245362661989844E-14</v>
      </c>
      <c r="AW5" t="s">
        <v>1753</v>
      </c>
      <c r="AX5">
        <v>2025</v>
      </c>
      <c r="AY5" t="s">
        <v>2846</v>
      </c>
      <c r="AZ5" s="6">
        <v>46052</v>
      </c>
      <c r="BA5">
        <v>5</v>
      </c>
      <c r="BB5">
        <v>8939250000</v>
      </c>
      <c r="BC5">
        <v>218252</v>
      </c>
      <c r="BD5" t="s">
        <v>1793</v>
      </c>
      <c r="BI5" t="str">
        <f>_xll.BDS("ORI US Equity","SUPPLY_CHAIN_SUPPLIERS_ALL_DATA")</f>
        <v>#N/A N/A</v>
      </c>
      <c r="BW5" t="str">
        <f>_xll.BDS("ORI US Equity","SUPPLY_CHAIN_CUSTOMERS_ALL_DATA")</f>
        <v>#N/A N/A</v>
      </c>
      <c r="CM5" t="str">
        <f>_xll.BDS("OK US Equity","SUPPLY_CHAIN_SUPPLIERS_ALL_DATA")</f>
        <v>#N/A N/A</v>
      </c>
      <c r="DA5" t="str">
        <f>_xll.BDS("OK US Equity","SUPPLY_CHAIN_CUSTOMERS_ALL_DATA")</f>
        <v>#N/A N/A</v>
      </c>
      <c r="DQ5" t="str">
        <f>_xll.BDS("GD US Equity","SUPPLY_CHAIN_SUPPLIERS_ALL_DATA","cols=12;rows=5")</f>
        <v>RTX US Equity</v>
      </c>
      <c r="DR5" t="s">
        <v>1752</v>
      </c>
      <c r="DS5">
        <v>0.86519299999999999</v>
      </c>
      <c r="DT5">
        <v>1.683351</v>
      </c>
      <c r="DU5" t="s">
        <v>1774</v>
      </c>
      <c r="DV5">
        <v>2025</v>
      </c>
      <c r="DW5" t="s">
        <v>2515</v>
      </c>
      <c r="DX5" s="6">
        <v>45895</v>
      </c>
      <c r="DY5">
        <v>5</v>
      </c>
      <c r="DZ5">
        <v>186717296</v>
      </c>
      <c r="EA5">
        <v>101555</v>
      </c>
      <c r="EB5" t="s">
        <v>1909</v>
      </c>
      <c r="EE5" t="str">
        <f>_xll.BDS("GD US Equity","SUPPLY_CHAIN_CUSTOMERS_ALL_DATA","cols=12;rows=5")</f>
        <v>3352Z US Equity</v>
      </c>
      <c r="EF5">
        <v>68.043769999999995</v>
      </c>
      <c r="EH5">
        <v>-2.4245362661989844E-14</v>
      </c>
      <c r="EI5" t="s">
        <v>1753</v>
      </c>
      <c r="EJ5">
        <v>2025</v>
      </c>
      <c r="EK5" t="s">
        <v>2846</v>
      </c>
      <c r="EL5" s="6">
        <v>46052</v>
      </c>
      <c r="EM5">
        <v>5</v>
      </c>
      <c r="EN5">
        <v>8939250000</v>
      </c>
      <c r="EO5">
        <v>218252</v>
      </c>
      <c r="EP5" t="s">
        <v>1793</v>
      </c>
      <c r="EU5" t="str">
        <f>_xll.BDS("UMPQ US Equity","SUPPLY_CHAIN_SUPPLIERS_ALL_DATA")</f>
        <v>#N/A N/A</v>
      </c>
      <c r="FI5" t="str">
        <f>_xll.BDS("UMPQ US Equity","SUPPLY_CHAIN_CUSTOMERS_ALL_DATA")</f>
        <v>#N/A N/A</v>
      </c>
      <c r="FY5" t="str">
        <f>_xll.BDS("PLCM US Equity","SUPPLY_CHAIN_SUPPLIERS_ALL_DATA")</f>
        <v>#N/A N/A</v>
      </c>
      <c r="GM5" t="str">
        <f>_xll.BDS("PLCM US Equity","SUPPLY_CHAIN_CUSTOMERS_ALL_DATA")</f>
        <v>#N/A N/A</v>
      </c>
      <c r="HC5" t="str">
        <f>_xll.BDS("TSLA US Equity","SUPPLY_CHAIN_SUPPLIERS_ALL_DATA","cols=12;rows=5")</f>
        <v>300750 CH Equity</v>
      </c>
      <c r="HD5" t="s">
        <v>1752</v>
      </c>
      <c r="HE5">
        <v>14.969258999999999</v>
      </c>
      <c r="HF5">
        <v>10.473516</v>
      </c>
      <c r="HG5" t="s">
        <v>1774</v>
      </c>
      <c r="HH5">
        <v>2025</v>
      </c>
      <c r="HI5" t="s">
        <v>5003</v>
      </c>
      <c r="HJ5" s="6">
        <v>45889</v>
      </c>
      <c r="HK5">
        <v>5</v>
      </c>
      <c r="HL5">
        <v>1949940319.22</v>
      </c>
      <c r="HM5">
        <v>51309082</v>
      </c>
      <c r="HN5" t="s">
        <v>5004</v>
      </c>
      <c r="HQ5" t="str">
        <f>_xll.BDS("TSLA US Equity","SUPPLY_CHAIN_CUSTOMERS_ALL_DATA","cols=12;rows=5")</f>
        <v>HTZ US Equity</v>
      </c>
      <c r="HR5">
        <v>0.124961</v>
      </c>
      <c r="HS5" t="s">
        <v>1828</v>
      </c>
      <c r="HT5">
        <v>0.91537800000000002</v>
      </c>
      <c r="HU5" t="s">
        <v>1774</v>
      </c>
      <c r="HV5">
        <v>2025</v>
      </c>
      <c r="HW5" t="s">
        <v>3324</v>
      </c>
      <c r="HX5" s="6">
        <v>45890</v>
      </c>
      <c r="HY5">
        <v>5</v>
      </c>
      <c r="HZ5">
        <v>28111258</v>
      </c>
      <c r="IA5">
        <v>48467156</v>
      </c>
      <c r="IB5" t="s">
        <v>3325</v>
      </c>
      <c r="IG5" t="str">
        <f>_xll.BDS("WCG US Equity","SUPPLY_CHAIN_SUPPLIERS_ALL_DATA")</f>
        <v>#N/A N/A</v>
      </c>
      <c r="IU5" t="str">
        <f>_xll.BDS("WCG US Equity","SUPPLY_CHAIN_CUSTOMERS_ALL_DATA")</f>
        <v>#N/A N/A</v>
      </c>
      <c r="JK5" t="str">
        <f>_xll.BDS("INAPQ US Equity","SUPPLY_CHAIN_SUPPLIERS_ALL_DATA","cols=12;rows=2")</f>
        <v>JNPR US Equity</v>
      </c>
      <c r="JM5">
        <v>-2.4245362661989844E-14</v>
      </c>
      <c r="JN5">
        <v>-2.4245362661989844E-14</v>
      </c>
      <c r="JO5" t="s">
        <v>1753</v>
      </c>
      <c r="JP5">
        <v>2023</v>
      </c>
      <c r="JQ5" t="s">
        <v>3054</v>
      </c>
      <c r="JR5" s="6">
        <v>45037</v>
      </c>
      <c r="JS5">
        <v>2</v>
      </c>
      <c r="JT5">
        <v>-2.4245362661989844E-14</v>
      </c>
      <c r="JU5">
        <v>929589</v>
      </c>
      <c r="JV5" t="s">
        <v>3055</v>
      </c>
      <c r="JY5" t="str">
        <f>_xll.BDS("INAPQ US Equity","SUPPLY_CHAIN_CUSTOMERS_ALL_DATA")</f>
        <v>#N/A N/A</v>
      </c>
      <c r="KO5" t="str">
        <f>_xll.BDS("ISLE US Equity","SUPPLY_CHAIN_SUPPLIERS_ALL_DATA")</f>
        <v>#N/A N/A</v>
      </c>
      <c r="LC5" t="str">
        <f>_xll.BDS("ISLE US Equity","SUPPLY_CHAIN_CUSTOMERS_ALL_DATA")</f>
        <v>#N/A N/A</v>
      </c>
      <c r="LS5" t="str">
        <f>_xll.BDS("VSH US Equity","SUPPLY_CHAIN_SUPPLIERS_ALL_DATA","cols=12;rows=5")</f>
        <v>TSEM IT Equity</v>
      </c>
      <c r="LT5" t="s">
        <v>1752</v>
      </c>
      <c r="LU5">
        <v>1.5046489999999999</v>
      </c>
      <c r="LV5">
        <v>1.030314</v>
      </c>
      <c r="LW5" t="s">
        <v>1774</v>
      </c>
      <c r="LX5">
        <v>2025</v>
      </c>
      <c r="LY5" t="s">
        <v>2260</v>
      </c>
      <c r="LZ5" s="6">
        <v>46014</v>
      </c>
      <c r="MA5">
        <v>5</v>
      </c>
      <c r="MB5">
        <v>5953400</v>
      </c>
      <c r="MC5">
        <v>159009</v>
      </c>
      <c r="MD5" t="s">
        <v>2261</v>
      </c>
      <c r="MG5" t="str">
        <f>_xll.BDS("VSH US Equity","SUPPLY_CHAIN_CUSTOMERS_ALL_DATA","cols=12;rows=5")</f>
        <v>BRK/A US Equity</v>
      </c>
      <c r="MH5">
        <v>6.3165870000000002</v>
      </c>
      <c r="MI5" t="s">
        <v>1752</v>
      </c>
      <c r="MJ5">
        <v>6.9639999999999994E-2</v>
      </c>
      <c r="MK5" t="s">
        <v>1788</v>
      </c>
      <c r="ML5">
        <v>2025</v>
      </c>
      <c r="MM5" t="s">
        <v>1950</v>
      </c>
      <c r="MN5" s="6">
        <v>46009</v>
      </c>
      <c r="MO5">
        <v>5</v>
      </c>
      <c r="MP5">
        <v>46388808</v>
      </c>
      <c r="MQ5">
        <v>100193</v>
      </c>
      <c r="MR5" t="s">
        <v>1951</v>
      </c>
      <c r="MW5" t="str">
        <f>_xll.BDS("FULT US Equity","SUPPLY_CHAIN_SUPPLIERS_ALL_DATA","cols=12;rows=2")</f>
        <v>DLX US Equity</v>
      </c>
      <c r="MY5">
        <v>-2.4245362661989844E-14</v>
      </c>
      <c r="MZ5">
        <v>-2.4245362661989844E-14</v>
      </c>
      <c r="NA5" t="s">
        <v>1788</v>
      </c>
      <c r="NB5">
        <v>2023</v>
      </c>
      <c r="NC5" t="s">
        <v>2150</v>
      </c>
      <c r="ND5" s="6">
        <v>45265</v>
      </c>
      <c r="NE5">
        <v>2</v>
      </c>
      <c r="NF5">
        <v>-2.4245362661989844E-14</v>
      </c>
      <c r="NG5">
        <v>100444</v>
      </c>
      <c r="NH5" t="s">
        <v>2151</v>
      </c>
      <c r="NK5" t="str">
        <f>_xll.BDS("FULT US Equity","SUPPLY_CHAIN_CUSTOMERS_ALL_DATA")</f>
        <v>#N/A N/A</v>
      </c>
      <c r="OA5" t="str">
        <f>_xll.BDS("nan Equity","SUPPLY_CHAIN_SUPPLIERS_ALL_DATA")</f>
        <v>#N/A N/A</v>
      </c>
      <c r="OO5" t="str">
        <f>_xll.BDS("nan Equity","SUPPLY_CHAIN_CUSTOMERS_ALL_DATA")</f>
        <v>#N/A N/A</v>
      </c>
      <c r="PE5" t="str">
        <f>_xll.BDS("SLB US Equity","SUPPLY_CHAIN_SUPPLIERS_ALL_DATA","cols=12;rows=5")</f>
        <v>ARABIAND AB Equity</v>
      </c>
      <c r="PF5" t="s">
        <v>1752</v>
      </c>
      <c r="PG5">
        <v>16.391817</v>
      </c>
      <c r="PH5">
        <v>0.548377</v>
      </c>
      <c r="PI5" t="s">
        <v>1753</v>
      </c>
      <c r="PJ5">
        <v>2024</v>
      </c>
      <c r="PK5" t="s">
        <v>4152</v>
      </c>
      <c r="PL5" s="6">
        <v>45743</v>
      </c>
      <c r="PM5">
        <v>5</v>
      </c>
      <c r="PN5">
        <v>39521386.840000004</v>
      </c>
      <c r="PO5">
        <v>64576000</v>
      </c>
      <c r="PP5" t="s">
        <v>4153</v>
      </c>
      <c r="PS5" t="str">
        <f>_xll.BDS("SLB US Equity","SUPPLY_CHAIN_CUSTOMERS_ALL_DATA","cols=12;rows=5")</f>
        <v>PETR4 BZ Equity</v>
      </c>
      <c r="PT5">
        <v>4.2082129999999998</v>
      </c>
      <c r="PU5" t="s">
        <v>1828</v>
      </c>
      <c r="PV5">
        <v>7.6857369999999996</v>
      </c>
      <c r="PW5" t="s">
        <v>1788</v>
      </c>
      <c r="PX5">
        <v>2025</v>
      </c>
      <c r="PY5" t="s">
        <v>3057</v>
      </c>
      <c r="PZ5" s="6">
        <v>45985</v>
      </c>
      <c r="QA5">
        <v>5</v>
      </c>
      <c r="QB5">
        <v>375709248</v>
      </c>
      <c r="QC5">
        <v>136114</v>
      </c>
      <c r="QD5" t="s">
        <v>2033</v>
      </c>
      <c r="QI5" t="str">
        <f>_xll.BDS("RC US Equity","SUPPLY_CHAIN_SUPPLIERS_ALL_DATA")</f>
        <v>#N/A N/A</v>
      </c>
      <c r="QW5" t="str">
        <f>_xll.BDS("RC US Equity","SUPPLY_CHAIN_CUSTOMERS_ALL_DATA")</f>
        <v>#N/A N/A</v>
      </c>
      <c r="RM5" t="str">
        <f>_xll.BDS("RLR US Equity","SUPPLY_CHAIN_SUPPLIERS_ALL_DATA")</f>
        <v>#N/A N/A</v>
      </c>
      <c r="SA5" t="str">
        <f>_xll.BDS("RLR US Equity","SUPPLY_CHAIN_CUSTOMERS_ALL_DATA")</f>
        <v>#N/A N/A</v>
      </c>
      <c r="SQ5" t="str">
        <f>_xll.BDS("PRDO US Equity","SUPPLY_CHAIN_SUPPLIERS_ALL_DATA")</f>
        <v>#N/A N/A</v>
      </c>
      <c r="TE5" t="str">
        <f>_xll.BDS("PRDO US Equity","SUPPLY_CHAIN_CUSTOMERS_ALL_DATA")</f>
        <v>#N/A N/A</v>
      </c>
      <c r="TU5" t="str">
        <f>_xll.BDS("AVX US Equity","SUPPLY_CHAIN_SUPPLIERS_ALL_DATA")</f>
        <v>#N/A N/A</v>
      </c>
      <c r="UI5" t="str">
        <f>_xll.BDS("AVX US Equity","SUPPLY_CHAIN_CUSTOMERS_ALL_DATA")</f>
        <v>#N/A N/A</v>
      </c>
      <c r="UY5" t="str">
        <f>_xll.BDS("BCR US Equity","SUPPLY_CHAIN_SUPPLIERS_ALL_DATA","cols=12;rows=1")</f>
        <v>FE US Equity</v>
      </c>
      <c r="VA5">
        <v>-2.4245362661989844E-14</v>
      </c>
      <c r="VB5">
        <v>-2.4245362661989844E-14</v>
      </c>
      <c r="VC5" t="s">
        <v>1753</v>
      </c>
      <c r="VD5">
        <v>2021</v>
      </c>
      <c r="VE5" t="s">
        <v>2222</v>
      </c>
      <c r="VF5" s="6">
        <v>44693</v>
      </c>
      <c r="VG5">
        <v>1</v>
      </c>
      <c r="VH5">
        <v>-2.4245362661989844E-14</v>
      </c>
      <c r="VI5">
        <v>302916</v>
      </c>
      <c r="VJ5" t="s">
        <v>2223</v>
      </c>
      <c r="VM5" t="str">
        <f>_xll.BDS("BCR US Equity","SUPPLY_CHAIN_CUSTOMERS_ALL_DATA")</f>
        <v>#N/A N/A</v>
      </c>
    </row>
    <row r="6" spans="1:600" x14ac:dyDescent="0.25">
      <c r="AE6" t="s">
        <v>2599</v>
      </c>
      <c r="AF6" t="s">
        <v>1752</v>
      </c>
      <c r="AG6">
        <v>1.8061149999999999</v>
      </c>
      <c r="AH6">
        <v>1.370322</v>
      </c>
      <c r="AI6" t="s">
        <v>1774</v>
      </c>
      <c r="AJ6">
        <v>2025</v>
      </c>
      <c r="AK6" t="s">
        <v>2600</v>
      </c>
      <c r="AL6" s="6">
        <v>45874</v>
      </c>
      <c r="AM6">
        <v>5</v>
      </c>
      <c r="AN6">
        <v>152133629.88</v>
      </c>
      <c r="AO6">
        <v>115519</v>
      </c>
      <c r="AP6" t="s">
        <v>2601</v>
      </c>
      <c r="AS6" t="s">
        <v>2847</v>
      </c>
      <c r="AT6">
        <v>0.77161500000000005</v>
      </c>
      <c r="AU6" t="s">
        <v>1828</v>
      </c>
      <c r="AV6">
        <v>-2.4245362661989844E-14</v>
      </c>
      <c r="AW6" t="s">
        <v>1753</v>
      </c>
      <c r="AX6">
        <v>2025</v>
      </c>
      <c r="AY6" t="s">
        <v>2848</v>
      </c>
      <c r="AZ6" s="6">
        <v>45925</v>
      </c>
      <c r="BA6">
        <v>5</v>
      </c>
      <c r="BB6">
        <v>95700000</v>
      </c>
      <c r="BC6">
        <v>340053</v>
      </c>
      <c r="BD6" t="s">
        <v>2849</v>
      </c>
      <c r="DQ6" t="s">
        <v>2599</v>
      </c>
      <c r="DR6" t="s">
        <v>1752</v>
      </c>
      <c r="DS6">
        <v>1.8061149999999999</v>
      </c>
      <c r="DT6">
        <v>1.370322</v>
      </c>
      <c r="DU6" t="s">
        <v>1774</v>
      </c>
      <c r="DV6">
        <v>2025</v>
      </c>
      <c r="DW6" t="s">
        <v>2600</v>
      </c>
      <c r="DX6" s="6">
        <v>45874</v>
      </c>
      <c r="DY6">
        <v>5</v>
      </c>
      <c r="DZ6">
        <v>152133629.88</v>
      </c>
      <c r="EA6">
        <v>115519</v>
      </c>
      <c r="EB6" t="s">
        <v>2601</v>
      </c>
      <c r="EE6" t="s">
        <v>2847</v>
      </c>
      <c r="EF6">
        <v>0.77161500000000005</v>
      </c>
      <c r="EG6" t="s">
        <v>1828</v>
      </c>
      <c r="EH6">
        <v>-2.4245362661989844E-14</v>
      </c>
      <c r="EI6" t="s">
        <v>1753</v>
      </c>
      <c r="EJ6">
        <v>2025</v>
      </c>
      <c r="EK6" t="s">
        <v>2848</v>
      </c>
      <c r="EL6" s="6">
        <v>45925</v>
      </c>
      <c r="EM6">
        <v>5</v>
      </c>
      <c r="EN6">
        <v>95700000</v>
      </c>
      <c r="EO6">
        <v>340053</v>
      </c>
      <c r="EP6" t="s">
        <v>2849</v>
      </c>
      <c r="HC6" t="s">
        <v>5005</v>
      </c>
      <c r="HD6" t="s">
        <v>1752</v>
      </c>
      <c r="HE6">
        <v>18.528752999999998</v>
      </c>
      <c r="HF6">
        <v>3.6639379999999999</v>
      </c>
      <c r="HG6" t="s">
        <v>1788</v>
      </c>
      <c r="HH6">
        <v>2025</v>
      </c>
      <c r="HI6" t="s">
        <v>5006</v>
      </c>
      <c r="HJ6" s="6">
        <v>46063</v>
      </c>
      <c r="HK6">
        <v>5</v>
      </c>
      <c r="HL6">
        <v>761868619.62</v>
      </c>
      <c r="HM6">
        <v>69366139</v>
      </c>
      <c r="HN6" t="s">
        <v>5007</v>
      </c>
      <c r="HQ6" t="s">
        <v>4880</v>
      </c>
      <c r="HR6">
        <v>7.45E-4</v>
      </c>
      <c r="HS6" t="s">
        <v>1752</v>
      </c>
      <c r="HT6">
        <v>5.4128379999999998</v>
      </c>
      <c r="HU6" t="s">
        <v>1753</v>
      </c>
      <c r="HV6">
        <v>2024</v>
      </c>
      <c r="HW6" t="s">
        <v>4881</v>
      </c>
      <c r="HX6" s="6">
        <v>45806</v>
      </c>
      <c r="HY6">
        <v>5</v>
      </c>
      <c r="HZ6">
        <v>180161.24</v>
      </c>
      <c r="IA6">
        <v>812014</v>
      </c>
      <c r="IB6" t="s">
        <v>4882</v>
      </c>
      <c r="JK6" t="s">
        <v>2250</v>
      </c>
      <c r="JM6">
        <v>-2.4245362661989844E-14</v>
      </c>
      <c r="JN6">
        <v>-2.4245362661989844E-14</v>
      </c>
      <c r="JO6" t="s">
        <v>1753</v>
      </c>
      <c r="JP6">
        <v>2021</v>
      </c>
      <c r="JQ6" t="s">
        <v>3056</v>
      </c>
      <c r="JR6" s="6">
        <v>44662</v>
      </c>
      <c r="JS6">
        <v>2</v>
      </c>
      <c r="JT6">
        <v>-2.4245362661989844E-14</v>
      </c>
      <c r="JU6">
        <v>847909</v>
      </c>
      <c r="JV6" t="s">
        <v>2252</v>
      </c>
      <c r="LS6" t="s">
        <v>2262</v>
      </c>
      <c r="LT6" t="s">
        <v>1828</v>
      </c>
      <c r="LU6">
        <v>1.0810869999999999</v>
      </c>
      <c r="LV6">
        <v>2.1342460000000001</v>
      </c>
      <c r="LW6" t="s">
        <v>1788</v>
      </c>
      <c r="LX6">
        <v>2025</v>
      </c>
      <c r="LY6" t="s">
        <v>2263</v>
      </c>
      <c r="LZ6" s="6">
        <v>46071</v>
      </c>
      <c r="MA6">
        <v>5</v>
      </c>
      <c r="MB6">
        <v>1510537.74</v>
      </c>
      <c r="MC6">
        <v>307335</v>
      </c>
      <c r="MD6" t="s">
        <v>2264</v>
      </c>
      <c r="MG6" t="s">
        <v>1547</v>
      </c>
      <c r="MH6">
        <v>5.0365650000000004</v>
      </c>
      <c r="MI6" t="s">
        <v>1752</v>
      </c>
      <c r="MJ6">
        <v>0.53783800000000004</v>
      </c>
      <c r="MK6" t="s">
        <v>1788</v>
      </c>
      <c r="ML6">
        <v>2025</v>
      </c>
      <c r="MM6" t="s">
        <v>1950</v>
      </c>
      <c r="MN6" s="6">
        <v>46009</v>
      </c>
      <c r="MO6">
        <v>5</v>
      </c>
      <c r="MP6">
        <v>36988368</v>
      </c>
      <c r="MQ6">
        <v>100115</v>
      </c>
      <c r="MR6" t="s">
        <v>1922</v>
      </c>
      <c r="MW6" t="s">
        <v>2152</v>
      </c>
      <c r="MY6">
        <v>-2.4245362661989844E-14</v>
      </c>
      <c r="MZ6">
        <v>-2.4245362661989844E-14</v>
      </c>
      <c r="NA6" t="s">
        <v>1768</v>
      </c>
      <c r="NB6">
        <v>2023</v>
      </c>
      <c r="NC6" t="s">
        <v>2153</v>
      </c>
      <c r="ND6" s="6">
        <v>45245</v>
      </c>
      <c r="NE6">
        <v>2</v>
      </c>
      <c r="NF6">
        <v>-2.4245362661989844E-14</v>
      </c>
      <c r="NG6">
        <v>103882</v>
      </c>
      <c r="NH6" t="s">
        <v>2154</v>
      </c>
      <c r="PE6" t="s">
        <v>4041</v>
      </c>
      <c r="PF6" t="s">
        <v>1752</v>
      </c>
      <c r="PG6">
        <v>1.9326570000000001</v>
      </c>
      <c r="PH6">
        <v>0.21072099999999999</v>
      </c>
      <c r="PI6" t="s">
        <v>1788</v>
      </c>
      <c r="PJ6">
        <v>2025</v>
      </c>
      <c r="PK6" t="s">
        <v>4042</v>
      </c>
      <c r="PL6" s="6">
        <v>45985</v>
      </c>
      <c r="PM6">
        <v>5</v>
      </c>
      <c r="PN6">
        <v>15533053.789999999</v>
      </c>
      <c r="PO6">
        <v>125320</v>
      </c>
      <c r="PP6" t="s">
        <v>4043</v>
      </c>
      <c r="PS6" t="s">
        <v>2038</v>
      </c>
      <c r="PT6">
        <v>3.2167110000000001</v>
      </c>
      <c r="PU6" t="s">
        <v>1828</v>
      </c>
      <c r="PV6">
        <v>9.4337839999999993</v>
      </c>
      <c r="PW6" t="s">
        <v>1788</v>
      </c>
      <c r="PX6">
        <v>2025</v>
      </c>
      <c r="PY6" t="s">
        <v>3057</v>
      </c>
      <c r="PZ6" s="6">
        <v>45985</v>
      </c>
      <c r="QA6">
        <v>5</v>
      </c>
      <c r="QB6">
        <v>287187968</v>
      </c>
      <c r="QC6">
        <v>182074</v>
      </c>
      <c r="QD6" t="s">
        <v>2039</v>
      </c>
    </row>
    <row r="7" spans="1:600" x14ac:dyDescent="0.25">
      <c r="AE7" t="s">
        <v>2512</v>
      </c>
      <c r="AF7" t="s">
        <v>1752</v>
      </c>
      <c r="AG7">
        <v>2.19069</v>
      </c>
      <c r="AH7">
        <v>1.2499830000000001</v>
      </c>
      <c r="AI7" t="s">
        <v>1774</v>
      </c>
      <c r="AJ7">
        <v>2025</v>
      </c>
      <c r="AK7" t="s">
        <v>2513</v>
      </c>
      <c r="AL7" s="6">
        <v>45873</v>
      </c>
      <c r="AM7">
        <v>5</v>
      </c>
      <c r="AN7">
        <v>138750110.75</v>
      </c>
      <c r="AO7">
        <v>112185</v>
      </c>
      <c r="AP7" t="s">
        <v>2514</v>
      </c>
      <c r="AS7" t="s">
        <v>2850</v>
      </c>
      <c r="AT7">
        <v>0.3236</v>
      </c>
      <c r="AU7" t="s">
        <v>1752</v>
      </c>
      <c r="AV7">
        <v>1.6738</v>
      </c>
      <c r="AW7" t="s">
        <v>1774</v>
      </c>
      <c r="AX7">
        <v>2025</v>
      </c>
      <c r="AY7" t="s">
        <v>2851</v>
      </c>
      <c r="AZ7" s="6">
        <v>45902</v>
      </c>
      <c r="BA7">
        <v>5</v>
      </c>
      <c r="BB7">
        <v>42200676</v>
      </c>
      <c r="BC7">
        <v>24061601</v>
      </c>
      <c r="BD7" t="s">
        <v>2852</v>
      </c>
      <c r="DQ7" t="s">
        <v>2512</v>
      </c>
      <c r="DR7" t="s">
        <v>1752</v>
      </c>
      <c r="DS7">
        <v>2.19069</v>
      </c>
      <c r="DT7">
        <v>1.2499830000000001</v>
      </c>
      <c r="DU7" t="s">
        <v>1774</v>
      </c>
      <c r="DV7">
        <v>2025</v>
      </c>
      <c r="DW7" t="s">
        <v>2513</v>
      </c>
      <c r="DX7" s="6">
        <v>45873</v>
      </c>
      <c r="DY7">
        <v>5</v>
      </c>
      <c r="DZ7">
        <v>138750110.75</v>
      </c>
      <c r="EA7">
        <v>112185</v>
      </c>
      <c r="EB7" t="s">
        <v>2514</v>
      </c>
      <c r="EE7" t="s">
        <v>2850</v>
      </c>
      <c r="EF7">
        <v>0.3236</v>
      </c>
      <c r="EG7" t="s">
        <v>1752</v>
      </c>
      <c r="EH7">
        <v>1.6738</v>
      </c>
      <c r="EI7" t="s">
        <v>1774</v>
      </c>
      <c r="EJ7">
        <v>2025</v>
      </c>
      <c r="EK7" t="s">
        <v>2851</v>
      </c>
      <c r="EL7" s="6">
        <v>45902</v>
      </c>
      <c r="EM7">
        <v>5</v>
      </c>
      <c r="EN7">
        <v>42200676</v>
      </c>
      <c r="EO7">
        <v>24061601</v>
      </c>
      <c r="EP7" t="s">
        <v>2852</v>
      </c>
      <c r="HC7" t="s">
        <v>1871</v>
      </c>
      <c r="HD7" t="s">
        <v>1752</v>
      </c>
      <c r="HE7">
        <v>0.79603500000000005</v>
      </c>
      <c r="HF7">
        <v>2.278035</v>
      </c>
      <c r="HG7" t="s">
        <v>1774</v>
      </c>
      <c r="HH7">
        <v>2025</v>
      </c>
      <c r="HI7" t="s">
        <v>1872</v>
      </c>
      <c r="HJ7" s="6">
        <v>45952</v>
      </c>
      <c r="HK7">
        <v>5</v>
      </c>
      <c r="HL7">
        <v>424061724.06999999</v>
      </c>
      <c r="HM7">
        <v>117929</v>
      </c>
      <c r="HN7" t="s">
        <v>1873</v>
      </c>
      <c r="HQ7" t="s">
        <v>4883</v>
      </c>
      <c r="HR7">
        <v>5.4799999999999998E-4</v>
      </c>
      <c r="HS7" t="s">
        <v>1828</v>
      </c>
      <c r="HT7">
        <v>0.20153799999999999</v>
      </c>
      <c r="HU7" t="s">
        <v>1774</v>
      </c>
      <c r="HV7">
        <v>2025</v>
      </c>
      <c r="HW7" t="s">
        <v>4884</v>
      </c>
      <c r="HX7" s="6">
        <v>45929</v>
      </c>
      <c r="HY7">
        <v>5</v>
      </c>
      <c r="HZ7">
        <v>123338.17</v>
      </c>
      <c r="IA7">
        <v>115361</v>
      </c>
      <c r="IB7" t="s">
        <v>4885</v>
      </c>
      <c r="LS7" t="s">
        <v>2265</v>
      </c>
      <c r="LT7" t="s">
        <v>1828</v>
      </c>
      <c r="LU7">
        <v>7.4570999999999998E-2</v>
      </c>
      <c r="LV7">
        <v>0.102178</v>
      </c>
      <c r="LW7" t="s">
        <v>1825</v>
      </c>
      <c r="LX7">
        <v>2024</v>
      </c>
      <c r="LY7" t="s">
        <v>2266</v>
      </c>
      <c r="LZ7" s="6">
        <v>45791</v>
      </c>
      <c r="MA7">
        <v>5</v>
      </c>
      <c r="MB7">
        <v>79844.52</v>
      </c>
      <c r="MC7">
        <v>9834044</v>
      </c>
      <c r="MD7" t="s">
        <v>2267</v>
      </c>
      <c r="MG7" t="s">
        <v>1784</v>
      </c>
      <c r="MH7">
        <v>4.5889049999999996</v>
      </c>
      <c r="MI7" t="s">
        <v>1752</v>
      </c>
      <c r="MJ7">
        <v>0.63781200000000005</v>
      </c>
      <c r="MK7" t="s">
        <v>1788</v>
      </c>
      <c r="ML7">
        <v>2025</v>
      </c>
      <c r="MM7" t="s">
        <v>1950</v>
      </c>
      <c r="MN7" s="6">
        <v>46009</v>
      </c>
      <c r="MO7">
        <v>5</v>
      </c>
      <c r="MP7">
        <v>33700768</v>
      </c>
      <c r="MQ7">
        <v>100142</v>
      </c>
      <c r="MR7" t="s">
        <v>1786</v>
      </c>
      <c r="PE7" t="s">
        <v>226</v>
      </c>
      <c r="PF7" t="s">
        <v>1752</v>
      </c>
      <c r="PG7">
        <v>1.9193999999999999E-2</v>
      </c>
      <c r="PH7">
        <v>0.195358</v>
      </c>
      <c r="PI7" t="s">
        <v>1788</v>
      </c>
      <c r="PJ7">
        <v>2025</v>
      </c>
      <c r="PK7" t="s">
        <v>2491</v>
      </c>
      <c r="PL7" s="6">
        <v>45843</v>
      </c>
      <c r="PM7">
        <v>5</v>
      </c>
      <c r="PN7">
        <v>13448468</v>
      </c>
      <c r="PO7">
        <v>101743</v>
      </c>
      <c r="PP7" t="s">
        <v>2156</v>
      </c>
      <c r="PS7" t="s">
        <v>3790</v>
      </c>
      <c r="PT7">
        <v>2.516251</v>
      </c>
      <c r="PU7" t="s">
        <v>1828</v>
      </c>
      <c r="PV7">
        <v>5.8743780000000001</v>
      </c>
      <c r="PW7" t="s">
        <v>1788</v>
      </c>
      <c r="PX7">
        <v>2025</v>
      </c>
      <c r="PY7" t="s">
        <v>3057</v>
      </c>
      <c r="PZ7" s="6">
        <v>45985</v>
      </c>
      <c r="QA7">
        <v>5</v>
      </c>
      <c r="QB7">
        <v>224650896</v>
      </c>
      <c r="QC7">
        <v>100228</v>
      </c>
      <c r="QD7" t="s">
        <v>3791</v>
      </c>
    </row>
    <row r="8" spans="1:600" x14ac:dyDescent="0.25">
      <c r="AE8" t="s">
        <v>163</v>
      </c>
      <c r="AF8" t="s">
        <v>1752</v>
      </c>
      <c r="AG8">
        <v>1.748761</v>
      </c>
      <c r="AH8">
        <v>0.78238600000000003</v>
      </c>
      <c r="AI8" t="s">
        <v>1825</v>
      </c>
      <c r="AJ8">
        <v>2025</v>
      </c>
      <c r="AK8" t="s">
        <v>3031</v>
      </c>
      <c r="AL8" s="6">
        <v>45894</v>
      </c>
      <c r="AM8">
        <v>5</v>
      </c>
      <c r="AN8">
        <v>86782264</v>
      </c>
      <c r="AO8">
        <v>101149</v>
      </c>
      <c r="AP8" t="s">
        <v>3032</v>
      </c>
      <c r="AS8" t="s">
        <v>1954</v>
      </c>
      <c r="AT8">
        <v>0.16686100000000001</v>
      </c>
      <c r="AU8" t="s">
        <v>1752</v>
      </c>
      <c r="AV8">
        <v>0.50028099999999998</v>
      </c>
      <c r="AW8" t="s">
        <v>1781</v>
      </c>
      <c r="AX8">
        <v>2025</v>
      </c>
      <c r="AY8" t="s">
        <v>1955</v>
      </c>
      <c r="AZ8" s="6">
        <v>45820</v>
      </c>
      <c r="BA8">
        <v>5</v>
      </c>
      <c r="BB8">
        <v>20395456</v>
      </c>
      <c r="BC8">
        <v>12129192</v>
      </c>
      <c r="BD8" t="s">
        <v>1956</v>
      </c>
      <c r="DQ8" t="s">
        <v>163</v>
      </c>
      <c r="DR8" t="s">
        <v>1752</v>
      </c>
      <c r="DS8">
        <v>1.748761</v>
      </c>
      <c r="DT8">
        <v>0.78238600000000003</v>
      </c>
      <c r="DU8" t="s">
        <v>1825</v>
      </c>
      <c r="DV8">
        <v>2025</v>
      </c>
      <c r="DW8" t="s">
        <v>3031</v>
      </c>
      <c r="DX8" s="6">
        <v>45894</v>
      </c>
      <c r="DY8">
        <v>5</v>
      </c>
      <c r="DZ8">
        <v>86782264</v>
      </c>
      <c r="EA8">
        <v>101149</v>
      </c>
      <c r="EB8" t="s">
        <v>3032</v>
      </c>
      <c r="EE8" t="s">
        <v>1954</v>
      </c>
      <c r="EF8">
        <v>0.16686100000000001</v>
      </c>
      <c r="EG8" t="s">
        <v>1752</v>
      </c>
      <c r="EH8">
        <v>0.50028099999999998</v>
      </c>
      <c r="EI8" t="s">
        <v>1781</v>
      </c>
      <c r="EJ8">
        <v>2025</v>
      </c>
      <c r="EK8" t="s">
        <v>1955</v>
      </c>
      <c r="EL8" s="6">
        <v>45820</v>
      </c>
      <c r="EM8">
        <v>5</v>
      </c>
      <c r="EN8">
        <v>20395456</v>
      </c>
      <c r="EO8">
        <v>12129192</v>
      </c>
      <c r="EP8" t="s">
        <v>1956</v>
      </c>
      <c r="HC8" t="s">
        <v>4168</v>
      </c>
      <c r="HD8" t="s">
        <v>1752</v>
      </c>
      <c r="HE8">
        <v>0.60393300000000005</v>
      </c>
      <c r="HF8">
        <v>1.904053</v>
      </c>
      <c r="HG8" t="s">
        <v>1774</v>
      </c>
      <c r="HH8">
        <v>2025</v>
      </c>
      <c r="HI8" t="s">
        <v>5008</v>
      </c>
      <c r="HJ8" s="6">
        <v>45880</v>
      </c>
      <c r="HK8">
        <v>5</v>
      </c>
      <c r="HL8">
        <v>354496576</v>
      </c>
      <c r="HM8">
        <v>199455</v>
      </c>
      <c r="HN8" t="s">
        <v>4170</v>
      </c>
      <c r="HQ8" t="s">
        <v>4886</v>
      </c>
      <c r="HR8">
        <v>-2.4245362661989844E-14</v>
      </c>
      <c r="HT8">
        <v>-2.4245362661989844E-14</v>
      </c>
      <c r="HU8" t="s">
        <v>1753</v>
      </c>
      <c r="HV8">
        <v>2024</v>
      </c>
      <c r="HW8" t="s">
        <v>4887</v>
      </c>
      <c r="HX8" s="6">
        <v>45713</v>
      </c>
      <c r="HY8">
        <v>5</v>
      </c>
      <c r="HZ8">
        <v>-2.4245362661989844E-14</v>
      </c>
      <c r="IA8">
        <v>130361</v>
      </c>
      <c r="IB8" t="s">
        <v>4888</v>
      </c>
      <c r="LS8" t="s">
        <v>2268</v>
      </c>
      <c r="LU8">
        <v>-2.4245362661989844E-14</v>
      </c>
      <c r="LV8">
        <v>-2.4245362661989844E-14</v>
      </c>
      <c r="LW8" t="s">
        <v>1753</v>
      </c>
      <c r="LX8">
        <v>2023</v>
      </c>
      <c r="LY8" t="s">
        <v>2269</v>
      </c>
      <c r="LZ8" s="6">
        <v>45209</v>
      </c>
      <c r="MA8">
        <v>5</v>
      </c>
      <c r="MB8">
        <v>-2.4245362661989844E-14</v>
      </c>
      <c r="MC8">
        <v>193974</v>
      </c>
      <c r="MD8" t="s">
        <v>2270</v>
      </c>
      <c r="MG8" t="s">
        <v>1952</v>
      </c>
      <c r="MH8">
        <v>4.087269</v>
      </c>
      <c r="MI8" t="s">
        <v>1752</v>
      </c>
      <c r="MJ8">
        <v>0.108293</v>
      </c>
      <c r="MK8" t="s">
        <v>1788</v>
      </c>
      <c r="ML8">
        <v>2025</v>
      </c>
      <c r="MM8" t="s">
        <v>1950</v>
      </c>
      <c r="MN8" s="6">
        <v>46009</v>
      </c>
      <c r="MO8">
        <v>5</v>
      </c>
      <c r="MP8">
        <v>30016772</v>
      </c>
      <c r="MQ8">
        <v>117621</v>
      </c>
      <c r="MR8" t="s">
        <v>1953</v>
      </c>
      <c r="PE8" t="s">
        <v>4154</v>
      </c>
      <c r="PF8" t="s">
        <v>1752</v>
      </c>
      <c r="PG8">
        <v>0.74089799999999995</v>
      </c>
      <c r="PH8">
        <v>0.15796199999999999</v>
      </c>
      <c r="PI8" t="s">
        <v>1788</v>
      </c>
      <c r="PJ8">
        <v>2025</v>
      </c>
      <c r="PK8" t="s">
        <v>4155</v>
      </c>
      <c r="PL8" s="6">
        <v>46076</v>
      </c>
      <c r="PM8">
        <v>5</v>
      </c>
      <c r="PN8">
        <v>12663799</v>
      </c>
      <c r="PO8">
        <v>119151</v>
      </c>
      <c r="PP8" t="s">
        <v>4156</v>
      </c>
      <c r="PS8" t="s">
        <v>2138</v>
      </c>
      <c r="PT8">
        <v>2.263004</v>
      </c>
      <c r="PU8" t="s">
        <v>1828</v>
      </c>
      <c r="PV8">
        <v>1.609923</v>
      </c>
      <c r="PW8" t="s">
        <v>1788</v>
      </c>
      <c r="PX8">
        <v>2025</v>
      </c>
      <c r="PY8" t="s">
        <v>3057</v>
      </c>
      <c r="PZ8" s="6">
        <v>45985</v>
      </c>
      <c r="QA8">
        <v>5</v>
      </c>
      <c r="QB8">
        <v>202040992</v>
      </c>
      <c r="QC8">
        <v>948637</v>
      </c>
      <c r="QD8" t="s">
        <v>2140</v>
      </c>
    </row>
    <row r="9" spans="1:600" x14ac:dyDescent="0.25">
      <c r="AE9" t="s">
        <v>532</v>
      </c>
      <c r="AF9" t="s">
        <v>1752</v>
      </c>
      <c r="AG9">
        <v>4.2578709999999997</v>
      </c>
      <c r="AH9">
        <v>0.81780799999999998</v>
      </c>
      <c r="AI9" t="s">
        <v>1774</v>
      </c>
      <c r="AJ9">
        <v>2025</v>
      </c>
      <c r="AK9" t="s">
        <v>2520</v>
      </c>
      <c r="AL9" s="6">
        <v>45791</v>
      </c>
      <c r="AM9">
        <v>5</v>
      </c>
      <c r="AN9">
        <v>84479568</v>
      </c>
      <c r="AO9">
        <v>116988</v>
      </c>
      <c r="AP9" t="s">
        <v>2521</v>
      </c>
      <c r="AS9" t="s">
        <v>2853</v>
      </c>
      <c r="AT9">
        <v>7.0043999999999995E-2</v>
      </c>
      <c r="AU9" t="s">
        <v>1752</v>
      </c>
      <c r="AV9">
        <v>0.716028</v>
      </c>
      <c r="AW9" t="s">
        <v>1825</v>
      </c>
      <c r="AX9">
        <v>2024</v>
      </c>
      <c r="AY9" t="s">
        <v>2851</v>
      </c>
      <c r="AZ9" s="6">
        <v>45706</v>
      </c>
      <c r="BA9">
        <v>5</v>
      </c>
      <c r="BB9">
        <v>9342469</v>
      </c>
      <c r="BC9">
        <v>202402</v>
      </c>
      <c r="BD9" t="s">
        <v>2854</v>
      </c>
      <c r="DQ9" t="s">
        <v>532</v>
      </c>
      <c r="DR9" t="s">
        <v>1752</v>
      </c>
      <c r="DS9">
        <v>4.2578709999999997</v>
      </c>
      <c r="DT9">
        <v>0.81780799999999998</v>
      </c>
      <c r="DU9" t="s">
        <v>1774</v>
      </c>
      <c r="DV9">
        <v>2025</v>
      </c>
      <c r="DW9" t="s">
        <v>2520</v>
      </c>
      <c r="DX9" s="6">
        <v>45791</v>
      </c>
      <c r="DY9">
        <v>5</v>
      </c>
      <c r="DZ9">
        <v>84479568</v>
      </c>
      <c r="EA9">
        <v>116988</v>
      </c>
      <c r="EB9" t="s">
        <v>2521</v>
      </c>
      <c r="EE9" t="s">
        <v>2853</v>
      </c>
      <c r="EF9">
        <v>7.0043999999999995E-2</v>
      </c>
      <c r="EG9" t="s">
        <v>1752</v>
      </c>
      <c r="EH9">
        <v>0.716028</v>
      </c>
      <c r="EI9" t="s">
        <v>1825</v>
      </c>
      <c r="EJ9">
        <v>2024</v>
      </c>
      <c r="EK9" t="s">
        <v>2851</v>
      </c>
      <c r="EL9" s="6">
        <v>45706</v>
      </c>
      <c r="EM9">
        <v>5</v>
      </c>
      <c r="EN9">
        <v>9342469</v>
      </c>
      <c r="EO9">
        <v>202402</v>
      </c>
      <c r="EP9" t="s">
        <v>2854</v>
      </c>
      <c r="HC9" t="s">
        <v>5009</v>
      </c>
      <c r="HD9" t="s">
        <v>1752</v>
      </c>
      <c r="HE9">
        <v>1.9954529999999999</v>
      </c>
      <c r="HF9">
        <v>1.129896</v>
      </c>
      <c r="HG9" t="s">
        <v>1781</v>
      </c>
      <c r="HH9">
        <v>2026</v>
      </c>
      <c r="HI9" t="s">
        <v>5010</v>
      </c>
      <c r="HJ9" s="6">
        <v>45968</v>
      </c>
      <c r="HK9">
        <v>5</v>
      </c>
      <c r="HL9">
        <v>265528996.81</v>
      </c>
      <c r="HM9">
        <v>100949</v>
      </c>
      <c r="HN9" t="s">
        <v>5011</v>
      </c>
      <c r="HQ9" t="s">
        <v>3326</v>
      </c>
      <c r="HR9">
        <v>-2.4245362661989844E-14</v>
      </c>
      <c r="HT9">
        <v>-2.4245362661989844E-14</v>
      </c>
      <c r="HU9" t="s">
        <v>1788</v>
      </c>
      <c r="HV9">
        <v>2023</v>
      </c>
      <c r="HW9" t="s">
        <v>4889</v>
      </c>
      <c r="HX9" s="6">
        <v>45224</v>
      </c>
      <c r="HY9">
        <v>5</v>
      </c>
      <c r="HZ9">
        <v>-2.4245362661989844E-14</v>
      </c>
      <c r="IA9">
        <v>300809</v>
      </c>
      <c r="IB9" t="s">
        <v>3328</v>
      </c>
      <c r="LS9" t="s">
        <v>2271</v>
      </c>
      <c r="LU9">
        <v>-2.4245362661989844E-14</v>
      </c>
      <c r="LV9">
        <v>-2.4245362661989844E-14</v>
      </c>
      <c r="LW9" t="s">
        <v>1753</v>
      </c>
      <c r="LX9">
        <v>2024</v>
      </c>
      <c r="LY9" t="s">
        <v>2272</v>
      </c>
      <c r="LZ9" s="6">
        <v>45775</v>
      </c>
      <c r="MA9">
        <v>5</v>
      </c>
      <c r="MB9">
        <v>-2.4245362661989844E-14</v>
      </c>
      <c r="MC9">
        <v>49147296</v>
      </c>
      <c r="MD9" t="s">
        <v>2273</v>
      </c>
      <c r="MG9" t="s">
        <v>1923</v>
      </c>
      <c r="MH9">
        <v>3.999234</v>
      </c>
      <c r="MI9" t="s">
        <v>1752</v>
      </c>
      <c r="MJ9">
        <v>0.27762799999999999</v>
      </c>
      <c r="MK9" t="s">
        <v>1788</v>
      </c>
      <c r="ML9">
        <v>2025</v>
      </c>
      <c r="MM9" t="s">
        <v>1950</v>
      </c>
      <c r="MN9" s="6">
        <v>46009</v>
      </c>
      <c r="MO9">
        <v>5</v>
      </c>
      <c r="MP9">
        <v>29370244</v>
      </c>
      <c r="MQ9">
        <v>1459396</v>
      </c>
      <c r="MR9" t="s">
        <v>1925</v>
      </c>
      <c r="PE9" t="s">
        <v>4157</v>
      </c>
      <c r="PF9" t="s">
        <v>1752</v>
      </c>
      <c r="PG9">
        <v>1.9906219999999999</v>
      </c>
      <c r="PH9">
        <v>0.177985</v>
      </c>
      <c r="PI9" t="s">
        <v>1774</v>
      </c>
      <c r="PJ9">
        <v>2025</v>
      </c>
      <c r="PK9" t="s">
        <v>4158</v>
      </c>
      <c r="PL9" s="6">
        <v>45936</v>
      </c>
      <c r="PM9">
        <v>5</v>
      </c>
      <c r="PN9">
        <v>12336562.08</v>
      </c>
      <c r="PO9">
        <v>116058</v>
      </c>
      <c r="PP9" t="s">
        <v>4159</v>
      </c>
      <c r="PS9" t="s">
        <v>2036</v>
      </c>
      <c r="PT9">
        <v>2.2018209999999998</v>
      </c>
      <c r="PU9" t="s">
        <v>1828</v>
      </c>
      <c r="PV9">
        <v>4.3137720000000002</v>
      </c>
      <c r="PW9" t="s">
        <v>1788</v>
      </c>
      <c r="PX9">
        <v>2025</v>
      </c>
      <c r="PY9" t="s">
        <v>3057</v>
      </c>
      <c r="PZ9" s="6">
        <v>45985</v>
      </c>
      <c r="QA9">
        <v>5</v>
      </c>
      <c r="QB9">
        <v>196578576</v>
      </c>
      <c r="QC9">
        <v>9268711</v>
      </c>
      <c r="QD9" t="s">
        <v>2037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1033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1034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1035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1036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1037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1038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1039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1040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1041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1042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1043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1044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1045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1046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1047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1048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1049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1050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1051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463</v>
      </c>
      <c r="AE2" s="3" t="s">
        <v>573</v>
      </c>
      <c r="BI2" s="3" t="s">
        <v>161</v>
      </c>
      <c r="CM2" s="3" t="s">
        <v>234</v>
      </c>
      <c r="DQ2" s="3" t="s">
        <v>186</v>
      </c>
      <c r="EU2" s="3" t="s">
        <v>268</v>
      </c>
      <c r="FY2" s="3" t="s">
        <v>462</v>
      </c>
      <c r="HC2" s="3" t="s">
        <v>350</v>
      </c>
      <c r="IG2" s="3" t="s">
        <v>773</v>
      </c>
      <c r="JK2" s="3" t="s">
        <v>1052</v>
      </c>
      <c r="KO2" s="3" t="s">
        <v>1053</v>
      </c>
      <c r="LS2" s="3" t="s">
        <v>348</v>
      </c>
      <c r="MW2" s="3" t="s">
        <v>118</v>
      </c>
      <c r="OA2" s="3" t="s">
        <v>1054</v>
      </c>
      <c r="PE2" s="3" t="s">
        <v>1055</v>
      </c>
      <c r="QI2" s="3" t="s">
        <v>1056</v>
      </c>
      <c r="RM2" s="3" t="s">
        <v>1057</v>
      </c>
      <c r="SQ2" s="3" t="s">
        <v>733</v>
      </c>
      <c r="TU2" s="3" t="s">
        <v>126</v>
      </c>
      <c r="UY2" s="3" t="s">
        <v>1058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_xll.BDS("ATBA AV Equity","SUPPLY_CHAIN_SUPPLIERS_ALL_DATA","cols=12;rows=5")</f>
        <v>000676 CH Equity</v>
      </c>
      <c r="C5">
        <v>-2.4245362661989844E-14</v>
      </c>
      <c r="D5">
        <v>-2.4245362661989844E-14</v>
      </c>
      <c r="E5" t="s">
        <v>1842</v>
      </c>
      <c r="F5">
        <v>2025</v>
      </c>
      <c r="G5" t="s">
        <v>5113</v>
      </c>
      <c r="H5" s="6">
        <v>45896</v>
      </c>
      <c r="I5">
        <v>5</v>
      </c>
      <c r="J5">
        <v>-2.4245362661989844E-14</v>
      </c>
      <c r="K5">
        <v>193970</v>
      </c>
      <c r="L5" t="s">
        <v>5114</v>
      </c>
      <c r="O5" t="str">
        <f>_xll.BDS("ATBA AV Equity","SUPPLY_CHAIN_CUSTOMERS_ALL_DATA","cols=12;rows=5")</f>
        <v>066570 KS Equity</v>
      </c>
      <c r="P5">
        <v>-2.4245362661989844E-14</v>
      </c>
      <c r="R5">
        <v>-2.4245362661989844E-14</v>
      </c>
      <c r="S5" t="s">
        <v>1753</v>
      </c>
      <c r="T5">
        <v>2025</v>
      </c>
      <c r="U5" t="s">
        <v>3346</v>
      </c>
      <c r="V5" s="6">
        <v>45757</v>
      </c>
      <c r="W5">
        <v>5</v>
      </c>
      <c r="X5">
        <v>-2.4245362661989844E-14</v>
      </c>
      <c r="Y5">
        <v>7583418</v>
      </c>
      <c r="Z5" t="s">
        <v>1928</v>
      </c>
      <c r="AE5" t="str">
        <f>_xll.BDS("MDT US Equity","SUPPLY_CHAIN_SUPPLIERS_ALL_DATA","cols=12;rows=5")</f>
        <v>FLEX US Equity</v>
      </c>
      <c r="AF5" t="s">
        <v>1752</v>
      </c>
      <c r="AG5">
        <v>1.2190190000000001</v>
      </c>
      <c r="AH5">
        <v>2.8758149999999998</v>
      </c>
      <c r="AI5" t="s">
        <v>1788</v>
      </c>
      <c r="AJ5">
        <v>2025</v>
      </c>
      <c r="AK5" t="s">
        <v>2213</v>
      </c>
      <c r="AL5" s="6">
        <v>45763</v>
      </c>
      <c r="AM5">
        <v>5</v>
      </c>
      <c r="AN5">
        <v>79918888</v>
      </c>
      <c r="AO5">
        <v>136547</v>
      </c>
      <c r="AP5" t="s">
        <v>2214</v>
      </c>
      <c r="AS5" t="str">
        <f>_xll.BDS("MDT US Equity","SUPPLY_CHAIN_CUSTOMERS_ALL_DATA","cols=12;rows=5")</f>
        <v>4104 TT Equity</v>
      </c>
      <c r="AT5">
        <v>0.20070099999999999</v>
      </c>
      <c r="AU5" t="s">
        <v>1752</v>
      </c>
      <c r="AV5">
        <v>32.397697000000001</v>
      </c>
      <c r="AW5" t="s">
        <v>1753</v>
      </c>
      <c r="AX5">
        <v>2024</v>
      </c>
      <c r="AY5" t="s">
        <v>5043</v>
      </c>
      <c r="AZ5" s="6">
        <v>45814</v>
      </c>
      <c r="BA5">
        <v>5</v>
      </c>
      <c r="BB5">
        <v>17028014.890000001</v>
      </c>
      <c r="BC5">
        <v>7324380</v>
      </c>
      <c r="BD5" t="s">
        <v>5044</v>
      </c>
      <c r="BI5" t="str">
        <f>_xll.BDS("MSCC US Equity","SUPPLY_CHAIN_SUPPLIERS_ALL_DATA","cols=12;rows=1")</f>
        <v>FE US Equity</v>
      </c>
      <c r="BK5">
        <v>-2.4245362661989844E-14</v>
      </c>
      <c r="BL5">
        <v>-2.4245362661989844E-14</v>
      </c>
      <c r="BM5" t="s">
        <v>1753</v>
      </c>
      <c r="BN5">
        <v>2021</v>
      </c>
      <c r="BO5" t="s">
        <v>2222</v>
      </c>
      <c r="BP5" s="6">
        <v>44693</v>
      </c>
      <c r="BQ5">
        <v>1</v>
      </c>
      <c r="BR5">
        <v>-2.4245362661989844E-14</v>
      </c>
      <c r="BS5">
        <v>302916</v>
      </c>
      <c r="BT5" t="s">
        <v>2223</v>
      </c>
      <c r="BW5" t="str">
        <f>_xll.BDS("MSCC US Equity","SUPPLY_CHAIN_CUSTOMERS_ALL_DATA")</f>
        <v>#N/A N/A</v>
      </c>
      <c r="CM5" t="str">
        <f>_xll.BDS("OCR US Equity","SUPPLY_CHAIN_SUPPLIERS_ALL_DATA")</f>
        <v>#N/A N/A</v>
      </c>
      <c r="DA5" t="str">
        <f>_xll.BDS("OCR US Equity","SUPPLY_CHAIN_CUSTOMERS_ALL_DATA","cols=12;rows=2")</f>
        <v>3176 TT Equity</v>
      </c>
      <c r="DB5">
        <v>-2.4245362661989844E-14</v>
      </c>
      <c r="DD5">
        <v>-2.4245362661989844E-14</v>
      </c>
      <c r="DE5" t="s">
        <v>1753</v>
      </c>
      <c r="DF5">
        <v>2021</v>
      </c>
      <c r="DG5" t="s">
        <v>3639</v>
      </c>
      <c r="DH5" s="6">
        <v>44699</v>
      </c>
      <c r="DI5">
        <v>2</v>
      </c>
      <c r="DJ5">
        <v>-2.4245362661989844E-14</v>
      </c>
      <c r="DK5">
        <v>7254096</v>
      </c>
      <c r="DL5" t="s">
        <v>3640</v>
      </c>
      <c r="DQ5" t="str">
        <f>_xll.BDS("ENDPQ US Equity","SUPPLY_CHAIN_SUPPLIERS_ALL_DATA","cols=12;rows=5")</f>
        <v>0177858D US Equity</v>
      </c>
      <c r="DS5">
        <v>-2.4245362661989844E-14</v>
      </c>
      <c r="DT5">
        <v>-2.4245362661989844E-14</v>
      </c>
      <c r="DU5" t="s">
        <v>1788</v>
      </c>
      <c r="DV5">
        <v>2022</v>
      </c>
      <c r="DW5" t="s">
        <v>1986</v>
      </c>
      <c r="DX5" s="6">
        <v>44789</v>
      </c>
      <c r="DY5">
        <v>5</v>
      </c>
      <c r="DZ5">
        <v>-2.4245362661989844E-14</v>
      </c>
      <c r="EA5">
        <v>15116708</v>
      </c>
      <c r="EB5" t="s">
        <v>2189</v>
      </c>
      <c r="EE5" t="str">
        <f>_xll.BDS("ENDPQ US Equity","SUPPLY_CHAIN_CUSTOMERS_ALL_DATA","cols=12;rows=5")</f>
        <v>0219682Z US Equity</v>
      </c>
      <c r="EF5">
        <v>-2.4245362661989844E-14</v>
      </c>
      <c r="EH5">
        <v>-2.4245362661989844E-14</v>
      </c>
      <c r="EI5" t="s">
        <v>1753</v>
      </c>
      <c r="EJ5">
        <v>2023</v>
      </c>
      <c r="EK5" t="s">
        <v>1983</v>
      </c>
      <c r="EL5" s="6">
        <v>45357</v>
      </c>
      <c r="EM5">
        <v>5</v>
      </c>
      <c r="EN5">
        <v>-2.4245362661989844E-14</v>
      </c>
      <c r="EO5">
        <v>962205</v>
      </c>
      <c r="EP5" t="s">
        <v>1984</v>
      </c>
      <c r="EU5" t="str">
        <f>_xll.BDS("1280712D US Equity","SUPPLY_CHAIN_SUPPLIERS_ALL_DATA")</f>
        <v>#N/A N/A</v>
      </c>
      <c r="FI5" t="str">
        <f>_xll.BDS("1280712D US Equity","SUPPLY_CHAIN_CUSTOMERS_ALL_DATA")</f>
        <v>#N/A N/A</v>
      </c>
      <c r="FY5" t="str">
        <f>_xll.BDS("FNFG US Equity","SUPPLY_CHAIN_SUPPLIERS_ALL_DATA")</f>
        <v>#N/A N/A</v>
      </c>
      <c r="GM5" t="str">
        <f>_xll.BDS("FNFG US Equity","SUPPLY_CHAIN_CUSTOMERS_ALL_DATA")</f>
        <v>#N/A N/A</v>
      </c>
      <c r="HC5" t="str">
        <f>_xll.BDS("JNY US Equity","SUPPLY_CHAIN_SUPPLIERS_ALL_DATA")</f>
        <v>#N/A N/A</v>
      </c>
      <c r="HQ5" t="str">
        <f>_xll.BDS("JNY US Equity","SUPPLY_CHAIN_CUSTOMERS_ALL_DATA","cols=12;rows=1")</f>
        <v>MAPI IJ Equity</v>
      </c>
      <c r="HR5">
        <v>-2.4245362661989844E-14</v>
      </c>
      <c r="HT5">
        <v>-2.4245362661989844E-14</v>
      </c>
      <c r="HU5" t="s">
        <v>1753</v>
      </c>
      <c r="HV5">
        <v>2023</v>
      </c>
      <c r="HW5" t="s">
        <v>1919</v>
      </c>
      <c r="HX5" s="6">
        <v>45412</v>
      </c>
      <c r="HY5">
        <v>1</v>
      </c>
      <c r="HZ5">
        <v>-2.4245362661989844E-14</v>
      </c>
      <c r="IA5">
        <v>9183698</v>
      </c>
      <c r="IB5" t="s">
        <v>1920</v>
      </c>
      <c r="IG5" t="str">
        <f>_xll.BDS("BAX US Equity","SUPPLY_CHAIN_SUPPLIERS_ALL_DATA","cols=12;rows=5")</f>
        <v>BHE US Equity</v>
      </c>
      <c r="IH5" t="s">
        <v>1752</v>
      </c>
      <c r="II5">
        <v>1.118628</v>
      </c>
      <c r="IJ5">
        <v>0.40062900000000001</v>
      </c>
      <c r="IK5" t="s">
        <v>1781</v>
      </c>
      <c r="IL5">
        <v>2025</v>
      </c>
      <c r="IM5" t="s">
        <v>2953</v>
      </c>
      <c r="IN5" s="6">
        <v>45793</v>
      </c>
      <c r="IO5">
        <v>5</v>
      </c>
      <c r="IP5">
        <v>7067089</v>
      </c>
      <c r="IQ5">
        <v>102417</v>
      </c>
      <c r="IR5" t="s">
        <v>2954</v>
      </c>
      <c r="IU5" t="str">
        <f>_xll.BDS("BAX US Equity","SUPPLY_CHAIN_CUSTOMERS_ALL_DATA","cols=12;rows=5")</f>
        <v>1788 TT Equity</v>
      </c>
      <c r="IV5">
        <v>2.648E-2</v>
      </c>
      <c r="IW5" t="s">
        <v>1752</v>
      </c>
      <c r="IX5">
        <v>3.0847989999999998</v>
      </c>
      <c r="IY5" t="s">
        <v>1753</v>
      </c>
      <c r="IZ5">
        <v>2024</v>
      </c>
      <c r="JA5" t="s">
        <v>3721</v>
      </c>
      <c r="JB5" s="6">
        <v>45784</v>
      </c>
      <c r="JC5">
        <v>5</v>
      </c>
      <c r="JD5">
        <v>720839.48</v>
      </c>
      <c r="JE5">
        <v>9152670</v>
      </c>
      <c r="JF5" t="s">
        <v>3722</v>
      </c>
      <c r="JK5" t="str">
        <f>_xll.BDS("MDCC US Equity","SUPPLY_CHAIN_SUPPLIERS_ALL_DATA")</f>
        <v>#N/A N/A</v>
      </c>
      <c r="JY5" t="str">
        <f>_xll.BDS("MDCC US Equity","SUPPLY_CHAIN_CUSTOMERS_ALL_DATA")</f>
        <v>#N/A N/A</v>
      </c>
      <c r="KO5" t="str">
        <f>_xll.BDS("QTRN US Equity","SUPPLY_CHAIN_SUPPLIERS_ALL_DATA")</f>
        <v>#N/A N/A</v>
      </c>
      <c r="LC5" t="str">
        <f>_xll.BDS("QTRN US Equity","SUPPLY_CHAIN_CUSTOMERS_ALL_DATA")</f>
        <v>#N/A N/A</v>
      </c>
      <c r="LS5" t="str">
        <f>_xll.BDS("PB US Equity","SUPPLY_CHAIN_SUPPLIERS_ALL_DATA")</f>
        <v>#N/A N/A</v>
      </c>
      <c r="MG5" t="str">
        <f>_xll.BDS("PB US Equity","SUPPLY_CHAIN_CUSTOMERS_ALL_DATA")</f>
        <v>#N/A N/A</v>
      </c>
      <c r="MW5" t="str">
        <f>_xll.BDS("ILA US Equity","SUPPLY_CHAIN_SUPPLIERS_ALL_DATA")</f>
        <v>#N/A N/A</v>
      </c>
      <c r="NK5" t="str">
        <f>_xll.BDS("ILA US Equity","SUPPLY_CHAIN_CUSTOMERS_ALL_DATA")</f>
        <v>#N/A N/A</v>
      </c>
      <c r="OA5" t="str">
        <f>_xll.BDS("2983744Q US Equity","SUPPLY_CHAIN_SUPPLIERS_ALL_DATA")</f>
        <v>#N/A N/A</v>
      </c>
      <c r="OO5" t="str">
        <f>_xll.BDS("2983744Q US Equity","SUPPLY_CHAIN_CUSTOMERS_ALL_DATA")</f>
        <v>#N/A N/A</v>
      </c>
      <c r="PE5" t="str">
        <f>_xll.BDS("JAH US Equity","SUPPLY_CHAIN_SUPPLIERS_ALL_DATA")</f>
        <v>#N/A N/A</v>
      </c>
      <c r="PS5" t="str">
        <f>_xll.BDS("JAH US Equity","SUPPLY_CHAIN_CUSTOMERS_ALL_DATA")</f>
        <v>#N/A N/A</v>
      </c>
      <c r="QI5" t="str">
        <f>_xll.BDS("MHK US Equity","SUPPLY_CHAIN_SUPPLIERS_ALL_DATA","cols=12;rows=5")</f>
        <v>XPO US Equity</v>
      </c>
      <c r="QJ5" t="s">
        <v>1752</v>
      </c>
      <c r="QK5">
        <v>7.5403999999999999E-2</v>
      </c>
      <c r="QL5">
        <v>7.5125999999999998E-2</v>
      </c>
      <c r="QM5" t="s">
        <v>1774</v>
      </c>
      <c r="QN5">
        <v>2025</v>
      </c>
      <c r="QO5" t="s">
        <v>2245</v>
      </c>
      <c r="QP5" s="6">
        <v>45916</v>
      </c>
      <c r="QQ5">
        <v>5</v>
      </c>
      <c r="QR5">
        <v>1568403</v>
      </c>
      <c r="QS5">
        <v>7359873</v>
      </c>
      <c r="QT5" t="s">
        <v>2246</v>
      </c>
      <c r="QW5" t="str">
        <f>_xll.BDS("MHK US Equity","SUPPLY_CHAIN_CUSTOMERS_ALL_DATA","cols=12;rows=5")</f>
        <v>HD US Equity</v>
      </c>
      <c r="QX5">
        <v>5.4519000000000002</v>
      </c>
      <c r="QY5" t="s">
        <v>1752</v>
      </c>
      <c r="QZ5">
        <v>0.50665899999999997</v>
      </c>
      <c r="RA5" t="s">
        <v>1774</v>
      </c>
      <c r="RB5">
        <v>2025</v>
      </c>
      <c r="RC5" t="s">
        <v>1933</v>
      </c>
      <c r="RD5" s="6">
        <v>45890</v>
      </c>
      <c r="RE5">
        <v>5</v>
      </c>
      <c r="RF5">
        <v>152767696</v>
      </c>
      <c r="RG5">
        <v>100743</v>
      </c>
      <c r="RH5" t="s">
        <v>1934</v>
      </c>
      <c r="RM5" t="str">
        <f>_xll.BDS("HIB US Equity","SUPPLY_CHAIN_SUPPLIERS_ALL_DATA")</f>
        <v>#N/A N/A</v>
      </c>
      <c r="SA5" t="str">
        <f>_xll.BDS("HIB US Equity","SUPPLY_CHAIN_CUSTOMERS_ALL_DATA")</f>
        <v>#N/A N/A</v>
      </c>
      <c r="SQ5" t="str">
        <f>_xll.BDS("FRME US Equity","SUPPLY_CHAIN_SUPPLIERS_ALL_DATA")</f>
        <v>#N/A N/A</v>
      </c>
      <c r="TE5" t="str">
        <f>_xll.BDS("FRME US Equity","SUPPLY_CHAIN_CUSTOMERS_ALL_DATA")</f>
        <v>#N/A N/A</v>
      </c>
      <c r="TU5" t="str">
        <f>_xll.BDS("WFC US Equity","SUPPLY_CHAIN_SUPPLIERS_ALL_DATA","cols=12;rows=5")</f>
        <v>ADBE US Equity</v>
      </c>
      <c r="TV5" t="s">
        <v>1940</v>
      </c>
      <c r="TW5">
        <v>0.357321</v>
      </c>
      <c r="TX5">
        <v>0.15107200000000001</v>
      </c>
      <c r="TY5" t="s">
        <v>1774</v>
      </c>
      <c r="TZ5">
        <v>2025</v>
      </c>
      <c r="UA5" t="s">
        <v>2126</v>
      </c>
      <c r="UB5" s="6">
        <v>45838</v>
      </c>
      <c r="UC5">
        <v>5</v>
      </c>
      <c r="UD5">
        <v>20985462</v>
      </c>
      <c r="UE5">
        <v>101689</v>
      </c>
      <c r="UF5" t="s">
        <v>2127</v>
      </c>
      <c r="UI5" t="str">
        <f>_xll.BDS("WFC US Equity","SUPPLY_CHAIN_CUSTOMERS_ALL_DATA","cols=12;rows=5")</f>
        <v>CDW US Equity</v>
      </c>
      <c r="UJ5">
        <v>4.1894000000000001E-2</v>
      </c>
      <c r="UK5" t="s">
        <v>1752</v>
      </c>
      <c r="UL5">
        <v>0.304456</v>
      </c>
      <c r="UM5" t="s">
        <v>1781</v>
      </c>
      <c r="UN5">
        <v>2025</v>
      </c>
      <c r="UO5" t="s">
        <v>1955</v>
      </c>
      <c r="UP5" s="6">
        <v>45820</v>
      </c>
      <c r="UQ5">
        <v>5</v>
      </c>
      <c r="UR5">
        <v>12412062</v>
      </c>
      <c r="US5">
        <v>12129192</v>
      </c>
      <c r="UT5" t="s">
        <v>1956</v>
      </c>
      <c r="UY5" t="str">
        <f>_xll.BDS("BRKL US Equity","SUPPLY_CHAIN_SUPPLIERS_ALL_DATA")</f>
        <v>#N/A N/A</v>
      </c>
      <c r="VM5" t="str">
        <f>_xll.BDS("BRKL US Equity","SUPPLY_CHAIN_CUSTOMERS_ALL_DATA")</f>
        <v>#N/A N/A</v>
      </c>
    </row>
    <row r="6" spans="1:600" x14ac:dyDescent="0.25">
      <c r="A6" t="s">
        <v>5115</v>
      </c>
      <c r="C6">
        <v>-2.4245362661989844E-14</v>
      </c>
      <c r="D6">
        <v>-2.4245362661989844E-14</v>
      </c>
      <c r="E6" t="s">
        <v>1761</v>
      </c>
      <c r="F6">
        <v>2023</v>
      </c>
      <c r="G6" t="s">
        <v>5116</v>
      </c>
      <c r="H6" s="6">
        <v>45152</v>
      </c>
      <c r="I6">
        <v>5</v>
      </c>
      <c r="J6">
        <v>-2.4245362661989844E-14</v>
      </c>
      <c r="K6">
        <v>9996300</v>
      </c>
      <c r="L6" t="s">
        <v>5117</v>
      </c>
      <c r="O6" t="s">
        <v>3347</v>
      </c>
      <c r="P6">
        <v>-2.4245362661989844E-14</v>
      </c>
      <c r="R6">
        <v>-2.4245362661989844E-14</v>
      </c>
      <c r="S6" t="s">
        <v>1768</v>
      </c>
      <c r="T6">
        <v>2022</v>
      </c>
      <c r="U6" t="s">
        <v>3348</v>
      </c>
      <c r="V6" s="6">
        <v>44916</v>
      </c>
      <c r="W6">
        <v>5</v>
      </c>
      <c r="X6">
        <v>-2.4245362661989844E-14</v>
      </c>
      <c r="Y6">
        <v>7312672</v>
      </c>
      <c r="Z6" t="s">
        <v>3349</v>
      </c>
      <c r="AE6" t="s">
        <v>5462</v>
      </c>
      <c r="AF6" t="s">
        <v>1752</v>
      </c>
      <c r="AG6">
        <v>2.3008839999999999</v>
      </c>
      <c r="AH6">
        <v>1.9882420000000001</v>
      </c>
      <c r="AI6" t="s">
        <v>1825</v>
      </c>
      <c r="AJ6">
        <v>2024</v>
      </c>
      <c r="AK6" t="s">
        <v>5463</v>
      </c>
      <c r="AL6" s="6">
        <v>45694</v>
      </c>
      <c r="AM6">
        <v>5</v>
      </c>
      <c r="AN6">
        <v>58573604</v>
      </c>
      <c r="AO6">
        <v>349266</v>
      </c>
      <c r="AP6" t="s">
        <v>5464</v>
      </c>
      <c r="AS6" t="s">
        <v>5045</v>
      </c>
      <c r="AT6">
        <v>-2.4245362661989844E-14</v>
      </c>
      <c r="AV6">
        <v>-2.4245362661989844E-14</v>
      </c>
      <c r="AW6" t="s">
        <v>1753</v>
      </c>
      <c r="AX6">
        <v>2021</v>
      </c>
      <c r="AY6" t="s">
        <v>5046</v>
      </c>
      <c r="AZ6" s="6">
        <v>44676</v>
      </c>
      <c r="BA6">
        <v>5</v>
      </c>
      <c r="BB6">
        <v>-2.4245362661989844E-14</v>
      </c>
      <c r="BC6">
        <v>24598477</v>
      </c>
      <c r="BD6" t="s">
        <v>5047</v>
      </c>
      <c r="DA6" t="s">
        <v>3641</v>
      </c>
      <c r="DB6">
        <v>-2.4245362661989844E-14</v>
      </c>
      <c r="DD6">
        <v>-2.4245362661989844E-14</v>
      </c>
      <c r="DE6" t="s">
        <v>1774</v>
      </c>
      <c r="DF6">
        <v>2025</v>
      </c>
      <c r="DG6" t="s">
        <v>3642</v>
      </c>
      <c r="DH6" s="6">
        <v>45847</v>
      </c>
      <c r="DI6">
        <v>2</v>
      </c>
      <c r="DJ6">
        <v>-2.4245362661989844E-14</v>
      </c>
      <c r="DK6">
        <v>11131878</v>
      </c>
      <c r="DL6" t="s">
        <v>3643</v>
      </c>
      <c r="DQ6" t="s">
        <v>1764</v>
      </c>
      <c r="DS6">
        <v>-2.4245362661989844E-14</v>
      </c>
      <c r="DT6">
        <v>-2.4245362661989844E-14</v>
      </c>
      <c r="DU6" t="s">
        <v>1753</v>
      </c>
      <c r="DV6">
        <v>2021</v>
      </c>
      <c r="DW6" t="s">
        <v>2190</v>
      </c>
      <c r="DX6" s="6">
        <v>44641</v>
      </c>
      <c r="DY6">
        <v>5</v>
      </c>
      <c r="DZ6">
        <v>-2.4245362661989844E-14</v>
      </c>
      <c r="EA6">
        <v>227699</v>
      </c>
      <c r="EB6" t="s">
        <v>1766</v>
      </c>
      <c r="EE6" t="s">
        <v>1985</v>
      </c>
      <c r="EF6">
        <v>-2.4245362661989844E-14</v>
      </c>
      <c r="EH6">
        <v>-2.4245362661989844E-14</v>
      </c>
      <c r="EI6" t="s">
        <v>1788</v>
      </c>
      <c r="EJ6">
        <v>2022</v>
      </c>
      <c r="EK6" t="s">
        <v>1986</v>
      </c>
      <c r="EL6" s="6">
        <v>44789</v>
      </c>
      <c r="EM6">
        <v>5</v>
      </c>
      <c r="EN6">
        <v>-2.4245362661989844E-14</v>
      </c>
      <c r="EO6">
        <v>17074135</v>
      </c>
      <c r="EP6" t="s">
        <v>1987</v>
      </c>
      <c r="IG6" t="s">
        <v>3904</v>
      </c>
      <c r="IH6" t="s">
        <v>1752</v>
      </c>
      <c r="II6">
        <v>1.7139150000000001</v>
      </c>
      <c r="IJ6">
        <v>0.34947299999999998</v>
      </c>
      <c r="IK6" t="s">
        <v>1774</v>
      </c>
      <c r="IL6">
        <v>2025</v>
      </c>
      <c r="IM6" t="s">
        <v>3905</v>
      </c>
      <c r="IN6" s="6">
        <v>45899</v>
      </c>
      <c r="IO6">
        <v>5</v>
      </c>
      <c r="IP6">
        <v>6356911</v>
      </c>
      <c r="IQ6">
        <v>194140</v>
      </c>
      <c r="IR6" t="s">
        <v>3906</v>
      </c>
      <c r="IU6" t="s">
        <v>3723</v>
      </c>
      <c r="IV6">
        <v>1.3072E-2</v>
      </c>
      <c r="IW6" t="s">
        <v>1752</v>
      </c>
      <c r="IX6">
        <v>1.9261200000000001</v>
      </c>
      <c r="IY6" t="s">
        <v>1768</v>
      </c>
      <c r="IZ6">
        <v>2025</v>
      </c>
      <c r="JA6" t="s">
        <v>3724</v>
      </c>
      <c r="JB6" s="6">
        <v>45975</v>
      </c>
      <c r="JC6">
        <v>5</v>
      </c>
      <c r="JD6">
        <v>359532.99</v>
      </c>
      <c r="JE6">
        <v>128926</v>
      </c>
      <c r="JF6" t="s">
        <v>3725</v>
      </c>
      <c r="QI6" t="s">
        <v>2247</v>
      </c>
      <c r="QJ6" t="s">
        <v>1828</v>
      </c>
      <c r="QK6">
        <v>0.110773</v>
      </c>
      <c r="QL6">
        <v>0.473244</v>
      </c>
      <c r="QM6" t="s">
        <v>1825</v>
      </c>
      <c r="QN6">
        <v>2024</v>
      </c>
      <c r="QO6" t="s">
        <v>2248</v>
      </c>
      <c r="QP6" s="6">
        <v>45719</v>
      </c>
      <c r="QQ6">
        <v>5</v>
      </c>
      <c r="QR6">
        <v>761638.40000000002</v>
      </c>
      <c r="QS6">
        <v>117826</v>
      </c>
      <c r="QT6" t="s">
        <v>2249</v>
      </c>
      <c r="QW6" t="s">
        <v>1935</v>
      </c>
      <c r="QX6">
        <v>3.1890830000000001</v>
      </c>
      <c r="QY6" t="s">
        <v>1752</v>
      </c>
      <c r="QZ6">
        <v>0.56350900000000004</v>
      </c>
      <c r="RA6" t="s">
        <v>1774</v>
      </c>
      <c r="RB6">
        <v>2025</v>
      </c>
      <c r="RC6" t="s">
        <v>1933</v>
      </c>
      <c r="RD6" s="6">
        <v>45890</v>
      </c>
      <c r="RE6">
        <v>5</v>
      </c>
      <c r="RF6">
        <v>89361296</v>
      </c>
      <c r="RG6">
        <v>100916</v>
      </c>
      <c r="RH6" t="s">
        <v>1936</v>
      </c>
      <c r="TU6" t="s">
        <v>1787</v>
      </c>
      <c r="TV6" t="s">
        <v>1940</v>
      </c>
      <c r="TW6">
        <v>5.2993949999999996</v>
      </c>
      <c r="TX6">
        <v>7.1481000000000003E-2</v>
      </c>
      <c r="TY6" t="s">
        <v>1781</v>
      </c>
      <c r="TZ6">
        <v>2026</v>
      </c>
      <c r="UA6" t="s">
        <v>2131</v>
      </c>
      <c r="UB6" s="6">
        <v>45898</v>
      </c>
      <c r="UC6">
        <v>5</v>
      </c>
      <c r="UD6">
        <v>9563900.9100000001</v>
      </c>
      <c r="UE6">
        <v>178651</v>
      </c>
      <c r="UF6" t="s">
        <v>1790</v>
      </c>
      <c r="UI6" t="s">
        <v>1957</v>
      </c>
      <c r="UJ6">
        <v>-2.4245362661989844E-14</v>
      </c>
      <c r="UL6">
        <v>-2.4245362661989844E-14</v>
      </c>
      <c r="UM6" t="s">
        <v>1753</v>
      </c>
      <c r="UN6">
        <v>2024</v>
      </c>
      <c r="UO6" t="s">
        <v>1958</v>
      </c>
      <c r="UP6" s="6">
        <v>45756</v>
      </c>
      <c r="UQ6">
        <v>5</v>
      </c>
      <c r="UR6">
        <v>-2.4245362661989844E-14</v>
      </c>
      <c r="US6">
        <v>23063237</v>
      </c>
      <c r="UT6" t="s">
        <v>1959</v>
      </c>
    </row>
    <row r="7" spans="1:600" x14ac:dyDescent="0.25">
      <c r="A7" t="s">
        <v>5118</v>
      </c>
      <c r="C7">
        <v>-2.4245362661989844E-14</v>
      </c>
      <c r="D7">
        <v>-2.4245362661989844E-14</v>
      </c>
      <c r="E7" t="s">
        <v>1753</v>
      </c>
      <c r="F7">
        <v>2021</v>
      </c>
      <c r="G7" t="s">
        <v>5119</v>
      </c>
      <c r="H7" s="6">
        <v>44642</v>
      </c>
      <c r="I7">
        <v>5</v>
      </c>
      <c r="J7">
        <v>-2.4245362661989844E-14</v>
      </c>
      <c r="K7">
        <v>27882222</v>
      </c>
      <c r="L7" t="s">
        <v>5120</v>
      </c>
      <c r="O7" t="s">
        <v>3350</v>
      </c>
      <c r="P7">
        <v>-2.4245362661989844E-14</v>
      </c>
      <c r="R7">
        <v>-2.4245362661989844E-14</v>
      </c>
      <c r="S7" t="s">
        <v>1774</v>
      </c>
      <c r="T7">
        <v>2026</v>
      </c>
      <c r="U7" t="s">
        <v>3351</v>
      </c>
      <c r="V7" s="6">
        <v>45974</v>
      </c>
      <c r="W7">
        <v>5</v>
      </c>
      <c r="X7">
        <v>-2.4245362661989844E-14</v>
      </c>
      <c r="Y7">
        <v>19060015</v>
      </c>
      <c r="Z7" t="s">
        <v>3352</v>
      </c>
      <c r="AE7" t="s">
        <v>2215</v>
      </c>
      <c r="AF7" t="s">
        <v>1752</v>
      </c>
      <c r="AG7">
        <v>0.23526900000000001</v>
      </c>
      <c r="AH7">
        <v>0.58521900000000004</v>
      </c>
      <c r="AI7" t="s">
        <v>1788</v>
      </c>
      <c r="AJ7">
        <v>2025</v>
      </c>
      <c r="AK7" t="s">
        <v>2216</v>
      </c>
      <c r="AL7" s="6">
        <v>45867</v>
      </c>
      <c r="AM7">
        <v>5</v>
      </c>
      <c r="AN7">
        <v>18416856</v>
      </c>
      <c r="AO7">
        <v>117092</v>
      </c>
      <c r="AP7" t="s">
        <v>2217</v>
      </c>
      <c r="AS7" t="s">
        <v>5048</v>
      </c>
      <c r="AT7">
        <v>-2.4245362661989844E-14</v>
      </c>
      <c r="AV7">
        <v>-2.4245362661989844E-14</v>
      </c>
      <c r="AW7" t="s">
        <v>1753</v>
      </c>
      <c r="AX7">
        <v>2023</v>
      </c>
      <c r="AY7" t="s">
        <v>5049</v>
      </c>
      <c r="AZ7" s="6">
        <v>45135</v>
      </c>
      <c r="BA7">
        <v>5</v>
      </c>
      <c r="BB7">
        <v>-2.4245362661989844E-14</v>
      </c>
      <c r="BC7">
        <v>103017</v>
      </c>
      <c r="BD7" t="s">
        <v>5050</v>
      </c>
      <c r="DQ7" t="s">
        <v>2191</v>
      </c>
      <c r="DS7">
        <v>-2.4245362661989844E-14</v>
      </c>
      <c r="DT7">
        <v>-2.4245362661989844E-14</v>
      </c>
      <c r="DU7" t="s">
        <v>1788</v>
      </c>
      <c r="DV7">
        <v>2022</v>
      </c>
      <c r="DW7" t="s">
        <v>1986</v>
      </c>
      <c r="DX7" s="6">
        <v>44789</v>
      </c>
      <c r="DY7">
        <v>5</v>
      </c>
      <c r="DZ7">
        <v>-2.4245362661989844E-14</v>
      </c>
      <c r="EA7">
        <v>33866804</v>
      </c>
      <c r="EB7" t="s">
        <v>2192</v>
      </c>
      <c r="EE7" t="s">
        <v>1791</v>
      </c>
      <c r="EF7">
        <v>-2.4245362661989844E-14</v>
      </c>
      <c r="EH7">
        <v>-2.4245362661989844E-14</v>
      </c>
      <c r="EI7" t="s">
        <v>1753</v>
      </c>
      <c r="EJ7">
        <v>2023</v>
      </c>
      <c r="EK7" t="s">
        <v>1983</v>
      </c>
      <c r="EL7" s="6">
        <v>45357</v>
      </c>
      <c r="EM7">
        <v>5</v>
      </c>
      <c r="EN7">
        <v>-2.4245362661989844E-14</v>
      </c>
      <c r="EO7">
        <v>218252</v>
      </c>
      <c r="EP7" t="s">
        <v>1793</v>
      </c>
      <c r="IG7" t="s">
        <v>3444</v>
      </c>
      <c r="IH7" t="s">
        <v>1752</v>
      </c>
      <c r="II7">
        <v>0.10432</v>
      </c>
      <c r="IJ7">
        <v>0.237146</v>
      </c>
      <c r="IK7" t="s">
        <v>1774</v>
      </c>
      <c r="IL7">
        <v>2026</v>
      </c>
      <c r="IM7" t="s">
        <v>3445</v>
      </c>
      <c r="IN7" s="6">
        <v>46071</v>
      </c>
      <c r="IO7">
        <v>5</v>
      </c>
      <c r="IP7">
        <v>5684397</v>
      </c>
      <c r="IQ7">
        <v>61417091</v>
      </c>
      <c r="IR7" t="s">
        <v>3446</v>
      </c>
      <c r="IU7" t="s">
        <v>3726</v>
      </c>
      <c r="IV7">
        <v>-2.4245362661989844E-14</v>
      </c>
      <c r="IX7">
        <v>-2.4245362661989844E-14</v>
      </c>
      <c r="IY7" t="s">
        <v>1753</v>
      </c>
      <c r="IZ7">
        <v>2022</v>
      </c>
      <c r="JA7" t="s">
        <v>3727</v>
      </c>
      <c r="JB7" s="6">
        <v>45005</v>
      </c>
      <c r="JC7">
        <v>5</v>
      </c>
      <c r="JD7">
        <v>-2.4245362661989844E-14</v>
      </c>
      <c r="JE7">
        <v>18841705</v>
      </c>
      <c r="JF7" t="s">
        <v>3728</v>
      </c>
      <c r="QI7" t="s">
        <v>2250</v>
      </c>
      <c r="QJ7" t="s">
        <v>1752</v>
      </c>
      <c r="QK7">
        <v>0.56845400000000001</v>
      </c>
      <c r="QL7">
        <v>2.1093000000000001E-2</v>
      </c>
      <c r="QM7" t="s">
        <v>1825</v>
      </c>
      <c r="QN7">
        <v>2024</v>
      </c>
      <c r="QO7" t="s">
        <v>2251</v>
      </c>
      <c r="QP7" s="6">
        <v>45846</v>
      </c>
      <c r="QQ7">
        <v>5</v>
      </c>
      <c r="QR7">
        <v>409736</v>
      </c>
      <c r="QS7">
        <v>847909</v>
      </c>
      <c r="QT7" t="s">
        <v>2252</v>
      </c>
      <c r="QW7" t="s">
        <v>1937</v>
      </c>
      <c r="QX7">
        <v>2.9329299999999998</v>
      </c>
      <c r="QY7" t="s">
        <v>1752</v>
      </c>
      <c r="QZ7">
        <v>1.561833</v>
      </c>
      <c r="RA7" t="s">
        <v>1774</v>
      </c>
      <c r="RB7">
        <v>2025</v>
      </c>
      <c r="RC7" t="s">
        <v>1933</v>
      </c>
      <c r="RD7" s="6">
        <v>45890</v>
      </c>
      <c r="RE7">
        <v>5</v>
      </c>
      <c r="RF7">
        <v>82183632</v>
      </c>
      <c r="RG7">
        <v>71547029</v>
      </c>
      <c r="RH7" t="s">
        <v>1938</v>
      </c>
      <c r="TU7" t="s">
        <v>2199</v>
      </c>
      <c r="TV7" t="s">
        <v>1940</v>
      </c>
      <c r="TW7">
        <v>0.56072500000000003</v>
      </c>
      <c r="TX7">
        <v>1.5883999999999999E-2</v>
      </c>
      <c r="TY7" t="s">
        <v>1753</v>
      </c>
      <c r="TZ7">
        <v>2025</v>
      </c>
      <c r="UA7" t="s">
        <v>2200</v>
      </c>
      <c r="UB7" s="6">
        <v>46066</v>
      </c>
      <c r="UC7">
        <v>5</v>
      </c>
      <c r="UD7">
        <v>2177750</v>
      </c>
      <c r="UE7">
        <v>126273</v>
      </c>
      <c r="UF7" t="s">
        <v>2201</v>
      </c>
      <c r="UI7" t="s">
        <v>1960</v>
      </c>
      <c r="UJ7">
        <v>-2.4245362661989844E-14</v>
      </c>
      <c r="UL7">
        <v>-2.4245362661989844E-14</v>
      </c>
      <c r="UM7" t="s">
        <v>1781</v>
      </c>
      <c r="UN7">
        <v>2025</v>
      </c>
      <c r="UO7" t="s">
        <v>1961</v>
      </c>
      <c r="UP7" s="6">
        <v>45799</v>
      </c>
      <c r="UQ7">
        <v>5</v>
      </c>
      <c r="UR7">
        <v>-2.4245362661989844E-14</v>
      </c>
      <c r="US7">
        <v>313021</v>
      </c>
      <c r="UT7" t="s">
        <v>1962</v>
      </c>
    </row>
    <row r="8" spans="1:600" x14ac:dyDescent="0.25">
      <c r="A8" t="s">
        <v>5121</v>
      </c>
      <c r="C8">
        <v>-2.4245362661989844E-14</v>
      </c>
      <c r="D8">
        <v>-2.4245362661989844E-14</v>
      </c>
      <c r="E8" t="s">
        <v>1753</v>
      </c>
      <c r="F8">
        <v>2024</v>
      </c>
      <c r="G8" t="s">
        <v>5122</v>
      </c>
      <c r="H8" s="6">
        <v>45803</v>
      </c>
      <c r="I8">
        <v>5</v>
      </c>
      <c r="J8">
        <v>-2.4245362661989844E-14</v>
      </c>
      <c r="K8">
        <v>870231</v>
      </c>
      <c r="L8" t="s">
        <v>5123</v>
      </c>
      <c r="O8" t="s">
        <v>3353</v>
      </c>
      <c r="P8">
        <v>-2.4245362661989844E-14</v>
      </c>
      <c r="R8">
        <v>-2.4245362661989844E-14</v>
      </c>
      <c r="S8" t="s">
        <v>1753</v>
      </c>
      <c r="T8">
        <v>2024</v>
      </c>
      <c r="U8" t="s">
        <v>3354</v>
      </c>
      <c r="V8" s="6">
        <v>45767</v>
      </c>
      <c r="W8">
        <v>5</v>
      </c>
      <c r="X8">
        <v>-2.4245362661989844E-14</v>
      </c>
      <c r="Y8">
        <v>26949139</v>
      </c>
      <c r="Z8" t="s">
        <v>3355</v>
      </c>
      <c r="AE8" t="s">
        <v>3243</v>
      </c>
      <c r="AF8" t="s">
        <v>1752</v>
      </c>
      <c r="AG8">
        <v>1.69564</v>
      </c>
      <c r="AH8">
        <v>0.41697800000000002</v>
      </c>
      <c r="AI8" t="s">
        <v>1788</v>
      </c>
      <c r="AJ8">
        <v>2025</v>
      </c>
      <c r="AK8" t="s">
        <v>3244</v>
      </c>
      <c r="AL8" s="6">
        <v>46001</v>
      </c>
      <c r="AM8">
        <v>5</v>
      </c>
      <c r="AN8">
        <v>12763693</v>
      </c>
      <c r="AO8">
        <v>1182195</v>
      </c>
      <c r="AP8" t="s">
        <v>3245</v>
      </c>
      <c r="AS8" t="s">
        <v>5051</v>
      </c>
      <c r="AT8">
        <v>-2.4245362661989844E-14</v>
      </c>
      <c r="AV8">
        <v>-2.4245362661989844E-14</v>
      </c>
      <c r="AW8" t="s">
        <v>1753</v>
      </c>
      <c r="AX8">
        <v>2022</v>
      </c>
      <c r="AY8" t="s">
        <v>5052</v>
      </c>
      <c r="AZ8" s="6">
        <v>44887</v>
      </c>
      <c r="BA8">
        <v>5</v>
      </c>
      <c r="BB8">
        <v>-2.4245362661989844E-14</v>
      </c>
      <c r="BC8">
        <v>104917</v>
      </c>
      <c r="BD8" t="s">
        <v>5053</v>
      </c>
      <c r="DQ8" t="s">
        <v>2193</v>
      </c>
      <c r="DS8">
        <v>-2.4245362661989844E-14</v>
      </c>
      <c r="DT8">
        <v>-2.4245362661989844E-14</v>
      </c>
      <c r="DU8" t="s">
        <v>1788</v>
      </c>
      <c r="DV8">
        <v>2023</v>
      </c>
      <c r="DW8" t="s">
        <v>2194</v>
      </c>
      <c r="DX8" s="6">
        <v>45236</v>
      </c>
      <c r="DY8">
        <v>5</v>
      </c>
      <c r="DZ8">
        <v>-2.4245362661989844E-14</v>
      </c>
      <c r="EA8">
        <v>62555598</v>
      </c>
      <c r="EB8" t="s">
        <v>2195</v>
      </c>
      <c r="EE8" t="s">
        <v>1988</v>
      </c>
      <c r="EF8">
        <v>-2.4245362661989844E-14</v>
      </c>
      <c r="EH8">
        <v>-2.4245362661989844E-14</v>
      </c>
      <c r="EI8" t="s">
        <v>1753</v>
      </c>
      <c r="EJ8">
        <v>2025</v>
      </c>
      <c r="EK8" t="s">
        <v>1989</v>
      </c>
      <c r="EL8" s="6">
        <v>45832</v>
      </c>
      <c r="EM8">
        <v>5</v>
      </c>
      <c r="EN8">
        <v>-2.4245362661989844E-14</v>
      </c>
      <c r="EO8">
        <v>114396</v>
      </c>
      <c r="EP8" t="s">
        <v>1990</v>
      </c>
      <c r="IG8" t="s">
        <v>2944</v>
      </c>
      <c r="IH8" t="s">
        <v>1752</v>
      </c>
      <c r="II8">
        <v>3.0757509999999999</v>
      </c>
      <c r="IJ8">
        <v>0.25219200000000003</v>
      </c>
      <c r="IK8" t="s">
        <v>1788</v>
      </c>
      <c r="IL8">
        <v>2025</v>
      </c>
      <c r="IM8" t="s">
        <v>3907</v>
      </c>
      <c r="IN8" s="6">
        <v>46050</v>
      </c>
      <c r="IO8">
        <v>5</v>
      </c>
      <c r="IP8">
        <v>4753819</v>
      </c>
      <c r="IQ8">
        <v>126764</v>
      </c>
      <c r="IR8" t="s">
        <v>2946</v>
      </c>
      <c r="IU8" t="s">
        <v>3729</v>
      </c>
      <c r="IV8">
        <v>-2.4245362661989844E-14</v>
      </c>
      <c r="IX8">
        <v>-2.4245362661989844E-14</v>
      </c>
      <c r="IY8" t="s">
        <v>1753</v>
      </c>
      <c r="IZ8">
        <v>2025</v>
      </c>
      <c r="JA8" t="s">
        <v>3730</v>
      </c>
      <c r="JB8" s="6">
        <v>46030</v>
      </c>
      <c r="JC8">
        <v>5</v>
      </c>
      <c r="JD8">
        <v>-2.4245362661989844E-14</v>
      </c>
      <c r="JE8">
        <v>1017025</v>
      </c>
      <c r="JF8" t="s">
        <v>3731</v>
      </c>
      <c r="QI8" t="s">
        <v>2253</v>
      </c>
      <c r="QK8">
        <v>-2.4245362661989844E-14</v>
      </c>
      <c r="QL8">
        <v>-2.4245362661989844E-14</v>
      </c>
      <c r="QM8" t="s">
        <v>1768</v>
      </c>
      <c r="QN8">
        <v>2025</v>
      </c>
      <c r="QO8" t="s">
        <v>2254</v>
      </c>
      <c r="QP8" s="6">
        <v>45975</v>
      </c>
      <c r="QQ8">
        <v>5</v>
      </c>
      <c r="QR8">
        <v>-2.4245362661989844E-14</v>
      </c>
      <c r="QS8">
        <v>8821742</v>
      </c>
      <c r="QT8" t="s">
        <v>2255</v>
      </c>
      <c r="QW8" t="s">
        <v>500</v>
      </c>
      <c r="QX8">
        <v>2.1373730000000002</v>
      </c>
      <c r="QY8" t="s">
        <v>1752</v>
      </c>
      <c r="QZ8">
        <v>0.86022299999999996</v>
      </c>
      <c r="RA8" t="s">
        <v>1774</v>
      </c>
      <c r="RB8">
        <v>2025</v>
      </c>
      <c r="RC8" t="s">
        <v>1933</v>
      </c>
      <c r="RD8" s="6">
        <v>45890</v>
      </c>
      <c r="RE8">
        <v>5</v>
      </c>
      <c r="RF8">
        <v>59891328</v>
      </c>
      <c r="RG8">
        <v>103445</v>
      </c>
      <c r="RH8" t="s">
        <v>1939</v>
      </c>
      <c r="TU8" t="s">
        <v>2202</v>
      </c>
      <c r="TV8" t="s">
        <v>1940</v>
      </c>
      <c r="TW8">
        <v>0.78817400000000004</v>
      </c>
      <c r="TX8">
        <v>1.4283000000000001E-2</v>
      </c>
      <c r="TY8" t="s">
        <v>1753</v>
      </c>
      <c r="TZ8">
        <v>2025</v>
      </c>
      <c r="UA8" t="s">
        <v>2203</v>
      </c>
      <c r="UB8" s="6">
        <v>46058</v>
      </c>
      <c r="UC8">
        <v>5</v>
      </c>
      <c r="UD8">
        <v>1958250</v>
      </c>
      <c r="UE8">
        <v>106045</v>
      </c>
      <c r="UF8" t="s">
        <v>2204</v>
      </c>
      <c r="UI8" t="s">
        <v>1963</v>
      </c>
      <c r="UJ8">
        <v>-2.4245362661989844E-14</v>
      </c>
      <c r="UL8">
        <v>-2.4245362661989844E-14</v>
      </c>
      <c r="UM8" t="s">
        <v>1753</v>
      </c>
      <c r="UN8">
        <v>2022</v>
      </c>
      <c r="UO8" t="s">
        <v>1964</v>
      </c>
      <c r="UP8" s="6">
        <v>44986</v>
      </c>
      <c r="UQ8">
        <v>5</v>
      </c>
      <c r="UR8">
        <v>-2.4245362661989844E-14</v>
      </c>
      <c r="US8">
        <v>394590</v>
      </c>
      <c r="UT8" t="s">
        <v>1965</v>
      </c>
    </row>
    <row r="9" spans="1:600" x14ac:dyDescent="0.25">
      <c r="A9" t="s">
        <v>5124</v>
      </c>
      <c r="C9">
        <v>-2.4245362661989844E-14</v>
      </c>
      <c r="D9">
        <v>-2.4245362661989844E-14</v>
      </c>
      <c r="E9" t="s">
        <v>1753</v>
      </c>
      <c r="F9">
        <v>2022</v>
      </c>
      <c r="G9" t="s">
        <v>5125</v>
      </c>
      <c r="H9" s="6">
        <v>45000</v>
      </c>
      <c r="I9">
        <v>5</v>
      </c>
      <c r="J9">
        <v>-2.4245362661989844E-14</v>
      </c>
      <c r="K9">
        <v>69704831</v>
      </c>
      <c r="L9" t="s">
        <v>5126</v>
      </c>
      <c r="O9" t="s">
        <v>3356</v>
      </c>
      <c r="P9">
        <v>-2.4245362661989844E-14</v>
      </c>
      <c r="R9">
        <v>-2.4245362661989844E-14</v>
      </c>
      <c r="S9" t="s">
        <v>1753</v>
      </c>
      <c r="T9">
        <v>2024</v>
      </c>
      <c r="U9" t="s">
        <v>3357</v>
      </c>
      <c r="V9" s="6">
        <v>45777</v>
      </c>
      <c r="W9">
        <v>5</v>
      </c>
      <c r="X9">
        <v>-2.4245362661989844E-14</v>
      </c>
      <c r="Y9">
        <v>384701</v>
      </c>
      <c r="Z9" t="s">
        <v>3358</v>
      </c>
      <c r="AE9" t="s">
        <v>4074</v>
      </c>
      <c r="AF9" t="s">
        <v>1752</v>
      </c>
      <c r="AG9">
        <v>1.749268</v>
      </c>
      <c r="AH9">
        <v>0.29281299999999999</v>
      </c>
      <c r="AI9" t="s">
        <v>1774</v>
      </c>
      <c r="AJ9">
        <v>2025</v>
      </c>
      <c r="AK9" t="s">
        <v>4075</v>
      </c>
      <c r="AL9" s="6">
        <v>45867</v>
      </c>
      <c r="AM9">
        <v>5</v>
      </c>
      <c r="AN9">
        <v>9701879.8399999999</v>
      </c>
      <c r="AO9">
        <v>157487</v>
      </c>
      <c r="AP9" t="s">
        <v>4076</v>
      </c>
      <c r="AS9" t="s">
        <v>4593</v>
      </c>
      <c r="AT9">
        <v>-2.4245362661989844E-14</v>
      </c>
      <c r="AV9">
        <v>-2.4245362661989844E-14</v>
      </c>
      <c r="AW9" t="s">
        <v>1753</v>
      </c>
      <c r="AX9">
        <v>2025</v>
      </c>
      <c r="AY9" t="s">
        <v>4594</v>
      </c>
      <c r="AZ9" s="6">
        <v>45834</v>
      </c>
      <c r="BA9">
        <v>5</v>
      </c>
      <c r="BB9">
        <v>-2.4245362661989844E-14</v>
      </c>
      <c r="BC9">
        <v>11745327</v>
      </c>
      <c r="BD9" t="s">
        <v>4595</v>
      </c>
      <c r="DQ9" t="s">
        <v>2196</v>
      </c>
      <c r="DS9">
        <v>-2.4245362661989844E-14</v>
      </c>
      <c r="DT9">
        <v>-2.4245362661989844E-14</v>
      </c>
      <c r="DU9" t="s">
        <v>1753</v>
      </c>
      <c r="DV9">
        <v>2023</v>
      </c>
      <c r="DW9" t="s">
        <v>2197</v>
      </c>
      <c r="DX9" s="6">
        <v>45042</v>
      </c>
      <c r="DY9">
        <v>5</v>
      </c>
      <c r="DZ9">
        <v>-2.4245362661989844E-14</v>
      </c>
      <c r="EA9">
        <v>66992559</v>
      </c>
      <c r="EB9" t="s">
        <v>2198</v>
      </c>
      <c r="EE9" t="s">
        <v>1461</v>
      </c>
      <c r="EF9">
        <v>-2.4245362661989844E-14</v>
      </c>
      <c r="EH9">
        <v>-2.4245362661989844E-14</v>
      </c>
      <c r="EI9" t="s">
        <v>1753</v>
      </c>
      <c r="EJ9">
        <v>2023</v>
      </c>
      <c r="EK9" t="s">
        <v>1983</v>
      </c>
      <c r="EL9" s="6">
        <v>45357</v>
      </c>
      <c r="EM9">
        <v>5</v>
      </c>
      <c r="EN9">
        <v>-2.4245362661989844E-14</v>
      </c>
      <c r="EO9">
        <v>102782</v>
      </c>
      <c r="EP9" t="s">
        <v>1991</v>
      </c>
      <c r="IG9" t="s">
        <v>3726</v>
      </c>
      <c r="IH9" t="s">
        <v>1752</v>
      </c>
      <c r="II9">
        <v>10.127708</v>
      </c>
      <c r="IJ9">
        <v>0.109997</v>
      </c>
      <c r="IK9" t="s">
        <v>1768</v>
      </c>
      <c r="IL9">
        <v>2025</v>
      </c>
      <c r="IM9" t="s">
        <v>3908</v>
      </c>
      <c r="IN9" s="6">
        <v>45975</v>
      </c>
      <c r="IO9">
        <v>5</v>
      </c>
      <c r="IP9">
        <v>1993134.38</v>
      </c>
      <c r="IQ9">
        <v>18841705</v>
      </c>
      <c r="IR9" t="s">
        <v>3728</v>
      </c>
      <c r="IU9" t="s">
        <v>2734</v>
      </c>
      <c r="IV9">
        <v>-2.4245362661989844E-14</v>
      </c>
      <c r="IX9">
        <v>-2.4245362661989844E-14</v>
      </c>
      <c r="IY9" t="s">
        <v>1768</v>
      </c>
      <c r="IZ9">
        <v>2025</v>
      </c>
      <c r="JA9" t="s">
        <v>3732</v>
      </c>
      <c r="JB9" s="6">
        <v>45986</v>
      </c>
      <c r="JC9">
        <v>5</v>
      </c>
      <c r="JD9">
        <v>-2.4245362661989844E-14</v>
      </c>
      <c r="JE9">
        <v>27516715</v>
      </c>
      <c r="JF9" t="s">
        <v>2736</v>
      </c>
      <c r="QI9" t="s">
        <v>2256</v>
      </c>
      <c r="QK9">
        <v>-2.4245362661989844E-14</v>
      </c>
      <c r="QL9">
        <v>-2.4245362661989844E-14</v>
      </c>
      <c r="QM9" t="s">
        <v>1842</v>
      </c>
      <c r="QN9">
        <v>2024</v>
      </c>
      <c r="QO9" t="s">
        <v>2257</v>
      </c>
      <c r="QP9" s="6">
        <v>45533</v>
      </c>
      <c r="QQ9">
        <v>5</v>
      </c>
      <c r="QR9">
        <v>-2.4245362661989844E-14</v>
      </c>
      <c r="QS9">
        <v>64116522</v>
      </c>
      <c r="QT9" t="s">
        <v>2258</v>
      </c>
      <c r="QW9" t="s">
        <v>1079</v>
      </c>
      <c r="QX9">
        <v>1.651213</v>
      </c>
      <c r="QY9" t="s">
        <v>1752</v>
      </c>
      <c r="QZ9">
        <v>5.7257000000000002E-2</v>
      </c>
      <c r="RA9" t="s">
        <v>1774</v>
      </c>
      <c r="RB9">
        <v>2025</v>
      </c>
      <c r="RC9" t="s">
        <v>1933</v>
      </c>
      <c r="RD9" s="6">
        <v>45890</v>
      </c>
      <c r="RE9">
        <v>5</v>
      </c>
      <c r="RF9">
        <v>46268640</v>
      </c>
      <c r="RG9">
        <v>216952</v>
      </c>
      <c r="RH9" t="s">
        <v>1899</v>
      </c>
      <c r="TU9" t="s">
        <v>2205</v>
      </c>
      <c r="TV9" t="s">
        <v>1940</v>
      </c>
      <c r="TW9">
        <v>0.777281</v>
      </c>
      <c r="TX9">
        <v>1.0723999999999999E-2</v>
      </c>
      <c r="TY9" t="s">
        <v>1753</v>
      </c>
      <c r="TZ9">
        <v>2024</v>
      </c>
      <c r="UA9" t="s">
        <v>2206</v>
      </c>
      <c r="UB9" s="6">
        <v>45694</v>
      </c>
      <c r="UC9">
        <v>5</v>
      </c>
      <c r="UD9">
        <v>1463750</v>
      </c>
      <c r="UE9">
        <v>106543</v>
      </c>
      <c r="UF9" t="s">
        <v>2207</v>
      </c>
      <c r="UI9" t="s">
        <v>1966</v>
      </c>
      <c r="UJ9">
        <v>-2.4245362661989844E-14</v>
      </c>
      <c r="UL9">
        <v>-2.4245362661989844E-14</v>
      </c>
      <c r="UM9" t="s">
        <v>1753</v>
      </c>
      <c r="UN9">
        <v>2023</v>
      </c>
      <c r="UO9" t="s">
        <v>1967</v>
      </c>
      <c r="UP9" s="6">
        <v>45175</v>
      </c>
      <c r="UQ9">
        <v>5</v>
      </c>
      <c r="UR9">
        <v>-2.4245362661989844E-14</v>
      </c>
      <c r="US9">
        <v>100555</v>
      </c>
      <c r="UT9" t="s">
        <v>1968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1060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1061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1062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1063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1064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1065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1066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1067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1068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1069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1070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1071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1072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1073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1074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1075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1076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1077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1078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1079</v>
      </c>
      <c r="AE2" s="3" t="s">
        <v>1080</v>
      </c>
      <c r="BI2" s="3" t="s">
        <v>1081</v>
      </c>
      <c r="CM2" s="3" t="s">
        <v>1021</v>
      </c>
      <c r="DQ2" s="3" t="s">
        <v>963</v>
      </c>
      <c r="EU2" s="3" t="s">
        <v>1082</v>
      </c>
      <c r="FY2" s="3" t="s">
        <v>420</v>
      </c>
      <c r="HC2" s="3" t="s">
        <v>1083</v>
      </c>
      <c r="IG2" s="3" t="s">
        <v>1084</v>
      </c>
      <c r="JK2" s="3" t="s">
        <v>1085</v>
      </c>
      <c r="KO2" s="3" t="s">
        <v>1086</v>
      </c>
      <c r="LS2" s="3" t="s">
        <v>88</v>
      </c>
      <c r="MW2" s="3" t="s">
        <v>1087</v>
      </c>
      <c r="OA2" s="3" t="s">
        <v>536</v>
      </c>
      <c r="PE2" s="3" t="s">
        <v>111</v>
      </c>
      <c r="QI2" s="3" t="s">
        <v>1088</v>
      </c>
      <c r="RM2" s="3" t="s">
        <v>854</v>
      </c>
      <c r="SQ2" s="3" t="s">
        <v>1089</v>
      </c>
      <c r="TU2" s="3" t="s">
        <v>86</v>
      </c>
      <c r="UY2" s="3" t="s">
        <v>598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_xll.BDS("AMZN US Equity","SUPPLY_CHAIN_SUPPLIERS_ALL_DATA","cols=12;rows=5")</f>
        <v>NVDA US Equity</v>
      </c>
      <c r="B5" t="s">
        <v>1828</v>
      </c>
      <c r="C5">
        <v>14.019739</v>
      </c>
      <c r="D5">
        <v>24.166864</v>
      </c>
      <c r="E5" t="s">
        <v>1825</v>
      </c>
      <c r="F5">
        <v>2026</v>
      </c>
      <c r="G5" t="s">
        <v>2352</v>
      </c>
      <c r="H5" s="6">
        <v>46087</v>
      </c>
      <c r="I5">
        <v>5</v>
      </c>
      <c r="J5">
        <v>9551227904</v>
      </c>
      <c r="K5">
        <v>313657</v>
      </c>
      <c r="L5" t="s">
        <v>2353</v>
      </c>
      <c r="O5" t="str">
        <f>_xll.BDS("AMZN US Equity","SUPPLY_CHAIN_CUSTOMERS_ALL_DATA","cols=12;rows=5")</f>
        <v>SNX US Equity</v>
      </c>
      <c r="P5">
        <v>0.21330399999999999</v>
      </c>
      <c r="Q5" t="s">
        <v>1752</v>
      </c>
      <c r="R5">
        <v>2.3745599999999998</v>
      </c>
      <c r="S5" t="s">
        <v>1825</v>
      </c>
      <c r="T5">
        <v>2025</v>
      </c>
      <c r="U5" t="s">
        <v>1826</v>
      </c>
      <c r="V5" s="6">
        <v>46056</v>
      </c>
      <c r="W5">
        <v>5</v>
      </c>
      <c r="X5">
        <v>384308064</v>
      </c>
      <c r="Y5">
        <v>1499717</v>
      </c>
      <c r="Z5" t="s">
        <v>1827</v>
      </c>
      <c r="AE5" t="str">
        <f>_xll.BDS("NBTB US Equity","SUPPLY_CHAIN_SUPPLIERS_ALL_DATA","cols=12;rows=1")</f>
        <v>FRSH US Equity</v>
      </c>
      <c r="AG5">
        <v>-2.4245362661989844E-14</v>
      </c>
      <c r="AH5">
        <v>-2.4245362661989844E-14</v>
      </c>
      <c r="AI5" t="s">
        <v>1753</v>
      </c>
      <c r="AJ5">
        <v>2025</v>
      </c>
      <c r="AK5" t="s">
        <v>2994</v>
      </c>
      <c r="AL5" s="6">
        <v>46063</v>
      </c>
      <c r="AM5">
        <v>1</v>
      </c>
      <c r="AN5">
        <v>-2.4245362661989844E-14</v>
      </c>
      <c r="AO5">
        <v>28498368</v>
      </c>
      <c r="AP5" t="s">
        <v>2995</v>
      </c>
      <c r="AS5" t="str">
        <f>_xll.BDS("NBTB US Equity","SUPPLY_CHAIN_CUSTOMERS_ALL_DATA")</f>
        <v>#N/A N/A</v>
      </c>
      <c r="BI5" t="str">
        <f>_xll.BDS("ANCX US Equity","SUPPLY_CHAIN_SUPPLIERS_ALL_DATA")</f>
        <v>#N/A N/A</v>
      </c>
      <c r="BW5" t="str">
        <f>_xll.BDS("ANCX US Equity","SUPPLY_CHAIN_CUSTOMERS_ALL_DATA")</f>
        <v>#N/A N/A</v>
      </c>
      <c r="CM5" t="str">
        <f>_xll.BDS("PLCM US Equity","SUPPLY_CHAIN_SUPPLIERS_ALL_DATA")</f>
        <v>#N/A N/A</v>
      </c>
      <c r="DA5" t="str">
        <f>_xll.BDS("PLCM US Equity","SUPPLY_CHAIN_CUSTOMERS_ALL_DATA")</f>
        <v>#N/A N/A</v>
      </c>
      <c r="DQ5" t="str">
        <f>_xll.BDS("PRA US Equity","SUPPLY_CHAIN_SUPPLIERS_ALL_DATA")</f>
        <v>#N/A N/A</v>
      </c>
      <c r="EE5" t="str">
        <f>_xll.BDS("PRA US Equity","SUPPLY_CHAIN_CUSTOMERS_ALL_DATA")</f>
        <v>#N/A N/A</v>
      </c>
      <c r="EU5" t="str">
        <f>_xll.BDS("CSFL US Equity","SUPPLY_CHAIN_SUPPLIERS_ALL_DATA")</f>
        <v>#N/A N/A</v>
      </c>
      <c r="FI5" t="str">
        <f>_xll.BDS("CSFL US Equity","SUPPLY_CHAIN_CUSTOMERS_ALL_DATA")</f>
        <v>#N/A N/A</v>
      </c>
      <c r="FY5" t="str">
        <f>_xll.BDS("BUSE US Equity","SUPPLY_CHAIN_SUPPLIERS_ALL_DATA")</f>
        <v>#N/A N/A</v>
      </c>
      <c r="GM5" t="str">
        <f>_xll.BDS("BUSE US Equity","SUPPLY_CHAIN_CUSTOMERS_ALL_DATA")</f>
        <v>#N/A N/A</v>
      </c>
      <c r="HC5" t="str">
        <f>_xll.BDS("9876544D US Equity","SUPPLY_CHAIN_SUPPLIERS_ALL_DATA")</f>
        <v>#N/A N/A</v>
      </c>
      <c r="HQ5" t="str">
        <f>_xll.BDS("9876544D US Equity","SUPPLY_CHAIN_CUSTOMERS_ALL_DATA")</f>
        <v>#N/A N/A</v>
      </c>
      <c r="IG5" t="str">
        <f>_xll.BDS("VSAT US Equity","SUPPLY_CHAIN_SUPPLIERS_ALL_DATA","cols=12;rows=5")</f>
        <v>STE SP Equity</v>
      </c>
      <c r="IH5" t="s">
        <v>1752</v>
      </c>
      <c r="II5">
        <v>0.53536899999999998</v>
      </c>
      <c r="IJ5">
        <v>1.5234209999999999</v>
      </c>
      <c r="IK5" t="s">
        <v>1774</v>
      </c>
      <c r="IL5">
        <v>2025</v>
      </c>
      <c r="IM5" t="s">
        <v>5712</v>
      </c>
      <c r="IN5" s="6">
        <v>45964</v>
      </c>
      <c r="IO5">
        <v>5</v>
      </c>
      <c r="IP5">
        <v>11599655.880000001</v>
      </c>
      <c r="IQ5">
        <v>304393</v>
      </c>
      <c r="IR5" t="s">
        <v>5713</v>
      </c>
      <c r="IU5" t="str">
        <f>_xll.BDS("VSAT US Equity","SUPPLY_CHAIN_CUSTOMERS_ALL_DATA","cols=12;rows=5")</f>
        <v>3352Z US Equity</v>
      </c>
      <c r="IV5">
        <v>18</v>
      </c>
      <c r="IX5">
        <v>-2.4245362661989844E-14</v>
      </c>
      <c r="IY5" t="s">
        <v>1753</v>
      </c>
      <c r="IZ5">
        <v>2025</v>
      </c>
      <c r="JA5" t="s">
        <v>3365</v>
      </c>
      <c r="JB5" s="6">
        <v>45804</v>
      </c>
      <c r="JC5">
        <v>5</v>
      </c>
      <c r="JD5">
        <v>203380688</v>
      </c>
      <c r="JE5">
        <v>218252</v>
      </c>
      <c r="JF5" t="s">
        <v>1793</v>
      </c>
      <c r="JK5" t="str">
        <f>_xll.BDS("FLIR US Equity","SUPPLY_CHAIN_SUPPLIERS_ALL_DATA","cols=12;rows=1")</f>
        <v>FE US Equity</v>
      </c>
      <c r="JM5">
        <v>-2.4245362661989844E-14</v>
      </c>
      <c r="JN5">
        <v>-2.4245362661989844E-14</v>
      </c>
      <c r="JO5" t="s">
        <v>1753</v>
      </c>
      <c r="JP5">
        <v>2021</v>
      </c>
      <c r="JQ5" t="s">
        <v>2222</v>
      </c>
      <c r="JR5" s="6">
        <v>44693</v>
      </c>
      <c r="JS5">
        <v>1</v>
      </c>
      <c r="JT5">
        <v>-2.4245362661989844E-14</v>
      </c>
      <c r="JU5">
        <v>302916</v>
      </c>
      <c r="JV5" t="s">
        <v>2223</v>
      </c>
      <c r="JY5" t="str">
        <f>_xll.BDS("FLIR US Equity","SUPPLY_CHAIN_CUSTOMERS_ALL_DATA")</f>
        <v>#N/A N/A</v>
      </c>
      <c r="KO5" t="str">
        <f>_xll.BDS("0772031D US Equity","SUPPLY_CHAIN_SUPPLIERS_ALL_DATA")</f>
        <v>#N/A N/A</v>
      </c>
      <c r="LC5" t="str">
        <f>_xll.BDS("0772031D US Equity","SUPPLY_CHAIN_CUSTOMERS_ALL_DATA")</f>
        <v>#N/A N/A</v>
      </c>
      <c r="LS5" t="str">
        <f>_xll.BDS("OK US Equity","SUPPLY_CHAIN_SUPPLIERS_ALL_DATA")</f>
        <v>#N/A N/A</v>
      </c>
      <c r="MG5" t="str">
        <f>_xll.BDS("OK US Equity","SUPPLY_CHAIN_CUSTOMERS_ALL_DATA")</f>
        <v>#N/A N/A</v>
      </c>
      <c r="MW5" t="str">
        <f>_xll.BDS("SSP US Equity","SUPPLY_CHAIN_SUPPLIERS_ALL_DATA","cols=12;rows=5")</f>
        <v>HLIT US Equity</v>
      </c>
      <c r="MX5" t="s">
        <v>1828</v>
      </c>
      <c r="MY5">
        <v>2.31E-3</v>
      </c>
      <c r="MZ5">
        <v>6.3075000000000006E-2</v>
      </c>
      <c r="NA5" t="s">
        <v>1774</v>
      </c>
      <c r="NB5">
        <v>2025</v>
      </c>
      <c r="NC5" t="s">
        <v>3688</v>
      </c>
      <c r="ND5" s="6">
        <v>45875</v>
      </c>
      <c r="NE5">
        <v>5</v>
      </c>
      <c r="NF5">
        <v>3188</v>
      </c>
      <c r="NG5">
        <v>171007</v>
      </c>
      <c r="NH5" t="s">
        <v>3689</v>
      </c>
      <c r="NK5" t="str">
        <f>_xll.BDS("SSP US Equity","SUPPLY_CHAIN_CUSTOMERS_ALL_DATA","cols=12;rows=2")</f>
        <v>FUBO US Equity</v>
      </c>
      <c r="NL5">
        <v>-2.4245362661989844E-14</v>
      </c>
      <c r="NN5">
        <v>-2.4245362661989844E-14</v>
      </c>
      <c r="NO5" t="s">
        <v>1753</v>
      </c>
      <c r="NP5">
        <v>2023</v>
      </c>
      <c r="NQ5" t="s">
        <v>2815</v>
      </c>
      <c r="NR5" s="6">
        <v>45139</v>
      </c>
      <c r="NS5">
        <v>2</v>
      </c>
      <c r="NT5">
        <v>-2.4245362661989844E-14</v>
      </c>
      <c r="NU5">
        <v>28707504</v>
      </c>
      <c r="NV5" t="s">
        <v>2816</v>
      </c>
      <c r="OA5" t="str">
        <f>_xll.BDS("CBCGQ US Equity","SUPPLY_CHAIN_SUPPLIERS_ALL_DATA")</f>
        <v>#N/A N/A</v>
      </c>
      <c r="OO5" t="str">
        <f>_xll.BDS("CBCGQ US Equity","SUPPLY_CHAIN_CUSTOMERS_ALL_DATA")</f>
        <v>#N/A N/A</v>
      </c>
      <c r="PE5" t="str">
        <f>_xll.BDS("NBR US Equity","SUPPLY_CHAIN_SUPPLIERS_ALL_DATA","cols=12;rows=4")</f>
        <v>DNOW US Equity</v>
      </c>
      <c r="PF5" t="s">
        <v>1752</v>
      </c>
      <c r="PG5">
        <v>8.4705000000000003E-2</v>
      </c>
      <c r="PH5">
        <v>0.109191</v>
      </c>
      <c r="PI5" t="s">
        <v>1788</v>
      </c>
      <c r="PJ5">
        <v>2025</v>
      </c>
      <c r="PK5" t="s">
        <v>2054</v>
      </c>
      <c r="PL5" s="6">
        <v>46027</v>
      </c>
      <c r="PM5">
        <v>4</v>
      </c>
      <c r="PN5">
        <v>537030</v>
      </c>
      <c r="PO5">
        <v>36965288</v>
      </c>
      <c r="PP5" t="s">
        <v>2055</v>
      </c>
      <c r="PS5" t="str">
        <f>_xll.BDS("NBR US Equity","SUPPLY_CHAIN_CUSTOMERS_ALL_DATA","cols=12;rows=4")</f>
        <v>ARAMCO AB Equity</v>
      </c>
      <c r="PT5">
        <v>30</v>
      </c>
      <c r="PU5" t="s">
        <v>1752</v>
      </c>
      <c r="PV5">
        <v>0.60292500000000004</v>
      </c>
      <c r="PW5" t="s">
        <v>1753</v>
      </c>
      <c r="PX5">
        <v>2025</v>
      </c>
      <c r="PY5" t="s">
        <v>2139</v>
      </c>
      <c r="PZ5" s="6">
        <v>46066</v>
      </c>
      <c r="QA5">
        <v>4</v>
      </c>
      <c r="QB5">
        <v>238851968</v>
      </c>
      <c r="QC5">
        <v>948637</v>
      </c>
      <c r="QD5" t="s">
        <v>2140</v>
      </c>
      <c r="QI5" t="str">
        <f>_xll.BDS("TDS US Equity","SUPPLY_CHAIN_SUPPLIERS_ALL_DATA","cols=12;rows=5")</f>
        <v>PWR US Equity</v>
      </c>
      <c r="QJ5" t="s">
        <v>1828</v>
      </c>
      <c r="QK5">
        <v>5.2657000000000002E-2</v>
      </c>
      <c r="QL5">
        <v>2.5595349999999999</v>
      </c>
      <c r="QM5" t="s">
        <v>1788</v>
      </c>
      <c r="QN5">
        <v>2025</v>
      </c>
      <c r="QO5" t="s">
        <v>3670</v>
      </c>
      <c r="QP5" s="6">
        <v>45975</v>
      </c>
      <c r="QQ5">
        <v>5</v>
      </c>
      <c r="QR5">
        <v>4018471</v>
      </c>
      <c r="QS5">
        <v>305366</v>
      </c>
      <c r="QT5" t="s">
        <v>3671</v>
      </c>
      <c r="QW5" t="str">
        <f>_xll.BDS("TDS US Equity","SUPPLY_CHAIN_CUSTOMERS_ALL_DATA","cols=12;rows=3")</f>
        <v>1766298D IT Equity</v>
      </c>
      <c r="QX5">
        <v>-2.4245362661989844E-14</v>
      </c>
      <c r="QZ5">
        <v>-2.4245362661989844E-14</v>
      </c>
      <c r="RA5" t="s">
        <v>1753</v>
      </c>
      <c r="RB5">
        <v>2023</v>
      </c>
      <c r="RC5" t="s">
        <v>3601</v>
      </c>
      <c r="RD5" s="6">
        <v>44971</v>
      </c>
      <c r="RE5">
        <v>3</v>
      </c>
      <c r="RF5">
        <v>-2.4245362661989844E-14</v>
      </c>
      <c r="RG5">
        <v>45446766</v>
      </c>
      <c r="RH5" t="s">
        <v>3602</v>
      </c>
      <c r="RM5" t="str">
        <f>_xll.BDS("JDAS US Equity","SUPPLY_CHAIN_SUPPLIERS_ALL_DATA","cols=12;rows=1")</f>
        <v>MSFT US Equity</v>
      </c>
      <c r="RO5">
        <v>-2.4245362661989844E-14</v>
      </c>
      <c r="RP5">
        <v>-2.4245362661989844E-14</v>
      </c>
      <c r="RQ5" t="s">
        <v>1753</v>
      </c>
      <c r="RR5">
        <v>2025</v>
      </c>
      <c r="RS5" t="s">
        <v>5149</v>
      </c>
      <c r="RT5" s="6">
        <v>45974</v>
      </c>
      <c r="RU5">
        <v>1</v>
      </c>
      <c r="RV5">
        <v>-2.4245362661989844E-14</v>
      </c>
      <c r="RW5">
        <v>101743</v>
      </c>
      <c r="RX5" t="s">
        <v>2156</v>
      </c>
      <c r="SA5" t="str">
        <f>_xll.BDS("JDAS US Equity","SUPPLY_CHAIN_CUSTOMERS_ALL_DATA")</f>
        <v>#N/A N/A</v>
      </c>
      <c r="SQ5" t="str">
        <f>_xll.BDS("SNEX US Equity","SUPPLY_CHAIN_SUPPLIERS_ALL_DATA","cols=12;rows=5")</f>
        <v>CMCL US Equity</v>
      </c>
      <c r="SR5" t="s">
        <v>1752</v>
      </c>
      <c r="SS5">
        <v>12.620616999999999</v>
      </c>
      <c r="ST5">
        <v>1.51512</v>
      </c>
      <c r="SU5" t="s">
        <v>1753</v>
      </c>
      <c r="SV5">
        <v>2024</v>
      </c>
      <c r="SW5" t="s">
        <v>3231</v>
      </c>
      <c r="SX5" s="6">
        <v>45793</v>
      </c>
      <c r="SY5">
        <v>5</v>
      </c>
      <c r="SZ5">
        <v>5774500</v>
      </c>
      <c r="TA5">
        <v>102680</v>
      </c>
      <c r="TB5" t="s">
        <v>3232</v>
      </c>
      <c r="TE5" t="str">
        <f>_xll.BDS("SNEX US Equity","SUPPLY_CHAIN_CUSTOMERS_ALL_DATA","cols=12;rows=3")</f>
        <v>ANTM IJ Equity</v>
      </c>
      <c r="TF5">
        <v>26.386686000000001</v>
      </c>
      <c r="TG5" t="s">
        <v>1752</v>
      </c>
      <c r="TH5">
        <v>25.191327999999999</v>
      </c>
      <c r="TI5" t="s">
        <v>1753</v>
      </c>
      <c r="TJ5">
        <v>2024</v>
      </c>
      <c r="TK5" t="s">
        <v>2855</v>
      </c>
      <c r="TL5" s="6">
        <v>45778</v>
      </c>
      <c r="TM5">
        <v>3</v>
      </c>
      <c r="TN5">
        <v>249071439.46000001</v>
      </c>
      <c r="TO5">
        <v>223412</v>
      </c>
      <c r="TP5" t="s">
        <v>2856</v>
      </c>
      <c r="TU5" t="str">
        <f>_xll.BDS("TFC US Equity","SUPPLY_CHAIN_SUPPLIERS_ALL_DATA","cols=12;rows=5")</f>
        <v>ADBE US Equity</v>
      </c>
      <c r="TV5" t="s">
        <v>1940</v>
      </c>
      <c r="TW5">
        <v>9.3438999999999994E-2</v>
      </c>
      <c r="TX5">
        <v>0.18883900000000001</v>
      </c>
      <c r="TY5" t="s">
        <v>1774</v>
      </c>
      <c r="TZ5">
        <v>2025</v>
      </c>
      <c r="UA5" t="s">
        <v>2126</v>
      </c>
      <c r="UB5" s="6">
        <v>45838</v>
      </c>
      <c r="UC5">
        <v>5</v>
      </c>
      <c r="UD5">
        <v>5487672</v>
      </c>
      <c r="UE5">
        <v>101689</v>
      </c>
      <c r="UF5" t="s">
        <v>2127</v>
      </c>
      <c r="UI5" t="str">
        <f>_xll.BDS("TFC US Equity","SUPPLY_CHAIN_CUSTOMERS_ALL_DATA","cols=12;rows=1")</f>
        <v>RENG IN Equity</v>
      </c>
      <c r="UJ5">
        <v>-2.4245362661989844E-14</v>
      </c>
      <c r="UL5">
        <v>-2.4245362661989844E-14</v>
      </c>
      <c r="UM5" t="s">
        <v>1753</v>
      </c>
      <c r="UN5">
        <v>2025</v>
      </c>
      <c r="UO5" t="s">
        <v>1756</v>
      </c>
      <c r="UP5" s="6">
        <v>45901</v>
      </c>
      <c r="UQ5">
        <v>1</v>
      </c>
      <c r="UR5">
        <v>-2.4245362661989844E-14</v>
      </c>
      <c r="US5">
        <v>182734</v>
      </c>
      <c r="UT5" t="s">
        <v>1757</v>
      </c>
      <c r="UY5" t="str">
        <f>_xll.BDS("MCHP US Equity","SUPPLY_CHAIN_SUPPLIERS_ALL_DATA","cols=12;rows=5")</f>
        <v>GFS US Equity</v>
      </c>
      <c r="UZ5" t="s">
        <v>1752</v>
      </c>
      <c r="VA5">
        <v>0.92524700000000004</v>
      </c>
      <c r="VB5">
        <v>3.1242359999999998</v>
      </c>
      <c r="VC5" t="s">
        <v>1781</v>
      </c>
      <c r="VD5">
        <v>2025</v>
      </c>
      <c r="VE5" t="s">
        <v>2275</v>
      </c>
      <c r="VF5" s="6">
        <v>45792</v>
      </c>
      <c r="VG5">
        <v>5</v>
      </c>
      <c r="VH5">
        <v>14665165</v>
      </c>
      <c r="VI5">
        <v>15242973</v>
      </c>
      <c r="VJ5" t="s">
        <v>2276</v>
      </c>
      <c r="VM5" t="str">
        <f>_xll.BDS("MCHP US Equity","SUPPLY_CHAIN_CUSTOMERS_ALL_DATA","cols=12;rows=5")</f>
        <v>ARW US Equity</v>
      </c>
      <c r="VN5">
        <v>12</v>
      </c>
      <c r="VO5" t="s">
        <v>1752</v>
      </c>
      <c r="VP5">
        <v>1.987511</v>
      </c>
      <c r="VQ5" t="s">
        <v>1768</v>
      </c>
      <c r="VR5">
        <v>2026</v>
      </c>
      <c r="VS5" t="s">
        <v>1921</v>
      </c>
      <c r="VT5" s="6">
        <v>46058</v>
      </c>
      <c r="VU5">
        <v>5</v>
      </c>
      <c r="VV5">
        <v>136076000</v>
      </c>
      <c r="VW5">
        <v>100115</v>
      </c>
      <c r="VX5" t="s">
        <v>1922</v>
      </c>
    </row>
    <row r="6" spans="1:600" x14ac:dyDescent="0.25">
      <c r="A6" t="s">
        <v>3923</v>
      </c>
      <c r="B6" t="s">
        <v>1828</v>
      </c>
      <c r="C6">
        <v>4.4260219999999997</v>
      </c>
      <c r="D6">
        <v>7.9928030000000003</v>
      </c>
      <c r="E6" t="s">
        <v>1774</v>
      </c>
      <c r="F6">
        <v>2025</v>
      </c>
      <c r="G6" t="s">
        <v>3924</v>
      </c>
      <c r="H6" s="6">
        <v>45889</v>
      </c>
      <c r="I6">
        <v>5</v>
      </c>
      <c r="J6">
        <v>2574419440.6399999</v>
      </c>
      <c r="K6">
        <v>119133</v>
      </c>
      <c r="L6" t="s">
        <v>3925</v>
      </c>
      <c r="O6" t="s">
        <v>77</v>
      </c>
      <c r="P6">
        <v>0.167933</v>
      </c>
      <c r="Q6" t="s">
        <v>1752</v>
      </c>
      <c r="R6">
        <v>4.0156150000000004</v>
      </c>
      <c r="S6" t="s">
        <v>1781</v>
      </c>
      <c r="T6">
        <v>2025</v>
      </c>
      <c r="U6" t="s">
        <v>1869</v>
      </c>
      <c r="V6" s="6">
        <v>45797</v>
      </c>
      <c r="W6">
        <v>5</v>
      </c>
      <c r="X6">
        <v>261416544</v>
      </c>
      <c r="Y6">
        <v>100801</v>
      </c>
      <c r="Z6" t="s">
        <v>1870</v>
      </c>
      <c r="IG6" t="s">
        <v>563</v>
      </c>
      <c r="IH6" t="s">
        <v>1752</v>
      </c>
      <c r="II6">
        <v>5</v>
      </c>
      <c r="IJ6">
        <v>1.327834</v>
      </c>
      <c r="IK6" t="s">
        <v>1774</v>
      </c>
      <c r="IL6">
        <v>2025</v>
      </c>
      <c r="IM6" t="s">
        <v>5714</v>
      </c>
      <c r="IN6" s="6">
        <v>45875</v>
      </c>
      <c r="IO6">
        <v>5</v>
      </c>
      <c r="IP6">
        <v>10113000</v>
      </c>
      <c r="IQ6">
        <v>103317</v>
      </c>
      <c r="IR6" t="s">
        <v>4600</v>
      </c>
      <c r="IU6" t="s">
        <v>3366</v>
      </c>
      <c r="IV6">
        <v>1.6330439999999999</v>
      </c>
      <c r="IW6" t="s">
        <v>1752</v>
      </c>
      <c r="IX6">
        <v>9.2214000000000004E-2</v>
      </c>
      <c r="IY6" t="s">
        <v>1774</v>
      </c>
      <c r="IZ6">
        <v>2025</v>
      </c>
      <c r="JA6" t="s">
        <v>3367</v>
      </c>
      <c r="JB6" s="6">
        <v>45873</v>
      </c>
      <c r="JC6">
        <v>5</v>
      </c>
      <c r="JD6">
        <v>18732352</v>
      </c>
      <c r="JE6">
        <v>100211</v>
      </c>
      <c r="JF6" t="s">
        <v>3368</v>
      </c>
      <c r="MW6" t="s">
        <v>5452</v>
      </c>
      <c r="MY6">
        <v>-2.4245362661989844E-14</v>
      </c>
      <c r="MZ6">
        <v>-2.4245362661989844E-14</v>
      </c>
      <c r="NA6" t="s">
        <v>1753</v>
      </c>
      <c r="NB6">
        <v>2023</v>
      </c>
      <c r="NC6" t="s">
        <v>5453</v>
      </c>
      <c r="ND6" s="6">
        <v>45210</v>
      </c>
      <c r="NE6">
        <v>5</v>
      </c>
      <c r="NF6">
        <v>-2.4245362661989844E-14</v>
      </c>
      <c r="NG6">
        <v>26989431</v>
      </c>
      <c r="NH6" t="s">
        <v>5454</v>
      </c>
      <c r="NK6" t="s">
        <v>4388</v>
      </c>
      <c r="NL6">
        <v>-2.4245362661989844E-14</v>
      </c>
      <c r="NN6">
        <v>-2.4245362661989844E-14</v>
      </c>
      <c r="NO6" t="s">
        <v>1788</v>
      </c>
      <c r="NP6">
        <v>2025</v>
      </c>
      <c r="NQ6" t="s">
        <v>4389</v>
      </c>
      <c r="NR6" s="6">
        <v>45971</v>
      </c>
      <c r="NS6">
        <v>2</v>
      </c>
      <c r="NT6">
        <v>-2.4245362661989844E-14</v>
      </c>
      <c r="NU6">
        <v>39234675</v>
      </c>
      <c r="NV6" t="s">
        <v>4390</v>
      </c>
      <c r="PE6" t="s">
        <v>2056</v>
      </c>
      <c r="PF6" t="s">
        <v>1752</v>
      </c>
      <c r="PG6">
        <v>4.2249999999999996E-3</v>
      </c>
      <c r="PH6">
        <v>9.1559999999999992E-3</v>
      </c>
      <c r="PI6" t="s">
        <v>1825</v>
      </c>
      <c r="PJ6">
        <v>2025</v>
      </c>
      <c r="PK6" t="s">
        <v>2057</v>
      </c>
      <c r="PL6" s="6">
        <v>46079</v>
      </c>
      <c r="PM6">
        <v>4</v>
      </c>
      <c r="PN6">
        <v>44531</v>
      </c>
      <c r="PO6">
        <v>49689146</v>
      </c>
      <c r="PP6" t="s">
        <v>2058</v>
      </c>
      <c r="PS6" t="s">
        <v>746</v>
      </c>
      <c r="PT6">
        <v>-2.4245362661989844E-14</v>
      </c>
      <c r="PV6">
        <v>-2.4245362661989844E-14</v>
      </c>
      <c r="PW6" t="s">
        <v>1753</v>
      </c>
      <c r="PX6">
        <v>2022</v>
      </c>
      <c r="PY6" t="s">
        <v>2141</v>
      </c>
      <c r="PZ6" s="6">
        <v>44966</v>
      </c>
      <c r="QA6">
        <v>4</v>
      </c>
      <c r="QB6">
        <v>-2.4245362661989844E-14</v>
      </c>
      <c r="QC6">
        <v>100698</v>
      </c>
      <c r="QD6" t="s">
        <v>2142</v>
      </c>
      <c r="QI6" t="s">
        <v>3672</v>
      </c>
      <c r="QJ6" t="s">
        <v>1940</v>
      </c>
      <c r="QK6">
        <v>1.9</v>
      </c>
      <c r="QL6">
        <v>0.17976700000000001</v>
      </c>
      <c r="QM6" t="s">
        <v>1753</v>
      </c>
      <c r="QN6">
        <v>2024</v>
      </c>
      <c r="QO6" t="s">
        <v>3673</v>
      </c>
      <c r="QP6" s="6">
        <v>45722</v>
      </c>
      <c r="QQ6">
        <v>5</v>
      </c>
      <c r="QR6">
        <v>1041581.69</v>
      </c>
      <c r="QS6">
        <v>8674508</v>
      </c>
      <c r="QT6" t="s">
        <v>3674</v>
      </c>
      <c r="QW6" t="s">
        <v>3603</v>
      </c>
      <c r="QX6">
        <v>-2.4245362661989844E-14</v>
      </c>
      <c r="QZ6">
        <v>-2.4245362661989844E-14</v>
      </c>
      <c r="RA6" t="s">
        <v>1753</v>
      </c>
      <c r="RB6">
        <v>2024</v>
      </c>
      <c r="RC6" t="s">
        <v>3604</v>
      </c>
      <c r="RD6" s="6">
        <v>45709</v>
      </c>
      <c r="RE6">
        <v>3</v>
      </c>
      <c r="RF6">
        <v>-2.4245362661989844E-14</v>
      </c>
      <c r="RG6">
        <v>107582</v>
      </c>
      <c r="RH6" t="s">
        <v>3605</v>
      </c>
      <c r="SQ6" t="s">
        <v>3233</v>
      </c>
      <c r="SS6">
        <v>-2.4245362661989844E-14</v>
      </c>
      <c r="ST6">
        <v>-2.4245362661989844E-14</v>
      </c>
      <c r="SU6" t="s">
        <v>1788</v>
      </c>
      <c r="SV6">
        <v>2024</v>
      </c>
      <c r="SW6" t="s">
        <v>3234</v>
      </c>
      <c r="SX6" s="6">
        <v>45702</v>
      </c>
      <c r="SY6">
        <v>5</v>
      </c>
      <c r="SZ6">
        <v>-2.4245362661989844E-14</v>
      </c>
      <c r="TA6">
        <v>69590725</v>
      </c>
      <c r="TB6" t="s">
        <v>3235</v>
      </c>
      <c r="TE6" t="s">
        <v>2857</v>
      </c>
      <c r="TF6">
        <v>-2.4245362661989844E-14</v>
      </c>
      <c r="TH6">
        <v>-2.4245362661989844E-14</v>
      </c>
      <c r="TI6" t="s">
        <v>1753</v>
      </c>
      <c r="TJ6">
        <v>2023</v>
      </c>
      <c r="TK6" t="s">
        <v>2858</v>
      </c>
      <c r="TL6" s="6">
        <v>45366</v>
      </c>
      <c r="TM6">
        <v>3</v>
      </c>
      <c r="TN6">
        <v>-2.4245362661989844E-14</v>
      </c>
      <c r="TO6">
        <v>17790749</v>
      </c>
      <c r="TP6" t="s">
        <v>2859</v>
      </c>
      <c r="TU6" t="s">
        <v>2128</v>
      </c>
      <c r="TV6" t="s">
        <v>1940</v>
      </c>
      <c r="TW6">
        <v>1.151538</v>
      </c>
      <c r="TX6">
        <v>7.7191999999999997E-2</v>
      </c>
      <c r="TY6" t="s">
        <v>1753</v>
      </c>
      <c r="TZ6">
        <v>2024</v>
      </c>
      <c r="UA6" t="s">
        <v>2129</v>
      </c>
      <c r="UB6" s="6">
        <v>45716</v>
      </c>
      <c r="UC6">
        <v>5</v>
      </c>
      <c r="UD6">
        <v>2317499</v>
      </c>
      <c r="UE6">
        <v>35300053</v>
      </c>
      <c r="UF6" t="s">
        <v>2130</v>
      </c>
      <c r="UY6" t="s">
        <v>2277</v>
      </c>
      <c r="UZ6" t="s">
        <v>1752</v>
      </c>
      <c r="VA6">
        <v>0.30862800000000001</v>
      </c>
      <c r="VB6">
        <v>1.2203660000000001</v>
      </c>
      <c r="VC6" t="s">
        <v>1788</v>
      </c>
      <c r="VD6">
        <v>2025</v>
      </c>
      <c r="VE6" t="s">
        <v>2278</v>
      </c>
      <c r="VF6" s="6">
        <v>46035</v>
      </c>
      <c r="VG6">
        <v>5</v>
      </c>
      <c r="VH6">
        <v>6132340</v>
      </c>
      <c r="VI6">
        <v>302680</v>
      </c>
      <c r="VJ6" t="s">
        <v>2279</v>
      </c>
      <c r="VM6" t="s">
        <v>1923</v>
      </c>
      <c r="VN6">
        <v>4.9519380000000002</v>
      </c>
      <c r="VO6" t="s">
        <v>1752</v>
      </c>
      <c r="VP6">
        <v>0.53381100000000004</v>
      </c>
      <c r="VQ6" t="s">
        <v>1774</v>
      </c>
      <c r="VR6">
        <v>2026</v>
      </c>
      <c r="VS6" t="s">
        <v>1924</v>
      </c>
      <c r="VT6" s="6">
        <v>46035</v>
      </c>
      <c r="VU6">
        <v>5</v>
      </c>
      <c r="VV6">
        <v>56471900</v>
      </c>
      <c r="VW6">
        <v>1459396</v>
      </c>
      <c r="VX6" t="s">
        <v>1925</v>
      </c>
    </row>
    <row r="7" spans="1:600" x14ac:dyDescent="0.25">
      <c r="A7" t="s">
        <v>2462</v>
      </c>
      <c r="B7" t="s">
        <v>1752</v>
      </c>
      <c r="C7">
        <v>10.6</v>
      </c>
      <c r="D7">
        <v>2.6368399999999999</v>
      </c>
      <c r="E7" t="s">
        <v>1753</v>
      </c>
      <c r="F7">
        <v>2025</v>
      </c>
      <c r="G7" t="s">
        <v>4731</v>
      </c>
      <c r="H7" s="6">
        <v>46070</v>
      </c>
      <c r="I7">
        <v>5</v>
      </c>
      <c r="J7">
        <v>2349516544</v>
      </c>
      <c r="K7">
        <v>143027</v>
      </c>
      <c r="L7" t="s">
        <v>2464</v>
      </c>
      <c r="O7" t="s">
        <v>1954</v>
      </c>
      <c r="P7">
        <v>5.8865000000000001E-2</v>
      </c>
      <c r="Q7" t="s">
        <v>1752</v>
      </c>
      <c r="R7">
        <v>2.2476859999999999</v>
      </c>
      <c r="S7" t="s">
        <v>1781</v>
      </c>
      <c r="T7">
        <v>2025</v>
      </c>
      <c r="U7" t="s">
        <v>1955</v>
      </c>
      <c r="V7" s="6">
        <v>45820</v>
      </c>
      <c r="W7">
        <v>5</v>
      </c>
      <c r="X7">
        <v>91633664</v>
      </c>
      <c r="Y7">
        <v>12129192</v>
      </c>
      <c r="Z7" t="s">
        <v>1956</v>
      </c>
      <c r="IG7" t="s">
        <v>532</v>
      </c>
      <c r="IH7" t="s">
        <v>1752</v>
      </c>
      <c r="II7">
        <v>0.42217500000000002</v>
      </c>
      <c r="IJ7">
        <v>1.0993269999999999</v>
      </c>
      <c r="IK7" t="s">
        <v>1774</v>
      </c>
      <c r="IL7">
        <v>2025</v>
      </c>
      <c r="IM7" t="s">
        <v>2520</v>
      </c>
      <c r="IN7" s="6">
        <v>45791</v>
      </c>
      <c r="IO7">
        <v>5</v>
      </c>
      <c r="IP7">
        <v>8376290</v>
      </c>
      <c r="IQ7">
        <v>116988</v>
      </c>
      <c r="IR7" t="s">
        <v>2521</v>
      </c>
      <c r="IU7" t="s">
        <v>1875</v>
      </c>
      <c r="IV7">
        <v>6.4324000000000006E-2</v>
      </c>
      <c r="IW7" t="s">
        <v>1752</v>
      </c>
      <c r="IX7">
        <v>0.122031</v>
      </c>
      <c r="IY7" t="s">
        <v>1788</v>
      </c>
      <c r="IZ7">
        <v>2025</v>
      </c>
      <c r="JA7" t="s">
        <v>1876</v>
      </c>
      <c r="JB7" s="6">
        <v>45840</v>
      </c>
      <c r="JC7">
        <v>5</v>
      </c>
      <c r="JD7">
        <v>737854</v>
      </c>
      <c r="JE7">
        <v>136424</v>
      </c>
      <c r="JF7" t="s">
        <v>1877</v>
      </c>
      <c r="MW7" t="s">
        <v>5455</v>
      </c>
      <c r="MY7">
        <v>-2.4245362661989844E-14</v>
      </c>
      <c r="MZ7">
        <v>-2.4245362661989844E-14</v>
      </c>
      <c r="NA7" t="s">
        <v>1753</v>
      </c>
      <c r="NB7">
        <v>2023</v>
      </c>
      <c r="NC7" t="s">
        <v>5453</v>
      </c>
      <c r="ND7" s="6">
        <v>45210</v>
      </c>
      <c r="NE7">
        <v>5</v>
      </c>
      <c r="NF7">
        <v>-2.4245362661989844E-14</v>
      </c>
      <c r="NG7">
        <v>9071951</v>
      </c>
      <c r="NH7" t="s">
        <v>5456</v>
      </c>
      <c r="PE7" t="s">
        <v>2059</v>
      </c>
      <c r="PG7">
        <v>-2.4245362661989844E-14</v>
      </c>
      <c r="PH7">
        <v>-2.4245362661989844E-14</v>
      </c>
      <c r="PI7" t="s">
        <v>1788</v>
      </c>
      <c r="PJ7">
        <v>2025</v>
      </c>
      <c r="PK7" t="s">
        <v>2060</v>
      </c>
      <c r="PL7" s="6">
        <v>45991</v>
      </c>
      <c r="PM7">
        <v>4</v>
      </c>
      <c r="PN7">
        <v>-2.4245362661989844E-14</v>
      </c>
      <c r="PO7">
        <v>310043</v>
      </c>
      <c r="PP7" t="s">
        <v>2061</v>
      </c>
      <c r="PS7" t="s">
        <v>311</v>
      </c>
      <c r="PT7">
        <v>-2.4245362661989844E-14</v>
      </c>
      <c r="PV7">
        <v>-2.4245362661989844E-14</v>
      </c>
      <c r="PW7" t="s">
        <v>1753</v>
      </c>
      <c r="PX7">
        <v>2022</v>
      </c>
      <c r="PY7" t="s">
        <v>2141</v>
      </c>
      <c r="PZ7" s="6">
        <v>44966</v>
      </c>
      <c r="QA7">
        <v>4</v>
      </c>
      <c r="QB7">
        <v>-2.4245362661989844E-14</v>
      </c>
      <c r="QC7">
        <v>100078</v>
      </c>
      <c r="QD7" t="s">
        <v>2040</v>
      </c>
      <c r="QI7" t="s">
        <v>3675</v>
      </c>
      <c r="QJ7" t="s">
        <v>1828</v>
      </c>
      <c r="QK7">
        <v>1.5679999999999999E-2</v>
      </c>
      <c r="QL7">
        <v>0.51474699999999995</v>
      </c>
      <c r="QM7" t="s">
        <v>1774</v>
      </c>
      <c r="QN7">
        <v>2025</v>
      </c>
      <c r="QO7" t="s">
        <v>3676</v>
      </c>
      <c r="QP7" s="6">
        <v>45933</v>
      </c>
      <c r="QQ7">
        <v>5</v>
      </c>
      <c r="QR7">
        <v>807830.97</v>
      </c>
      <c r="QS7">
        <v>115790</v>
      </c>
      <c r="QT7" t="s">
        <v>3677</v>
      </c>
      <c r="QW7" t="s">
        <v>3606</v>
      </c>
      <c r="QX7">
        <v>-2.4245362661989844E-14</v>
      </c>
      <c r="QZ7">
        <v>-2.4245362661989844E-14</v>
      </c>
      <c r="RA7" t="s">
        <v>1753</v>
      </c>
      <c r="RB7">
        <v>2026</v>
      </c>
      <c r="RC7" t="s">
        <v>3607</v>
      </c>
      <c r="RD7" s="6">
        <v>46044</v>
      </c>
      <c r="RE7">
        <v>3</v>
      </c>
      <c r="RF7">
        <v>-2.4245362661989844E-14</v>
      </c>
      <c r="RG7">
        <v>8349695</v>
      </c>
      <c r="RH7" t="s">
        <v>3608</v>
      </c>
      <c r="SQ7" t="s">
        <v>3236</v>
      </c>
      <c r="SS7">
        <v>-2.4245362661989844E-14</v>
      </c>
      <c r="ST7">
        <v>-2.4245362661989844E-14</v>
      </c>
      <c r="SU7" t="s">
        <v>1753</v>
      </c>
      <c r="SV7">
        <v>2023</v>
      </c>
      <c r="SW7" t="s">
        <v>3237</v>
      </c>
      <c r="SX7" s="6">
        <v>45015</v>
      </c>
      <c r="SY7">
        <v>5</v>
      </c>
      <c r="SZ7">
        <v>-2.4245362661989844E-14</v>
      </c>
      <c r="TA7">
        <v>34392121</v>
      </c>
      <c r="TB7" t="s">
        <v>3238</v>
      </c>
      <c r="TE7" t="s">
        <v>2860</v>
      </c>
      <c r="TF7">
        <v>-2.4245362661989844E-14</v>
      </c>
      <c r="TH7">
        <v>-2.4245362661989844E-14</v>
      </c>
      <c r="TI7" t="s">
        <v>1788</v>
      </c>
      <c r="TJ7">
        <v>2020</v>
      </c>
      <c r="TK7" t="s">
        <v>2861</v>
      </c>
      <c r="TL7" s="6">
        <v>44734</v>
      </c>
      <c r="TM7">
        <v>3</v>
      </c>
      <c r="TN7">
        <v>-2.4245362661989844E-14</v>
      </c>
      <c r="TO7">
        <v>16645854</v>
      </c>
      <c r="TP7" t="s">
        <v>2862</v>
      </c>
      <c r="TU7" t="s">
        <v>1787</v>
      </c>
      <c r="TV7" t="s">
        <v>1940</v>
      </c>
      <c r="TW7">
        <v>0.492811</v>
      </c>
      <c r="TX7">
        <v>2.9784000000000001E-2</v>
      </c>
      <c r="TY7" t="s">
        <v>1781</v>
      </c>
      <c r="TZ7">
        <v>2026</v>
      </c>
      <c r="UA7" t="s">
        <v>2131</v>
      </c>
      <c r="UB7" s="6">
        <v>45898</v>
      </c>
      <c r="UC7">
        <v>5</v>
      </c>
      <c r="UD7">
        <v>889383.69</v>
      </c>
      <c r="UE7">
        <v>178651</v>
      </c>
      <c r="UF7" t="s">
        <v>1790</v>
      </c>
      <c r="UY7" t="s">
        <v>2280</v>
      </c>
      <c r="UZ7" t="s">
        <v>1752</v>
      </c>
      <c r="VA7">
        <v>1.8717000000000001E-2</v>
      </c>
      <c r="VB7">
        <v>0.53299099999999999</v>
      </c>
      <c r="VC7" t="s">
        <v>1781</v>
      </c>
      <c r="VD7">
        <v>2026</v>
      </c>
      <c r="VE7" t="s">
        <v>2281</v>
      </c>
      <c r="VF7" s="6">
        <v>46079</v>
      </c>
      <c r="VG7">
        <v>5</v>
      </c>
      <c r="VH7">
        <v>2553560</v>
      </c>
      <c r="VI7">
        <v>100995</v>
      </c>
      <c r="VJ7" t="s">
        <v>2282</v>
      </c>
      <c r="VM7" t="s">
        <v>1784</v>
      </c>
      <c r="VN7">
        <v>4.8382500000000004</v>
      </c>
      <c r="VO7" t="s">
        <v>1752</v>
      </c>
      <c r="VP7">
        <v>1.0442359999999999</v>
      </c>
      <c r="VQ7" t="s">
        <v>1774</v>
      </c>
      <c r="VR7">
        <v>2026</v>
      </c>
      <c r="VS7" t="s">
        <v>1924</v>
      </c>
      <c r="VT7" s="6">
        <v>46035</v>
      </c>
      <c r="VU7">
        <v>5</v>
      </c>
      <c r="VV7">
        <v>55175404</v>
      </c>
      <c r="VW7">
        <v>100142</v>
      </c>
      <c r="VX7" t="s">
        <v>1786</v>
      </c>
    </row>
    <row r="8" spans="1:600" x14ac:dyDescent="0.25">
      <c r="A8" t="s">
        <v>2335</v>
      </c>
      <c r="B8" t="s">
        <v>1752</v>
      </c>
      <c r="C8">
        <v>9.3897040000000001</v>
      </c>
      <c r="D8">
        <v>1.8960900000000001</v>
      </c>
      <c r="E8" t="s">
        <v>1774</v>
      </c>
      <c r="F8">
        <v>2025</v>
      </c>
      <c r="G8" t="s">
        <v>4732</v>
      </c>
      <c r="H8" s="6">
        <v>46065</v>
      </c>
      <c r="I8">
        <v>5</v>
      </c>
      <c r="J8">
        <v>2084921216</v>
      </c>
      <c r="K8">
        <v>130929</v>
      </c>
      <c r="L8" t="s">
        <v>2336</v>
      </c>
      <c r="O8" t="s">
        <v>3435</v>
      </c>
      <c r="P8">
        <v>3.2153000000000001E-2</v>
      </c>
      <c r="Q8" t="s">
        <v>1752</v>
      </c>
      <c r="R8">
        <v>2.4658310000000001</v>
      </c>
      <c r="S8" t="s">
        <v>1774</v>
      </c>
      <c r="T8">
        <v>2025</v>
      </c>
      <c r="U8" t="s">
        <v>3436</v>
      </c>
      <c r="V8" s="6">
        <v>46008</v>
      </c>
      <c r="W8">
        <v>5</v>
      </c>
      <c r="X8">
        <v>57345912.520000003</v>
      </c>
      <c r="Y8">
        <v>349049</v>
      </c>
      <c r="Z8" t="s">
        <v>3437</v>
      </c>
      <c r="IG8" t="s">
        <v>772</v>
      </c>
      <c r="IH8" t="s">
        <v>1752</v>
      </c>
      <c r="II8">
        <v>0.53407099999999996</v>
      </c>
      <c r="IJ8">
        <v>0.44282199999999999</v>
      </c>
      <c r="IK8" t="s">
        <v>1781</v>
      </c>
      <c r="IL8">
        <v>2025</v>
      </c>
      <c r="IM8" t="s">
        <v>2953</v>
      </c>
      <c r="IN8" s="6">
        <v>45793</v>
      </c>
      <c r="IO8">
        <v>5</v>
      </c>
      <c r="IP8">
        <v>3374068</v>
      </c>
      <c r="IQ8">
        <v>102417</v>
      </c>
      <c r="IR8" t="s">
        <v>2954</v>
      </c>
      <c r="IU8" t="s">
        <v>3369</v>
      </c>
      <c r="IV8">
        <v>-2.4245362661989844E-14</v>
      </c>
      <c r="IX8">
        <v>-2.4245362661989844E-14</v>
      </c>
      <c r="IY8" t="s">
        <v>1753</v>
      </c>
      <c r="IZ8">
        <v>2023</v>
      </c>
      <c r="JA8" t="s">
        <v>3370</v>
      </c>
      <c r="JB8" s="6">
        <v>45167</v>
      </c>
      <c r="JC8">
        <v>5</v>
      </c>
      <c r="JD8">
        <v>-2.4245362661989844E-14</v>
      </c>
      <c r="JE8">
        <v>129220</v>
      </c>
      <c r="JF8" t="s">
        <v>3371</v>
      </c>
      <c r="MW8" t="s">
        <v>5457</v>
      </c>
      <c r="MY8">
        <v>-2.4245362661989844E-14</v>
      </c>
      <c r="MZ8">
        <v>-2.4245362661989844E-14</v>
      </c>
      <c r="NA8" t="s">
        <v>1753</v>
      </c>
      <c r="NB8">
        <v>2024</v>
      </c>
      <c r="NC8" t="s">
        <v>5453</v>
      </c>
      <c r="ND8" s="6">
        <v>45475</v>
      </c>
      <c r="NE8">
        <v>5</v>
      </c>
      <c r="NF8">
        <v>-2.4245362661989844E-14</v>
      </c>
      <c r="NG8">
        <v>1170098</v>
      </c>
      <c r="NH8" t="s">
        <v>5458</v>
      </c>
      <c r="PE8" t="s">
        <v>2062</v>
      </c>
      <c r="PG8">
        <v>-2.4245362661989844E-14</v>
      </c>
      <c r="PH8">
        <v>-2.4245362661989844E-14</v>
      </c>
      <c r="PI8" t="s">
        <v>1753</v>
      </c>
      <c r="PJ8">
        <v>2022</v>
      </c>
      <c r="PK8" t="s">
        <v>2063</v>
      </c>
      <c r="PL8" s="6">
        <v>44967</v>
      </c>
      <c r="PM8">
        <v>4</v>
      </c>
      <c r="PN8">
        <v>-2.4245362661989844E-14</v>
      </c>
      <c r="PO8">
        <v>117782</v>
      </c>
      <c r="PP8" t="s">
        <v>2064</v>
      </c>
      <c r="PS8" t="s">
        <v>2143</v>
      </c>
      <c r="PT8">
        <v>-2.4245362661989844E-14</v>
      </c>
      <c r="PV8">
        <v>-2.4245362661989844E-14</v>
      </c>
      <c r="PW8" t="s">
        <v>1788</v>
      </c>
      <c r="PX8">
        <v>2024</v>
      </c>
      <c r="PY8" t="s">
        <v>2144</v>
      </c>
      <c r="PZ8" s="6">
        <v>45628</v>
      </c>
      <c r="QA8">
        <v>4</v>
      </c>
      <c r="QB8">
        <v>-2.4245362661989844E-14</v>
      </c>
      <c r="QC8">
        <v>30093415</v>
      </c>
      <c r="QD8" t="s">
        <v>2145</v>
      </c>
      <c r="QI8" t="s">
        <v>3678</v>
      </c>
      <c r="QJ8" t="s">
        <v>1752</v>
      </c>
      <c r="QK8">
        <v>7.5699999999999997E-4</v>
      </c>
      <c r="QL8">
        <v>9.0600000000000001E-4</v>
      </c>
      <c r="QM8" t="s">
        <v>1788</v>
      </c>
      <c r="QN8">
        <v>2025</v>
      </c>
      <c r="QO8" t="s">
        <v>3679</v>
      </c>
      <c r="QP8" s="6">
        <v>45849</v>
      </c>
      <c r="QQ8">
        <v>5</v>
      </c>
      <c r="QR8">
        <v>4837</v>
      </c>
      <c r="QS8">
        <v>25044910</v>
      </c>
      <c r="QT8" t="s">
        <v>3680</v>
      </c>
      <c r="SQ8" t="s">
        <v>2152</v>
      </c>
      <c r="SS8">
        <v>-2.4245362661989844E-14</v>
      </c>
      <c r="ST8">
        <v>-2.4245362661989844E-14</v>
      </c>
      <c r="SU8" t="s">
        <v>1753</v>
      </c>
      <c r="SV8">
        <v>2025</v>
      </c>
      <c r="SW8" t="s">
        <v>3239</v>
      </c>
      <c r="SX8" s="6">
        <v>45699</v>
      </c>
      <c r="SY8">
        <v>5</v>
      </c>
      <c r="SZ8">
        <v>-2.4245362661989844E-14</v>
      </c>
      <c r="TA8">
        <v>103882</v>
      </c>
      <c r="TB8" t="s">
        <v>2154</v>
      </c>
      <c r="TU8" t="s">
        <v>2132</v>
      </c>
      <c r="TW8">
        <v>0.44397199999999998</v>
      </c>
      <c r="TX8">
        <v>-2.4245362661989844E-14</v>
      </c>
      <c r="TY8" t="s">
        <v>1825</v>
      </c>
      <c r="TZ8">
        <v>2024</v>
      </c>
      <c r="UA8" t="s">
        <v>2133</v>
      </c>
      <c r="UB8" s="6">
        <v>45699</v>
      </c>
      <c r="UC8">
        <v>5</v>
      </c>
      <c r="UD8">
        <v>316250</v>
      </c>
      <c r="UE8">
        <v>10086577</v>
      </c>
      <c r="UF8" t="s">
        <v>2134</v>
      </c>
      <c r="UY8" t="s">
        <v>2283</v>
      </c>
      <c r="UZ8" t="s">
        <v>1752</v>
      </c>
      <c r="VA8">
        <v>2.9225000000000001E-2</v>
      </c>
      <c r="VB8">
        <v>0.24604699999999999</v>
      </c>
      <c r="VC8" t="s">
        <v>1788</v>
      </c>
      <c r="VD8">
        <v>2025</v>
      </c>
      <c r="VE8" t="s">
        <v>2284</v>
      </c>
      <c r="VF8" s="6">
        <v>45936</v>
      </c>
      <c r="VG8">
        <v>5</v>
      </c>
      <c r="VH8">
        <v>1226790.45</v>
      </c>
      <c r="VI8">
        <v>835530</v>
      </c>
      <c r="VJ8" t="s">
        <v>2285</v>
      </c>
      <c r="VM8" t="s">
        <v>1926</v>
      </c>
      <c r="VN8">
        <v>3.9990190000000001</v>
      </c>
      <c r="VO8" t="s">
        <v>1752</v>
      </c>
      <c r="VP8">
        <v>0.37565900000000002</v>
      </c>
      <c r="VQ8" t="s">
        <v>1788</v>
      </c>
      <c r="VR8">
        <v>2024</v>
      </c>
      <c r="VS8" t="s">
        <v>1927</v>
      </c>
      <c r="VT8" s="6">
        <v>45727</v>
      </c>
      <c r="VU8">
        <v>5</v>
      </c>
      <c r="VV8">
        <v>46555768.390000001</v>
      </c>
      <c r="VW8">
        <v>7583418</v>
      </c>
      <c r="VX8" t="s">
        <v>1928</v>
      </c>
    </row>
    <row r="9" spans="1:600" x14ac:dyDescent="0.25">
      <c r="A9" t="s">
        <v>1113</v>
      </c>
      <c r="B9" t="s">
        <v>1752</v>
      </c>
      <c r="C9">
        <v>7.5533060000000001</v>
      </c>
      <c r="D9">
        <v>1.96953</v>
      </c>
      <c r="E9" t="s">
        <v>1825</v>
      </c>
      <c r="F9">
        <v>2025</v>
      </c>
      <c r="G9" t="s">
        <v>3110</v>
      </c>
      <c r="H9" s="6">
        <v>45883</v>
      </c>
      <c r="I9">
        <v>5</v>
      </c>
      <c r="J9">
        <v>1591557120</v>
      </c>
      <c r="K9">
        <v>101215</v>
      </c>
      <c r="L9" t="s">
        <v>3111</v>
      </c>
      <c r="O9" t="s">
        <v>1547</v>
      </c>
      <c r="P9">
        <v>3.0903E-2</v>
      </c>
      <c r="Q9" t="s">
        <v>1752</v>
      </c>
      <c r="R9">
        <v>0.79644899999999996</v>
      </c>
      <c r="S9" t="s">
        <v>1781</v>
      </c>
      <c r="T9">
        <v>2025</v>
      </c>
      <c r="U9" t="s">
        <v>2157</v>
      </c>
      <c r="V9" s="6">
        <v>45784</v>
      </c>
      <c r="W9">
        <v>5</v>
      </c>
      <c r="X9">
        <v>48105720</v>
      </c>
      <c r="Y9">
        <v>100115</v>
      </c>
      <c r="Z9" t="s">
        <v>1922</v>
      </c>
      <c r="IG9" t="s">
        <v>5715</v>
      </c>
      <c r="IH9" t="s">
        <v>1752</v>
      </c>
      <c r="II9">
        <v>0.32563999999999999</v>
      </c>
      <c r="IJ9">
        <v>0.41547000000000001</v>
      </c>
      <c r="IK9" t="s">
        <v>1788</v>
      </c>
      <c r="IL9">
        <v>2026</v>
      </c>
      <c r="IM9" t="s">
        <v>5716</v>
      </c>
      <c r="IN9" s="6">
        <v>46070</v>
      </c>
      <c r="IO9">
        <v>5</v>
      </c>
      <c r="IP9">
        <v>3233472</v>
      </c>
      <c r="IQ9">
        <v>43822801</v>
      </c>
      <c r="IR9" t="s">
        <v>5717</v>
      </c>
      <c r="IU9" t="s">
        <v>3372</v>
      </c>
      <c r="IV9">
        <v>-2.4245362661989844E-14</v>
      </c>
      <c r="IX9">
        <v>-2.4245362661989844E-14</v>
      </c>
      <c r="IY9" t="s">
        <v>1753</v>
      </c>
      <c r="IZ9">
        <v>2022</v>
      </c>
      <c r="JA9" t="s">
        <v>3373</v>
      </c>
      <c r="JB9" s="6">
        <v>44712</v>
      </c>
      <c r="JC9">
        <v>5</v>
      </c>
      <c r="JD9">
        <v>-2.4245362661989844E-14</v>
      </c>
      <c r="JE9">
        <v>834168</v>
      </c>
      <c r="JF9" t="s">
        <v>3374</v>
      </c>
      <c r="MW9" t="s">
        <v>5459</v>
      </c>
      <c r="MY9">
        <v>-2.4245362661989844E-14</v>
      </c>
      <c r="MZ9">
        <v>-2.4245362661989844E-14</v>
      </c>
      <c r="NA9" t="s">
        <v>1753</v>
      </c>
      <c r="NB9">
        <v>2024</v>
      </c>
      <c r="NC9" t="s">
        <v>5460</v>
      </c>
      <c r="ND9" s="6">
        <v>45728</v>
      </c>
      <c r="NE9">
        <v>5</v>
      </c>
      <c r="NF9">
        <v>-2.4245362661989844E-14</v>
      </c>
      <c r="NG9">
        <v>900636</v>
      </c>
      <c r="NH9" t="s">
        <v>5461</v>
      </c>
      <c r="QI9" t="s">
        <v>3681</v>
      </c>
      <c r="QK9">
        <v>-2.4245362661989844E-14</v>
      </c>
      <c r="QL9">
        <v>-2.4245362661989844E-14</v>
      </c>
      <c r="QM9" t="s">
        <v>1753</v>
      </c>
      <c r="QN9">
        <v>2022</v>
      </c>
      <c r="QO9" t="s">
        <v>3682</v>
      </c>
      <c r="QP9" s="6">
        <v>44978</v>
      </c>
      <c r="QQ9">
        <v>5</v>
      </c>
      <c r="QR9">
        <v>-2.4245362661989844E-14</v>
      </c>
      <c r="QS9">
        <v>17540125</v>
      </c>
      <c r="QT9" t="s">
        <v>3683</v>
      </c>
      <c r="SQ9" t="s">
        <v>3240</v>
      </c>
      <c r="SS9">
        <v>-2.4245362661989844E-14</v>
      </c>
      <c r="ST9">
        <v>-2.4245362661989844E-14</v>
      </c>
      <c r="SU9" t="s">
        <v>1753</v>
      </c>
      <c r="SV9">
        <v>2024</v>
      </c>
      <c r="SW9" t="s">
        <v>3241</v>
      </c>
      <c r="SX9" s="6">
        <v>45777</v>
      </c>
      <c r="SY9">
        <v>5</v>
      </c>
      <c r="SZ9">
        <v>-2.4245362661989844E-14</v>
      </c>
      <c r="TA9">
        <v>117567</v>
      </c>
      <c r="TB9" t="s">
        <v>3242</v>
      </c>
      <c r="TU9" t="s">
        <v>2135</v>
      </c>
      <c r="TW9">
        <v>-2.4245362661989844E-14</v>
      </c>
      <c r="TX9">
        <v>-2.4245362661989844E-14</v>
      </c>
      <c r="TY9" t="s">
        <v>1768</v>
      </c>
      <c r="TZ9">
        <v>2025</v>
      </c>
      <c r="UA9" t="s">
        <v>2136</v>
      </c>
      <c r="UB9" s="6">
        <v>45974</v>
      </c>
      <c r="UC9">
        <v>5</v>
      </c>
      <c r="UD9">
        <v>-2.4245362661989844E-14</v>
      </c>
      <c r="UE9">
        <v>118099</v>
      </c>
      <c r="UF9" t="s">
        <v>2137</v>
      </c>
      <c r="UY9" t="s">
        <v>185</v>
      </c>
      <c r="UZ9" t="s">
        <v>1828</v>
      </c>
      <c r="VA9">
        <v>3.3274999999999999E-2</v>
      </c>
      <c r="VB9">
        <v>4.8761130000000001</v>
      </c>
      <c r="VC9" t="s">
        <v>1774</v>
      </c>
      <c r="VD9">
        <v>2026</v>
      </c>
      <c r="VE9" t="s">
        <v>2286</v>
      </c>
      <c r="VF9" s="6">
        <v>46063</v>
      </c>
      <c r="VG9">
        <v>5</v>
      </c>
      <c r="VH9">
        <v>1097125</v>
      </c>
      <c r="VI9">
        <v>101732</v>
      </c>
      <c r="VJ9" t="s">
        <v>2287</v>
      </c>
      <c r="VM9" t="s">
        <v>1929</v>
      </c>
      <c r="VN9">
        <v>2.5742210000000001</v>
      </c>
      <c r="VO9" t="s">
        <v>1752</v>
      </c>
      <c r="VP9">
        <v>18.557379000000001</v>
      </c>
      <c r="VQ9" t="s">
        <v>1753</v>
      </c>
      <c r="VR9">
        <v>2024</v>
      </c>
      <c r="VS9" t="s">
        <v>1930</v>
      </c>
      <c r="VT9" s="6">
        <v>45784</v>
      </c>
      <c r="VU9">
        <v>5</v>
      </c>
      <c r="VV9">
        <v>28636240.420000002</v>
      </c>
      <c r="VW9">
        <v>17392177</v>
      </c>
      <c r="VX9" t="s">
        <v>1931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1091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1092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1093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1094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1095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1096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1097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1098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1099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1100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1101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1102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1103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1104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1105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1106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1107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1108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1109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1110</v>
      </c>
      <c r="AE2" s="3" t="s">
        <v>1111</v>
      </c>
      <c r="BI2" s="3" t="s">
        <v>37</v>
      </c>
      <c r="CM2" s="3" t="s">
        <v>1112</v>
      </c>
      <c r="DQ2" s="3" t="s">
        <v>447</v>
      </c>
      <c r="EU2" s="3" t="s">
        <v>780</v>
      </c>
      <c r="FY2" s="3" t="s">
        <v>531</v>
      </c>
      <c r="HC2" s="3" t="s">
        <v>988</v>
      </c>
      <c r="IG2" s="3" t="s">
        <v>1113</v>
      </c>
      <c r="JK2" s="3" t="s">
        <v>1114</v>
      </c>
      <c r="KO2" s="3" t="s">
        <v>1115</v>
      </c>
      <c r="LS2" s="3" t="s">
        <v>1116</v>
      </c>
      <c r="MW2" s="3" t="s">
        <v>1117</v>
      </c>
      <c r="OA2" s="3" t="s">
        <v>1118</v>
      </c>
      <c r="PE2" s="3" t="s">
        <v>1119</v>
      </c>
      <c r="QI2" s="3" t="s">
        <v>600</v>
      </c>
      <c r="RM2" s="3" t="s">
        <v>1120</v>
      </c>
      <c r="SQ2" s="3" t="s">
        <v>266</v>
      </c>
      <c r="TU2" s="3" t="s">
        <v>1121</v>
      </c>
      <c r="UY2" s="3" t="s">
        <v>1122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_xll.BDS("VYX US Equity","SUPPLY_CHAIN_SUPPLIERS_ALL_DATA","cols=12;rows=5")</f>
        <v>CUZ US Equity</v>
      </c>
      <c r="B5" t="s">
        <v>1940</v>
      </c>
      <c r="C5">
        <v>4.2957650000000003</v>
      </c>
      <c r="D5">
        <v>9.4242830000000009</v>
      </c>
      <c r="E5" t="s">
        <v>1753</v>
      </c>
      <c r="F5">
        <v>2025</v>
      </c>
      <c r="G5" t="s">
        <v>2203</v>
      </c>
      <c r="H5" s="6">
        <v>46058</v>
      </c>
      <c r="I5">
        <v>5</v>
      </c>
      <c r="J5">
        <v>10673000</v>
      </c>
      <c r="K5">
        <v>106045</v>
      </c>
      <c r="L5" t="s">
        <v>2204</v>
      </c>
      <c r="O5" t="str">
        <f>_xll.BDS("VYX US Equity","SUPPLY_CHAIN_CUSTOMERS_ALL_DATA","cols=12;rows=5")</f>
        <v>TSCO LN Equity</v>
      </c>
      <c r="P5">
        <v>0.20727400000000001</v>
      </c>
      <c r="Q5" t="s">
        <v>1752</v>
      </c>
      <c r="R5">
        <v>6.3730000000000002E-3</v>
      </c>
      <c r="S5" t="s">
        <v>1781</v>
      </c>
      <c r="T5">
        <v>2026</v>
      </c>
      <c r="U5" t="s">
        <v>4367</v>
      </c>
      <c r="V5" s="6">
        <v>45898</v>
      </c>
      <c r="W5">
        <v>5</v>
      </c>
      <c r="X5">
        <v>1352248.2</v>
      </c>
      <c r="Y5">
        <v>112370</v>
      </c>
      <c r="Z5" t="s">
        <v>2800</v>
      </c>
      <c r="AE5" t="str">
        <f>_xll.BDS("SYY US Equity","SUPPLY_CHAIN_SUPPLIERS_ALL_DATA","cols=12;rows=5")</f>
        <v>TSN US Equity</v>
      </c>
      <c r="AF5" t="s">
        <v>1752</v>
      </c>
      <c r="AG5">
        <v>7.6089529999999996</v>
      </c>
      <c r="AH5">
        <v>5.9122209999999997</v>
      </c>
      <c r="AI5" t="s">
        <v>1788</v>
      </c>
      <c r="AJ5">
        <v>2025</v>
      </c>
      <c r="AK5" t="s">
        <v>4637</v>
      </c>
      <c r="AL5" s="6">
        <v>45946</v>
      </c>
      <c r="AM5">
        <v>5</v>
      </c>
      <c r="AN5">
        <v>1014064192</v>
      </c>
      <c r="AO5">
        <v>101779</v>
      </c>
      <c r="AP5" t="s">
        <v>4638</v>
      </c>
      <c r="AS5" t="str">
        <f>_xll.BDS("SYY US Equity","SUPPLY_CHAIN_CUSTOMERS_ALL_DATA","cols=12;rows=5")</f>
        <v>ARMK US Equity</v>
      </c>
      <c r="AT5">
        <v>1.7782070000000001</v>
      </c>
      <c r="AU5" t="s">
        <v>1752</v>
      </c>
      <c r="AV5">
        <v>8.8909129999999994</v>
      </c>
      <c r="AW5" t="s">
        <v>1774</v>
      </c>
      <c r="AX5">
        <v>2025</v>
      </c>
      <c r="AY5" t="s">
        <v>4143</v>
      </c>
      <c r="AZ5" s="6">
        <v>45785</v>
      </c>
      <c r="BA5">
        <v>5</v>
      </c>
      <c r="BB5">
        <v>348492928</v>
      </c>
      <c r="BC5">
        <v>13061296</v>
      </c>
      <c r="BD5" t="s">
        <v>4144</v>
      </c>
      <c r="BI5" t="str">
        <f>_xll.BDS("nan Equity","SUPPLY_CHAIN_SUPPLIERS_ALL_DATA")</f>
        <v>#N/A N/A</v>
      </c>
      <c r="BW5" t="str">
        <f>_xll.BDS("nan Equity","SUPPLY_CHAIN_CUSTOMERS_ALL_DATA")</f>
        <v>#N/A N/A</v>
      </c>
      <c r="CM5" t="str">
        <f>_xll.BDS("FOXA US Equity","SUPPLY_CHAIN_SUPPLIERS_ALL_DATA","cols=12;rows=5")</f>
        <v>GTN US Equity</v>
      </c>
      <c r="CN5" t="s">
        <v>1940</v>
      </c>
      <c r="CO5">
        <v>14</v>
      </c>
      <c r="CP5">
        <v>24.574180999999999</v>
      </c>
      <c r="CQ5" t="s">
        <v>1753</v>
      </c>
      <c r="CR5">
        <v>2024</v>
      </c>
      <c r="CS5" t="s">
        <v>2923</v>
      </c>
      <c r="CT5" s="6">
        <v>45715</v>
      </c>
      <c r="CU5">
        <v>5</v>
      </c>
      <c r="CV5">
        <v>127540000</v>
      </c>
      <c r="CW5">
        <v>104103</v>
      </c>
      <c r="CX5" t="s">
        <v>2924</v>
      </c>
      <c r="DA5" t="str">
        <f>_xll.BDS("FOXA US Equity","SUPPLY_CHAIN_CUSTOMERS_ALL_DATA","cols=12;rows=5")</f>
        <v>AXFO SS Equity</v>
      </c>
      <c r="DB5">
        <v>7.7048000000000005E-2</v>
      </c>
      <c r="DC5" t="s">
        <v>1940</v>
      </c>
      <c r="DD5">
        <v>1.127394</v>
      </c>
      <c r="DE5" t="s">
        <v>1788</v>
      </c>
      <c r="DF5">
        <v>2025</v>
      </c>
      <c r="DG5" t="s">
        <v>1839</v>
      </c>
      <c r="DH5" s="6">
        <v>46041</v>
      </c>
      <c r="DI5">
        <v>5</v>
      </c>
      <c r="DJ5">
        <v>2880692.81</v>
      </c>
      <c r="DK5">
        <v>221436</v>
      </c>
      <c r="DL5" t="s">
        <v>1840</v>
      </c>
      <c r="DQ5" t="str">
        <f>_xll.BDS("41018Q US Equity","SUPPLY_CHAIN_SUPPLIERS_ALL_DATA")</f>
        <v>#N/A N/A</v>
      </c>
      <c r="EE5" t="str">
        <f>_xll.BDS("41018Q US Equity","SUPPLY_CHAIN_CUSTOMERS_ALL_DATA")</f>
        <v>#N/A N/A</v>
      </c>
      <c r="EU5" t="str">
        <f>_xll.BDS("PACW US Equity","SUPPLY_CHAIN_SUPPLIERS_ALL_DATA")</f>
        <v>#N/A N/A</v>
      </c>
      <c r="FI5" t="str">
        <f>_xll.BDS("PACW US Equity","SUPPLY_CHAIN_CUSTOMERS_ALL_DATA","cols=12;rows=1")</f>
        <v>SNX US Equity</v>
      </c>
      <c r="FJ5">
        <v>-2.4245362661989844E-14</v>
      </c>
      <c r="FL5">
        <v>-2.4245362661989844E-14</v>
      </c>
      <c r="FM5" t="s">
        <v>1753</v>
      </c>
      <c r="FN5">
        <v>2021</v>
      </c>
      <c r="FO5" t="s">
        <v>2674</v>
      </c>
      <c r="FP5" s="6">
        <v>44656</v>
      </c>
      <c r="FQ5">
        <v>1</v>
      </c>
      <c r="FR5">
        <v>-2.4245362661989844E-14</v>
      </c>
      <c r="FS5">
        <v>1499717</v>
      </c>
      <c r="FT5" t="s">
        <v>1827</v>
      </c>
      <c r="FY5" t="str">
        <f>_xll.BDS("MRK US Equity","SUPPLY_CHAIN_SUPPLIERS_ALL_DATA","cols=12;rows=5")</f>
        <v>AZN LN Equity</v>
      </c>
      <c r="FZ5" t="s">
        <v>1752</v>
      </c>
      <c r="GA5">
        <v>1.1917120000000001</v>
      </c>
      <c r="GB5">
        <v>4.272983</v>
      </c>
      <c r="GC5" t="s">
        <v>1753</v>
      </c>
      <c r="GD5">
        <v>2025</v>
      </c>
      <c r="GE5" t="s">
        <v>2575</v>
      </c>
      <c r="GF5" s="6">
        <v>46077</v>
      </c>
      <c r="GG5">
        <v>5</v>
      </c>
      <c r="GH5">
        <v>175000000</v>
      </c>
      <c r="GI5">
        <v>111093</v>
      </c>
      <c r="GJ5" t="s">
        <v>2576</v>
      </c>
      <c r="GM5" t="str">
        <f>_xll.BDS("MRK US Equity","SUPPLY_CHAIN_CUSTOMERS_ALL_DATA","cols=12;rows=5")</f>
        <v>COR US Equity</v>
      </c>
      <c r="GN5">
        <v>9.6931790000000007</v>
      </c>
      <c r="GO5" t="s">
        <v>1752</v>
      </c>
      <c r="GP5">
        <v>2.073159</v>
      </c>
      <c r="GQ5" t="s">
        <v>1788</v>
      </c>
      <c r="GR5">
        <v>2025</v>
      </c>
      <c r="GS5" t="s">
        <v>2495</v>
      </c>
      <c r="GT5" s="6">
        <v>45985</v>
      </c>
      <c r="GU5">
        <v>5</v>
      </c>
      <c r="GV5">
        <v>1674593664</v>
      </c>
      <c r="GW5">
        <v>156969</v>
      </c>
      <c r="GX5" t="s">
        <v>2340</v>
      </c>
      <c r="HC5" t="str">
        <f>_xll.BDS("345605Q US Equity","SUPPLY_CHAIN_SUPPLIERS_ALL_DATA")</f>
        <v>#N/A N/A</v>
      </c>
      <c r="HQ5" t="str">
        <f>_xll.BDS("345605Q US Equity","SUPPLY_CHAIN_CUSTOMERS_ALL_DATA")</f>
        <v>#N/A N/A</v>
      </c>
      <c r="IG5" t="str">
        <f>_xll.BDS("PG US Equity","SUPPLY_CHAIN_SUPPLIERS_ALL_DATA","cols=12;rows=5")</f>
        <v>BABA US Equity</v>
      </c>
      <c r="IH5" t="s">
        <v>1940</v>
      </c>
      <c r="II5">
        <v>0.77906699999999995</v>
      </c>
      <c r="IJ5">
        <v>5.1980690000000003</v>
      </c>
      <c r="IK5" t="s">
        <v>1781</v>
      </c>
      <c r="IL5">
        <v>2026</v>
      </c>
      <c r="IM5" t="s">
        <v>3205</v>
      </c>
      <c r="IN5" s="6">
        <v>45973</v>
      </c>
      <c r="IO5">
        <v>5</v>
      </c>
      <c r="IP5">
        <v>266852521.37</v>
      </c>
      <c r="IQ5">
        <v>16857643</v>
      </c>
      <c r="IR5" t="s">
        <v>3206</v>
      </c>
      <c r="IU5" t="str">
        <f>_xll.BDS("PG US Equity","SUPPLY_CHAIN_CUSTOMERS_ALL_DATA","cols=12;rows=5")</f>
        <v>WMT US Equity</v>
      </c>
      <c r="IV5">
        <v>16</v>
      </c>
      <c r="IW5" t="s">
        <v>1752</v>
      </c>
      <c r="IX5">
        <v>2.6204399999999999</v>
      </c>
      <c r="IY5" t="s">
        <v>1753</v>
      </c>
      <c r="IZ5">
        <v>2025</v>
      </c>
      <c r="JA5" t="s">
        <v>4391</v>
      </c>
      <c r="JB5" s="6">
        <v>45873</v>
      </c>
      <c r="JC5">
        <v>5</v>
      </c>
      <c r="JD5">
        <v>3371360000</v>
      </c>
      <c r="JE5">
        <v>101616</v>
      </c>
      <c r="JF5" t="s">
        <v>2752</v>
      </c>
      <c r="JK5" t="str">
        <f>_xll.BDS("BANC US Equity","SUPPLY_CHAIN_SUPPLIERS_ALL_DATA","cols=12;rows=2")</f>
        <v>003490 KS Equity</v>
      </c>
      <c r="JM5">
        <v>-2.4245362661989844E-14</v>
      </c>
      <c r="JN5">
        <v>-2.4245362661989844E-14</v>
      </c>
      <c r="JO5" t="s">
        <v>1768</v>
      </c>
      <c r="JP5">
        <v>2024</v>
      </c>
      <c r="JQ5" t="s">
        <v>3974</v>
      </c>
      <c r="JR5" s="6">
        <v>45610</v>
      </c>
      <c r="JS5">
        <v>2</v>
      </c>
      <c r="JT5">
        <v>-2.4245362661989844E-14</v>
      </c>
      <c r="JU5">
        <v>129220</v>
      </c>
      <c r="JV5" t="s">
        <v>3371</v>
      </c>
      <c r="JY5" t="str">
        <f>_xll.BDS("BANC US Equity","SUPPLY_CHAIN_CUSTOMERS_ALL_DATA","cols=12;rows=1")</f>
        <v>SNX US Equity</v>
      </c>
      <c r="JZ5">
        <v>-2.4245362661989844E-14</v>
      </c>
      <c r="KB5">
        <v>-2.4245362661989844E-14</v>
      </c>
      <c r="KC5" t="s">
        <v>1753</v>
      </c>
      <c r="KD5">
        <v>2021</v>
      </c>
      <c r="KE5" t="s">
        <v>2674</v>
      </c>
      <c r="KF5" s="6">
        <v>44656</v>
      </c>
      <c r="KG5">
        <v>1</v>
      </c>
      <c r="KH5">
        <v>-2.4245362661989844E-14</v>
      </c>
      <c r="KI5">
        <v>1499717</v>
      </c>
      <c r="KJ5" t="s">
        <v>1827</v>
      </c>
      <c r="KO5" t="str">
        <f>_xll.BDS("UNIZ US Equity","SUPPLY_CHAIN_SUPPLIERS_ALL_DATA")</f>
        <v>#N/A N/A</v>
      </c>
      <c r="LC5" t="str">
        <f>_xll.BDS("UNIZ US Equity","SUPPLY_CHAIN_CUSTOMERS_ALL_DATA")</f>
        <v>#N/A N/A</v>
      </c>
      <c r="LS5" t="str">
        <f>_xll.BDS("9998522D US Equity","SUPPLY_CHAIN_SUPPLIERS_ALL_DATA")</f>
        <v>#N/A N/A</v>
      </c>
      <c r="MG5" t="str">
        <f>_xll.BDS("9998522D US Equity","SUPPLY_CHAIN_CUSTOMERS_ALL_DATA")</f>
        <v>#N/A N/A</v>
      </c>
      <c r="MW5" t="str">
        <f>_xll.BDS("68335Q US Equity","SUPPLY_CHAIN_SUPPLIERS_ALL_DATA")</f>
        <v>#N/A N/A</v>
      </c>
      <c r="NK5" t="str">
        <f>_xll.BDS("68335Q US Equity","SUPPLY_CHAIN_CUSTOMERS_ALL_DATA")</f>
        <v>#N/A N/A</v>
      </c>
      <c r="OA5" t="str">
        <f>_xll.BDS("HAS US Equity","SUPPLY_CHAIN_SUPPLIERS_ALL_DATA","cols=12;rows=5")</f>
        <v>PTC US Equity</v>
      </c>
      <c r="OB5" t="s">
        <v>1752</v>
      </c>
      <c r="OC5">
        <v>4.9049999999999996E-3</v>
      </c>
      <c r="OD5">
        <v>1.5263000000000001E-2</v>
      </c>
      <c r="OE5" t="s">
        <v>1774</v>
      </c>
      <c r="OF5">
        <v>2025</v>
      </c>
      <c r="OG5" t="s">
        <v>2956</v>
      </c>
      <c r="OH5" s="6">
        <v>45833</v>
      </c>
      <c r="OI5">
        <v>5</v>
      </c>
      <c r="OJ5">
        <v>31214</v>
      </c>
      <c r="OK5">
        <v>106173</v>
      </c>
      <c r="OL5" t="s">
        <v>2957</v>
      </c>
      <c r="OO5" t="str">
        <f>_xll.BDS("HAS US Equity","SUPPLY_CHAIN_CUSTOMERS_ALL_DATA","cols=12;rows=5")</f>
        <v>AMZN US Equity</v>
      </c>
      <c r="OP5">
        <v>11</v>
      </c>
      <c r="OQ5" t="s">
        <v>1752</v>
      </c>
      <c r="OR5">
        <v>0.145096</v>
      </c>
      <c r="OS5" t="s">
        <v>1753</v>
      </c>
      <c r="OT5">
        <v>2025</v>
      </c>
      <c r="OU5" t="s">
        <v>2793</v>
      </c>
      <c r="OV5" s="6">
        <v>46078</v>
      </c>
      <c r="OW5">
        <v>5</v>
      </c>
      <c r="OX5">
        <v>129285752</v>
      </c>
      <c r="OY5">
        <v>216952</v>
      </c>
      <c r="OZ5" t="s">
        <v>1899</v>
      </c>
      <c r="PE5" t="str">
        <f>_xll.BDS("2598Q US Equity","SUPPLY_CHAIN_SUPPLIERS_ALL_DATA")</f>
        <v>#N/A N/A</v>
      </c>
      <c r="PS5" t="str">
        <f>_xll.BDS("2598Q US Equity","SUPPLY_CHAIN_CUSTOMERS_ALL_DATA")</f>
        <v>#N/A N/A</v>
      </c>
      <c r="QI5" t="str">
        <f>_xll.BDS("AFG US Equity","SUPPLY_CHAIN_SUPPLIERS_ALL_DATA","cols=12;rows=1")</f>
        <v>INFA US Equity</v>
      </c>
      <c r="QK5">
        <v>-2.4245362661989844E-14</v>
      </c>
      <c r="QL5">
        <v>-2.4245362661989844E-14</v>
      </c>
      <c r="QM5" t="s">
        <v>1781</v>
      </c>
      <c r="QN5">
        <v>2025</v>
      </c>
      <c r="QO5" t="s">
        <v>2243</v>
      </c>
      <c r="QP5" s="6">
        <v>45784</v>
      </c>
      <c r="QQ5">
        <v>1</v>
      </c>
      <c r="QR5">
        <v>-2.4245362661989844E-14</v>
      </c>
      <c r="QS5">
        <v>69762655</v>
      </c>
      <c r="QT5" t="s">
        <v>2244</v>
      </c>
      <c r="QW5" t="str">
        <f>_xll.BDS("AFG US Equity","SUPPLY_CHAIN_CUSTOMERS_ALL_DATA")</f>
        <v>#N/A N/A</v>
      </c>
      <c r="RM5" t="str">
        <f>_xll.BDS("ZRAN US Equity","SUPPLY_CHAIN_SUPPLIERS_ALL_DATA")</f>
        <v>#N/A N/A</v>
      </c>
      <c r="SA5" t="str">
        <f>_xll.BDS("ZRAN US Equity","SUPPLY_CHAIN_CUSTOMERS_ALL_DATA")</f>
        <v>#N/A N/A</v>
      </c>
      <c r="SQ5" t="str">
        <f>_xll.BDS("PPBI US Equity","SUPPLY_CHAIN_SUPPLIERS_ALL_DATA","cols=12;rows=1")</f>
        <v>MUST SP Equity</v>
      </c>
      <c r="SS5">
        <v>-2.4245362661989844E-14</v>
      </c>
      <c r="ST5">
        <v>-2.4245362661989844E-14</v>
      </c>
      <c r="SU5" t="s">
        <v>1753</v>
      </c>
      <c r="SV5">
        <v>2024</v>
      </c>
      <c r="SW5" t="s">
        <v>3184</v>
      </c>
      <c r="SX5" s="6">
        <v>45762</v>
      </c>
      <c r="SY5">
        <v>1</v>
      </c>
      <c r="SZ5">
        <v>-2.4245362661989844E-14</v>
      </c>
      <c r="TA5">
        <v>46286147</v>
      </c>
      <c r="TB5" t="s">
        <v>3185</v>
      </c>
      <c r="TE5" t="str">
        <f>_xll.BDS("PPBI US Equity","SUPPLY_CHAIN_CUSTOMERS_ALL_DATA")</f>
        <v>#N/A N/A</v>
      </c>
      <c r="TU5" t="str">
        <f>_xll.BDS("WBA US Equity","SUPPLY_CHAIN_SUPPLIERS_ALL_DATA","cols=12;rows=5")</f>
        <v>COR US Equity</v>
      </c>
      <c r="TV5" t="s">
        <v>1752</v>
      </c>
      <c r="TW5">
        <v>26.14452</v>
      </c>
      <c r="TX5">
        <v>60.735835999999999</v>
      </c>
      <c r="TY5" t="s">
        <v>1788</v>
      </c>
      <c r="TZ5">
        <v>2025</v>
      </c>
      <c r="UA5" t="s">
        <v>3274</v>
      </c>
      <c r="UB5" s="6">
        <v>45834</v>
      </c>
      <c r="UC5">
        <v>5</v>
      </c>
      <c r="UD5">
        <v>19727000000</v>
      </c>
      <c r="UE5">
        <v>156969</v>
      </c>
      <c r="UF5" t="s">
        <v>2340</v>
      </c>
      <c r="UI5" t="str">
        <f>_xll.BDS("WBA US Equity","SUPPLY_CHAIN_CUSTOMERS_ALL_DATA","cols=12;rows=5")</f>
        <v>1920799D US Equity</v>
      </c>
      <c r="UJ5">
        <v>-2.4245362661989844E-14</v>
      </c>
      <c r="UL5">
        <v>-2.4245362661989844E-14</v>
      </c>
      <c r="UM5" t="s">
        <v>1753</v>
      </c>
      <c r="UN5">
        <v>2023</v>
      </c>
      <c r="UO5" t="s">
        <v>3757</v>
      </c>
      <c r="UP5" s="6">
        <v>45181</v>
      </c>
      <c r="UQ5">
        <v>5</v>
      </c>
      <c r="UR5">
        <v>-2.4245362661989844E-14</v>
      </c>
      <c r="US5">
        <v>69747064</v>
      </c>
      <c r="UT5" t="s">
        <v>3758</v>
      </c>
      <c r="UY5" t="str">
        <f>_xll.BDS("MSSN US Equity","SUPPLY_CHAIN_SUPPLIERS_ALL_DATA")</f>
        <v>#N/A N/A</v>
      </c>
      <c r="VM5" t="str">
        <f>_xll.BDS("MSSN US Equity","SUPPLY_CHAIN_CUSTOMERS_ALL_DATA")</f>
        <v>#N/A N/A</v>
      </c>
    </row>
    <row r="6" spans="1:600" x14ac:dyDescent="0.25">
      <c r="A6" t="s">
        <v>2215</v>
      </c>
      <c r="B6" t="s">
        <v>1752</v>
      </c>
      <c r="C6">
        <v>4.6829999999999997E-2</v>
      </c>
      <c r="D6">
        <v>0.76054999999999995</v>
      </c>
      <c r="E6" t="s">
        <v>1788</v>
      </c>
      <c r="F6">
        <v>2025</v>
      </c>
      <c r="G6" t="s">
        <v>2216</v>
      </c>
      <c r="H6" s="6">
        <v>45867</v>
      </c>
      <c r="I6">
        <v>5</v>
      </c>
      <c r="J6">
        <v>3665852</v>
      </c>
      <c r="K6">
        <v>117092</v>
      </c>
      <c r="L6" t="s">
        <v>2217</v>
      </c>
      <c r="O6" t="s">
        <v>4368</v>
      </c>
      <c r="P6">
        <v>0.110349</v>
      </c>
      <c r="Q6" t="s">
        <v>1752</v>
      </c>
      <c r="R6">
        <v>5.4117999999999999E-2</v>
      </c>
      <c r="S6" t="s">
        <v>1774</v>
      </c>
      <c r="T6">
        <v>2025</v>
      </c>
      <c r="U6" t="s">
        <v>4369</v>
      </c>
      <c r="V6" s="6">
        <v>45898</v>
      </c>
      <c r="W6">
        <v>5</v>
      </c>
      <c r="X6">
        <v>734924</v>
      </c>
      <c r="Y6">
        <v>18196193</v>
      </c>
      <c r="Z6" t="s">
        <v>4370</v>
      </c>
      <c r="AE6" t="s">
        <v>5012</v>
      </c>
      <c r="AF6" t="s">
        <v>1752</v>
      </c>
      <c r="AG6">
        <v>2.3834110000000002</v>
      </c>
      <c r="AH6">
        <v>0.89293299999999998</v>
      </c>
      <c r="AI6" t="s">
        <v>1788</v>
      </c>
      <c r="AJ6">
        <v>2025</v>
      </c>
      <c r="AK6" t="s">
        <v>5013</v>
      </c>
      <c r="AL6" s="6">
        <v>45960</v>
      </c>
      <c r="AM6">
        <v>5</v>
      </c>
      <c r="AN6">
        <v>154004096</v>
      </c>
      <c r="AO6">
        <v>35299353</v>
      </c>
      <c r="AP6" t="s">
        <v>5014</v>
      </c>
      <c r="AS6" t="s">
        <v>4145</v>
      </c>
      <c r="AT6">
        <v>-2.4245362661989844E-14</v>
      </c>
      <c r="AV6">
        <v>-2.4245362661989844E-14</v>
      </c>
      <c r="AW6" t="s">
        <v>1753</v>
      </c>
      <c r="AX6">
        <v>2025</v>
      </c>
      <c r="AY6" t="s">
        <v>4146</v>
      </c>
      <c r="AZ6" s="6">
        <v>45891</v>
      </c>
      <c r="BA6">
        <v>5</v>
      </c>
      <c r="BB6">
        <v>-2.4245362661989844E-14</v>
      </c>
      <c r="BC6">
        <v>962217</v>
      </c>
      <c r="BD6" t="s">
        <v>4147</v>
      </c>
      <c r="CM6" t="s">
        <v>3684</v>
      </c>
      <c r="CN6" t="s">
        <v>1752</v>
      </c>
      <c r="CO6">
        <v>5.7409999999999996E-3</v>
      </c>
      <c r="CP6">
        <v>1.6770000000000001E-3</v>
      </c>
      <c r="CQ6" t="s">
        <v>1825</v>
      </c>
      <c r="CR6">
        <v>2024</v>
      </c>
      <c r="CS6" t="s">
        <v>3685</v>
      </c>
      <c r="CT6" s="6">
        <v>45769</v>
      </c>
      <c r="CU6">
        <v>5</v>
      </c>
      <c r="CV6">
        <v>76585</v>
      </c>
      <c r="CW6">
        <v>107981</v>
      </c>
      <c r="CX6" t="s">
        <v>3686</v>
      </c>
      <c r="DA6" t="s">
        <v>3615</v>
      </c>
      <c r="DB6">
        <v>-2.4245362661989844E-14</v>
      </c>
      <c r="DD6">
        <v>-2.4245362661989844E-14</v>
      </c>
      <c r="DE6" t="s">
        <v>1753</v>
      </c>
      <c r="DF6">
        <v>2024</v>
      </c>
      <c r="DG6" t="s">
        <v>3616</v>
      </c>
      <c r="DH6" s="6">
        <v>45552</v>
      </c>
      <c r="DI6">
        <v>5</v>
      </c>
      <c r="DJ6">
        <v>-2.4245362661989844E-14</v>
      </c>
      <c r="DK6">
        <v>117750</v>
      </c>
      <c r="DL6" t="s">
        <v>3617</v>
      </c>
      <c r="FY6" t="s">
        <v>265</v>
      </c>
      <c r="FZ6" t="s">
        <v>1752</v>
      </c>
      <c r="GA6">
        <v>0.57338800000000001</v>
      </c>
      <c r="GB6">
        <v>3.5686900000000001</v>
      </c>
      <c r="GC6" t="s">
        <v>1788</v>
      </c>
      <c r="GD6">
        <v>2025</v>
      </c>
      <c r="GE6" t="s">
        <v>2577</v>
      </c>
      <c r="GF6" s="6">
        <v>46018</v>
      </c>
      <c r="GG6">
        <v>5</v>
      </c>
      <c r="GH6">
        <v>137572976</v>
      </c>
      <c r="GI6">
        <v>100828</v>
      </c>
      <c r="GJ6" t="s">
        <v>2578</v>
      </c>
      <c r="GM6" t="s">
        <v>2341</v>
      </c>
      <c r="GN6">
        <v>9.6462509999999995</v>
      </c>
      <c r="GO6" t="s">
        <v>1752</v>
      </c>
      <c r="GP6">
        <v>2.2510729999999999</v>
      </c>
      <c r="GQ6" t="s">
        <v>1788</v>
      </c>
      <c r="GR6">
        <v>2025</v>
      </c>
      <c r="GS6" t="s">
        <v>2495</v>
      </c>
      <c r="GT6" s="6">
        <v>45985</v>
      </c>
      <c r="GU6">
        <v>5</v>
      </c>
      <c r="GV6">
        <v>1666486272</v>
      </c>
      <c r="GW6">
        <v>154936</v>
      </c>
      <c r="GX6" t="s">
        <v>2342</v>
      </c>
      <c r="IG6" t="s">
        <v>4633</v>
      </c>
      <c r="IH6" t="s">
        <v>1752</v>
      </c>
      <c r="II6">
        <v>0.53945900000000002</v>
      </c>
      <c r="IJ6">
        <v>1.342249</v>
      </c>
      <c r="IK6" t="s">
        <v>1774</v>
      </c>
      <c r="IL6">
        <v>2025</v>
      </c>
      <c r="IM6" t="s">
        <v>4634</v>
      </c>
      <c r="IN6" s="6">
        <v>45896</v>
      </c>
      <c r="IO6">
        <v>5</v>
      </c>
      <c r="IP6">
        <v>144937335.84</v>
      </c>
      <c r="IQ6">
        <v>112571</v>
      </c>
      <c r="IR6" t="s">
        <v>4635</v>
      </c>
      <c r="IU6" t="s">
        <v>1079</v>
      </c>
      <c r="IV6">
        <v>7.5533060000000001</v>
      </c>
      <c r="IW6" t="s">
        <v>1752</v>
      </c>
      <c r="IX6">
        <v>1.96953</v>
      </c>
      <c r="IY6" t="s">
        <v>1825</v>
      </c>
      <c r="IZ6">
        <v>2025</v>
      </c>
      <c r="JA6" t="s">
        <v>3110</v>
      </c>
      <c r="JB6" s="6">
        <v>45883</v>
      </c>
      <c r="JC6">
        <v>5</v>
      </c>
      <c r="JD6">
        <v>1591557120</v>
      </c>
      <c r="JE6">
        <v>216952</v>
      </c>
      <c r="JF6" t="s">
        <v>1899</v>
      </c>
      <c r="JK6" t="s">
        <v>3183</v>
      </c>
      <c r="JM6">
        <v>-2.4245362661989844E-14</v>
      </c>
      <c r="JN6">
        <v>-2.4245362661989844E-14</v>
      </c>
      <c r="JO6" t="s">
        <v>1788</v>
      </c>
      <c r="JP6">
        <v>2025</v>
      </c>
      <c r="JQ6" t="s">
        <v>4639</v>
      </c>
      <c r="JR6" s="6">
        <v>45966</v>
      </c>
      <c r="JS6">
        <v>2</v>
      </c>
      <c r="JT6">
        <v>-2.4245362661989844E-14</v>
      </c>
      <c r="JU6">
        <v>46286147</v>
      </c>
      <c r="JV6" t="s">
        <v>3185</v>
      </c>
      <c r="OA6" t="s">
        <v>2958</v>
      </c>
      <c r="OC6">
        <v>-2.4245362661989844E-14</v>
      </c>
      <c r="OD6">
        <v>-2.4245362661989844E-14</v>
      </c>
      <c r="OE6" t="s">
        <v>1825</v>
      </c>
      <c r="OF6">
        <v>2025</v>
      </c>
      <c r="OG6" t="s">
        <v>2959</v>
      </c>
      <c r="OH6" s="6">
        <v>46063</v>
      </c>
      <c r="OI6">
        <v>5</v>
      </c>
      <c r="OJ6">
        <v>-2.4245362661989844E-14</v>
      </c>
      <c r="OK6">
        <v>33653779</v>
      </c>
      <c r="OL6" t="s">
        <v>2960</v>
      </c>
      <c r="OO6" t="s">
        <v>2750</v>
      </c>
      <c r="OP6">
        <v>9</v>
      </c>
      <c r="OQ6" t="s">
        <v>1752</v>
      </c>
      <c r="OR6">
        <v>7.9029000000000002E-2</v>
      </c>
      <c r="OS6" t="s">
        <v>1753</v>
      </c>
      <c r="OT6">
        <v>2025</v>
      </c>
      <c r="OU6" t="s">
        <v>2793</v>
      </c>
      <c r="OV6" s="6">
        <v>46078</v>
      </c>
      <c r="OW6">
        <v>5</v>
      </c>
      <c r="OX6">
        <v>105779248</v>
      </c>
      <c r="OY6">
        <v>101616</v>
      </c>
      <c r="OZ6" t="s">
        <v>2752</v>
      </c>
      <c r="TU6" t="s">
        <v>4005</v>
      </c>
      <c r="TV6" t="s">
        <v>1752</v>
      </c>
      <c r="TW6">
        <v>3.3874590000000002</v>
      </c>
      <c r="TX6">
        <v>1.301194</v>
      </c>
      <c r="TY6" t="s">
        <v>1788</v>
      </c>
      <c r="TZ6">
        <v>2025</v>
      </c>
      <c r="UA6" t="s">
        <v>4006</v>
      </c>
      <c r="UB6" s="6">
        <v>45981</v>
      </c>
      <c r="UC6">
        <v>5</v>
      </c>
      <c r="UD6">
        <v>444852322.47000003</v>
      </c>
      <c r="UE6">
        <v>115414</v>
      </c>
      <c r="UF6" t="s">
        <v>4007</v>
      </c>
      <c r="UI6" t="s">
        <v>3759</v>
      </c>
      <c r="UJ6">
        <v>-2.4245362661989844E-14</v>
      </c>
      <c r="UL6">
        <v>-2.4245362661989844E-14</v>
      </c>
      <c r="UM6" t="s">
        <v>1753</v>
      </c>
      <c r="UN6">
        <v>2021</v>
      </c>
      <c r="UO6" t="s">
        <v>3760</v>
      </c>
      <c r="UP6" s="6">
        <v>44679</v>
      </c>
      <c r="UQ6">
        <v>5</v>
      </c>
      <c r="UR6">
        <v>-2.4245362661989844E-14</v>
      </c>
      <c r="US6">
        <v>7267989</v>
      </c>
      <c r="UT6" t="s">
        <v>3761</v>
      </c>
    </row>
    <row r="7" spans="1:600" x14ac:dyDescent="0.25">
      <c r="A7" t="s">
        <v>5153</v>
      </c>
      <c r="B7" t="s">
        <v>1752</v>
      </c>
      <c r="C7">
        <v>9.7725999999999993E-2</v>
      </c>
      <c r="D7">
        <v>0.30792799999999998</v>
      </c>
      <c r="E7" t="s">
        <v>1788</v>
      </c>
      <c r="F7">
        <v>2024</v>
      </c>
      <c r="G7" t="s">
        <v>5154</v>
      </c>
      <c r="H7" s="6">
        <v>45698</v>
      </c>
      <c r="I7">
        <v>5</v>
      </c>
      <c r="J7">
        <v>1678401.7</v>
      </c>
      <c r="K7">
        <v>8727950</v>
      </c>
      <c r="L7" t="s">
        <v>5155</v>
      </c>
      <c r="O7" t="s">
        <v>1875</v>
      </c>
      <c r="P7">
        <v>8.8646000000000003E-2</v>
      </c>
      <c r="Q7" t="s">
        <v>1752</v>
      </c>
      <c r="R7">
        <v>9.0456999999999996E-2</v>
      </c>
      <c r="S7" t="s">
        <v>1788</v>
      </c>
      <c r="T7">
        <v>2025</v>
      </c>
      <c r="U7" t="s">
        <v>1876</v>
      </c>
      <c r="V7" s="6">
        <v>45840</v>
      </c>
      <c r="W7">
        <v>5</v>
      </c>
      <c r="X7">
        <v>546944</v>
      </c>
      <c r="Y7">
        <v>136424</v>
      </c>
      <c r="Z7" t="s">
        <v>1877</v>
      </c>
      <c r="AE7" t="s">
        <v>5015</v>
      </c>
      <c r="AF7" t="s">
        <v>1752</v>
      </c>
      <c r="AG7">
        <v>7.1872030000000002</v>
      </c>
      <c r="AH7">
        <v>0.88877499999999998</v>
      </c>
      <c r="AI7" t="s">
        <v>1774</v>
      </c>
      <c r="AJ7">
        <v>2025</v>
      </c>
      <c r="AK7" t="s">
        <v>5016</v>
      </c>
      <c r="AL7" s="6">
        <v>45867</v>
      </c>
      <c r="AM7">
        <v>5</v>
      </c>
      <c r="AN7">
        <v>142355136</v>
      </c>
      <c r="AO7">
        <v>26174706</v>
      </c>
      <c r="AP7" t="s">
        <v>5017</v>
      </c>
      <c r="AS7" t="s">
        <v>1982</v>
      </c>
      <c r="AT7">
        <v>-2.4245362661989844E-14</v>
      </c>
      <c r="AV7">
        <v>-2.4245362661989844E-14</v>
      </c>
      <c r="AW7" t="s">
        <v>1753</v>
      </c>
      <c r="AX7">
        <v>2025</v>
      </c>
      <c r="AY7" t="s">
        <v>4146</v>
      </c>
      <c r="AZ7" s="6">
        <v>45891</v>
      </c>
      <c r="BA7">
        <v>5</v>
      </c>
      <c r="BB7">
        <v>-2.4245362661989844E-14</v>
      </c>
      <c r="BC7">
        <v>962205</v>
      </c>
      <c r="BD7" t="s">
        <v>1984</v>
      </c>
      <c r="CM7" t="s">
        <v>3687</v>
      </c>
      <c r="CN7" t="s">
        <v>1828</v>
      </c>
      <c r="CO7">
        <v>4.3149E-2</v>
      </c>
      <c r="CP7">
        <v>8.0482999999999999E-2</v>
      </c>
      <c r="CQ7" t="s">
        <v>1774</v>
      </c>
      <c r="CR7">
        <v>2025</v>
      </c>
      <c r="CS7" t="s">
        <v>3688</v>
      </c>
      <c r="CT7" s="6">
        <v>45875</v>
      </c>
      <c r="CU7">
        <v>5</v>
      </c>
      <c r="CV7">
        <v>59557</v>
      </c>
      <c r="CW7">
        <v>171007</v>
      </c>
      <c r="CX7" t="s">
        <v>3689</v>
      </c>
      <c r="DA7" t="s">
        <v>1871</v>
      </c>
      <c r="DB7">
        <v>-2.4245362661989844E-14</v>
      </c>
      <c r="DD7">
        <v>-2.4245362661989844E-14</v>
      </c>
      <c r="DE7" t="s">
        <v>1753</v>
      </c>
      <c r="DF7">
        <v>2024</v>
      </c>
      <c r="DG7" t="s">
        <v>3616</v>
      </c>
      <c r="DH7" s="6">
        <v>45552</v>
      </c>
      <c r="DI7">
        <v>5</v>
      </c>
      <c r="DJ7">
        <v>-2.4245362661989844E-14</v>
      </c>
      <c r="DK7">
        <v>117929</v>
      </c>
      <c r="DL7" t="s">
        <v>1873</v>
      </c>
      <c r="FY7" t="s">
        <v>2498</v>
      </c>
      <c r="FZ7" t="s">
        <v>1752</v>
      </c>
      <c r="GA7">
        <v>6.0908949999999997</v>
      </c>
      <c r="GB7">
        <v>2.5669719999999998</v>
      </c>
      <c r="GC7" t="s">
        <v>1753</v>
      </c>
      <c r="GD7">
        <v>2024</v>
      </c>
      <c r="GE7" t="s">
        <v>2499</v>
      </c>
      <c r="GF7" s="6">
        <v>45713</v>
      </c>
      <c r="GG7">
        <v>5</v>
      </c>
      <c r="GH7">
        <v>97500000</v>
      </c>
      <c r="GI7">
        <v>69483676</v>
      </c>
      <c r="GJ7" t="s">
        <v>2500</v>
      </c>
      <c r="GM7" t="s">
        <v>1461</v>
      </c>
      <c r="GN7">
        <v>7.5766629999999999</v>
      </c>
      <c r="GO7" t="s">
        <v>1752</v>
      </c>
      <c r="GP7">
        <v>2.12181</v>
      </c>
      <c r="GQ7" t="s">
        <v>1788</v>
      </c>
      <c r="GR7">
        <v>2025</v>
      </c>
      <c r="GS7" t="s">
        <v>2495</v>
      </c>
      <c r="GT7" s="6">
        <v>45985</v>
      </c>
      <c r="GU7">
        <v>5</v>
      </c>
      <c r="GV7">
        <v>1308944256</v>
      </c>
      <c r="GW7">
        <v>102782</v>
      </c>
      <c r="GX7" t="s">
        <v>1991</v>
      </c>
      <c r="IG7" t="s">
        <v>226</v>
      </c>
      <c r="IH7" t="s">
        <v>1752</v>
      </c>
      <c r="II7">
        <v>0.13490199999999999</v>
      </c>
      <c r="IJ7">
        <v>0.92558200000000002</v>
      </c>
      <c r="IK7" t="s">
        <v>1788</v>
      </c>
      <c r="IL7">
        <v>2025</v>
      </c>
      <c r="IM7" t="s">
        <v>2491</v>
      </c>
      <c r="IN7" s="6">
        <v>45843</v>
      </c>
      <c r="IO7">
        <v>5</v>
      </c>
      <c r="IP7">
        <v>94520432</v>
      </c>
      <c r="IQ7">
        <v>101743</v>
      </c>
      <c r="IR7" t="s">
        <v>2156</v>
      </c>
      <c r="IU7" t="s">
        <v>2797</v>
      </c>
      <c r="IV7">
        <v>4.5519569999999998</v>
      </c>
      <c r="IW7" t="s">
        <v>1752</v>
      </c>
      <c r="IX7">
        <v>5.5998530000000004</v>
      </c>
      <c r="IY7" t="s">
        <v>1825</v>
      </c>
      <c r="IZ7">
        <v>2025</v>
      </c>
      <c r="JA7" t="s">
        <v>3110</v>
      </c>
      <c r="JB7" s="6">
        <v>45883</v>
      </c>
      <c r="JC7">
        <v>5</v>
      </c>
      <c r="JD7">
        <v>959142848</v>
      </c>
      <c r="JE7">
        <v>100436</v>
      </c>
      <c r="JF7" t="s">
        <v>2798</v>
      </c>
      <c r="OA7" t="s">
        <v>2961</v>
      </c>
      <c r="OC7">
        <v>-2.4245362661989844E-14</v>
      </c>
      <c r="OD7">
        <v>-2.4245362661989844E-14</v>
      </c>
      <c r="OE7" t="s">
        <v>1753</v>
      </c>
      <c r="OF7">
        <v>2023</v>
      </c>
      <c r="OG7" t="s">
        <v>2962</v>
      </c>
      <c r="OH7" s="6">
        <v>45351</v>
      </c>
      <c r="OI7">
        <v>5</v>
      </c>
      <c r="OJ7">
        <v>-2.4245362661989844E-14</v>
      </c>
      <c r="OK7">
        <v>101365</v>
      </c>
      <c r="OL7" t="s">
        <v>2963</v>
      </c>
      <c r="OO7" t="s">
        <v>2794</v>
      </c>
      <c r="OP7">
        <v>6.8586280000000004</v>
      </c>
      <c r="OQ7" t="s">
        <v>1752</v>
      </c>
      <c r="OR7">
        <v>0.13553899999999999</v>
      </c>
      <c r="OS7" t="s">
        <v>1825</v>
      </c>
      <c r="OT7">
        <v>2024</v>
      </c>
      <c r="OU7" t="s">
        <v>2795</v>
      </c>
      <c r="OV7" s="6">
        <v>45769</v>
      </c>
      <c r="OW7">
        <v>5</v>
      </c>
      <c r="OX7">
        <v>75554648</v>
      </c>
      <c r="OY7">
        <v>101758</v>
      </c>
      <c r="OZ7" t="s">
        <v>2796</v>
      </c>
      <c r="TU7" t="s">
        <v>1113</v>
      </c>
      <c r="TV7" t="s">
        <v>1752</v>
      </c>
      <c r="TW7">
        <v>1.269806</v>
      </c>
      <c r="TX7">
        <v>0.82377100000000003</v>
      </c>
      <c r="TY7" t="s">
        <v>1825</v>
      </c>
      <c r="TZ7">
        <v>2025</v>
      </c>
      <c r="UA7" t="s">
        <v>3110</v>
      </c>
      <c r="UB7" s="6">
        <v>45883</v>
      </c>
      <c r="UC7">
        <v>5</v>
      </c>
      <c r="UD7">
        <v>267560816</v>
      </c>
      <c r="UE7">
        <v>101215</v>
      </c>
      <c r="UF7" t="s">
        <v>3111</v>
      </c>
      <c r="UI7" t="s">
        <v>1545</v>
      </c>
      <c r="UJ7">
        <v>-2.4245362661989844E-14</v>
      </c>
      <c r="UL7">
        <v>-2.4245362661989844E-14</v>
      </c>
      <c r="UM7" t="s">
        <v>1788</v>
      </c>
      <c r="UN7">
        <v>2025</v>
      </c>
      <c r="UO7" t="s">
        <v>3274</v>
      </c>
      <c r="UP7" s="6">
        <v>45834</v>
      </c>
      <c r="UQ7">
        <v>5</v>
      </c>
      <c r="UR7">
        <v>-2.4245362661989844E-14</v>
      </c>
      <c r="US7">
        <v>156969</v>
      </c>
      <c r="UT7" t="s">
        <v>2340</v>
      </c>
    </row>
    <row r="8" spans="1:600" x14ac:dyDescent="0.25">
      <c r="A8" t="s">
        <v>2955</v>
      </c>
      <c r="B8" t="s">
        <v>1752</v>
      </c>
      <c r="C8">
        <v>5.2581000000000003E-2</v>
      </c>
      <c r="D8">
        <v>6.9420999999999997E-2</v>
      </c>
      <c r="E8" t="s">
        <v>1774</v>
      </c>
      <c r="F8">
        <v>2025</v>
      </c>
      <c r="G8" t="s">
        <v>2956</v>
      </c>
      <c r="H8" s="6">
        <v>45833</v>
      </c>
      <c r="I8">
        <v>5</v>
      </c>
      <c r="J8">
        <v>334608</v>
      </c>
      <c r="K8">
        <v>106173</v>
      </c>
      <c r="L8" t="s">
        <v>2957</v>
      </c>
      <c r="O8" t="s">
        <v>1954</v>
      </c>
      <c r="P8">
        <v>5.5046999999999999E-2</v>
      </c>
      <c r="Q8" t="s">
        <v>1752</v>
      </c>
      <c r="R8">
        <v>8.3309999999999999E-3</v>
      </c>
      <c r="S8" t="s">
        <v>1781</v>
      </c>
      <c r="T8">
        <v>2025</v>
      </c>
      <c r="U8" t="s">
        <v>1955</v>
      </c>
      <c r="V8" s="6">
        <v>45820</v>
      </c>
      <c r="W8">
        <v>5</v>
      </c>
      <c r="X8">
        <v>339638</v>
      </c>
      <c r="Y8">
        <v>12129192</v>
      </c>
      <c r="Z8" t="s">
        <v>1956</v>
      </c>
      <c r="AE8" t="s">
        <v>5018</v>
      </c>
      <c r="AF8" t="s">
        <v>1752</v>
      </c>
      <c r="AG8">
        <v>2.6906409999999998</v>
      </c>
      <c r="AH8">
        <v>0.59391099999999997</v>
      </c>
      <c r="AI8" t="s">
        <v>1774</v>
      </c>
      <c r="AJ8">
        <v>2025</v>
      </c>
      <c r="AK8" t="s">
        <v>5019</v>
      </c>
      <c r="AL8" s="6">
        <v>45923</v>
      </c>
      <c r="AM8">
        <v>5</v>
      </c>
      <c r="AN8">
        <v>101867664</v>
      </c>
      <c r="AO8">
        <v>106780</v>
      </c>
      <c r="AP8" t="s">
        <v>5020</v>
      </c>
      <c r="AS8" t="s">
        <v>4148</v>
      </c>
      <c r="AT8">
        <v>-2.4245362661989844E-14</v>
      </c>
      <c r="AV8">
        <v>-2.4245362661989844E-14</v>
      </c>
      <c r="AW8" t="s">
        <v>1774</v>
      </c>
      <c r="AX8">
        <v>2025</v>
      </c>
      <c r="AY8" t="s">
        <v>4149</v>
      </c>
      <c r="AZ8" s="6">
        <v>45852</v>
      </c>
      <c r="BA8">
        <v>5</v>
      </c>
      <c r="BB8">
        <v>-2.4245362661989844E-14</v>
      </c>
      <c r="BC8">
        <v>65260637</v>
      </c>
      <c r="BD8" t="s">
        <v>4150</v>
      </c>
      <c r="CM8" t="s">
        <v>3690</v>
      </c>
      <c r="CO8">
        <v>-2.4245362661989844E-14</v>
      </c>
      <c r="CP8">
        <v>-2.4245362661989844E-14</v>
      </c>
      <c r="CQ8" t="s">
        <v>1761</v>
      </c>
      <c r="CR8">
        <v>2022</v>
      </c>
      <c r="CS8" t="s">
        <v>3691</v>
      </c>
      <c r="CT8" s="6">
        <v>44789</v>
      </c>
      <c r="CU8">
        <v>5</v>
      </c>
      <c r="CV8">
        <v>-2.4245362661989844E-14</v>
      </c>
      <c r="CW8">
        <v>7729200</v>
      </c>
      <c r="CX8" t="s">
        <v>3692</v>
      </c>
      <c r="DA8" t="s">
        <v>3618</v>
      </c>
      <c r="DB8">
        <v>-2.4245362661989844E-14</v>
      </c>
      <c r="DD8">
        <v>-2.4245362661989844E-14</v>
      </c>
      <c r="DE8" t="s">
        <v>1753</v>
      </c>
      <c r="DF8">
        <v>2024</v>
      </c>
      <c r="DG8" t="s">
        <v>3616</v>
      </c>
      <c r="DH8" s="6">
        <v>45552</v>
      </c>
      <c r="DI8">
        <v>5</v>
      </c>
      <c r="DJ8">
        <v>-2.4245362661989844E-14</v>
      </c>
      <c r="DK8">
        <v>32313626</v>
      </c>
      <c r="DL8" t="s">
        <v>3619</v>
      </c>
      <c r="FY8" t="s">
        <v>2579</v>
      </c>
      <c r="FZ8" t="s">
        <v>2407</v>
      </c>
      <c r="GA8">
        <v>-2.4245362661989844E-14</v>
      </c>
      <c r="GB8">
        <v>1.9000570000000001</v>
      </c>
      <c r="GC8" t="s">
        <v>1753</v>
      </c>
      <c r="GD8">
        <v>2025</v>
      </c>
      <c r="GE8" t="s">
        <v>2575</v>
      </c>
      <c r="GF8" s="6">
        <v>46077</v>
      </c>
      <c r="GG8">
        <v>5</v>
      </c>
      <c r="GH8">
        <v>75000000</v>
      </c>
      <c r="GI8">
        <v>71999429</v>
      </c>
      <c r="GJ8" t="s">
        <v>2580</v>
      </c>
      <c r="GM8" t="s">
        <v>1457</v>
      </c>
      <c r="GN8">
        <v>0.787219</v>
      </c>
      <c r="GO8" t="s">
        <v>1752</v>
      </c>
      <c r="GP8">
        <v>3.9592429999999998</v>
      </c>
      <c r="GQ8" t="s">
        <v>1788</v>
      </c>
      <c r="GR8">
        <v>2025</v>
      </c>
      <c r="GS8" t="s">
        <v>2496</v>
      </c>
      <c r="GT8" s="6">
        <v>45966</v>
      </c>
      <c r="GU8">
        <v>5</v>
      </c>
      <c r="GV8">
        <v>136000000</v>
      </c>
      <c r="GW8">
        <v>100225</v>
      </c>
      <c r="GX8" t="s">
        <v>2497</v>
      </c>
      <c r="IG8" t="s">
        <v>4922</v>
      </c>
      <c r="IH8" t="s">
        <v>1752</v>
      </c>
      <c r="II8">
        <v>3.8767209999999999</v>
      </c>
      <c r="IJ8">
        <v>0.83925799999999995</v>
      </c>
      <c r="IK8" t="s">
        <v>1774</v>
      </c>
      <c r="IL8">
        <v>2025</v>
      </c>
      <c r="IM8" t="s">
        <v>4923</v>
      </c>
      <c r="IN8" s="6">
        <v>45890</v>
      </c>
      <c r="IO8">
        <v>5</v>
      </c>
      <c r="IP8">
        <v>90623891.780000001</v>
      </c>
      <c r="IQ8">
        <v>1197437</v>
      </c>
      <c r="IR8" t="s">
        <v>4924</v>
      </c>
      <c r="IU8" t="s">
        <v>1900</v>
      </c>
      <c r="IV8">
        <v>3.3501690000000002</v>
      </c>
      <c r="IW8" t="s">
        <v>1752</v>
      </c>
      <c r="IX8">
        <v>0.82735300000000001</v>
      </c>
      <c r="IY8" t="s">
        <v>1825</v>
      </c>
      <c r="IZ8">
        <v>2025</v>
      </c>
      <c r="JA8" t="s">
        <v>3110</v>
      </c>
      <c r="JB8" s="6">
        <v>45883</v>
      </c>
      <c r="JC8">
        <v>5</v>
      </c>
      <c r="JD8">
        <v>705914112</v>
      </c>
      <c r="JE8">
        <v>100976</v>
      </c>
      <c r="JF8" t="s">
        <v>1901</v>
      </c>
      <c r="OA8" t="s">
        <v>2964</v>
      </c>
      <c r="OC8">
        <v>-2.4245362661989844E-14</v>
      </c>
      <c r="OD8">
        <v>-2.4245362661989844E-14</v>
      </c>
      <c r="OE8" t="s">
        <v>1788</v>
      </c>
      <c r="OF8">
        <v>2025</v>
      </c>
      <c r="OG8" t="s">
        <v>2965</v>
      </c>
      <c r="OH8" s="6">
        <v>45953</v>
      </c>
      <c r="OI8">
        <v>5</v>
      </c>
      <c r="OJ8">
        <v>-2.4245362661989844E-14</v>
      </c>
      <c r="OK8">
        <v>10855208</v>
      </c>
      <c r="OL8" t="s">
        <v>2966</v>
      </c>
      <c r="OO8" t="s">
        <v>2797</v>
      </c>
      <c r="OP8">
        <v>2.7345320000000002</v>
      </c>
      <c r="OQ8" t="s">
        <v>1752</v>
      </c>
      <c r="OR8">
        <v>0.132109</v>
      </c>
      <c r="OS8" t="s">
        <v>1825</v>
      </c>
      <c r="OT8">
        <v>2024</v>
      </c>
      <c r="OU8" t="s">
        <v>2795</v>
      </c>
      <c r="OV8" s="6">
        <v>45769</v>
      </c>
      <c r="OW8">
        <v>5</v>
      </c>
      <c r="OX8">
        <v>30123604</v>
      </c>
      <c r="OY8">
        <v>100436</v>
      </c>
      <c r="OZ8" t="s">
        <v>2798</v>
      </c>
      <c r="TU8" t="s">
        <v>4008</v>
      </c>
      <c r="TV8" t="s">
        <v>1752</v>
      </c>
      <c r="TW8">
        <v>8.0896969999999992</v>
      </c>
      <c r="TX8">
        <v>0.79452400000000001</v>
      </c>
      <c r="TY8" t="s">
        <v>1825</v>
      </c>
      <c r="TZ8">
        <v>2025</v>
      </c>
      <c r="UA8" t="s">
        <v>4009</v>
      </c>
      <c r="UB8" s="6">
        <v>46077</v>
      </c>
      <c r="UC8">
        <v>5</v>
      </c>
      <c r="UD8">
        <v>258061328</v>
      </c>
      <c r="UE8">
        <v>107741</v>
      </c>
      <c r="UF8" t="s">
        <v>4010</v>
      </c>
      <c r="UI8" t="s">
        <v>3762</v>
      </c>
      <c r="UJ8">
        <v>-2.4245362661989844E-14</v>
      </c>
      <c r="UL8">
        <v>-2.4245362661989844E-14</v>
      </c>
      <c r="UM8" t="s">
        <v>1774</v>
      </c>
      <c r="UN8">
        <v>2023</v>
      </c>
      <c r="UO8" t="s">
        <v>3763</v>
      </c>
      <c r="UP8" s="6">
        <v>45078</v>
      </c>
      <c r="UQ8">
        <v>5</v>
      </c>
      <c r="UR8">
        <v>-2.4245362661989844E-14</v>
      </c>
      <c r="US8">
        <v>25285671</v>
      </c>
      <c r="UT8" t="s">
        <v>3764</v>
      </c>
    </row>
    <row r="9" spans="1:600" x14ac:dyDescent="0.25">
      <c r="A9" t="s">
        <v>1612</v>
      </c>
      <c r="B9" t="s">
        <v>1752</v>
      </c>
      <c r="C9">
        <v>3.6396999999999999E-2</v>
      </c>
      <c r="D9">
        <v>6.1549999999999999E-3</v>
      </c>
      <c r="E9" t="s">
        <v>1825</v>
      </c>
      <c r="F9">
        <v>2024</v>
      </c>
      <c r="G9" t="s">
        <v>3163</v>
      </c>
      <c r="H9" s="6">
        <v>45688</v>
      </c>
      <c r="I9">
        <v>5</v>
      </c>
      <c r="J9">
        <v>33546</v>
      </c>
      <c r="K9">
        <v>17463341</v>
      </c>
      <c r="L9" t="s">
        <v>5156</v>
      </c>
      <c r="O9" t="s">
        <v>1960</v>
      </c>
      <c r="P9">
        <v>2.4209000000000001E-2</v>
      </c>
      <c r="Q9" t="s">
        <v>1752</v>
      </c>
      <c r="R9">
        <v>2.9028999999999999E-2</v>
      </c>
      <c r="S9" t="s">
        <v>1788</v>
      </c>
      <c r="T9">
        <v>2025</v>
      </c>
      <c r="U9" t="s">
        <v>2724</v>
      </c>
      <c r="V9" s="6">
        <v>46034</v>
      </c>
      <c r="W9">
        <v>5</v>
      </c>
      <c r="X9">
        <v>165588</v>
      </c>
      <c r="Y9">
        <v>313021</v>
      </c>
      <c r="Z9" t="s">
        <v>1962</v>
      </c>
      <c r="AE9" t="s">
        <v>5021</v>
      </c>
      <c r="AF9" t="s">
        <v>1752</v>
      </c>
      <c r="AG9">
        <v>1.5057400000000001</v>
      </c>
      <c r="AH9">
        <v>0.59391099999999997</v>
      </c>
      <c r="AI9" t="s">
        <v>1774</v>
      </c>
      <c r="AJ9">
        <v>2026</v>
      </c>
      <c r="AK9" t="s">
        <v>5022</v>
      </c>
      <c r="AL9" s="6">
        <v>46081</v>
      </c>
      <c r="AM9">
        <v>5</v>
      </c>
      <c r="AN9">
        <v>100786696</v>
      </c>
      <c r="AO9">
        <v>31670564</v>
      </c>
      <c r="AP9" t="s">
        <v>5023</v>
      </c>
      <c r="AS9" t="s">
        <v>1791</v>
      </c>
      <c r="AT9">
        <v>-2.4245362661989844E-14</v>
      </c>
      <c r="AV9">
        <v>-2.4245362661989844E-14</v>
      </c>
      <c r="AW9" t="s">
        <v>1753</v>
      </c>
      <c r="AX9">
        <v>2025</v>
      </c>
      <c r="AY9" t="s">
        <v>4146</v>
      </c>
      <c r="AZ9" s="6">
        <v>45891</v>
      </c>
      <c r="BA9">
        <v>5</v>
      </c>
      <c r="BB9">
        <v>-2.4245362661989844E-14</v>
      </c>
      <c r="BC9">
        <v>218252</v>
      </c>
      <c r="BD9" t="s">
        <v>1793</v>
      </c>
      <c r="CM9" t="s">
        <v>3693</v>
      </c>
      <c r="CO9">
        <v>-2.4245362661989844E-14</v>
      </c>
      <c r="CP9">
        <v>-2.4245362661989844E-14</v>
      </c>
      <c r="CQ9" t="s">
        <v>1753</v>
      </c>
      <c r="CR9">
        <v>2025</v>
      </c>
      <c r="CS9" t="s">
        <v>3694</v>
      </c>
      <c r="CT9" s="6">
        <v>45875</v>
      </c>
      <c r="CU9">
        <v>5</v>
      </c>
      <c r="CV9">
        <v>-2.4245362661989844E-14</v>
      </c>
      <c r="CW9">
        <v>395805</v>
      </c>
      <c r="CX9" t="s">
        <v>3695</v>
      </c>
      <c r="DA9" t="s">
        <v>3620</v>
      </c>
      <c r="DB9">
        <v>-2.4245362661989844E-14</v>
      </c>
      <c r="DD9">
        <v>-2.4245362661989844E-14</v>
      </c>
      <c r="DE9" t="s">
        <v>1753</v>
      </c>
      <c r="DF9">
        <v>2023</v>
      </c>
      <c r="DG9" t="s">
        <v>3621</v>
      </c>
      <c r="DH9" s="6">
        <v>45259</v>
      </c>
      <c r="DI9">
        <v>5</v>
      </c>
      <c r="DJ9">
        <v>-2.4245362661989844E-14</v>
      </c>
      <c r="DK9">
        <v>34781421</v>
      </c>
      <c r="DL9" t="s">
        <v>3622</v>
      </c>
      <c r="FY9" t="s">
        <v>2581</v>
      </c>
      <c r="FZ9" t="s">
        <v>1940</v>
      </c>
      <c r="GA9">
        <v>1.6404799999999999</v>
      </c>
      <c r="GB9">
        <v>2.2485889999999999</v>
      </c>
      <c r="GC9" t="s">
        <v>1825</v>
      </c>
      <c r="GD9">
        <v>2025</v>
      </c>
      <c r="GE9" t="s">
        <v>2582</v>
      </c>
      <c r="GF9" s="6">
        <v>45796</v>
      </c>
      <c r="GG9">
        <v>5</v>
      </c>
      <c r="GH9">
        <v>57397160.810000002</v>
      </c>
      <c r="GI9">
        <v>995671</v>
      </c>
      <c r="GJ9" t="s">
        <v>2583</v>
      </c>
      <c r="GM9" t="s">
        <v>2498</v>
      </c>
      <c r="GN9">
        <v>0.61089599999999999</v>
      </c>
      <c r="GO9" t="s">
        <v>1752</v>
      </c>
      <c r="GP9">
        <v>14.583333</v>
      </c>
      <c r="GQ9" t="s">
        <v>1753</v>
      </c>
      <c r="GR9">
        <v>2024</v>
      </c>
      <c r="GS9" t="s">
        <v>2499</v>
      </c>
      <c r="GT9" s="6">
        <v>45713</v>
      </c>
      <c r="GU9">
        <v>5</v>
      </c>
      <c r="GV9">
        <v>98000000</v>
      </c>
      <c r="GW9">
        <v>69483676</v>
      </c>
      <c r="GX9" t="s">
        <v>2500</v>
      </c>
      <c r="IG9" t="s">
        <v>2950</v>
      </c>
      <c r="IH9" t="s">
        <v>1752</v>
      </c>
      <c r="II9">
        <v>1.6510830000000001</v>
      </c>
      <c r="IJ9">
        <v>0.55792699999999995</v>
      </c>
      <c r="IK9" t="s">
        <v>1825</v>
      </c>
      <c r="IL9">
        <v>2025</v>
      </c>
      <c r="IM9" t="s">
        <v>2951</v>
      </c>
      <c r="IN9" s="6">
        <v>46072</v>
      </c>
      <c r="IO9">
        <v>5</v>
      </c>
      <c r="IP9">
        <v>61510583.75</v>
      </c>
      <c r="IQ9">
        <v>70579391</v>
      </c>
      <c r="IR9" t="s">
        <v>2952</v>
      </c>
      <c r="IU9" t="s">
        <v>991</v>
      </c>
      <c r="IV9">
        <v>2.936461</v>
      </c>
      <c r="IW9" t="s">
        <v>1752</v>
      </c>
      <c r="IX9">
        <v>1.790807</v>
      </c>
      <c r="IY9" t="s">
        <v>1825</v>
      </c>
      <c r="IZ9">
        <v>2025</v>
      </c>
      <c r="JA9" t="s">
        <v>3110</v>
      </c>
      <c r="JB9" s="6">
        <v>45883</v>
      </c>
      <c r="JC9">
        <v>5</v>
      </c>
      <c r="JD9">
        <v>618741696</v>
      </c>
      <c r="JE9">
        <v>100864</v>
      </c>
      <c r="JF9" t="s">
        <v>2331</v>
      </c>
      <c r="OA9" t="s">
        <v>2967</v>
      </c>
      <c r="OC9">
        <v>-2.4245362661989844E-14</v>
      </c>
      <c r="OD9">
        <v>-2.4245362661989844E-14</v>
      </c>
      <c r="OE9" t="s">
        <v>1753</v>
      </c>
      <c r="OF9">
        <v>2025</v>
      </c>
      <c r="OG9" t="s">
        <v>2968</v>
      </c>
      <c r="OH9" s="6">
        <v>45833</v>
      </c>
      <c r="OI9">
        <v>5</v>
      </c>
      <c r="OJ9">
        <v>-2.4245362661989844E-14</v>
      </c>
      <c r="OK9">
        <v>223452</v>
      </c>
      <c r="OL9" t="s">
        <v>2969</v>
      </c>
      <c r="OO9" t="s">
        <v>2799</v>
      </c>
      <c r="OP9">
        <v>2.5512760000000001</v>
      </c>
      <c r="OQ9" t="s">
        <v>1752</v>
      </c>
      <c r="OR9">
        <v>0.13553899999999999</v>
      </c>
      <c r="OS9" t="s">
        <v>1825</v>
      </c>
      <c r="OT9">
        <v>2024</v>
      </c>
      <c r="OU9" t="s">
        <v>2795</v>
      </c>
      <c r="OV9" s="6">
        <v>45769</v>
      </c>
      <c r="OW9">
        <v>5</v>
      </c>
      <c r="OX9">
        <v>28104856</v>
      </c>
      <c r="OY9">
        <v>112370</v>
      </c>
      <c r="OZ9" t="s">
        <v>2800</v>
      </c>
      <c r="TU9" t="s">
        <v>4011</v>
      </c>
      <c r="TV9" t="s">
        <v>1752</v>
      </c>
      <c r="TW9">
        <v>0.94841799999999998</v>
      </c>
      <c r="TX9">
        <v>0.49248599999999998</v>
      </c>
      <c r="TY9" t="s">
        <v>1788</v>
      </c>
      <c r="TZ9">
        <v>2025</v>
      </c>
      <c r="UA9" t="s">
        <v>4012</v>
      </c>
      <c r="UB9" s="6">
        <v>46007</v>
      </c>
      <c r="UC9">
        <v>5</v>
      </c>
      <c r="UD9">
        <v>168371187.05000001</v>
      </c>
      <c r="UE9">
        <v>101534</v>
      </c>
      <c r="UF9" t="s">
        <v>4013</v>
      </c>
      <c r="UI9" t="s">
        <v>3765</v>
      </c>
      <c r="UJ9">
        <v>-2.4245362661989844E-14</v>
      </c>
      <c r="UL9">
        <v>-2.4245362661989844E-14</v>
      </c>
      <c r="UM9" t="s">
        <v>1753</v>
      </c>
      <c r="UN9">
        <v>2024</v>
      </c>
      <c r="UO9" t="s">
        <v>3766</v>
      </c>
      <c r="UP9" s="6">
        <v>45763</v>
      </c>
      <c r="UQ9">
        <v>5</v>
      </c>
      <c r="UR9">
        <v>-2.4245362661989844E-14</v>
      </c>
      <c r="US9">
        <v>169806</v>
      </c>
      <c r="UT9" t="s">
        <v>3767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1124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1125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1126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1127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1128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1129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1130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1131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1132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1133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1134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1135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1136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1137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1138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1139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1140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1141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1142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1143</v>
      </c>
      <c r="AE2" s="3" t="s">
        <v>1144</v>
      </c>
      <c r="BI2" s="3" t="s">
        <v>301</v>
      </c>
      <c r="CM2" s="3" t="s">
        <v>1145</v>
      </c>
      <c r="DQ2" s="3" t="s">
        <v>499</v>
      </c>
      <c r="EU2" s="3" t="s">
        <v>1146</v>
      </c>
      <c r="FY2" s="3" t="s">
        <v>1147</v>
      </c>
      <c r="HC2" s="3" t="s">
        <v>1148</v>
      </c>
      <c r="IG2" s="3" t="s">
        <v>1149</v>
      </c>
      <c r="JK2" s="3" t="s">
        <v>1150</v>
      </c>
      <c r="KO2" s="3" t="s">
        <v>1151</v>
      </c>
      <c r="LS2" s="3" t="s">
        <v>1152</v>
      </c>
      <c r="MW2" s="3" t="s">
        <v>1153</v>
      </c>
      <c r="OA2" s="3" t="s">
        <v>260</v>
      </c>
      <c r="PE2" s="3" t="s">
        <v>37</v>
      </c>
      <c r="QI2" s="3" t="s">
        <v>1154</v>
      </c>
      <c r="RM2" s="3" t="s">
        <v>1155</v>
      </c>
      <c r="SQ2" s="3" t="s">
        <v>820</v>
      </c>
      <c r="TU2" s="3" t="s">
        <v>1156</v>
      </c>
      <c r="UY2" s="3" t="s">
        <v>1157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_xll.BDS("EIG US Equity","SUPPLY_CHAIN_SUPPLIERS_ALL_DATA")</f>
        <v>#N/A N/A</v>
      </c>
      <c r="O5" t="str">
        <f>_xll.BDS("EIG US Equity","SUPPLY_CHAIN_CUSTOMERS_ALL_DATA")</f>
        <v>#N/A N/A</v>
      </c>
      <c r="AE5" t="str">
        <f>_xll.BDS("VZ US Equity","SUPPLY_CHAIN_SUPPLIERS_ALL_DATA","cols=12;rows=5")</f>
        <v>AAPL US Equity</v>
      </c>
      <c r="AF5" t="s">
        <v>1752</v>
      </c>
      <c r="AG5">
        <v>2.0425080000000002</v>
      </c>
      <c r="AH5">
        <v>14.027474</v>
      </c>
      <c r="AI5" t="s">
        <v>1774</v>
      </c>
      <c r="AJ5">
        <v>2025</v>
      </c>
      <c r="AK5" t="s">
        <v>3010</v>
      </c>
      <c r="AL5" s="6">
        <v>45862</v>
      </c>
      <c r="AM5">
        <v>5</v>
      </c>
      <c r="AN5">
        <v>1947714816</v>
      </c>
      <c r="AO5">
        <v>101695</v>
      </c>
      <c r="AP5" t="s">
        <v>3011</v>
      </c>
      <c r="AS5" t="str">
        <f>_xll.BDS("VZ US Equity","SUPPLY_CHAIN_CUSTOMERS_ALL_DATA","cols=12;rows=5")</f>
        <v>SNX US Equity</v>
      </c>
      <c r="AT5">
        <v>0.47808400000000001</v>
      </c>
      <c r="AU5" t="s">
        <v>1752</v>
      </c>
      <c r="AV5">
        <v>1.074689</v>
      </c>
      <c r="AW5" t="s">
        <v>1825</v>
      </c>
      <c r="AX5">
        <v>2025</v>
      </c>
      <c r="AY5" t="s">
        <v>1826</v>
      </c>
      <c r="AZ5" s="6">
        <v>46056</v>
      </c>
      <c r="BA5">
        <v>5</v>
      </c>
      <c r="BB5">
        <v>173931856</v>
      </c>
      <c r="BC5">
        <v>1499717</v>
      </c>
      <c r="BD5" t="s">
        <v>1827</v>
      </c>
      <c r="BI5" t="str">
        <f>_xll.BDS("VLY US Equity","SUPPLY_CHAIN_SUPPLIERS_ALL_DATA","cols=12;rows=2")</f>
        <v>VNO US Equity</v>
      </c>
      <c r="BK5">
        <v>-2.4245362661989844E-14</v>
      </c>
      <c r="BL5">
        <v>-2.4245362661989844E-14</v>
      </c>
      <c r="BM5" t="s">
        <v>1753</v>
      </c>
      <c r="BN5">
        <v>2022</v>
      </c>
      <c r="BO5" t="s">
        <v>2470</v>
      </c>
      <c r="BP5" s="6">
        <v>44970</v>
      </c>
      <c r="BQ5">
        <v>2</v>
      </c>
      <c r="BR5">
        <v>-2.4245362661989844E-14</v>
      </c>
      <c r="BS5">
        <v>101608</v>
      </c>
      <c r="BT5" t="s">
        <v>2471</v>
      </c>
      <c r="BW5" t="str">
        <f>_xll.BDS("VLY US Equity","SUPPLY_CHAIN_CUSTOMERS_ALL_DATA")</f>
        <v>#N/A N/A</v>
      </c>
      <c r="CM5" t="str">
        <f>_xll.BDS("DRYS US Equity","SUPPLY_CHAIN_SUPPLIERS_ALL_DATA")</f>
        <v>#N/A N/A</v>
      </c>
      <c r="DA5" t="str">
        <f>_xll.BDS("DRYS US Equity","SUPPLY_CHAIN_CUSTOMERS_ALL_DATA")</f>
        <v>#N/A N/A</v>
      </c>
      <c r="DQ5" t="str">
        <f>_xll.BDS("HU US Equity","SUPPLY_CHAIN_SUPPLIERS_ALL_DATA")</f>
        <v>#N/A N/A</v>
      </c>
      <c r="EE5" t="str">
        <f>_xll.BDS("HU US Equity","SUPPLY_CHAIN_CUSTOMERS_ALL_DATA")</f>
        <v>#N/A N/A</v>
      </c>
      <c r="EU5" t="str">
        <f>_xll.BDS("ANGO US Equity","SUPPLY_CHAIN_SUPPLIERS_ALL_DATA","cols=12;rows=4")</f>
        <v>NG/ LN Equity</v>
      </c>
      <c r="EW5">
        <v>-2.4245362661989844E-14</v>
      </c>
      <c r="EX5">
        <v>-2.4245362661989844E-14</v>
      </c>
      <c r="EY5" t="s">
        <v>1753</v>
      </c>
      <c r="EZ5">
        <v>2021</v>
      </c>
      <c r="FA5" t="s">
        <v>2317</v>
      </c>
      <c r="FB5" s="6">
        <v>44693</v>
      </c>
      <c r="FC5">
        <v>4</v>
      </c>
      <c r="FD5">
        <v>-2.4245362661989844E-14</v>
      </c>
      <c r="FE5">
        <v>179563</v>
      </c>
      <c r="FF5" t="s">
        <v>2318</v>
      </c>
      <c r="FI5" t="str">
        <f>_xll.BDS("ANGO US Equity","SUPPLY_CHAIN_CUSTOMERS_ALL_DATA","cols=12;rows=1")</f>
        <v>ALIFB SS Equity</v>
      </c>
      <c r="FJ5">
        <v>-2.4245362661989844E-14</v>
      </c>
      <c r="FL5">
        <v>-2.4245362661989844E-14</v>
      </c>
      <c r="FM5" t="s">
        <v>1774</v>
      </c>
      <c r="FN5">
        <v>2023</v>
      </c>
      <c r="FO5" t="s">
        <v>4113</v>
      </c>
      <c r="FP5" s="6">
        <v>45121</v>
      </c>
      <c r="FQ5">
        <v>1</v>
      </c>
      <c r="FR5">
        <v>-2.4245362661989844E-14</v>
      </c>
      <c r="FS5">
        <v>48335880</v>
      </c>
      <c r="FT5" t="s">
        <v>4114</v>
      </c>
      <c r="FY5" t="str">
        <f>_xll.BDS("KEA US Equity","SUPPLY_CHAIN_SUPPLIERS_ALL_DATA")</f>
        <v>#N/A N/A</v>
      </c>
      <c r="GM5" t="str">
        <f>_xll.BDS("KEA US Equity","SUPPLY_CHAIN_CUSTOMERS_ALL_DATA")</f>
        <v>#N/A N/A</v>
      </c>
      <c r="HC5" t="str">
        <f>_xll.BDS("CKFR US Equity","SUPPLY_CHAIN_SUPPLIERS_ALL_DATA")</f>
        <v>#N/A N/A</v>
      </c>
      <c r="HQ5" t="str">
        <f>_xll.BDS("CKFR US Equity","SUPPLY_CHAIN_CUSTOMERS_ALL_DATA")</f>
        <v>#N/A N/A</v>
      </c>
      <c r="IG5" t="str">
        <f>_xll.BDS("CPTH US Equity","SUPPLY_CHAIN_SUPPLIERS_ALL_DATA")</f>
        <v>#N/A N/A</v>
      </c>
      <c r="IU5" t="str">
        <f>_xll.BDS("CPTH US Equity","SUPPLY_CHAIN_CUSTOMERS_ALL_DATA")</f>
        <v>#N/A N/A</v>
      </c>
      <c r="JK5" t="str">
        <f>_xll.BDS("1339658D US Equity","SUPPLY_CHAIN_SUPPLIERS_ALL_DATA")</f>
        <v>#N/A N/A</v>
      </c>
      <c r="JY5" t="str">
        <f>_xll.BDS("1339658D US Equity","SUPPLY_CHAIN_CUSTOMERS_ALL_DATA")</f>
        <v>#N/A N/A</v>
      </c>
      <c r="KO5" t="str">
        <f>_xll.BDS("CPNLQ US Equity","SUPPLY_CHAIN_SUPPLIERS_ALL_DATA")</f>
        <v>#N/A N/A</v>
      </c>
      <c r="LC5" t="str">
        <f>_xll.BDS("CPNLQ US Equity","SUPPLY_CHAIN_CUSTOMERS_ALL_DATA")</f>
        <v>#N/A N/A</v>
      </c>
      <c r="LS5" t="str">
        <f>_xll.BDS("SVU US Equity","SUPPLY_CHAIN_SUPPLIERS_ALL_DATA")</f>
        <v>#N/A N/A</v>
      </c>
      <c r="MG5" t="str">
        <f>_xll.BDS("SVU US Equity","SUPPLY_CHAIN_CUSTOMERS_ALL_DATA")</f>
        <v>#N/A N/A</v>
      </c>
      <c r="MW5" t="str">
        <f>_xll.BDS("1581410D US Equity","SUPPLY_CHAIN_SUPPLIERS_ALL_DATA")</f>
        <v>#N/A N/A</v>
      </c>
      <c r="NK5" t="str">
        <f>_xll.BDS("1581410D US Equity","SUPPLY_CHAIN_CUSTOMERS_ALL_DATA")</f>
        <v>#N/A N/A</v>
      </c>
      <c r="OA5" t="str">
        <f>_xll.BDS("GE US Equity","SUPPLY_CHAIN_SUPPLIERS_ALL_DATA","cols=12;rows=5")</f>
        <v>SAF FP Equity</v>
      </c>
      <c r="OB5" t="s">
        <v>1752</v>
      </c>
      <c r="OC5">
        <v>7.9101749999999997</v>
      </c>
      <c r="OD5">
        <v>9.7364909999999991</v>
      </c>
      <c r="OE5" t="s">
        <v>1774</v>
      </c>
      <c r="OF5">
        <v>2025</v>
      </c>
      <c r="OG5" t="s">
        <v>2600</v>
      </c>
      <c r="OH5" s="6">
        <v>45874</v>
      </c>
      <c r="OI5">
        <v>5</v>
      </c>
      <c r="OJ5">
        <v>666294015.34000003</v>
      </c>
      <c r="OK5">
        <v>115519</v>
      </c>
      <c r="OL5" t="s">
        <v>2601</v>
      </c>
      <c r="OO5" t="str">
        <f>_xll.BDS("GE US Equity","SUPPLY_CHAIN_CUSTOMERS_ALL_DATA","cols=12;rows=5")</f>
        <v>3352Z US Equity</v>
      </c>
      <c r="OP5">
        <v>10</v>
      </c>
      <c r="OR5">
        <v>-2.4245362661989844E-14</v>
      </c>
      <c r="OS5" t="s">
        <v>1753</v>
      </c>
      <c r="OT5">
        <v>2025</v>
      </c>
      <c r="OU5" t="s">
        <v>4410</v>
      </c>
      <c r="OV5" s="6">
        <v>46051</v>
      </c>
      <c r="OW5">
        <v>5</v>
      </c>
      <c r="OX5">
        <v>1146375040</v>
      </c>
      <c r="OY5">
        <v>218252</v>
      </c>
      <c r="OZ5" t="s">
        <v>1793</v>
      </c>
      <c r="PE5" t="str">
        <f>_xll.BDS("nan Equity","SUPPLY_CHAIN_SUPPLIERS_ALL_DATA")</f>
        <v>#N/A N/A</v>
      </c>
      <c r="PS5" t="str">
        <f>_xll.BDS("nan Equity","SUPPLY_CHAIN_CUSTOMERS_ALL_DATA")</f>
        <v>#N/A N/A</v>
      </c>
      <c r="QI5" t="str">
        <f>_xll.BDS("EBAY US Equity","SUPPLY_CHAIN_SUPPLIERS_ALL_DATA","cols=12;rows=5")</f>
        <v>NVDA US Equity</v>
      </c>
      <c r="QJ5" t="s">
        <v>1828</v>
      </c>
      <c r="QK5">
        <v>2.3053000000000001E-2</v>
      </c>
      <c r="QL5">
        <v>13.423348000000001</v>
      </c>
      <c r="QM5" t="s">
        <v>1825</v>
      </c>
      <c r="QN5">
        <v>2026</v>
      </c>
      <c r="QO5" t="s">
        <v>2352</v>
      </c>
      <c r="QP5" s="6">
        <v>46087</v>
      </c>
      <c r="QQ5">
        <v>5</v>
      </c>
      <c r="QR5">
        <v>15705317</v>
      </c>
      <c r="QS5">
        <v>313657</v>
      </c>
      <c r="QT5" t="s">
        <v>2353</v>
      </c>
      <c r="QW5" t="str">
        <f>_xll.BDS("EBAY US Equity","SUPPLY_CHAIN_CUSTOMERS_ALL_DATA","cols=12;rows=5")</f>
        <v>3048 JP Equity</v>
      </c>
      <c r="QX5">
        <v>1.7252E-2</v>
      </c>
      <c r="QY5" t="s">
        <v>1752</v>
      </c>
      <c r="QZ5">
        <v>3.9722E-2</v>
      </c>
      <c r="RA5" t="s">
        <v>1825</v>
      </c>
      <c r="RB5">
        <v>2025</v>
      </c>
      <c r="RC5" t="s">
        <v>3300</v>
      </c>
      <c r="RD5" s="6">
        <v>46013</v>
      </c>
      <c r="RE5">
        <v>5</v>
      </c>
      <c r="RF5">
        <v>490132.1</v>
      </c>
      <c r="RG5">
        <v>9414129</v>
      </c>
      <c r="RH5" t="s">
        <v>3301</v>
      </c>
      <c r="RM5" t="str">
        <f>_xll.BDS("OZK US Equity","SUPPLY_CHAIN_SUPPLIERS_ALL_DATA")</f>
        <v>#N/A N/A</v>
      </c>
      <c r="SA5" t="str">
        <f>_xll.BDS("OZK US Equity","SUPPLY_CHAIN_CUSTOMERS_ALL_DATA")</f>
        <v>#N/A N/A</v>
      </c>
      <c r="SQ5" t="str">
        <f>_xll.BDS("KG US Equity","SUPPLY_CHAIN_SUPPLIERS_ALL_DATA")</f>
        <v>#N/A N/A</v>
      </c>
      <c r="TE5" t="str">
        <f>_xll.BDS("KG US Equity","SUPPLY_CHAIN_CUSTOMERS_ALL_DATA")</f>
        <v>#N/A N/A</v>
      </c>
      <c r="TU5" t="str">
        <f>_xll.BDS("BPFH US Equity","SUPPLY_CHAIN_SUPPLIERS_ALL_DATA")</f>
        <v>#N/A N/A</v>
      </c>
      <c r="UI5" t="str">
        <f>_xll.BDS("BPFH US Equity","SUPPLY_CHAIN_CUSTOMERS_ALL_DATA")</f>
        <v>#N/A N/A</v>
      </c>
      <c r="UY5" t="str">
        <f>_xll.BDS("WLMR US Equity","SUPPLY_CHAIN_SUPPLIERS_ALL_DATA")</f>
        <v>#N/A N/A</v>
      </c>
      <c r="VM5" t="str">
        <f>_xll.BDS("WLMR US Equity","SUPPLY_CHAIN_CUSTOMERS_ALL_DATA")</f>
        <v>#N/A N/A</v>
      </c>
    </row>
    <row r="6" spans="1:600" x14ac:dyDescent="0.25">
      <c r="AE6" t="s">
        <v>1871</v>
      </c>
      <c r="AF6" t="s">
        <v>1752</v>
      </c>
      <c r="AG6">
        <v>2.370431</v>
      </c>
      <c r="AH6">
        <v>9.0958559999999995</v>
      </c>
      <c r="AI6" t="s">
        <v>1774</v>
      </c>
      <c r="AJ6">
        <v>2025</v>
      </c>
      <c r="AK6" t="s">
        <v>1872</v>
      </c>
      <c r="AL6" s="6">
        <v>45952</v>
      </c>
      <c r="AM6">
        <v>5</v>
      </c>
      <c r="AN6">
        <v>1262769985.1900001</v>
      </c>
      <c r="AO6">
        <v>117929</v>
      </c>
      <c r="AP6" t="s">
        <v>1873</v>
      </c>
      <c r="AS6" t="s">
        <v>1547</v>
      </c>
      <c r="AT6">
        <v>0.203543</v>
      </c>
      <c r="AU6" t="s">
        <v>1752</v>
      </c>
      <c r="AV6">
        <v>1.128412</v>
      </c>
      <c r="AW6" t="s">
        <v>1781</v>
      </c>
      <c r="AX6">
        <v>2025</v>
      </c>
      <c r="AY6" t="s">
        <v>2157</v>
      </c>
      <c r="AZ6" s="6">
        <v>45784</v>
      </c>
      <c r="BA6">
        <v>5</v>
      </c>
      <c r="BB6">
        <v>68156368</v>
      </c>
      <c r="BC6">
        <v>100115</v>
      </c>
      <c r="BD6" t="s">
        <v>1922</v>
      </c>
      <c r="BI6" t="s">
        <v>1110</v>
      </c>
      <c r="BK6">
        <v>-2.4245362661989844E-14</v>
      </c>
      <c r="BL6">
        <v>-2.4245362661989844E-14</v>
      </c>
      <c r="BM6" t="s">
        <v>1774</v>
      </c>
      <c r="BN6">
        <v>2023</v>
      </c>
      <c r="BO6" t="s">
        <v>2226</v>
      </c>
      <c r="BP6" s="6">
        <v>45174</v>
      </c>
      <c r="BQ6">
        <v>2</v>
      </c>
      <c r="BR6">
        <v>-2.4245362661989844E-14</v>
      </c>
      <c r="BS6">
        <v>202476</v>
      </c>
      <c r="BT6" t="s">
        <v>2227</v>
      </c>
      <c r="EU6" t="s">
        <v>5327</v>
      </c>
      <c r="EW6">
        <v>-2.4245362661989844E-14</v>
      </c>
      <c r="EX6">
        <v>-2.4245362661989844E-14</v>
      </c>
      <c r="EY6" t="s">
        <v>1753</v>
      </c>
      <c r="EZ6">
        <v>2025</v>
      </c>
      <c r="FA6" t="s">
        <v>5328</v>
      </c>
      <c r="FB6" s="6">
        <v>45856</v>
      </c>
      <c r="FC6">
        <v>4</v>
      </c>
      <c r="FD6">
        <v>-2.4245362661989844E-14</v>
      </c>
      <c r="FE6">
        <v>110105</v>
      </c>
      <c r="FF6" t="s">
        <v>5329</v>
      </c>
      <c r="OA6" t="s">
        <v>2602</v>
      </c>
      <c r="OB6" t="s">
        <v>1752</v>
      </c>
      <c r="OC6">
        <v>13.760432</v>
      </c>
      <c r="OD6">
        <v>4.7536569999999996</v>
      </c>
      <c r="OE6" t="s">
        <v>1774</v>
      </c>
      <c r="OF6">
        <v>2025</v>
      </c>
      <c r="OG6" t="s">
        <v>2603</v>
      </c>
      <c r="OH6" s="6">
        <v>45937</v>
      </c>
      <c r="OI6">
        <v>5</v>
      </c>
      <c r="OJ6">
        <v>325305405.77999997</v>
      </c>
      <c r="OK6">
        <v>8445936</v>
      </c>
      <c r="OL6" t="s">
        <v>2604</v>
      </c>
      <c r="OO6" t="s">
        <v>3366</v>
      </c>
      <c r="OP6">
        <v>9.2636719999999997</v>
      </c>
      <c r="OQ6" t="s">
        <v>1752</v>
      </c>
      <c r="OR6">
        <v>5.0267530000000002</v>
      </c>
      <c r="OS6" t="s">
        <v>1774</v>
      </c>
      <c r="OT6">
        <v>2025</v>
      </c>
      <c r="OU6" t="s">
        <v>2518</v>
      </c>
      <c r="OV6" s="6">
        <v>45888</v>
      </c>
      <c r="OW6">
        <v>5</v>
      </c>
      <c r="OX6">
        <v>1021134592</v>
      </c>
      <c r="OY6">
        <v>100211</v>
      </c>
      <c r="OZ6" t="s">
        <v>3368</v>
      </c>
      <c r="QI6" t="s">
        <v>3522</v>
      </c>
      <c r="QJ6" t="s">
        <v>1940</v>
      </c>
      <c r="QK6">
        <v>0.54386900000000005</v>
      </c>
      <c r="QL6">
        <v>0.33741900000000002</v>
      </c>
      <c r="QM6" t="s">
        <v>1788</v>
      </c>
      <c r="QN6">
        <v>2025</v>
      </c>
      <c r="QO6" t="s">
        <v>3523</v>
      </c>
      <c r="QP6" s="6">
        <v>45993</v>
      </c>
      <c r="QQ6">
        <v>5</v>
      </c>
      <c r="QR6">
        <v>2997596.46</v>
      </c>
      <c r="QS6">
        <v>17720101</v>
      </c>
      <c r="QT6" t="s">
        <v>3524</v>
      </c>
      <c r="QW6" t="s">
        <v>3302</v>
      </c>
      <c r="QX6">
        <v>-2.4245362661989844E-14</v>
      </c>
      <c r="QZ6">
        <v>-2.4245362661989844E-14</v>
      </c>
      <c r="RA6" t="s">
        <v>1768</v>
      </c>
      <c r="RB6">
        <v>2025</v>
      </c>
      <c r="RC6" t="s">
        <v>3303</v>
      </c>
      <c r="RD6" s="6">
        <v>45975</v>
      </c>
      <c r="RE6">
        <v>5</v>
      </c>
      <c r="RF6">
        <v>-2.4245362661989844E-14</v>
      </c>
      <c r="RG6">
        <v>129450</v>
      </c>
      <c r="RH6" t="s">
        <v>3304</v>
      </c>
    </row>
    <row r="7" spans="1:600" x14ac:dyDescent="0.25">
      <c r="AE7" t="s">
        <v>28</v>
      </c>
      <c r="AF7" t="s">
        <v>1752</v>
      </c>
      <c r="AG7">
        <v>14</v>
      </c>
      <c r="AH7">
        <v>2.6252870000000001</v>
      </c>
      <c r="AI7" t="s">
        <v>1753</v>
      </c>
      <c r="AJ7">
        <v>2025</v>
      </c>
      <c r="AK7" t="s">
        <v>3012</v>
      </c>
      <c r="AL7" s="6">
        <v>46077</v>
      </c>
      <c r="AM7">
        <v>5</v>
      </c>
      <c r="AN7">
        <v>372560992</v>
      </c>
      <c r="AO7">
        <v>210870</v>
      </c>
      <c r="AP7" t="s">
        <v>3013</v>
      </c>
      <c r="AS7" t="s">
        <v>1954</v>
      </c>
      <c r="AT7">
        <v>0.11801499999999999</v>
      </c>
      <c r="AU7" t="s">
        <v>1752</v>
      </c>
      <c r="AV7">
        <v>0.96932300000000005</v>
      </c>
      <c r="AW7" t="s">
        <v>1781</v>
      </c>
      <c r="AX7">
        <v>2025</v>
      </c>
      <c r="AY7" t="s">
        <v>1955</v>
      </c>
      <c r="AZ7" s="6">
        <v>45820</v>
      </c>
      <c r="BA7">
        <v>5</v>
      </c>
      <c r="BB7">
        <v>39517360</v>
      </c>
      <c r="BC7">
        <v>12129192</v>
      </c>
      <c r="BD7" t="s">
        <v>1956</v>
      </c>
      <c r="EU7" t="s">
        <v>5330</v>
      </c>
      <c r="EW7">
        <v>-2.4245362661989844E-14</v>
      </c>
      <c r="EX7">
        <v>-2.4245362661989844E-14</v>
      </c>
      <c r="EY7" t="s">
        <v>1753</v>
      </c>
      <c r="EZ7">
        <v>2021</v>
      </c>
      <c r="FA7" t="s">
        <v>5331</v>
      </c>
      <c r="FB7" s="6">
        <v>44693</v>
      </c>
      <c r="FC7">
        <v>4</v>
      </c>
      <c r="FD7">
        <v>-2.4245362661989844E-14</v>
      </c>
      <c r="FE7">
        <v>101370</v>
      </c>
      <c r="FF7" t="s">
        <v>5332</v>
      </c>
      <c r="OA7" t="s">
        <v>2605</v>
      </c>
      <c r="OB7" t="s">
        <v>1752</v>
      </c>
      <c r="OC7">
        <v>11</v>
      </c>
      <c r="OD7">
        <v>3.1337429999999999</v>
      </c>
      <c r="OE7" t="s">
        <v>1753</v>
      </c>
      <c r="OF7">
        <v>2025</v>
      </c>
      <c r="OG7" t="s">
        <v>2606</v>
      </c>
      <c r="OH7" s="6">
        <v>46065</v>
      </c>
      <c r="OI7">
        <v>5</v>
      </c>
      <c r="OJ7">
        <v>226930000</v>
      </c>
      <c r="OK7">
        <v>59099358</v>
      </c>
      <c r="OL7" t="s">
        <v>2607</v>
      </c>
      <c r="OO7" t="s">
        <v>1831</v>
      </c>
      <c r="OP7">
        <v>4.5319979999999997</v>
      </c>
      <c r="OQ7" t="s">
        <v>1752</v>
      </c>
      <c r="OR7">
        <v>3.2162160000000002</v>
      </c>
      <c r="OS7" t="s">
        <v>1774</v>
      </c>
      <c r="OT7">
        <v>2025</v>
      </c>
      <c r="OU7" t="s">
        <v>2518</v>
      </c>
      <c r="OV7" s="6">
        <v>45888</v>
      </c>
      <c r="OW7">
        <v>5</v>
      </c>
      <c r="OX7">
        <v>499562144</v>
      </c>
      <c r="OY7">
        <v>876285</v>
      </c>
      <c r="OZ7" t="s">
        <v>1833</v>
      </c>
      <c r="QI7" t="s">
        <v>3256</v>
      </c>
      <c r="QJ7" t="s">
        <v>1752</v>
      </c>
      <c r="QK7">
        <v>6.5024999999999999E-2</v>
      </c>
      <c r="QL7">
        <v>0.194164</v>
      </c>
      <c r="QM7" t="s">
        <v>1788</v>
      </c>
      <c r="QN7">
        <v>2025</v>
      </c>
      <c r="QO7" t="s">
        <v>3257</v>
      </c>
      <c r="QP7" s="6">
        <v>45974</v>
      </c>
      <c r="QQ7">
        <v>5</v>
      </c>
      <c r="QR7">
        <v>1595148.95</v>
      </c>
      <c r="QS7">
        <v>193571</v>
      </c>
      <c r="QT7" t="s">
        <v>3258</v>
      </c>
      <c r="QW7" t="s">
        <v>3305</v>
      </c>
      <c r="QX7">
        <v>-2.4245362661989844E-14</v>
      </c>
      <c r="QZ7">
        <v>-2.4245362661989844E-14</v>
      </c>
      <c r="RA7" t="s">
        <v>1753</v>
      </c>
      <c r="RB7">
        <v>2024</v>
      </c>
      <c r="RC7" t="s">
        <v>3306</v>
      </c>
      <c r="RD7" s="6">
        <v>45772</v>
      </c>
      <c r="RE7">
        <v>5</v>
      </c>
      <c r="RF7">
        <v>-2.4245362661989844E-14</v>
      </c>
      <c r="RG7">
        <v>11236563</v>
      </c>
      <c r="RH7" t="s">
        <v>3307</v>
      </c>
    </row>
    <row r="8" spans="1:600" x14ac:dyDescent="0.25">
      <c r="AE8" t="s">
        <v>2628</v>
      </c>
      <c r="AF8" t="s">
        <v>1752</v>
      </c>
      <c r="AG8">
        <v>0.38197399999999998</v>
      </c>
      <c r="AH8">
        <v>2.6527189999999998</v>
      </c>
      <c r="AI8" t="s">
        <v>1774</v>
      </c>
      <c r="AJ8">
        <v>2025</v>
      </c>
      <c r="AK8" t="s">
        <v>3010</v>
      </c>
      <c r="AL8" s="6">
        <v>45862</v>
      </c>
      <c r="AM8">
        <v>5</v>
      </c>
      <c r="AN8">
        <v>368330048</v>
      </c>
      <c r="AO8">
        <v>46946968</v>
      </c>
      <c r="AP8" t="s">
        <v>2629</v>
      </c>
      <c r="AS8" t="s">
        <v>1191</v>
      </c>
      <c r="AT8">
        <v>4.8992000000000001E-2</v>
      </c>
      <c r="AU8" t="s">
        <v>1752</v>
      </c>
      <c r="AV8">
        <v>1.135372</v>
      </c>
      <c r="AW8" t="s">
        <v>1825</v>
      </c>
      <c r="AX8">
        <v>2025</v>
      </c>
      <c r="AY8" t="s">
        <v>2627</v>
      </c>
      <c r="AZ8" s="6">
        <v>46091</v>
      </c>
      <c r="BA8">
        <v>5</v>
      </c>
      <c r="BB8">
        <v>17823852</v>
      </c>
      <c r="BC8">
        <v>156637</v>
      </c>
      <c r="BD8" t="s">
        <v>2828</v>
      </c>
      <c r="EU8" t="s">
        <v>3582</v>
      </c>
      <c r="EW8">
        <v>-2.4245362661989844E-14</v>
      </c>
      <c r="EX8">
        <v>-2.4245362661989844E-14</v>
      </c>
      <c r="EY8" t="s">
        <v>1753</v>
      </c>
      <c r="EZ8">
        <v>2021</v>
      </c>
      <c r="FA8" t="s">
        <v>3583</v>
      </c>
      <c r="FB8" s="6">
        <v>44693</v>
      </c>
      <c r="FC8">
        <v>4</v>
      </c>
      <c r="FD8">
        <v>-2.4245362661989844E-14</v>
      </c>
      <c r="FE8">
        <v>107603</v>
      </c>
      <c r="FF8" t="s">
        <v>3584</v>
      </c>
      <c r="OA8" t="s">
        <v>2608</v>
      </c>
      <c r="OB8" t="s">
        <v>1752</v>
      </c>
      <c r="OC8">
        <v>8.8672269999999997</v>
      </c>
      <c r="OD8">
        <v>1.980351</v>
      </c>
      <c r="OE8" t="s">
        <v>1774</v>
      </c>
      <c r="OF8">
        <v>2025</v>
      </c>
      <c r="OG8" t="s">
        <v>2609</v>
      </c>
      <c r="OH8" s="6">
        <v>45922</v>
      </c>
      <c r="OI8">
        <v>5</v>
      </c>
      <c r="OJ8">
        <v>135574848</v>
      </c>
      <c r="OK8">
        <v>11937231</v>
      </c>
      <c r="OL8" t="s">
        <v>2610</v>
      </c>
      <c r="OO8" t="s">
        <v>4352</v>
      </c>
      <c r="OP8">
        <v>3.2472560000000001</v>
      </c>
      <c r="OQ8" t="s">
        <v>1752</v>
      </c>
      <c r="OR8">
        <v>2.573108</v>
      </c>
      <c r="OS8" t="s">
        <v>1774</v>
      </c>
      <c r="OT8">
        <v>2025</v>
      </c>
      <c r="OU8" t="s">
        <v>2518</v>
      </c>
      <c r="OV8" s="6">
        <v>45888</v>
      </c>
      <c r="OW8">
        <v>5</v>
      </c>
      <c r="OX8">
        <v>357945024</v>
      </c>
      <c r="OY8">
        <v>10451815</v>
      </c>
      <c r="OZ8" t="s">
        <v>4353</v>
      </c>
      <c r="QI8" t="s">
        <v>3525</v>
      </c>
      <c r="QJ8" t="s">
        <v>1752</v>
      </c>
      <c r="QK8">
        <v>0.115412</v>
      </c>
      <c r="QL8">
        <v>0.162046</v>
      </c>
      <c r="QM8" t="s">
        <v>1781</v>
      </c>
      <c r="QN8">
        <v>2025</v>
      </c>
      <c r="QO8" t="s">
        <v>3526</v>
      </c>
      <c r="QP8" s="6">
        <v>45834</v>
      </c>
      <c r="QQ8">
        <v>5</v>
      </c>
      <c r="QR8">
        <v>1171592</v>
      </c>
      <c r="QS8">
        <v>393374</v>
      </c>
      <c r="QT8" t="s">
        <v>3527</v>
      </c>
      <c r="QW8" t="s">
        <v>3308</v>
      </c>
      <c r="QX8">
        <v>-2.4245362661989844E-14</v>
      </c>
      <c r="QZ8">
        <v>-2.4245362661989844E-14</v>
      </c>
      <c r="RA8" t="s">
        <v>1753</v>
      </c>
      <c r="RB8">
        <v>2021</v>
      </c>
      <c r="RC8" t="s">
        <v>3309</v>
      </c>
      <c r="RD8" s="6">
        <v>44678</v>
      </c>
      <c r="RE8">
        <v>5</v>
      </c>
      <c r="RF8">
        <v>-2.4245362661989844E-14</v>
      </c>
      <c r="RG8">
        <v>13256827</v>
      </c>
      <c r="RH8" t="s">
        <v>3310</v>
      </c>
    </row>
    <row r="9" spans="1:600" x14ac:dyDescent="0.25">
      <c r="AE9" t="s">
        <v>3014</v>
      </c>
      <c r="AF9" t="s">
        <v>1828</v>
      </c>
      <c r="AG9">
        <v>5.5977880000000004</v>
      </c>
      <c r="AH9">
        <v>7.6756450000000003</v>
      </c>
      <c r="AI9" t="s">
        <v>1788</v>
      </c>
      <c r="AJ9">
        <v>2025</v>
      </c>
      <c r="AK9" t="s">
        <v>3015</v>
      </c>
      <c r="AL9" s="6">
        <v>46029</v>
      </c>
      <c r="AM9">
        <v>5</v>
      </c>
      <c r="AN9">
        <v>330895084.14999998</v>
      </c>
      <c r="AO9">
        <v>115705</v>
      </c>
      <c r="AP9" t="s">
        <v>3016</v>
      </c>
      <c r="AS9" t="s">
        <v>1875</v>
      </c>
      <c r="AT9">
        <v>4.8830999999999999E-2</v>
      </c>
      <c r="AU9" t="s">
        <v>1752</v>
      </c>
      <c r="AV9">
        <v>2.7042419999999998</v>
      </c>
      <c r="AW9" t="s">
        <v>1788</v>
      </c>
      <c r="AX9">
        <v>2025</v>
      </c>
      <c r="AY9" t="s">
        <v>1876</v>
      </c>
      <c r="AZ9" s="6">
        <v>45840</v>
      </c>
      <c r="BA9">
        <v>5</v>
      </c>
      <c r="BB9">
        <v>16351064</v>
      </c>
      <c r="BC9">
        <v>136424</v>
      </c>
      <c r="BD9" t="s">
        <v>1877</v>
      </c>
      <c r="OA9" t="s">
        <v>2611</v>
      </c>
      <c r="OB9" t="s">
        <v>1752</v>
      </c>
      <c r="OC9">
        <v>9.9027270000000005</v>
      </c>
      <c r="OD9">
        <v>1.5774429999999999</v>
      </c>
      <c r="OE9" t="s">
        <v>1774</v>
      </c>
      <c r="OF9">
        <v>2025</v>
      </c>
      <c r="OG9" t="s">
        <v>2612</v>
      </c>
      <c r="OH9" s="6">
        <v>45904</v>
      </c>
      <c r="OI9">
        <v>5</v>
      </c>
      <c r="OJ9">
        <v>107991712</v>
      </c>
      <c r="OK9">
        <v>187877</v>
      </c>
      <c r="OL9" t="s">
        <v>2613</v>
      </c>
      <c r="OO9" t="s">
        <v>4411</v>
      </c>
      <c r="OP9">
        <v>3.0622020000000001</v>
      </c>
      <c r="OQ9" t="s">
        <v>1752</v>
      </c>
      <c r="OR9">
        <v>2.546176</v>
      </c>
      <c r="OS9" t="s">
        <v>1774</v>
      </c>
      <c r="OT9">
        <v>2025</v>
      </c>
      <c r="OU9" t="s">
        <v>2518</v>
      </c>
      <c r="OV9" s="6">
        <v>45888</v>
      </c>
      <c r="OW9">
        <v>5</v>
      </c>
      <c r="OX9">
        <v>337546528</v>
      </c>
      <c r="OY9">
        <v>100090</v>
      </c>
      <c r="OZ9" t="s">
        <v>4412</v>
      </c>
      <c r="QI9" t="s">
        <v>3468</v>
      </c>
      <c r="QJ9" t="s">
        <v>1752</v>
      </c>
      <c r="QK9">
        <v>6.3853999999999994E-2</v>
      </c>
      <c r="QL9">
        <v>9.7213999999999995E-2</v>
      </c>
      <c r="QM9" t="s">
        <v>1774</v>
      </c>
      <c r="QN9">
        <v>2025</v>
      </c>
      <c r="QO9" t="s">
        <v>3469</v>
      </c>
      <c r="QP9" s="6">
        <v>45957</v>
      </c>
      <c r="QQ9">
        <v>5</v>
      </c>
      <c r="QR9">
        <v>754080.82</v>
      </c>
      <c r="QS9">
        <v>815087</v>
      </c>
      <c r="QT9" t="s">
        <v>3470</v>
      </c>
      <c r="QW9" t="s">
        <v>3311</v>
      </c>
      <c r="QX9">
        <v>-2.4245362661989844E-14</v>
      </c>
      <c r="QZ9">
        <v>-2.4245362661989844E-14</v>
      </c>
      <c r="RA9" t="s">
        <v>1753</v>
      </c>
      <c r="RB9">
        <v>2021</v>
      </c>
      <c r="RC9" t="s">
        <v>3312</v>
      </c>
      <c r="RD9" s="6">
        <v>44652</v>
      </c>
      <c r="RE9">
        <v>5</v>
      </c>
      <c r="RF9">
        <v>-2.4245362661989844E-14</v>
      </c>
      <c r="RG9">
        <v>15069822</v>
      </c>
      <c r="RH9" t="s">
        <v>3313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1159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1160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1161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1162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1163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1164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1165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1166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1167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1168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1169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1170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1171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1172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1173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1174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1175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1176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1177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36</v>
      </c>
      <c r="AE2" s="3" t="s">
        <v>1178</v>
      </c>
      <c r="BI2" s="3" t="s">
        <v>1179</v>
      </c>
      <c r="CM2" s="3" t="s">
        <v>1180</v>
      </c>
      <c r="DQ2" s="3" t="s">
        <v>1181</v>
      </c>
      <c r="EU2" s="3" t="s">
        <v>1182</v>
      </c>
      <c r="FY2" s="3" t="s">
        <v>1183</v>
      </c>
      <c r="HC2" s="3" t="s">
        <v>1184</v>
      </c>
      <c r="IG2" s="3" t="s">
        <v>1185</v>
      </c>
      <c r="JK2" s="3" t="s">
        <v>1186</v>
      </c>
      <c r="KO2" s="3" t="s">
        <v>1187</v>
      </c>
      <c r="LS2" s="3" t="s">
        <v>1188</v>
      </c>
      <c r="MW2" s="3" t="s">
        <v>1189</v>
      </c>
      <c r="OA2" s="3" t="s">
        <v>1190</v>
      </c>
      <c r="PE2" s="3" t="s">
        <v>1191</v>
      </c>
      <c r="QI2" s="3" t="s">
        <v>1192</v>
      </c>
      <c r="RM2" s="3" t="s">
        <v>1193</v>
      </c>
      <c r="SQ2" s="3" t="s">
        <v>1194</v>
      </c>
      <c r="TU2" s="3" t="s">
        <v>36</v>
      </c>
      <c r="UY2" s="3" t="s">
        <v>1195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_xll.BDS("WBS US Equity","SUPPLY_CHAIN_SUPPLIERS_ALL_DATA","cols=12;rows=2")</f>
        <v>FISV US Equity</v>
      </c>
      <c r="C5">
        <v>-2.4245362661989844E-14</v>
      </c>
      <c r="D5">
        <v>-2.4245362661989844E-14</v>
      </c>
      <c r="E5" t="s">
        <v>1768</v>
      </c>
      <c r="F5">
        <v>2023</v>
      </c>
      <c r="G5" t="s">
        <v>2153</v>
      </c>
      <c r="H5" s="6">
        <v>45245</v>
      </c>
      <c r="I5">
        <v>2</v>
      </c>
      <c r="J5">
        <v>-2.4245362661989844E-14</v>
      </c>
      <c r="K5">
        <v>103882</v>
      </c>
      <c r="L5" t="s">
        <v>2154</v>
      </c>
      <c r="O5" t="str">
        <f>_xll.BDS("WBS US Equity","SUPPLY_CHAIN_CUSTOMERS_ALL_DATA","cols=12;rows=1")</f>
        <v>CNXN US Equity</v>
      </c>
      <c r="P5">
        <v>-2.4245362661989844E-14</v>
      </c>
      <c r="R5">
        <v>-2.4245362661989844E-14</v>
      </c>
      <c r="S5" t="s">
        <v>1781</v>
      </c>
      <c r="T5">
        <v>2025</v>
      </c>
      <c r="U5" t="s">
        <v>1961</v>
      </c>
      <c r="V5" s="6">
        <v>45799</v>
      </c>
      <c r="W5">
        <v>1</v>
      </c>
      <c r="X5">
        <v>-2.4245362661989844E-14</v>
      </c>
      <c r="Y5">
        <v>313021</v>
      </c>
      <c r="Z5" t="s">
        <v>1962</v>
      </c>
      <c r="AE5" t="str">
        <f>_xll.BDS("ONB US Equity","SUPPLY_CHAIN_SUPPLIERS_ALL_DATA","cols=12;rows=3")</f>
        <v>FCPT US Equity</v>
      </c>
      <c r="AG5">
        <v>-2.4245362661989844E-14</v>
      </c>
      <c r="AH5">
        <v>-2.4245362661989844E-14</v>
      </c>
      <c r="AI5" t="s">
        <v>1753</v>
      </c>
      <c r="AJ5">
        <v>2023</v>
      </c>
      <c r="AK5" t="s">
        <v>2478</v>
      </c>
      <c r="AL5" s="6">
        <v>45337</v>
      </c>
      <c r="AM5">
        <v>3</v>
      </c>
      <c r="AN5">
        <v>-2.4245362661989844E-14</v>
      </c>
      <c r="AO5">
        <v>46177523</v>
      </c>
      <c r="AP5" t="s">
        <v>2479</v>
      </c>
      <c r="AS5" t="str">
        <f>_xll.BDS("ONB US Equity","SUPPLY_CHAIN_CUSTOMERS_ALL_DATA")</f>
        <v>#N/A N/A</v>
      </c>
      <c r="BI5" t="str">
        <f>_xll.BDS("FCF US Equity","SUPPLY_CHAIN_SUPPLIERS_ALL_DATA")</f>
        <v>#N/A N/A</v>
      </c>
      <c r="BW5" t="str">
        <f>_xll.BDS("FCF US Equity","SUPPLY_CHAIN_CUSTOMERS_ALL_DATA")</f>
        <v>#N/A N/A</v>
      </c>
      <c r="CM5" t="str">
        <f>_xll.BDS("BRK/A US Equity","SUPPLY_CHAIN_SUPPLIERS_ALL_DATA","cols=12;rows=5")</f>
        <v>HSY US Equity</v>
      </c>
      <c r="CN5" t="s">
        <v>1752</v>
      </c>
      <c r="CO5">
        <v>27</v>
      </c>
      <c r="CP5">
        <v>1.2151259999999999</v>
      </c>
      <c r="CQ5" t="s">
        <v>1753</v>
      </c>
      <c r="CR5">
        <v>2025</v>
      </c>
      <c r="CS5" t="s">
        <v>3710</v>
      </c>
      <c r="CT5" s="6">
        <v>46070</v>
      </c>
      <c r="CU5">
        <v>5</v>
      </c>
      <c r="CV5">
        <v>789248896</v>
      </c>
      <c r="CW5">
        <v>100731</v>
      </c>
      <c r="CX5" t="s">
        <v>3711</v>
      </c>
      <c r="DA5" t="str">
        <f>_xll.BDS("BRK/A US Equity","SUPPLY_CHAIN_CUSTOMERS_ALL_DATA","cols=12;rows=5")</f>
        <v>WMT US Equity</v>
      </c>
      <c r="DB5">
        <v>2.1167449999999999</v>
      </c>
      <c r="DC5" t="s">
        <v>1752</v>
      </c>
      <c r="DD5">
        <v>1.7547349999999999</v>
      </c>
      <c r="DE5" t="s">
        <v>1753</v>
      </c>
      <c r="DF5">
        <v>2024</v>
      </c>
      <c r="DG5" t="s">
        <v>3653</v>
      </c>
      <c r="DH5" s="6">
        <v>45712</v>
      </c>
      <c r="DI5">
        <v>5</v>
      </c>
      <c r="DJ5">
        <v>2244977664</v>
      </c>
      <c r="DK5">
        <v>101616</v>
      </c>
      <c r="DL5" t="s">
        <v>2752</v>
      </c>
      <c r="DQ5" t="str">
        <f>_xll.BDS("1885807D US Equity","SUPPLY_CHAIN_SUPPLIERS_ALL_DATA","cols=12;rows=5")</f>
        <v>1615475D US Equity</v>
      </c>
      <c r="DS5">
        <v>-2.4245362661989844E-14</v>
      </c>
      <c r="DT5">
        <v>-2.4245362661989844E-14</v>
      </c>
      <c r="DU5" t="s">
        <v>1753</v>
      </c>
      <c r="DV5">
        <v>2026</v>
      </c>
      <c r="DW5" t="s">
        <v>3329</v>
      </c>
      <c r="DX5" s="6">
        <v>46048</v>
      </c>
      <c r="DY5">
        <v>5</v>
      </c>
      <c r="DZ5">
        <v>-2.4245362661989844E-14</v>
      </c>
      <c r="EA5">
        <v>60241731</v>
      </c>
      <c r="EB5" t="s">
        <v>4482</v>
      </c>
      <c r="EE5" t="str">
        <f>_xll.BDS("1885807D US Equity","SUPPLY_CHAIN_CUSTOMERS_ALL_DATA","cols=12;rows=5")</f>
        <v>0440985D US Equity</v>
      </c>
      <c r="EF5">
        <v>-2.4245362661989844E-14</v>
      </c>
      <c r="EH5">
        <v>-2.4245362661989844E-14</v>
      </c>
      <c r="EI5" t="s">
        <v>1753</v>
      </c>
      <c r="EJ5">
        <v>2022</v>
      </c>
      <c r="EK5" t="s">
        <v>3329</v>
      </c>
      <c r="EL5" s="6">
        <v>44697</v>
      </c>
      <c r="EM5">
        <v>5</v>
      </c>
      <c r="EN5">
        <v>-2.4245362661989844E-14</v>
      </c>
      <c r="EO5">
        <v>31057283</v>
      </c>
      <c r="EP5" t="s">
        <v>3330</v>
      </c>
      <c r="EU5" t="str">
        <f>_xll.BDS("DVERQ US Equity","SUPPLY_CHAIN_SUPPLIERS_ALL_DATA")</f>
        <v>#N/A N/A</v>
      </c>
      <c r="FI5" t="str">
        <f>_xll.BDS("DVERQ US Equity","SUPPLY_CHAIN_CUSTOMERS_ALL_DATA")</f>
        <v>#N/A N/A</v>
      </c>
      <c r="FY5" t="str">
        <f>_xll.BDS("GMCR US Equity","SUPPLY_CHAIN_SUPPLIERS_ALL_DATA")</f>
        <v>#N/A N/A</v>
      </c>
      <c r="GM5" t="str">
        <f>_xll.BDS("GMCR US Equity","SUPPLY_CHAIN_CUSTOMERS_ALL_DATA")</f>
        <v>#N/A N/A</v>
      </c>
      <c r="HC5" t="str">
        <f>_xll.BDS("HWC US Equity","SUPPLY_CHAIN_SUPPLIERS_ALL_DATA","cols=12;rows=1")</f>
        <v>NMRK US Equity</v>
      </c>
      <c r="HE5">
        <v>-2.4245362661989844E-14</v>
      </c>
      <c r="HF5">
        <v>-2.4245362661989844E-14</v>
      </c>
      <c r="HG5" t="s">
        <v>1753</v>
      </c>
      <c r="HH5">
        <v>2023</v>
      </c>
      <c r="HI5" t="s">
        <v>2228</v>
      </c>
      <c r="HJ5" s="6">
        <v>45174</v>
      </c>
      <c r="HK5">
        <v>1</v>
      </c>
      <c r="HL5">
        <v>-2.4245362661989844E-14</v>
      </c>
      <c r="HM5">
        <v>55742501</v>
      </c>
      <c r="HN5" t="s">
        <v>2229</v>
      </c>
      <c r="HQ5" t="str">
        <f>_xll.BDS("HWC US Equity","SUPPLY_CHAIN_CUSTOMERS_ALL_DATA")</f>
        <v>#N/A N/A</v>
      </c>
      <c r="IG5" t="str">
        <f>_xll.BDS("KW US Equity","SUPPLY_CHAIN_SUPPLIERS_ALL_DATA","cols=12;rows=1")</f>
        <v>ACM US Equity</v>
      </c>
      <c r="II5">
        <v>-2.4245362661989844E-14</v>
      </c>
      <c r="IJ5">
        <v>-2.4245362661989844E-14</v>
      </c>
      <c r="IK5" t="s">
        <v>1781</v>
      </c>
      <c r="IL5">
        <v>2023</v>
      </c>
      <c r="IM5" t="s">
        <v>5813</v>
      </c>
      <c r="IN5" s="6">
        <v>44963</v>
      </c>
      <c r="IO5">
        <v>1</v>
      </c>
      <c r="IP5">
        <v>-2.4245362661989844E-14</v>
      </c>
      <c r="IQ5">
        <v>901257</v>
      </c>
      <c r="IR5" t="s">
        <v>5814</v>
      </c>
      <c r="IU5" t="str">
        <f>_xll.BDS("KW US Equity","SUPPLY_CHAIN_CUSTOMERS_ALL_DATA")</f>
        <v>#N/A N/A</v>
      </c>
      <c r="JK5" t="str">
        <f>_xll.BDS("TIPT US Equity","SUPPLY_CHAIN_SUPPLIERS_ALL_DATA")</f>
        <v>#N/A N/A</v>
      </c>
      <c r="JY5" t="str">
        <f>_xll.BDS("TIPT US Equity","SUPPLY_CHAIN_CUSTOMERS_ALL_DATA","cols=12;rows=1")</f>
        <v>CONNQ US Equity</v>
      </c>
      <c r="JZ5">
        <v>-2.4245362661989844E-14</v>
      </c>
      <c r="KB5">
        <v>-2.4245362661989844E-14</v>
      </c>
      <c r="KC5" t="s">
        <v>1774</v>
      </c>
      <c r="KD5">
        <v>2024</v>
      </c>
      <c r="KE5" t="s">
        <v>4139</v>
      </c>
      <c r="KF5" s="6">
        <v>45496</v>
      </c>
      <c r="KG5">
        <v>1</v>
      </c>
      <c r="KH5">
        <v>-2.4245362661989844E-14</v>
      </c>
      <c r="KI5">
        <v>8339663</v>
      </c>
      <c r="KJ5" t="s">
        <v>4140</v>
      </c>
      <c r="KO5" t="str">
        <f>_xll.BDS("ITXG US Equity","SUPPLY_CHAIN_SUPPLIERS_ALL_DATA")</f>
        <v>#N/A N/A</v>
      </c>
      <c r="LC5" t="str">
        <f>_xll.BDS("ITXG US Equity","SUPPLY_CHAIN_CUSTOMERS_ALL_DATA")</f>
        <v>#N/A N/A</v>
      </c>
      <c r="LS5" t="str">
        <f>_xll.BDS("1723125D US Equity","SUPPLY_CHAIN_SUPPLIERS_ALL_DATA")</f>
        <v>#N/A N/A</v>
      </c>
      <c r="MG5" t="str">
        <f>_xll.BDS("1723125D US Equity","SUPPLY_CHAIN_CUSTOMERS_ALL_DATA")</f>
        <v>#N/A N/A</v>
      </c>
      <c r="MW5" t="str">
        <f>_xll.BDS("EVRC US Equity","SUPPLY_CHAIN_SUPPLIERS_ALL_DATA","cols=12;rows=5")</f>
        <v>002735 CH Equity</v>
      </c>
      <c r="MY5">
        <v>-2.4245362661989844E-14</v>
      </c>
      <c r="MZ5">
        <v>-2.4245362661989844E-14</v>
      </c>
      <c r="NA5" t="s">
        <v>1753</v>
      </c>
      <c r="NB5">
        <v>2021</v>
      </c>
      <c r="NC5" t="s">
        <v>5856</v>
      </c>
      <c r="ND5" s="6">
        <v>44681</v>
      </c>
      <c r="NE5">
        <v>5</v>
      </c>
      <c r="NF5">
        <v>-2.4245362661989844E-14</v>
      </c>
      <c r="NG5">
        <v>40173217</v>
      </c>
      <c r="NH5" t="s">
        <v>5857</v>
      </c>
      <c r="NK5" t="str">
        <f>_xll.BDS("EVRC US Equity","SUPPLY_CHAIN_CUSTOMERS_ALL_DATA","cols=12;rows=5")</f>
        <v>005930 KS Equity</v>
      </c>
      <c r="NL5">
        <v>-2.4245362661989844E-14</v>
      </c>
      <c r="NN5">
        <v>-2.4245362661989844E-14</v>
      </c>
      <c r="NO5" t="s">
        <v>1753</v>
      </c>
      <c r="NP5">
        <v>2024</v>
      </c>
      <c r="NQ5" t="s">
        <v>3342</v>
      </c>
      <c r="NR5" s="6">
        <v>45308</v>
      </c>
      <c r="NS5">
        <v>5</v>
      </c>
      <c r="NT5">
        <v>-2.4245362661989844E-14</v>
      </c>
      <c r="NU5">
        <v>117929</v>
      </c>
      <c r="NV5" t="s">
        <v>1873</v>
      </c>
      <c r="OA5" t="str">
        <f>_xll.BDS("LPX US Equity","SUPPLY_CHAIN_SUPPLIERS_ALL_DATA","cols=12;rows=5")</f>
        <v>HUN US Equity</v>
      </c>
      <c r="OB5" t="s">
        <v>1752</v>
      </c>
      <c r="OC5">
        <v>8.3888000000000004E-2</v>
      </c>
      <c r="OD5">
        <v>0.23582600000000001</v>
      </c>
      <c r="OE5" t="s">
        <v>1825</v>
      </c>
      <c r="OF5">
        <v>2025</v>
      </c>
      <c r="OG5" t="s">
        <v>2076</v>
      </c>
      <c r="OH5" s="6">
        <v>46086</v>
      </c>
      <c r="OI5">
        <v>5</v>
      </c>
      <c r="OJ5">
        <v>1136682</v>
      </c>
      <c r="OK5">
        <v>9188256</v>
      </c>
      <c r="OL5" t="s">
        <v>2077</v>
      </c>
      <c r="OO5" t="str">
        <f>_xll.BDS("LPX US Equity","SUPPLY_CHAIN_CUSTOMERS_ALL_DATA","cols=12;rows=5")</f>
        <v>HD US Equity</v>
      </c>
      <c r="OP5">
        <v>8.8892240000000005</v>
      </c>
      <c r="OQ5" t="s">
        <v>1752</v>
      </c>
      <c r="OR5">
        <v>0.195462</v>
      </c>
      <c r="OS5" t="s">
        <v>1788</v>
      </c>
      <c r="OT5">
        <v>2025</v>
      </c>
      <c r="OU5" t="s">
        <v>2737</v>
      </c>
      <c r="OV5" s="6">
        <v>45975</v>
      </c>
      <c r="OW5">
        <v>5</v>
      </c>
      <c r="OX5">
        <v>58935556</v>
      </c>
      <c r="OY5">
        <v>100743</v>
      </c>
      <c r="OZ5" t="s">
        <v>1934</v>
      </c>
      <c r="PE5" t="str">
        <f>_xll.BDS("NSIT US Equity","SUPPLY_CHAIN_SUPPLIERS_ALL_DATA","cols=12;rows=5")</f>
        <v>MSFT US Equity</v>
      </c>
      <c r="PF5" t="s">
        <v>1752</v>
      </c>
      <c r="PG5">
        <v>0.67946300000000004</v>
      </c>
      <c r="PH5">
        <v>32</v>
      </c>
      <c r="PI5" t="s">
        <v>1753</v>
      </c>
      <c r="PJ5">
        <v>2025</v>
      </c>
      <c r="PK5" t="s">
        <v>2626</v>
      </c>
      <c r="PL5" s="6">
        <v>46065</v>
      </c>
      <c r="PM5">
        <v>5</v>
      </c>
      <c r="PN5">
        <v>518860224</v>
      </c>
      <c r="PO5">
        <v>101743</v>
      </c>
      <c r="PP5" t="s">
        <v>2156</v>
      </c>
      <c r="PS5" t="str">
        <f>_xll.BDS("NSIT US Equity","SUPPLY_CHAIN_CUSTOMERS_ALL_DATA","cols=12;rows=5")</f>
        <v>SNX US Equity</v>
      </c>
      <c r="PT5">
        <v>0.63492300000000002</v>
      </c>
      <c r="PU5" t="s">
        <v>1752</v>
      </c>
      <c r="PV5">
        <v>7.8612000000000001E-2</v>
      </c>
      <c r="PW5" t="s">
        <v>1825</v>
      </c>
      <c r="PX5">
        <v>2025</v>
      </c>
      <c r="PY5" t="s">
        <v>1826</v>
      </c>
      <c r="PZ5" s="6">
        <v>46056</v>
      </c>
      <c r="QA5">
        <v>5</v>
      </c>
      <c r="QB5">
        <v>12722873</v>
      </c>
      <c r="QC5">
        <v>1499717</v>
      </c>
      <c r="QD5" t="s">
        <v>1827</v>
      </c>
      <c r="QI5" t="str">
        <f>_xll.BDS("LEHMQ US Equity","SUPPLY_CHAIN_SUPPLIERS_ALL_DATA")</f>
        <v>#N/A N/A</v>
      </c>
      <c r="QW5" t="str">
        <f>_xll.BDS("LEHMQ US Equity","SUPPLY_CHAIN_CUSTOMERS_ALL_DATA")</f>
        <v>#N/A N/A</v>
      </c>
      <c r="RM5" t="str">
        <f>_xll.BDS("IPCS US Equity","SUPPLY_CHAIN_SUPPLIERS_ALL_DATA")</f>
        <v>#N/A N/A</v>
      </c>
      <c r="SA5" t="str">
        <f>_xll.BDS("IPCS US Equity","SUPPLY_CHAIN_CUSTOMERS_ALL_DATA")</f>
        <v>#N/A N/A</v>
      </c>
      <c r="SQ5" t="str">
        <f>_xll.BDS("CAG US Equity","SUPPLY_CHAIN_SUPPLIERS_ALL_DATA","cols=12;rows=5")</f>
        <v>AMCR US Equity</v>
      </c>
      <c r="SR5" t="s">
        <v>1752</v>
      </c>
      <c r="SS5">
        <v>0.77134499999999995</v>
      </c>
      <c r="ST5">
        <v>1.952799</v>
      </c>
      <c r="SU5" t="s">
        <v>1774</v>
      </c>
      <c r="SV5">
        <v>2026</v>
      </c>
      <c r="SW5" t="s">
        <v>3445</v>
      </c>
      <c r="SX5" s="6">
        <v>46071</v>
      </c>
      <c r="SY5">
        <v>5</v>
      </c>
      <c r="SZ5">
        <v>42030588</v>
      </c>
      <c r="TA5">
        <v>61417091</v>
      </c>
      <c r="TB5" t="s">
        <v>3446</v>
      </c>
      <c r="TE5" t="str">
        <f>_xll.BDS("CAG US Equity","SUPPLY_CHAIN_CUSTOMERS_ALL_DATA","cols=12;rows=5")</f>
        <v>WMT US Equity</v>
      </c>
      <c r="TF5">
        <v>29</v>
      </c>
      <c r="TG5" t="s">
        <v>1752</v>
      </c>
      <c r="TH5">
        <v>0.65440100000000001</v>
      </c>
      <c r="TI5" t="s">
        <v>1753</v>
      </c>
      <c r="TJ5">
        <v>2025</v>
      </c>
      <c r="TK5" t="s">
        <v>4141</v>
      </c>
      <c r="TL5" s="6">
        <v>45848</v>
      </c>
      <c r="TM5">
        <v>5</v>
      </c>
      <c r="TN5">
        <v>841928000</v>
      </c>
      <c r="TO5">
        <v>101616</v>
      </c>
      <c r="TP5" t="s">
        <v>2752</v>
      </c>
      <c r="TU5" t="str">
        <f>_xll.BDS("WBS US Equity","SUPPLY_CHAIN_SUPPLIERS_ALL_DATA","cols=12;rows=2")</f>
        <v>FISV US Equity</v>
      </c>
      <c r="TW5">
        <v>-2.4245362661989844E-14</v>
      </c>
      <c r="TX5">
        <v>-2.4245362661989844E-14</v>
      </c>
      <c r="TY5" t="s">
        <v>1768</v>
      </c>
      <c r="TZ5">
        <v>2023</v>
      </c>
      <c r="UA5" t="s">
        <v>2153</v>
      </c>
      <c r="UB5" s="6">
        <v>45245</v>
      </c>
      <c r="UC5">
        <v>2</v>
      </c>
      <c r="UD5">
        <v>-2.4245362661989844E-14</v>
      </c>
      <c r="UE5">
        <v>103882</v>
      </c>
      <c r="UF5" t="s">
        <v>2154</v>
      </c>
      <c r="UI5" t="str">
        <f>_xll.BDS("WBS US Equity","SUPPLY_CHAIN_CUSTOMERS_ALL_DATA","cols=12;rows=1")</f>
        <v>CNXN US Equity</v>
      </c>
      <c r="UJ5">
        <v>-2.4245362661989844E-14</v>
      </c>
      <c r="UL5">
        <v>-2.4245362661989844E-14</v>
      </c>
      <c r="UM5" t="s">
        <v>1781</v>
      </c>
      <c r="UN5">
        <v>2025</v>
      </c>
      <c r="UO5" t="s">
        <v>1961</v>
      </c>
      <c r="UP5" s="6">
        <v>45799</v>
      </c>
      <c r="UQ5">
        <v>1</v>
      </c>
      <c r="UR5">
        <v>-2.4245362661989844E-14</v>
      </c>
      <c r="US5">
        <v>313021</v>
      </c>
      <c r="UT5" t="s">
        <v>1962</v>
      </c>
      <c r="UY5" t="str">
        <f>_xll.BDS("1552309D US Equity","SUPPLY_CHAIN_SUPPLIERS_ALL_DATA")</f>
        <v>#N/A N/A</v>
      </c>
      <c r="VM5" t="str">
        <f>_xll.BDS("1552309D US Equity","SUPPLY_CHAIN_CUSTOMERS_ALL_DATA")</f>
        <v>#N/A N/A</v>
      </c>
    </row>
    <row r="6" spans="1:600" x14ac:dyDescent="0.25">
      <c r="A6" t="s">
        <v>3899</v>
      </c>
      <c r="C6">
        <v>-2.4245362661989844E-14</v>
      </c>
      <c r="D6">
        <v>-2.4245362661989844E-14</v>
      </c>
      <c r="E6" t="s">
        <v>1781</v>
      </c>
      <c r="F6">
        <v>2024</v>
      </c>
      <c r="G6" t="s">
        <v>3900</v>
      </c>
      <c r="H6" s="6">
        <v>45432</v>
      </c>
      <c r="I6">
        <v>2</v>
      </c>
      <c r="J6">
        <v>-2.4245362661989844E-14</v>
      </c>
      <c r="K6">
        <v>1750153</v>
      </c>
      <c r="L6" t="s">
        <v>3901</v>
      </c>
      <c r="AE6" t="s">
        <v>2480</v>
      </c>
      <c r="AG6">
        <v>-2.4245362661989844E-14</v>
      </c>
      <c r="AH6">
        <v>-2.4245362661989844E-14</v>
      </c>
      <c r="AI6" t="s">
        <v>1781</v>
      </c>
      <c r="AJ6">
        <v>2023</v>
      </c>
      <c r="AK6" t="s">
        <v>2481</v>
      </c>
      <c r="AL6" s="6">
        <v>45020</v>
      </c>
      <c r="AM6">
        <v>3</v>
      </c>
      <c r="AN6">
        <v>-2.4245362661989844E-14</v>
      </c>
      <c r="AO6">
        <v>106252</v>
      </c>
      <c r="AP6" t="s">
        <v>2482</v>
      </c>
      <c r="CM6" t="s">
        <v>632</v>
      </c>
      <c r="CN6" t="s">
        <v>1828</v>
      </c>
      <c r="CO6">
        <v>6.6028770000000003</v>
      </c>
      <c r="CP6">
        <v>5.0506979999999997</v>
      </c>
      <c r="CQ6" t="s">
        <v>1774</v>
      </c>
      <c r="CR6">
        <v>2025</v>
      </c>
      <c r="CS6" t="s">
        <v>2399</v>
      </c>
      <c r="CT6" s="6">
        <v>45915</v>
      </c>
      <c r="CU6">
        <v>5</v>
      </c>
      <c r="CV6">
        <v>245362912</v>
      </c>
      <c r="CW6">
        <v>101464</v>
      </c>
      <c r="CX6" t="s">
        <v>3712</v>
      </c>
      <c r="DA6" t="s">
        <v>2165</v>
      </c>
      <c r="DB6">
        <v>1.615089</v>
      </c>
      <c r="DC6" t="s">
        <v>1752</v>
      </c>
      <c r="DD6">
        <v>12.136977999999999</v>
      </c>
      <c r="DE6" t="s">
        <v>1753</v>
      </c>
      <c r="DF6">
        <v>2024</v>
      </c>
      <c r="DG6" t="s">
        <v>3653</v>
      </c>
      <c r="DH6" s="6">
        <v>45712</v>
      </c>
      <c r="DI6">
        <v>5</v>
      </c>
      <c r="DJ6">
        <v>1712931072</v>
      </c>
      <c r="DK6">
        <v>9917432</v>
      </c>
      <c r="DL6" t="s">
        <v>2166</v>
      </c>
      <c r="DQ6" t="s">
        <v>4483</v>
      </c>
      <c r="DS6">
        <v>-2.4245362661989844E-14</v>
      </c>
      <c r="DT6">
        <v>-2.4245362661989844E-14</v>
      </c>
      <c r="DU6" t="s">
        <v>1753</v>
      </c>
      <c r="DV6">
        <v>2026</v>
      </c>
      <c r="DW6" t="s">
        <v>3329</v>
      </c>
      <c r="DX6" s="6">
        <v>46049</v>
      </c>
      <c r="DY6">
        <v>5</v>
      </c>
      <c r="DZ6">
        <v>-2.4245362661989844E-14</v>
      </c>
      <c r="EA6">
        <v>69784722</v>
      </c>
      <c r="EB6" t="s">
        <v>4484</v>
      </c>
      <c r="EE6" t="s">
        <v>3331</v>
      </c>
      <c r="EF6">
        <v>-2.4245362661989844E-14</v>
      </c>
      <c r="EH6">
        <v>-2.4245362661989844E-14</v>
      </c>
      <c r="EI6" t="s">
        <v>1753</v>
      </c>
      <c r="EJ6">
        <v>2023</v>
      </c>
      <c r="EK6" t="s">
        <v>3332</v>
      </c>
      <c r="EL6" s="6">
        <v>45294</v>
      </c>
      <c r="EM6">
        <v>5</v>
      </c>
      <c r="EN6">
        <v>-2.4245362661989844E-14</v>
      </c>
      <c r="EO6">
        <v>31163997</v>
      </c>
      <c r="EP6" t="s">
        <v>3333</v>
      </c>
      <c r="MW6" t="s">
        <v>5858</v>
      </c>
      <c r="MY6">
        <v>-2.4245362661989844E-14</v>
      </c>
      <c r="MZ6">
        <v>-2.4245362661989844E-14</v>
      </c>
      <c r="NA6" t="s">
        <v>1753</v>
      </c>
      <c r="NB6">
        <v>2023</v>
      </c>
      <c r="NC6" t="s">
        <v>5859</v>
      </c>
      <c r="ND6" s="6">
        <v>45372</v>
      </c>
      <c r="NE6">
        <v>5</v>
      </c>
      <c r="NF6">
        <v>-2.4245362661989844E-14</v>
      </c>
      <c r="NG6">
        <v>128988</v>
      </c>
      <c r="NH6" t="s">
        <v>5860</v>
      </c>
      <c r="NK6" t="s">
        <v>1926</v>
      </c>
      <c r="NL6">
        <v>-2.4245362661989844E-14</v>
      </c>
      <c r="NM6" t="s">
        <v>1752</v>
      </c>
      <c r="NN6">
        <v>2.3175000000000001E-2</v>
      </c>
      <c r="NO6" t="s">
        <v>1788</v>
      </c>
      <c r="NP6">
        <v>2024</v>
      </c>
      <c r="NQ6" t="s">
        <v>1927</v>
      </c>
      <c r="NR6" s="6">
        <v>45727</v>
      </c>
      <c r="NS6">
        <v>5</v>
      </c>
      <c r="NT6">
        <v>2872099.32</v>
      </c>
      <c r="NU6">
        <v>7583418</v>
      </c>
      <c r="NV6" t="s">
        <v>1928</v>
      </c>
      <c r="OA6" t="s">
        <v>2069</v>
      </c>
      <c r="OB6" t="s">
        <v>1752</v>
      </c>
      <c r="OC6">
        <v>1.983E-2</v>
      </c>
      <c r="OD6">
        <v>0.115466</v>
      </c>
      <c r="OE6" t="s">
        <v>1781</v>
      </c>
      <c r="OF6">
        <v>2025</v>
      </c>
      <c r="OG6" t="s">
        <v>2070</v>
      </c>
      <c r="OH6" s="6">
        <v>45849</v>
      </c>
      <c r="OI6">
        <v>5</v>
      </c>
      <c r="OJ6">
        <v>608501.74</v>
      </c>
      <c r="OK6">
        <v>179551</v>
      </c>
      <c r="OL6" t="s">
        <v>2071</v>
      </c>
      <c r="OO6" t="s">
        <v>1935</v>
      </c>
      <c r="OP6">
        <v>7.0985560000000003</v>
      </c>
      <c r="OQ6" t="s">
        <v>1752</v>
      </c>
      <c r="OR6">
        <v>0.29677999999999999</v>
      </c>
      <c r="OS6" t="s">
        <v>1788</v>
      </c>
      <c r="OT6">
        <v>2025</v>
      </c>
      <c r="OU6" t="s">
        <v>2737</v>
      </c>
      <c r="OV6" s="6">
        <v>45975</v>
      </c>
      <c r="OW6">
        <v>5</v>
      </c>
      <c r="OX6">
        <v>47063424</v>
      </c>
      <c r="OY6">
        <v>100916</v>
      </c>
      <c r="OZ6" t="s">
        <v>1936</v>
      </c>
      <c r="PE6" t="s">
        <v>1824</v>
      </c>
      <c r="PF6" t="s">
        <v>1752</v>
      </c>
      <c r="PG6">
        <v>1.2451030000000001</v>
      </c>
      <c r="PH6">
        <v>12</v>
      </c>
      <c r="PI6" t="s">
        <v>1753</v>
      </c>
      <c r="PJ6">
        <v>2025</v>
      </c>
      <c r="PK6" t="s">
        <v>2626</v>
      </c>
      <c r="PL6" s="6">
        <v>46065</v>
      </c>
      <c r="PM6">
        <v>5</v>
      </c>
      <c r="PN6">
        <v>194572592</v>
      </c>
      <c r="PO6">
        <v>1499717</v>
      </c>
      <c r="PP6" t="s">
        <v>1827</v>
      </c>
      <c r="PS6" t="s">
        <v>5596</v>
      </c>
      <c r="PT6">
        <v>-2.4245362661989844E-14</v>
      </c>
      <c r="PV6">
        <v>-2.4245362661989844E-14</v>
      </c>
      <c r="PW6" t="s">
        <v>1825</v>
      </c>
      <c r="PX6">
        <v>2024</v>
      </c>
      <c r="PY6" t="s">
        <v>5597</v>
      </c>
      <c r="PZ6" s="6">
        <v>45671</v>
      </c>
      <c r="QA6">
        <v>5</v>
      </c>
      <c r="QB6">
        <v>-2.4245362661989844E-14</v>
      </c>
      <c r="QC6">
        <v>69402910</v>
      </c>
      <c r="QD6" t="s">
        <v>5598</v>
      </c>
      <c r="SQ6" t="s">
        <v>5054</v>
      </c>
      <c r="SR6" t="s">
        <v>1752</v>
      </c>
      <c r="SS6">
        <v>0.88658599999999999</v>
      </c>
      <c r="ST6">
        <v>1.5828880000000001</v>
      </c>
      <c r="SU6" t="s">
        <v>1788</v>
      </c>
      <c r="SV6">
        <v>2024</v>
      </c>
      <c r="SW6" t="s">
        <v>5055</v>
      </c>
      <c r="SX6" s="6">
        <v>45686</v>
      </c>
      <c r="SY6">
        <v>5</v>
      </c>
      <c r="SZ6">
        <v>34497060</v>
      </c>
      <c r="TA6">
        <v>12271051</v>
      </c>
      <c r="TB6" t="s">
        <v>5056</v>
      </c>
      <c r="TE6" t="s">
        <v>991</v>
      </c>
      <c r="TF6">
        <v>5.1173909999999996</v>
      </c>
      <c r="TG6" t="s">
        <v>1752</v>
      </c>
      <c r="TH6">
        <v>0.57236200000000004</v>
      </c>
      <c r="TI6" t="s">
        <v>1774</v>
      </c>
      <c r="TJ6">
        <v>2026</v>
      </c>
      <c r="TK6" t="s">
        <v>4142</v>
      </c>
      <c r="TL6" s="6">
        <v>46020</v>
      </c>
      <c r="TM6">
        <v>5</v>
      </c>
      <c r="TN6">
        <v>148568096</v>
      </c>
      <c r="TO6">
        <v>100864</v>
      </c>
      <c r="TP6" t="s">
        <v>2331</v>
      </c>
      <c r="TU6" t="s">
        <v>3899</v>
      </c>
      <c r="TW6">
        <v>-2.4245362661989844E-14</v>
      </c>
      <c r="TX6">
        <v>-2.4245362661989844E-14</v>
      </c>
      <c r="TY6" t="s">
        <v>1781</v>
      </c>
      <c r="TZ6">
        <v>2024</v>
      </c>
      <c r="UA6" t="s">
        <v>3900</v>
      </c>
      <c r="UB6" s="6">
        <v>45432</v>
      </c>
      <c r="UC6">
        <v>2</v>
      </c>
      <c r="UD6">
        <v>-2.4245362661989844E-14</v>
      </c>
      <c r="UE6">
        <v>1750153</v>
      </c>
      <c r="UF6" t="s">
        <v>3901</v>
      </c>
    </row>
    <row r="7" spans="1:600" x14ac:dyDescent="0.25">
      <c r="AE7" t="s">
        <v>1110</v>
      </c>
      <c r="AG7">
        <v>-2.4245362661989844E-14</v>
      </c>
      <c r="AH7">
        <v>-2.4245362661989844E-14</v>
      </c>
      <c r="AI7" t="s">
        <v>1774</v>
      </c>
      <c r="AJ7">
        <v>2023</v>
      </c>
      <c r="AK7" t="s">
        <v>2226</v>
      </c>
      <c r="AL7" s="6">
        <v>45174</v>
      </c>
      <c r="AM7">
        <v>3</v>
      </c>
      <c r="AN7">
        <v>-2.4245362661989844E-14</v>
      </c>
      <c r="AO7">
        <v>202476</v>
      </c>
      <c r="AP7" t="s">
        <v>2227</v>
      </c>
      <c r="CM7" t="s">
        <v>3713</v>
      </c>
      <c r="CN7" t="s">
        <v>1752</v>
      </c>
      <c r="CO7">
        <v>18</v>
      </c>
      <c r="CP7">
        <v>0.28558099999999997</v>
      </c>
      <c r="CQ7" t="s">
        <v>1753</v>
      </c>
      <c r="CR7">
        <v>2025</v>
      </c>
      <c r="CS7" t="s">
        <v>3714</v>
      </c>
      <c r="CT7" s="6">
        <v>46079</v>
      </c>
      <c r="CU7">
        <v>5</v>
      </c>
      <c r="CV7">
        <v>185490768</v>
      </c>
      <c r="CW7">
        <v>103442</v>
      </c>
      <c r="CX7" t="s">
        <v>3715</v>
      </c>
      <c r="DA7" t="s">
        <v>3654</v>
      </c>
      <c r="DB7">
        <v>1.5294399999999999</v>
      </c>
      <c r="DD7">
        <v>-2.4245362661989844E-14</v>
      </c>
      <c r="DE7" t="s">
        <v>1753</v>
      </c>
      <c r="DF7">
        <v>2024</v>
      </c>
      <c r="DG7" t="s">
        <v>3653</v>
      </c>
      <c r="DH7" s="6">
        <v>45712</v>
      </c>
      <c r="DI7">
        <v>5</v>
      </c>
      <c r="DJ7">
        <v>1622093696</v>
      </c>
      <c r="DK7">
        <v>302359</v>
      </c>
      <c r="DL7" t="s">
        <v>3655</v>
      </c>
      <c r="DQ7" t="s">
        <v>4485</v>
      </c>
      <c r="DS7">
        <v>-2.4245362661989844E-14</v>
      </c>
      <c r="DT7">
        <v>-2.4245362661989844E-14</v>
      </c>
      <c r="DU7" t="s">
        <v>1774</v>
      </c>
      <c r="DV7">
        <v>2025</v>
      </c>
      <c r="DW7" t="s">
        <v>4486</v>
      </c>
      <c r="DX7" s="6">
        <v>45931</v>
      </c>
      <c r="DY7">
        <v>5</v>
      </c>
      <c r="DZ7">
        <v>-2.4245362661989844E-14</v>
      </c>
      <c r="EA7">
        <v>225275</v>
      </c>
      <c r="EB7" t="s">
        <v>4487</v>
      </c>
      <c r="EE7" t="s">
        <v>3334</v>
      </c>
      <c r="EF7">
        <v>-2.4245362661989844E-14</v>
      </c>
      <c r="EH7">
        <v>-2.4245362661989844E-14</v>
      </c>
      <c r="EI7" t="s">
        <v>1753</v>
      </c>
      <c r="EJ7">
        <v>2024</v>
      </c>
      <c r="EK7" t="s">
        <v>3335</v>
      </c>
      <c r="EL7" s="6">
        <v>45308</v>
      </c>
      <c r="EM7">
        <v>5</v>
      </c>
      <c r="EN7">
        <v>-2.4245362661989844E-14</v>
      </c>
      <c r="EO7">
        <v>56285483</v>
      </c>
      <c r="EP7" t="s">
        <v>3336</v>
      </c>
      <c r="MW7" t="s">
        <v>5861</v>
      </c>
      <c r="MY7">
        <v>-2.4245362661989844E-14</v>
      </c>
      <c r="MZ7">
        <v>-2.4245362661989844E-14</v>
      </c>
      <c r="NA7" t="s">
        <v>1768</v>
      </c>
      <c r="NB7">
        <v>2024</v>
      </c>
      <c r="NC7" t="s">
        <v>5862</v>
      </c>
      <c r="ND7" s="6">
        <v>45610</v>
      </c>
      <c r="NE7">
        <v>5</v>
      </c>
      <c r="NF7">
        <v>-2.4245362661989844E-14</v>
      </c>
      <c r="NG7">
        <v>13254622</v>
      </c>
      <c r="NH7" t="s">
        <v>5863</v>
      </c>
      <c r="NK7" t="s">
        <v>3343</v>
      </c>
      <c r="NL7">
        <v>-2.4245362661989844E-14</v>
      </c>
      <c r="NN7">
        <v>-2.4245362661989844E-14</v>
      </c>
      <c r="NO7" t="s">
        <v>1753</v>
      </c>
      <c r="NP7">
        <v>2024</v>
      </c>
      <c r="NQ7" t="s">
        <v>3344</v>
      </c>
      <c r="NR7" s="6">
        <v>45734</v>
      </c>
      <c r="NS7">
        <v>5</v>
      </c>
      <c r="NT7">
        <v>-2.4245362661989844E-14</v>
      </c>
      <c r="NU7">
        <v>153672</v>
      </c>
      <c r="NV7" t="s">
        <v>3345</v>
      </c>
      <c r="OA7" t="s">
        <v>2304</v>
      </c>
      <c r="OC7">
        <v>-2.4245362661989844E-14</v>
      </c>
      <c r="OD7">
        <v>-2.4245362661989844E-14</v>
      </c>
      <c r="OE7" t="s">
        <v>1753</v>
      </c>
      <c r="OF7">
        <v>2021</v>
      </c>
      <c r="OG7" t="s">
        <v>2305</v>
      </c>
      <c r="OH7" s="6">
        <v>44693</v>
      </c>
      <c r="OI7">
        <v>5</v>
      </c>
      <c r="OJ7">
        <v>-2.4245362661989844E-14</v>
      </c>
      <c r="OK7">
        <v>313098</v>
      </c>
      <c r="OL7" t="s">
        <v>2306</v>
      </c>
      <c r="OO7" t="s">
        <v>2738</v>
      </c>
      <c r="OP7">
        <v>2.6209859999999998</v>
      </c>
      <c r="OQ7" t="s">
        <v>1752</v>
      </c>
      <c r="OR7">
        <v>0.63380700000000001</v>
      </c>
      <c r="OS7" t="s">
        <v>1788</v>
      </c>
      <c r="OT7">
        <v>2025</v>
      </c>
      <c r="OU7" t="s">
        <v>2737</v>
      </c>
      <c r="OV7" s="6">
        <v>45975</v>
      </c>
      <c r="OW7">
        <v>5</v>
      </c>
      <c r="OX7">
        <v>17377136</v>
      </c>
      <c r="OY7">
        <v>952888</v>
      </c>
      <c r="OZ7" t="s">
        <v>2739</v>
      </c>
      <c r="PE7" t="s">
        <v>2423</v>
      </c>
      <c r="PF7" t="s">
        <v>1752</v>
      </c>
      <c r="PG7">
        <v>0.29136000000000001</v>
      </c>
      <c r="PH7">
        <v>6.1949690000000004</v>
      </c>
      <c r="PI7" t="s">
        <v>1825</v>
      </c>
      <c r="PJ7">
        <v>2025</v>
      </c>
      <c r="PK7" t="s">
        <v>2627</v>
      </c>
      <c r="PL7" s="6">
        <v>46091</v>
      </c>
      <c r="PM7">
        <v>5</v>
      </c>
      <c r="PN7">
        <v>97252896</v>
      </c>
      <c r="PO7">
        <v>50985605</v>
      </c>
      <c r="PP7" t="s">
        <v>2424</v>
      </c>
      <c r="PS7" t="s">
        <v>5599</v>
      </c>
      <c r="PT7">
        <v>-2.4245362661989844E-14</v>
      </c>
      <c r="PV7">
        <v>-2.4245362661989844E-14</v>
      </c>
      <c r="PW7" t="s">
        <v>1825</v>
      </c>
      <c r="PX7">
        <v>2024</v>
      </c>
      <c r="PY7" t="s">
        <v>5600</v>
      </c>
      <c r="PZ7" s="6">
        <v>45736</v>
      </c>
      <c r="QA7">
        <v>5</v>
      </c>
      <c r="QB7">
        <v>-2.4245362661989844E-14</v>
      </c>
      <c r="QC7">
        <v>69378547</v>
      </c>
      <c r="QD7" t="s">
        <v>5601</v>
      </c>
      <c r="SQ7" t="s">
        <v>4423</v>
      </c>
      <c r="SR7" t="s">
        <v>1752</v>
      </c>
      <c r="SS7">
        <v>2.173902</v>
      </c>
      <c r="ST7">
        <v>1.4833229999999999</v>
      </c>
      <c r="SU7" t="s">
        <v>1825</v>
      </c>
      <c r="SV7">
        <v>2025</v>
      </c>
      <c r="SW7" t="s">
        <v>4424</v>
      </c>
      <c r="SX7" s="6">
        <v>46077</v>
      </c>
      <c r="SY7">
        <v>5</v>
      </c>
      <c r="SZ7">
        <v>31925924</v>
      </c>
      <c r="TA7">
        <v>159323</v>
      </c>
      <c r="TB7" t="s">
        <v>4425</v>
      </c>
      <c r="TE7" t="s">
        <v>3433</v>
      </c>
      <c r="TF7">
        <v>2.5004659999999999</v>
      </c>
      <c r="TG7" t="s">
        <v>1752</v>
      </c>
      <c r="TH7">
        <v>0.63146800000000003</v>
      </c>
      <c r="TI7" t="s">
        <v>1774</v>
      </c>
      <c r="TJ7">
        <v>2026</v>
      </c>
      <c r="TK7" t="s">
        <v>4142</v>
      </c>
      <c r="TL7" s="6">
        <v>46020</v>
      </c>
      <c r="TM7">
        <v>5</v>
      </c>
      <c r="TN7">
        <v>72593528</v>
      </c>
      <c r="TO7">
        <v>143036</v>
      </c>
      <c r="TP7" t="s">
        <v>3434</v>
      </c>
    </row>
    <row r="8" spans="1:600" x14ac:dyDescent="0.25">
      <c r="CM8" t="s">
        <v>3716</v>
      </c>
      <c r="CN8" t="s">
        <v>1752</v>
      </c>
      <c r="CO8">
        <v>4.630776</v>
      </c>
      <c r="CP8">
        <v>0.19183800000000001</v>
      </c>
      <c r="CQ8" t="s">
        <v>1788</v>
      </c>
      <c r="CR8">
        <v>2025</v>
      </c>
      <c r="CS8" t="s">
        <v>3717</v>
      </c>
      <c r="CT8" s="6">
        <v>45952</v>
      </c>
      <c r="CU8">
        <v>5</v>
      </c>
      <c r="CV8">
        <v>125308800</v>
      </c>
      <c r="CW8">
        <v>171010</v>
      </c>
      <c r="CX8" t="s">
        <v>3718</v>
      </c>
      <c r="DA8" t="s">
        <v>3366</v>
      </c>
      <c r="DB8">
        <v>0.34598400000000001</v>
      </c>
      <c r="DC8" t="s">
        <v>1752</v>
      </c>
      <c r="DD8">
        <v>1.684086</v>
      </c>
      <c r="DE8" t="s">
        <v>1774</v>
      </c>
      <c r="DF8">
        <v>2025</v>
      </c>
      <c r="DG8" t="s">
        <v>3367</v>
      </c>
      <c r="DH8" s="6">
        <v>45873</v>
      </c>
      <c r="DI8">
        <v>5</v>
      </c>
      <c r="DJ8">
        <v>342105216</v>
      </c>
      <c r="DK8">
        <v>100211</v>
      </c>
      <c r="DL8" t="s">
        <v>3368</v>
      </c>
      <c r="DQ8" t="s">
        <v>2524</v>
      </c>
      <c r="DS8">
        <v>-2.4245362661989844E-14</v>
      </c>
      <c r="DT8">
        <v>-2.4245362661989844E-14</v>
      </c>
      <c r="DU8" t="s">
        <v>1825</v>
      </c>
      <c r="DV8">
        <v>2024</v>
      </c>
      <c r="DW8" t="s">
        <v>4488</v>
      </c>
      <c r="DX8" s="6">
        <v>45701</v>
      </c>
      <c r="DY8">
        <v>5</v>
      </c>
      <c r="DZ8">
        <v>-2.4245362661989844E-14</v>
      </c>
      <c r="EA8">
        <v>43152573</v>
      </c>
      <c r="EB8" t="s">
        <v>2526</v>
      </c>
      <c r="EE8" t="s">
        <v>3337</v>
      </c>
      <c r="EF8">
        <v>-2.4245362661989844E-14</v>
      </c>
      <c r="EH8">
        <v>-2.4245362661989844E-14</v>
      </c>
      <c r="EI8" t="s">
        <v>1753</v>
      </c>
      <c r="EJ8">
        <v>2025</v>
      </c>
      <c r="EK8" t="s">
        <v>3329</v>
      </c>
      <c r="EL8" s="6">
        <v>45789</v>
      </c>
      <c r="EM8">
        <v>5</v>
      </c>
      <c r="EN8">
        <v>-2.4245362661989844E-14</v>
      </c>
      <c r="EO8">
        <v>21477672</v>
      </c>
      <c r="EP8" t="s">
        <v>3338</v>
      </c>
      <c r="MW8" t="s">
        <v>2937</v>
      </c>
      <c r="MY8">
        <v>-2.4245362661989844E-14</v>
      </c>
      <c r="MZ8">
        <v>-2.4245362661989844E-14</v>
      </c>
      <c r="NA8" t="s">
        <v>1753</v>
      </c>
      <c r="NB8">
        <v>2024</v>
      </c>
      <c r="NC8" t="s">
        <v>3342</v>
      </c>
      <c r="ND8" s="6">
        <v>45308</v>
      </c>
      <c r="NE8">
        <v>5</v>
      </c>
      <c r="NF8">
        <v>-2.4245362661989844E-14</v>
      </c>
      <c r="NG8">
        <v>37074384</v>
      </c>
      <c r="NH8" t="s">
        <v>2939</v>
      </c>
      <c r="NK8" t="s">
        <v>484</v>
      </c>
      <c r="NL8">
        <v>-2.4245362661989844E-14</v>
      </c>
      <c r="NN8">
        <v>-2.4245362661989844E-14</v>
      </c>
      <c r="NO8" t="s">
        <v>1753</v>
      </c>
      <c r="NP8">
        <v>2024</v>
      </c>
      <c r="NQ8" t="s">
        <v>3342</v>
      </c>
      <c r="NR8" s="6">
        <v>45315</v>
      </c>
      <c r="NS8">
        <v>5</v>
      </c>
      <c r="NT8">
        <v>-2.4245362661989844E-14</v>
      </c>
      <c r="NU8">
        <v>101695</v>
      </c>
      <c r="NV8" t="s">
        <v>3011</v>
      </c>
      <c r="OA8" t="s">
        <v>2307</v>
      </c>
      <c r="OC8">
        <v>-2.4245362661989844E-14</v>
      </c>
      <c r="OD8">
        <v>-2.4245362661989844E-14</v>
      </c>
      <c r="OE8" t="s">
        <v>1753</v>
      </c>
      <c r="OF8">
        <v>2021</v>
      </c>
      <c r="OG8" t="s">
        <v>2308</v>
      </c>
      <c r="OH8" s="6">
        <v>44693</v>
      </c>
      <c r="OI8">
        <v>5</v>
      </c>
      <c r="OJ8">
        <v>-2.4245362661989844E-14</v>
      </c>
      <c r="OK8">
        <v>100060</v>
      </c>
      <c r="OL8" t="s">
        <v>2309</v>
      </c>
      <c r="OO8" t="s">
        <v>2740</v>
      </c>
      <c r="OP8">
        <v>2.5511309999999998</v>
      </c>
      <c r="OQ8" t="s">
        <v>1752</v>
      </c>
      <c r="OR8">
        <v>0.23505599999999999</v>
      </c>
      <c r="OS8" t="s">
        <v>1788</v>
      </c>
      <c r="OT8">
        <v>2025</v>
      </c>
      <c r="OU8" t="s">
        <v>2737</v>
      </c>
      <c r="OV8" s="6">
        <v>45975</v>
      </c>
      <c r="OW8">
        <v>5</v>
      </c>
      <c r="OX8">
        <v>16914000</v>
      </c>
      <c r="OY8">
        <v>100887</v>
      </c>
      <c r="OZ8" t="s">
        <v>2741</v>
      </c>
      <c r="PE8" t="s">
        <v>2335</v>
      </c>
      <c r="PF8" t="s">
        <v>1752</v>
      </c>
      <c r="PG8">
        <v>0.26268200000000003</v>
      </c>
      <c r="PH8">
        <v>3.7153960000000001</v>
      </c>
      <c r="PI8" t="s">
        <v>1825</v>
      </c>
      <c r="PJ8">
        <v>2025</v>
      </c>
      <c r="PK8" t="s">
        <v>2627</v>
      </c>
      <c r="PL8" s="6">
        <v>46091</v>
      </c>
      <c r="PM8">
        <v>5</v>
      </c>
      <c r="PN8">
        <v>58326848</v>
      </c>
      <c r="PO8">
        <v>130929</v>
      </c>
      <c r="PP8" t="s">
        <v>2336</v>
      </c>
      <c r="PS8" t="s">
        <v>5602</v>
      </c>
      <c r="PT8">
        <v>-2.4245362661989844E-14</v>
      </c>
      <c r="PV8">
        <v>-2.4245362661989844E-14</v>
      </c>
      <c r="PW8" t="s">
        <v>1753</v>
      </c>
      <c r="PX8">
        <v>2025</v>
      </c>
      <c r="PY8" t="s">
        <v>5603</v>
      </c>
      <c r="PZ8" s="6">
        <v>45755</v>
      </c>
      <c r="QA8">
        <v>5</v>
      </c>
      <c r="QB8">
        <v>-2.4245362661989844E-14</v>
      </c>
      <c r="QC8">
        <v>68517300</v>
      </c>
      <c r="QD8" t="s">
        <v>5604</v>
      </c>
      <c r="SQ8" t="s">
        <v>4014</v>
      </c>
      <c r="SR8" t="s">
        <v>1752</v>
      </c>
      <c r="SS8">
        <v>0.89916700000000005</v>
      </c>
      <c r="ST8">
        <v>0.87856100000000004</v>
      </c>
      <c r="SU8" t="s">
        <v>1825</v>
      </c>
      <c r="SV8">
        <v>2025</v>
      </c>
      <c r="SW8" t="s">
        <v>4015</v>
      </c>
      <c r="SX8" s="6">
        <v>46076</v>
      </c>
      <c r="SY8">
        <v>5</v>
      </c>
      <c r="SZ8">
        <v>18909482</v>
      </c>
      <c r="TA8">
        <v>187274</v>
      </c>
      <c r="TB8" t="s">
        <v>4016</v>
      </c>
      <c r="TE8" t="s">
        <v>2346</v>
      </c>
      <c r="TF8">
        <v>2.40829</v>
      </c>
      <c r="TG8" t="s">
        <v>1752</v>
      </c>
      <c r="TH8">
        <v>0.50631099999999996</v>
      </c>
      <c r="TI8" t="s">
        <v>1774</v>
      </c>
      <c r="TJ8">
        <v>2026</v>
      </c>
      <c r="TK8" t="s">
        <v>4142</v>
      </c>
      <c r="TL8" s="6">
        <v>46020</v>
      </c>
      <c r="TM8">
        <v>5</v>
      </c>
      <c r="TN8">
        <v>69917472</v>
      </c>
      <c r="TO8">
        <v>46386935</v>
      </c>
      <c r="TP8" t="s">
        <v>2348</v>
      </c>
    </row>
    <row r="9" spans="1:600" x14ac:dyDescent="0.25">
      <c r="CM9" t="s">
        <v>3014</v>
      </c>
      <c r="CN9" t="s">
        <v>1828</v>
      </c>
      <c r="CO9">
        <v>1.650523</v>
      </c>
      <c r="CP9">
        <v>1.7462089999999999</v>
      </c>
      <c r="CQ9" t="s">
        <v>1788</v>
      </c>
      <c r="CR9">
        <v>2025</v>
      </c>
      <c r="CS9" t="s">
        <v>3015</v>
      </c>
      <c r="CT9" s="6">
        <v>46029</v>
      </c>
      <c r="CU9">
        <v>5</v>
      </c>
      <c r="CV9">
        <v>97565313.560000002</v>
      </c>
      <c r="CW9">
        <v>115705</v>
      </c>
      <c r="CX9" t="s">
        <v>3016</v>
      </c>
      <c r="DA9" t="s">
        <v>1908</v>
      </c>
      <c r="DB9">
        <v>0.19926099999999999</v>
      </c>
      <c r="DC9" t="s">
        <v>1752</v>
      </c>
      <c r="DD9">
        <v>1.1451750000000001</v>
      </c>
      <c r="DE9" t="s">
        <v>1774</v>
      </c>
      <c r="DF9">
        <v>2025</v>
      </c>
      <c r="DG9" t="s">
        <v>2515</v>
      </c>
      <c r="DH9" s="6">
        <v>45895</v>
      </c>
      <c r="DI9">
        <v>5</v>
      </c>
      <c r="DJ9">
        <v>197027360</v>
      </c>
      <c r="DK9">
        <v>101555</v>
      </c>
      <c r="DL9" t="s">
        <v>1909</v>
      </c>
      <c r="DQ9" t="s">
        <v>4489</v>
      </c>
      <c r="DS9">
        <v>-2.4245362661989844E-14</v>
      </c>
      <c r="DT9">
        <v>-2.4245362661989844E-14</v>
      </c>
      <c r="DU9" t="s">
        <v>1753</v>
      </c>
      <c r="DV9">
        <v>2026</v>
      </c>
      <c r="DW9" t="s">
        <v>3329</v>
      </c>
      <c r="DX9" s="6">
        <v>46049</v>
      </c>
      <c r="DY9">
        <v>5</v>
      </c>
      <c r="DZ9">
        <v>-2.4245362661989844E-14</v>
      </c>
      <c r="EA9">
        <v>7373212</v>
      </c>
      <c r="EB9" t="s">
        <v>4490</v>
      </c>
      <c r="EE9" t="s">
        <v>3339</v>
      </c>
      <c r="EF9">
        <v>-2.4245362661989844E-14</v>
      </c>
      <c r="EH9">
        <v>-2.4245362661989844E-14</v>
      </c>
      <c r="EI9" t="s">
        <v>1788</v>
      </c>
      <c r="EJ9">
        <v>2025</v>
      </c>
      <c r="EK9" t="s">
        <v>3340</v>
      </c>
      <c r="EL9" s="6">
        <v>45969</v>
      </c>
      <c r="EM9">
        <v>5</v>
      </c>
      <c r="EN9">
        <v>-2.4245362661989844E-14</v>
      </c>
      <c r="EO9">
        <v>67149573</v>
      </c>
      <c r="EP9" t="s">
        <v>3341</v>
      </c>
      <c r="MW9" t="s">
        <v>5864</v>
      </c>
      <c r="MY9">
        <v>-2.4245362661989844E-14</v>
      </c>
      <c r="MZ9">
        <v>-2.4245362661989844E-14</v>
      </c>
      <c r="NA9" t="s">
        <v>1842</v>
      </c>
      <c r="NB9">
        <v>2022</v>
      </c>
      <c r="NC9" t="s">
        <v>5865</v>
      </c>
      <c r="ND9" s="6">
        <v>45002</v>
      </c>
      <c r="NE9">
        <v>5</v>
      </c>
      <c r="NF9">
        <v>-2.4245362661989844E-14</v>
      </c>
      <c r="NG9">
        <v>69359695</v>
      </c>
      <c r="NH9" t="s">
        <v>5866</v>
      </c>
      <c r="NK9" t="s">
        <v>3207</v>
      </c>
      <c r="NL9">
        <v>-2.4245362661989844E-14</v>
      </c>
      <c r="NN9">
        <v>-2.4245362661989844E-14</v>
      </c>
      <c r="NO9" t="s">
        <v>1753</v>
      </c>
      <c r="NP9">
        <v>2024</v>
      </c>
      <c r="NQ9" t="s">
        <v>3342</v>
      </c>
      <c r="NR9" s="6">
        <v>45315</v>
      </c>
      <c r="NS9">
        <v>5</v>
      </c>
      <c r="NT9">
        <v>-2.4245362661989844E-14</v>
      </c>
      <c r="NU9">
        <v>100197</v>
      </c>
      <c r="NV9" t="s">
        <v>3209</v>
      </c>
      <c r="OA9" t="s">
        <v>3228</v>
      </c>
      <c r="OC9">
        <v>-2.4245362661989844E-14</v>
      </c>
      <c r="OD9">
        <v>-2.4245362661989844E-14</v>
      </c>
      <c r="OE9" t="s">
        <v>1753</v>
      </c>
      <c r="OF9">
        <v>2021</v>
      </c>
      <c r="OG9" t="s">
        <v>3229</v>
      </c>
      <c r="OH9" s="6">
        <v>44693</v>
      </c>
      <c r="OI9">
        <v>5</v>
      </c>
      <c r="OJ9">
        <v>-2.4245362661989844E-14</v>
      </c>
      <c r="OK9">
        <v>101625</v>
      </c>
      <c r="OL9" t="s">
        <v>3230</v>
      </c>
      <c r="OO9" t="s">
        <v>1079</v>
      </c>
      <c r="OP9">
        <v>1.255379</v>
      </c>
      <c r="OQ9" t="s">
        <v>1752</v>
      </c>
      <c r="OR9">
        <v>9.3869999999999995E-3</v>
      </c>
      <c r="OS9" t="s">
        <v>1788</v>
      </c>
      <c r="OT9">
        <v>2025</v>
      </c>
      <c r="OU9" t="s">
        <v>2737</v>
      </c>
      <c r="OV9" s="6">
        <v>45975</v>
      </c>
      <c r="OW9">
        <v>5</v>
      </c>
      <c r="OX9">
        <v>8323163</v>
      </c>
      <c r="OY9">
        <v>216952</v>
      </c>
      <c r="OZ9" t="s">
        <v>1899</v>
      </c>
      <c r="PE9" t="s">
        <v>2628</v>
      </c>
      <c r="PF9" t="s">
        <v>1752</v>
      </c>
      <c r="PG9">
        <v>4.7025999999999998E-2</v>
      </c>
      <c r="PH9">
        <v>3.409754</v>
      </c>
      <c r="PI9" t="s">
        <v>1825</v>
      </c>
      <c r="PJ9">
        <v>2025</v>
      </c>
      <c r="PK9" t="s">
        <v>2627</v>
      </c>
      <c r="PL9" s="6">
        <v>46091</v>
      </c>
      <c r="PM9">
        <v>5</v>
      </c>
      <c r="PN9">
        <v>53528672</v>
      </c>
      <c r="PO9">
        <v>46946968</v>
      </c>
      <c r="PP9" t="s">
        <v>2629</v>
      </c>
      <c r="PS9" t="s">
        <v>5605</v>
      </c>
      <c r="PT9">
        <v>-2.4245362661989844E-14</v>
      </c>
      <c r="PV9">
        <v>-2.4245362661989844E-14</v>
      </c>
      <c r="PW9" t="s">
        <v>1788</v>
      </c>
      <c r="PX9">
        <v>2025</v>
      </c>
      <c r="PY9" t="s">
        <v>5606</v>
      </c>
      <c r="PZ9" s="6">
        <v>45993</v>
      </c>
      <c r="QA9">
        <v>5</v>
      </c>
      <c r="QB9">
        <v>-2.4245362661989844E-14</v>
      </c>
      <c r="QC9">
        <v>50681608</v>
      </c>
      <c r="QD9" t="s">
        <v>5607</v>
      </c>
      <c r="SQ9" t="s">
        <v>3018</v>
      </c>
      <c r="SR9" t="s">
        <v>1940</v>
      </c>
      <c r="SS9">
        <v>0.119411</v>
      </c>
      <c r="ST9">
        <v>1.4986539999999999</v>
      </c>
      <c r="SU9" t="s">
        <v>1774</v>
      </c>
      <c r="SV9">
        <v>2026</v>
      </c>
      <c r="SW9" t="s">
        <v>3019</v>
      </c>
      <c r="SX9" s="6">
        <v>46022</v>
      </c>
      <c r="SY9">
        <v>5</v>
      </c>
      <c r="SZ9">
        <v>5598707.7800000003</v>
      </c>
      <c r="TA9">
        <v>174545</v>
      </c>
      <c r="TB9" t="s">
        <v>3020</v>
      </c>
      <c r="TE9" t="s">
        <v>2794</v>
      </c>
      <c r="TF9">
        <v>2.1785049999999999</v>
      </c>
      <c r="TG9" t="s">
        <v>1752</v>
      </c>
      <c r="TH9">
        <v>0.108095</v>
      </c>
      <c r="TI9" t="s">
        <v>1774</v>
      </c>
      <c r="TJ9">
        <v>2026</v>
      </c>
      <c r="TK9" t="s">
        <v>4142</v>
      </c>
      <c r="TL9" s="6">
        <v>46020</v>
      </c>
      <c r="TM9">
        <v>5</v>
      </c>
      <c r="TN9">
        <v>63246356</v>
      </c>
      <c r="TO9">
        <v>101758</v>
      </c>
      <c r="TP9" t="s">
        <v>2796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1197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1198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1199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1200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1201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1202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1203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1204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1205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1206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1207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1208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1209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1210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1211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1212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1213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1214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1215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37</v>
      </c>
      <c r="AE2" s="3" t="s">
        <v>1216</v>
      </c>
      <c r="BI2" s="3" t="s">
        <v>1217</v>
      </c>
      <c r="CM2" s="3" t="s">
        <v>497</v>
      </c>
      <c r="DQ2" s="3" t="s">
        <v>1218</v>
      </c>
      <c r="EU2" s="3" t="s">
        <v>420</v>
      </c>
      <c r="FY2" s="3" t="s">
        <v>452</v>
      </c>
      <c r="HC2" s="3" t="s">
        <v>229</v>
      </c>
      <c r="IG2" s="3" t="s">
        <v>411</v>
      </c>
      <c r="JK2" s="3" t="s">
        <v>1219</v>
      </c>
      <c r="KO2" s="3" t="s">
        <v>302</v>
      </c>
      <c r="LS2" s="3" t="s">
        <v>346</v>
      </c>
      <c r="MW2" s="3" t="s">
        <v>458</v>
      </c>
      <c r="OA2" s="3" t="s">
        <v>1220</v>
      </c>
      <c r="PE2" s="3" t="s">
        <v>1221</v>
      </c>
      <c r="QI2" s="3" t="s">
        <v>1222</v>
      </c>
      <c r="RM2" s="3" t="s">
        <v>1223</v>
      </c>
      <c r="SQ2" s="3" t="s">
        <v>1224</v>
      </c>
      <c r="TU2" s="3" t="s">
        <v>1225</v>
      </c>
      <c r="UY2" s="3" t="s">
        <v>789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_xll.BDS("nan Equity","SUPPLY_CHAIN_SUPPLIERS_ALL_DATA")</f>
        <v>#N/A N/A</v>
      </c>
      <c r="O5" t="str">
        <f>_xll.BDS("nan Equity","SUPPLY_CHAIN_CUSTOMERS_ALL_DATA")</f>
        <v>#N/A N/A</v>
      </c>
      <c r="AE5" t="str">
        <f>_xll.BDS("FCNCA US Equity","SUPPLY_CHAIN_SUPPLIERS_ALL_DATA","cols=12;rows=5")</f>
        <v>RAIL US Equity</v>
      </c>
      <c r="AF5" t="s">
        <v>1828</v>
      </c>
      <c r="AG5">
        <v>0.17932300000000001</v>
      </c>
      <c r="AH5">
        <v>0.16764100000000001</v>
      </c>
      <c r="AI5" t="s">
        <v>1781</v>
      </c>
      <c r="AJ5">
        <v>2025</v>
      </c>
      <c r="AK5" t="s">
        <v>2983</v>
      </c>
      <c r="AL5" s="6">
        <v>45840</v>
      </c>
      <c r="AM5">
        <v>5</v>
      </c>
      <c r="AN5">
        <v>172670</v>
      </c>
      <c r="AO5">
        <v>9371099</v>
      </c>
      <c r="AP5" t="s">
        <v>2825</v>
      </c>
      <c r="AS5" t="str">
        <f>_xll.BDS("FCNCA US Equity","SUPPLY_CHAIN_CUSTOMERS_ALL_DATA")</f>
        <v>#N/A N/A</v>
      </c>
      <c r="BI5" t="str">
        <f>_xll.BDS("CCS US Equity","SUPPLY_CHAIN_SUPPLIERS_ALL_DATA","cols=12;rows=4")</f>
        <v>WMS US Equity</v>
      </c>
      <c r="BJ5" t="s">
        <v>1752</v>
      </c>
      <c r="BK5">
        <v>0.17291100000000001</v>
      </c>
      <c r="BL5">
        <v>0.17999200000000001</v>
      </c>
      <c r="BM5" t="s">
        <v>1781</v>
      </c>
      <c r="BN5">
        <v>2026</v>
      </c>
      <c r="BO5" t="s">
        <v>2536</v>
      </c>
      <c r="BP5" s="6">
        <v>45891</v>
      </c>
      <c r="BQ5">
        <v>4</v>
      </c>
      <c r="BR5">
        <v>1434954</v>
      </c>
      <c r="BS5">
        <v>7799313</v>
      </c>
      <c r="BT5" t="s">
        <v>2537</v>
      </c>
      <c r="BW5" t="str">
        <f>_xll.BDS("CCS US Equity","SUPPLY_CHAIN_CUSTOMERS_ALL_DATA")</f>
        <v>#N/A N/A</v>
      </c>
      <c r="CM5" t="str">
        <f>_xll.BDS("WINMQ US Equity","SUPPLY_CHAIN_SUPPLIERS_ALL_DATA","cols=12;rows=5")</f>
        <v>DY US Equity</v>
      </c>
      <c r="CO5">
        <v>2.4</v>
      </c>
      <c r="CP5">
        <v>-2.4245362661989844E-14</v>
      </c>
      <c r="CQ5" t="s">
        <v>1825</v>
      </c>
      <c r="CR5">
        <v>2025</v>
      </c>
      <c r="CS5" t="s">
        <v>2230</v>
      </c>
      <c r="CT5" s="6">
        <v>45717</v>
      </c>
      <c r="CU5">
        <v>5</v>
      </c>
      <c r="CV5">
        <v>26028624</v>
      </c>
      <c r="CW5">
        <v>100487</v>
      </c>
      <c r="CX5" t="s">
        <v>2231</v>
      </c>
      <c r="DA5" t="str">
        <f>_xll.BDS("WINMQ US Equity","SUPPLY_CHAIN_CUSTOMERS_ALL_DATA","cols=12;rows=2")</f>
        <v>SCSC US Equity</v>
      </c>
      <c r="DB5">
        <v>-2.4245362661989844E-14</v>
      </c>
      <c r="DD5">
        <v>-2.4245362661989844E-14</v>
      </c>
      <c r="DE5" t="s">
        <v>1788</v>
      </c>
      <c r="DF5">
        <v>2024</v>
      </c>
      <c r="DG5" t="s">
        <v>1914</v>
      </c>
      <c r="DH5" s="6">
        <v>45422</v>
      </c>
      <c r="DI5">
        <v>2</v>
      </c>
      <c r="DJ5">
        <v>-2.4245362661989844E-14</v>
      </c>
      <c r="DK5">
        <v>136424</v>
      </c>
      <c r="DL5" t="s">
        <v>1877</v>
      </c>
      <c r="DQ5" t="str">
        <f>_xll.BDS("EXCO US Equity","SUPPLY_CHAIN_SUPPLIERS_ALL_DATA")</f>
        <v>#N/A N/A</v>
      </c>
      <c r="EE5" t="str">
        <f>_xll.BDS("EXCO US Equity","SUPPLY_CHAIN_CUSTOMERS_ALL_DATA")</f>
        <v>#N/A N/A</v>
      </c>
      <c r="EU5" t="str">
        <f>_xll.BDS("BUSE US Equity","SUPPLY_CHAIN_SUPPLIERS_ALL_DATA")</f>
        <v>#N/A N/A</v>
      </c>
      <c r="FI5" t="str">
        <f>_xll.BDS("BUSE US Equity","SUPPLY_CHAIN_CUSTOMERS_ALL_DATA")</f>
        <v>#N/A N/A</v>
      </c>
      <c r="FY5" t="str">
        <f>_xll.BDS("DHR US Equity","SUPPLY_CHAIN_SUPPLIERS_ALL_DATA","cols=12;rows=5")</f>
        <v>FLEX US Equity</v>
      </c>
      <c r="FZ5" t="s">
        <v>1752</v>
      </c>
      <c r="GA5">
        <v>1.165869</v>
      </c>
      <c r="GB5">
        <v>2.8864939999999999</v>
      </c>
      <c r="GC5" t="s">
        <v>1788</v>
      </c>
      <c r="GD5">
        <v>2025</v>
      </c>
      <c r="GE5" t="s">
        <v>2213</v>
      </c>
      <c r="GF5" s="6">
        <v>45763</v>
      </c>
      <c r="GG5">
        <v>5</v>
      </c>
      <c r="GH5">
        <v>76434368</v>
      </c>
      <c r="GI5">
        <v>136547</v>
      </c>
      <c r="GJ5" t="s">
        <v>2214</v>
      </c>
      <c r="GM5" t="str">
        <f>_xll.BDS("DHR US Equity","SUPPLY_CHAIN_CUSTOMERS_ALL_DATA","cols=12;rows=5")</f>
        <v>CDW US Equity</v>
      </c>
      <c r="GN5">
        <v>0.25350099999999998</v>
      </c>
      <c r="GO5" t="s">
        <v>1752</v>
      </c>
      <c r="GP5">
        <v>0.35698299999999999</v>
      </c>
      <c r="GQ5" t="s">
        <v>1781</v>
      </c>
      <c r="GR5">
        <v>2025</v>
      </c>
      <c r="GS5" t="s">
        <v>1955</v>
      </c>
      <c r="GT5" s="6">
        <v>45820</v>
      </c>
      <c r="GU5">
        <v>5</v>
      </c>
      <c r="GV5">
        <v>14553483</v>
      </c>
      <c r="GW5">
        <v>12129192</v>
      </c>
      <c r="GX5" t="s">
        <v>1956</v>
      </c>
      <c r="HC5" t="str">
        <f>_xll.BDS("T US Equity","SUPPLY_CHAIN_SUPPLIERS_ALL_DATA","cols=12;rows=5")</f>
        <v>AAPL US Equity</v>
      </c>
      <c r="HD5" t="s">
        <v>1752</v>
      </c>
      <c r="HE5">
        <v>1.2812509999999999</v>
      </c>
      <c r="HF5">
        <v>9.9289989999999992</v>
      </c>
      <c r="HG5" t="s">
        <v>1774</v>
      </c>
      <c r="HH5">
        <v>2025</v>
      </c>
      <c r="HI5" t="s">
        <v>3698</v>
      </c>
      <c r="HJ5" s="6">
        <v>45863</v>
      </c>
      <c r="HK5">
        <v>5</v>
      </c>
      <c r="HL5">
        <v>1221788160</v>
      </c>
      <c r="HM5">
        <v>101695</v>
      </c>
      <c r="HN5" t="s">
        <v>3011</v>
      </c>
      <c r="HQ5" t="str">
        <f>_xll.BDS("T US Equity","SUPPLY_CHAIN_CUSTOMERS_ALL_DATA","cols=12;rows=5")</f>
        <v>IBM US Equity</v>
      </c>
      <c r="HR5">
        <v>0.86485599999999996</v>
      </c>
      <c r="HS5" t="s">
        <v>1752</v>
      </c>
      <c r="HT5">
        <v>4.0630959999999998</v>
      </c>
      <c r="HU5" t="s">
        <v>1781</v>
      </c>
      <c r="HV5">
        <v>2025</v>
      </c>
      <c r="HW5" t="s">
        <v>1869</v>
      </c>
      <c r="HX5" s="6">
        <v>45797</v>
      </c>
      <c r="HY5">
        <v>5</v>
      </c>
      <c r="HZ5">
        <v>264507552</v>
      </c>
      <c r="IA5">
        <v>100801</v>
      </c>
      <c r="IB5" t="s">
        <v>1870</v>
      </c>
      <c r="IG5" t="str">
        <f>_xll.BDS("HPQ US Equity","SUPPLY_CHAIN_SUPPLIERS_ALL_DATA","cols=12;rows=5")</f>
        <v>2356 TT Equity</v>
      </c>
      <c r="IH5" t="s">
        <v>1752</v>
      </c>
      <c r="II5">
        <v>36.343342</v>
      </c>
      <c r="IJ5">
        <v>18.051394999999999</v>
      </c>
      <c r="IK5" t="s">
        <v>1788</v>
      </c>
      <c r="IL5">
        <v>2025</v>
      </c>
      <c r="IM5" t="s">
        <v>4293</v>
      </c>
      <c r="IN5" s="6">
        <v>46035</v>
      </c>
      <c r="IO5">
        <v>5</v>
      </c>
      <c r="IP5">
        <v>2141270971.6500001</v>
      </c>
      <c r="IQ5">
        <v>193712</v>
      </c>
      <c r="IR5" t="s">
        <v>4294</v>
      </c>
      <c r="IU5" t="str">
        <f>_xll.BDS("HPQ US Equity","SUPPLY_CHAIN_CUSTOMERS_ALL_DATA","cols=12;rows=5")</f>
        <v>SNX US Equity</v>
      </c>
      <c r="IV5">
        <v>12</v>
      </c>
      <c r="IW5" t="s">
        <v>1752</v>
      </c>
      <c r="IX5">
        <v>11.690618000000001</v>
      </c>
      <c r="IY5" t="s">
        <v>1753</v>
      </c>
      <c r="IZ5">
        <v>2025</v>
      </c>
      <c r="JA5" t="s">
        <v>3503</v>
      </c>
      <c r="JB5" s="6">
        <v>46001</v>
      </c>
      <c r="JC5">
        <v>5</v>
      </c>
      <c r="JD5">
        <v>1658850048</v>
      </c>
      <c r="JE5">
        <v>1499717</v>
      </c>
      <c r="JF5" t="s">
        <v>1827</v>
      </c>
      <c r="JK5" t="str">
        <f>_xll.BDS("HDC US Equity","SUPPLY_CHAIN_SUPPLIERS_ALL_DATA")</f>
        <v>#N/A N/A</v>
      </c>
      <c r="JY5" t="str">
        <f>_xll.BDS("HDC US Equity","SUPPLY_CHAIN_CUSTOMERS_ALL_DATA")</f>
        <v>#N/A N/A</v>
      </c>
      <c r="KO5" t="str">
        <f>_xll.BDS("WSBC US Equity","SUPPLY_CHAIN_SUPPLIERS_ALL_DATA")</f>
        <v>#N/A N/A</v>
      </c>
      <c r="LC5" t="str">
        <f>_xll.BDS("WSBC US Equity","SUPPLY_CHAIN_CUSTOMERS_ALL_DATA","cols=12;rows=2")</f>
        <v>NINE CN Equity</v>
      </c>
      <c r="LD5">
        <v>-2.4245362661989844E-14</v>
      </c>
      <c r="LF5">
        <v>-2.4245362661989844E-14</v>
      </c>
      <c r="LG5" t="s">
        <v>1753</v>
      </c>
      <c r="LH5">
        <v>2023</v>
      </c>
      <c r="LI5" t="s">
        <v>4133</v>
      </c>
      <c r="LJ5" s="6">
        <v>44967</v>
      </c>
      <c r="LK5">
        <v>2</v>
      </c>
      <c r="LL5">
        <v>-2.4245362661989844E-14</v>
      </c>
      <c r="LM5">
        <v>67289203</v>
      </c>
      <c r="LN5" t="s">
        <v>4134</v>
      </c>
      <c r="LS5" t="str">
        <f>_xll.BDS("DKS US Equity","SUPPLY_CHAIN_SUPPLIERS_ALL_DATA","cols=12;rows=5")</f>
        <v>NKE US Equity</v>
      </c>
      <c r="LT5" t="s">
        <v>1752</v>
      </c>
      <c r="LU5">
        <v>5.2345969999999999</v>
      </c>
      <c r="LV5">
        <v>22.013415999999999</v>
      </c>
      <c r="LW5" t="s">
        <v>1774</v>
      </c>
      <c r="LX5">
        <v>2025</v>
      </c>
      <c r="LY5" t="s">
        <v>2440</v>
      </c>
      <c r="LZ5" s="6">
        <v>46020</v>
      </c>
      <c r="MA5">
        <v>5</v>
      </c>
      <c r="MB5">
        <v>613494784</v>
      </c>
      <c r="MC5">
        <v>101073</v>
      </c>
      <c r="MD5" t="s">
        <v>2441</v>
      </c>
      <c r="MG5" t="str">
        <f>_xll.BDS("DKS US Equity","SUPPLY_CHAIN_CUSTOMERS_ALL_DATA","cols=12;rows=4")</f>
        <v>1545896D US Equity</v>
      </c>
      <c r="MH5">
        <v>-2.4245362661989844E-14</v>
      </c>
      <c r="MJ5">
        <v>-2.4245362661989844E-14</v>
      </c>
      <c r="MK5" t="s">
        <v>1753</v>
      </c>
      <c r="ML5">
        <v>2024</v>
      </c>
      <c r="MM5" t="s">
        <v>1803</v>
      </c>
      <c r="MN5" s="6">
        <v>45398</v>
      </c>
      <c r="MO5">
        <v>4</v>
      </c>
      <c r="MP5">
        <v>-2.4245362661989844E-14</v>
      </c>
      <c r="MQ5">
        <v>55456893</v>
      </c>
      <c r="MR5" t="s">
        <v>1804</v>
      </c>
      <c r="MW5" t="str">
        <f>_xll.BDS("SUSQ US Equity","SUPPLY_CHAIN_SUPPLIERS_ALL_DATA")</f>
        <v>#N/A N/A</v>
      </c>
      <c r="NK5" t="str">
        <f>_xll.BDS("SUSQ US Equity","SUPPLY_CHAIN_CUSTOMERS_ALL_DATA")</f>
        <v>#N/A N/A</v>
      </c>
      <c r="OA5" t="str">
        <f>_xll.BDS("DVW US Equity","SUPPLY_CHAIN_SUPPLIERS_ALL_DATA")</f>
        <v>#N/A N/A</v>
      </c>
      <c r="OO5" t="str">
        <f>_xll.BDS("DVW US Equity","SUPPLY_CHAIN_CUSTOMERS_ALL_DATA")</f>
        <v>#N/A N/A</v>
      </c>
      <c r="PE5" t="str">
        <f>_xll.BDS("SYKE US Equity","SUPPLY_CHAIN_SUPPLIERS_ALL_DATA")</f>
        <v>#N/A N/A</v>
      </c>
      <c r="PS5" t="str">
        <f>_xll.BDS("SYKE US Equity","SUPPLY_CHAIN_CUSTOMERS_ALL_DATA","cols=12;rows=1")</f>
        <v>1718696D US Equity</v>
      </c>
      <c r="PT5">
        <v>-2.4245362661989844E-14</v>
      </c>
      <c r="PV5">
        <v>-2.4245362661989844E-14</v>
      </c>
      <c r="PW5" t="s">
        <v>1774</v>
      </c>
      <c r="PX5">
        <v>2022</v>
      </c>
      <c r="PY5" t="s">
        <v>3746</v>
      </c>
      <c r="PZ5" s="6">
        <v>44662</v>
      </c>
      <c r="QA5">
        <v>1</v>
      </c>
      <c r="QB5">
        <v>-2.4245362661989844E-14</v>
      </c>
      <c r="QC5">
        <v>64700001</v>
      </c>
      <c r="QD5" t="s">
        <v>3747</v>
      </c>
      <c r="QI5" t="str">
        <f>_xll.BDS("GBCI US Equity","SUPPLY_CHAIN_SUPPLIERS_ALL_DATA","cols=12;rows=1")</f>
        <v>VYX US Equity</v>
      </c>
      <c r="QK5">
        <v>-2.4245362661989844E-14</v>
      </c>
      <c r="QL5">
        <v>-2.4245362661989844E-14</v>
      </c>
      <c r="QM5" t="s">
        <v>1774</v>
      </c>
      <c r="QN5">
        <v>2023</v>
      </c>
      <c r="QO5" t="s">
        <v>2226</v>
      </c>
      <c r="QP5" s="6">
        <v>45173</v>
      </c>
      <c r="QQ5">
        <v>1</v>
      </c>
      <c r="QR5">
        <v>-2.4245362661989844E-14</v>
      </c>
      <c r="QS5">
        <v>202476</v>
      </c>
      <c r="QT5" t="s">
        <v>2227</v>
      </c>
      <c r="QW5" t="str">
        <f>_xll.BDS("GBCI US Equity","SUPPLY_CHAIN_CUSTOMERS_ALL_DATA")</f>
        <v>#N/A N/A</v>
      </c>
      <c r="RM5" t="str">
        <f>_xll.BDS("BONTQ US Equity","SUPPLY_CHAIN_SUPPLIERS_ALL_DATA","cols=12;rows=5")</f>
        <v>8932 TT Equity</v>
      </c>
      <c r="RO5">
        <v>-2.4245362661989844E-14</v>
      </c>
      <c r="RP5">
        <v>-2.4245362661989844E-14</v>
      </c>
      <c r="RQ5" t="s">
        <v>1753</v>
      </c>
      <c r="RR5">
        <v>2023</v>
      </c>
      <c r="RS5" t="s">
        <v>4491</v>
      </c>
      <c r="RT5" s="6">
        <v>45414</v>
      </c>
      <c r="RU5">
        <v>5</v>
      </c>
      <c r="RV5">
        <v>-2.4245362661989844E-14</v>
      </c>
      <c r="RW5">
        <v>7270318</v>
      </c>
      <c r="RX5" t="s">
        <v>3079</v>
      </c>
      <c r="SA5" t="str">
        <f>_xll.BDS("BONTQ US Equity","SUPPLY_CHAIN_CUSTOMERS_ALL_DATA")</f>
        <v>#N/A N/A</v>
      </c>
      <c r="SQ5" t="str">
        <f>_xll.BDS("STBA US Equity","SUPPLY_CHAIN_SUPPLIERS_ALL_DATA")</f>
        <v>#N/A N/A</v>
      </c>
      <c r="TE5" t="str">
        <f>_xll.BDS("STBA US Equity","SUPPLY_CHAIN_CUSTOMERS_ALL_DATA")</f>
        <v>#N/A N/A</v>
      </c>
      <c r="TU5" t="str">
        <f>_xll.BDS("TTN US Equity","SUPPLY_CHAIN_SUPPLIERS_ALL_DATA")</f>
        <v>#N/A N/A</v>
      </c>
      <c r="UI5" t="str">
        <f>_xll.BDS("TTN US Equity","SUPPLY_CHAIN_CUSTOMERS_ALL_DATA")</f>
        <v>#N/A N/A</v>
      </c>
      <c r="UY5" t="str">
        <f>_xll.BDS("UBSI US Equity","SUPPLY_CHAIN_SUPPLIERS_ALL_DATA","cols=12;rows=1")</f>
        <v>FICO US Equity</v>
      </c>
      <c r="VA5">
        <v>-2.4245362661989844E-14</v>
      </c>
      <c r="VB5">
        <v>-2.4245362661989844E-14</v>
      </c>
      <c r="VC5" t="s">
        <v>1753</v>
      </c>
      <c r="VD5">
        <v>2024</v>
      </c>
      <c r="VE5" t="s">
        <v>2224</v>
      </c>
      <c r="VF5" s="6">
        <v>45348</v>
      </c>
      <c r="VG5">
        <v>1</v>
      </c>
      <c r="VH5">
        <v>-2.4245362661989844E-14</v>
      </c>
      <c r="VI5">
        <v>103869</v>
      </c>
      <c r="VJ5" t="s">
        <v>2225</v>
      </c>
      <c r="VM5" t="str">
        <f>_xll.BDS("UBSI US Equity","SUPPLY_CHAIN_CUSTOMERS_ALL_DATA")</f>
        <v>#N/A N/A</v>
      </c>
    </row>
    <row r="6" spans="1:600" x14ac:dyDescent="0.25">
      <c r="AE6" t="s">
        <v>2984</v>
      </c>
      <c r="AG6">
        <v>-2.4245362661989844E-14</v>
      </c>
      <c r="AH6">
        <v>-2.4245362661989844E-14</v>
      </c>
      <c r="AI6" t="s">
        <v>1753</v>
      </c>
      <c r="AJ6">
        <v>2023</v>
      </c>
      <c r="AK6" t="s">
        <v>2985</v>
      </c>
      <c r="AL6" s="6">
        <v>45408</v>
      </c>
      <c r="AM6">
        <v>5</v>
      </c>
      <c r="AN6">
        <v>-2.4245362661989844E-14</v>
      </c>
      <c r="AO6">
        <v>31730105</v>
      </c>
      <c r="AP6" t="s">
        <v>2986</v>
      </c>
      <c r="BI6" t="s">
        <v>1926</v>
      </c>
      <c r="BK6">
        <v>-2.4245362661989844E-14</v>
      </c>
      <c r="BL6">
        <v>-2.4245362661989844E-14</v>
      </c>
      <c r="BM6" t="s">
        <v>1768</v>
      </c>
      <c r="BN6">
        <v>2025</v>
      </c>
      <c r="BO6" t="s">
        <v>2538</v>
      </c>
      <c r="BP6" s="6">
        <v>45975</v>
      </c>
      <c r="BQ6">
        <v>4</v>
      </c>
      <c r="BR6">
        <v>-2.4245362661989844E-14</v>
      </c>
      <c r="BS6">
        <v>7583418</v>
      </c>
      <c r="BT6" t="s">
        <v>1928</v>
      </c>
      <c r="CM6" t="s">
        <v>2232</v>
      </c>
      <c r="CO6">
        <v>-2.4245362661989844E-14</v>
      </c>
      <c r="CP6">
        <v>-2.4245362661989844E-14</v>
      </c>
      <c r="CQ6" t="s">
        <v>1753</v>
      </c>
      <c r="CR6">
        <v>2021</v>
      </c>
      <c r="CS6" t="s">
        <v>2233</v>
      </c>
      <c r="CT6" s="6">
        <v>44718</v>
      </c>
      <c r="CU6">
        <v>5</v>
      </c>
      <c r="CV6">
        <v>-2.4245362661989844E-14</v>
      </c>
      <c r="CW6">
        <v>885036</v>
      </c>
      <c r="CX6" t="s">
        <v>2234</v>
      </c>
      <c r="DA6" t="s">
        <v>1915</v>
      </c>
      <c r="DB6">
        <v>-2.4245362661989844E-14</v>
      </c>
      <c r="DD6">
        <v>-2.4245362661989844E-14</v>
      </c>
      <c r="DE6" t="s">
        <v>1753</v>
      </c>
      <c r="DF6">
        <v>2022</v>
      </c>
      <c r="DG6" t="s">
        <v>1916</v>
      </c>
      <c r="DH6" s="6">
        <v>44993</v>
      </c>
      <c r="DI6">
        <v>2</v>
      </c>
      <c r="DJ6">
        <v>-2.4245362661989844E-14</v>
      </c>
      <c r="DK6">
        <v>10092517</v>
      </c>
      <c r="DL6" t="s">
        <v>1917</v>
      </c>
      <c r="FY6" t="s">
        <v>2215</v>
      </c>
      <c r="FZ6" t="s">
        <v>1752</v>
      </c>
      <c r="GA6">
        <v>0.147895</v>
      </c>
      <c r="GB6">
        <v>0.47978500000000002</v>
      </c>
      <c r="GC6" t="s">
        <v>1788</v>
      </c>
      <c r="GD6">
        <v>2025</v>
      </c>
      <c r="GE6" t="s">
        <v>2216</v>
      </c>
      <c r="GF6" s="6">
        <v>45867</v>
      </c>
      <c r="GG6">
        <v>5</v>
      </c>
      <c r="GH6">
        <v>11577221</v>
      </c>
      <c r="GI6">
        <v>117092</v>
      </c>
      <c r="GJ6" t="s">
        <v>2217</v>
      </c>
      <c r="GM6" t="s">
        <v>1824</v>
      </c>
      <c r="GN6">
        <v>0.22051499999999999</v>
      </c>
      <c r="GO6" t="s">
        <v>1752</v>
      </c>
      <c r="GP6">
        <v>9.3169000000000002E-2</v>
      </c>
      <c r="GQ6" t="s">
        <v>1825</v>
      </c>
      <c r="GR6">
        <v>2025</v>
      </c>
      <c r="GS6" t="s">
        <v>1826</v>
      </c>
      <c r="GT6" s="6">
        <v>46056</v>
      </c>
      <c r="GU6">
        <v>5</v>
      </c>
      <c r="GV6">
        <v>15078834</v>
      </c>
      <c r="GW6">
        <v>1499717</v>
      </c>
      <c r="GX6" t="s">
        <v>1827</v>
      </c>
      <c r="HC6" t="s">
        <v>1871</v>
      </c>
      <c r="HD6" t="s">
        <v>1752</v>
      </c>
      <c r="HE6">
        <v>2.0413640000000002</v>
      </c>
      <c r="HF6">
        <v>9.0393749999999997</v>
      </c>
      <c r="HG6" t="s">
        <v>1774</v>
      </c>
      <c r="HH6">
        <v>2025</v>
      </c>
      <c r="HI6" t="s">
        <v>3698</v>
      </c>
      <c r="HJ6" s="6">
        <v>45863</v>
      </c>
      <c r="HK6">
        <v>5</v>
      </c>
      <c r="HL6">
        <v>1112317696</v>
      </c>
      <c r="HM6">
        <v>117929</v>
      </c>
      <c r="HN6" t="s">
        <v>1873</v>
      </c>
      <c r="HQ6" t="s">
        <v>1824</v>
      </c>
      <c r="HR6">
        <v>0.112041</v>
      </c>
      <c r="HS6" t="s">
        <v>1752</v>
      </c>
      <c r="HT6">
        <v>0.211726</v>
      </c>
      <c r="HU6" t="s">
        <v>1825</v>
      </c>
      <c r="HV6">
        <v>2025</v>
      </c>
      <c r="HW6" t="s">
        <v>1826</v>
      </c>
      <c r="HX6" s="6">
        <v>46056</v>
      </c>
      <c r="HY6">
        <v>5</v>
      </c>
      <c r="HZ6">
        <v>34266560</v>
      </c>
      <c r="IA6">
        <v>1499717</v>
      </c>
      <c r="IB6" t="s">
        <v>1827</v>
      </c>
      <c r="IG6" t="s">
        <v>2808</v>
      </c>
      <c r="IH6" t="s">
        <v>1752</v>
      </c>
      <c r="II6">
        <v>12.003353000000001</v>
      </c>
      <c r="IJ6">
        <v>14.056165999999999</v>
      </c>
      <c r="IK6" t="s">
        <v>1825</v>
      </c>
      <c r="IL6">
        <v>2025</v>
      </c>
      <c r="IM6" t="s">
        <v>4295</v>
      </c>
      <c r="IN6" s="6">
        <v>46048</v>
      </c>
      <c r="IO6">
        <v>5</v>
      </c>
      <c r="IP6">
        <v>1641338496</v>
      </c>
      <c r="IQ6">
        <v>101729</v>
      </c>
      <c r="IR6" t="s">
        <v>2810</v>
      </c>
      <c r="IU6" t="s">
        <v>3207</v>
      </c>
      <c r="IV6">
        <v>1.5894710000000001</v>
      </c>
      <c r="IW6" t="s">
        <v>1752</v>
      </c>
      <c r="IX6">
        <v>2.6168589999999998</v>
      </c>
      <c r="IY6" t="s">
        <v>1774</v>
      </c>
      <c r="IZ6">
        <v>2026</v>
      </c>
      <c r="JA6" t="s">
        <v>3208</v>
      </c>
      <c r="JB6" s="6">
        <v>45932</v>
      </c>
      <c r="JC6">
        <v>5</v>
      </c>
      <c r="JD6">
        <v>221445152</v>
      </c>
      <c r="JE6">
        <v>100197</v>
      </c>
      <c r="JF6" t="s">
        <v>3209</v>
      </c>
      <c r="LC6" t="s">
        <v>4135</v>
      </c>
      <c r="LD6">
        <v>-2.4245362661989844E-14</v>
      </c>
      <c r="LF6">
        <v>-2.4245362661989844E-14</v>
      </c>
      <c r="LG6" t="s">
        <v>1753</v>
      </c>
      <c r="LH6">
        <v>2023</v>
      </c>
      <c r="LI6" t="s">
        <v>4136</v>
      </c>
      <c r="LJ6" s="6">
        <v>44991</v>
      </c>
      <c r="LK6">
        <v>2</v>
      </c>
      <c r="LL6">
        <v>-2.4245362661989844E-14</v>
      </c>
      <c r="LM6">
        <v>57471390</v>
      </c>
      <c r="LN6" t="s">
        <v>4137</v>
      </c>
      <c r="LS6" t="s">
        <v>2442</v>
      </c>
      <c r="LT6" t="s">
        <v>1752</v>
      </c>
      <c r="LU6">
        <v>9.0064019999999996</v>
      </c>
      <c r="LV6">
        <v>26.710256999999999</v>
      </c>
      <c r="LW6" t="s">
        <v>1774</v>
      </c>
      <c r="LX6">
        <v>2025</v>
      </c>
      <c r="LY6" t="s">
        <v>2443</v>
      </c>
      <c r="LZ6" s="6">
        <v>45939</v>
      </c>
      <c r="MA6">
        <v>5</v>
      </c>
      <c r="MB6">
        <v>604328326.45000005</v>
      </c>
      <c r="MC6">
        <v>180001</v>
      </c>
      <c r="MD6" t="s">
        <v>2444</v>
      </c>
      <c r="MG6" t="s">
        <v>1805</v>
      </c>
      <c r="MH6">
        <v>-2.4245362661989844E-14</v>
      </c>
      <c r="MJ6">
        <v>-2.4245362661989844E-14</v>
      </c>
      <c r="MK6" t="s">
        <v>1781</v>
      </c>
      <c r="ML6">
        <v>2025</v>
      </c>
      <c r="MM6" t="s">
        <v>1806</v>
      </c>
      <c r="MN6" s="6">
        <v>45778</v>
      </c>
      <c r="MO6">
        <v>4</v>
      </c>
      <c r="MP6">
        <v>-2.4245362661989844E-14</v>
      </c>
      <c r="MQ6">
        <v>41633687</v>
      </c>
      <c r="MR6" t="s">
        <v>1807</v>
      </c>
      <c r="RM6" t="s">
        <v>2392</v>
      </c>
      <c r="RO6">
        <v>-2.4245362661989844E-14</v>
      </c>
      <c r="RP6">
        <v>-2.4245362661989844E-14</v>
      </c>
      <c r="RQ6" t="s">
        <v>1753</v>
      </c>
      <c r="RR6">
        <v>2021</v>
      </c>
      <c r="RS6" t="s">
        <v>2393</v>
      </c>
      <c r="RT6" s="6">
        <v>44693</v>
      </c>
      <c r="RU6">
        <v>5</v>
      </c>
      <c r="RV6">
        <v>-2.4245362661989844E-14</v>
      </c>
      <c r="RW6">
        <v>101690</v>
      </c>
      <c r="RX6" t="s">
        <v>2394</v>
      </c>
    </row>
    <row r="7" spans="1:600" x14ac:dyDescent="0.25">
      <c r="AE7" t="s">
        <v>1831</v>
      </c>
      <c r="AG7">
        <v>-2.4245362661989844E-14</v>
      </c>
      <c r="AH7">
        <v>-2.4245362661989844E-14</v>
      </c>
      <c r="AI7" t="s">
        <v>1761</v>
      </c>
      <c r="AJ7">
        <v>2025</v>
      </c>
      <c r="AK7" t="s">
        <v>2987</v>
      </c>
      <c r="AL7" s="6">
        <v>45846</v>
      </c>
      <c r="AM7">
        <v>5</v>
      </c>
      <c r="AN7">
        <v>-2.4245362661989844E-14</v>
      </c>
      <c r="AO7">
        <v>876285</v>
      </c>
      <c r="AP7" t="s">
        <v>1833</v>
      </c>
      <c r="BI7" t="s">
        <v>2539</v>
      </c>
      <c r="BK7">
        <v>-2.4245362661989844E-14</v>
      </c>
      <c r="BL7">
        <v>-2.4245362661989844E-14</v>
      </c>
      <c r="BM7" t="s">
        <v>1753</v>
      </c>
      <c r="BN7">
        <v>2023</v>
      </c>
      <c r="BO7" t="s">
        <v>2540</v>
      </c>
      <c r="BP7" s="6">
        <v>45397</v>
      </c>
      <c r="BQ7">
        <v>4</v>
      </c>
      <c r="BR7">
        <v>-2.4245362661989844E-14</v>
      </c>
      <c r="BS7">
        <v>19288476</v>
      </c>
      <c r="BT7" t="s">
        <v>2541</v>
      </c>
      <c r="CM7" t="s">
        <v>2235</v>
      </c>
      <c r="CO7">
        <v>-2.4245362661989844E-14</v>
      </c>
      <c r="CP7">
        <v>-2.4245362661989844E-14</v>
      </c>
      <c r="CQ7" t="s">
        <v>1788</v>
      </c>
      <c r="CR7">
        <v>2022</v>
      </c>
      <c r="CS7" t="s">
        <v>2236</v>
      </c>
      <c r="CT7" s="6">
        <v>44895</v>
      </c>
      <c r="CU7">
        <v>5</v>
      </c>
      <c r="CV7">
        <v>-2.4245362661989844E-14</v>
      </c>
      <c r="CW7">
        <v>69795062</v>
      </c>
      <c r="CX7" t="s">
        <v>2237</v>
      </c>
      <c r="FY7" t="s">
        <v>2415</v>
      </c>
      <c r="FZ7" t="s">
        <v>1752</v>
      </c>
      <c r="GA7">
        <v>0.32230900000000001</v>
      </c>
      <c r="GB7">
        <v>0.38473400000000002</v>
      </c>
      <c r="GC7" t="s">
        <v>1788</v>
      </c>
      <c r="GD7">
        <v>2025</v>
      </c>
      <c r="GE7" t="s">
        <v>2416</v>
      </c>
      <c r="GF7" s="6">
        <v>45891</v>
      </c>
      <c r="GG7">
        <v>5</v>
      </c>
      <c r="GH7">
        <v>9283621</v>
      </c>
      <c r="GI7">
        <v>100097</v>
      </c>
      <c r="GJ7" t="s">
        <v>2417</v>
      </c>
      <c r="GM7" t="s">
        <v>2092</v>
      </c>
      <c r="GN7">
        <v>8.1423999999999996E-2</v>
      </c>
      <c r="GO7" t="s">
        <v>1752</v>
      </c>
      <c r="GP7">
        <v>0.194387</v>
      </c>
      <c r="GQ7" t="s">
        <v>1788</v>
      </c>
      <c r="GR7">
        <v>2025</v>
      </c>
      <c r="GS7" t="s">
        <v>2093</v>
      </c>
      <c r="GT7" s="6">
        <v>45694</v>
      </c>
      <c r="GU7">
        <v>5</v>
      </c>
      <c r="GV7">
        <v>5430637.3600000003</v>
      </c>
      <c r="GW7">
        <v>111827</v>
      </c>
      <c r="GX7" t="s">
        <v>2094</v>
      </c>
      <c r="HC7" t="s">
        <v>3014</v>
      </c>
      <c r="HD7" t="s">
        <v>1828</v>
      </c>
      <c r="HE7">
        <v>13.01698</v>
      </c>
      <c r="HF7">
        <v>13.663121</v>
      </c>
      <c r="HG7" t="s">
        <v>1788</v>
      </c>
      <c r="HH7">
        <v>2025</v>
      </c>
      <c r="HI7" t="s">
        <v>3015</v>
      </c>
      <c r="HJ7" s="6">
        <v>46029</v>
      </c>
      <c r="HK7">
        <v>5</v>
      </c>
      <c r="HL7">
        <v>769456564.02999997</v>
      </c>
      <c r="HM7">
        <v>115705</v>
      </c>
      <c r="HN7" t="s">
        <v>3016</v>
      </c>
      <c r="HQ7" t="s">
        <v>1875</v>
      </c>
      <c r="HR7">
        <v>3.6669E-2</v>
      </c>
      <c r="HS7" t="s">
        <v>1752</v>
      </c>
      <c r="HT7">
        <v>1.85477</v>
      </c>
      <c r="HU7" t="s">
        <v>1788</v>
      </c>
      <c r="HV7">
        <v>2025</v>
      </c>
      <c r="HW7" t="s">
        <v>1876</v>
      </c>
      <c r="HX7" s="6">
        <v>45840</v>
      </c>
      <c r="HY7">
        <v>5</v>
      </c>
      <c r="HZ7">
        <v>11214774</v>
      </c>
      <c r="IA7">
        <v>136424</v>
      </c>
      <c r="IB7" t="s">
        <v>1877</v>
      </c>
      <c r="IG7" t="s">
        <v>4296</v>
      </c>
      <c r="IH7" t="s">
        <v>1752</v>
      </c>
      <c r="II7">
        <v>6.8536460000000003</v>
      </c>
      <c r="IJ7">
        <v>9.6768190000000001</v>
      </c>
      <c r="IK7" t="s">
        <v>1781</v>
      </c>
      <c r="IL7">
        <v>2025</v>
      </c>
      <c r="IM7" t="s">
        <v>4297</v>
      </c>
      <c r="IN7" s="6">
        <v>45812</v>
      </c>
      <c r="IO7">
        <v>5</v>
      </c>
      <c r="IP7">
        <v>1011895282.72</v>
      </c>
      <c r="IQ7">
        <v>330541</v>
      </c>
      <c r="IR7" t="s">
        <v>4298</v>
      </c>
      <c r="IU7" t="s">
        <v>3504</v>
      </c>
      <c r="IV7">
        <v>1.3641749999999999</v>
      </c>
      <c r="IW7" t="s">
        <v>1752</v>
      </c>
      <c r="IX7">
        <v>0.69426200000000005</v>
      </c>
      <c r="IY7" t="s">
        <v>1781</v>
      </c>
      <c r="IZ7">
        <v>2025</v>
      </c>
      <c r="JA7" t="s">
        <v>3505</v>
      </c>
      <c r="JB7" s="6">
        <v>45797</v>
      </c>
      <c r="JC7">
        <v>5</v>
      </c>
      <c r="JD7">
        <v>183924678.06999999</v>
      </c>
      <c r="JE7">
        <v>223340</v>
      </c>
      <c r="JF7" t="s">
        <v>3506</v>
      </c>
      <c r="LS7" t="s">
        <v>2445</v>
      </c>
      <c r="LT7" t="s">
        <v>1752</v>
      </c>
      <c r="LU7">
        <v>3.3420920000000001</v>
      </c>
      <c r="LV7">
        <v>3.086319</v>
      </c>
      <c r="LW7" t="s">
        <v>1788</v>
      </c>
      <c r="LX7">
        <v>2025</v>
      </c>
      <c r="LY7" t="s">
        <v>2446</v>
      </c>
      <c r="LZ7" s="6">
        <v>46071</v>
      </c>
      <c r="MA7">
        <v>5</v>
      </c>
      <c r="MB7">
        <v>86097820.459999993</v>
      </c>
      <c r="MC7">
        <v>118392</v>
      </c>
      <c r="MD7" t="s">
        <v>2447</v>
      </c>
      <c r="MG7" t="s">
        <v>1808</v>
      </c>
      <c r="MH7">
        <v>-2.4245362661989844E-14</v>
      </c>
      <c r="MJ7">
        <v>-2.4245362661989844E-14</v>
      </c>
      <c r="MK7" t="s">
        <v>1774</v>
      </c>
      <c r="ML7">
        <v>2026</v>
      </c>
      <c r="MM7" t="s">
        <v>1809</v>
      </c>
      <c r="MN7" s="6">
        <v>45946</v>
      </c>
      <c r="MO7">
        <v>4</v>
      </c>
      <c r="MP7">
        <v>-2.4245362661989844E-14</v>
      </c>
      <c r="MQ7">
        <v>23852826</v>
      </c>
      <c r="MR7" t="s">
        <v>1810</v>
      </c>
      <c r="RM7" t="s">
        <v>3881</v>
      </c>
      <c r="RO7">
        <v>-2.4245362661989844E-14</v>
      </c>
      <c r="RP7">
        <v>-2.4245362661989844E-14</v>
      </c>
      <c r="RQ7" t="s">
        <v>1753</v>
      </c>
      <c r="RR7">
        <v>2023</v>
      </c>
      <c r="RS7" t="s">
        <v>4492</v>
      </c>
      <c r="RT7" s="6">
        <v>45351</v>
      </c>
      <c r="RU7">
        <v>5</v>
      </c>
      <c r="RV7">
        <v>-2.4245362661989844E-14</v>
      </c>
      <c r="RW7">
        <v>126294</v>
      </c>
      <c r="RX7" t="s">
        <v>3883</v>
      </c>
    </row>
    <row r="8" spans="1:600" x14ac:dyDescent="0.25">
      <c r="AE8" t="s">
        <v>2988</v>
      </c>
      <c r="AG8">
        <v>-2.4245362661989844E-14</v>
      </c>
      <c r="AH8">
        <v>-2.4245362661989844E-14</v>
      </c>
      <c r="AI8" t="s">
        <v>1753</v>
      </c>
      <c r="AJ8">
        <v>2024</v>
      </c>
      <c r="AK8" t="s">
        <v>2989</v>
      </c>
      <c r="AL8" s="6">
        <v>45748</v>
      </c>
      <c r="AM8">
        <v>5</v>
      </c>
      <c r="AN8">
        <v>-2.4245362661989844E-14</v>
      </c>
      <c r="AO8">
        <v>158756</v>
      </c>
      <c r="AP8" t="s">
        <v>2990</v>
      </c>
      <c r="BI8" t="s">
        <v>2542</v>
      </c>
      <c r="BK8">
        <v>-2.4245362661989844E-14</v>
      </c>
      <c r="BL8">
        <v>-2.4245362661989844E-14</v>
      </c>
      <c r="BM8" t="s">
        <v>1753</v>
      </c>
      <c r="BN8">
        <v>2021</v>
      </c>
      <c r="BO8" t="s">
        <v>2543</v>
      </c>
      <c r="BP8" s="6">
        <v>44631</v>
      </c>
      <c r="BQ8">
        <v>4</v>
      </c>
      <c r="BR8">
        <v>-2.4245362661989844E-14</v>
      </c>
      <c r="BS8">
        <v>101587</v>
      </c>
      <c r="BT8" t="s">
        <v>2544</v>
      </c>
      <c r="CM8" t="s">
        <v>378</v>
      </c>
      <c r="CO8">
        <v>-2.4245362661989844E-14</v>
      </c>
      <c r="CP8">
        <v>-2.4245362661989844E-14</v>
      </c>
      <c r="CQ8" t="s">
        <v>1753</v>
      </c>
      <c r="CR8">
        <v>2024</v>
      </c>
      <c r="CS8" t="s">
        <v>2238</v>
      </c>
      <c r="CT8" s="6">
        <v>45307</v>
      </c>
      <c r="CU8">
        <v>5</v>
      </c>
      <c r="CV8">
        <v>-2.4245362661989844E-14</v>
      </c>
      <c r="CW8">
        <v>69423747</v>
      </c>
      <c r="CX8" t="s">
        <v>2158</v>
      </c>
      <c r="FY8" t="s">
        <v>1422</v>
      </c>
      <c r="FZ8" t="s">
        <v>1752</v>
      </c>
      <c r="GA8">
        <v>1.1725810000000001</v>
      </c>
      <c r="GB8">
        <v>0.15703400000000001</v>
      </c>
      <c r="GC8" t="s">
        <v>1781</v>
      </c>
      <c r="GD8">
        <v>2026</v>
      </c>
      <c r="GE8" t="s">
        <v>1906</v>
      </c>
      <c r="GF8" s="6">
        <v>46051</v>
      </c>
      <c r="GG8">
        <v>5</v>
      </c>
      <c r="GH8">
        <v>4510016</v>
      </c>
      <c r="GI8">
        <v>225757</v>
      </c>
      <c r="GJ8" t="s">
        <v>3065</v>
      </c>
      <c r="GM8" t="s">
        <v>1883</v>
      </c>
      <c r="GN8">
        <v>6.6940000000000003E-3</v>
      </c>
      <c r="GO8" t="s">
        <v>1752</v>
      </c>
      <c r="GP8">
        <v>5.5948409999999997</v>
      </c>
      <c r="GQ8" t="s">
        <v>1753</v>
      </c>
      <c r="GR8">
        <v>2024</v>
      </c>
      <c r="GS8" t="s">
        <v>1884</v>
      </c>
      <c r="GT8" s="6">
        <v>45819</v>
      </c>
      <c r="GU8">
        <v>5</v>
      </c>
      <c r="GV8">
        <v>402911.11</v>
      </c>
      <c r="GW8">
        <v>15291339</v>
      </c>
      <c r="GX8" t="s">
        <v>1885</v>
      </c>
      <c r="HC8" t="s">
        <v>28</v>
      </c>
      <c r="HD8" t="s">
        <v>1752</v>
      </c>
      <c r="HE8">
        <v>17</v>
      </c>
      <c r="HF8">
        <v>3.5607669999999998</v>
      </c>
      <c r="HG8" t="s">
        <v>1753</v>
      </c>
      <c r="HH8">
        <v>2025</v>
      </c>
      <c r="HI8" t="s">
        <v>3012</v>
      </c>
      <c r="HJ8" s="6">
        <v>46077</v>
      </c>
      <c r="HK8">
        <v>5</v>
      </c>
      <c r="HL8">
        <v>452395488</v>
      </c>
      <c r="HM8">
        <v>210870</v>
      </c>
      <c r="HN8" t="s">
        <v>3013</v>
      </c>
      <c r="HQ8" t="s">
        <v>1784</v>
      </c>
      <c r="HR8">
        <v>1.3672E-2</v>
      </c>
      <c r="HS8" t="s">
        <v>1752</v>
      </c>
      <c r="HT8">
        <v>7.3932999999999999E-2</v>
      </c>
      <c r="HU8" t="s">
        <v>1774</v>
      </c>
      <c r="HV8">
        <v>2026</v>
      </c>
      <c r="HW8" t="s">
        <v>1874</v>
      </c>
      <c r="HX8" s="6">
        <v>46063</v>
      </c>
      <c r="HY8">
        <v>5</v>
      </c>
      <c r="HZ8">
        <v>4181589</v>
      </c>
      <c r="IA8">
        <v>100142</v>
      </c>
      <c r="IB8" t="s">
        <v>1786</v>
      </c>
      <c r="IG8" t="s">
        <v>3920</v>
      </c>
      <c r="IH8" t="s">
        <v>1752</v>
      </c>
      <c r="II8">
        <v>4.2738360000000002</v>
      </c>
      <c r="IJ8">
        <v>6.6693020000000001</v>
      </c>
      <c r="IK8" t="s">
        <v>1788</v>
      </c>
      <c r="IL8">
        <v>2025</v>
      </c>
      <c r="IM8" t="s">
        <v>3921</v>
      </c>
      <c r="IN8" s="6">
        <v>46087</v>
      </c>
      <c r="IO8">
        <v>5</v>
      </c>
      <c r="IP8">
        <v>811049598.16999996</v>
      </c>
      <c r="IQ8">
        <v>7975354</v>
      </c>
      <c r="IR8" t="s">
        <v>3922</v>
      </c>
      <c r="IU8" t="s">
        <v>1954</v>
      </c>
      <c r="IV8">
        <v>0.59423499999999996</v>
      </c>
      <c r="IW8" t="s">
        <v>1752</v>
      </c>
      <c r="IX8">
        <v>1.9269499999999999</v>
      </c>
      <c r="IY8" t="s">
        <v>1781</v>
      </c>
      <c r="IZ8">
        <v>2025</v>
      </c>
      <c r="JA8" t="s">
        <v>1955</v>
      </c>
      <c r="JB8" s="6">
        <v>45820</v>
      </c>
      <c r="JC8">
        <v>5</v>
      </c>
      <c r="JD8">
        <v>78557896</v>
      </c>
      <c r="JE8">
        <v>12129192</v>
      </c>
      <c r="JF8" t="s">
        <v>1956</v>
      </c>
      <c r="LS8" t="s">
        <v>2448</v>
      </c>
      <c r="LT8" t="s">
        <v>1752</v>
      </c>
      <c r="LU8">
        <v>6.322203</v>
      </c>
      <c r="LV8">
        <v>3.0248159999999999</v>
      </c>
      <c r="LW8" t="s">
        <v>1774</v>
      </c>
      <c r="LX8">
        <v>2025</v>
      </c>
      <c r="LY8" t="s">
        <v>2449</v>
      </c>
      <c r="LZ8" s="6">
        <v>46003</v>
      </c>
      <c r="MA8">
        <v>5</v>
      </c>
      <c r="MB8">
        <v>84298992</v>
      </c>
      <c r="MC8">
        <v>9996472</v>
      </c>
      <c r="MD8" t="s">
        <v>2450</v>
      </c>
      <c r="MG8" t="s">
        <v>1811</v>
      </c>
      <c r="MH8">
        <v>-2.4245362661989844E-14</v>
      </c>
      <c r="MJ8">
        <v>-2.4245362661989844E-14</v>
      </c>
      <c r="MK8" t="s">
        <v>1753</v>
      </c>
      <c r="ML8">
        <v>2025</v>
      </c>
      <c r="MM8" t="s">
        <v>1812</v>
      </c>
      <c r="MN8" s="6">
        <v>46008</v>
      </c>
      <c r="MO8">
        <v>4</v>
      </c>
      <c r="MP8">
        <v>-2.4245362661989844E-14</v>
      </c>
      <c r="MQ8">
        <v>72618645</v>
      </c>
      <c r="MR8" t="s">
        <v>1813</v>
      </c>
      <c r="RM8" t="s">
        <v>2978</v>
      </c>
      <c r="RO8">
        <v>-2.4245362661989844E-14</v>
      </c>
      <c r="RP8">
        <v>-2.4245362661989844E-14</v>
      </c>
      <c r="RQ8" t="s">
        <v>1753</v>
      </c>
      <c r="RR8">
        <v>2021</v>
      </c>
      <c r="RS8" t="s">
        <v>2979</v>
      </c>
      <c r="RT8" s="6">
        <v>44693</v>
      </c>
      <c r="RU8">
        <v>5</v>
      </c>
      <c r="RV8">
        <v>-2.4245362661989844E-14</v>
      </c>
      <c r="RW8">
        <v>101170</v>
      </c>
      <c r="RX8" t="s">
        <v>2980</v>
      </c>
    </row>
    <row r="9" spans="1:600" x14ac:dyDescent="0.25">
      <c r="AE9" t="s">
        <v>2991</v>
      </c>
      <c r="AG9">
        <v>-2.4245362661989844E-14</v>
      </c>
      <c r="AH9">
        <v>-2.4245362661989844E-14</v>
      </c>
      <c r="AI9" t="s">
        <v>1781</v>
      </c>
      <c r="AJ9">
        <v>2024</v>
      </c>
      <c r="AK9" t="s">
        <v>2992</v>
      </c>
      <c r="AL9" s="6">
        <v>45342</v>
      </c>
      <c r="AM9">
        <v>5</v>
      </c>
      <c r="AN9">
        <v>-2.4245362661989844E-14</v>
      </c>
      <c r="AO9">
        <v>148067</v>
      </c>
      <c r="AP9" t="s">
        <v>2993</v>
      </c>
      <c r="CM9" t="s">
        <v>2239</v>
      </c>
      <c r="CO9">
        <v>-2.4245362661989844E-14</v>
      </c>
      <c r="CP9">
        <v>-2.4245362661989844E-14</v>
      </c>
      <c r="CQ9" t="s">
        <v>1753</v>
      </c>
      <c r="CR9">
        <v>2023</v>
      </c>
      <c r="CS9" t="s">
        <v>2240</v>
      </c>
      <c r="CT9" s="6">
        <v>45301</v>
      </c>
      <c r="CU9">
        <v>5</v>
      </c>
      <c r="CV9">
        <v>-2.4245362661989844E-14</v>
      </c>
      <c r="CW9">
        <v>57811522</v>
      </c>
      <c r="CX9" t="s">
        <v>2241</v>
      </c>
      <c r="FY9" t="s">
        <v>2125</v>
      </c>
      <c r="FZ9" t="s">
        <v>1940</v>
      </c>
      <c r="GA9">
        <v>5.9742000000000003E-2</v>
      </c>
      <c r="GB9">
        <v>0.18884000000000001</v>
      </c>
      <c r="GC9" t="s">
        <v>1774</v>
      </c>
      <c r="GD9">
        <v>2025</v>
      </c>
      <c r="GE9" t="s">
        <v>2126</v>
      </c>
      <c r="GF9" s="6">
        <v>45838</v>
      </c>
      <c r="GG9">
        <v>5</v>
      </c>
      <c r="GH9">
        <v>3508648</v>
      </c>
      <c r="GI9">
        <v>101689</v>
      </c>
      <c r="GJ9" t="s">
        <v>2127</v>
      </c>
      <c r="GM9" t="s">
        <v>3768</v>
      </c>
      <c r="GN9">
        <v>5.1640000000000002E-3</v>
      </c>
      <c r="GO9" t="s">
        <v>1752</v>
      </c>
      <c r="GP9">
        <v>5.0558560000000003</v>
      </c>
      <c r="GQ9" t="s">
        <v>1753</v>
      </c>
      <c r="GR9">
        <v>2024</v>
      </c>
      <c r="GS9" t="s">
        <v>3769</v>
      </c>
      <c r="GT9" s="6">
        <v>45814</v>
      </c>
      <c r="GU9">
        <v>5</v>
      </c>
      <c r="GV9">
        <v>310853.61</v>
      </c>
      <c r="GW9">
        <v>36034450</v>
      </c>
      <c r="GX9" t="s">
        <v>3770</v>
      </c>
      <c r="HC9" t="s">
        <v>1741</v>
      </c>
      <c r="HD9" t="s">
        <v>1828</v>
      </c>
      <c r="HE9">
        <v>24.9</v>
      </c>
      <c r="HF9">
        <v>7.4053610000000001</v>
      </c>
      <c r="HG9" t="s">
        <v>1788</v>
      </c>
      <c r="HH9">
        <v>2026</v>
      </c>
      <c r="HI9" t="s">
        <v>2365</v>
      </c>
      <c r="HJ9" s="6">
        <v>45981</v>
      </c>
      <c r="HK9">
        <v>5</v>
      </c>
      <c r="HL9">
        <v>361900000</v>
      </c>
      <c r="HM9">
        <v>100487</v>
      </c>
      <c r="HN9" t="s">
        <v>2231</v>
      </c>
      <c r="HQ9" t="s">
        <v>3343</v>
      </c>
      <c r="HR9">
        <v>7.0479999999999996E-3</v>
      </c>
      <c r="HS9" t="s">
        <v>1752</v>
      </c>
      <c r="HT9">
        <v>0.37631900000000001</v>
      </c>
      <c r="HU9" t="s">
        <v>1825</v>
      </c>
      <c r="HV9">
        <v>2024</v>
      </c>
      <c r="HW9" t="s">
        <v>3630</v>
      </c>
      <c r="HX9" s="6">
        <v>45742</v>
      </c>
      <c r="HY9">
        <v>5</v>
      </c>
      <c r="HZ9">
        <v>2163480.08</v>
      </c>
      <c r="IA9">
        <v>153672</v>
      </c>
      <c r="IB9" t="s">
        <v>3345</v>
      </c>
      <c r="IG9" t="s">
        <v>4299</v>
      </c>
      <c r="IH9" t="s">
        <v>1752</v>
      </c>
      <c r="II9">
        <v>10.5</v>
      </c>
      <c r="IJ9">
        <v>7.349405</v>
      </c>
      <c r="IK9" t="s">
        <v>1753</v>
      </c>
      <c r="IL9">
        <v>2024</v>
      </c>
      <c r="IM9" t="s">
        <v>4300</v>
      </c>
      <c r="IN9" s="6">
        <v>45744</v>
      </c>
      <c r="IO9">
        <v>5</v>
      </c>
      <c r="IP9">
        <v>778954139.5</v>
      </c>
      <c r="IQ9">
        <v>113389</v>
      </c>
      <c r="IR9" t="s">
        <v>4301</v>
      </c>
      <c r="IU9" t="s">
        <v>3435</v>
      </c>
      <c r="IV9">
        <v>0.56558799999999998</v>
      </c>
      <c r="IW9" t="s">
        <v>1752</v>
      </c>
      <c r="IX9">
        <v>3.5370110000000001</v>
      </c>
      <c r="IY9" t="s">
        <v>1774</v>
      </c>
      <c r="IZ9">
        <v>2025</v>
      </c>
      <c r="JA9" t="s">
        <v>3436</v>
      </c>
      <c r="JB9" s="6">
        <v>46008</v>
      </c>
      <c r="JC9">
        <v>5</v>
      </c>
      <c r="JD9">
        <v>82257509.170000002</v>
      </c>
      <c r="JE9">
        <v>349049</v>
      </c>
      <c r="JF9" t="s">
        <v>3437</v>
      </c>
      <c r="LS9" t="s">
        <v>2451</v>
      </c>
      <c r="LT9" t="s">
        <v>1752</v>
      </c>
      <c r="LU9">
        <v>2.5339670000000001</v>
      </c>
      <c r="LV9">
        <v>2.9338739999999999</v>
      </c>
      <c r="LW9" t="s">
        <v>1774</v>
      </c>
      <c r="LX9">
        <v>2026</v>
      </c>
      <c r="LY9" t="s">
        <v>2452</v>
      </c>
      <c r="LZ9" s="6">
        <v>45946</v>
      </c>
      <c r="MA9">
        <v>5</v>
      </c>
      <c r="MB9">
        <v>67342504</v>
      </c>
      <c r="MC9">
        <v>12146979</v>
      </c>
      <c r="MD9" t="s">
        <v>2453</v>
      </c>
      <c r="RM9" t="s">
        <v>2221</v>
      </c>
      <c r="RO9">
        <v>-2.4245362661989844E-14</v>
      </c>
      <c r="RP9">
        <v>-2.4245362661989844E-14</v>
      </c>
      <c r="RQ9" t="s">
        <v>1753</v>
      </c>
      <c r="RR9">
        <v>2021</v>
      </c>
      <c r="RS9" t="s">
        <v>2222</v>
      </c>
      <c r="RT9" s="6">
        <v>44693</v>
      </c>
      <c r="RU9">
        <v>5</v>
      </c>
      <c r="RV9">
        <v>-2.4245362661989844E-14</v>
      </c>
      <c r="RW9">
        <v>302916</v>
      </c>
      <c r="RX9" t="s">
        <v>2223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1227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1228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1229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1230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1231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1232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1233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1234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1235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1236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1237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1238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1239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1240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1241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1242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1243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1244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1245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1246</v>
      </c>
      <c r="AE2" s="3" t="s">
        <v>1247</v>
      </c>
      <c r="BI2" s="3" t="s">
        <v>1248</v>
      </c>
      <c r="CM2" s="3" t="s">
        <v>237</v>
      </c>
      <c r="DQ2" s="3" t="s">
        <v>1249</v>
      </c>
      <c r="EU2" s="3" t="s">
        <v>1250</v>
      </c>
      <c r="FY2" s="3" t="s">
        <v>1251</v>
      </c>
      <c r="HC2" s="3" t="s">
        <v>1252</v>
      </c>
      <c r="IG2" s="3" t="s">
        <v>710</v>
      </c>
      <c r="JK2" s="3" t="s">
        <v>302</v>
      </c>
      <c r="KO2" s="3" t="s">
        <v>1253</v>
      </c>
      <c r="LS2" s="3" t="s">
        <v>1254</v>
      </c>
      <c r="MW2" s="3" t="s">
        <v>1255</v>
      </c>
      <c r="OA2" s="3" t="s">
        <v>1256</v>
      </c>
      <c r="PE2" s="3" t="s">
        <v>1257</v>
      </c>
      <c r="QI2" s="3" t="s">
        <v>1258</v>
      </c>
      <c r="RM2" s="3" t="s">
        <v>710</v>
      </c>
      <c r="SQ2" s="3" t="s">
        <v>1259</v>
      </c>
      <c r="TU2" s="3" t="s">
        <v>37</v>
      </c>
      <c r="UY2" s="3" t="s">
        <v>235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_xll.BDS("GFR US Equity","SUPPLY_CHAIN_SUPPLIERS_ALL_DATA","cols=12;rows=3")</f>
        <v>1817971D CN Equity</v>
      </c>
      <c r="C5">
        <v>-2.4245362661989844E-14</v>
      </c>
      <c r="D5">
        <v>-2.4245362661989844E-14</v>
      </c>
      <c r="E5" t="s">
        <v>1753</v>
      </c>
      <c r="F5">
        <v>2024</v>
      </c>
      <c r="G5" t="s">
        <v>5817</v>
      </c>
      <c r="H5" s="6">
        <v>45736</v>
      </c>
      <c r="I5">
        <v>3</v>
      </c>
      <c r="J5">
        <v>-2.4245362661989844E-14</v>
      </c>
      <c r="K5">
        <v>17683119</v>
      </c>
      <c r="L5" t="s">
        <v>5818</v>
      </c>
      <c r="O5" t="str">
        <f>_xll.BDS("GFR US Equity","SUPPLY_CHAIN_CUSTOMERS_ALL_DATA","cols=12;rows=2")</f>
        <v>1188058D SP Equity</v>
      </c>
      <c r="P5">
        <v>-2.4245362661989844E-14</v>
      </c>
      <c r="R5">
        <v>-2.4245362661989844E-14</v>
      </c>
      <c r="S5" t="s">
        <v>1753</v>
      </c>
      <c r="T5">
        <v>2022</v>
      </c>
      <c r="U5" t="s">
        <v>4371</v>
      </c>
      <c r="V5" s="6">
        <v>45149</v>
      </c>
      <c r="W5">
        <v>2</v>
      </c>
      <c r="X5">
        <v>-2.4245362661989844E-14</v>
      </c>
      <c r="Y5">
        <v>38748648</v>
      </c>
      <c r="Z5" t="s">
        <v>4372</v>
      </c>
      <c r="AE5" t="str">
        <f>_xll.BDS("SPXC US Equity","SUPPLY_CHAIN_SUPPLIERS_ALL_DATA","cols=12;rows=5")</f>
        <v>CRS US Equity</v>
      </c>
      <c r="AF5" t="s">
        <v>1752</v>
      </c>
      <c r="AG5">
        <v>2.6832000000000002E-2</v>
      </c>
      <c r="AH5">
        <v>5.9658999999999997E-2</v>
      </c>
      <c r="AI5" t="s">
        <v>1825</v>
      </c>
      <c r="AJ5">
        <v>2025</v>
      </c>
      <c r="AK5" t="s">
        <v>5731</v>
      </c>
      <c r="AL5" s="6">
        <v>45884</v>
      </c>
      <c r="AM5">
        <v>5</v>
      </c>
      <c r="AN5">
        <v>192996</v>
      </c>
      <c r="AO5">
        <v>100277</v>
      </c>
      <c r="AP5" t="s">
        <v>5732</v>
      </c>
      <c r="AS5" t="str">
        <f>_xll.BDS("SPXC US Equity","SUPPLY_CHAIN_CUSTOMERS_ALL_DATA","cols=12;rows=5")</f>
        <v>002564 CH Equity</v>
      </c>
      <c r="AT5">
        <v>-2.4245362661989844E-14</v>
      </c>
      <c r="AV5">
        <v>-2.4245362661989844E-14</v>
      </c>
      <c r="AW5" t="s">
        <v>1753</v>
      </c>
      <c r="AX5">
        <v>2022</v>
      </c>
      <c r="AY5" t="s">
        <v>4101</v>
      </c>
      <c r="AZ5" s="6">
        <v>45105</v>
      </c>
      <c r="BA5">
        <v>5</v>
      </c>
      <c r="BB5">
        <v>-2.4245362661989844E-14</v>
      </c>
      <c r="BC5">
        <v>21808713</v>
      </c>
      <c r="BD5" t="s">
        <v>4102</v>
      </c>
      <c r="BI5" t="str">
        <f>_xll.BDS("QNTSQ US Equity","SUPPLY_CHAIN_SUPPLIERS_ALL_DATA")</f>
        <v>#N/A N/A</v>
      </c>
      <c r="BW5" t="str">
        <f>_xll.BDS("QNTSQ US Equity","SUPPLY_CHAIN_CUSTOMERS_ALL_DATA")</f>
        <v>#N/A N/A</v>
      </c>
      <c r="CM5" t="str">
        <f>_xll.BDS("GEO US Equity","SUPPLY_CHAIN_SUPPLIERS_ALL_DATA","cols=12;rows=1")</f>
        <v>VSEE US Equity</v>
      </c>
      <c r="CO5">
        <v>-2.4245362661989844E-14</v>
      </c>
      <c r="CP5">
        <v>-2.4245362661989844E-14</v>
      </c>
      <c r="CQ5" t="s">
        <v>1753</v>
      </c>
      <c r="CR5">
        <v>2025</v>
      </c>
      <c r="CS5" t="s">
        <v>3668</v>
      </c>
      <c r="CT5" s="6">
        <v>45749</v>
      </c>
      <c r="CU5">
        <v>1</v>
      </c>
      <c r="CV5">
        <v>-2.4245362661989844E-14</v>
      </c>
      <c r="CW5">
        <v>69780054</v>
      </c>
      <c r="CX5" t="s">
        <v>3669</v>
      </c>
      <c r="DA5" t="str">
        <f>_xll.BDS("GEO US Equity","SUPPLY_CHAIN_CUSTOMERS_ALL_DATA","cols=12;rows=5")</f>
        <v>3352Z US Equity</v>
      </c>
      <c r="DB5">
        <v>62</v>
      </c>
      <c r="DD5">
        <v>-2.4245362661989844E-14</v>
      </c>
      <c r="DE5" t="s">
        <v>1753</v>
      </c>
      <c r="DF5">
        <v>2024</v>
      </c>
      <c r="DG5" t="s">
        <v>3609</v>
      </c>
      <c r="DH5" s="6">
        <v>45716</v>
      </c>
      <c r="DI5">
        <v>5</v>
      </c>
      <c r="DJ5">
        <v>375673824</v>
      </c>
      <c r="DK5">
        <v>218252</v>
      </c>
      <c r="DL5" t="s">
        <v>1793</v>
      </c>
      <c r="DQ5" t="str">
        <f>_xll.BDS("BCSI US Equity","SUPPLY_CHAIN_SUPPLIERS_ALL_DATA")</f>
        <v>#N/A N/A</v>
      </c>
      <c r="EE5" t="str">
        <f>_xll.BDS("BCSI US Equity","SUPPLY_CHAIN_CUSTOMERS_ALL_DATA")</f>
        <v>#N/A N/A</v>
      </c>
      <c r="EU5" t="str">
        <f>_xll.BDS("OMX US Equity","SUPPLY_CHAIN_SUPPLIERS_ALL_DATA","cols=12;rows=1")</f>
        <v>BRX US Equity</v>
      </c>
      <c r="EW5">
        <v>-2.4245362661989844E-14</v>
      </c>
      <c r="EX5">
        <v>-2.4245362661989844E-14</v>
      </c>
      <c r="EY5" t="s">
        <v>1753</v>
      </c>
      <c r="EZ5">
        <v>2024</v>
      </c>
      <c r="FA5" t="s">
        <v>3029</v>
      </c>
      <c r="FB5" s="6">
        <v>45698</v>
      </c>
      <c r="FC5">
        <v>1</v>
      </c>
      <c r="FD5">
        <v>-2.4245362661989844E-14</v>
      </c>
      <c r="FE5">
        <v>24112045</v>
      </c>
      <c r="FF5" t="s">
        <v>3030</v>
      </c>
      <c r="FI5" t="str">
        <f>_xll.BDS("OMX US Equity","SUPPLY_CHAIN_CUSTOMERS_ALL_DATA")</f>
        <v>#N/A N/A</v>
      </c>
      <c r="FY5" t="str">
        <f>_xll.BDS("RDNT US Equity","SUPPLY_CHAIN_SUPPLIERS_ALL_DATA","cols=12;rows=5")</f>
        <v>0055802D US Equity</v>
      </c>
      <c r="GA5">
        <v>-2.4245362661989844E-14</v>
      </c>
      <c r="GB5">
        <v>-2.4245362661989844E-14</v>
      </c>
      <c r="GC5" t="s">
        <v>1753</v>
      </c>
      <c r="GD5">
        <v>2024</v>
      </c>
      <c r="GE5" t="s">
        <v>2565</v>
      </c>
      <c r="GF5" s="6">
        <v>45719</v>
      </c>
      <c r="GG5">
        <v>5</v>
      </c>
      <c r="GH5">
        <v>-2.4245362661989844E-14</v>
      </c>
      <c r="GI5">
        <v>26864017</v>
      </c>
      <c r="GJ5" t="s">
        <v>2566</v>
      </c>
      <c r="GM5" t="str">
        <f>_xll.BDS("RDNT US Equity","SUPPLY_CHAIN_CUSTOMERS_ALL_DATA","cols=12;rows=2")</f>
        <v>9877893Z US Equity</v>
      </c>
      <c r="GN5">
        <v>-2.4245362661989844E-14</v>
      </c>
      <c r="GP5">
        <v>-2.4245362661989844E-14</v>
      </c>
      <c r="GQ5" t="s">
        <v>1753</v>
      </c>
      <c r="GR5">
        <v>2024</v>
      </c>
      <c r="GS5" t="s">
        <v>2565</v>
      </c>
      <c r="GT5" s="6">
        <v>45719</v>
      </c>
      <c r="GU5">
        <v>2</v>
      </c>
      <c r="GV5">
        <v>-2.4245362661989844E-14</v>
      </c>
      <c r="GW5">
        <v>17483390</v>
      </c>
      <c r="GX5" t="s">
        <v>3376</v>
      </c>
      <c r="HC5" t="str">
        <f>_xll.BDS("GPUI US Equity","SUPPLY_CHAIN_SUPPLIERS_ALL_DATA")</f>
        <v>#N/A N/A</v>
      </c>
      <c r="HQ5" t="str">
        <f>_xll.BDS("GPUI US Equity","SUPPLY_CHAIN_CUSTOMERS_ALL_DATA")</f>
        <v>#N/A N/A</v>
      </c>
      <c r="IG5" t="str">
        <f>_xll.BDS("FITB US Equity","SUPPLY_CHAIN_SUPPLIERS_ALL_DATA","cols=12;rows=5")</f>
        <v>004800 KS Equity</v>
      </c>
      <c r="II5">
        <v>-2.4245362661989844E-14</v>
      </c>
      <c r="IJ5">
        <v>-2.4245362661989844E-14</v>
      </c>
      <c r="IK5" t="s">
        <v>1761</v>
      </c>
      <c r="IL5">
        <v>2025</v>
      </c>
      <c r="IM5" t="s">
        <v>2829</v>
      </c>
      <c r="IN5" s="6">
        <v>45883</v>
      </c>
      <c r="IO5">
        <v>5</v>
      </c>
      <c r="IP5">
        <v>-2.4245362661989844E-14</v>
      </c>
      <c r="IQ5">
        <v>118099</v>
      </c>
      <c r="IR5" t="s">
        <v>2137</v>
      </c>
      <c r="IU5" t="str">
        <f>_xll.BDS("FITB US Equity","SUPPLY_CHAIN_CUSTOMERS_ALL_DATA","cols=12;rows=1")</f>
        <v>USIO US Equity</v>
      </c>
      <c r="IV5">
        <v>-2.4245362661989844E-14</v>
      </c>
      <c r="IX5">
        <v>-2.4245362661989844E-14</v>
      </c>
      <c r="IY5" t="s">
        <v>1753</v>
      </c>
      <c r="IZ5">
        <v>2024</v>
      </c>
      <c r="JA5" t="s">
        <v>1895</v>
      </c>
      <c r="JB5" s="6">
        <v>45742</v>
      </c>
      <c r="JC5">
        <v>1</v>
      </c>
      <c r="JD5">
        <v>-2.4245362661989844E-14</v>
      </c>
      <c r="JE5">
        <v>381245</v>
      </c>
      <c r="JF5" t="s">
        <v>1896</v>
      </c>
      <c r="JK5" t="str">
        <f>_xll.BDS("WSBC US Equity","SUPPLY_CHAIN_SUPPLIERS_ALL_DATA")</f>
        <v>#N/A N/A</v>
      </c>
      <c r="JY5" t="str">
        <f>_xll.BDS("WSBC US Equity","SUPPLY_CHAIN_CUSTOMERS_ALL_DATA","cols=12;rows=2")</f>
        <v>NINE CN Equity</v>
      </c>
      <c r="JZ5">
        <v>-2.4245362661989844E-14</v>
      </c>
      <c r="KB5">
        <v>-2.4245362661989844E-14</v>
      </c>
      <c r="KC5" t="s">
        <v>1753</v>
      </c>
      <c r="KD5">
        <v>2023</v>
      </c>
      <c r="KE5" t="s">
        <v>4133</v>
      </c>
      <c r="KF5" s="6">
        <v>44967</v>
      </c>
      <c r="KG5">
        <v>2</v>
      </c>
      <c r="KH5">
        <v>-2.4245362661989844E-14</v>
      </c>
      <c r="KI5">
        <v>67289203</v>
      </c>
      <c r="KJ5" t="s">
        <v>4134</v>
      </c>
      <c r="KO5" t="str">
        <f>_xll.BDS("EGL US Equity","SUPPLY_CHAIN_SUPPLIERS_ALL_DATA")</f>
        <v>#N/A N/A</v>
      </c>
      <c r="LC5" t="str">
        <f>_xll.BDS("EGL US Equity","SUPPLY_CHAIN_CUSTOMERS_ALL_DATA")</f>
        <v>#N/A N/A</v>
      </c>
      <c r="LS5" t="str">
        <f>_xll.BDS("CVBF US Equity","SUPPLY_CHAIN_SUPPLIERS_ALL_DATA")</f>
        <v>#N/A N/A</v>
      </c>
      <c r="MG5" t="str">
        <f>_xll.BDS("CVBF US Equity","SUPPLY_CHAIN_CUSTOMERS_ALL_DATA")</f>
        <v>#N/A N/A</v>
      </c>
      <c r="MW5" t="str">
        <f>_xll.BDS("OCFC US Equity","SUPPLY_CHAIN_SUPPLIERS_ALL_DATA")</f>
        <v>#N/A N/A</v>
      </c>
      <c r="NK5" t="str">
        <f>_xll.BDS("OCFC US Equity","SUPPLY_CHAIN_CUSTOMERS_ALL_DATA")</f>
        <v>#N/A N/A</v>
      </c>
      <c r="OA5" t="str">
        <f>_xll.BDS("CMVT US Equity","SUPPLY_CHAIN_SUPPLIERS_ALL_DATA")</f>
        <v>#N/A N/A</v>
      </c>
      <c r="OO5" t="str">
        <f>_xll.BDS("CMVT US Equity","SUPPLY_CHAIN_CUSTOMERS_ALL_DATA")</f>
        <v>#N/A N/A</v>
      </c>
      <c r="PE5" t="str">
        <f>_xll.BDS("1718309D US Equity","SUPPLY_CHAIN_SUPPLIERS_ALL_DATA")</f>
        <v>#N/A N/A</v>
      </c>
      <c r="PS5" t="str">
        <f>_xll.BDS("1718309D US Equity","SUPPLY_CHAIN_CUSTOMERS_ALL_DATA")</f>
        <v>#N/A N/A</v>
      </c>
      <c r="QI5" t="str">
        <f>_xll.BDS("PNFP US Equity","SUPPLY_CHAIN_SUPPLIERS_ALL_DATA","cols=12;rows=1")</f>
        <v>VYX US Equity</v>
      </c>
      <c r="QK5">
        <v>-2.4245362661989844E-14</v>
      </c>
      <c r="QL5">
        <v>-2.4245362661989844E-14</v>
      </c>
      <c r="QM5" t="s">
        <v>1774</v>
      </c>
      <c r="QN5">
        <v>2023</v>
      </c>
      <c r="QO5" t="s">
        <v>2226</v>
      </c>
      <c r="QP5" s="6">
        <v>45174</v>
      </c>
      <c r="QQ5">
        <v>1</v>
      </c>
      <c r="QR5">
        <v>-2.4245362661989844E-14</v>
      </c>
      <c r="QS5">
        <v>202476</v>
      </c>
      <c r="QT5" t="s">
        <v>2227</v>
      </c>
      <c r="QW5" t="str">
        <f>_xll.BDS("PNFP US Equity","SUPPLY_CHAIN_CUSTOMERS_ALL_DATA")</f>
        <v>#N/A N/A</v>
      </c>
      <c r="RM5" t="str">
        <f>_xll.BDS("FITB US Equity","SUPPLY_CHAIN_SUPPLIERS_ALL_DATA","cols=12;rows=5")</f>
        <v>004800 KS Equity</v>
      </c>
      <c r="RO5">
        <v>-2.4245362661989844E-14</v>
      </c>
      <c r="RP5">
        <v>-2.4245362661989844E-14</v>
      </c>
      <c r="RQ5" t="s">
        <v>1761</v>
      </c>
      <c r="RR5">
        <v>2025</v>
      </c>
      <c r="RS5" t="s">
        <v>2829</v>
      </c>
      <c r="RT5" s="6">
        <v>45883</v>
      </c>
      <c r="RU5">
        <v>5</v>
      </c>
      <c r="RV5">
        <v>-2.4245362661989844E-14</v>
      </c>
      <c r="RW5">
        <v>118099</v>
      </c>
      <c r="RX5" t="s">
        <v>2137</v>
      </c>
      <c r="SA5" t="str">
        <f>_xll.BDS("FITB US Equity","SUPPLY_CHAIN_CUSTOMERS_ALL_DATA","cols=12;rows=1")</f>
        <v>USIO US Equity</v>
      </c>
      <c r="SB5">
        <v>-2.4245362661989844E-14</v>
      </c>
      <c r="SD5">
        <v>-2.4245362661989844E-14</v>
      </c>
      <c r="SE5" t="s">
        <v>1753</v>
      </c>
      <c r="SF5">
        <v>2024</v>
      </c>
      <c r="SG5" t="s">
        <v>1895</v>
      </c>
      <c r="SH5" s="6">
        <v>45742</v>
      </c>
      <c r="SI5">
        <v>1</v>
      </c>
      <c r="SJ5">
        <v>-2.4245362661989844E-14</v>
      </c>
      <c r="SK5">
        <v>381245</v>
      </c>
      <c r="SL5" t="s">
        <v>1896</v>
      </c>
      <c r="SQ5" t="str">
        <f>_xll.BDS("ECPG US Equity","SUPPLY_CHAIN_SUPPLIERS_ALL_DATA","cols=12;rows=2")</f>
        <v>IREIT SP Equity</v>
      </c>
      <c r="SR5" t="s">
        <v>1940</v>
      </c>
      <c r="SS5">
        <v>2</v>
      </c>
      <c r="ST5">
        <v>0.14385899999999999</v>
      </c>
      <c r="SU5" t="s">
        <v>1753</v>
      </c>
      <c r="SV5">
        <v>2024</v>
      </c>
      <c r="SW5" t="s">
        <v>5024</v>
      </c>
      <c r="SX5" s="6">
        <v>45749</v>
      </c>
      <c r="SY5">
        <v>2</v>
      </c>
      <c r="SZ5">
        <v>408774.36</v>
      </c>
      <c r="TA5">
        <v>41662004</v>
      </c>
      <c r="TB5" t="s">
        <v>5025</v>
      </c>
      <c r="TE5" t="str">
        <f>_xll.BDS("ECPG US Equity","SUPPLY_CHAIN_CUSTOMERS_ALL_DATA")</f>
        <v>#N/A N/A</v>
      </c>
      <c r="TU5" t="str">
        <f>_xll.BDS("nan Equity","SUPPLY_CHAIN_SUPPLIERS_ALL_DATA")</f>
        <v>#N/A N/A</v>
      </c>
      <c r="UI5" t="str">
        <f>_xll.BDS("nan Equity","SUPPLY_CHAIN_CUSTOMERS_ALL_DATA")</f>
        <v>#N/A N/A</v>
      </c>
      <c r="UY5" t="str">
        <f>_xll.BDS("2860436Q US Equity","SUPPLY_CHAIN_SUPPLIERS_ALL_DATA")</f>
        <v>#N/A N/A</v>
      </c>
      <c r="VM5" t="str">
        <f>_xll.BDS("2860436Q US Equity","SUPPLY_CHAIN_CUSTOMERS_ALL_DATA")</f>
        <v>#N/A N/A</v>
      </c>
    </row>
    <row r="6" spans="1:600" x14ac:dyDescent="0.25">
      <c r="A6" t="s">
        <v>5819</v>
      </c>
      <c r="C6">
        <v>-2.4245362661989844E-14</v>
      </c>
      <c r="D6">
        <v>-2.4245362661989844E-14</v>
      </c>
      <c r="E6" t="s">
        <v>1753</v>
      </c>
      <c r="F6">
        <v>2022</v>
      </c>
      <c r="G6" t="s">
        <v>4371</v>
      </c>
      <c r="H6" s="6">
        <v>45149</v>
      </c>
      <c r="I6">
        <v>3</v>
      </c>
      <c r="J6">
        <v>-2.4245362661989844E-14</v>
      </c>
      <c r="K6">
        <v>186292</v>
      </c>
      <c r="L6" t="s">
        <v>5820</v>
      </c>
      <c r="O6" t="s">
        <v>4373</v>
      </c>
      <c r="P6">
        <v>-2.4245362661989844E-14</v>
      </c>
      <c r="R6">
        <v>-2.4245362661989844E-14</v>
      </c>
      <c r="S6" t="s">
        <v>1753</v>
      </c>
      <c r="T6">
        <v>2022</v>
      </c>
      <c r="U6" t="s">
        <v>4371</v>
      </c>
      <c r="V6" s="6">
        <v>45149</v>
      </c>
      <c r="W6">
        <v>2</v>
      </c>
      <c r="X6">
        <v>-2.4245362661989844E-14</v>
      </c>
      <c r="Y6">
        <v>9850073</v>
      </c>
      <c r="Z6" t="s">
        <v>4374</v>
      </c>
      <c r="AE6" t="s">
        <v>1787</v>
      </c>
      <c r="AF6" t="s">
        <v>1940</v>
      </c>
      <c r="AG6">
        <v>1.9358E-2</v>
      </c>
      <c r="AH6">
        <v>2.9807E-2</v>
      </c>
      <c r="AI6" t="s">
        <v>1781</v>
      </c>
      <c r="AJ6">
        <v>2026</v>
      </c>
      <c r="AK6" t="s">
        <v>2131</v>
      </c>
      <c r="AL6" s="6">
        <v>45898</v>
      </c>
      <c r="AM6">
        <v>5</v>
      </c>
      <c r="AN6">
        <v>34935.69</v>
      </c>
      <c r="AO6">
        <v>178651</v>
      </c>
      <c r="AP6" t="s">
        <v>1790</v>
      </c>
      <c r="AS6" t="s">
        <v>4103</v>
      </c>
      <c r="AT6">
        <v>-2.4245362661989844E-14</v>
      </c>
      <c r="AV6">
        <v>-2.4245362661989844E-14</v>
      </c>
      <c r="AW6" t="s">
        <v>1753</v>
      </c>
      <c r="AX6">
        <v>2023</v>
      </c>
      <c r="AY6" t="s">
        <v>4104</v>
      </c>
      <c r="AZ6" s="6">
        <v>45384</v>
      </c>
      <c r="BA6">
        <v>5</v>
      </c>
      <c r="BB6">
        <v>-2.4245362661989844E-14</v>
      </c>
      <c r="BC6">
        <v>21163905</v>
      </c>
      <c r="BD6" t="s">
        <v>4105</v>
      </c>
      <c r="DA6" t="s">
        <v>1794</v>
      </c>
      <c r="DB6">
        <v>-2.4245362661989844E-14</v>
      </c>
      <c r="DD6">
        <v>-2.4245362661989844E-14</v>
      </c>
      <c r="DE6" t="s">
        <v>1753</v>
      </c>
      <c r="DF6">
        <v>2025</v>
      </c>
      <c r="DG6" t="s">
        <v>3610</v>
      </c>
      <c r="DH6" s="6">
        <v>45736</v>
      </c>
      <c r="DI6">
        <v>5</v>
      </c>
      <c r="DJ6">
        <v>-2.4245362661989844E-14</v>
      </c>
      <c r="DK6">
        <v>18782064</v>
      </c>
      <c r="DL6" t="s">
        <v>1796</v>
      </c>
      <c r="FY6" t="s">
        <v>2567</v>
      </c>
      <c r="GA6">
        <v>-2.4245362661989844E-14</v>
      </c>
      <c r="GB6">
        <v>-2.4245362661989844E-14</v>
      </c>
      <c r="GC6" t="s">
        <v>1753</v>
      </c>
      <c r="GD6">
        <v>2023</v>
      </c>
      <c r="GE6" t="s">
        <v>2568</v>
      </c>
      <c r="GF6" s="6">
        <v>45256</v>
      </c>
      <c r="GG6">
        <v>5</v>
      </c>
      <c r="GH6">
        <v>-2.4245362661989844E-14</v>
      </c>
      <c r="GI6">
        <v>69779967</v>
      </c>
      <c r="GJ6" t="s">
        <v>2569</v>
      </c>
      <c r="GM6" t="s">
        <v>5582</v>
      </c>
      <c r="GN6">
        <v>-2.4245362661989844E-14</v>
      </c>
      <c r="GP6">
        <v>-2.4245362661989844E-14</v>
      </c>
      <c r="GQ6" t="s">
        <v>1788</v>
      </c>
      <c r="GR6">
        <v>2023</v>
      </c>
      <c r="GS6" t="s">
        <v>5583</v>
      </c>
      <c r="GT6" s="6">
        <v>45221</v>
      </c>
      <c r="GU6">
        <v>2</v>
      </c>
      <c r="GV6">
        <v>-2.4245362661989844E-14</v>
      </c>
      <c r="GW6">
        <v>56443146</v>
      </c>
      <c r="GX6" t="s">
        <v>5584</v>
      </c>
      <c r="IG6" t="s">
        <v>2830</v>
      </c>
      <c r="II6">
        <v>-2.4245362661989844E-14</v>
      </c>
      <c r="IJ6">
        <v>-2.4245362661989844E-14</v>
      </c>
      <c r="IK6" t="s">
        <v>1788</v>
      </c>
      <c r="IL6">
        <v>2024</v>
      </c>
      <c r="IM6" t="s">
        <v>2831</v>
      </c>
      <c r="IN6" s="6">
        <v>45608</v>
      </c>
      <c r="IO6">
        <v>5</v>
      </c>
      <c r="IP6">
        <v>-2.4245362661989844E-14</v>
      </c>
      <c r="IQ6">
        <v>159743</v>
      </c>
      <c r="IR6" t="s">
        <v>2832</v>
      </c>
      <c r="JY6" t="s">
        <v>4135</v>
      </c>
      <c r="JZ6">
        <v>-2.4245362661989844E-14</v>
      </c>
      <c r="KB6">
        <v>-2.4245362661989844E-14</v>
      </c>
      <c r="KC6" t="s">
        <v>1753</v>
      </c>
      <c r="KD6">
        <v>2023</v>
      </c>
      <c r="KE6" t="s">
        <v>4136</v>
      </c>
      <c r="KF6" s="6">
        <v>44991</v>
      </c>
      <c r="KG6">
        <v>2</v>
      </c>
      <c r="KH6">
        <v>-2.4245362661989844E-14</v>
      </c>
      <c r="KI6">
        <v>57471390</v>
      </c>
      <c r="KJ6" t="s">
        <v>4137</v>
      </c>
      <c r="RM6" t="s">
        <v>2830</v>
      </c>
      <c r="RO6">
        <v>-2.4245362661989844E-14</v>
      </c>
      <c r="RP6">
        <v>-2.4245362661989844E-14</v>
      </c>
      <c r="RQ6" t="s">
        <v>1788</v>
      </c>
      <c r="RR6">
        <v>2024</v>
      </c>
      <c r="RS6" t="s">
        <v>2831</v>
      </c>
      <c r="RT6" s="6">
        <v>45608</v>
      </c>
      <c r="RU6">
        <v>5</v>
      </c>
      <c r="RV6">
        <v>-2.4245362661989844E-14</v>
      </c>
      <c r="RW6">
        <v>159743</v>
      </c>
      <c r="RX6" t="s">
        <v>2832</v>
      </c>
      <c r="SQ6" t="s">
        <v>2593</v>
      </c>
      <c r="SS6">
        <v>-2.4245362661989844E-14</v>
      </c>
      <c r="ST6">
        <v>-2.4245362661989844E-14</v>
      </c>
      <c r="SU6" t="s">
        <v>1753</v>
      </c>
      <c r="SV6">
        <v>2025</v>
      </c>
      <c r="SW6" t="s">
        <v>2594</v>
      </c>
      <c r="SX6" s="6">
        <v>45835</v>
      </c>
      <c r="SY6">
        <v>2</v>
      </c>
      <c r="SZ6">
        <v>-2.4245362661989844E-14</v>
      </c>
      <c r="TA6">
        <v>69427339</v>
      </c>
      <c r="TB6" t="s">
        <v>2595</v>
      </c>
    </row>
    <row r="7" spans="1:600" x14ac:dyDescent="0.25">
      <c r="A7" t="s">
        <v>5821</v>
      </c>
      <c r="C7">
        <v>-2.4245362661989844E-14</v>
      </c>
      <c r="D7">
        <v>-2.4245362661989844E-14</v>
      </c>
      <c r="E7" t="s">
        <v>1753</v>
      </c>
      <c r="F7">
        <v>2022</v>
      </c>
      <c r="G7" t="s">
        <v>4371</v>
      </c>
      <c r="H7" s="6">
        <v>45149</v>
      </c>
      <c r="I7">
        <v>3</v>
      </c>
      <c r="J7">
        <v>-2.4245362661989844E-14</v>
      </c>
      <c r="K7">
        <v>101499</v>
      </c>
      <c r="L7" t="s">
        <v>5822</v>
      </c>
      <c r="AE7" t="s">
        <v>4100</v>
      </c>
      <c r="AG7">
        <v>-2.4245362661989844E-14</v>
      </c>
      <c r="AH7">
        <v>-2.4245362661989844E-14</v>
      </c>
      <c r="AI7" t="s">
        <v>1753</v>
      </c>
      <c r="AJ7">
        <v>2024</v>
      </c>
      <c r="AK7" t="s">
        <v>5733</v>
      </c>
      <c r="AL7" s="6">
        <v>45771</v>
      </c>
      <c r="AM7">
        <v>5</v>
      </c>
      <c r="AN7">
        <v>-2.4245362661989844E-14</v>
      </c>
      <c r="AO7">
        <v>21808713</v>
      </c>
      <c r="AP7" t="s">
        <v>4102</v>
      </c>
      <c r="AS7" t="s">
        <v>4106</v>
      </c>
      <c r="AT7">
        <v>-2.4245362661989844E-14</v>
      </c>
      <c r="AV7">
        <v>-2.4245362661989844E-14</v>
      </c>
      <c r="AW7" t="s">
        <v>1753</v>
      </c>
      <c r="AX7">
        <v>2024</v>
      </c>
      <c r="AY7" t="s">
        <v>4107</v>
      </c>
      <c r="AZ7" s="6">
        <v>45772</v>
      </c>
      <c r="BA7">
        <v>5</v>
      </c>
      <c r="BB7">
        <v>-2.4245362661989844E-14</v>
      </c>
      <c r="BC7">
        <v>135870</v>
      </c>
      <c r="BD7" t="s">
        <v>4108</v>
      </c>
      <c r="DA7" t="s">
        <v>3611</v>
      </c>
      <c r="DB7">
        <v>-2.4245362661989844E-14</v>
      </c>
      <c r="DD7">
        <v>-2.4245362661989844E-14</v>
      </c>
      <c r="DE7" t="s">
        <v>1753</v>
      </c>
      <c r="DF7">
        <v>2024</v>
      </c>
      <c r="DG7" t="s">
        <v>3609</v>
      </c>
      <c r="DH7" s="6">
        <v>45716</v>
      </c>
      <c r="DI7">
        <v>5</v>
      </c>
      <c r="DJ7">
        <v>-2.4245362661989844E-14</v>
      </c>
      <c r="DK7">
        <v>18621631</v>
      </c>
      <c r="DL7" t="s">
        <v>3612</v>
      </c>
      <c r="FY7" t="s">
        <v>2570</v>
      </c>
      <c r="GA7">
        <v>-2.4245362661989844E-14</v>
      </c>
      <c r="GB7">
        <v>-2.4245362661989844E-14</v>
      </c>
      <c r="GC7" t="s">
        <v>1753</v>
      </c>
      <c r="GD7">
        <v>2024</v>
      </c>
      <c r="GE7" t="s">
        <v>2565</v>
      </c>
      <c r="GF7" s="6">
        <v>45719</v>
      </c>
      <c r="GG7">
        <v>5</v>
      </c>
      <c r="GH7">
        <v>-2.4245362661989844E-14</v>
      </c>
      <c r="GI7">
        <v>67711033</v>
      </c>
      <c r="GJ7" t="s">
        <v>2571</v>
      </c>
      <c r="IG7" t="s">
        <v>2833</v>
      </c>
      <c r="II7">
        <v>-2.4245362661989844E-14</v>
      </c>
      <c r="IJ7">
        <v>-2.4245362661989844E-14</v>
      </c>
      <c r="IK7" t="s">
        <v>1753</v>
      </c>
      <c r="IL7">
        <v>2023</v>
      </c>
      <c r="IM7" t="s">
        <v>2834</v>
      </c>
      <c r="IN7" s="6">
        <v>45462</v>
      </c>
      <c r="IO7">
        <v>5</v>
      </c>
      <c r="IP7">
        <v>-2.4245362661989844E-14</v>
      </c>
      <c r="IQ7">
        <v>48621208</v>
      </c>
      <c r="IR7" t="s">
        <v>2835</v>
      </c>
      <c r="RM7" t="s">
        <v>2833</v>
      </c>
      <c r="RO7">
        <v>-2.4245362661989844E-14</v>
      </c>
      <c r="RP7">
        <v>-2.4245362661989844E-14</v>
      </c>
      <c r="RQ7" t="s">
        <v>1753</v>
      </c>
      <c r="RR7">
        <v>2023</v>
      </c>
      <c r="RS7" t="s">
        <v>2834</v>
      </c>
      <c r="RT7" s="6">
        <v>45462</v>
      </c>
      <c r="RU7">
        <v>5</v>
      </c>
      <c r="RV7">
        <v>-2.4245362661989844E-14</v>
      </c>
      <c r="RW7">
        <v>48621208</v>
      </c>
      <c r="RX7" t="s">
        <v>2835</v>
      </c>
    </row>
    <row r="8" spans="1:600" x14ac:dyDescent="0.25">
      <c r="AE8" t="s">
        <v>2135</v>
      </c>
      <c r="AG8">
        <v>-2.4245362661989844E-14</v>
      </c>
      <c r="AH8">
        <v>-2.4245362661989844E-14</v>
      </c>
      <c r="AI8" t="s">
        <v>1753</v>
      </c>
      <c r="AJ8">
        <v>2023</v>
      </c>
      <c r="AK8" t="s">
        <v>5734</v>
      </c>
      <c r="AL8" s="6">
        <v>45358</v>
      </c>
      <c r="AM8">
        <v>5</v>
      </c>
      <c r="AN8">
        <v>-2.4245362661989844E-14</v>
      </c>
      <c r="AO8">
        <v>118099</v>
      </c>
      <c r="AP8" t="s">
        <v>2137</v>
      </c>
      <c r="AS8" t="s">
        <v>3291</v>
      </c>
      <c r="AT8">
        <v>-2.4245362661989844E-14</v>
      </c>
      <c r="AV8">
        <v>-2.4245362661989844E-14</v>
      </c>
      <c r="AW8" t="s">
        <v>1753</v>
      </c>
      <c r="AX8">
        <v>2024</v>
      </c>
      <c r="AY8" t="s">
        <v>4109</v>
      </c>
      <c r="AZ8" s="6">
        <v>45349</v>
      </c>
      <c r="BA8">
        <v>5</v>
      </c>
      <c r="BB8">
        <v>-2.4245362661989844E-14</v>
      </c>
      <c r="BC8">
        <v>100181</v>
      </c>
      <c r="BD8" t="s">
        <v>3293</v>
      </c>
      <c r="DA8" t="s">
        <v>1797</v>
      </c>
      <c r="DB8">
        <v>-2.4245362661989844E-14</v>
      </c>
      <c r="DD8">
        <v>-2.4245362661989844E-14</v>
      </c>
      <c r="DE8" t="s">
        <v>1753</v>
      </c>
      <c r="DF8">
        <v>2024</v>
      </c>
      <c r="DG8" t="s">
        <v>3609</v>
      </c>
      <c r="DH8" s="6">
        <v>45716</v>
      </c>
      <c r="DI8">
        <v>5</v>
      </c>
      <c r="DJ8">
        <v>-2.4245362661989844E-14</v>
      </c>
      <c r="DK8">
        <v>17712908</v>
      </c>
      <c r="DL8" t="s">
        <v>1798</v>
      </c>
      <c r="FY8" t="s">
        <v>2477</v>
      </c>
      <c r="GA8">
        <v>-2.4245362661989844E-14</v>
      </c>
      <c r="GB8">
        <v>-2.4245362661989844E-14</v>
      </c>
      <c r="GC8" t="s">
        <v>1753</v>
      </c>
      <c r="GD8">
        <v>2023</v>
      </c>
      <c r="GE8" t="s">
        <v>2478</v>
      </c>
      <c r="GF8" s="6">
        <v>45337</v>
      </c>
      <c r="GG8">
        <v>5</v>
      </c>
      <c r="GH8">
        <v>-2.4245362661989844E-14</v>
      </c>
      <c r="GI8">
        <v>46177523</v>
      </c>
      <c r="GJ8" t="s">
        <v>2479</v>
      </c>
      <c r="IG8" t="s">
        <v>2836</v>
      </c>
      <c r="II8">
        <v>-2.4245362661989844E-14</v>
      </c>
      <c r="IJ8">
        <v>-2.4245362661989844E-14</v>
      </c>
      <c r="IK8" t="s">
        <v>1753</v>
      </c>
      <c r="IL8">
        <v>2024</v>
      </c>
      <c r="IM8" t="s">
        <v>2837</v>
      </c>
      <c r="IN8" s="6">
        <v>45714</v>
      </c>
      <c r="IO8">
        <v>5</v>
      </c>
      <c r="IP8">
        <v>-2.4245362661989844E-14</v>
      </c>
      <c r="IQ8">
        <v>100457</v>
      </c>
      <c r="IR8" t="s">
        <v>2838</v>
      </c>
      <c r="RM8" t="s">
        <v>2836</v>
      </c>
      <c r="RO8">
        <v>-2.4245362661989844E-14</v>
      </c>
      <c r="RP8">
        <v>-2.4245362661989844E-14</v>
      </c>
      <c r="RQ8" t="s">
        <v>1753</v>
      </c>
      <c r="RR8">
        <v>2024</v>
      </c>
      <c r="RS8" t="s">
        <v>2837</v>
      </c>
      <c r="RT8" s="6">
        <v>45714</v>
      </c>
      <c r="RU8">
        <v>5</v>
      </c>
      <c r="RV8">
        <v>-2.4245362661989844E-14</v>
      </c>
      <c r="RW8">
        <v>100457</v>
      </c>
      <c r="RX8" t="s">
        <v>2838</v>
      </c>
    </row>
    <row r="9" spans="1:600" x14ac:dyDescent="0.25">
      <c r="AE9" t="s">
        <v>2307</v>
      </c>
      <c r="AG9">
        <v>-2.4245362661989844E-14</v>
      </c>
      <c r="AH9">
        <v>-2.4245362661989844E-14</v>
      </c>
      <c r="AI9" t="s">
        <v>1753</v>
      </c>
      <c r="AJ9">
        <v>2021</v>
      </c>
      <c r="AK9" t="s">
        <v>2308</v>
      </c>
      <c r="AL9" s="6">
        <v>44693</v>
      </c>
      <c r="AM9">
        <v>5</v>
      </c>
      <c r="AN9">
        <v>-2.4245362661989844E-14</v>
      </c>
      <c r="AO9">
        <v>100060</v>
      </c>
      <c r="AP9" t="s">
        <v>2309</v>
      </c>
      <c r="AS9" t="s">
        <v>4110</v>
      </c>
      <c r="AT9">
        <v>-2.4245362661989844E-14</v>
      </c>
      <c r="AV9">
        <v>-2.4245362661989844E-14</v>
      </c>
      <c r="AW9" t="s">
        <v>1753</v>
      </c>
      <c r="AX9">
        <v>2025</v>
      </c>
      <c r="AY9" t="s">
        <v>4111</v>
      </c>
      <c r="AZ9" s="6">
        <v>46072</v>
      </c>
      <c r="BA9">
        <v>5</v>
      </c>
      <c r="BB9">
        <v>-2.4245362661989844E-14</v>
      </c>
      <c r="BC9">
        <v>233062</v>
      </c>
      <c r="BD9" t="s">
        <v>4112</v>
      </c>
      <c r="DA9" t="s">
        <v>3613</v>
      </c>
      <c r="DB9">
        <v>-2.4245362661989844E-14</v>
      </c>
      <c r="DD9">
        <v>-2.4245362661989844E-14</v>
      </c>
      <c r="DE9" t="s">
        <v>1753</v>
      </c>
      <c r="DF9">
        <v>2024</v>
      </c>
      <c r="DG9" t="s">
        <v>3609</v>
      </c>
      <c r="DH9" s="6">
        <v>45716</v>
      </c>
      <c r="DI9">
        <v>5</v>
      </c>
      <c r="DJ9">
        <v>-2.4245362661989844E-14</v>
      </c>
      <c r="DK9">
        <v>17712880</v>
      </c>
      <c r="DL9" t="s">
        <v>3614</v>
      </c>
      <c r="FY9" t="s">
        <v>2572</v>
      </c>
      <c r="GA9">
        <v>-2.4245362661989844E-14</v>
      </c>
      <c r="GB9">
        <v>-2.4245362661989844E-14</v>
      </c>
      <c r="GC9" t="s">
        <v>1753</v>
      </c>
      <c r="GD9">
        <v>2024</v>
      </c>
      <c r="GE9" t="s">
        <v>2565</v>
      </c>
      <c r="GF9" s="6">
        <v>45719</v>
      </c>
      <c r="GG9">
        <v>5</v>
      </c>
      <c r="GH9">
        <v>-2.4245362661989844E-14</v>
      </c>
      <c r="GI9">
        <v>104463</v>
      </c>
      <c r="GJ9" t="s">
        <v>2573</v>
      </c>
      <c r="IG9" t="s">
        <v>2839</v>
      </c>
      <c r="II9">
        <v>-2.4245362661989844E-14</v>
      </c>
      <c r="IJ9">
        <v>-2.4245362661989844E-14</v>
      </c>
      <c r="IK9" t="s">
        <v>1774</v>
      </c>
      <c r="IL9">
        <v>2024</v>
      </c>
      <c r="IM9" t="s">
        <v>2840</v>
      </c>
      <c r="IN9" s="6">
        <v>45433</v>
      </c>
      <c r="IO9">
        <v>5</v>
      </c>
      <c r="IP9">
        <v>-2.4245362661989844E-14</v>
      </c>
      <c r="IQ9">
        <v>103350</v>
      </c>
      <c r="IR9" t="s">
        <v>2841</v>
      </c>
      <c r="RM9" t="s">
        <v>2839</v>
      </c>
      <c r="RO9">
        <v>-2.4245362661989844E-14</v>
      </c>
      <c r="RP9">
        <v>-2.4245362661989844E-14</v>
      </c>
      <c r="RQ9" t="s">
        <v>1774</v>
      </c>
      <c r="RR9">
        <v>2024</v>
      </c>
      <c r="RS9" t="s">
        <v>2840</v>
      </c>
      <c r="RT9" s="6">
        <v>45433</v>
      </c>
      <c r="RU9">
        <v>5</v>
      </c>
      <c r="RV9">
        <v>-2.4245362661989844E-14</v>
      </c>
      <c r="RW9">
        <v>103350</v>
      </c>
      <c r="RX9" t="s">
        <v>2841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1261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1262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1263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1264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1265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1266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1267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1268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1269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1270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1271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1272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1273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1274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1275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1276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1277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1278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1279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1280</v>
      </c>
      <c r="AE2" s="3" t="s">
        <v>1281</v>
      </c>
      <c r="BI2" s="3" t="s">
        <v>260</v>
      </c>
      <c r="CM2" s="3" t="s">
        <v>1282</v>
      </c>
      <c r="DQ2" s="3" t="s">
        <v>201</v>
      </c>
      <c r="EU2" s="3" t="s">
        <v>1283</v>
      </c>
      <c r="FY2" s="3" t="s">
        <v>1284</v>
      </c>
      <c r="HC2" s="3" t="s">
        <v>1285</v>
      </c>
      <c r="IG2" s="3" t="s">
        <v>37</v>
      </c>
      <c r="JK2" s="3" t="s">
        <v>1286</v>
      </c>
      <c r="KO2" s="3" t="s">
        <v>1287</v>
      </c>
      <c r="LS2" s="3" t="s">
        <v>1288</v>
      </c>
      <c r="MW2" s="3" t="s">
        <v>1289</v>
      </c>
      <c r="OA2" s="3" t="s">
        <v>780</v>
      </c>
      <c r="PE2" s="3" t="s">
        <v>1290</v>
      </c>
      <c r="QI2" s="3" t="s">
        <v>702</v>
      </c>
      <c r="RM2" s="3" t="s">
        <v>1291</v>
      </c>
      <c r="SQ2" s="3" t="s">
        <v>1292</v>
      </c>
      <c r="TU2" s="3" t="s">
        <v>1293</v>
      </c>
      <c r="UY2" s="3" t="s">
        <v>1294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_xll.BDS("YELLQ US Equity","SUPPLY_CHAIN_SUPPLIERS_ALL_DATA","cols=12;rows=5")</f>
        <v>ML FP Equity</v>
      </c>
      <c r="B5" t="s">
        <v>1752</v>
      </c>
      <c r="C5">
        <v>2.2783999999999999E-2</v>
      </c>
      <c r="D5">
        <v>0.154611</v>
      </c>
      <c r="E5" t="s">
        <v>1825</v>
      </c>
      <c r="F5">
        <v>2024</v>
      </c>
      <c r="G5" t="s">
        <v>4261</v>
      </c>
      <c r="H5" s="6">
        <v>45762</v>
      </c>
      <c r="I5">
        <v>5</v>
      </c>
      <c r="J5">
        <v>1667198.38</v>
      </c>
      <c r="K5">
        <v>115439</v>
      </c>
      <c r="L5" t="s">
        <v>4262</v>
      </c>
      <c r="O5" t="str">
        <f>_xll.BDS("YELLQ US Equity","SUPPLY_CHAIN_CUSTOMERS_ALL_DATA","cols=12;rows=5")</f>
        <v>0219682Z US Equity</v>
      </c>
      <c r="P5">
        <v>-2.4245362661989844E-14</v>
      </c>
      <c r="R5">
        <v>-2.4245362661989844E-14</v>
      </c>
      <c r="S5" t="s">
        <v>1753</v>
      </c>
      <c r="T5">
        <v>2022</v>
      </c>
      <c r="U5" t="s">
        <v>3359</v>
      </c>
      <c r="V5" s="6">
        <v>44630</v>
      </c>
      <c r="W5">
        <v>5</v>
      </c>
      <c r="X5">
        <v>-2.4245362661989844E-14</v>
      </c>
      <c r="Y5">
        <v>962205</v>
      </c>
      <c r="Z5" t="s">
        <v>1984</v>
      </c>
      <c r="AE5" t="str">
        <f>_xll.BDS("FLTWQ US Equity","SUPPLY_CHAIN_SUPPLIERS_ALL_DATA")</f>
        <v>#N/A N/A</v>
      </c>
      <c r="AS5" t="str">
        <f>_xll.BDS("FLTWQ US Equity","SUPPLY_CHAIN_CUSTOMERS_ALL_DATA")</f>
        <v>#N/A N/A</v>
      </c>
      <c r="BI5" t="str">
        <f>_xll.BDS("GE US Equity","SUPPLY_CHAIN_SUPPLIERS_ALL_DATA","cols=12;rows=5")</f>
        <v>SAF FP Equity</v>
      </c>
      <c r="BJ5" t="s">
        <v>1752</v>
      </c>
      <c r="BK5">
        <v>7.9101749999999997</v>
      </c>
      <c r="BL5">
        <v>9.7364909999999991</v>
      </c>
      <c r="BM5" t="s">
        <v>1774</v>
      </c>
      <c r="BN5">
        <v>2025</v>
      </c>
      <c r="BO5" t="s">
        <v>2600</v>
      </c>
      <c r="BP5" s="6">
        <v>45874</v>
      </c>
      <c r="BQ5">
        <v>5</v>
      </c>
      <c r="BR5">
        <v>666294015.34000003</v>
      </c>
      <c r="BS5">
        <v>115519</v>
      </c>
      <c r="BT5" t="s">
        <v>2601</v>
      </c>
      <c r="BW5" t="str">
        <f>_xll.BDS("GE US Equity","SUPPLY_CHAIN_CUSTOMERS_ALL_DATA","cols=12;rows=5")</f>
        <v>3352Z US Equity</v>
      </c>
      <c r="BX5">
        <v>10</v>
      </c>
      <c r="BZ5">
        <v>-2.4245362661989844E-14</v>
      </c>
      <c r="CA5" t="s">
        <v>1753</v>
      </c>
      <c r="CB5">
        <v>2025</v>
      </c>
      <c r="CC5" t="s">
        <v>4410</v>
      </c>
      <c r="CD5" s="6">
        <v>46051</v>
      </c>
      <c r="CE5">
        <v>5</v>
      </c>
      <c r="CF5">
        <v>1146375040</v>
      </c>
      <c r="CG5">
        <v>218252</v>
      </c>
      <c r="CH5" t="s">
        <v>1793</v>
      </c>
      <c r="CM5" t="str">
        <f>_xll.BDS("EXAR US Equity","SUPPLY_CHAIN_SUPPLIERS_ALL_DATA")</f>
        <v>#N/A N/A</v>
      </c>
      <c r="DA5" t="str">
        <f>_xll.BDS("EXAR US Equity","SUPPLY_CHAIN_CUSTOMERS_ALL_DATA")</f>
        <v>#N/A N/A</v>
      </c>
      <c r="DQ5" t="str">
        <f>_xll.BDS("CMTL US Equity","SUPPLY_CHAIN_SUPPLIERS_ALL_DATA","cols=12;rows=5")</f>
        <v>FEIM US Equity</v>
      </c>
      <c r="DR5" t="s">
        <v>1752</v>
      </c>
      <c r="DS5">
        <v>3.3870999999999998E-2</v>
      </c>
      <c r="DT5">
        <v>5.326E-3</v>
      </c>
      <c r="DU5" t="s">
        <v>1781</v>
      </c>
      <c r="DV5">
        <v>2026</v>
      </c>
      <c r="DW5" t="s">
        <v>4825</v>
      </c>
      <c r="DX5" s="6">
        <v>45926</v>
      </c>
      <c r="DY5">
        <v>5</v>
      </c>
      <c r="DZ5">
        <v>4678</v>
      </c>
      <c r="EA5">
        <v>103815</v>
      </c>
      <c r="EB5" t="s">
        <v>4826</v>
      </c>
      <c r="EE5" t="str">
        <f>_xll.BDS("CMTL US Equity","SUPPLY_CHAIN_CUSTOMERS_ALL_DATA","cols=12;rows=5")</f>
        <v>3352Z US Equity</v>
      </c>
      <c r="EF5">
        <v>19.518229999999999</v>
      </c>
      <c r="EH5">
        <v>-2.4245362661989844E-14</v>
      </c>
      <c r="EI5" t="s">
        <v>1781</v>
      </c>
      <c r="EJ5">
        <v>2026</v>
      </c>
      <c r="EK5" t="s">
        <v>4381</v>
      </c>
      <c r="EL5" s="6">
        <v>46002</v>
      </c>
      <c r="EM5">
        <v>5</v>
      </c>
      <c r="EN5">
        <v>21671482</v>
      </c>
      <c r="EO5">
        <v>218252</v>
      </c>
      <c r="EP5" t="s">
        <v>1793</v>
      </c>
      <c r="EU5" t="str">
        <f>_xll.BDS("510639Q US Equity","SUPPLY_CHAIN_SUPPLIERS_ALL_DATA")</f>
        <v>#N/A N/A</v>
      </c>
      <c r="FI5" t="str">
        <f>_xll.BDS("510639Q US Equity","SUPPLY_CHAIN_CUSTOMERS_ALL_DATA")</f>
        <v>#N/A N/A</v>
      </c>
      <c r="FY5" t="str">
        <f>_xll.BDS("ORA US Equity","SUPPLY_CHAIN_SUPPLIERS_ALL_DATA","cols=12;rows=4")</f>
        <v>SLB US Equity</v>
      </c>
      <c r="FZ5" t="s">
        <v>1828</v>
      </c>
      <c r="GA5">
        <v>3.627E-3</v>
      </c>
      <c r="GB5">
        <v>0.219885</v>
      </c>
      <c r="GC5" t="s">
        <v>1788</v>
      </c>
      <c r="GD5">
        <v>2025</v>
      </c>
      <c r="GE5" t="s">
        <v>3057</v>
      </c>
      <c r="GF5" s="6">
        <v>45985</v>
      </c>
      <c r="GG5">
        <v>4</v>
      </c>
      <c r="GH5">
        <v>323819</v>
      </c>
      <c r="GI5">
        <v>101318</v>
      </c>
      <c r="GJ5" t="s">
        <v>3058</v>
      </c>
      <c r="GM5" t="str">
        <f>_xll.BDS("ORA US Equity","SUPPLY_CHAIN_CUSTOMERS_ALL_DATA","cols=12;rows=5")</f>
        <v>854171Z US Equity</v>
      </c>
      <c r="GN5">
        <v>17</v>
      </c>
      <c r="GP5">
        <v>-2.4245362661989844E-14</v>
      </c>
      <c r="GQ5" t="s">
        <v>1774</v>
      </c>
      <c r="GR5">
        <v>2025</v>
      </c>
      <c r="GS5" t="s">
        <v>3779</v>
      </c>
      <c r="GT5" s="6">
        <v>45876</v>
      </c>
      <c r="GU5">
        <v>5</v>
      </c>
      <c r="GV5">
        <v>39783060</v>
      </c>
      <c r="GW5">
        <v>1026556</v>
      </c>
      <c r="GX5" t="s">
        <v>3780</v>
      </c>
      <c r="HC5" t="str">
        <f>_xll.BDS("SHLM US Equity","SUPPLY_CHAIN_SUPPLIERS_ALL_DATA","cols=12;rows=1")</f>
        <v>FE US Equity</v>
      </c>
      <c r="HE5">
        <v>-2.4245362661989844E-14</v>
      </c>
      <c r="HF5">
        <v>-2.4245362661989844E-14</v>
      </c>
      <c r="HG5" t="s">
        <v>1753</v>
      </c>
      <c r="HH5">
        <v>2021</v>
      </c>
      <c r="HI5" t="s">
        <v>2222</v>
      </c>
      <c r="HJ5" s="6">
        <v>44693</v>
      </c>
      <c r="HK5">
        <v>1</v>
      </c>
      <c r="HL5">
        <v>-2.4245362661989844E-14</v>
      </c>
      <c r="HM5">
        <v>302916</v>
      </c>
      <c r="HN5" t="s">
        <v>2223</v>
      </c>
      <c r="HQ5" t="str">
        <f>_xll.BDS("SHLM US Equity","SUPPLY_CHAIN_CUSTOMERS_ALL_DATA")</f>
        <v>#N/A N/A</v>
      </c>
      <c r="IG5" t="str">
        <f>_xll.BDS("nan Equity","SUPPLY_CHAIN_SUPPLIERS_ALL_DATA")</f>
        <v>#N/A N/A</v>
      </c>
      <c r="IU5" t="str">
        <f>_xll.BDS("nan Equity","SUPPLY_CHAIN_CUSTOMERS_ALL_DATA")</f>
        <v>#N/A N/A</v>
      </c>
      <c r="JK5" t="str">
        <f>_xll.BDS("1746513D US Equity","SUPPLY_CHAIN_SUPPLIERS_ALL_DATA")</f>
        <v>#N/A N/A</v>
      </c>
      <c r="JY5" t="str">
        <f>_xll.BDS("1746513D US Equity","SUPPLY_CHAIN_CUSTOMERS_ALL_DATA")</f>
        <v>#N/A N/A</v>
      </c>
      <c r="KO5" t="str">
        <f>_xll.BDS("PONE US Equity","SUPPLY_CHAIN_SUPPLIERS_ALL_DATA")</f>
        <v>#N/A N/A</v>
      </c>
      <c r="LC5" t="str">
        <f>_xll.BDS("PONE US Equity","SUPPLY_CHAIN_CUSTOMERS_ALL_DATA")</f>
        <v>#N/A N/A</v>
      </c>
      <c r="LS5" t="str">
        <f>_xll.BDS("THG US Equity","SUPPLY_CHAIN_SUPPLIERS_ALL_DATA")</f>
        <v>#N/A N/A</v>
      </c>
      <c r="MG5" t="str">
        <f>_xll.BDS("THG US Equity","SUPPLY_CHAIN_CUSTOMERS_ALL_DATA")</f>
        <v>#N/A N/A</v>
      </c>
      <c r="MW5" t="str">
        <f>_xll.BDS("SFAM US Equity","SUPPLY_CHAIN_SUPPLIERS_ALL_DATA")</f>
        <v>#N/A N/A</v>
      </c>
      <c r="NK5" t="str">
        <f>_xll.BDS("SFAM US Equity","SUPPLY_CHAIN_CUSTOMERS_ALL_DATA")</f>
        <v>#N/A N/A</v>
      </c>
      <c r="OA5" t="str">
        <f>_xll.BDS("PACW US Equity","SUPPLY_CHAIN_SUPPLIERS_ALL_DATA")</f>
        <v>#N/A N/A</v>
      </c>
      <c r="OO5" t="str">
        <f>_xll.BDS("PACW US Equity","SUPPLY_CHAIN_CUSTOMERS_ALL_DATA","cols=12;rows=1")</f>
        <v>SNX US Equity</v>
      </c>
      <c r="OP5">
        <v>-2.4245362661989844E-14</v>
      </c>
      <c r="OR5">
        <v>-2.4245362661989844E-14</v>
      </c>
      <c r="OS5" t="s">
        <v>1753</v>
      </c>
      <c r="OT5">
        <v>2021</v>
      </c>
      <c r="OU5" t="s">
        <v>2674</v>
      </c>
      <c r="OV5" s="6">
        <v>44656</v>
      </c>
      <c r="OW5">
        <v>1</v>
      </c>
      <c r="OX5">
        <v>-2.4245362661989844E-14</v>
      </c>
      <c r="OY5">
        <v>1499717</v>
      </c>
      <c r="OZ5" t="s">
        <v>1827</v>
      </c>
      <c r="PE5" t="str">
        <f>_xll.BDS("AXAS US Equity","SUPPLY_CHAIN_SUPPLIERS_ALL_DATA")</f>
        <v>#N/A N/A</v>
      </c>
      <c r="PS5" t="str">
        <f>_xll.BDS("AXAS US Equity","SUPPLY_CHAIN_CUSTOMERS_ALL_DATA")</f>
        <v>#N/A N/A</v>
      </c>
      <c r="QI5" t="str">
        <f>_xll.BDS("1996074D US Equity","SUPPLY_CHAIN_SUPPLIERS_ALL_DATA")</f>
        <v>#N/A N/A</v>
      </c>
      <c r="QW5" t="str">
        <f>_xll.BDS("1996074D US Equity","SUPPLY_CHAIN_CUSTOMERS_ALL_DATA")</f>
        <v>#N/A N/A</v>
      </c>
      <c r="RM5" t="str">
        <f>_xll.BDS("WSTL US Equity","SUPPLY_CHAIN_SUPPLIERS_ALL_DATA","cols=12;rows=3")</f>
        <v>AQN CN Equity</v>
      </c>
      <c r="RO5">
        <v>-2.4245362661989844E-14</v>
      </c>
      <c r="RP5">
        <v>-2.4245362661989844E-14</v>
      </c>
      <c r="RQ5" t="s">
        <v>1753</v>
      </c>
      <c r="RR5">
        <v>2021</v>
      </c>
      <c r="RS5" t="s">
        <v>3108</v>
      </c>
      <c r="RT5" s="6">
        <v>44693</v>
      </c>
      <c r="RU5">
        <v>3</v>
      </c>
      <c r="RV5">
        <v>-2.4245362661989844E-14</v>
      </c>
      <c r="RW5">
        <v>310116</v>
      </c>
      <c r="RX5" t="s">
        <v>3109</v>
      </c>
      <c r="SA5" t="str">
        <f>_xll.BDS("WSTL US Equity","SUPPLY_CHAIN_CUSTOMERS_ALL_DATA","cols=12;rows=2")</f>
        <v>TESS US Equity</v>
      </c>
      <c r="SB5">
        <v>-2.4245362661989844E-14</v>
      </c>
      <c r="SD5">
        <v>-2.4245362661989844E-14</v>
      </c>
      <c r="SE5" t="s">
        <v>1788</v>
      </c>
      <c r="SF5">
        <v>2023</v>
      </c>
      <c r="SG5" t="s">
        <v>3463</v>
      </c>
      <c r="SH5" s="6">
        <v>45028</v>
      </c>
      <c r="SI5">
        <v>2</v>
      </c>
      <c r="SJ5">
        <v>-2.4245362661989844E-14</v>
      </c>
      <c r="SK5">
        <v>154348</v>
      </c>
      <c r="SL5" t="s">
        <v>3464</v>
      </c>
      <c r="SQ5" t="str">
        <f>_xll.BDS("HTH US Equity","SUPPLY_CHAIN_SUPPLIERS_ALL_DATA","cols=12;rows=1")</f>
        <v>QMCI US Equity</v>
      </c>
      <c r="SS5">
        <v>-2.4245362661989844E-14</v>
      </c>
      <c r="ST5">
        <v>-2.4245362661989844E-14</v>
      </c>
      <c r="SU5" t="s">
        <v>1753</v>
      </c>
      <c r="SV5">
        <v>2022</v>
      </c>
      <c r="SW5" t="s">
        <v>2981</v>
      </c>
      <c r="SX5" s="6">
        <v>44868</v>
      </c>
      <c r="SY5">
        <v>1</v>
      </c>
      <c r="SZ5">
        <v>-2.4245362661989844E-14</v>
      </c>
      <c r="TA5">
        <v>154432</v>
      </c>
      <c r="TB5" t="s">
        <v>2982</v>
      </c>
      <c r="TE5" t="str">
        <f>_xll.BDS("HTH US Equity","SUPPLY_CHAIN_CUSTOMERS_ALL_DATA","cols=12;rows=1")</f>
        <v>0630640D US Equity</v>
      </c>
      <c r="TF5">
        <v>-2.4245362661989844E-14</v>
      </c>
      <c r="TH5">
        <v>-2.4245362661989844E-14</v>
      </c>
      <c r="TI5" t="s">
        <v>1753</v>
      </c>
      <c r="TJ5">
        <v>2023</v>
      </c>
      <c r="TK5" t="s">
        <v>2791</v>
      </c>
      <c r="TL5" s="6">
        <v>44986</v>
      </c>
      <c r="TM5">
        <v>1</v>
      </c>
      <c r="TN5">
        <v>-2.4245362661989844E-14</v>
      </c>
      <c r="TO5">
        <v>33620175</v>
      </c>
      <c r="TP5" t="s">
        <v>2792</v>
      </c>
      <c r="TU5" t="str">
        <f>_xll.BDS("FLWS US Equity","SUPPLY_CHAIN_SUPPLIERS_ALL_DATA","cols=12;rows=5")</f>
        <v>FDX US Equity</v>
      </c>
      <c r="TV5" t="s">
        <v>1752</v>
      </c>
      <c r="TW5">
        <v>4.0689999999999997E-3</v>
      </c>
      <c r="TX5">
        <v>0.65380099999999997</v>
      </c>
      <c r="TY5" t="s">
        <v>1781</v>
      </c>
      <c r="TZ5">
        <v>2026</v>
      </c>
      <c r="UA5" t="s">
        <v>2219</v>
      </c>
      <c r="UB5" s="6">
        <v>45980</v>
      </c>
      <c r="UC5">
        <v>5</v>
      </c>
      <c r="UD5">
        <v>905108</v>
      </c>
      <c r="UE5">
        <v>100554</v>
      </c>
      <c r="UF5" t="s">
        <v>2220</v>
      </c>
      <c r="UI5" t="str">
        <f>_xll.BDS("FLWS US Equity","SUPPLY_CHAIN_CUSTOMERS_ALL_DATA","cols=12;rows=2")</f>
        <v>BBBYQ US Equity</v>
      </c>
      <c r="UJ5">
        <v>-2.4245362661989844E-14</v>
      </c>
      <c r="UL5">
        <v>-2.4245362661989844E-14</v>
      </c>
      <c r="UM5" t="s">
        <v>1781</v>
      </c>
      <c r="UN5">
        <v>2024</v>
      </c>
      <c r="UO5" t="s">
        <v>5832</v>
      </c>
      <c r="UP5" s="6">
        <v>45039</v>
      </c>
      <c r="UQ5">
        <v>2</v>
      </c>
      <c r="UR5">
        <v>-2.4245362661989844E-14</v>
      </c>
      <c r="US5">
        <v>102354</v>
      </c>
      <c r="UT5" t="s">
        <v>3362</v>
      </c>
      <c r="UY5" t="str">
        <f>_xll.BDS("CLRN US Equity","SUPPLY_CHAIN_SUPPLIERS_ALL_DATA")</f>
        <v>#N/A N/A</v>
      </c>
      <c r="VM5" t="str">
        <f>_xll.BDS("CLRN US Equity","SUPPLY_CHAIN_CUSTOMERS_ALL_DATA")</f>
        <v>#N/A N/A</v>
      </c>
    </row>
    <row r="6" spans="1:600" x14ac:dyDescent="0.25">
      <c r="A6" t="s">
        <v>4999</v>
      </c>
      <c r="C6">
        <v>-2.4245362661989844E-14</v>
      </c>
      <c r="D6">
        <v>-2.4245362661989844E-14</v>
      </c>
      <c r="E6" t="s">
        <v>1788</v>
      </c>
      <c r="F6">
        <v>2023</v>
      </c>
      <c r="G6" t="s">
        <v>3360</v>
      </c>
      <c r="H6" s="6">
        <v>45144</v>
      </c>
      <c r="I6">
        <v>5</v>
      </c>
      <c r="J6">
        <v>-2.4245362661989844E-14</v>
      </c>
      <c r="K6">
        <v>30302096</v>
      </c>
      <c r="L6" t="s">
        <v>5000</v>
      </c>
      <c r="O6" t="s">
        <v>1791</v>
      </c>
      <c r="P6">
        <v>-2.4245362661989844E-14</v>
      </c>
      <c r="R6">
        <v>-2.4245362661989844E-14</v>
      </c>
      <c r="S6" t="s">
        <v>1753</v>
      </c>
      <c r="T6">
        <v>2022</v>
      </c>
      <c r="U6" t="s">
        <v>3359</v>
      </c>
      <c r="V6" s="6">
        <v>44630</v>
      </c>
      <c r="W6">
        <v>5</v>
      </c>
      <c r="X6">
        <v>-2.4245362661989844E-14</v>
      </c>
      <c r="Y6">
        <v>218252</v>
      </c>
      <c r="Z6" t="s">
        <v>1793</v>
      </c>
      <c r="BI6" t="s">
        <v>2602</v>
      </c>
      <c r="BJ6" t="s">
        <v>1752</v>
      </c>
      <c r="BK6">
        <v>13.760432</v>
      </c>
      <c r="BL6">
        <v>4.7536569999999996</v>
      </c>
      <c r="BM6" t="s">
        <v>1774</v>
      </c>
      <c r="BN6">
        <v>2025</v>
      </c>
      <c r="BO6" t="s">
        <v>2603</v>
      </c>
      <c r="BP6" s="6">
        <v>45937</v>
      </c>
      <c r="BQ6">
        <v>5</v>
      </c>
      <c r="BR6">
        <v>325305405.77999997</v>
      </c>
      <c r="BS6">
        <v>8445936</v>
      </c>
      <c r="BT6" t="s">
        <v>2604</v>
      </c>
      <c r="BW6" t="s">
        <v>3366</v>
      </c>
      <c r="BX6">
        <v>9.2636719999999997</v>
      </c>
      <c r="BY6" t="s">
        <v>1752</v>
      </c>
      <c r="BZ6">
        <v>5.0267530000000002</v>
      </c>
      <c r="CA6" t="s">
        <v>1774</v>
      </c>
      <c r="CB6">
        <v>2025</v>
      </c>
      <c r="CC6" t="s">
        <v>2518</v>
      </c>
      <c r="CD6" s="6">
        <v>45888</v>
      </c>
      <c r="CE6">
        <v>5</v>
      </c>
      <c r="CF6">
        <v>1021134592</v>
      </c>
      <c r="CG6">
        <v>100211</v>
      </c>
      <c r="CH6" t="s">
        <v>3368</v>
      </c>
      <c r="DQ6" t="s">
        <v>4827</v>
      </c>
      <c r="DS6">
        <v>-2.4245362661989844E-14</v>
      </c>
      <c r="DT6">
        <v>-2.4245362661989844E-14</v>
      </c>
      <c r="DU6" t="s">
        <v>1753</v>
      </c>
      <c r="DV6">
        <v>2023</v>
      </c>
      <c r="DW6" t="s">
        <v>4828</v>
      </c>
      <c r="DX6" s="6">
        <v>45212</v>
      </c>
      <c r="DY6">
        <v>5</v>
      </c>
      <c r="DZ6">
        <v>-2.4245362661989844E-14</v>
      </c>
      <c r="EA6">
        <v>45503453</v>
      </c>
      <c r="EB6" t="s">
        <v>4829</v>
      </c>
      <c r="EE6" t="s">
        <v>1144</v>
      </c>
      <c r="EF6">
        <v>9.4819270000000007</v>
      </c>
      <c r="EG6" t="s">
        <v>1828</v>
      </c>
      <c r="EH6">
        <v>0.29003299999999999</v>
      </c>
      <c r="EI6" t="s">
        <v>1788</v>
      </c>
      <c r="EJ6">
        <v>2025</v>
      </c>
      <c r="EK6" t="s">
        <v>4382</v>
      </c>
      <c r="EL6" s="6">
        <v>45848</v>
      </c>
      <c r="EM6">
        <v>5</v>
      </c>
      <c r="EN6">
        <v>12021851</v>
      </c>
      <c r="EO6">
        <v>100185</v>
      </c>
      <c r="EP6" t="s">
        <v>4383</v>
      </c>
      <c r="FY6" t="s">
        <v>4179</v>
      </c>
      <c r="GA6">
        <v>-2.4245362661989844E-14</v>
      </c>
      <c r="GB6">
        <v>-2.4245362661989844E-14</v>
      </c>
      <c r="GC6" t="s">
        <v>1753</v>
      </c>
      <c r="GD6">
        <v>2023</v>
      </c>
      <c r="GE6" t="s">
        <v>4180</v>
      </c>
      <c r="GF6" s="6">
        <v>45345</v>
      </c>
      <c r="GG6">
        <v>4</v>
      </c>
      <c r="GH6">
        <v>-2.4245362661989844E-14</v>
      </c>
      <c r="GI6">
        <v>11089890</v>
      </c>
      <c r="GJ6" t="s">
        <v>4181</v>
      </c>
      <c r="GM6" t="s">
        <v>2651</v>
      </c>
      <c r="GN6">
        <v>15.1</v>
      </c>
      <c r="GO6" t="s">
        <v>1752</v>
      </c>
      <c r="GP6">
        <v>2.2168589999999999</v>
      </c>
      <c r="GQ6" t="s">
        <v>1788</v>
      </c>
      <c r="GR6">
        <v>2025</v>
      </c>
      <c r="GS6" t="s">
        <v>3781</v>
      </c>
      <c r="GT6" s="6">
        <v>45966</v>
      </c>
      <c r="GU6">
        <v>5</v>
      </c>
      <c r="GV6">
        <v>37708776</v>
      </c>
      <c r="GW6">
        <v>101315</v>
      </c>
      <c r="GX6" t="s">
        <v>2653</v>
      </c>
      <c r="RM6" t="s">
        <v>3626</v>
      </c>
      <c r="RO6">
        <v>-2.4245362661989844E-14</v>
      </c>
      <c r="RP6">
        <v>-2.4245362661989844E-14</v>
      </c>
      <c r="RQ6" t="s">
        <v>1753</v>
      </c>
      <c r="RR6">
        <v>2021</v>
      </c>
      <c r="RS6" t="s">
        <v>3627</v>
      </c>
      <c r="RT6" s="6">
        <v>44693</v>
      </c>
      <c r="RU6">
        <v>3</v>
      </c>
      <c r="RV6">
        <v>-2.4245362661989844E-14</v>
      </c>
      <c r="RW6">
        <v>101086</v>
      </c>
      <c r="RX6" t="s">
        <v>3628</v>
      </c>
      <c r="SA6" t="s">
        <v>3465</v>
      </c>
      <c r="SB6">
        <v>-2.4245362661989844E-14</v>
      </c>
      <c r="SD6">
        <v>-2.4245362661989844E-14</v>
      </c>
      <c r="SE6" t="s">
        <v>1788</v>
      </c>
      <c r="SF6">
        <v>2023</v>
      </c>
      <c r="SG6" t="s">
        <v>3466</v>
      </c>
      <c r="SH6" s="6">
        <v>45216</v>
      </c>
      <c r="SI6">
        <v>2</v>
      </c>
      <c r="SJ6">
        <v>-2.4245362661989844E-14</v>
      </c>
      <c r="SK6">
        <v>305945</v>
      </c>
      <c r="SL6" t="s">
        <v>3467</v>
      </c>
      <c r="TU6" t="s">
        <v>2307</v>
      </c>
      <c r="TW6">
        <v>-2.4245362661989844E-14</v>
      </c>
      <c r="TX6">
        <v>-2.4245362661989844E-14</v>
      </c>
      <c r="TY6" t="s">
        <v>1753</v>
      </c>
      <c r="TZ6">
        <v>2021</v>
      </c>
      <c r="UA6" t="s">
        <v>2308</v>
      </c>
      <c r="UB6" s="6">
        <v>44693</v>
      </c>
      <c r="UC6">
        <v>5</v>
      </c>
      <c r="UD6">
        <v>-2.4245362661989844E-14</v>
      </c>
      <c r="UE6">
        <v>100060</v>
      </c>
      <c r="UF6" t="s">
        <v>2309</v>
      </c>
      <c r="UI6" t="s">
        <v>5833</v>
      </c>
      <c r="UJ6">
        <v>-2.4245362661989844E-14</v>
      </c>
      <c r="UL6">
        <v>-2.4245362661989844E-14</v>
      </c>
      <c r="UM6" t="s">
        <v>1788</v>
      </c>
      <c r="UN6">
        <v>2023</v>
      </c>
      <c r="UO6" t="s">
        <v>5834</v>
      </c>
      <c r="UP6" s="6">
        <v>44971</v>
      </c>
      <c r="UQ6">
        <v>2</v>
      </c>
      <c r="UR6">
        <v>-2.4245362661989844E-14</v>
      </c>
      <c r="US6">
        <v>386949</v>
      </c>
      <c r="UT6" t="s">
        <v>5835</v>
      </c>
    </row>
    <row r="7" spans="1:600" x14ac:dyDescent="0.25">
      <c r="A7" t="s">
        <v>5001</v>
      </c>
      <c r="C7">
        <v>-2.4245362661989844E-14</v>
      </c>
      <c r="D7">
        <v>-2.4245362661989844E-14</v>
      </c>
      <c r="E7" t="s">
        <v>1788</v>
      </c>
      <c r="F7">
        <v>2023</v>
      </c>
      <c r="G7" t="s">
        <v>3360</v>
      </c>
      <c r="H7" s="6">
        <v>45144</v>
      </c>
      <c r="I7">
        <v>5</v>
      </c>
      <c r="J7">
        <v>-2.4245362661989844E-14</v>
      </c>
      <c r="K7">
        <v>7421868</v>
      </c>
      <c r="L7" t="s">
        <v>5002</v>
      </c>
      <c r="O7" t="s">
        <v>1079</v>
      </c>
      <c r="P7">
        <v>-2.4245362661989844E-14</v>
      </c>
      <c r="R7">
        <v>-2.4245362661989844E-14</v>
      </c>
      <c r="S7" t="s">
        <v>1788</v>
      </c>
      <c r="T7">
        <v>2023</v>
      </c>
      <c r="U7" t="s">
        <v>3360</v>
      </c>
      <c r="V7" s="6">
        <v>45144</v>
      </c>
      <c r="W7">
        <v>5</v>
      </c>
      <c r="X7">
        <v>-2.4245362661989844E-14</v>
      </c>
      <c r="Y7">
        <v>216952</v>
      </c>
      <c r="Z7" t="s">
        <v>1899</v>
      </c>
      <c r="BI7" t="s">
        <v>2605</v>
      </c>
      <c r="BJ7" t="s">
        <v>1752</v>
      </c>
      <c r="BK7">
        <v>11</v>
      </c>
      <c r="BL7">
        <v>3.1337429999999999</v>
      </c>
      <c r="BM7" t="s">
        <v>1753</v>
      </c>
      <c r="BN7">
        <v>2025</v>
      </c>
      <c r="BO7" t="s">
        <v>2606</v>
      </c>
      <c r="BP7" s="6">
        <v>46065</v>
      </c>
      <c r="BQ7">
        <v>5</v>
      </c>
      <c r="BR7">
        <v>226930000</v>
      </c>
      <c r="BS7">
        <v>59099358</v>
      </c>
      <c r="BT7" t="s">
        <v>2607</v>
      </c>
      <c r="BW7" t="s">
        <v>1831</v>
      </c>
      <c r="BX7">
        <v>4.5319979999999997</v>
      </c>
      <c r="BY7" t="s">
        <v>1752</v>
      </c>
      <c r="BZ7">
        <v>3.2162160000000002</v>
      </c>
      <c r="CA7" t="s">
        <v>1774</v>
      </c>
      <c r="CB7">
        <v>2025</v>
      </c>
      <c r="CC7" t="s">
        <v>2518</v>
      </c>
      <c r="CD7" s="6">
        <v>45888</v>
      </c>
      <c r="CE7">
        <v>5</v>
      </c>
      <c r="CF7">
        <v>499562144</v>
      </c>
      <c r="CG7">
        <v>876285</v>
      </c>
      <c r="CH7" t="s">
        <v>1833</v>
      </c>
      <c r="DQ7" t="s">
        <v>4830</v>
      </c>
      <c r="DS7">
        <v>-2.4245362661989844E-14</v>
      </c>
      <c r="DT7">
        <v>-2.4245362661989844E-14</v>
      </c>
      <c r="DU7" t="s">
        <v>1753</v>
      </c>
      <c r="DV7">
        <v>2023</v>
      </c>
      <c r="DW7" t="s">
        <v>4831</v>
      </c>
      <c r="DX7" s="6">
        <v>45280</v>
      </c>
      <c r="DY7">
        <v>5</v>
      </c>
      <c r="DZ7">
        <v>-2.4245362661989844E-14</v>
      </c>
      <c r="EA7">
        <v>46370187</v>
      </c>
      <c r="EB7" t="s">
        <v>4832</v>
      </c>
      <c r="EE7" t="s">
        <v>229</v>
      </c>
      <c r="EF7">
        <v>6.6615520000000004</v>
      </c>
      <c r="EG7" t="s">
        <v>1828</v>
      </c>
      <c r="EH7">
        <v>0.16672699999999999</v>
      </c>
      <c r="EI7" t="s">
        <v>1788</v>
      </c>
      <c r="EJ7">
        <v>2025</v>
      </c>
      <c r="EK7" t="s">
        <v>4382</v>
      </c>
      <c r="EL7" s="6">
        <v>45848</v>
      </c>
      <c r="EM7">
        <v>5</v>
      </c>
      <c r="EN7">
        <v>8445982</v>
      </c>
      <c r="EO7">
        <v>101376</v>
      </c>
      <c r="EP7" t="s">
        <v>2334</v>
      </c>
      <c r="FY7" t="s">
        <v>4182</v>
      </c>
      <c r="GA7">
        <v>-2.4245362661989844E-14</v>
      </c>
      <c r="GB7">
        <v>-2.4245362661989844E-14</v>
      </c>
      <c r="GC7" t="s">
        <v>1768</v>
      </c>
      <c r="GD7">
        <v>2024</v>
      </c>
      <c r="GE7" t="s">
        <v>4183</v>
      </c>
      <c r="GF7" s="6">
        <v>45610</v>
      </c>
      <c r="GG7">
        <v>4</v>
      </c>
      <c r="GH7">
        <v>-2.4245362661989844E-14</v>
      </c>
      <c r="GI7">
        <v>37941145</v>
      </c>
      <c r="GJ7" t="s">
        <v>4184</v>
      </c>
      <c r="GM7" t="s">
        <v>3782</v>
      </c>
      <c r="GN7">
        <v>12.290004</v>
      </c>
      <c r="GO7" t="s">
        <v>1752</v>
      </c>
      <c r="GP7">
        <v>10.369638999999999</v>
      </c>
      <c r="GQ7" t="s">
        <v>1753</v>
      </c>
      <c r="GR7">
        <v>2025</v>
      </c>
      <c r="GS7" t="s">
        <v>3783</v>
      </c>
      <c r="GT7" s="6">
        <v>45989</v>
      </c>
      <c r="GU7">
        <v>5</v>
      </c>
      <c r="GV7">
        <v>29008364.850000001</v>
      </c>
      <c r="GW7">
        <v>199086</v>
      </c>
      <c r="GX7" t="s">
        <v>3784</v>
      </c>
      <c r="RM7" t="s">
        <v>2978</v>
      </c>
      <c r="RO7">
        <v>-2.4245362661989844E-14</v>
      </c>
      <c r="RP7">
        <v>-2.4245362661989844E-14</v>
      </c>
      <c r="RQ7" t="s">
        <v>1753</v>
      </c>
      <c r="RR7">
        <v>2021</v>
      </c>
      <c r="RS7" t="s">
        <v>2979</v>
      </c>
      <c r="RT7" s="6">
        <v>44693</v>
      </c>
      <c r="RU7">
        <v>3</v>
      </c>
      <c r="RV7">
        <v>-2.4245362661989844E-14</v>
      </c>
      <c r="RW7">
        <v>101170</v>
      </c>
      <c r="RX7" t="s">
        <v>2980</v>
      </c>
      <c r="TU7" t="s">
        <v>1180</v>
      </c>
      <c r="TW7">
        <v>-2.4245362661989844E-14</v>
      </c>
      <c r="TX7">
        <v>-2.4245362661989844E-14</v>
      </c>
      <c r="TY7" t="s">
        <v>1753</v>
      </c>
      <c r="TZ7">
        <v>2021</v>
      </c>
      <c r="UA7" t="s">
        <v>2395</v>
      </c>
      <c r="UB7" s="6">
        <v>44693</v>
      </c>
      <c r="UC7">
        <v>5</v>
      </c>
      <c r="UD7">
        <v>-2.4245362661989844E-14</v>
      </c>
      <c r="UE7">
        <v>100193</v>
      </c>
      <c r="UF7" t="s">
        <v>1951</v>
      </c>
    </row>
    <row r="8" spans="1:600" x14ac:dyDescent="0.25">
      <c r="A8" t="s">
        <v>523</v>
      </c>
      <c r="C8">
        <v>-2.4245362661989844E-14</v>
      </c>
      <c r="D8">
        <v>-2.4245362661989844E-14</v>
      </c>
      <c r="E8" t="s">
        <v>1788</v>
      </c>
      <c r="F8">
        <v>2023</v>
      </c>
      <c r="G8" t="s">
        <v>3360</v>
      </c>
      <c r="H8" s="6">
        <v>45144</v>
      </c>
      <c r="I8">
        <v>5</v>
      </c>
      <c r="J8">
        <v>-2.4245362661989844E-14</v>
      </c>
      <c r="K8">
        <v>69491275</v>
      </c>
      <c r="L8" t="s">
        <v>3096</v>
      </c>
      <c r="O8" t="s">
        <v>3361</v>
      </c>
      <c r="P8">
        <v>-2.4245362661989844E-14</v>
      </c>
      <c r="R8">
        <v>-2.4245362661989844E-14</v>
      </c>
      <c r="S8" t="s">
        <v>1788</v>
      </c>
      <c r="T8">
        <v>2023</v>
      </c>
      <c r="U8" t="s">
        <v>3360</v>
      </c>
      <c r="V8" s="6">
        <v>45144</v>
      </c>
      <c r="W8">
        <v>5</v>
      </c>
      <c r="X8">
        <v>-2.4245362661989844E-14</v>
      </c>
      <c r="Y8">
        <v>102354</v>
      </c>
      <c r="Z8" t="s">
        <v>3362</v>
      </c>
      <c r="BI8" t="s">
        <v>2608</v>
      </c>
      <c r="BJ8" t="s">
        <v>1752</v>
      </c>
      <c r="BK8">
        <v>8.8672269999999997</v>
      </c>
      <c r="BL8">
        <v>1.980351</v>
      </c>
      <c r="BM8" t="s">
        <v>1774</v>
      </c>
      <c r="BN8">
        <v>2025</v>
      </c>
      <c r="BO8" t="s">
        <v>2609</v>
      </c>
      <c r="BP8" s="6">
        <v>45922</v>
      </c>
      <c r="BQ8">
        <v>5</v>
      </c>
      <c r="BR8">
        <v>135574848</v>
      </c>
      <c r="BS8">
        <v>11937231</v>
      </c>
      <c r="BT8" t="s">
        <v>2610</v>
      </c>
      <c r="BW8" t="s">
        <v>4352</v>
      </c>
      <c r="BX8">
        <v>3.2472560000000001</v>
      </c>
      <c r="BY8" t="s">
        <v>1752</v>
      </c>
      <c r="BZ8">
        <v>2.573108</v>
      </c>
      <c r="CA8" t="s">
        <v>1774</v>
      </c>
      <c r="CB8">
        <v>2025</v>
      </c>
      <c r="CC8" t="s">
        <v>2518</v>
      </c>
      <c r="CD8" s="6">
        <v>45888</v>
      </c>
      <c r="CE8">
        <v>5</v>
      </c>
      <c r="CF8">
        <v>357945024</v>
      </c>
      <c r="CG8">
        <v>10451815</v>
      </c>
      <c r="CH8" t="s">
        <v>4353</v>
      </c>
      <c r="DQ8" t="s">
        <v>4833</v>
      </c>
      <c r="DS8">
        <v>-2.4245362661989844E-14</v>
      </c>
      <c r="DT8">
        <v>-2.4245362661989844E-14</v>
      </c>
      <c r="DU8" t="s">
        <v>1753</v>
      </c>
      <c r="DV8">
        <v>2023</v>
      </c>
      <c r="DW8" t="s">
        <v>4828</v>
      </c>
      <c r="DX8" s="6">
        <v>45212</v>
      </c>
      <c r="DY8">
        <v>5</v>
      </c>
      <c r="DZ8">
        <v>-2.4245362661989844E-14</v>
      </c>
      <c r="EA8">
        <v>48039422</v>
      </c>
      <c r="EB8" t="s">
        <v>4834</v>
      </c>
      <c r="EE8" t="s">
        <v>4384</v>
      </c>
      <c r="EF8">
        <v>4.4135520000000001</v>
      </c>
      <c r="EG8" t="s">
        <v>1828</v>
      </c>
      <c r="EH8">
        <v>0.193355</v>
      </c>
      <c r="EI8" t="s">
        <v>1788</v>
      </c>
      <c r="EJ8">
        <v>2025</v>
      </c>
      <c r="EK8" t="s">
        <v>4382</v>
      </c>
      <c r="EL8" s="6">
        <v>45848</v>
      </c>
      <c r="EM8">
        <v>5</v>
      </c>
      <c r="EN8">
        <v>5595810</v>
      </c>
      <c r="EO8">
        <v>13965309</v>
      </c>
      <c r="EP8" t="s">
        <v>4385</v>
      </c>
      <c r="FY8" t="s">
        <v>4185</v>
      </c>
      <c r="GA8">
        <v>-2.4245362661989844E-14</v>
      </c>
      <c r="GB8">
        <v>-2.4245362661989844E-14</v>
      </c>
      <c r="GC8" t="s">
        <v>1753</v>
      </c>
      <c r="GD8">
        <v>2024</v>
      </c>
      <c r="GE8" t="s">
        <v>4186</v>
      </c>
      <c r="GF8" s="6">
        <v>45749</v>
      </c>
      <c r="GG8">
        <v>4</v>
      </c>
      <c r="GH8">
        <v>-2.4245362661989844E-14</v>
      </c>
      <c r="GI8">
        <v>17792969</v>
      </c>
      <c r="GJ8" t="s">
        <v>4187</v>
      </c>
      <c r="GM8" t="s">
        <v>1180</v>
      </c>
      <c r="GN8">
        <v>12.1</v>
      </c>
      <c r="GO8" t="s">
        <v>1752</v>
      </c>
      <c r="GP8">
        <v>4.5363000000000001E-2</v>
      </c>
      <c r="GQ8" t="s">
        <v>1788</v>
      </c>
      <c r="GR8">
        <v>2025</v>
      </c>
      <c r="GS8" t="s">
        <v>3781</v>
      </c>
      <c r="GT8" s="6">
        <v>45966</v>
      </c>
      <c r="GU8">
        <v>5</v>
      </c>
      <c r="GV8">
        <v>30216968</v>
      </c>
      <c r="GW8">
        <v>100193</v>
      </c>
      <c r="GX8" t="s">
        <v>1951</v>
      </c>
      <c r="TU8" t="s">
        <v>1805</v>
      </c>
      <c r="TW8">
        <v>-2.4245362661989844E-14</v>
      </c>
      <c r="TX8">
        <v>-2.4245362661989844E-14</v>
      </c>
      <c r="TY8" t="s">
        <v>1753</v>
      </c>
      <c r="TZ8">
        <v>2026</v>
      </c>
      <c r="UA8" t="s">
        <v>2561</v>
      </c>
      <c r="UB8" s="6">
        <v>46062</v>
      </c>
      <c r="UC8">
        <v>5</v>
      </c>
      <c r="UD8">
        <v>-2.4245362661989844E-14</v>
      </c>
      <c r="UE8">
        <v>41633687</v>
      </c>
      <c r="UF8" t="s">
        <v>1807</v>
      </c>
    </row>
    <row r="9" spans="1:600" x14ac:dyDescent="0.25">
      <c r="A9" t="s">
        <v>1180</v>
      </c>
      <c r="C9">
        <v>-2.4245362661989844E-14</v>
      </c>
      <c r="D9">
        <v>-2.4245362661989844E-14</v>
      </c>
      <c r="E9" t="s">
        <v>1788</v>
      </c>
      <c r="F9">
        <v>2023</v>
      </c>
      <c r="G9" t="s">
        <v>3360</v>
      </c>
      <c r="H9" s="6">
        <v>45144</v>
      </c>
      <c r="I9">
        <v>5</v>
      </c>
      <c r="J9">
        <v>-2.4245362661989844E-14</v>
      </c>
      <c r="K9">
        <v>100193</v>
      </c>
      <c r="L9" t="s">
        <v>1951</v>
      </c>
      <c r="O9" t="s">
        <v>3363</v>
      </c>
      <c r="P9">
        <v>-2.4245362661989844E-14</v>
      </c>
      <c r="R9">
        <v>-2.4245362661989844E-14</v>
      </c>
      <c r="S9" t="s">
        <v>1788</v>
      </c>
      <c r="T9">
        <v>2023</v>
      </c>
      <c r="U9" t="s">
        <v>3360</v>
      </c>
      <c r="V9" s="6">
        <v>45144</v>
      </c>
      <c r="W9">
        <v>5</v>
      </c>
      <c r="X9">
        <v>-2.4245362661989844E-14</v>
      </c>
      <c r="Y9">
        <v>170003</v>
      </c>
      <c r="Z9" t="s">
        <v>3364</v>
      </c>
      <c r="BI9" t="s">
        <v>2611</v>
      </c>
      <c r="BJ9" t="s">
        <v>1752</v>
      </c>
      <c r="BK9">
        <v>9.9027270000000005</v>
      </c>
      <c r="BL9">
        <v>1.5774429999999999</v>
      </c>
      <c r="BM9" t="s">
        <v>1774</v>
      </c>
      <c r="BN9">
        <v>2025</v>
      </c>
      <c r="BO9" t="s">
        <v>2612</v>
      </c>
      <c r="BP9" s="6">
        <v>45904</v>
      </c>
      <c r="BQ9">
        <v>5</v>
      </c>
      <c r="BR9">
        <v>107991712</v>
      </c>
      <c r="BS9">
        <v>187877</v>
      </c>
      <c r="BT9" t="s">
        <v>2613</v>
      </c>
      <c r="BW9" t="s">
        <v>4411</v>
      </c>
      <c r="BX9">
        <v>3.0622020000000001</v>
      </c>
      <c r="BY9" t="s">
        <v>1752</v>
      </c>
      <c r="BZ9">
        <v>2.546176</v>
      </c>
      <c r="CA9" t="s">
        <v>1774</v>
      </c>
      <c r="CB9">
        <v>2025</v>
      </c>
      <c r="CC9" t="s">
        <v>2518</v>
      </c>
      <c r="CD9" s="6">
        <v>45888</v>
      </c>
      <c r="CE9">
        <v>5</v>
      </c>
      <c r="CF9">
        <v>337546528</v>
      </c>
      <c r="CG9">
        <v>100090</v>
      </c>
      <c r="CH9" t="s">
        <v>4412</v>
      </c>
      <c r="DQ9" t="s">
        <v>4835</v>
      </c>
      <c r="DS9">
        <v>-2.4245362661989844E-14</v>
      </c>
      <c r="DT9">
        <v>-2.4245362661989844E-14</v>
      </c>
      <c r="DU9" t="s">
        <v>1753</v>
      </c>
      <c r="DV9">
        <v>2023</v>
      </c>
      <c r="DW9" t="s">
        <v>4828</v>
      </c>
      <c r="DX9" s="6">
        <v>45212</v>
      </c>
      <c r="DY9">
        <v>5</v>
      </c>
      <c r="DZ9">
        <v>-2.4245362661989844E-14</v>
      </c>
      <c r="EA9">
        <v>66901364</v>
      </c>
      <c r="EB9" t="s">
        <v>4836</v>
      </c>
      <c r="EE9" t="s">
        <v>4386</v>
      </c>
      <c r="EF9">
        <v>3.73787</v>
      </c>
      <c r="EG9" t="s">
        <v>1828</v>
      </c>
      <c r="EH9">
        <v>0.193355</v>
      </c>
      <c r="EI9" t="s">
        <v>1788</v>
      </c>
      <c r="EJ9">
        <v>2025</v>
      </c>
      <c r="EK9" t="s">
        <v>4382</v>
      </c>
      <c r="EL9" s="6">
        <v>45848</v>
      </c>
      <c r="EM9">
        <v>5</v>
      </c>
      <c r="EN9">
        <v>4739133</v>
      </c>
      <c r="EO9">
        <v>8779219</v>
      </c>
      <c r="EP9" t="s">
        <v>4387</v>
      </c>
      <c r="GM9" t="s">
        <v>3785</v>
      </c>
      <c r="GN9">
        <v>6.3661399999999997</v>
      </c>
      <c r="GO9" t="s">
        <v>1752</v>
      </c>
      <c r="GP9">
        <v>3.143567</v>
      </c>
      <c r="GQ9" t="s">
        <v>1753</v>
      </c>
      <c r="GR9">
        <v>2024</v>
      </c>
      <c r="GS9" t="s">
        <v>3786</v>
      </c>
      <c r="GT9" s="6">
        <v>45712</v>
      </c>
      <c r="GU9">
        <v>5</v>
      </c>
      <c r="GV9">
        <v>14000002</v>
      </c>
      <c r="GW9">
        <v>100715</v>
      </c>
      <c r="GX9" t="s">
        <v>3787</v>
      </c>
      <c r="TU9" t="s">
        <v>2562</v>
      </c>
      <c r="TW9">
        <v>-2.4245362661989844E-14</v>
      </c>
      <c r="TX9">
        <v>-2.4245362661989844E-14</v>
      </c>
      <c r="TY9" t="s">
        <v>1753</v>
      </c>
      <c r="TZ9">
        <v>2025</v>
      </c>
      <c r="UA9" t="s">
        <v>2563</v>
      </c>
      <c r="UB9" s="6">
        <v>45768</v>
      </c>
      <c r="UC9">
        <v>5</v>
      </c>
      <c r="UD9">
        <v>-2.4245362661989844E-14</v>
      </c>
      <c r="UE9">
        <v>68452585</v>
      </c>
      <c r="UF9" t="s">
        <v>2564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1296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1297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1298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1299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1300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1301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1302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1303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1304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1305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1306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1307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1308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1309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1310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1311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1312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1313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1314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425</v>
      </c>
      <c r="AE2" s="3" t="s">
        <v>1315</v>
      </c>
      <c r="BI2" s="3" t="s">
        <v>1316</v>
      </c>
      <c r="CM2" s="3" t="s">
        <v>1317</v>
      </c>
      <c r="DQ2" s="3" t="s">
        <v>1024</v>
      </c>
      <c r="EU2" s="3" t="s">
        <v>1318</v>
      </c>
      <c r="FY2" s="3" t="s">
        <v>1319</v>
      </c>
      <c r="HC2" s="3" t="s">
        <v>534</v>
      </c>
      <c r="IG2" s="3" t="s">
        <v>1320</v>
      </c>
      <c r="JK2" s="3" t="s">
        <v>1321</v>
      </c>
      <c r="KO2" s="3" t="s">
        <v>963</v>
      </c>
      <c r="LS2" s="3" t="s">
        <v>1322</v>
      </c>
      <c r="MW2" s="3" t="s">
        <v>1323</v>
      </c>
      <c r="OA2" s="3" t="s">
        <v>1324</v>
      </c>
      <c r="PE2" s="3" t="s">
        <v>1325</v>
      </c>
      <c r="QI2" s="3" t="s">
        <v>151</v>
      </c>
      <c r="RM2" s="3" t="s">
        <v>1326</v>
      </c>
      <c r="SQ2" s="3" t="s">
        <v>1327</v>
      </c>
      <c r="TU2" s="3" t="s">
        <v>1328</v>
      </c>
      <c r="UY2" s="3" t="s">
        <v>1031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_xll.BDS("BSX US Equity","SUPPLY_CHAIN_SUPPLIERS_ALL_DATA","cols=12;rows=5")</f>
        <v>FLEX US Equity</v>
      </c>
      <c r="B5" t="s">
        <v>1752</v>
      </c>
      <c r="C5">
        <v>0.45866000000000001</v>
      </c>
      <c r="D5">
        <v>2.0511430000000002</v>
      </c>
      <c r="E5" t="s">
        <v>1788</v>
      </c>
      <c r="F5">
        <v>2025</v>
      </c>
      <c r="G5" t="s">
        <v>2213</v>
      </c>
      <c r="H5" s="6">
        <v>45763</v>
      </c>
      <c r="I5">
        <v>5</v>
      </c>
      <c r="J5">
        <v>30069750</v>
      </c>
      <c r="K5">
        <v>136547</v>
      </c>
      <c r="L5" t="s">
        <v>2214</v>
      </c>
      <c r="O5" t="str">
        <f>_xll.BDS("BSX US Equity","SUPPLY_CHAIN_CUSTOMERS_ALL_DATA","cols=12;rows=5")</f>
        <v>000078 CH Equity</v>
      </c>
      <c r="P5">
        <v>-2.4245362661989844E-14</v>
      </c>
      <c r="R5">
        <v>-2.4245362661989844E-14</v>
      </c>
      <c r="S5" t="s">
        <v>1842</v>
      </c>
      <c r="T5">
        <v>2025</v>
      </c>
      <c r="U5" t="s">
        <v>4585</v>
      </c>
      <c r="V5" s="6">
        <v>45898</v>
      </c>
      <c r="W5">
        <v>5</v>
      </c>
      <c r="X5">
        <v>-2.4245362661989844E-14</v>
      </c>
      <c r="Y5">
        <v>812235</v>
      </c>
      <c r="Z5" t="s">
        <v>4586</v>
      </c>
      <c r="AE5" t="str">
        <f>_xll.BDS("FHB US Equity","SUPPLY_CHAIN_SUPPLIERS_ALL_DATA","cols=12;rows=1")</f>
        <v>NTWK US Equity</v>
      </c>
      <c r="AG5">
        <v>-2.4245362661989844E-14</v>
      </c>
      <c r="AH5">
        <v>-2.4245362661989844E-14</v>
      </c>
      <c r="AI5" t="s">
        <v>1753</v>
      </c>
      <c r="AJ5">
        <v>2025</v>
      </c>
      <c r="AK5" t="s">
        <v>5363</v>
      </c>
      <c r="AL5" s="6">
        <v>45929</v>
      </c>
      <c r="AM5">
        <v>1</v>
      </c>
      <c r="AN5">
        <v>-2.4245362661989844E-14</v>
      </c>
      <c r="AO5">
        <v>313423</v>
      </c>
      <c r="AP5" t="s">
        <v>5364</v>
      </c>
      <c r="AS5" t="str">
        <f>_xll.BDS("FHB US Equity","SUPPLY_CHAIN_CUSTOMERS_ALL_DATA")</f>
        <v>#N/A N/A</v>
      </c>
      <c r="BI5" t="str">
        <f>_xll.BDS("NOVL US Equity","SUPPLY_CHAIN_SUPPLIERS_ALL_DATA")</f>
        <v>#N/A N/A</v>
      </c>
      <c r="BW5" t="str">
        <f>_xll.BDS("NOVL US Equity","SUPPLY_CHAIN_CUSTOMERS_ALL_DATA")</f>
        <v>#N/A N/A</v>
      </c>
      <c r="CM5" t="str">
        <f>_xll.BDS("WFRD US Equity","SUPPLY_CHAIN_SUPPLIERS_ALL_DATA","cols=12;rows=5")</f>
        <v>TCS IN Equity</v>
      </c>
      <c r="CN5" t="s">
        <v>1940</v>
      </c>
      <c r="CO5">
        <v>0.100963</v>
      </c>
      <c r="CP5">
        <v>4.4713529999999997</v>
      </c>
      <c r="CQ5" t="s">
        <v>1788</v>
      </c>
      <c r="CR5">
        <v>2026</v>
      </c>
      <c r="CS5" t="s">
        <v>3659</v>
      </c>
      <c r="CT5" s="6">
        <v>46058</v>
      </c>
      <c r="CU5">
        <v>5</v>
      </c>
      <c r="CV5">
        <v>7602198.0899999999</v>
      </c>
      <c r="CW5">
        <v>7259059</v>
      </c>
      <c r="CX5" t="s">
        <v>2008</v>
      </c>
      <c r="DA5" t="str">
        <f>_xll.BDS("WFRD US Equity","SUPPLY_CHAIN_CUSTOMERS_ALL_DATA","cols=12;rows=5")</f>
        <v>0790415D BI Equity</v>
      </c>
      <c r="DB5">
        <v>-2.4245362661989844E-14</v>
      </c>
      <c r="DD5">
        <v>-2.4245362661989844E-14</v>
      </c>
      <c r="DE5" t="s">
        <v>1753</v>
      </c>
      <c r="DF5">
        <v>2025</v>
      </c>
      <c r="DG5" t="s">
        <v>3541</v>
      </c>
      <c r="DH5" s="6">
        <v>46056</v>
      </c>
      <c r="DI5">
        <v>5</v>
      </c>
      <c r="DJ5">
        <v>-2.4245362661989844E-14</v>
      </c>
      <c r="DK5">
        <v>17258954</v>
      </c>
      <c r="DL5" t="s">
        <v>3542</v>
      </c>
      <c r="DQ5" t="str">
        <f>_xll.BDS("INAPQ US Equity","SUPPLY_CHAIN_SUPPLIERS_ALL_DATA","cols=12;rows=2")</f>
        <v>JNPR US Equity</v>
      </c>
      <c r="DS5">
        <v>-2.4245362661989844E-14</v>
      </c>
      <c r="DT5">
        <v>-2.4245362661989844E-14</v>
      </c>
      <c r="DU5" t="s">
        <v>1753</v>
      </c>
      <c r="DV5">
        <v>2023</v>
      </c>
      <c r="DW5" t="s">
        <v>3054</v>
      </c>
      <c r="DX5" s="6">
        <v>45037</v>
      </c>
      <c r="DY5">
        <v>2</v>
      </c>
      <c r="DZ5">
        <v>-2.4245362661989844E-14</v>
      </c>
      <c r="EA5">
        <v>929589</v>
      </c>
      <c r="EB5" t="s">
        <v>3055</v>
      </c>
      <c r="EE5" t="str">
        <f>_xll.BDS("INAPQ US Equity","SUPPLY_CHAIN_CUSTOMERS_ALL_DATA")</f>
        <v>#N/A N/A</v>
      </c>
      <c r="EU5" t="str">
        <f>_xll.BDS("KLIC US Equity","SUPPLY_CHAIN_SUPPLIERS_ALL_DATA","cols=12;rows=5")</f>
        <v>412350 KS Equity</v>
      </c>
      <c r="EW5">
        <v>-2.4245362661989844E-14</v>
      </c>
      <c r="EX5">
        <v>-2.4245362661989844E-14</v>
      </c>
      <c r="EY5" t="s">
        <v>1753</v>
      </c>
      <c r="EZ5">
        <v>2023</v>
      </c>
      <c r="FA5" t="s">
        <v>2970</v>
      </c>
      <c r="FB5" s="6">
        <v>45203</v>
      </c>
      <c r="FC5">
        <v>5</v>
      </c>
      <c r="FD5">
        <v>-2.4245362661989844E-14</v>
      </c>
      <c r="FE5">
        <v>69433453</v>
      </c>
      <c r="FF5" t="s">
        <v>2971</v>
      </c>
      <c r="FI5" t="str">
        <f>_xll.BDS("KLIC US Equity","SUPPLY_CHAIN_CUSTOMERS_ALL_DATA","cols=12;rows=5")</f>
        <v>002185 CH Equity</v>
      </c>
      <c r="FJ5">
        <v>16.100000000000001</v>
      </c>
      <c r="FK5" t="s">
        <v>1828</v>
      </c>
      <c r="FL5">
        <v>14.601082</v>
      </c>
      <c r="FM5" t="s">
        <v>1781</v>
      </c>
      <c r="FN5">
        <v>2026</v>
      </c>
      <c r="FO5" t="s">
        <v>2803</v>
      </c>
      <c r="FP5" s="6">
        <v>46058</v>
      </c>
      <c r="FQ5">
        <v>5</v>
      </c>
      <c r="FR5">
        <v>32139624</v>
      </c>
      <c r="FS5">
        <v>13256843</v>
      </c>
      <c r="FT5" t="s">
        <v>2804</v>
      </c>
      <c r="FY5" t="str">
        <f>_xll.BDS("HCKT US Equity","SUPPLY_CHAIN_SUPPLIERS_ALL_DATA","cols=12;rows=3")</f>
        <v>COUP US Equity</v>
      </c>
      <c r="GA5">
        <v>-2.4245362661989844E-14</v>
      </c>
      <c r="GB5">
        <v>-2.4245362661989844E-14</v>
      </c>
      <c r="GC5" t="s">
        <v>1753</v>
      </c>
      <c r="GD5">
        <v>2024</v>
      </c>
      <c r="GE5" t="s">
        <v>2483</v>
      </c>
      <c r="GF5" s="6">
        <v>45716</v>
      </c>
      <c r="GG5">
        <v>3</v>
      </c>
      <c r="GH5">
        <v>-2.4245362661989844E-14</v>
      </c>
      <c r="GI5">
        <v>24011191</v>
      </c>
      <c r="GJ5" t="s">
        <v>2484</v>
      </c>
      <c r="GM5" t="str">
        <f>_xll.BDS("HCKT US Equity","SUPPLY_CHAIN_CUSTOMERS_ALL_DATA","cols=12;rows=1")</f>
        <v>COUP US Equity</v>
      </c>
      <c r="GN5">
        <v>-2.4245362661989844E-14</v>
      </c>
      <c r="GP5">
        <v>-2.4245362661989844E-14</v>
      </c>
      <c r="GQ5" t="s">
        <v>1753</v>
      </c>
      <c r="GR5">
        <v>2024</v>
      </c>
      <c r="GS5" t="s">
        <v>5202</v>
      </c>
      <c r="GT5" s="6">
        <v>45547</v>
      </c>
      <c r="GU5">
        <v>1</v>
      </c>
      <c r="GV5">
        <v>-2.4245362661989844E-14</v>
      </c>
      <c r="GW5">
        <v>24011191</v>
      </c>
      <c r="GX5" t="s">
        <v>2484</v>
      </c>
      <c r="HC5" t="str">
        <f>_xll.BDS("540513Q US Equity","SUPPLY_CHAIN_SUPPLIERS_ALL_DATA")</f>
        <v>#N/A N/A</v>
      </c>
      <c r="HQ5" t="str">
        <f>_xll.BDS("540513Q US Equity","SUPPLY_CHAIN_CUSTOMERS_ALL_DATA")</f>
        <v>#N/A N/A</v>
      </c>
      <c r="IG5" t="str">
        <f>_xll.BDS("ANDX US Equity","SUPPLY_CHAIN_SUPPLIERS_ALL_DATA")</f>
        <v>#N/A N/A</v>
      </c>
      <c r="IU5" t="str">
        <f>_xll.BDS("ANDX US Equity","SUPPLY_CHAIN_CUSTOMERS_ALL_DATA")</f>
        <v>#N/A N/A</v>
      </c>
      <c r="JK5" t="str">
        <f>_xll.BDS("JLG US Equity","SUPPLY_CHAIN_SUPPLIERS_ALL_DATA")</f>
        <v>#N/A N/A</v>
      </c>
      <c r="JY5" t="str">
        <f>_xll.BDS("JLG US Equity","SUPPLY_CHAIN_CUSTOMERS_ALL_DATA")</f>
        <v>#N/A N/A</v>
      </c>
      <c r="KO5" t="str">
        <f>_xll.BDS("PRA US Equity","SUPPLY_CHAIN_SUPPLIERS_ALL_DATA")</f>
        <v>#N/A N/A</v>
      </c>
      <c r="LC5" t="str">
        <f>_xll.BDS("PRA US Equity","SUPPLY_CHAIN_CUSTOMERS_ALL_DATA")</f>
        <v>#N/A N/A</v>
      </c>
      <c r="LS5" t="str">
        <f>_xll.BDS("9996201D US Equity","SUPPLY_CHAIN_SUPPLIERS_ALL_DATA")</f>
        <v>#N/A N/A</v>
      </c>
      <c r="MG5" t="str">
        <f>_xll.BDS("9996201D US Equity","SUPPLY_CHAIN_CUSTOMERS_ALL_DATA")</f>
        <v>#N/A N/A</v>
      </c>
      <c r="MW5" t="str">
        <f>_xll.BDS("ASFZ US Equity","SUPPLY_CHAIN_SUPPLIERS_ALL_DATA")</f>
        <v>#N/A N/A</v>
      </c>
      <c r="NK5" t="str">
        <f>_xll.BDS("ASFZ US Equity","SUPPLY_CHAIN_CUSTOMERS_ALL_DATA")</f>
        <v>#N/A N/A</v>
      </c>
      <c r="OA5" t="str">
        <f>_xll.BDS("0758969D US Equity","SUPPLY_CHAIN_SUPPLIERS_ALL_DATA")</f>
        <v>#N/A N/A</v>
      </c>
      <c r="OO5" t="str">
        <f>_xll.BDS("0758969D US Equity","SUPPLY_CHAIN_CUSTOMERS_ALL_DATA")</f>
        <v>#N/A N/A</v>
      </c>
      <c r="PE5" t="str">
        <f>_xll.BDS("SRZ US Equity","SUPPLY_CHAIN_SUPPLIERS_ALL_DATA","cols=12;rows=3")</f>
        <v>WELL US Equity</v>
      </c>
      <c r="PG5">
        <v>10.062165</v>
      </c>
      <c r="PH5">
        <v>-2.4245362661989844E-14</v>
      </c>
      <c r="PI5" t="s">
        <v>1753</v>
      </c>
      <c r="PJ5">
        <v>2024</v>
      </c>
      <c r="PK5" t="s">
        <v>2545</v>
      </c>
      <c r="PL5" s="6">
        <v>45700</v>
      </c>
      <c r="PM5">
        <v>3</v>
      </c>
      <c r="PN5">
        <v>201019872</v>
      </c>
      <c r="PO5">
        <v>70059040</v>
      </c>
      <c r="PP5" t="s">
        <v>2546</v>
      </c>
      <c r="PS5" t="str">
        <f>_xll.BDS("SRZ US Equity","SUPPLY_CHAIN_CUSTOMERS_ALL_DATA")</f>
        <v>#N/A N/A</v>
      </c>
      <c r="QI5" t="str">
        <f>_xll.BDS("MFE US Equity","SUPPLY_CHAIN_SUPPLIERS_ALL_DATA","cols=12;rows=2")</f>
        <v>EMBASSY IN Equity</v>
      </c>
      <c r="QK5">
        <v>-2.4245362661989844E-14</v>
      </c>
      <c r="QL5">
        <v>-2.4245362661989844E-14</v>
      </c>
      <c r="QM5" t="s">
        <v>1753</v>
      </c>
      <c r="QN5">
        <v>2022</v>
      </c>
      <c r="QO5" t="s">
        <v>2382</v>
      </c>
      <c r="QP5" s="6">
        <v>44698</v>
      </c>
      <c r="QQ5">
        <v>2</v>
      </c>
      <c r="QR5">
        <v>-2.4245362661989844E-14</v>
      </c>
      <c r="QS5">
        <v>63052670</v>
      </c>
      <c r="QT5" t="s">
        <v>2383</v>
      </c>
      <c r="QW5" t="str">
        <f>_xll.BDS("MFE US Equity","SUPPLY_CHAIN_CUSTOMERS_ALL_DATA","cols=12;rows=5")</f>
        <v>2760 JP Equity</v>
      </c>
      <c r="QX5">
        <v>-2.4245362661989844E-14</v>
      </c>
      <c r="QZ5">
        <v>-2.4245362661989844E-14</v>
      </c>
      <c r="RA5" t="s">
        <v>1774</v>
      </c>
      <c r="RB5">
        <v>2023</v>
      </c>
      <c r="RC5" t="s">
        <v>1775</v>
      </c>
      <c r="RD5" s="6">
        <v>44865</v>
      </c>
      <c r="RE5">
        <v>5</v>
      </c>
      <c r="RF5">
        <v>-2.4245362661989844E-14</v>
      </c>
      <c r="RG5">
        <v>955442</v>
      </c>
      <c r="RH5" t="s">
        <v>1776</v>
      </c>
      <c r="RM5" t="str">
        <f>_xll.BDS("534689Q US Equity","SUPPLY_CHAIN_SUPPLIERS_ALL_DATA")</f>
        <v>#N/A N/A</v>
      </c>
      <c r="SA5" t="str">
        <f>_xll.BDS("534689Q US Equity","SUPPLY_CHAIN_CUSTOMERS_ALL_DATA")</f>
        <v>#N/A N/A</v>
      </c>
      <c r="SQ5" t="str">
        <f>_xll.BDS("ADSK US Equity","SUPPLY_CHAIN_SUPPLIERS_ALL_DATA","cols=12;rows=5")</f>
        <v>NVDA US Equity</v>
      </c>
      <c r="SR5" t="s">
        <v>1752</v>
      </c>
      <c r="SS5">
        <v>8.0099999999999998E-3</v>
      </c>
      <c r="ST5">
        <v>3.2873329999999998</v>
      </c>
      <c r="SU5" t="s">
        <v>1825</v>
      </c>
      <c r="SV5">
        <v>2026</v>
      </c>
      <c r="SW5" t="s">
        <v>2352</v>
      </c>
      <c r="SX5" s="6">
        <v>46087</v>
      </c>
      <c r="SY5">
        <v>5</v>
      </c>
      <c r="SZ5">
        <v>5456973</v>
      </c>
      <c r="TA5">
        <v>313657</v>
      </c>
      <c r="TB5" t="s">
        <v>2353</v>
      </c>
      <c r="TE5" t="str">
        <f>_xll.BDS("ADSK US Equity","SUPPLY_CHAIN_CUSTOMERS_ALL_DATA","cols=12;rows=5")</f>
        <v>SNX US Equity</v>
      </c>
      <c r="TF5">
        <v>12</v>
      </c>
      <c r="TG5" t="s">
        <v>1752</v>
      </c>
      <c r="TH5">
        <v>1.5312920000000001</v>
      </c>
      <c r="TI5" t="s">
        <v>1788</v>
      </c>
      <c r="TJ5">
        <v>2026</v>
      </c>
      <c r="TK5" t="s">
        <v>4129</v>
      </c>
      <c r="TL5" s="6">
        <v>45987</v>
      </c>
      <c r="TM5">
        <v>5</v>
      </c>
      <c r="TN5">
        <v>222360000</v>
      </c>
      <c r="TO5">
        <v>1499717</v>
      </c>
      <c r="TP5" t="s">
        <v>1827</v>
      </c>
      <c r="TU5" t="str">
        <f>_xll.BDS("DMLP US Equity","SUPPLY_CHAIN_SUPPLIERS_ALL_DATA")</f>
        <v>#N/A N/A</v>
      </c>
      <c r="UI5" t="str">
        <f>_xll.BDS("DMLP US Equity","SUPPLY_CHAIN_CUSTOMERS_ALL_DATA","cols=12;rows=3")</f>
        <v>XOM US Equity</v>
      </c>
      <c r="UJ5">
        <v>16</v>
      </c>
      <c r="UK5" t="s">
        <v>1752</v>
      </c>
      <c r="UL5">
        <v>8.9490000000000004E-3</v>
      </c>
      <c r="UM5" t="s">
        <v>1753</v>
      </c>
      <c r="UN5">
        <v>2024</v>
      </c>
      <c r="UO5" t="s">
        <v>3772</v>
      </c>
      <c r="UP5" s="6">
        <v>45708</v>
      </c>
      <c r="UQ5">
        <v>3</v>
      </c>
      <c r="UR5">
        <v>6460920</v>
      </c>
      <c r="US5">
        <v>100546</v>
      </c>
      <c r="UT5" t="s">
        <v>3773</v>
      </c>
      <c r="UY5" t="str">
        <f>_xll.BDS("BCR US Equity","SUPPLY_CHAIN_SUPPLIERS_ALL_DATA","cols=12;rows=1")</f>
        <v>FE US Equity</v>
      </c>
      <c r="VA5">
        <v>-2.4245362661989844E-14</v>
      </c>
      <c r="VB5">
        <v>-2.4245362661989844E-14</v>
      </c>
      <c r="VC5" t="s">
        <v>1753</v>
      </c>
      <c r="VD5">
        <v>2021</v>
      </c>
      <c r="VE5" t="s">
        <v>2222</v>
      </c>
      <c r="VF5" s="6">
        <v>44693</v>
      </c>
      <c r="VG5">
        <v>1</v>
      </c>
      <c r="VH5">
        <v>-2.4245362661989844E-14</v>
      </c>
      <c r="VI5">
        <v>302916</v>
      </c>
      <c r="VJ5" t="s">
        <v>2223</v>
      </c>
      <c r="VM5" t="str">
        <f>_xll.BDS("BCR US Equity","SUPPLY_CHAIN_CUSTOMERS_ALL_DATA")</f>
        <v>#N/A N/A</v>
      </c>
    </row>
    <row r="6" spans="1:600" x14ac:dyDescent="0.25">
      <c r="A6" t="s">
        <v>2215</v>
      </c>
      <c r="B6" t="s">
        <v>1752</v>
      </c>
      <c r="C6">
        <v>0.108844</v>
      </c>
      <c r="D6">
        <v>0.58639399999999997</v>
      </c>
      <c r="E6" t="s">
        <v>1788</v>
      </c>
      <c r="F6">
        <v>2025</v>
      </c>
      <c r="G6" t="s">
        <v>2216</v>
      </c>
      <c r="H6" s="6">
        <v>45867</v>
      </c>
      <c r="I6">
        <v>5</v>
      </c>
      <c r="J6">
        <v>8520308</v>
      </c>
      <c r="K6">
        <v>117092</v>
      </c>
      <c r="L6" t="s">
        <v>2217</v>
      </c>
      <c r="O6" t="s">
        <v>4587</v>
      </c>
      <c r="P6">
        <v>-2.4245362661989844E-14</v>
      </c>
      <c r="R6">
        <v>-2.4245362661989844E-14</v>
      </c>
      <c r="S6" t="s">
        <v>1768</v>
      </c>
      <c r="T6">
        <v>2025</v>
      </c>
      <c r="U6" t="s">
        <v>4588</v>
      </c>
      <c r="V6" s="6">
        <v>45975</v>
      </c>
      <c r="W6">
        <v>5</v>
      </c>
      <c r="X6">
        <v>-2.4245362661989844E-14</v>
      </c>
      <c r="Y6">
        <v>866542</v>
      </c>
      <c r="Z6" t="s">
        <v>4589</v>
      </c>
      <c r="CM6" t="s">
        <v>3660</v>
      </c>
      <c r="CN6" t="s">
        <v>1828</v>
      </c>
      <c r="CO6">
        <v>3.9239000000000003E-2</v>
      </c>
      <c r="CP6">
        <v>0.96620499999999998</v>
      </c>
      <c r="CQ6" t="s">
        <v>1788</v>
      </c>
      <c r="CR6">
        <v>2025</v>
      </c>
      <c r="CS6" t="s">
        <v>3661</v>
      </c>
      <c r="CT6" s="6">
        <v>45979</v>
      </c>
      <c r="CU6">
        <v>5</v>
      </c>
      <c r="CV6">
        <v>425209.29</v>
      </c>
      <c r="CW6">
        <v>115557</v>
      </c>
      <c r="CX6" t="s">
        <v>3662</v>
      </c>
      <c r="DA6" t="s">
        <v>3543</v>
      </c>
      <c r="DB6">
        <v>-2.4245362661989844E-14</v>
      </c>
      <c r="DD6">
        <v>-2.4245362661989844E-14</v>
      </c>
      <c r="DE6" t="s">
        <v>1753</v>
      </c>
      <c r="DF6">
        <v>2024</v>
      </c>
      <c r="DG6" t="s">
        <v>3544</v>
      </c>
      <c r="DH6" s="6">
        <v>45603</v>
      </c>
      <c r="DI6">
        <v>5</v>
      </c>
      <c r="DJ6">
        <v>-2.4245362661989844E-14</v>
      </c>
      <c r="DK6">
        <v>12257737</v>
      </c>
      <c r="DL6" t="s">
        <v>3545</v>
      </c>
      <c r="DQ6" t="s">
        <v>2250</v>
      </c>
      <c r="DS6">
        <v>-2.4245362661989844E-14</v>
      </c>
      <c r="DT6">
        <v>-2.4245362661989844E-14</v>
      </c>
      <c r="DU6" t="s">
        <v>1753</v>
      </c>
      <c r="DV6">
        <v>2021</v>
      </c>
      <c r="DW6" t="s">
        <v>3056</v>
      </c>
      <c r="DX6" s="6">
        <v>44662</v>
      </c>
      <c r="DY6">
        <v>2</v>
      </c>
      <c r="DZ6">
        <v>-2.4245362661989844E-14</v>
      </c>
      <c r="EA6">
        <v>847909</v>
      </c>
      <c r="EB6" t="s">
        <v>2252</v>
      </c>
      <c r="EU6" t="s">
        <v>2972</v>
      </c>
      <c r="EW6">
        <v>-2.4245362661989844E-14</v>
      </c>
      <c r="EX6">
        <v>-2.4245362661989844E-14</v>
      </c>
      <c r="EY6" t="s">
        <v>1753</v>
      </c>
      <c r="EZ6">
        <v>2023</v>
      </c>
      <c r="FA6" t="s">
        <v>2973</v>
      </c>
      <c r="FB6" s="6">
        <v>45405</v>
      </c>
      <c r="FC6">
        <v>5</v>
      </c>
      <c r="FD6">
        <v>-2.4245362661989844E-14</v>
      </c>
      <c r="FE6">
        <v>46930125</v>
      </c>
      <c r="FF6" t="s">
        <v>2974</v>
      </c>
      <c r="FI6" t="s">
        <v>2805</v>
      </c>
      <c r="FJ6">
        <v>11.8</v>
      </c>
      <c r="FK6" t="s">
        <v>1752</v>
      </c>
      <c r="FL6">
        <v>0.54195000000000004</v>
      </c>
      <c r="FM6" t="s">
        <v>1781</v>
      </c>
      <c r="FN6">
        <v>2025</v>
      </c>
      <c r="FO6" t="s">
        <v>2806</v>
      </c>
      <c r="FP6" s="6">
        <v>45694</v>
      </c>
      <c r="FQ6">
        <v>5</v>
      </c>
      <c r="FR6">
        <v>19602632</v>
      </c>
      <c r="FS6">
        <v>8040822</v>
      </c>
      <c r="FT6" t="s">
        <v>2807</v>
      </c>
      <c r="FY6" t="s">
        <v>385</v>
      </c>
      <c r="GA6">
        <v>-2.4245362661989844E-14</v>
      </c>
      <c r="GB6">
        <v>-2.4245362661989844E-14</v>
      </c>
      <c r="GC6" t="s">
        <v>1753</v>
      </c>
      <c r="GD6">
        <v>2024</v>
      </c>
      <c r="GE6" t="s">
        <v>2483</v>
      </c>
      <c r="GF6" s="6">
        <v>45716</v>
      </c>
      <c r="GG6">
        <v>3</v>
      </c>
      <c r="GH6">
        <v>-2.4245362661989844E-14</v>
      </c>
      <c r="GI6">
        <v>101752</v>
      </c>
      <c r="GJ6" t="s">
        <v>2109</v>
      </c>
      <c r="PE6" t="s">
        <v>2547</v>
      </c>
      <c r="PG6">
        <v>-2.4245362661989844E-14</v>
      </c>
      <c r="PH6">
        <v>-2.4245362661989844E-14</v>
      </c>
      <c r="PI6" t="s">
        <v>1753</v>
      </c>
      <c r="PJ6">
        <v>2023</v>
      </c>
      <c r="PK6" t="s">
        <v>2548</v>
      </c>
      <c r="PL6" s="6">
        <v>45331</v>
      </c>
      <c r="PM6">
        <v>3</v>
      </c>
      <c r="PN6">
        <v>-2.4245362661989844E-14</v>
      </c>
      <c r="PO6">
        <v>70929473</v>
      </c>
      <c r="PP6" t="s">
        <v>2549</v>
      </c>
      <c r="QI6" t="s">
        <v>2384</v>
      </c>
      <c r="QK6">
        <v>-2.4245362661989844E-14</v>
      </c>
      <c r="QL6">
        <v>-2.4245362661989844E-14</v>
      </c>
      <c r="QM6" t="s">
        <v>1753</v>
      </c>
      <c r="QN6">
        <v>2022</v>
      </c>
      <c r="QO6" t="s">
        <v>2385</v>
      </c>
      <c r="QP6" s="6">
        <v>44883</v>
      </c>
      <c r="QQ6">
        <v>2</v>
      </c>
      <c r="QR6">
        <v>-2.4245362661989844E-14</v>
      </c>
      <c r="QS6">
        <v>68965235</v>
      </c>
      <c r="QT6" t="s">
        <v>2386</v>
      </c>
      <c r="QW6" t="s">
        <v>1777</v>
      </c>
      <c r="QX6">
        <v>-2.4245362661989844E-14</v>
      </c>
      <c r="QZ6">
        <v>-2.4245362661989844E-14</v>
      </c>
      <c r="RA6" t="s">
        <v>1753</v>
      </c>
      <c r="RB6">
        <v>2025</v>
      </c>
      <c r="RC6" t="s">
        <v>1778</v>
      </c>
      <c r="RD6" s="6">
        <v>45881</v>
      </c>
      <c r="RE6">
        <v>5</v>
      </c>
      <c r="RF6">
        <v>-2.4245362661989844E-14</v>
      </c>
      <c r="RG6">
        <v>386756</v>
      </c>
      <c r="RH6" t="s">
        <v>1779</v>
      </c>
      <c r="SQ6" t="s">
        <v>4665</v>
      </c>
      <c r="SR6" t="s">
        <v>1940</v>
      </c>
      <c r="SS6">
        <v>3.1478139999999999</v>
      </c>
      <c r="ST6">
        <v>0.44784400000000002</v>
      </c>
      <c r="SU6" t="s">
        <v>1753</v>
      </c>
      <c r="SV6">
        <v>2025</v>
      </c>
      <c r="SW6" t="s">
        <v>4666</v>
      </c>
      <c r="SX6" s="6">
        <v>46059</v>
      </c>
      <c r="SY6">
        <v>5</v>
      </c>
      <c r="SZ6">
        <v>3432722.25</v>
      </c>
      <c r="TA6">
        <v>20828779</v>
      </c>
      <c r="TB6" t="s">
        <v>4667</v>
      </c>
      <c r="TE6" t="s">
        <v>1954</v>
      </c>
      <c r="TF6">
        <v>0.29376200000000002</v>
      </c>
      <c r="TG6" t="s">
        <v>1752</v>
      </c>
      <c r="TH6">
        <v>0.117669</v>
      </c>
      <c r="TI6" t="s">
        <v>1781</v>
      </c>
      <c r="TJ6">
        <v>2025</v>
      </c>
      <c r="TK6" t="s">
        <v>1955</v>
      </c>
      <c r="TL6" s="6">
        <v>45820</v>
      </c>
      <c r="TM6">
        <v>5</v>
      </c>
      <c r="TN6">
        <v>4797130</v>
      </c>
      <c r="TO6">
        <v>12129192</v>
      </c>
      <c r="TP6" t="s">
        <v>1956</v>
      </c>
      <c r="UI6" t="s">
        <v>2159</v>
      </c>
      <c r="UJ6">
        <v>15</v>
      </c>
      <c r="UK6" t="s">
        <v>1752</v>
      </c>
      <c r="UL6">
        <v>0.40040399999999998</v>
      </c>
      <c r="UM6" t="s">
        <v>1753</v>
      </c>
      <c r="UN6">
        <v>2024</v>
      </c>
      <c r="UO6" t="s">
        <v>3772</v>
      </c>
      <c r="UP6" s="6">
        <v>45708</v>
      </c>
      <c r="UQ6">
        <v>3</v>
      </c>
      <c r="UR6">
        <v>6057112.5</v>
      </c>
      <c r="US6">
        <v>29182972</v>
      </c>
      <c r="UT6" t="s">
        <v>2161</v>
      </c>
    </row>
    <row r="7" spans="1:600" x14ac:dyDescent="0.25">
      <c r="A7" t="s">
        <v>4074</v>
      </c>
      <c r="B7" t="s">
        <v>1752</v>
      </c>
      <c r="C7">
        <v>0.82896099999999995</v>
      </c>
      <c r="D7">
        <v>0.29375299999999999</v>
      </c>
      <c r="E7" t="s">
        <v>1774</v>
      </c>
      <c r="F7">
        <v>2025</v>
      </c>
      <c r="G7" t="s">
        <v>4075</v>
      </c>
      <c r="H7" s="6">
        <v>45867</v>
      </c>
      <c r="I7">
        <v>5</v>
      </c>
      <c r="J7">
        <v>4597625.84</v>
      </c>
      <c r="K7">
        <v>157487</v>
      </c>
      <c r="L7" t="s">
        <v>4076</v>
      </c>
      <c r="O7" t="s">
        <v>4590</v>
      </c>
      <c r="P7">
        <v>-2.4245362661989844E-14</v>
      </c>
      <c r="R7">
        <v>-2.4245362661989844E-14</v>
      </c>
      <c r="S7" t="s">
        <v>1768</v>
      </c>
      <c r="T7">
        <v>2025</v>
      </c>
      <c r="U7" t="s">
        <v>4591</v>
      </c>
      <c r="V7" s="6">
        <v>45975</v>
      </c>
      <c r="W7">
        <v>5</v>
      </c>
      <c r="X7">
        <v>-2.4245362661989844E-14</v>
      </c>
      <c r="Y7">
        <v>16631023</v>
      </c>
      <c r="Z7" t="s">
        <v>4592</v>
      </c>
      <c r="CM7" t="s">
        <v>2180</v>
      </c>
      <c r="CN7" t="s">
        <v>1752</v>
      </c>
      <c r="CO7">
        <v>3.0034999999999999E-2</v>
      </c>
      <c r="CP7">
        <v>4.9700000000000005E-4</v>
      </c>
      <c r="CQ7" t="s">
        <v>1825</v>
      </c>
      <c r="CR7">
        <v>2024</v>
      </c>
      <c r="CS7" t="s">
        <v>2181</v>
      </c>
      <c r="CT7" s="6">
        <v>45770</v>
      </c>
      <c r="CU7">
        <v>5</v>
      </c>
      <c r="CV7">
        <v>4481</v>
      </c>
      <c r="CW7">
        <v>1176738</v>
      </c>
      <c r="CX7" t="s">
        <v>2182</v>
      </c>
      <c r="DA7" t="s">
        <v>3546</v>
      </c>
      <c r="DB7">
        <v>-2.4245362661989844E-14</v>
      </c>
      <c r="DD7">
        <v>-2.4245362661989844E-14</v>
      </c>
      <c r="DE7" t="s">
        <v>1753</v>
      </c>
      <c r="DF7">
        <v>2025</v>
      </c>
      <c r="DG7" t="s">
        <v>3541</v>
      </c>
      <c r="DH7" s="6">
        <v>46056</v>
      </c>
      <c r="DI7">
        <v>5</v>
      </c>
      <c r="DJ7">
        <v>-2.4245362661989844E-14</v>
      </c>
      <c r="DK7">
        <v>931130</v>
      </c>
      <c r="DL7" t="s">
        <v>3547</v>
      </c>
      <c r="EU7" t="s">
        <v>2975</v>
      </c>
      <c r="EW7">
        <v>-2.4245362661989844E-14</v>
      </c>
      <c r="EX7">
        <v>-2.4245362661989844E-14</v>
      </c>
      <c r="EY7" t="s">
        <v>1753</v>
      </c>
      <c r="EZ7">
        <v>2024</v>
      </c>
      <c r="FA7" t="s">
        <v>2976</v>
      </c>
      <c r="FB7" s="6">
        <v>45786</v>
      </c>
      <c r="FC7">
        <v>5</v>
      </c>
      <c r="FD7">
        <v>-2.4245362661989844E-14</v>
      </c>
      <c r="FE7">
        <v>24223440</v>
      </c>
      <c r="FF7" t="s">
        <v>2977</v>
      </c>
      <c r="FI7" t="s">
        <v>2808</v>
      </c>
      <c r="FJ7">
        <v>9.0213190000000001</v>
      </c>
      <c r="FK7" t="s">
        <v>1828</v>
      </c>
      <c r="FL7">
        <v>0.37714999999999999</v>
      </c>
      <c r="FM7" t="s">
        <v>1788</v>
      </c>
      <c r="FN7">
        <v>2025</v>
      </c>
      <c r="FO7" t="s">
        <v>2809</v>
      </c>
      <c r="FP7" s="6">
        <v>45894</v>
      </c>
      <c r="FQ7">
        <v>5</v>
      </c>
      <c r="FR7">
        <v>13388810</v>
      </c>
      <c r="FS7">
        <v>101729</v>
      </c>
      <c r="FT7" t="s">
        <v>2810</v>
      </c>
      <c r="FY7" t="s">
        <v>2485</v>
      </c>
      <c r="GA7">
        <v>-2.4245362661989844E-14</v>
      </c>
      <c r="GB7">
        <v>-2.4245362661989844E-14</v>
      </c>
      <c r="GC7" t="s">
        <v>1753</v>
      </c>
      <c r="GD7">
        <v>2024</v>
      </c>
      <c r="GE7" t="s">
        <v>2483</v>
      </c>
      <c r="GF7" s="6">
        <v>45716</v>
      </c>
      <c r="GG7">
        <v>3</v>
      </c>
      <c r="GH7">
        <v>-2.4245362661989844E-14</v>
      </c>
      <c r="GI7">
        <v>118412</v>
      </c>
      <c r="GJ7" t="s">
        <v>2486</v>
      </c>
      <c r="PE7" t="s">
        <v>2199</v>
      </c>
      <c r="PG7">
        <v>-2.4245362661989844E-14</v>
      </c>
      <c r="PH7">
        <v>-2.4245362661989844E-14</v>
      </c>
      <c r="PI7" t="s">
        <v>1753</v>
      </c>
      <c r="PJ7">
        <v>2025</v>
      </c>
      <c r="PK7" t="s">
        <v>2200</v>
      </c>
      <c r="PL7" s="6">
        <v>46066</v>
      </c>
      <c r="PM7">
        <v>3</v>
      </c>
      <c r="PN7">
        <v>-2.4245362661989844E-14</v>
      </c>
      <c r="PO7">
        <v>126273</v>
      </c>
      <c r="PP7" t="s">
        <v>2201</v>
      </c>
      <c r="QW7" t="s">
        <v>1780</v>
      </c>
      <c r="QX7">
        <v>-2.4245362661989844E-14</v>
      </c>
      <c r="QZ7">
        <v>-2.4245362661989844E-14</v>
      </c>
      <c r="RA7" t="s">
        <v>1781</v>
      </c>
      <c r="RB7">
        <v>2022</v>
      </c>
      <c r="RC7" t="s">
        <v>1782</v>
      </c>
      <c r="RD7" s="6">
        <v>44726</v>
      </c>
      <c r="RE7">
        <v>5</v>
      </c>
      <c r="RF7">
        <v>-2.4245362661989844E-14</v>
      </c>
      <c r="RG7">
        <v>115240</v>
      </c>
      <c r="RH7" t="s">
        <v>1783</v>
      </c>
      <c r="SQ7" t="s">
        <v>226</v>
      </c>
      <c r="SR7" t="s">
        <v>1752</v>
      </c>
      <c r="SS7">
        <v>6.4999999999999997E-4</v>
      </c>
      <c r="ST7">
        <v>0.28464299999999998</v>
      </c>
      <c r="SU7" t="s">
        <v>1788</v>
      </c>
      <c r="SV7">
        <v>2025</v>
      </c>
      <c r="SW7" t="s">
        <v>2491</v>
      </c>
      <c r="SX7" s="6">
        <v>45843</v>
      </c>
      <c r="SY7">
        <v>5</v>
      </c>
      <c r="SZ7">
        <v>455429</v>
      </c>
      <c r="TA7">
        <v>101743</v>
      </c>
      <c r="TB7" t="s">
        <v>2156</v>
      </c>
      <c r="TE7" t="s">
        <v>1191</v>
      </c>
      <c r="TF7">
        <v>8.2799999999999996E-4</v>
      </c>
      <c r="TG7" t="s">
        <v>1752</v>
      </c>
      <c r="TH7">
        <v>1.0319999999999999E-3</v>
      </c>
      <c r="TI7" t="s">
        <v>1825</v>
      </c>
      <c r="TJ7">
        <v>2025</v>
      </c>
      <c r="TK7" t="s">
        <v>2627</v>
      </c>
      <c r="TL7" s="6">
        <v>46091</v>
      </c>
      <c r="TM7">
        <v>5</v>
      </c>
      <c r="TN7">
        <v>16201</v>
      </c>
      <c r="TO7">
        <v>156637</v>
      </c>
      <c r="TP7" t="s">
        <v>2828</v>
      </c>
      <c r="UI7" t="s">
        <v>3774</v>
      </c>
      <c r="UJ7">
        <v>-2.4245362661989844E-14</v>
      </c>
      <c r="UL7">
        <v>-2.4245362661989844E-14</v>
      </c>
      <c r="UM7" t="s">
        <v>1753</v>
      </c>
      <c r="UN7">
        <v>2023</v>
      </c>
      <c r="UO7" t="s">
        <v>3775</v>
      </c>
      <c r="UP7" s="6">
        <v>45344</v>
      </c>
      <c r="UQ7">
        <v>3</v>
      </c>
      <c r="UR7">
        <v>-2.4245362661989844E-14</v>
      </c>
      <c r="US7">
        <v>225880</v>
      </c>
      <c r="UT7" t="s">
        <v>3776</v>
      </c>
    </row>
    <row r="8" spans="1:600" x14ac:dyDescent="0.25">
      <c r="A8" t="s">
        <v>1026</v>
      </c>
      <c r="B8" t="s">
        <v>1752</v>
      </c>
      <c r="C8">
        <v>0.224579</v>
      </c>
      <c r="D8">
        <v>0.108293</v>
      </c>
      <c r="E8" t="s">
        <v>1788</v>
      </c>
      <c r="F8">
        <v>2025</v>
      </c>
      <c r="G8" t="s">
        <v>1950</v>
      </c>
      <c r="H8" s="6">
        <v>46009</v>
      </c>
      <c r="I8">
        <v>5</v>
      </c>
      <c r="J8">
        <v>1649301</v>
      </c>
      <c r="K8">
        <v>101601</v>
      </c>
      <c r="L8" t="s">
        <v>4077</v>
      </c>
      <c r="O8" t="s">
        <v>4593</v>
      </c>
      <c r="P8">
        <v>-2.4245362661989844E-14</v>
      </c>
      <c r="R8">
        <v>-2.4245362661989844E-14</v>
      </c>
      <c r="S8" t="s">
        <v>1753</v>
      </c>
      <c r="T8">
        <v>2025</v>
      </c>
      <c r="U8" t="s">
        <v>4594</v>
      </c>
      <c r="V8" s="6">
        <v>45834</v>
      </c>
      <c r="W8">
        <v>5</v>
      </c>
      <c r="X8">
        <v>-2.4245362661989844E-14</v>
      </c>
      <c r="Y8">
        <v>11745327</v>
      </c>
      <c r="Z8" t="s">
        <v>4595</v>
      </c>
      <c r="CM8" t="s">
        <v>3663</v>
      </c>
      <c r="CO8">
        <v>-2.4245362661989844E-14</v>
      </c>
      <c r="CP8">
        <v>-2.4245362661989844E-14</v>
      </c>
      <c r="CQ8" t="s">
        <v>1842</v>
      </c>
      <c r="CR8">
        <v>2025</v>
      </c>
      <c r="CS8" t="s">
        <v>3664</v>
      </c>
      <c r="CT8" s="6">
        <v>45888</v>
      </c>
      <c r="CU8">
        <v>5</v>
      </c>
      <c r="CV8">
        <v>-2.4245362661989844E-14</v>
      </c>
      <c r="CW8">
        <v>209697</v>
      </c>
      <c r="CX8" t="s">
        <v>3665</v>
      </c>
      <c r="DA8" t="s">
        <v>3548</v>
      </c>
      <c r="DB8">
        <v>-2.4245362661989844E-14</v>
      </c>
      <c r="DD8">
        <v>-2.4245362661989844E-14</v>
      </c>
      <c r="DE8" t="s">
        <v>1781</v>
      </c>
      <c r="DF8">
        <v>2025</v>
      </c>
      <c r="DG8" t="s">
        <v>3549</v>
      </c>
      <c r="DH8" s="6">
        <v>45770</v>
      </c>
      <c r="DI8">
        <v>5</v>
      </c>
      <c r="DJ8">
        <v>-2.4245362661989844E-14</v>
      </c>
      <c r="DK8">
        <v>970140</v>
      </c>
      <c r="DL8" t="s">
        <v>3550</v>
      </c>
      <c r="EU8" t="s">
        <v>2651</v>
      </c>
      <c r="EW8">
        <v>-2.4245362661989844E-14</v>
      </c>
      <c r="EX8">
        <v>-2.4245362661989844E-14</v>
      </c>
      <c r="EY8" t="s">
        <v>1753</v>
      </c>
      <c r="EZ8">
        <v>2021</v>
      </c>
      <c r="FA8" t="s">
        <v>2652</v>
      </c>
      <c r="FB8" s="6">
        <v>44693</v>
      </c>
      <c r="FC8">
        <v>5</v>
      </c>
      <c r="FD8">
        <v>-2.4245362661989844E-14</v>
      </c>
      <c r="FE8">
        <v>101315</v>
      </c>
      <c r="FF8" t="s">
        <v>2653</v>
      </c>
      <c r="FI8" t="s">
        <v>2614</v>
      </c>
      <c r="FJ8">
        <v>5.3097690000000002</v>
      </c>
      <c r="FK8" t="s">
        <v>1828</v>
      </c>
      <c r="FL8">
        <v>0.55187200000000003</v>
      </c>
      <c r="FM8" t="s">
        <v>1788</v>
      </c>
      <c r="FN8">
        <v>2025</v>
      </c>
      <c r="FO8" t="s">
        <v>2809</v>
      </c>
      <c r="FP8" s="6">
        <v>45894</v>
      </c>
      <c r="FQ8">
        <v>5</v>
      </c>
      <c r="FR8">
        <v>7880387</v>
      </c>
      <c r="FS8">
        <v>58244711</v>
      </c>
      <c r="FT8" t="s">
        <v>2616</v>
      </c>
      <c r="QW8" t="s">
        <v>1784</v>
      </c>
      <c r="QX8">
        <v>-2.4245362661989844E-14</v>
      </c>
      <c r="QZ8">
        <v>-2.4245362661989844E-14</v>
      </c>
      <c r="RA8" t="s">
        <v>1753</v>
      </c>
      <c r="RB8">
        <v>2022</v>
      </c>
      <c r="RC8" t="s">
        <v>1785</v>
      </c>
      <c r="RD8" s="6">
        <v>44839</v>
      </c>
      <c r="RE8">
        <v>5</v>
      </c>
      <c r="RF8">
        <v>-2.4245362661989844E-14</v>
      </c>
      <c r="RG8">
        <v>100142</v>
      </c>
      <c r="RH8" t="s">
        <v>1786</v>
      </c>
      <c r="SQ8" t="s">
        <v>3525</v>
      </c>
      <c r="SR8" t="s">
        <v>1752</v>
      </c>
      <c r="SS8">
        <v>1.129E-2</v>
      </c>
      <c r="ST8">
        <v>7.1631E-2</v>
      </c>
      <c r="SU8" t="s">
        <v>1781</v>
      </c>
      <c r="SV8">
        <v>2025</v>
      </c>
      <c r="SW8" t="s">
        <v>3526</v>
      </c>
      <c r="SX8" s="6">
        <v>45834</v>
      </c>
      <c r="SY8">
        <v>5</v>
      </c>
      <c r="SZ8">
        <v>114609</v>
      </c>
      <c r="TA8">
        <v>393374</v>
      </c>
      <c r="TB8" t="s">
        <v>3527</v>
      </c>
      <c r="TE8" t="s">
        <v>1960</v>
      </c>
      <c r="TF8">
        <v>7.9699999999999997E-4</v>
      </c>
      <c r="TG8" t="s">
        <v>1752</v>
      </c>
      <c r="TH8">
        <v>2.5899999999999999E-3</v>
      </c>
      <c r="TI8" t="s">
        <v>1788</v>
      </c>
      <c r="TJ8">
        <v>2025</v>
      </c>
      <c r="TK8" t="s">
        <v>2724</v>
      </c>
      <c r="TL8" s="6">
        <v>46034</v>
      </c>
      <c r="TM8">
        <v>5</v>
      </c>
      <c r="TN8">
        <v>14774</v>
      </c>
      <c r="TO8">
        <v>313021</v>
      </c>
      <c r="TP8" t="s">
        <v>1962</v>
      </c>
    </row>
    <row r="9" spans="1:600" x14ac:dyDescent="0.25">
      <c r="A9" t="s">
        <v>2106</v>
      </c>
      <c r="B9" t="s">
        <v>1828</v>
      </c>
      <c r="C9">
        <v>4.7656999999999998E-2</v>
      </c>
      <c r="D9">
        <v>0.32179200000000002</v>
      </c>
      <c r="E9" t="s">
        <v>1825</v>
      </c>
      <c r="F9">
        <v>2024</v>
      </c>
      <c r="G9" t="s">
        <v>2107</v>
      </c>
      <c r="H9" s="6">
        <v>45770</v>
      </c>
      <c r="I9">
        <v>5</v>
      </c>
      <c r="J9">
        <v>892312.96</v>
      </c>
      <c r="K9">
        <v>186659</v>
      </c>
      <c r="L9" t="s">
        <v>2108</v>
      </c>
      <c r="O9" t="s">
        <v>4596</v>
      </c>
      <c r="P9">
        <v>-2.4245362661989844E-14</v>
      </c>
      <c r="R9">
        <v>-2.4245362661989844E-14</v>
      </c>
      <c r="S9" t="s">
        <v>1842</v>
      </c>
      <c r="T9">
        <v>2025</v>
      </c>
      <c r="U9" t="s">
        <v>4597</v>
      </c>
      <c r="V9" s="6">
        <v>45895</v>
      </c>
      <c r="W9">
        <v>5</v>
      </c>
      <c r="X9">
        <v>-2.4245362661989844E-14</v>
      </c>
      <c r="Y9">
        <v>20515250</v>
      </c>
      <c r="Z9" t="s">
        <v>4598</v>
      </c>
      <c r="CM9" t="s">
        <v>3666</v>
      </c>
      <c r="CO9">
        <v>-2.4245362661989844E-14</v>
      </c>
      <c r="CP9">
        <v>-2.4245362661989844E-14</v>
      </c>
      <c r="CQ9" t="s">
        <v>1753</v>
      </c>
      <c r="CR9">
        <v>2022</v>
      </c>
      <c r="CS9" t="s">
        <v>3544</v>
      </c>
      <c r="CT9" s="6">
        <v>44917</v>
      </c>
      <c r="CU9">
        <v>5</v>
      </c>
      <c r="CV9">
        <v>-2.4245362661989844E-14</v>
      </c>
      <c r="CW9">
        <v>36885763</v>
      </c>
      <c r="CX9" t="s">
        <v>3667</v>
      </c>
      <c r="DA9" t="s">
        <v>1905</v>
      </c>
      <c r="DB9">
        <v>-2.4245362661989844E-14</v>
      </c>
      <c r="DD9">
        <v>-2.4245362661989844E-14</v>
      </c>
      <c r="DE9" t="s">
        <v>1753</v>
      </c>
      <c r="DF9">
        <v>2024</v>
      </c>
      <c r="DG9" t="s">
        <v>3544</v>
      </c>
      <c r="DH9" s="6">
        <v>45601</v>
      </c>
      <c r="DI9">
        <v>5</v>
      </c>
      <c r="DJ9">
        <v>-2.4245362661989844E-14</v>
      </c>
      <c r="DK9">
        <v>945228</v>
      </c>
      <c r="DL9" t="s">
        <v>1907</v>
      </c>
      <c r="EU9" t="s">
        <v>2978</v>
      </c>
      <c r="EW9">
        <v>-2.4245362661989844E-14</v>
      </c>
      <c r="EX9">
        <v>-2.4245362661989844E-14</v>
      </c>
      <c r="EY9" t="s">
        <v>1753</v>
      </c>
      <c r="EZ9">
        <v>2021</v>
      </c>
      <c r="FA9" t="s">
        <v>2979</v>
      </c>
      <c r="FB9" s="6">
        <v>44693</v>
      </c>
      <c r="FC9">
        <v>5</v>
      </c>
      <c r="FD9">
        <v>-2.4245362661989844E-14</v>
      </c>
      <c r="FE9">
        <v>101170</v>
      </c>
      <c r="FF9" t="s">
        <v>2980</v>
      </c>
      <c r="FI9" t="s">
        <v>2425</v>
      </c>
      <c r="FJ9">
        <v>1.0876589999999999</v>
      </c>
      <c r="FK9" t="s">
        <v>1828</v>
      </c>
      <c r="FL9">
        <v>0.123696</v>
      </c>
      <c r="FM9" t="s">
        <v>1788</v>
      </c>
      <c r="FN9">
        <v>2025</v>
      </c>
      <c r="FO9" t="s">
        <v>2809</v>
      </c>
      <c r="FP9" s="6">
        <v>45894</v>
      </c>
      <c r="FQ9">
        <v>5</v>
      </c>
      <c r="FR9">
        <v>1614227</v>
      </c>
      <c r="FS9">
        <v>101460</v>
      </c>
      <c r="FT9" t="s">
        <v>2427</v>
      </c>
      <c r="QW9" t="s">
        <v>1787</v>
      </c>
      <c r="QX9">
        <v>-2.4245362661989844E-14</v>
      </c>
      <c r="QZ9">
        <v>-2.4245362661989844E-14</v>
      </c>
      <c r="RA9" t="s">
        <v>1788</v>
      </c>
      <c r="RB9">
        <v>2025</v>
      </c>
      <c r="RC9" t="s">
        <v>1789</v>
      </c>
      <c r="RD9" s="6">
        <v>45699</v>
      </c>
      <c r="RE9">
        <v>5</v>
      </c>
      <c r="RF9">
        <v>-2.4245362661989844E-14</v>
      </c>
      <c r="RG9">
        <v>178651</v>
      </c>
      <c r="RH9" t="s">
        <v>1790</v>
      </c>
      <c r="SQ9" t="s">
        <v>2928</v>
      </c>
      <c r="SR9" t="s">
        <v>1752</v>
      </c>
      <c r="SS9">
        <v>6.8499999999999995E-4</v>
      </c>
      <c r="ST9">
        <v>1.2750000000000001E-3</v>
      </c>
      <c r="SU9" t="s">
        <v>1825</v>
      </c>
      <c r="SV9">
        <v>2025</v>
      </c>
      <c r="SW9" t="s">
        <v>2929</v>
      </c>
      <c r="SX9" s="6">
        <v>46018</v>
      </c>
      <c r="SY9">
        <v>5</v>
      </c>
      <c r="SZ9">
        <v>2103</v>
      </c>
      <c r="TA9">
        <v>916504</v>
      </c>
      <c r="TB9" t="s">
        <v>2930</v>
      </c>
      <c r="TE9" t="s">
        <v>4130</v>
      </c>
      <c r="TF9">
        <v>-2.4245362661989844E-14</v>
      </c>
      <c r="TH9">
        <v>-2.4245362661989844E-14</v>
      </c>
      <c r="TI9" t="s">
        <v>1753</v>
      </c>
      <c r="TJ9">
        <v>2024</v>
      </c>
      <c r="TK9" t="s">
        <v>4131</v>
      </c>
      <c r="TL9" s="6">
        <v>45775</v>
      </c>
      <c r="TM9">
        <v>5</v>
      </c>
      <c r="TN9">
        <v>-2.4245362661989844E-14</v>
      </c>
      <c r="TO9">
        <v>24591281</v>
      </c>
      <c r="TP9" t="s">
        <v>4132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1330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1331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1332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1333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1334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1335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1336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1337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1338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1339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1340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1341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1342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1343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1344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1345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1346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1347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1348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1349</v>
      </c>
      <c r="AE2" s="3" t="s">
        <v>1350</v>
      </c>
      <c r="BI2" s="3" t="s">
        <v>775</v>
      </c>
      <c r="CM2" s="3" t="s">
        <v>37</v>
      </c>
      <c r="DQ2" s="3" t="s">
        <v>1351</v>
      </c>
      <c r="EU2" s="3" t="s">
        <v>1352</v>
      </c>
      <c r="FY2" s="3" t="s">
        <v>277</v>
      </c>
      <c r="HC2" s="3" t="s">
        <v>888</v>
      </c>
      <c r="IG2" s="3" t="s">
        <v>1353</v>
      </c>
      <c r="JK2" s="3" t="s">
        <v>1354</v>
      </c>
      <c r="KO2" s="3" t="s">
        <v>1355</v>
      </c>
      <c r="LS2" s="3" t="s">
        <v>126</v>
      </c>
      <c r="MW2" s="3" t="s">
        <v>1356</v>
      </c>
      <c r="OA2" s="3" t="s">
        <v>1357</v>
      </c>
      <c r="PE2" s="3" t="s">
        <v>1358</v>
      </c>
      <c r="QI2" s="3" t="s">
        <v>813</v>
      </c>
      <c r="RM2" s="3" t="s">
        <v>1359</v>
      </c>
      <c r="SQ2" s="3" t="s">
        <v>1360</v>
      </c>
      <c r="TU2" s="3" t="s">
        <v>1361</v>
      </c>
      <c r="UY2" s="3" t="s">
        <v>1362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_xll.BDS("CYNO US Equity","SUPPLY_CHAIN_SUPPLIERS_ALL_DATA","cols=12;rows=5")</f>
        <v>085370 KS Equity</v>
      </c>
      <c r="C5">
        <v>18.6553</v>
      </c>
      <c r="D5">
        <v>-2.4245362661989844E-14</v>
      </c>
      <c r="E5" t="s">
        <v>1753</v>
      </c>
      <c r="F5">
        <v>2024</v>
      </c>
      <c r="G5" t="s">
        <v>3314</v>
      </c>
      <c r="H5" s="6">
        <v>45747</v>
      </c>
      <c r="I5">
        <v>5</v>
      </c>
      <c r="J5">
        <v>9850739.3699999992</v>
      </c>
      <c r="K5">
        <v>10792725</v>
      </c>
      <c r="L5" t="s">
        <v>3315</v>
      </c>
      <c r="O5" t="str">
        <f>_xll.BDS("CYNO US Equity","SUPPLY_CHAIN_CUSTOMERS_ALL_DATA","cols=12;rows=1")</f>
        <v>085370 KS Equity</v>
      </c>
      <c r="P5">
        <v>-2.4245362661989844E-14</v>
      </c>
      <c r="Q5" t="s">
        <v>1752</v>
      </c>
      <c r="R5">
        <v>4.4507810000000001</v>
      </c>
      <c r="S5" t="s">
        <v>1753</v>
      </c>
      <c r="T5">
        <v>2024</v>
      </c>
      <c r="U5" t="s">
        <v>3314</v>
      </c>
      <c r="V5" s="6">
        <v>45747</v>
      </c>
      <c r="W5">
        <v>1</v>
      </c>
      <c r="X5">
        <v>900323.76</v>
      </c>
      <c r="Y5">
        <v>10792725</v>
      </c>
      <c r="Z5" t="s">
        <v>3315</v>
      </c>
      <c r="AE5" t="str">
        <f>_xll.BDS("3546Q US Equity","SUPPLY_CHAIN_SUPPLIERS_ALL_DATA")</f>
        <v>#N/A N/A</v>
      </c>
      <c r="AS5" t="str">
        <f>_xll.BDS("3546Q US Equity","SUPPLY_CHAIN_CUSTOMERS_ALL_DATA")</f>
        <v>#N/A N/A</v>
      </c>
      <c r="BI5" t="str">
        <f>_xll.BDS("ASB US Equity","SUPPLY_CHAIN_SUPPLIERS_ALL_DATA","cols=12;rows=2")</f>
        <v>NICE IT Equity</v>
      </c>
      <c r="BK5">
        <v>-2.4245362661989844E-14</v>
      </c>
      <c r="BL5">
        <v>-2.4245362661989844E-14</v>
      </c>
      <c r="BM5" t="s">
        <v>1781</v>
      </c>
      <c r="BN5">
        <v>2023</v>
      </c>
      <c r="BO5" t="s">
        <v>2550</v>
      </c>
      <c r="BP5" s="6">
        <v>45057</v>
      </c>
      <c r="BQ5">
        <v>2</v>
      </c>
      <c r="BR5">
        <v>-2.4245362661989844E-14</v>
      </c>
      <c r="BS5">
        <v>173249</v>
      </c>
      <c r="BT5" t="s">
        <v>2551</v>
      </c>
      <c r="BW5" t="str">
        <f>_xll.BDS("ASB US Equity","SUPPLY_CHAIN_CUSTOMERS_ALL_DATA")</f>
        <v>#N/A N/A</v>
      </c>
      <c r="CM5" t="str">
        <f>_xll.BDS("nan Equity","SUPPLY_CHAIN_SUPPLIERS_ALL_DATA")</f>
        <v>#N/A N/A</v>
      </c>
      <c r="DA5" t="str">
        <f>_xll.BDS("nan Equity","SUPPLY_CHAIN_CUSTOMERS_ALL_DATA")</f>
        <v>#N/A N/A</v>
      </c>
      <c r="DQ5" t="str">
        <f>_xll.BDS("GON US Equity","SUPPLY_CHAIN_SUPPLIERS_ALL_DATA")</f>
        <v>#N/A N/A</v>
      </c>
      <c r="EE5" t="str">
        <f>_xll.BDS("GON US Equity","SUPPLY_CHAIN_CUSTOMERS_ALL_DATA")</f>
        <v>#N/A N/A</v>
      </c>
      <c r="EU5" t="str">
        <f>_xll.BDS("UFCS US Equity","SUPPLY_CHAIN_SUPPLIERS_ALL_DATA")</f>
        <v>#N/A N/A</v>
      </c>
      <c r="FI5" t="str">
        <f>_xll.BDS("UFCS US Equity","SUPPLY_CHAIN_CUSTOMERS_ALL_DATA")</f>
        <v>#N/A N/A</v>
      </c>
      <c r="FY5" t="str">
        <f>_xll.BDS("ELAN US Equity","SUPPLY_CHAIN_SUPPLIERS_ALL_DATA","cols=12;rows=5")</f>
        <v>PCRX US Equity</v>
      </c>
      <c r="FZ5" t="s">
        <v>1752</v>
      </c>
      <c r="GA5">
        <v>1.5</v>
      </c>
      <c r="GB5">
        <v>0.50806399999999996</v>
      </c>
      <c r="GC5" t="s">
        <v>1788</v>
      </c>
      <c r="GD5">
        <v>2025</v>
      </c>
      <c r="GE5" t="s">
        <v>3963</v>
      </c>
      <c r="GF5" s="6">
        <v>45985</v>
      </c>
      <c r="GG5">
        <v>5</v>
      </c>
      <c r="GH5">
        <v>2692740</v>
      </c>
      <c r="GI5">
        <v>11772550</v>
      </c>
      <c r="GJ5" t="s">
        <v>3964</v>
      </c>
      <c r="GM5" t="str">
        <f>_xll.BDS("ELAN US Equity","SUPPLY_CHAIN_CUSTOMERS_ALL_DATA","cols=12;rows=5")</f>
        <v>COR US Equity</v>
      </c>
      <c r="GN5">
        <v>11</v>
      </c>
      <c r="GO5" t="s">
        <v>1752</v>
      </c>
      <c r="GP5">
        <v>0.166542</v>
      </c>
      <c r="GQ5" t="s">
        <v>1753</v>
      </c>
      <c r="GR5">
        <v>2024</v>
      </c>
      <c r="GS5" t="s">
        <v>3733</v>
      </c>
      <c r="GT5" s="6">
        <v>45713</v>
      </c>
      <c r="GU5">
        <v>5</v>
      </c>
      <c r="GV5">
        <v>122072496</v>
      </c>
      <c r="GW5">
        <v>156969</v>
      </c>
      <c r="GX5" t="s">
        <v>2340</v>
      </c>
      <c r="HC5" t="str">
        <f>_xll.BDS("1642488D US Equity","SUPPLY_CHAIN_SUPPLIERS_ALL_DATA")</f>
        <v>#N/A N/A</v>
      </c>
      <c r="HQ5" t="str">
        <f>_xll.BDS("1642488D US Equity","SUPPLY_CHAIN_CUSTOMERS_ALL_DATA")</f>
        <v>#N/A N/A</v>
      </c>
      <c r="IG5" t="str">
        <f>_xll.BDS("653707Q US Equity","SUPPLY_CHAIN_SUPPLIERS_ALL_DATA")</f>
        <v>#N/A N/A</v>
      </c>
      <c r="IU5" t="str">
        <f>_xll.BDS("653707Q US Equity","SUPPLY_CHAIN_CUSTOMERS_ALL_DATA")</f>
        <v>#N/A N/A</v>
      </c>
      <c r="JK5" t="str">
        <f>_xll.BDS("MIMOQ US Equity","SUPPLY_CHAIN_SUPPLIERS_ALL_DATA","cols=12;rows=5")</f>
        <v>1178718D GR Equity</v>
      </c>
      <c r="JM5">
        <v>-2.4245362661989844E-14</v>
      </c>
      <c r="JN5">
        <v>-2.4245362661989844E-14</v>
      </c>
      <c r="JO5" t="s">
        <v>1781</v>
      </c>
      <c r="JP5">
        <v>2024</v>
      </c>
      <c r="JQ5" t="s">
        <v>2938</v>
      </c>
      <c r="JR5" s="6">
        <v>45382</v>
      </c>
      <c r="JS5">
        <v>5</v>
      </c>
      <c r="JT5">
        <v>-2.4245362661989844E-14</v>
      </c>
      <c r="JU5">
        <v>37074384</v>
      </c>
      <c r="JV5" t="s">
        <v>2939</v>
      </c>
      <c r="JY5" t="str">
        <f>_xll.BDS("MIMOQ US Equity","SUPPLY_CHAIN_CUSTOMERS_ALL_DATA","cols=12;rows=5")</f>
        <v>1073718D FP Equity</v>
      </c>
      <c r="JZ5">
        <v>-2.4245362661989844E-14</v>
      </c>
      <c r="KB5">
        <v>-2.4245362661989844E-14</v>
      </c>
      <c r="KC5" t="s">
        <v>1753</v>
      </c>
      <c r="KD5">
        <v>2023</v>
      </c>
      <c r="KE5" t="s">
        <v>2781</v>
      </c>
      <c r="KF5" s="6">
        <v>44980</v>
      </c>
      <c r="KG5">
        <v>5</v>
      </c>
      <c r="KH5">
        <v>-2.4245362661989844E-14</v>
      </c>
      <c r="KI5">
        <v>35643193</v>
      </c>
      <c r="KJ5" t="s">
        <v>2782</v>
      </c>
      <c r="KO5" t="str">
        <f>_xll.BDS("BBT US Equity","SUPPLY_CHAIN_SUPPLIERS_ALL_DATA")</f>
        <v>#N/A N/A</v>
      </c>
      <c r="LC5" t="str">
        <f>_xll.BDS("BBT US Equity","SUPPLY_CHAIN_CUSTOMERS_ALL_DATA")</f>
        <v>#N/A N/A</v>
      </c>
      <c r="LS5" t="str">
        <f>_xll.BDS("WFC US Equity","SUPPLY_CHAIN_SUPPLIERS_ALL_DATA","cols=12;rows=5")</f>
        <v>ADBE US Equity</v>
      </c>
      <c r="LT5" t="s">
        <v>1940</v>
      </c>
      <c r="LU5">
        <v>0.357321</v>
      </c>
      <c r="LV5">
        <v>0.15107200000000001</v>
      </c>
      <c r="LW5" t="s">
        <v>1774</v>
      </c>
      <c r="LX5">
        <v>2025</v>
      </c>
      <c r="LY5" t="s">
        <v>2126</v>
      </c>
      <c r="LZ5" s="6">
        <v>45838</v>
      </c>
      <c r="MA5">
        <v>5</v>
      </c>
      <c r="MB5">
        <v>20985462</v>
      </c>
      <c r="MC5">
        <v>101689</v>
      </c>
      <c r="MD5" t="s">
        <v>2127</v>
      </c>
      <c r="MG5" t="str">
        <f>_xll.BDS("WFC US Equity","SUPPLY_CHAIN_CUSTOMERS_ALL_DATA","cols=12;rows=5")</f>
        <v>CDW US Equity</v>
      </c>
      <c r="MH5">
        <v>4.1894000000000001E-2</v>
      </c>
      <c r="MI5" t="s">
        <v>1752</v>
      </c>
      <c r="MJ5">
        <v>0.304456</v>
      </c>
      <c r="MK5" t="s">
        <v>1781</v>
      </c>
      <c r="ML5">
        <v>2025</v>
      </c>
      <c r="MM5" t="s">
        <v>1955</v>
      </c>
      <c r="MN5" s="6">
        <v>45820</v>
      </c>
      <c r="MO5">
        <v>5</v>
      </c>
      <c r="MP5">
        <v>12412062</v>
      </c>
      <c r="MQ5">
        <v>12129192</v>
      </c>
      <c r="MR5" t="s">
        <v>1956</v>
      </c>
      <c r="MW5" t="str">
        <f>_xll.BDS("TYG US Equity","SUPPLY_CHAIN_SUPPLIERS_ALL_DATA")</f>
        <v>#N/A N/A</v>
      </c>
      <c r="NK5" t="str">
        <f>_xll.BDS("TYG US Equity","SUPPLY_CHAIN_CUSTOMERS_ALL_DATA")</f>
        <v>#N/A N/A</v>
      </c>
      <c r="OA5" t="str">
        <f>_xll.BDS("CAZA US Equity","SUPPLY_CHAIN_SUPPLIERS_ALL_DATA")</f>
        <v>#N/A N/A</v>
      </c>
      <c r="OO5" t="str">
        <f>_xll.BDS("CAZA US Equity","SUPPLY_CHAIN_CUSTOMERS_ALL_DATA")</f>
        <v>#N/A N/A</v>
      </c>
      <c r="PE5" t="str">
        <f>_xll.BDS("BAGL US Equity","SUPPLY_CHAIN_SUPPLIERS_ALL_DATA","cols=12;rows=1")</f>
        <v>ENGI FP Equity</v>
      </c>
      <c r="PG5">
        <v>-2.4245362661989844E-14</v>
      </c>
      <c r="PH5">
        <v>-2.4245362661989844E-14</v>
      </c>
      <c r="PI5" t="s">
        <v>1753</v>
      </c>
      <c r="PJ5">
        <v>2025</v>
      </c>
      <c r="PK5" t="s">
        <v>3902</v>
      </c>
      <c r="PL5" s="6">
        <v>45733</v>
      </c>
      <c r="PM5">
        <v>1</v>
      </c>
      <c r="PN5">
        <v>-2.4245362661989844E-14</v>
      </c>
      <c r="PO5">
        <v>156070</v>
      </c>
      <c r="PP5" t="s">
        <v>3903</v>
      </c>
      <c r="PS5" t="str">
        <f>_xll.BDS("BAGL US Equity","SUPPLY_CHAIN_CUSTOMERS_ALL_DATA","cols=12;rows=1")</f>
        <v>BGS US Equity</v>
      </c>
      <c r="PT5">
        <v>-2.4245362661989844E-14</v>
      </c>
      <c r="PV5">
        <v>-2.4245362661989844E-14</v>
      </c>
      <c r="PW5" t="s">
        <v>1753</v>
      </c>
      <c r="PX5">
        <v>2025</v>
      </c>
      <c r="PY5" t="s">
        <v>3755</v>
      </c>
      <c r="PZ5" s="6">
        <v>46084</v>
      </c>
      <c r="QA5">
        <v>1</v>
      </c>
      <c r="QB5">
        <v>-2.4245362661989844E-14</v>
      </c>
      <c r="QC5">
        <v>8677282</v>
      </c>
      <c r="QD5" t="s">
        <v>3756</v>
      </c>
      <c r="QI5" t="str">
        <f>_xll.BDS("FLG US Equity","SUPPLY_CHAIN_SUPPLIERS_ALL_DATA","cols=12;rows=5")</f>
        <v>CXM US Equity</v>
      </c>
      <c r="QK5">
        <v>-2.4245362661989844E-14</v>
      </c>
      <c r="QL5">
        <v>-2.4245362661989844E-14</v>
      </c>
      <c r="QM5" t="s">
        <v>1774</v>
      </c>
      <c r="QN5">
        <v>2026</v>
      </c>
      <c r="QO5" t="s">
        <v>3631</v>
      </c>
      <c r="QP5" s="6">
        <v>45902</v>
      </c>
      <c r="QQ5">
        <v>5</v>
      </c>
      <c r="QR5">
        <v>-2.4245362661989844E-14</v>
      </c>
      <c r="QS5">
        <v>34392121</v>
      </c>
      <c r="QT5" t="s">
        <v>3238</v>
      </c>
      <c r="QW5" t="str">
        <f>_xll.BDS("FLG US Equity","SUPPLY_CHAIN_CUSTOMERS_ALL_DATA")</f>
        <v>#N/A N/A</v>
      </c>
      <c r="RM5" t="str">
        <f>_xll.BDS("1477687D US Equity","SUPPLY_CHAIN_SUPPLIERS_ALL_DATA")</f>
        <v>#N/A N/A</v>
      </c>
      <c r="SA5" t="str">
        <f>_xll.BDS("1477687D US Equity","SUPPLY_CHAIN_CUSTOMERS_ALL_DATA")</f>
        <v>#N/A N/A</v>
      </c>
      <c r="SQ5" t="str">
        <f>_xll.BDS("PARA US Equity","SUPPLY_CHAIN_SUPPLIERS_ALL_DATA","cols=12;rows=5")</f>
        <v>GTN US Equity</v>
      </c>
      <c r="SR5" t="s">
        <v>1940</v>
      </c>
      <c r="SS5">
        <v>38</v>
      </c>
      <c r="ST5">
        <v>20.797836</v>
      </c>
      <c r="SU5" t="s">
        <v>1753</v>
      </c>
      <c r="SV5">
        <v>2024</v>
      </c>
      <c r="SW5" t="s">
        <v>2923</v>
      </c>
      <c r="SX5" s="6">
        <v>45715</v>
      </c>
      <c r="SY5">
        <v>5</v>
      </c>
      <c r="SZ5">
        <v>346180000</v>
      </c>
      <c r="TA5">
        <v>104103</v>
      </c>
      <c r="TB5" t="s">
        <v>2924</v>
      </c>
      <c r="TE5" t="str">
        <f>_xll.BDS("PARA US Equity","SUPPLY_CHAIN_CUSTOMERS_ALL_DATA","cols=12;rows=5")</f>
        <v>002293 CH Equity</v>
      </c>
      <c r="TF5">
        <v>-2.4245362661989844E-14</v>
      </c>
      <c r="TH5">
        <v>-2.4245362661989844E-14</v>
      </c>
      <c r="TI5" t="s">
        <v>1753</v>
      </c>
      <c r="TJ5">
        <v>2021</v>
      </c>
      <c r="TK5" t="s">
        <v>2767</v>
      </c>
      <c r="TL5" s="6">
        <v>44670</v>
      </c>
      <c r="TM5">
        <v>5</v>
      </c>
      <c r="TN5">
        <v>-2.4245362661989844E-14</v>
      </c>
      <c r="TO5">
        <v>15166198</v>
      </c>
      <c r="TP5" t="s">
        <v>2768</v>
      </c>
      <c r="TU5" t="str">
        <f>_xll.BDS("KEY US Equity","SUPPLY_CHAIN_SUPPLIERS_ALL_DATA","cols=12;rows=5")</f>
        <v>BILL US Equity</v>
      </c>
      <c r="TW5">
        <v>-2.4245362661989844E-14</v>
      </c>
      <c r="TX5">
        <v>-2.4245362661989844E-14</v>
      </c>
      <c r="TY5" t="s">
        <v>1788</v>
      </c>
      <c r="TZ5">
        <v>2024</v>
      </c>
      <c r="UA5" t="s">
        <v>2522</v>
      </c>
      <c r="UB5" s="6">
        <v>45414</v>
      </c>
      <c r="UC5">
        <v>5</v>
      </c>
      <c r="UD5">
        <v>-2.4245362661989844E-14</v>
      </c>
      <c r="UE5">
        <v>66503767</v>
      </c>
      <c r="UF5" t="s">
        <v>2523</v>
      </c>
      <c r="UI5" t="str">
        <f>_xll.BDS("KEY US Equity","SUPPLY_CHAIN_CUSTOMERS_ALL_DATA")</f>
        <v>#N/A N/A</v>
      </c>
      <c r="UY5" t="str">
        <f>_xll.BDS("IDTI US Equity","SUPPLY_CHAIN_SUPPLIERS_ALL_DATA")</f>
        <v>#N/A N/A</v>
      </c>
      <c r="VM5" t="str">
        <f>_xll.BDS("IDTI US Equity","SUPPLY_CHAIN_CUSTOMERS_ALL_DATA")</f>
        <v>#N/A N/A</v>
      </c>
    </row>
    <row r="6" spans="1:600" x14ac:dyDescent="0.25">
      <c r="A6" t="s">
        <v>3578</v>
      </c>
      <c r="C6">
        <v>-2.4245362661989844E-14</v>
      </c>
      <c r="D6">
        <v>-2.4245362661989844E-14</v>
      </c>
      <c r="E6" t="s">
        <v>1753</v>
      </c>
      <c r="F6">
        <v>2022</v>
      </c>
      <c r="G6" t="s">
        <v>3579</v>
      </c>
      <c r="H6" s="6">
        <v>44638</v>
      </c>
      <c r="I6">
        <v>5</v>
      </c>
      <c r="J6">
        <v>-2.4245362661989844E-14</v>
      </c>
      <c r="K6">
        <v>59822193</v>
      </c>
      <c r="L6" t="s">
        <v>3580</v>
      </c>
      <c r="BI6" t="s">
        <v>1110</v>
      </c>
      <c r="BK6">
        <v>-2.4245362661989844E-14</v>
      </c>
      <c r="BL6">
        <v>-2.4245362661989844E-14</v>
      </c>
      <c r="BM6" t="s">
        <v>1774</v>
      </c>
      <c r="BN6">
        <v>2023</v>
      </c>
      <c r="BO6" t="s">
        <v>2226</v>
      </c>
      <c r="BP6" s="6">
        <v>45174</v>
      </c>
      <c r="BQ6">
        <v>2</v>
      </c>
      <c r="BR6">
        <v>-2.4245362661989844E-14</v>
      </c>
      <c r="BS6">
        <v>202476</v>
      </c>
      <c r="BT6" t="s">
        <v>2227</v>
      </c>
      <c r="FY6" t="s">
        <v>2343</v>
      </c>
      <c r="FZ6" t="s">
        <v>1752</v>
      </c>
      <c r="GA6">
        <v>1.8308999999999999E-2</v>
      </c>
      <c r="GB6">
        <v>0.42219499999999999</v>
      </c>
      <c r="GC6" t="s">
        <v>1774</v>
      </c>
      <c r="GD6">
        <v>2025</v>
      </c>
      <c r="GE6" t="s">
        <v>3417</v>
      </c>
      <c r="GF6" s="6">
        <v>45929</v>
      </c>
      <c r="GG6">
        <v>5</v>
      </c>
      <c r="GH6">
        <v>2228298.9900000002</v>
      </c>
      <c r="GI6">
        <v>115679</v>
      </c>
      <c r="GJ6" t="s">
        <v>2344</v>
      </c>
      <c r="GM6" t="s">
        <v>3734</v>
      </c>
      <c r="GN6">
        <v>-2.4245362661989844E-14</v>
      </c>
      <c r="GP6">
        <v>-2.4245362661989844E-14</v>
      </c>
      <c r="GQ6" t="s">
        <v>1753</v>
      </c>
      <c r="GR6">
        <v>2022</v>
      </c>
      <c r="GS6" t="s">
        <v>3735</v>
      </c>
      <c r="GT6" s="6">
        <v>45043</v>
      </c>
      <c r="GU6">
        <v>5</v>
      </c>
      <c r="GV6">
        <v>-2.4245362661989844E-14</v>
      </c>
      <c r="GW6">
        <v>40318345</v>
      </c>
      <c r="GX6" t="s">
        <v>3736</v>
      </c>
      <c r="JK6" t="s">
        <v>2940</v>
      </c>
      <c r="JM6">
        <v>-2.4245362661989844E-14</v>
      </c>
      <c r="JN6">
        <v>-2.4245362661989844E-14</v>
      </c>
      <c r="JO6" t="s">
        <v>1781</v>
      </c>
      <c r="JP6">
        <v>2024</v>
      </c>
      <c r="JQ6" t="s">
        <v>2938</v>
      </c>
      <c r="JR6" s="6">
        <v>45382</v>
      </c>
      <c r="JS6">
        <v>5</v>
      </c>
      <c r="JT6">
        <v>-2.4245362661989844E-14</v>
      </c>
      <c r="JU6">
        <v>21513377</v>
      </c>
      <c r="JV6" t="s">
        <v>2941</v>
      </c>
      <c r="JY6" t="s">
        <v>2783</v>
      </c>
      <c r="JZ6">
        <v>-2.4245362661989844E-14</v>
      </c>
      <c r="KB6">
        <v>-2.4245362661989844E-14</v>
      </c>
      <c r="KC6" t="s">
        <v>1753</v>
      </c>
      <c r="KD6">
        <v>2023</v>
      </c>
      <c r="KE6" t="s">
        <v>2781</v>
      </c>
      <c r="KF6" s="6">
        <v>44980</v>
      </c>
      <c r="KG6">
        <v>5</v>
      </c>
      <c r="KH6">
        <v>-2.4245362661989844E-14</v>
      </c>
      <c r="KI6">
        <v>69598298</v>
      </c>
      <c r="KJ6" t="s">
        <v>2784</v>
      </c>
      <c r="LS6" t="s">
        <v>1787</v>
      </c>
      <c r="LT6" t="s">
        <v>1940</v>
      </c>
      <c r="LU6">
        <v>5.2993949999999996</v>
      </c>
      <c r="LV6">
        <v>7.1481000000000003E-2</v>
      </c>
      <c r="LW6" t="s">
        <v>1781</v>
      </c>
      <c r="LX6">
        <v>2026</v>
      </c>
      <c r="LY6" t="s">
        <v>2131</v>
      </c>
      <c r="LZ6" s="6">
        <v>45898</v>
      </c>
      <c r="MA6">
        <v>5</v>
      </c>
      <c r="MB6">
        <v>9563900.9100000001</v>
      </c>
      <c r="MC6">
        <v>178651</v>
      </c>
      <c r="MD6" t="s">
        <v>1790</v>
      </c>
      <c r="MG6" t="s">
        <v>1957</v>
      </c>
      <c r="MH6">
        <v>-2.4245362661989844E-14</v>
      </c>
      <c r="MJ6">
        <v>-2.4245362661989844E-14</v>
      </c>
      <c r="MK6" t="s">
        <v>1753</v>
      </c>
      <c r="ML6">
        <v>2024</v>
      </c>
      <c r="MM6" t="s">
        <v>1958</v>
      </c>
      <c r="MN6" s="6">
        <v>45756</v>
      </c>
      <c r="MO6">
        <v>5</v>
      </c>
      <c r="MP6">
        <v>-2.4245362661989844E-14</v>
      </c>
      <c r="MQ6">
        <v>23063237</v>
      </c>
      <c r="MR6" t="s">
        <v>1959</v>
      </c>
      <c r="QI6" t="s">
        <v>3632</v>
      </c>
      <c r="QK6">
        <v>-2.4245362661989844E-14</v>
      </c>
      <c r="QL6">
        <v>-2.4245362661989844E-14</v>
      </c>
      <c r="QM6" t="s">
        <v>1753</v>
      </c>
      <c r="QN6">
        <v>2023</v>
      </c>
      <c r="QO6" t="s">
        <v>3633</v>
      </c>
      <c r="QP6" s="6">
        <v>45350</v>
      </c>
      <c r="QQ6">
        <v>5</v>
      </c>
      <c r="QR6">
        <v>-2.4245362661989844E-14</v>
      </c>
      <c r="QS6">
        <v>33628170</v>
      </c>
      <c r="QT6" t="s">
        <v>3634</v>
      </c>
      <c r="SQ6" t="s">
        <v>2925</v>
      </c>
      <c r="SR6" t="s">
        <v>1752</v>
      </c>
      <c r="SS6">
        <v>0.89060499999999998</v>
      </c>
      <c r="ST6">
        <v>0.18792300000000001</v>
      </c>
      <c r="SU6" t="s">
        <v>1825</v>
      </c>
      <c r="SV6">
        <v>2024</v>
      </c>
      <c r="SW6" t="s">
        <v>2926</v>
      </c>
      <c r="SX6" s="6">
        <v>45747</v>
      </c>
      <c r="SY6">
        <v>5</v>
      </c>
      <c r="SZ6">
        <v>10696585</v>
      </c>
      <c r="TA6">
        <v>17257533</v>
      </c>
      <c r="TB6" t="s">
        <v>2927</v>
      </c>
      <c r="TE6" t="s">
        <v>2769</v>
      </c>
      <c r="TF6">
        <v>-2.4245362661989844E-14</v>
      </c>
      <c r="TH6">
        <v>-2.4245362661989844E-14</v>
      </c>
      <c r="TI6" t="s">
        <v>1761</v>
      </c>
      <c r="TJ6">
        <v>2024</v>
      </c>
      <c r="TK6" t="s">
        <v>2770</v>
      </c>
      <c r="TL6" s="6">
        <v>45518</v>
      </c>
      <c r="TM6">
        <v>5</v>
      </c>
      <c r="TN6">
        <v>-2.4245362661989844E-14</v>
      </c>
      <c r="TO6">
        <v>129195</v>
      </c>
      <c r="TP6" t="s">
        <v>2771</v>
      </c>
      <c r="TU6" t="s">
        <v>2524</v>
      </c>
      <c r="TW6">
        <v>-2.4245362661989844E-14</v>
      </c>
      <c r="TX6">
        <v>-2.4245362661989844E-14</v>
      </c>
      <c r="TY6" t="s">
        <v>1788</v>
      </c>
      <c r="TZ6">
        <v>2025</v>
      </c>
      <c r="UA6" t="s">
        <v>2525</v>
      </c>
      <c r="UB6" s="6">
        <v>45957</v>
      </c>
      <c r="UC6">
        <v>5</v>
      </c>
      <c r="UD6">
        <v>-2.4245362661989844E-14</v>
      </c>
      <c r="UE6">
        <v>43152573</v>
      </c>
      <c r="UF6" t="s">
        <v>2526</v>
      </c>
    </row>
    <row r="7" spans="1:600" x14ac:dyDescent="0.25">
      <c r="A7" t="s">
        <v>2635</v>
      </c>
      <c r="C7">
        <v>-2.4245362661989844E-14</v>
      </c>
      <c r="D7">
        <v>-2.4245362661989844E-14</v>
      </c>
      <c r="E7" t="s">
        <v>1825</v>
      </c>
      <c r="F7">
        <v>2024</v>
      </c>
      <c r="G7" t="s">
        <v>3581</v>
      </c>
      <c r="H7" s="6">
        <v>45597</v>
      </c>
      <c r="I7">
        <v>5</v>
      </c>
      <c r="J7">
        <v>-2.4245362661989844E-14</v>
      </c>
      <c r="K7">
        <v>104365</v>
      </c>
      <c r="L7" t="s">
        <v>2637</v>
      </c>
      <c r="FY7" t="s">
        <v>3965</v>
      </c>
      <c r="FZ7" t="s">
        <v>1752</v>
      </c>
      <c r="GA7">
        <v>36.324852</v>
      </c>
      <c r="GB7">
        <v>0.37194199999999999</v>
      </c>
      <c r="GC7" t="s">
        <v>1753</v>
      </c>
      <c r="GD7">
        <v>2024</v>
      </c>
      <c r="GE7" t="s">
        <v>3966</v>
      </c>
      <c r="GF7" s="6">
        <v>45742</v>
      </c>
      <c r="GG7">
        <v>5</v>
      </c>
      <c r="GH7">
        <v>1864489.21</v>
      </c>
      <c r="GI7">
        <v>17037571</v>
      </c>
      <c r="GJ7" t="s">
        <v>3967</v>
      </c>
      <c r="GM7" t="s">
        <v>3737</v>
      </c>
      <c r="GN7">
        <v>-2.4245362661989844E-14</v>
      </c>
      <c r="GP7">
        <v>-2.4245362661989844E-14</v>
      </c>
      <c r="GQ7" t="s">
        <v>1753</v>
      </c>
      <c r="GR7">
        <v>2025</v>
      </c>
      <c r="GS7" t="s">
        <v>3738</v>
      </c>
      <c r="GT7" s="6">
        <v>46000</v>
      </c>
      <c r="GU7">
        <v>5</v>
      </c>
      <c r="GV7">
        <v>-2.4245362661989844E-14</v>
      </c>
      <c r="GW7">
        <v>328879</v>
      </c>
      <c r="GX7" t="s">
        <v>3739</v>
      </c>
      <c r="JK7" t="s">
        <v>2942</v>
      </c>
      <c r="JM7">
        <v>-2.4245362661989844E-14</v>
      </c>
      <c r="JN7">
        <v>-2.4245362661989844E-14</v>
      </c>
      <c r="JO7" t="s">
        <v>1781</v>
      </c>
      <c r="JP7">
        <v>2024</v>
      </c>
      <c r="JQ7" t="s">
        <v>2938</v>
      </c>
      <c r="JR7" s="6">
        <v>45382</v>
      </c>
      <c r="JS7">
        <v>5</v>
      </c>
      <c r="JT7">
        <v>-2.4245362661989844E-14</v>
      </c>
      <c r="JU7">
        <v>115265</v>
      </c>
      <c r="JV7" t="s">
        <v>2943</v>
      </c>
      <c r="JY7" t="s">
        <v>2785</v>
      </c>
      <c r="JZ7">
        <v>-2.4245362661989844E-14</v>
      </c>
      <c r="KB7">
        <v>-2.4245362661989844E-14</v>
      </c>
      <c r="KC7" t="s">
        <v>1753</v>
      </c>
      <c r="KD7">
        <v>2023</v>
      </c>
      <c r="KE7" t="s">
        <v>2781</v>
      </c>
      <c r="KF7" s="6">
        <v>44980</v>
      </c>
      <c r="KG7">
        <v>5</v>
      </c>
      <c r="KH7">
        <v>-2.4245362661989844E-14</v>
      </c>
      <c r="KI7">
        <v>69934653</v>
      </c>
      <c r="KJ7" t="s">
        <v>2786</v>
      </c>
      <c r="LS7" t="s">
        <v>2199</v>
      </c>
      <c r="LT7" t="s">
        <v>1940</v>
      </c>
      <c r="LU7">
        <v>0.56072500000000003</v>
      </c>
      <c r="LV7">
        <v>1.5883999999999999E-2</v>
      </c>
      <c r="LW7" t="s">
        <v>1753</v>
      </c>
      <c r="LX7">
        <v>2025</v>
      </c>
      <c r="LY7" t="s">
        <v>2200</v>
      </c>
      <c r="LZ7" s="6">
        <v>46066</v>
      </c>
      <c r="MA7">
        <v>5</v>
      </c>
      <c r="MB7">
        <v>2177750</v>
      </c>
      <c r="MC7">
        <v>126273</v>
      </c>
      <c r="MD7" t="s">
        <v>2201</v>
      </c>
      <c r="MG7" t="s">
        <v>1960</v>
      </c>
      <c r="MH7">
        <v>-2.4245362661989844E-14</v>
      </c>
      <c r="MJ7">
        <v>-2.4245362661989844E-14</v>
      </c>
      <c r="MK7" t="s">
        <v>1781</v>
      </c>
      <c r="ML7">
        <v>2025</v>
      </c>
      <c r="MM7" t="s">
        <v>1961</v>
      </c>
      <c r="MN7" s="6">
        <v>45799</v>
      </c>
      <c r="MO7">
        <v>5</v>
      </c>
      <c r="MP7">
        <v>-2.4245362661989844E-14</v>
      </c>
      <c r="MQ7">
        <v>313021</v>
      </c>
      <c r="MR7" t="s">
        <v>1962</v>
      </c>
      <c r="QI7" t="s">
        <v>3635</v>
      </c>
      <c r="QK7">
        <v>-2.4245362661989844E-14</v>
      </c>
      <c r="QL7">
        <v>-2.4245362661989844E-14</v>
      </c>
      <c r="QM7" t="s">
        <v>1753</v>
      </c>
      <c r="QN7">
        <v>2024</v>
      </c>
      <c r="QO7" t="s">
        <v>3636</v>
      </c>
      <c r="QP7" s="6">
        <v>45716</v>
      </c>
      <c r="QQ7">
        <v>5</v>
      </c>
      <c r="QR7">
        <v>-2.4245362661989844E-14</v>
      </c>
      <c r="QS7">
        <v>29175351</v>
      </c>
      <c r="QT7" t="s">
        <v>3637</v>
      </c>
      <c r="SQ7" t="s">
        <v>2928</v>
      </c>
      <c r="SR7" t="s">
        <v>1752</v>
      </c>
      <c r="SS7">
        <v>1.8761030000000001</v>
      </c>
      <c r="ST7">
        <v>0.11766799999999999</v>
      </c>
      <c r="SU7" t="s">
        <v>1781</v>
      </c>
      <c r="SV7">
        <v>2025</v>
      </c>
      <c r="SW7" t="s">
        <v>2929</v>
      </c>
      <c r="SX7" s="6">
        <v>45764</v>
      </c>
      <c r="SY7">
        <v>5</v>
      </c>
      <c r="SZ7">
        <v>6697669</v>
      </c>
      <c r="TA7">
        <v>916504</v>
      </c>
      <c r="TB7" t="s">
        <v>2930</v>
      </c>
      <c r="TE7" t="s">
        <v>2772</v>
      </c>
      <c r="TF7">
        <v>-2.4245362661989844E-14</v>
      </c>
      <c r="TH7">
        <v>-2.4245362661989844E-14</v>
      </c>
      <c r="TI7" t="s">
        <v>1753</v>
      </c>
      <c r="TJ7">
        <v>2025</v>
      </c>
      <c r="TK7" t="s">
        <v>2773</v>
      </c>
      <c r="TL7" s="6">
        <v>45691</v>
      </c>
      <c r="TM7">
        <v>5</v>
      </c>
      <c r="TN7">
        <v>-2.4245362661989844E-14</v>
      </c>
      <c r="TO7">
        <v>26993503</v>
      </c>
      <c r="TP7" t="s">
        <v>2774</v>
      </c>
      <c r="TU7" t="s">
        <v>2527</v>
      </c>
      <c r="TW7">
        <v>-2.4245362661989844E-14</v>
      </c>
      <c r="TX7">
        <v>-2.4245362661989844E-14</v>
      </c>
      <c r="TY7" t="s">
        <v>1753</v>
      </c>
      <c r="TZ7">
        <v>2022</v>
      </c>
      <c r="UA7" t="s">
        <v>2528</v>
      </c>
      <c r="UB7" s="6">
        <v>44707</v>
      </c>
      <c r="UC7">
        <v>5</v>
      </c>
      <c r="UD7">
        <v>-2.4245362661989844E-14</v>
      </c>
      <c r="UE7">
        <v>65265899</v>
      </c>
      <c r="UF7" t="s">
        <v>2529</v>
      </c>
    </row>
    <row r="8" spans="1:600" x14ac:dyDescent="0.25">
      <c r="A8" t="s">
        <v>2316</v>
      </c>
      <c r="C8">
        <v>-2.4245362661989844E-14</v>
      </c>
      <c r="D8">
        <v>-2.4245362661989844E-14</v>
      </c>
      <c r="E8" t="s">
        <v>1753</v>
      </c>
      <c r="F8">
        <v>2021</v>
      </c>
      <c r="G8" t="s">
        <v>2317</v>
      </c>
      <c r="H8" s="6">
        <v>44693</v>
      </c>
      <c r="I8">
        <v>5</v>
      </c>
      <c r="J8">
        <v>-2.4245362661989844E-14</v>
      </c>
      <c r="K8">
        <v>179563</v>
      </c>
      <c r="L8" t="s">
        <v>2318</v>
      </c>
      <c r="FY8" t="s">
        <v>3968</v>
      </c>
      <c r="GA8">
        <v>-2.4245362661989844E-14</v>
      </c>
      <c r="GB8">
        <v>-2.4245362661989844E-14</v>
      </c>
      <c r="GC8" t="s">
        <v>1788</v>
      </c>
      <c r="GD8">
        <v>2025</v>
      </c>
      <c r="GE8" t="s">
        <v>3969</v>
      </c>
      <c r="GF8" s="6">
        <v>45691</v>
      </c>
      <c r="GG8">
        <v>5</v>
      </c>
      <c r="GH8">
        <v>-2.4245362661989844E-14</v>
      </c>
      <c r="GI8">
        <v>1481585</v>
      </c>
      <c r="GJ8" t="s">
        <v>3970</v>
      </c>
      <c r="GM8" t="s">
        <v>3740</v>
      </c>
      <c r="GN8">
        <v>-2.4245362661989844E-14</v>
      </c>
      <c r="GP8">
        <v>-2.4245362661989844E-14</v>
      </c>
      <c r="GQ8" t="s">
        <v>1753</v>
      </c>
      <c r="GR8">
        <v>2025</v>
      </c>
      <c r="GS8" t="s">
        <v>3741</v>
      </c>
      <c r="GT8" s="6">
        <v>45936</v>
      </c>
      <c r="GU8">
        <v>5</v>
      </c>
      <c r="GV8">
        <v>-2.4245362661989844E-14</v>
      </c>
      <c r="GW8">
        <v>7414072</v>
      </c>
      <c r="GX8" t="s">
        <v>3742</v>
      </c>
      <c r="JK8" t="s">
        <v>2218</v>
      </c>
      <c r="JM8">
        <v>-2.4245362661989844E-14</v>
      </c>
      <c r="JN8">
        <v>-2.4245362661989844E-14</v>
      </c>
      <c r="JO8" t="s">
        <v>1781</v>
      </c>
      <c r="JP8">
        <v>2024</v>
      </c>
      <c r="JQ8" t="s">
        <v>2938</v>
      </c>
      <c r="JR8" s="6">
        <v>45382</v>
      </c>
      <c r="JS8">
        <v>5</v>
      </c>
      <c r="JT8">
        <v>-2.4245362661989844E-14</v>
      </c>
      <c r="JU8">
        <v>100554</v>
      </c>
      <c r="JV8" t="s">
        <v>2220</v>
      </c>
      <c r="JY8" t="s">
        <v>2787</v>
      </c>
      <c r="JZ8">
        <v>-2.4245362661989844E-14</v>
      </c>
      <c r="KB8">
        <v>-2.4245362661989844E-14</v>
      </c>
      <c r="KC8" t="s">
        <v>1753</v>
      </c>
      <c r="KD8">
        <v>2023</v>
      </c>
      <c r="KE8" t="s">
        <v>2781</v>
      </c>
      <c r="KF8" s="6">
        <v>44980</v>
      </c>
      <c r="KG8">
        <v>5</v>
      </c>
      <c r="KH8">
        <v>-2.4245362661989844E-14</v>
      </c>
      <c r="KI8">
        <v>1418494</v>
      </c>
      <c r="KJ8" t="s">
        <v>2788</v>
      </c>
      <c r="LS8" t="s">
        <v>2202</v>
      </c>
      <c r="LT8" t="s">
        <v>1940</v>
      </c>
      <c r="LU8">
        <v>0.78817400000000004</v>
      </c>
      <c r="LV8">
        <v>1.4283000000000001E-2</v>
      </c>
      <c r="LW8" t="s">
        <v>1753</v>
      </c>
      <c r="LX8">
        <v>2025</v>
      </c>
      <c r="LY8" t="s">
        <v>2203</v>
      </c>
      <c r="LZ8" s="6">
        <v>46058</v>
      </c>
      <c r="MA8">
        <v>5</v>
      </c>
      <c r="MB8">
        <v>1958250</v>
      </c>
      <c r="MC8">
        <v>106045</v>
      </c>
      <c r="MD8" t="s">
        <v>2204</v>
      </c>
      <c r="MG8" t="s">
        <v>1963</v>
      </c>
      <c r="MH8">
        <v>-2.4245362661989844E-14</v>
      </c>
      <c r="MJ8">
        <v>-2.4245362661989844E-14</v>
      </c>
      <c r="MK8" t="s">
        <v>1753</v>
      </c>
      <c r="ML8">
        <v>2022</v>
      </c>
      <c r="MM8" t="s">
        <v>1964</v>
      </c>
      <c r="MN8" s="6">
        <v>44986</v>
      </c>
      <c r="MO8">
        <v>5</v>
      </c>
      <c r="MP8">
        <v>-2.4245362661989844E-14</v>
      </c>
      <c r="MQ8">
        <v>394590</v>
      </c>
      <c r="MR8" t="s">
        <v>1965</v>
      </c>
      <c r="QI8" t="s">
        <v>2152</v>
      </c>
      <c r="QK8">
        <v>-2.4245362661989844E-14</v>
      </c>
      <c r="QL8">
        <v>-2.4245362661989844E-14</v>
      </c>
      <c r="QM8" t="s">
        <v>1768</v>
      </c>
      <c r="QN8">
        <v>2023</v>
      </c>
      <c r="QO8" t="s">
        <v>2153</v>
      </c>
      <c r="QP8" s="6">
        <v>45245</v>
      </c>
      <c r="QQ8">
        <v>5</v>
      </c>
      <c r="QR8">
        <v>-2.4245362661989844E-14</v>
      </c>
      <c r="QS8">
        <v>103882</v>
      </c>
      <c r="QT8" t="s">
        <v>2154</v>
      </c>
      <c r="SQ8" t="s">
        <v>2931</v>
      </c>
      <c r="SR8" t="s">
        <v>1940</v>
      </c>
      <c r="SS8">
        <v>13</v>
      </c>
      <c r="ST8">
        <v>0.32028699999999999</v>
      </c>
      <c r="SU8" t="s">
        <v>1753</v>
      </c>
      <c r="SV8">
        <v>2024</v>
      </c>
      <c r="SW8" t="s">
        <v>2932</v>
      </c>
      <c r="SX8" s="6">
        <v>45761</v>
      </c>
      <c r="SY8">
        <v>5</v>
      </c>
      <c r="SZ8">
        <v>5277818.2300000004</v>
      </c>
      <c r="TA8">
        <v>115383</v>
      </c>
      <c r="TB8" t="s">
        <v>2933</v>
      </c>
      <c r="TE8" t="s">
        <v>2775</v>
      </c>
      <c r="TF8">
        <v>-2.4245362661989844E-14</v>
      </c>
      <c r="TH8">
        <v>-2.4245362661989844E-14</v>
      </c>
      <c r="TI8" t="s">
        <v>1753</v>
      </c>
      <c r="TJ8">
        <v>2024</v>
      </c>
      <c r="TK8" t="s">
        <v>2776</v>
      </c>
      <c r="TL8" s="6">
        <v>45734</v>
      </c>
      <c r="TM8">
        <v>5</v>
      </c>
      <c r="TN8">
        <v>-2.4245362661989844E-14</v>
      </c>
      <c r="TO8">
        <v>7980587</v>
      </c>
      <c r="TP8" t="s">
        <v>2777</v>
      </c>
      <c r="TU8" t="s">
        <v>2530</v>
      </c>
      <c r="TW8">
        <v>-2.4245362661989844E-14</v>
      </c>
      <c r="TX8">
        <v>-2.4245362661989844E-14</v>
      </c>
      <c r="TY8" t="s">
        <v>1781</v>
      </c>
      <c r="TZ8">
        <v>2023</v>
      </c>
      <c r="UA8" t="s">
        <v>2531</v>
      </c>
      <c r="UB8" s="6">
        <v>44706</v>
      </c>
      <c r="UC8">
        <v>5</v>
      </c>
      <c r="UD8">
        <v>-2.4245362661989844E-14</v>
      </c>
      <c r="UE8">
        <v>43575125</v>
      </c>
      <c r="UF8" t="s">
        <v>2532</v>
      </c>
    </row>
    <row r="9" spans="1:600" x14ac:dyDescent="0.25">
      <c r="A9" t="s">
        <v>3582</v>
      </c>
      <c r="C9">
        <v>-2.4245362661989844E-14</v>
      </c>
      <c r="D9">
        <v>-2.4245362661989844E-14</v>
      </c>
      <c r="E9" t="s">
        <v>1753</v>
      </c>
      <c r="F9">
        <v>2021</v>
      </c>
      <c r="G9" t="s">
        <v>3583</v>
      </c>
      <c r="H9" s="6">
        <v>44693</v>
      </c>
      <c r="I9">
        <v>5</v>
      </c>
      <c r="J9">
        <v>-2.4245362661989844E-14</v>
      </c>
      <c r="K9">
        <v>107603</v>
      </c>
      <c r="L9" t="s">
        <v>3584</v>
      </c>
      <c r="FY9" t="s">
        <v>3971</v>
      </c>
      <c r="GA9">
        <v>-2.4245362661989844E-14</v>
      </c>
      <c r="GB9">
        <v>-2.4245362661989844E-14</v>
      </c>
      <c r="GC9" t="s">
        <v>1753</v>
      </c>
      <c r="GD9">
        <v>2025</v>
      </c>
      <c r="GE9" t="s">
        <v>3972</v>
      </c>
      <c r="GF9" s="6">
        <v>45856</v>
      </c>
      <c r="GG9">
        <v>5</v>
      </c>
      <c r="GH9">
        <v>-2.4245362661989844E-14</v>
      </c>
      <c r="GI9">
        <v>60781365</v>
      </c>
      <c r="GJ9" t="s">
        <v>3973</v>
      </c>
      <c r="GM9" t="s">
        <v>3743</v>
      </c>
      <c r="GN9">
        <v>-2.4245362661989844E-14</v>
      </c>
      <c r="GP9">
        <v>-2.4245362661989844E-14</v>
      </c>
      <c r="GQ9" t="s">
        <v>1753</v>
      </c>
      <c r="GR9">
        <v>2023</v>
      </c>
      <c r="GS9" t="s">
        <v>3744</v>
      </c>
      <c r="GT9" s="6">
        <v>45167</v>
      </c>
      <c r="GU9">
        <v>5</v>
      </c>
      <c r="GV9">
        <v>-2.4245362661989844E-14</v>
      </c>
      <c r="GW9">
        <v>328882</v>
      </c>
      <c r="GX9" t="s">
        <v>3745</v>
      </c>
      <c r="JK9" t="s">
        <v>2366</v>
      </c>
      <c r="JM9">
        <v>-2.4245362661989844E-14</v>
      </c>
      <c r="JN9">
        <v>-2.4245362661989844E-14</v>
      </c>
      <c r="JO9" t="s">
        <v>1781</v>
      </c>
      <c r="JP9">
        <v>2024</v>
      </c>
      <c r="JQ9" t="s">
        <v>2938</v>
      </c>
      <c r="JR9" s="6">
        <v>45382</v>
      </c>
      <c r="JS9">
        <v>5</v>
      </c>
      <c r="JT9">
        <v>-2.4245362661989844E-14</v>
      </c>
      <c r="JU9">
        <v>100302</v>
      </c>
      <c r="JV9" t="s">
        <v>2367</v>
      </c>
      <c r="JY9" t="s">
        <v>2789</v>
      </c>
      <c r="JZ9">
        <v>-2.4245362661989844E-14</v>
      </c>
      <c r="KB9">
        <v>-2.4245362661989844E-14</v>
      </c>
      <c r="KC9" t="s">
        <v>1753</v>
      </c>
      <c r="KD9">
        <v>2025</v>
      </c>
      <c r="KE9" t="s">
        <v>2781</v>
      </c>
      <c r="KF9" s="6">
        <v>46000</v>
      </c>
      <c r="KG9">
        <v>5</v>
      </c>
      <c r="KH9">
        <v>-2.4245362661989844E-14</v>
      </c>
      <c r="KI9">
        <v>815925</v>
      </c>
      <c r="KJ9" t="s">
        <v>2790</v>
      </c>
      <c r="LS9" t="s">
        <v>2205</v>
      </c>
      <c r="LT9" t="s">
        <v>1940</v>
      </c>
      <c r="LU9">
        <v>0.777281</v>
      </c>
      <c r="LV9">
        <v>1.0723999999999999E-2</v>
      </c>
      <c r="LW9" t="s">
        <v>1753</v>
      </c>
      <c r="LX9">
        <v>2024</v>
      </c>
      <c r="LY9" t="s">
        <v>2206</v>
      </c>
      <c r="LZ9" s="6">
        <v>45694</v>
      </c>
      <c r="MA9">
        <v>5</v>
      </c>
      <c r="MB9">
        <v>1463750</v>
      </c>
      <c r="MC9">
        <v>106543</v>
      </c>
      <c r="MD9" t="s">
        <v>2207</v>
      </c>
      <c r="MG9" t="s">
        <v>1966</v>
      </c>
      <c r="MH9">
        <v>-2.4245362661989844E-14</v>
      </c>
      <c r="MJ9">
        <v>-2.4245362661989844E-14</v>
      </c>
      <c r="MK9" t="s">
        <v>1753</v>
      </c>
      <c r="ML9">
        <v>2023</v>
      </c>
      <c r="MM9" t="s">
        <v>1967</v>
      </c>
      <c r="MN9" s="6">
        <v>45175</v>
      </c>
      <c r="MO9">
        <v>5</v>
      </c>
      <c r="MP9">
        <v>-2.4245362661989844E-14</v>
      </c>
      <c r="MQ9">
        <v>100555</v>
      </c>
      <c r="MR9" t="s">
        <v>1968</v>
      </c>
      <c r="QI9" t="s">
        <v>2242</v>
      </c>
      <c r="QK9">
        <v>-2.4245362661989844E-14</v>
      </c>
      <c r="QL9">
        <v>-2.4245362661989844E-14</v>
      </c>
      <c r="QM9" t="s">
        <v>1788</v>
      </c>
      <c r="QN9">
        <v>2023</v>
      </c>
      <c r="QO9" t="s">
        <v>3638</v>
      </c>
      <c r="QP9" s="6">
        <v>45231</v>
      </c>
      <c r="QQ9">
        <v>5</v>
      </c>
      <c r="QR9">
        <v>-2.4245362661989844E-14</v>
      </c>
      <c r="QS9">
        <v>69762655</v>
      </c>
      <c r="QT9" t="s">
        <v>2244</v>
      </c>
      <c r="SQ9" t="s">
        <v>2934</v>
      </c>
      <c r="SR9" t="s">
        <v>1940</v>
      </c>
      <c r="SS9">
        <v>2.3601529999999999</v>
      </c>
      <c r="ST9">
        <v>0.26850400000000002</v>
      </c>
      <c r="SU9" t="s">
        <v>1753</v>
      </c>
      <c r="SV9">
        <v>2024</v>
      </c>
      <c r="SW9" t="s">
        <v>2935</v>
      </c>
      <c r="SX9" s="6">
        <v>45715</v>
      </c>
      <c r="SY9">
        <v>5</v>
      </c>
      <c r="SZ9">
        <v>4469251</v>
      </c>
      <c r="TA9">
        <v>979463</v>
      </c>
      <c r="TB9" t="s">
        <v>2936</v>
      </c>
      <c r="TE9" t="s">
        <v>2778</v>
      </c>
      <c r="TF9">
        <v>-2.4245362661989844E-14</v>
      </c>
      <c r="TH9">
        <v>-2.4245362661989844E-14</v>
      </c>
      <c r="TI9" t="s">
        <v>1753</v>
      </c>
      <c r="TJ9">
        <v>2024</v>
      </c>
      <c r="TK9" t="s">
        <v>2779</v>
      </c>
      <c r="TL9" s="6">
        <v>45333</v>
      </c>
      <c r="TM9">
        <v>5</v>
      </c>
      <c r="TN9">
        <v>-2.4245362661989844E-14</v>
      </c>
      <c r="TO9">
        <v>136993</v>
      </c>
      <c r="TP9" t="s">
        <v>2780</v>
      </c>
      <c r="TU9" t="s">
        <v>2533</v>
      </c>
      <c r="TW9">
        <v>-2.4245362661989844E-14</v>
      </c>
      <c r="TX9">
        <v>-2.4245362661989844E-14</v>
      </c>
      <c r="TY9" t="s">
        <v>1753</v>
      </c>
      <c r="TZ9">
        <v>2023</v>
      </c>
      <c r="UA9" t="s">
        <v>2534</v>
      </c>
      <c r="UB9" s="6">
        <v>45013</v>
      </c>
      <c r="UC9">
        <v>5</v>
      </c>
      <c r="UD9">
        <v>-2.4245362661989844E-14</v>
      </c>
      <c r="UE9">
        <v>69921002</v>
      </c>
      <c r="UF9" t="s">
        <v>2535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1364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1365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1366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1367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1368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1369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1370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1371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1372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1373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1374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1375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1376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1377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1378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1379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1380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1381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1382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155</v>
      </c>
      <c r="AE2" s="3" t="s">
        <v>1383</v>
      </c>
      <c r="BI2" s="3" t="s">
        <v>773</v>
      </c>
      <c r="CM2" s="3" t="s">
        <v>1384</v>
      </c>
      <c r="DQ2" s="3" t="s">
        <v>1385</v>
      </c>
      <c r="EU2" s="3" t="s">
        <v>630</v>
      </c>
      <c r="FY2" s="3" t="s">
        <v>1386</v>
      </c>
      <c r="HC2" s="3" t="s">
        <v>1387</v>
      </c>
      <c r="IG2" s="3" t="s">
        <v>37</v>
      </c>
      <c r="JK2" s="3" t="s">
        <v>126</v>
      </c>
      <c r="KO2" s="3" t="s">
        <v>114</v>
      </c>
      <c r="LS2" s="3" t="s">
        <v>1388</v>
      </c>
      <c r="MW2" s="3" t="s">
        <v>1389</v>
      </c>
      <c r="OA2" s="3" t="s">
        <v>1390</v>
      </c>
      <c r="PE2" s="3" t="s">
        <v>1391</v>
      </c>
      <c r="QI2" s="3" t="s">
        <v>1392</v>
      </c>
      <c r="RM2" s="3" t="s">
        <v>1393</v>
      </c>
      <c r="SQ2" s="3" t="s">
        <v>1394</v>
      </c>
      <c r="TU2" s="3" t="s">
        <v>1395</v>
      </c>
      <c r="UY2" s="3" t="s">
        <v>1396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_xll.BDS("COV US Equity","SUPPLY_CHAIN_SUPPLIERS_ALL_DATA")</f>
        <v>#N/A N/A</v>
      </c>
      <c r="O5" t="str">
        <f>_xll.BDS("COV US Equity","SUPPLY_CHAIN_CUSTOMERS_ALL_DATA")</f>
        <v>#N/A N/A</v>
      </c>
      <c r="AE5" t="str">
        <f>_xll.BDS("AN US Equity","SUPPLY_CHAIN_SUPPLIERS_ALL_DATA","cols=12;rows=5")</f>
        <v>7203 JP Equity</v>
      </c>
      <c r="AF5" t="s">
        <v>1752</v>
      </c>
      <c r="AG5">
        <v>0.79033200000000003</v>
      </c>
      <c r="AH5">
        <v>12.079252</v>
      </c>
      <c r="AI5" t="s">
        <v>1825</v>
      </c>
      <c r="AJ5">
        <v>2025</v>
      </c>
      <c r="AK5" t="s">
        <v>3318</v>
      </c>
      <c r="AL5" s="6">
        <v>46070</v>
      </c>
      <c r="AM5">
        <v>5</v>
      </c>
      <c r="AN5">
        <v>690256768</v>
      </c>
      <c r="AO5">
        <v>115114</v>
      </c>
      <c r="AP5" t="s">
        <v>3990</v>
      </c>
      <c r="AS5" t="str">
        <f>_xll.BDS("AN US Equity","SUPPLY_CHAIN_CUSTOMERS_ALL_DATA")</f>
        <v>#N/A N/A</v>
      </c>
      <c r="BI5" t="str">
        <f>_xll.BDS("BAX US Equity","SUPPLY_CHAIN_SUPPLIERS_ALL_DATA","cols=12;rows=5")</f>
        <v>BHE US Equity</v>
      </c>
      <c r="BJ5" t="s">
        <v>1752</v>
      </c>
      <c r="BK5">
        <v>1.118628</v>
      </c>
      <c r="BL5">
        <v>0.40062900000000001</v>
      </c>
      <c r="BM5" t="s">
        <v>1781</v>
      </c>
      <c r="BN5">
        <v>2025</v>
      </c>
      <c r="BO5" t="s">
        <v>2953</v>
      </c>
      <c r="BP5" s="6">
        <v>45793</v>
      </c>
      <c r="BQ5">
        <v>5</v>
      </c>
      <c r="BR5">
        <v>7067089</v>
      </c>
      <c r="BS5">
        <v>102417</v>
      </c>
      <c r="BT5" t="s">
        <v>2954</v>
      </c>
      <c r="BW5" t="str">
        <f>_xll.BDS("BAX US Equity","SUPPLY_CHAIN_CUSTOMERS_ALL_DATA","cols=12;rows=5")</f>
        <v>1788 TT Equity</v>
      </c>
      <c r="BX5">
        <v>2.648E-2</v>
      </c>
      <c r="BY5" t="s">
        <v>1752</v>
      </c>
      <c r="BZ5">
        <v>3.0847989999999998</v>
      </c>
      <c r="CA5" t="s">
        <v>1753</v>
      </c>
      <c r="CB5">
        <v>2024</v>
      </c>
      <c r="CC5" t="s">
        <v>3721</v>
      </c>
      <c r="CD5" s="6">
        <v>45784</v>
      </c>
      <c r="CE5">
        <v>5</v>
      </c>
      <c r="CF5">
        <v>720839.48</v>
      </c>
      <c r="CG5">
        <v>9152670</v>
      </c>
      <c r="CH5" t="s">
        <v>3722</v>
      </c>
      <c r="CM5" t="str">
        <f>_xll.BDS("WAFD US Equity","SUPPLY_CHAIN_SUPPLIERS_ALL_DATA","cols=12;rows=2")</f>
        <v>ORCL US Equity</v>
      </c>
      <c r="CN5" t="s">
        <v>1752</v>
      </c>
      <c r="CO5">
        <v>1.828E-3</v>
      </c>
      <c r="CP5">
        <v>0.27730700000000003</v>
      </c>
      <c r="CQ5" t="s">
        <v>1825</v>
      </c>
      <c r="CR5">
        <v>2025</v>
      </c>
      <c r="CS5" t="s">
        <v>1897</v>
      </c>
      <c r="CT5" s="6">
        <v>45848</v>
      </c>
      <c r="CU5">
        <v>2</v>
      </c>
      <c r="CV5">
        <v>290707</v>
      </c>
      <c r="CW5">
        <v>101752</v>
      </c>
      <c r="CX5" t="s">
        <v>2109</v>
      </c>
      <c r="DA5" t="str">
        <f>_xll.BDS("WAFD US Equity","SUPPLY_CHAIN_CUSTOMERS_ALL_DATA")</f>
        <v>#N/A N/A</v>
      </c>
      <c r="DQ5" t="str">
        <f>_xll.BDS("SNIC US Equity","SUPPLY_CHAIN_SUPPLIERS_ALL_DATA")</f>
        <v>#N/A N/A</v>
      </c>
      <c r="EE5" t="str">
        <f>_xll.BDS("SNIC US Equity","SUPPLY_CHAIN_CUSTOMERS_ALL_DATA")</f>
        <v>#N/A N/A</v>
      </c>
      <c r="EU5" t="str">
        <f>_xll.BDS("SYK US Equity","SUPPLY_CHAIN_SUPPLIERS_ALL_DATA","cols=12;rows=5")</f>
        <v>FLEX US Equity</v>
      </c>
      <c r="EV5" t="s">
        <v>1752</v>
      </c>
      <c r="EW5">
        <v>0.99592000000000003</v>
      </c>
      <c r="EX5">
        <v>2.886495</v>
      </c>
      <c r="EY5" t="s">
        <v>1788</v>
      </c>
      <c r="EZ5">
        <v>2025</v>
      </c>
      <c r="FA5" t="s">
        <v>2213</v>
      </c>
      <c r="FB5" s="6">
        <v>45763</v>
      </c>
      <c r="FC5">
        <v>5</v>
      </c>
      <c r="FD5">
        <v>65292516</v>
      </c>
      <c r="FE5">
        <v>136547</v>
      </c>
      <c r="FF5" t="s">
        <v>2214</v>
      </c>
      <c r="FI5" t="str">
        <f>_xll.BDS("SYK US Equity","SUPPLY_CHAIN_CUSTOMERS_ALL_DATA","cols=12;rows=5")</f>
        <v>CNXN US Equity</v>
      </c>
      <c r="FJ5">
        <v>4.0249999999999999E-3</v>
      </c>
      <c r="FK5" t="s">
        <v>1752</v>
      </c>
      <c r="FL5">
        <v>4.2737999999999998E-2</v>
      </c>
      <c r="FM5" t="s">
        <v>1788</v>
      </c>
      <c r="FN5">
        <v>2025</v>
      </c>
      <c r="FO5" t="s">
        <v>2724</v>
      </c>
      <c r="FP5" s="6">
        <v>46034</v>
      </c>
      <c r="FQ5">
        <v>5</v>
      </c>
      <c r="FR5">
        <v>243787</v>
      </c>
      <c r="FS5">
        <v>313021</v>
      </c>
      <c r="FT5" t="s">
        <v>1962</v>
      </c>
      <c r="FY5" t="str">
        <f>_xll.BDS("WDC US Equity","SUPPLY_CHAIN_SUPPLIERS_ALL_DATA","cols=12;rows=5")</f>
        <v>000660 KS Equity</v>
      </c>
      <c r="FZ5" t="s">
        <v>1752</v>
      </c>
      <c r="GA5">
        <v>0.155471</v>
      </c>
      <c r="GB5">
        <v>1.601205</v>
      </c>
      <c r="GC5" t="s">
        <v>1788</v>
      </c>
      <c r="GD5">
        <v>2025</v>
      </c>
      <c r="GE5" t="s">
        <v>2487</v>
      </c>
      <c r="GF5" s="6">
        <v>46080</v>
      </c>
      <c r="GG5">
        <v>5</v>
      </c>
      <c r="GH5">
        <v>27420662.800000001</v>
      </c>
      <c r="GI5">
        <v>193974</v>
      </c>
      <c r="GJ5" t="s">
        <v>2270</v>
      </c>
      <c r="GM5" t="str">
        <f>_xll.BDS("WDC US Equity","SUPPLY_CHAIN_CUSTOMERS_ALL_DATA","cols=12;rows=5")</f>
        <v>AMZN US Equity</v>
      </c>
      <c r="GN5">
        <v>15.058596</v>
      </c>
      <c r="GO5" t="s">
        <v>1828</v>
      </c>
      <c r="GP5">
        <v>1.149532</v>
      </c>
      <c r="GQ5" t="s">
        <v>1774</v>
      </c>
      <c r="GR5">
        <v>2026</v>
      </c>
      <c r="GS5" t="s">
        <v>2363</v>
      </c>
      <c r="GT5" s="6">
        <v>46059</v>
      </c>
      <c r="GU5">
        <v>5</v>
      </c>
      <c r="GV5">
        <v>454317856</v>
      </c>
      <c r="GW5">
        <v>216952</v>
      </c>
      <c r="GX5" t="s">
        <v>1899</v>
      </c>
      <c r="HC5" t="str">
        <f>_xll.BDS("GBBK US Equity","SUPPLY_CHAIN_SUPPLIERS_ALL_DATA")</f>
        <v>#N/A N/A</v>
      </c>
      <c r="HQ5" t="str">
        <f>_xll.BDS("GBBK US Equity","SUPPLY_CHAIN_CUSTOMERS_ALL_DATA")</f>
        <v>#N/A N/A</v>
      </c>
      <c r="IG5" t="str">
        <f>_xll.BDS("nan Equity","SUPPLY_CHAIN_SUPPLIERS_ALL_DATA")</f>
        <v>#N/A N/A</v>
      </c>
      <c r="IU5" t="str">
        <f>_xll.BDS("nan Equity","SUPPLY_CHAIN_CUSTOMERS_ALL_DATA")</f>
        <v>#N/A N/A</v>
      </c>
      <c r="JK5" t="str">
        <f>_xll.BDS("WFC US Equity","SUPPLY_CHAIN_SUPPLIERS_ALL_DATA","cols=12;rows=5")</f>
        <v>ADBE US Equity</v>
      </c>
      <c r="JL5" t="s">
        <v>1940</v>
      </c>
      <c r="JM5">
        <v>0.357321</v>
      </c>
      <c r="JN5">
        <v>0.15107200000000001</v>
      </c>
      <c r="JO5" t="s">
        <v>1774</v>
      </c>
      <c r="JP5">
        <v>2025</v>
      </c>
      <c r="JQ5" t="s">
        <v>2126</v>
      </c>
      <c r="JR5" s="6">
        <v>45838</v>
      </c>
      <c r="JS5">
        <v>5</v>
      </c>
      <c r="JT5">
        <v>20985462</v>
      </c>
      <c r="JU5">
        <v>101689</v>
      </c>
      <c r="JV5" t="s">
        <v>2127</v>
      </c>
      <c r="JY5" t="str">
        <f>_xll.BDS("WFC US Equity","SUPPLY_CHAIN_CUSTOMERS_ALL_DATA","cols=12;rows=5")</f>
        <v>CDW US Equity</v>
      </c>
      <c r="JZ5">
        <v>4.1894000000000001E-2</v>
      </c>
      <c r="KA5" t="s">
        <v>1752</v>
      </c>
      <c r="KB5">
        <v>0.304456</v>
      </c>
      <c r="KC5" t="s">
        <v>1781</v>
      </c>
      <c r="KD5">
        <v>2025</v>
      </c>
      <c r="KE5" t="s">
        <v>1955</v>
      </c>
      <c r="KF5" s="6">
        <v>45820</v>
      </c>
      <c r="KG5">
        <v>5</v>
      </c>
      <c r="KH5">
        <v>12412062</v>
      </c>
      <c r="KI5">
        <v>12129192</v>
      </c>
      <c r="KJ5" t="s">
        <v>1956</v>
      </c>
      <c r="KO5" t="str">
        <f>_xll.BDS("JEF US Equity","SUPPLY_CHAIN_SUPPLIERS_ALL_DATA","cols=12;rows=5")</f>
        <v>000063 CH Equity</v>
      </c>
      <c r="KQ5">
        <v>-2.4245362661989844E-14</v>
      </c>
      <c r="KR5">
        <v>-2.4245362661989844E-14</v>
      </c>
      <c r="KS5" t="s">
        <v>1753</v>
      </c>
      <c r="KT5">
        <v>2025</v>
      </c>
      <c r="KU5" t="s">
        <v>3910</v>
      </c>
      <c r="KV5" s="6">
        <v>45904</v>
      </c>
      <c r="KW5">
        <v>5</v>
      </c>
      <c r="KX5">
        <v>-2.4245362661989844E-14</v>
      </c>
      <c r="KY5">
        <v>304299</v>
      </c>
      <c r="KZ5" t="s">
        <v>3911</v>
      </c>
      <c r="LC5" t="str">
        <f>_xll.BDS("JEF US Equity","SUPPLY_CHAIN_CUSTOMERS_ALL_DATA")</f>
        <v>#N/A N/A</v>
      </c>
      <c r="LS5" t="str">
        <f>_xll.BDS("2898Q US Equity","SUPPLY_CHAIN_SUPPLIERS_ALL_DATA")</f>
        <v>#N/A N/A</v>
      </c>
      <c r="MG5" t="str">
        <f>_xll.BDS("2898Q US Equity","SUPPLY_CHAIN_CUSTOMERS_ALL_DATA")</f>
        <v>#N/A N/A</v>
      </c>
      <c r="MW5" t="str">
        <f>_xll.BDS("QTWWQ US Equity","SUPPLY_CHAIN_SUPPLIERS_ALL_DATA","cols=12;rows=1")</f>
        <v>EIX US Equity</v>
      </c>
      <c r="MY5">
        <v>-2.4245362661989844E-14</v>
      </c>
      <c r="MZ5">
        <v>-2.4245362661989844E-14</v>
      </c>
      <c r="NA5" t="s">
        <v>1753</v>
      </c>
      <c r="NB5">
        <v>2021</v>
      </c>
      <c r="NC5" t="s">
        <v>2652</v>
      </c>
      <c r="ND5" s="6">
        <v>44693</v>
      </c>
      <c r="NE5">
        <v>1</v>
      </c>
      <c r="NF5">
        <v>-2.4245362661989844E-14</v>
      </c>
      <c r="NG5">
        <v>101315</v>
      </c>
      <c r="NH5" t="s">
        <v>2653</v>
      </c>
      <c r="NK5" t="str">
        <f>_xll.BDS("QTWWQ US Equity","SUPPLY_CHAIN_CUSTOMERS_ALL_DATA","cols=12;rows=2")</f>
        <v>1693407D CN Equity</v>
      </c>
      <c r="NL5">
        <v>-2.4245362661989844E-14</v>
      </c>
      <c r="NN5">
        <v>-2.4245362661989844E-14</v>
      </c>
      <c r="NO5" t="s">
        <v>1753</v>
      </c>
      <c r="NP5">
        <v>2022</v>
      </c>
      <c r="NQ5" t="s">
        <v>3296</v>
      </c>
      <c r="NR5" s="6">
        <v>44685</v>
      </c>
      <c r="NS5">
        <v>2</v>
      </c>
      <c r="NT5">
        <v>-2.4245362661989844E-14</v>
      </c>
      <c r="NU5">
        <v>54492662</v>
      </c>
      <c r="NV5" t="s">
        <v>3297</v>
      </c>
      <c r="OA5" t="str">
        <f>_xll.BDS("4107485Q US Equity","SUPPLY_CHAIN_SUPPLIERS_ALL_DATA")</f>
        <v>#N/A N/A</v>
      </c>
      <c r="OO5" t="str">
        <f>_xll.BDS("4107485Q US Equity","SUPPLY_CHAIN_CUSTOMERS_ALL_DATA")</f>
        <v>#N/A N/A</v>
      </c>
      <c r="PE5" t="str">
        <f>_xll.BDS("RHP US Equity","SUPPLY_CHAIN_SUPPLIERS_ALL_DATA","cols=12;rows=2")</f>
        <v>2153972Z LN Equity</v>
      </c>
      <c r="PG5">
        <v>-2.4245362661989844E-14</v>
      </c>
      <c r="PH5">
        <v>-2.4245362661989844E-14</v>
      </c>
      <c r="PI5" t="s">
        <v>1753</v>
      </c>
      <c r="PJ5">
        <v>2024</v>
      </c>
      <c r="PK5" t="s">
        <v>2472</v>
      </c>
      <c r="PL5" s="6">
        <v>45309</v>
      </c>
      <c r="PM5">
        <v>2</v>
      </c>
      <c r="PN5">
        <v>-2.4245362661989844E-14</v>
      </c>
      <c r="PO5">
        <v>12993490</v>
      </c>
      <c r="PP5" t="s">
        <v>2473</v>
      </c>
      <c r="PS5" t="str">
        <f>_xll.BDS("RHP US Equity","SUPPLY_CHAIN_CUSTOMERS_ALL_DATA")</f>
        <v>#N/A N/A</v>
      </c>
      <c r="QI5" t="str">
        <f>_xll.BDS("TMO US Equity","SUPPLY_CHAIN_SUPPLIERS_ALL_DATA","cols=12;rows=5")</f>
        <v>EMR US Equity</v>
      </c>
      <c r="QJ5" t="s">
        <v>1752</v>
      </c>
      <c r="QK5">
        <v>4.2224550000000001</v>
      </c>
      <c r="QL5">
        <v>2.8645350000000001</v>
      </c>
      <c r="QM5" t="s">
        <v>1788</v>
      </c>
      <c r="QN5">
        <v>2025</v>
      </c>
      <c r="QO5" t="s">
        <v>2208</v>
      </c>
      <c r="QP5" s="6">
        <v>45881</v>
      </c>
      <c r="QQ5">
        <v>5</v>
      </c>
      <c r="QR5">
        <v>184647952</v>
      </c>
      <c r="QS5">
        <v>100515</v>
      </c>
      <c r="QT5" t="s">
        <v>2209</v>
      </c>
      <c r="QW5" t="str">
        <f>_xll.BDS("TMO US Equity","SUPPLY_CHAIN_CUSTOMERS_ALL_DATA","cols=12;rows=5")</f>
        <v>4195 TT Equity</v>
      </c>
      <c r="QX5">
        <v>9.7099999999999999E-3</v>
      </c>
      <c r="QY5" t="s">
        <v>1752</v>
      </c>
      <c r="QZ5">
        <v>37.527434999999997</v>
      </c>
      <c r="RA5" t="s">
        <v>1753</v>
      </c>
      <c r="RB5">
        <v>2024</v>
      </c>
      <c r="RC5" t="s">
        <v>1881</v>
      </c>
      <c r="RD5" s="6">
        <v>45803</v>
      </c>
      <c r="RE5">
        <v>5</v>
      </c>
      <c r="RF5">
        <v>1052629.3999999999</v>
      </c>
      <c r="RG5">
        <v>38166930</v>
      </c>
      <c r="RH5" t="s">
        <v>1882</v>
      </c>
      <c r="RM5" t="str">
        <f>_xll.BDS("DFIB US Equity","SUPPLY_CHAIN_SUPPLIERS_ALL_DATA")</f>
        <v>#N/A N/A</v>
      </c>
      <c r="SA5" t="str">
        <f>_xll.BDS("DFIB US Equity","SUPPLY_CHAIN_CUSTOMERS_ALL_DATA")</f>
        <v>#N/A N/A</v>
      </c>
      <c r="SQ5" t="str">
        <f>_xll.BDS("AHMH US Equity","SUPPLY_CHAIN_SUPPLIERS_ALL_DATA")</f>
        <v>#N/A N/A</v>
      </c>
      <c r="TE5" t="str">
        <f>_xll.BDS("AHMH US Equity","SUPPLY_CHAIN_CUSTOMERS_ALL_DATA")</f>
        <v>#N/A N/A</v>
      </c>
      <c r="TU5" t="str">
        <f>_xll.BDS("HTBK US Equity","SUPPLY_CHAIN_SUPPLIERS_ALL_DATA")</f>
        <v>#N/A N/A</v>
      </c>
      <c r="UI5" t="str">
        <f>_xll.BDS("HTBK US Equity","SUPPLY_CHAIN_CUSTOMERS_ALL_DATA")</f>
        <v>#N/A N/A</v>
      </c>
      <c r="UY5" t="str">
        <f>_xll.BDS("BATL US Equity","SUPPLY_CHAIN_SUPPLIERS_ALL_DATA")</f>
        <v>#N/A N/A</v>
      </c>
      <c r="VM5" t="str">
        <f>_xll.BDS("BATL US Equity","SUPPLY_CHAIN_CUSTOMERS_ALL_DATA","cols=12;rows=3")</f>
        <v>ET US Equity</v>
      </c>
      <c r="VN5">
        <v>-2.4245362661989844E-14</v>
      </c>
      <c r="VP5">
        <v>-2.4245362661989844E-14</v>
      </c>
      <c r="VQ5" t="s">
        <v>1753</v>
      </c>
      <c r="VR5">
        <v>2024</v>
      </c>
      <c r="VS5" t="s">
        <v>3571</v>
      </c>
      <c r="VT5" s="6">
        <v>45747</v>
      </c>
      <c r="VU5">
        <v>3</v>
      </c>
      <c r="VV5">
        <v>-2.4245362661989844E-14</v>
      </c>
      <c r="VW5">
        <v>10005604</v>
      </c>
      <c r="VX5" t="s">
        <v>3572</v>
      </c>
    </row>
    <row r="6" spans="1:600" x14ac:dyDescent="0.25">
      <c r="AE6" t="s">
        <v>4320</v>
      </c>
      <c r="AF6" t="s">
        <v>1752</v>
      </c>
      <c r="AG6">
        <v>1.3754489999999999</v>
      </c>
      <c r="AH6">
        <v>9.0888050000000007</v>
      </c>
      <c r="AI6" t="s">
        <v>1825</v>
      </c>
      <c r="AJ6">
        <v>2025</v>
      </c>
      <c r="AK6" t="s">
        <v>3318</v>
      </c>
      <c r="AL6" s="6">
        <v>46070</v>
      </c>
      <c r="AM6">
        <v>5</v>
      </c>
      <c r="AN6">
        <v>519370688</v>
      </c>
      <c r="AO6">
        <v>115682</v>
      </c>
      <c r="AP6" t="s">
        <v>4321</v>
      </c>
      <c r="BI6" t="s">
        <v>3904</v>
      </c>
      <c r="BJ6" t="s">
        <v>1752</v>
      </c>
      <c r="BK6">
        <v>1.7139150000000001</v>
      </c>
      <c r="BL6">
        <v>0.34947299999999998</v>
      </c>
      <c r="BM6" t="s">
        <v>1774</v>
      </c>
      <c r="BN6">
        <v>2025</v>
      </c>
      <c r="BO6" t="s">
        <v>3905</v>
      </c>
      <c r="BP6" s="6">
        <v>45899</v>
      </c>
      <c r="BQ6">
        <v>5</v>
      </c>
      <c r="BR6">
        <v>6356911</v>
      </c>
      <c r="BS6">
        <v>194140</v>
      </c>
      <c r="BT6" t="s">
        <v>3906</v>
      </c>
      <c r="BW6" t="s">
        <v>3723</v>
      </c>
      <c r="BX6">
        <v>1.3072E-2</v>
      </c>
      <c r="BY6" t="s">
        <v>1752</v>
      </c>
      <c r="BZ6">
        <v>1.9261200000000001</v>
      </c>
      <c r="CA6" t="s">
        <v>1768</v>
      </c>
      <c r="CB6">
        <v>2025</v>
      </c>
      <c r="CC6" t="s">
        <v>3724</v>
      </c>
      <c r="CD6" s="6">
        <v>45975</v>
      </c>
      <c r="CE6">
        <v>5</v>
      </c>
      <c r="CF6">
        <v>359532.99</v>
      </c>
      <c r="CG6">
        <v>128926</v>
      </c>
      <c r="CH6" t="s">
        <v>3725</v>
      </c>
      <c r="CM6" t="s">
        <v>2152</v>
      </c>
      <c r="CO6">
        <v>-2.4245362661989844E-14</v>
      </c>
      <c r="CP6">
        <v>-2.4245362661989844E-14</v>
      </c>
      <c r="CQ6" t="s">
        <v>1781</v>
      </c>
      <c r="CR6">
        <v>2025</v>
      </c>
      <c r="CS6" t="s">
        <v>3656</v>
      </c>
      <c r="CT6" s="6">
        <v>45771</v>
      </c>
      <c r="CU6">
        <v>2</v>
      </c>
      <c r="CV6">
        <v>-2.4245362661989844E-14</v>
      </c>
      <c r="CW6">
        <v>103882</v>
      </c>
      <c r="CX6" t="s">
        <v>2154</v>
      </c>
      <c r="EU6" t="s">
        <v>2944</v>
      </c>
      <c r="EV6" t="s">
        <v>1752</v>
      </c>
      <c r="EW6">
        <v>21.5</v>
      </c>
      <c r="EX6">
        <v>1.4319010000000001</v>
      </c>
      <c r="EY6" t="s">
        <v>1753</v>
      </c>
      <c r="EZ6">
        <v>2025</v>
      </c>
      <c r="FA6" t="s">
        <v>2945</v>
      </c>
      <c r="FB6" s="6">
        <v>46080</v>
      </c>
      <c r="FC6">
        <v>5</v>
      </c>
      <c r="FD6">
        <v>32400338</v>
      </c>
      <c r="FE6">
        <v>126764</v>
      </c>
      <c r="FF6" t="s">
        <v>2946</v>
      </c>
      <c r="FI6" t="s">
        <v>2725</v>
      </c>
      <c r="FJ6">
        <v>-2.4245362661989844E-14</v>
      </c>
      <c r="FL6">
        <v>-2.4245362661989844E-14</v>
      </c>
      <c r="FM6" t="s">
        <v>1768</v>
      </c>
      <c r="FN6">
        <v>2025</v>
      </c>
      <c r="FO6" t="s">
        <v>2726</v>
      </c>
      <c r="FP6" s="6">
        <v>45975</v>
      </c>
      <c r="FQ6">
        <v>5</v>
      </c>
      <c r="FR6">
        <v>-2.4245362661989844E-14</v>
      </c>
      <c r="FS6">
        <v>129466</v>
      </c>
      <c r="FT6" t="s">
        <v>2727</v>
      </c>
      <c r="FY6" t="s">
        <v>2552</v>
      </c>
      <c r="FZ6" t="s">
        <v>1752</v>
      </c>
      <c r="GA6">
        <v>80.210266000000004</v>
      </c>
      <c r="GB6">
        <v>1.08311</v>
      </c>
      <c r="GC6" t="s">
        <v>1753</v>
      </c>
      <c r="GD6">
        <v>2024</v>
      </c>
      <c r="GE6" t="s">
        <v>2553</v>
      </c>
      <c r="GF6" s="6">
        <v>45814</v>
      </c>
      <c r="GG6">
        <v>5</v>
      </c>
      <c r="GH6">
        <v>21901014.34</v>
      </c>
      <c r="GI6">
        <v>8073030</v>
      </c>
      <c r="GJ6" t="s">
        <v>2554</v>
      </c>
      <c r="GM6" t="s">
        <v>2465</v>
      </c>
      <c r="GN6">
        <v>12.685537</v>
      </c>
      <c r="GO6" t="s">
        <v>1828</v>
      </c>
      <c r="GP6">
        <v>1.7898449999999999</v>
      </c>
      <c r="GQ6" t="s">
        <v>1774</v>
      </c>
      <c r="GR6">
        <v>2026</v>
      </c>
      <c r="GS6" t="s">
        <v>2363</v>
      </c>
      <c r="GT6" s="6">
        <v>46059</v>
      </c>
      <c r="GU6">
        <v>5</v>
      </c>
      <c r="GV6">
        <v>382722656</v>
      </c>
      <c r="GW6">
        <v>11092218</v>
      </c>
      <c r="GX6" t="s">
        <v>2466</v>
      </c>
      <c r="JK6" t="s">
        <v>1787</v>
      </c>
      <c r="JL6" t="s">
        <v>1940</v>
      </c>
      <c r="JM6">
        <v>5.2993949999999996</v>
      </c>
      <c r="JN6">
        <v>7.1481000000000003E-2</v>
      </c>
      <c r="JO6" t="s">
        <v>1781</v>
      </c>
      <c r="JP6">
        <v>2026</v>
      </c>
      <c r="JQ6" t="s">
        <v>2131</v>
      </c>
      <c r="JR6" s="6">
        <v>45898</v>
      </c>
      <c r="JS6">
        <v>5</v>
      </c>
      <c r="JT6">
        <v>9563900.9100000001</v>
      </c>
      <c r="JU6">
        <v>178651</v>
      </c>
      <c r="JV6" t="s">
        <v>1790</v>
      </c>
      <c r="JY6" t="s">
        <v>1957</v>
      </c>
      <c r="JZ6">
        <v>-2.4245362661989844E-14</v>
      </c>
      <c r="KB6">
        <v>-2.4245362661989844E-14</v>
      </c>
      <c r="KC6" t="s">
        <v>1753</v>
      </c>
      <c r="KD6">
        <v>2024</v>
      </c>
      <c r="KE6" t="s">
        <v>1958</v>
      </c>
      <c r="KF6" s="6">
        <v>45756</v>
      </c>
      <c r="KG6">
        <v>5</v>
      </c>
      <c r="KH6">
        <v>-2.4245362661989844E-14</v>
      </c>
      <c r="KI6">
        <v>23063237</v>
      </c>
      <c r="KJ6" t="s">
        <v>1959</v>
      </c>
      <c r="KO6" t="s">
        <v>3912</v>
      </c>
      <c r="KQ6">
        <v>-2.4245362661989844E-14</v>
      </c>
      <c r="KR6">
        <v>-2.4245362661989844E-14</v>
      </c>
      <c r="KS6" t="s">
        <v>1753</v>
      </c>
      <c r="KT6">
        <v>2026</v>
      </c>
      <c r="KU6" t="s">
        <v>3913</v>
      </c>
      <c r="KV6" s="6">
        <v>46042</v>
      </c>
      <c r="KW6">
        <v>5</v>
      </c>
      <c r="KX6">
        <v>-2.4245362661989844E-14</v>
      </c>
      <c r="KY6">
        <v>9095890</v>
      </c>
      <c r="KZ6" t="s">
        <v>3914</v>
      </c>
      <c r="NK6" t="s">
        <v>3298</v>
      </c>
      <c r="NL6">
        <v>-2.4245362661989844E-14</v>
      </c>
      <c r="NN6">
        <v>-2.4245362661989844E-14</v>
      </c>
      <c r="NO6" t="s">
        <v>1753</v>
      </c>
      <c r="NP6">
        <v>2023</v>
      </c>
      <c r="NQ6" t="s">
        <v>3296</v>
      </c>
      <c r="NR6" s="6">
        <v>44987</v>
      </c>
      <c r="NS6">
        <v>2</v>
      </c>
      <c r="NT6">
        <v>-2.4245362661989844E-14</v>
      </c>
      <c r="NU6">
        <v>69505386</v>
      </c>
      <c r="NV6" t="s">
        <v>3299</v>
      </c>
      <c r="PE6" t="s">
        <v>2474</v>
      </c>
      <c r="PG6">
        <v>-2.4245362661989844E-14</v>
      </c>
      <c r="PH6">
        <v>-2.4245362661989844E-14</v>
      </c>
      <c r="PI6" t="s">
        <v>1774</v>
      </c>
      <c r="PJ6">
        <v>2024</v>
      </c>
      <c r="PK6" t="s">
        <v>2475</v>
      </c>
      <c r="PL6" s="6">
        <v>45568</v>
      </c>
      <c r="PM6">
        <v>2</v>
      </c>
      <c r="PN6">
        <v>-2.4245362661989844E-14</v>
      </c>
      <c r="PO6">
        <v>68442396</v>
      </c>
      <c r="PP6" t="s">
        <v>2476</v>
      </c>
      <c r="QI6" t="s">
        <v>560</v>
      </c>
      <c r="QJ6" t="s">
        <v>1752</v>
      </c>
      <c r="QK6">
        <v>0.39111600000000002</v>
      </c>
      <c r="QL6">
        <v>0.88908200000000004</v>
      </c>
      <c r="QM6" t="s">
        <v>1774</v>
      </c>
      <c r="QN6">
        <v>2025</v>
      </c>
      <c r="QO6" t="s">
        <v>2210</v>
      </c>
      <c r="QP6" s="6">
        <v>45914</v>
      </c>
      <c r="QQ6">
        <v>5</v>
      </c>
      <c r="QR6">
        <v>57310228</v>
      </c>
      <c r="QS6">
        <v>101166</v>
      </c>
      <c r="QT6" t="s">
        <v>2211</v>
      </c>
      <c r="QW6" t="s">
        <v>1883</v>
      </c>
      <c r="QX6">
        <v>2.545E-3</v>
      </c>
      <c r="QY6" t="s">
        <v>1752</v>
      </c>
      <c r="QZ6">
        <v>3.8306200000000001</v>
      </c>
      <c r="RA6" t="s">
        <v>1753</v>
      </c>
      <c r="RB6">
        <v>2024</v>
      </c>
      <c r="RC6" t="s">
        <v>1884</v>
      </c>
      <c r="RD6" s="6">
        <v>45819</v>
      </c>
      <c r="RE6">
        <v>5</v>
      </c>
      <c r="RF6">
        <v>275861.17</v>
      </c>
      <c r="RG6">
        <v>15291339</v>
      </c>
      <c r="RH6" t="s">
        <v>1885</v>
      </c>
      <c r="VM6" t="s">
        <v>3573</v>
      </c>
      <c r="VN6">
        <v>-2.4245362661989844E-14</v>
      </c>
      <c r="VP6">
        <v>-2.4245362661989844E-14</v>
      </c>
      <c r="VQ6" t="s">
        <v>1753</v>
      </c>
      <c r="VR6">
        <v>2024</v>
      </c>
      <c r="VS6" t="s">
        <v>3571</v>
      </c>
      <c r="VT6" s="6">
        <v>45747</v>
      </c>
      <c r="VU6">
        <v>3</v>
      </c>
      <c r="VV6">
        <v>-2.4245362661989844E-14</v>
      </c>
      <c r="VW6">
        <v>23756399</v>
      </c>
      <c r="VX6" t="s">
        <v>3574</v>
      </c>
    </row>
    <row r="7" spans="1:600" x14ac:dyDescent="0.25">
      <c r="AE7" t="s">
        <v>1641</v>
      </c>
      <c r="AF7" t="s">
        <v>1752</v>
      </c>
      <c r="AG7">
        <v>0.96360000000000001</v>
      </c>
      <c r="AH7">
        <v>7.894552</v>
      </c>
      <c r="AI7" t="s">
        <v>1825</v>
      </c>
      <c r="AJ7">
        <v>2025</v>
      </c>
      <c r="AK7" t="s">
        <v>3318</v>
      </c>
      <c r="AL7" s="6">
        <v>46070</v>
      </c>
      <c r="AM7">
        <v>5</v>
      </c>
      <c r="AN7">
        <v>451126272</v>
      </c>
      <c r="AO7">
        <v>100602</v>
      </c>
      <c r="AP7" t="s">
        <v>4322</v>
      </c>
      <c r="BI7" t="s">
        <v>3444</v>
      </c>
      <c r="BJ7" t="s">
        <v>1752</v>
      </c>
      <c r="BK7">
        <v>0.10432</v>
      </c>
      <c r="BL7">
        <v>0.237146</v>
      </c>
      <c r="BM7" t="s">
        <v>1774</v>
      </c>
      <c r="BN7">
        <v>2026</v>
      </c>
      <c r="BO7" t="s">
        <v>3445</v>
      </c>
      <c r="BP7" s="6">
        <v>46071</v>
      </c>
      <c r="BQ7">
        <v>5</v>
      </c>
      <c r="BR7">
        <v>5684397</v>
      </c>
      <c r="BS7">
        <v>61417091</v>
      </c>
      <c r="BT7" t="s">
        <v>3446</v>
      </c>
      <c r="BW7" t="s">
        <v>3726</v>
      </c>
      <c r="BX7">
        <v>-2.4245362661989844E-14</v>
      </c>
      <c r="BZ7">
        <v>-2.4245362661989844E-14</v>
      </c>
      <c r="CA7" t="s">
        <v>1753</v>
      </c>
      <c r="CB7">
        <v>2022</v>
      </c>
      <c r="CC7" t="s">
        <v>3727</v>
      </c>
      <c r="CD7" s="6">
        <v>45005</v>
      </c>
      <c r="CE7">
        <v>5</v>
      </c>
      <c r="CF7">
        <v>-2.4245362661989844E-14</v>
      </c>
      <c r="CG7">
        <v>18841705</v>
      </c>
      <c r="CH7" t="s">
        <v>3728</v>
      </c>
      <c r="EU7" t="s">
        <v>2947</v>
      </c>
      <c r="EV7" t="s">
        <v>1752</v>
      </c>
      <c r="EW7">
        <v>3.73936</v>
      </c>
      <c r="EX7">
        <v>0.75532200000000005</v>
      </c>
      <c r="EY7" t="s">
        <v>1788</v>
      </c>
      <c r="EZ7">
        <v>2025</v>
      </c>
      <c r="FA7" t="s">
        <v>2948</v>
      </c>
      <c r="FB7" s="6">
        <v>45797</v>
      </c>
      <c r="FC7">
        <v>5</v>
      </c>
      <c r="FD7">
        <v>16027925</v>
      </c>
      <c r="FE7">
        <v>21175033</v>
      </c>
      <c r="FF7" t="s">
        <v>2949</v>
      </c>
      <c r="FI7" t="s">
        <v>2728</v>
      </c>
      <c r="FJ7">
        <v>-2.4245362661989844E-14</v>
      </c>
      <c r="FL7">
        <v>-2.4245362661989844E-14</v>
      </c>
      <c r="FM7" t="s">
        <v>1768</v>
      </c>
      <c r="FN7">
        <v>2025</v>
      </c>
      <c r="FO7" t="s">
        <v>2729</v>
      </c>
      <c r="FP7" s="6">
        <v>45975</v>
      </c>
      <c r="FQ7">
        <v>5</v>
      </c>
      <c r="FR7">
        <v>-2.4245362661989844E-14</v>
      </c>
      <c r="FS7">
        <v>31351558</v>
      </c>
      <c r="FT7" t="s">
        <v>2730</v>
      </c>
      <c r="FY7" t="s">
        <v>2555</v>
      </c>
      <c r="FZ7" t="s">
        <v>1752</v>
      </c>
      <c r="GA7">
        <v>20.6</v>
      </c>
      <c r="GB7">
        <v>0.94862400000000002</v>
      </c>
      <c r="GC7" t="s">
        <v>1753</v>
      </c>
      <c r="GD7">
        <v>2025</v>
      </c>
      <c r="GE7" t="s">
        <v>2556</v>
      </c>
      <c r="GF7" s="6">
        <v>45833</v>
      </c>
      <c r="GG7">
        <v>5</v>
      </c>
      <c r="GH7">
        <v>21617424.309999999</v>
      </c>
      <c r="GI7">
        <v>114824</v>
      </c>
      <c r="GJ7" t="s">
        <v>2557</v>
      </c>
      <c r="GM7" t="s">
        <v>226</v>
      </c>
      <c r="GN7">
        <v>12.397100999999999</v>
      </c>
      <c r="GO7" t="s">
        <v>1828</v>
      </c>
      <c r="GP7">
        <v>1.2519100000000001</v>
      </c>
      <c r="GQ7" t="s">
        <v>1774</v>
      </c>
      <c r="GR7">
        <v>2026</v>
      </c>
      <c r="GS7" t="s">
        <v>2363</v>
      </c>
      <c r="GT7" s="6">
        <v>46059</v>
      </c>
      <c r="GU7">
        <v>5</v>
      </c>
      <c r="GV7">
        <v>374020544</v>
      </c>
      <c r="GW7">
        <v>101743</v>
      </c>
      <c r="GX7" t="s">
        <v>2156</v>
      </c>
      <c r="JK7" t="s">
        <v>2199</v>
      </c>
      <c r="JL7" t="s">
        <v>1940</v>
      </c>
      <c r="JM7">
        <v>0.56072500000000003</v>
      </c>
      <c r="JN7">
        <v>1.5883999999999999E-2</v>
      </c>
      <c r="JO7" t="s">
        <v>1753</v>
      </c>
      <c r="JP7">
        <v>2025</v>
      </c>
      <c r="JQ7" t="s">
        <v>2200</v>
      </c>
      <c r="JR7" s="6">
        <v>46066</v>
      </c>
      <c r="JS7">
        <v>5</v>
      </c>
      <c r="JT7">
        <v>2177750</v>
      </c>
      <c r="JU7">
        <v>126273</v>
      </c>
      <c r="JV7" t="s">
        <v>2201</v>
      </c>
      <c r="JY7" t="s">
        <v>1960</v>
      </c>
      <c r="JZ7">
        <v>-2.4245362661989844E-14</v>
      </c>
      <c r="KB7">
        <v>-2.4245362661989844E-14</v>
      </c>
      <c r="KC7" t="s">
        <v>1781</v>
      </c>
      <c r="KD7">
        <v>2025</v>
      </c>
      <c r="KE7" t="s">
        <v>1961</v>
      </c>
      <c r="KF7" s="6">
        <v>45799</v>
      </c>
      <c r="KG7">
        <v>5</v>
      </c>
      <c r="KH7">
        <v>-2.4245362661989844E-14</v>
      </c>
      <c r="KI7">
        <v>313021</v>
      </c>
      <c r="KJ7" t="s">
        <v>1962</v>
      </c>
      <c r="KO7" t="s">
        <v>2381</v>
      </c>
      <c r="KQ7">
        <v>-2.4245362661989844E-14</v>
      </c>
      <c r="KR7">
        <v>-2.4245362661989844E-14</v>
      </c>
      <c r="KS7" t="s">
        <v>1774</v>
      </c>
      <c r="KT7">
        <v>2026</v>
      </c>
      <c r="KU7" t="s">
        <v>3915</v>
      </c>
      <c r="KV7" s="6">
        <v>45966</v>
      </c>
      <c r="KW7">
        <v>5</v>
      </c>
      <c r="KX7">
        <v>-2.4245362661989844E-14</v>
      </c>
      <c r="KY7">
        <v>63052670</v>
      </c>
      <c r="KZ7" t="s">
        <v>2383</v>
      </c>
      <c r="QI7" t="s">
        <v>2212</v>
      </c>
      <c r="QJ7" t="s">
        <v>1752</v>
      </c>
      <c r="QK7">
        <v>0.56451700000000005</v>
      </c>
      <c r="QL7">
        <v>0.57008199999999998</v>
      </c>
      <c r="QM7" t="s">
        <v>1788</v>
      </c>
      <c r="QN7">
        <v>2025</v>
      </c>
      <c r="QO7" t="s">
        <v>2213</v>
      </c>
      <c r="QP7" s="6">
        <v>45763</v>
      </c>
      <c r="QQ7">
        <v>5</v>
      </c>
      <c r="QR7">
        <v>37009736</v>
      </c>
      <c r="QS7">
        <v>136547</v>
      </c>
      <c r="QT7" t="s">
        <v>2214</v>
      </c>
      <c r="QW7" t="s">
        <v>1886</v>
      </c>
      <c r="QX7">
        <v>8.6300000000000005E-4</v>
      </c>
      <c r="QY7" t="s">
        <v>1752</v>
      </c>
      <c r="QZ7">
        <v>0.46444600000000003</v>
      </c>
      <c r="RA7" t="s">
        <v>1753</v>
      </c>
      <c r="RB7">
        <v>2024</v>
      </c>
      <c r="RC7" t="s">
        <v>1887</v>
      </c>
      <c r="RD7" s="6">
        <v>45730</v>
      </c>
      <c r="RE7">
        <v>5</v>
      </c>
      <c r="RF7">
        <v>92615.79</v>
      </c>
      <c r="RG7">
        <v>7369845</v>
      </c>
      <c r="RH7" t="s">
        <v>1888</v>
      </c>
      <c r="VM7" t="s">
        <v>3575</v>
      </c>
      <c r="VN7">
        <v>-2.4245362661989844E-14</v>
      </c>
      <c r="VP7">
        <v>-2.4245362661989844E-14</v>
      </c>
      <c r="VQ7" t="s">
        <v>1753</v>
      </c>
      <c r="VR7">
        <v>2023</v>
      </c>
      <c r="VS7" t="s">
        <v>3576</v>
      </c>
      <c r="VT7" s="6">
        <v>45383</v>
      </c>
      <c r="VU7">
        <v>3</v>
      </c>
      <c r="VV7">
        <v>-2.4245362661989844E-14</v>
      </c>
      <c r="VW7">
        <v>13041324</v>
      </c>
      <c r="VX7" t="s">
        <v>3577</v>
      </c>
    </row>
    <row r="8" spans="1:600" x14ac:dyDescent="0.25">
      <c r="AE8" t="s">
        <v>4323</v>
      </c>
      <c r="AF8" t="s">
        <v>1752</v>
      </c>
      <c r="AG8">
        <v>1.1164689999999999</v>
      </c>
      <c r="AH8">
        <v>7.3393680000000003</v>
      </c>
      <c r="AI8" t="s">
        <v>1825</v>
      </c>
      <c r="AJ8">
        <v>2025</v>
      </c>
      <c r="AK8" t="s">
        <v>3318</v>
      </c>
      <c r="AL8" s="6">
        <v>46070</v>
      </c>
      <c r="AM8">
        <v>5</v>
      </c>
      <c r="AN8">
        <v>419400832</v>
      </c>
      <c r="AO8">
        <v>328683</v>
      </c>
      <c r="AP8" t="s">
        <v>4324</v>
      </c>
      <c r="BI8" t="s">
        <v>2944</v>
      </c>
      <c r="BJ8" t="s">
        <v>1752</v>
      </c>
      <c r="BK8">
        <v>3.0757509999999999</v>
      </c>
      <c r="BL8">
        <v>0.25219200000000003</v>
      </c>
      <c r="BM8" t="s">
        <v>1788</v>
      </c>
      <c r="BN8">
        <v>2025</v>
      </c>
      <c r="BO8" t="s">
        <v>3907</v>
      </c>
      <c r="BP8" s="6">
        <v>46050</v>
      </c>
      <c r="BQ8">
        <v>5</v>
      </c>
      <c r="BR8">
        <v>4753819</v>
      </c>
      <c r="BS8">
        <v>126764</v>
      </c>
      <c r="BT8" t="s">
        <v>2946</v>
      </c>
      <c r="BW8" t="s">
        <v>3729</v>
      </c>
      <c r="BX8">
        <v>-2.4245362661989844E-14</v>
      </c>
      <c r="BZ8">
        <v>-2.4245362661989844E-14</v>
      </c>
      <c r="CA8" t="s">
        <v>1753</v>
      </c>
      <c r="CB8">
        <v>2025</v>
      </c>
      <c r="CC8" t="s">
        <v>3730</v>
      </c>
      <c r="CD8" s="6">
        <v>46030</v>
      </c>
      <c r="CE8">
        <v>5</v>
      </c>
      <c r="CF8">
        <v>-2.4245362661989844E-14</v>
      </c>
      <c r="CG8">
        <v>1017025</v>
      </c>
      <c r="CH8" t="s">
        <v>3731</v>
      </c>
      <c r="EU8" t="s">
        <v>2950</v>
      </c>
      <c r="EV8" t="s">
        <v>1752</v>
      </c>
      <c r="EW8">
        <v>0.39843600000000001</v>
      </c>
      <c r="EX8">
        <v>0.58359499999999997</v>
      </c>
      <c r="EY8" t="s">
        <v>1825</v>
      </c>
      <c r="EZ8">
        <v>2025</v>
      </c>
      <c r="FA8" t="s">
        <v>2951</v>
      </c>
      <c r="FB8" s="6">
        <v>46072</v>
      </c>
      <c r="FC8">
        <v>5</v>
      </c>
      <c r="FD8">
        <v>14843609.470000001</v>
      </c>
      <c r="FE8">
        <v>70579391</v>
      </c>
      <c r="FF8" t="s">
        <v>2952</v>
      </c>
      <c r="FI8" t="s">
        <v>2731</v>
      </c>
      <c r="FJ8">
        <v>-2.4245362661989844E-14</v>
      </c>
      <c r="FL8">
        <v>-2.4245362661989844E-14</v>
      </c>
      <c r="FM8" t="s">
        <v>1753</v>
      </c>
      <c r="FN8">
        <v>2024</v>
      </c>
      <c r="FO8" t="s">
        <v>2732</v>
      </c>
      <c r="FP8" s="6">
        <v>45785</v>
      </c>
      <c r="FQ8">
        <v>5</v>
      </c>
      <c r="FR8">
        <v>-2.4245362661989844E-14</v>
      </c>
      <c r="FS8">
        <v>71626870</v>
      </c>
      <c r="FT8" t="s">
        <v>2733</v>
      </c>
      <c r="FY8" t="s">
        <v>2357</v>
      </c>
      <c r="FZ8" t="s">
        <v>1752</v>
      </c>
      <c r="GA8">
        <v>7.3733999999999994E-2</v>
      </c>
      <c r="GB8">
        <v>0.83489500000000005</v>
      </c>
      <c r="GC8" t="s">
        <v>1825</v>
      </c>
      <c r="GD8">
        <v>2025</v>
      </c>
      <c r="GE8" t="s">
        <v>2358</v>
      </c>
      <c r="GF8" s="6">
        <v>46010</v>
      </c>
      <c r="GG8">
        <v>5</v>
      </c>
      <c r="GH8">
        <v>13283180</v>
      </c>
      <c r="GI8">
        <v>59907412</v>
      </c>
      <c r="GJ8" t="s">
        <v>2359</v>
      </c>
      <c r="GM8" t="s">
        <v>2467</v>
      </c>
      <c r="GN8">
        <v>4.6813409999999998</v>
      </c>
      <c r="GO8" t="s">
        <v>1752</v>
      </c>
      <c r="GP8">
        <v>1.188463</v>
      </c>
      <c r="GQ8" t="s">
        <v>1774</v>
      </c>
      <c r="GR8">
        <v>2026</v>
      </c>
      <c r="GS8" t="s">
        <v>2363</v>
      </c>
      <c r="GT8" s="6">
        <v>46059</v>
      </c>
      <c r="GU8">
        <v>5</v>
      </c>
      <c r="GV8">
        <v>141236064</v>
      </c>
      <c r="GW8">
        <v>11217910</v>
      </c>
      <c r="GX8" t="s">
        <v>2468</v>
      </c>
      <c r="JK8" t="s">
        <v>2202</v>
      </c>
      <c r="JL8" t="s">
        <v>1940</v>
      </c>
      <c r="JM8">
        <v>0.78817400000000004</v>
      </c>
      <c r="JN8">
        <v>1.4283000000000001E-2</v>
      </c>
      <c r="JO8" t="s">
        <v>1753</v>
      </c>
      <c r="JP8">
        <v>2025</v>
      </c>
      <c r="JQ8" t="s">
        <v>2203</v>
      </c>
      <c r="JR8" s="6">
        <v>46058</v>
      </c>
      <c r="JS8">
        <v>5</v>
      </c>
      <c r="JT8">
        <v>1958250</v>
      </c>
      <c r="JU8">
        <v>106045</v>
      </c>
      <c r="JV8" t="s">
        <v>2204</v>
      </c>
      <c r="JY8" t="s">
        <v>1963</v>
      </c>
      <c r="JZ8">
        <v>-2.4245362661989844E-14</v>
      </c>
      <c r="KB8">
        <v>-2.4245362661989844E-14</v>
      </c>
      <c r="KC8" t="s">
        <v>1753</v>
      </c>
      <c r="KD8">
        <v>2022</v>
      </c>
      <c r="KE8" t="s">
        <v>1964</v>
      </c>
      <c r="KF8" s="6">
        <v>44986</v>
      </c>
      <c r="KG8">
        <v>5</v>
      </c>
      <c r="KH8">
        <v>-2.4245362661989844E-14</v>
      </c>
      <c r="KI8">
        <v>394590</v>
      </c>
      <c r="KJ8" t="s">
        <v>1965</v>
      </c>
      <c r="KO8" t="s">
        <v>3916</v>
      </c>
      <c r="KQ8">
        <v>-2.4245362661989844E-14</v>
      </c>
      <c r="KR8">
        <v>-2.4245362661989844E-14</v>
      </c>
      <c r="KS8" t="s">
        <v>1788</v>
      </c>
      <c r="KT8">
        <v>2025</v>
      </c>
      <c r="KU8" t="s">
        <v>3917</v>
      </c>
      <c r="KV8" s="6">
        <v>45971</v>
      </c>
      <c r="KW8">
        <v>5</v>
      </c>
      <c r="KX8">
        <v>-2.4245362661989844E-14</v>
      </c>
      <c r="KY8">
        <v>45683508</v>
      </c>
      <c r="KZ8" t="s">
        <v>3918</v>
      </c>
      <c r="QI8" t="s">
        <v>2215</v>
      </c>
      <c r="QJ8" t="s">
        <v>1752</v>
      </c>
      <c r="QK8">
        <v>0.30367300000000003</v>
      </c>
      <c r="QL8">
        <v>0.37271100000000001</v>
      </c>
      <c r="QM8" t="s">
        <v>1788</v>
      </c>
      <c r="QN8">
        <v>2025</v>
      </c>
      <c r="QO8" t="s">
        <v>2216</v>
      </c>
      <c r="QP8" s="6">
        <v>45867</v>
      </c>
      <c r="QQ8">
        <v>5</v>
      </c>
      <c r="QR8">
        <v>23771522</v>
      </c>
      <c r="QS8">
        <v>117092</v>
      </c>
      <c r="QT8" t="s">
        <v>2217</v>
      </c>
      <c r="QW8" t="s">
        <v>1889</v>
      </c>
      <c r="QX8">
        <v>-2.4245362661989844E-14</v>
      </c>
      <c r="QZ8">
        <v>-2.4245362661989844E-14</v>
      </c>
      <c r="RA8" t="s">
        <v>1768</v>
      </c>
      <c r="RB8">
        <v>2025</v>
      </c>
      <c r="RC8" t="s">
        <v>1890</v>
      </c>
      <c r="RD8" s="6">
        <v>45975</v>
      </c>
      <c r="RE8">
        <v>5</v>
      </c>
      <c r="RF8">
        <v>-2.4245362661989844E-14</v>
      </c>
      <c r="RG8">
        <v>1459457</v>
      </c>
      <c r="RH8" t="s">
        <v>1891</v>
      </c>
    </row>
    <row r="9" spans="1:600" x14ac:dyDescent="0.25">
      <c r="AE9" t="s">
        <v>2400</v>
      </c>
      <c r="AF9" t="s">
        <v>1752</v>
      </c>
      <c r="AG9">
        <v>0.74665099999999995</v>
      </c>
      <c r="AH9">
        <v>6.0437070000000004</v>
      </c>
      <c r="AI9" t="s">
        <v>1825</v>
      </c>
      <c r="AJ9">
        <v>2025</v>
      </c>
      <c r="AK9" t="s">
        <v>3318</v>
      </c>
      <c r="AL9" s="6">
        <v>46070</v>
      </c>
      <c r="AM9">
        <v>5</v>
      </c>
      <c r="AN9">
        <v>345361600</v>
      </c>
      <c r="AO9">
        <v>16632863</v>
      </c>
      <c r="AP9" t="s">
        <v>2401</v>
      </c>
      <c r="BI9" t="s">
        <v>3726</v>
      </c>
      <c r="BJ9" t="s">
        <v>1752</v>
      </c>
      <c r="BK9">
        <v>10.127708</v>
      </c>
      <c r="BL9">
        <v>0.109997</v>
      </c>
      <c r="BM9" t="s">
        <v>1768</v>
      </c>
      <c r="BN9">
        <v>2025</v>
      </c>
      <c r="BO9" t="s">
        <v>3908</v>
      </c>
      <c r="BP9" s="6">
        <v>45975</v>
      </c>
      <c r="BQ9">
        <v>5</v>
      </c>
      <c r="BR9">
        <v>1993134.38</v>
      </c>
      <c r="BS9">
        <v>18841705</v>
      </c>
      <c r="BT9" t="s">
        <v>3728</v>
      </c>
      <c r="BW9" t="s">
        <v>2734</v>
      </c>
      <c r="BX9">
        <v>-2.4245362661989844E-14</v>
      </c>
      <c r="BZ9">
        <v>-2.4245362661989844E-14</v>
      </c>
      <c r="CA9" t="s">
        <v>1768</v>
      </c>
      <c r="CB9">
        <v>2025</v>
      </c>
      <c r="CC9" t="s">
        <v>3732</v>
      </c>
      <c r="CD9" s="6">
        <v>45986</v>
      </c>
      <c r="CE9">
        <v>5</v>
      </c>
      <c r="CF9">
        <v>-2.4245362661989844E-14</v>
      </c>
      <c r="CG9">
        <v>27516715</v>
      </c>
      <c r="CH9" t="s">
        <v>2736</v>
      </c>
      <c r="EU9" t="s">
        <v>772</v>
      </c>
      <c r="EV9" t="s">
        <v>1752</v>
      </c>
      <c r="EW9">
        <v>1.796597</v>
      </c>
      <c r="EX9">
        <v>0.53488500000000005</v>
      </c>
      <c r="EY9" t="s">
        <v>1781</v>
      </c>
      <c r="EZ9">
        <v>2025</v>
      </c>
      <c r="FA9" t="s">
        <v>2953</v>
      </c>
      <c r="FB9" s="6">
        <v>45793</v>
      </c>
      <c r="FC9">
        <v>5</v>
      </c>
      <c r="FD9">
        <v>11350253</v>
      </c>
      <c r="FE9">
        <v>102417</v>
      </c>
      <c r="FF9" t="s">
        <v>2954</v>
      </c>
      <c r="FI9" t="s">
        <v>2734</v>
      </c>
      <c r="FJ9">
        <v>-2.4245362661989844E-14</v>
      </c>
      <c r="FL9">
        <v>-2.4245362661989844E-14</v>
      </c>
      <c r="FM9" t="s">
        <v>1753</v>
      </c>
      <c r="FN9">
        <v>2022</v>
      </c>
      <c r="FO9" t="s">
        <v>2735</v>
      </c>
      <c r="FP9" s="6">
        <v>45070</v>
      </c>
      <c r="FQ9">
        <v>5</v>
      </c>
      <c r="FR9">
        <v>-2.4245362661989844E-14</v>
      </c>
      <c r="FS9">
        <v>27516715</v>
      </c>
      <c r="FT9" t="s">
        <v>2736</v>
      </c>
      <c r="FY9" t="s">
        <v>2558</v>
      </c>
      <c r="FZ9" t="s">
        <v>1752</v>
      </c>
      <c r="GA9">
        <v>0.15844900000000001</v>
      </c>
      <c r="GB9">
        <v>0.19003600000000001</v>
      </c>
      <c r="GC9" t="s">
        <v>1825</v>
      </c>
      <c r="GD9">
        <v>2024</v>
      </c>
      <c r="GE9" t="s">
        <v>2559</v>
      </c>
      <c r="GF9" s="6">
        <v>45727</v>
      </c>
      <c r="GG9">
        <v>5</v>
      </c>
      <c r="GH9">
        <v>5262091</v>
      </c>
      <c r="GI9">
        <v>153916</v>
      </c>
      <c r="GJ9" t="s">
        <v>2560</v>
      </c>
      <c r="GM9" t="s">
        <v>2423</v>
      </c>
      <c r="GN9">
        <v>4.3718529999999998</v>
      </c>
      <c r="GO9" t="s">
        <v>1752</v>
      </c>
      <c r="GP9">
        <v>0.616004</v>
      </c>
      <c r="GQ9" t="s">
        <v>1774</v>
      </c>
      <c r="GR9">
        <v>2026</v>
      </c>
      <c r="GS9" t="s">
        <v>2363</v>
      </c>
      <c r="GT9" s="6">
        <v>46059</v>
      </c>
      <c r="GU9">
        <v>5</v>
      </c>
      <c r="GV9">
        <v>131898808</v>
      </c>
      <c r="GW9">
        <v>50985605</v>
      </c>
      <c r="GX9" t="s">
        <v>2424</v>
      </c>
      <c r="JK9" t="s">
        <v>2205</v>
      </c>
      <c r="JL9" t="s">
        <v>1940</v>
      </c>
      <c r="JM9">
        <v>0.777281</v>
      </c>
      <c r="JN9">
        <v>1.0723999999999999E-2</v>
      </c>
      <c r="JO9" t="s">
        <v>1753</v>
      </c>
      <c r="JP9">
        <v>2024</v>
      </c>
      <c r="JQ9" t="s">
        <v>2206</v>
      </c>
      <c r="JR9" s="6">
        <v>45694</v>
      </c>
      <c r="JS9">
        <v>5</v>
      </c>
      <c r="JT9">
        <v>1463750</v>
      </c>
      <c r="JU9">
        <v>106543</v>
      </c>
      <c r="JV9" t="s">
        <v>2207</v>
      </c>
      <c r="JY9" t="s">
        <v>1966</v>
      </c>
      <c r="JZ9">
        <v>-2.4245362661989844E-14</v>
      </c>
      <c r="KB9">
        <v>-2.4245362661989844E-14</v>
      </c>
      <c r="KC9" t="s">
        <v>1753</v>
      </c>
      <c r="KD9">
        <v>2023</v>
      </c>
      <c r="KE9" t="s">
        <v>1967</v>
      </c>
      <c r="KF9" s="6">
        <v>45175</v>
      </c>
      <c r="KG9">
        <v>5</v>
      </c>
      <c r="KH9">
        <v>-2.4245362661989844E-14</v>
      </c>
      <c r="KI9">
        <v>100555</v>
      </c>
      <c r="KJ9" t="s">
        <v>1968</v>
      </c>
      <c r="KO9" t="s">
        <v>3183</v>
      </c>
      <c r="KQ9">
        <v>-2.4245362661989844E-14</v>
      </c>
      <c r="KR9">
        <v>-2.4245362661989844E-14</v>
      </c>
      <c r="KS9" t="s">
        <v>1753</v>
      </c>
      <c r="KT9">
        <v>2023</v>
      </c>
      <c r="KU9" t="s">
        <v>3919</v>
      </c>
      <c r="KV9" s="6">
        <v>45377</v>
      </c>
      <c r="KW9">
        <v>5</v>
      </c>
      <c r="KX9">
        <v>-2.4245362661989844E-14</v>
      </c>
      <c r="KY9">
        <v>46286147</v>
      </c>
      <c r="KZ9" t="s">
        <v>3185</v>
      </c>
      <c r="QI9" t="s">
        <v>2218</v>
      </c>
      <c r="QJ9" t="s">
        <v>1752</v>
      </c>
      <c r="QK9">
        <v>8.0865999999999993E-2</v>
      </c>
      <c r="QL9">
        <v>0.27508500000000002</v>
      </c>
      <c r="QM9" t="s">
        <v>1781</v>
      </c>
      <c r="QN9">
        <v>2026</v>
      </c>
      <c r="QO9" t="s">
        <v>2219</v>
      </c>
      <c r="QP9" s="6">
        <v>45980</v>
      </c>
      <c r="QQ9">
        <v>5</v>
      </c>
      <c r="QR9">
        <v>17987832</v>
      </c>
      <c r="QS9">
        <v>100554</v>
      </c>
      <c r="QT9" t="s">
        <v>2220</v>
      </c>
      <c r="QW9" t="s">
        <v>1892</v>
      </c>
      <c r="QX9">
        <v>-2.4245362661989844E-14</v>
      </c>
      <c r="QZ9">
        <v>-2.4245362661989844E-14</v>
      </c>
      <c r="RA9" t="s">
        <v>1753</v>
      </c>
      <c r="RB9">
        <v>2024</v>
      </c>
      <c r="RC9" t="s">
        <v>1893</v>
      </c>
      <c r="RD9" s="6">
        <v>45774</v>
      </c>
      <c r="RE9">
        <v>5</v>
      </c>
      <c r="RF9">
        <v>-2.4245362661989844E-14</v>
      </c>
      <c r="RG9">
        <v>9020238</v>
      </c>
      <c r="RH9" t="s">
        <v>1894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1398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1399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1400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1401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1402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1403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1404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1405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1406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1407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1408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1409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1410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1411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1412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1413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1414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1415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1416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788</v>
      </c>
      <c r="AE2" s="3" t="s">
        <v>1417</v>
      </c>
      <c r="BI2" s="3" t="s">
        <v>88</v>
      </c>
      <c r="CM2" s="3" t="s">
        <v>1418</v>
      </c>
      <c r="DQ2" s="3" t="s">
        <v>460</v>
      </c>
      <c r="EU2" s="3" t="s">
        <v>1179</v>
      </c>
      <c r="FY2" s="3" t="s">
        <v>37</v>
      </c>
      <c r="HC2" s="3" t="s">
        <v>1419</v>
      </c>
      <c r="IG2" s="3" t="s">
        <v>1420</v>
      </c>
      <c r="JK2" s="3" t="s">
        <v>1421</v>
      </c>
      <c r="KO2" s="3" t="s">
        <v>499</v>
      </c>
      <c r="LS2" s="3" t="s">
        <v>1422</v>
      </c>
      <c r="MW2" s="3" t="s">
        <v>1423</v>
      </c>
      <c r="OA2" s="3" t="s">
        <v>1424</v>
      </c>
      <c r="PE2" s="3" t="s">
        <v>386</v>
      </c>
      <c r="QI2" s="3" t="s">
        <v>1224</v>
      </c>
      <c r="RM2" s="3" t="s">
        <v>1425</v>
      </c>
      <c r="SQ2" s="3" t="s">
        <v>1426</v>
      </c>
      <c r="TU2" s="3" t="s">
        <v>1427</v>
      </c>
      <c r="UY2" s="3" t="s">
        <v>664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_xll.BDS("3017264Q US Equity","SUPPLY_CHAIN_SUPPLIERS_ALL_DATA")</f>
        <v>#N/A N/A</v>
      </c>
      <c r="O5" t="str">
        <f>_xll.BDS("3017264Q US Equity","SUPPLY_CHAIN_CUSTOMERS_ALL_DATA")</f>
        <v>#N/A N/A</v>
      </c>
      <c r="AE5" t="str">
        <f>_xll.BDS("COF US Equity","SUPPLY_CHAIN_SUPPLIERS_ALL_DATA","cols=12;rows=5")</f>
        <v>MTZ US Equity</v>
      </c>
      <c r="AF5" t="s">
        <v>1752</v>
      </c>
      <c r="AG5">
        <v>0.72786399999999996</v>
      </c>
      <c r="AH5">
        <v>0.35119499999999998</v>
      </c>
      <c r="AI5" t="s">
        <v>1781</v>
      </c>
      <c r="AJ5">
        <v>2025</v>
      </c>
      <c r="AK5" t="s">
        <v>2912</v>
      </c>
      <c r="AL5" s="6">
        <v>45849</v>
      </c>
      <c r="AM5">
        <v>5</v>
      </c>
      <c r="AN5">
        <v>20727514</v>
      </c>
      <c r="AO5">
        <v>102595</v>
      </c>
      <c r="AP5" t="s">
        <v>2913</v>
      </c>
      <c r="AS5" t="str">
        <f>_xll.BDS("COF US Equity","SUPPLY_CHAIN_CUSTOMERS_ALL_DATA","cols=12;rows=4")</f>
        <v>ASC LN Equity</v>
      </c>
      <c r="AT5">
        <v>-2.4245362661989844E-14</v>
      </c>
      <c r="AV5">
        <v>-2.4245362661989844E-14</v>
      </c>
      <c r="AW5" t="s">
        <v>1753</v>
      </c>
      <c r="AX5">
        <v>2023</v>
      </c>
      <c r="AY5" t="s">
        <v>2756</v>
      </c>
      <c r="AZ5" s="6">
        <v>44985</v>
      </c>
      <c r="BA5">
        <v>4</v>
      </c>
      <c r="BB5">
        <v>-2.4245362661989844E-14</v>
      </c>
      <c r="BC5">
        <v>7538868</v>
      </c>
      <c r="BD5" t="s">
        <v>2757</v>
      </c>
      <c r="BI5" t="str">
        <f>_xll.BDS("OK US Equity","SUPPLY_CHAIN_SUPPLIERS_ALL_DATA")</f>
        <v>#N/A N/A</v>
      </c>
      <c r="BW5" t="str">
        <f>_xll.BDS("OK US Equity","SUPPLY_CHAIN_CUSTOMERS_ALL_DATA")</f>
        <v>#N/A N/A</v>
      </c>
      <c r="CM5" t="str">
        <f>_xll.BDS("FIBK US Equity","SUPPLY_CHAIN_SUPPLIERS_ALL_DATA","cols=12;rows=1")</f>
        <v>FISV US Equity</v>
      </c>
      <c r="CO5">
        <v>-2.4245362661989844E-14</v>
      </c>
      <c r="CP5">
        <v>-2.4245362661989844E-14</v>
      </c>
      <c r="CQ5" t="s">
        <v>1768</v>
      </c>
      <c r="CR5">
        <v>2023</v>
      </c>
      <c r="CS5" t="s">
        <v>2153</v>
      </c>
      <c r="CT5" s="6">
        <v>45245</v>
      </c>
      <c r="CU5">
        <v>1</v>
      </c>
      <c r="CV5">
        <v>-2.4245362661989844E-14</v>
      </c>
      <c r="CW5">
        <v>103882</v>
      </c>
      <c r="CX5" t="s">
        <v>2154</v>
      </c>
      <c r="DA5" t="str">
        <f>_xll.BDS("FIBK US Equity","SUPPLY_CHAIN_CUSTOMERS_ALL_DATA")</f>
        <v>#N/A N/A</v>
      </c>
      <c r="DQ5" t="str">
        <f>_xll.BDS("NWBI US Equity","SUPPLY_CHAIN_SUPPLIERS_ALL_DATA","cols=12;rows=1")</f>
        <v>FISV US Equity</v>
      </c>
      <c r="DS5">
        <v>-2.4245362661989844E-14</v>
      </c>
      <c r="DT5">
        <v>-2.4245362661989844E-14</v>
      </c>
      <c r="DU5" t="s">
        <v>1768</v>
      </c>
      <c r="DV5">
        <v>2023</v>
      </c>
      <c r="DW5" t="s">
        <v>2153</v>
      </c>
      <c r="DX5" s="6">
        <v>45245</v>
      </c>
      <c r="DY5">
        <v>1</v>
      </c>
      <c r="DZ5">
        <v>-2.4245362661989844E-14</v>
      </c>
      <c r="EA5">
        <v>103882</v>
      </c>
      <c r="EB5" t="s">
        <v>2154</v>
      </c>
      <c r="EE5" t="str">
        <f>_xll.BDS("NWBI US Equity","SUPPLY_CHAIN_CUSTOMERS_ALL_DATA")</f>
        <v>#N/A N/A</v>
      </c>
      <c r="EU5" t="str">
        <f>_xll.BDS("FCF US Equity","SUPPLY_CHAIN_SUPPLIERS_ALL_DATA")</f>
        <v>#N/A N/A</v>
      </c>
      <c r="FI5" t="str">
        <f>_xll.BDS("FCF US Equity","SUPPLY_CHAIN_CUSTOMERS_ALL_DATA")</f>
        <v>#N/A N/A</v>
      </c>
      <c r="FY5" t="str">
        <f>_xll.BDS("nan Equity","SUPPLY_CHAIN_SUPPLIERS_ALL_DATA")</f>
        <v>#N/A N/A</v>
      </c>
      <c r="GM5" t="str">
        <f>_xll.BDS("nan Equity","SUPPLY_CHAIN_CUSTOMERS_ALL_DATA")</f>
        <v>#N/A N/A</v>
      </c>
      <c r="HC5" t="str">
        <f>_xll.BDS("EGBN US Equity","SUPPLY_CHAIN_SUPPLIERS_ALL_DATA")</f>
        <v>#N/A N/A</v>
      </c>
      <c r="HQ5" t="str">
        <f>_xll.BDS("EGBN US Equity","SUPPLY_CHAIN_CUSTOMERS_ALL_DATA")</f>
        <v>#N/A N/A</v>
      </c>
      <c r="IG5" t="str">
        <f>_xll.BDS("FMER US Equity","SUPPLY_CHAIN_SUPPLIERS_ALL_DATA")</f>
        <v>#N/A N/A</v>
      </c>
      <c r="IU5" t="str">
        <f>_xll.BDS("FMER US Equity","SUPPLY_CHAIN_CUSTOMERS_ALL_DATA")</f>
        <v>#N/A N/A</v>
      </c>
      <c r="JK5" t="str">
        <f>_xll.BDS("COWN US Equity","SUPPLY_CHAIN_SUPPLIERS_ALL_DATA","cols=12;rows=2")</f>
        <v>APVO US Equity</v>
      </c>
      <c r="JM5">
        <v>-2.4245362661989844E-14</v>
      </c>
      <c r="JN5">
        <v>-2.4245362661989844E-14</v>
      </c>
      <c r="JO5" t="s">
        <v>1753</v>
      </c>
      <c r="JP5">
        <v>2021</v>
      </c>
      <c r="JQ5" t="s">
        <v>3048</v>
      </c>
      <c r="JR5" s="6">
        <v>44644</v>
      </c>
      <c r="JS5">
        <v>2</v>
      </c>
      <c r="JT5">
        <v>-2.4245362661989844E-14</v>
      </c>
      <c r="JU5">
        <v>46872007</v>
      </c>
      <c r="JV5" t="s">
        <v>3049</v>
      </c>
      <c r="JY5" t="str">
        <f>_xll.BDS("COWN US Equity","SUPPLY_CHAIN_CUSTOMERS_ALL_DATA","cols=12;rows=1")</f>
        <v>ALSEA* MM Equity</v>
      </c>
      <c r="JZ5">
        <v>-2.4245362661989844E-14</v>
      </c>
      <c r="KB5">
        <v>-2.4245362661989844E-14</v>
      </c>
      <c r="KC5" t="s">
        <v>1753</v>
      </c>
      <c r="KD5">
        <v>2021</v>
      </c>
      <c r="KE5" t="s">
        <v>2710</v>
      </c>
      <c r="KF5" s="6">
        <v>44677</v>
      </c>
      <c r="KG5">
        <v>1</v>
      </c>
      <c r="KH5">
        <v>-2.4245362661989844E-14</v>
      </c>
      <c r="KI5">
        <v>815542</v>
      </c>
      <c r="KJ5" t="s">
        <v>2711</v>
      </c>
      <c r="KO5" t="str">
        <f>_xll.BDS("HU US Equity","SUPPLY_CHAIN_SUPPLIERS_ALL_DATA")</f>
        <v>#N/A N/A</v>
      </c>
      <c r="LC5" t="str">
        <f>_xll.BDS("HU US Equity","SUPPLY_CHAIN_CUSTOMERS_ALL_DATA")</f>
        <v>#N/A N/A</v>
      </c>
      <c r="LS5" t="str">
        <f>_xll.BDS("OSIS US Equity","SUPPLY_CHAIN_SUPPLIERS_ALL_DATA","cols=12;rows=5")</f>
        <v>VREX US Equity</v>
      </c>
      <c r="LT5" t="s">
        <v>1752</v>
      </c>
      <c r="LU5">
        <v>0.58712500000000001</v>
      </c>
      <c r="LV5">
        <v>0.51405299999999998</v>
      </c>
      <c r="LW5" t="s">
        <v>1825</v>
      </c>
      <c r="LX5">
        <v>2025</v>
      </c>
      <c r="LY5" t="s">
        <v>2311</v>
      </c>
      <c r="LZ5" s="6">
        <v>45985</v>
      </c>
      <c r="MA5">
        <v>5</v>
      </c>
      <c r="MB5">
        <v>1343929</v>
      </c>
      <c r="MC5">
        <v>49991909</v>
      </c>
      <c r="MD5" t="s">
        <v>2312</v>
      </c>
      <c r="MG5" t="str">
        <f>_xll.BDS("OSIS US Equity","SUPPLY_CHAIN_CUSTOMERS_ALL_DATA","cols=12;rows=5")</f>
        <v>3352Z US Equity</v>
      </c>
      <c r="MH5">
        <v>10.670303000000001</v>
      </c>
      <c r="MJ5">
        <v>-2.4245362661989844E-14</v>
      </c>
      <c r="MK5" t="s">
        <v>1753</v>
      </c>
      <c r="ML5">
        <v>2025</v>
      </c>
      <c r="MM5" t="s">
        <v>1904</v>
      </c>
      <c r="MN5" s="6">
        <v>45894</v>
      </c>
      <c r="MO5">
        <v>5</v>
      </c>
      <c r="MP5">
        <v>45700000</v>
      </c>
      <c r="MQ5">
        <v>218252</v>
      </c>
      <c r="MR5" t="s">
        <v>1793</v>
      </c>
      <c r="MW5" t="str">
        <f>_xll.BDS("BOBE US Equity","SUPPLY_CHAIN_SUPPLIERS_ALL_DATA")</f>
        <v>#N/A N/A</v>
      </c>
      <c r="NK5" t="str">
        <f>_xll.BDS("BOBE US Equity","SUPPLY_CHAIN_CUSTOMERS_ALL_DATA")</f>
        <v>#N/A N/A</v>
      </c>
      <c r="OA5" t="str">
        <f>_xll.BDS("MKL US Equity","SUPPLY_CHAIN_SUPPLIERS_ALL_DATA","cols=12;rows=2")</f>
        <v>ABL NO Equity</v>
      </c>
      <c r="OC5">
        <v>-2.4245362661989844E-14</v>
      </c>
      <c r="OD5">
        <v>-2.4245362661989844E-14</v>
      </c>
      <c r="OE5" t="s">
        <v>1753</v>
      </c>
      <c r="OF5">
        <v>2023</v>
      </c>
      <c r="OG5" t="s">
        <v>4308</v>
      </c>
      <c r="OH5" s="6">
        <v>45618</v>
      </c>
      <c r="OI5">
        <v>2</v>
      </c>
      <c r="OJ5">
        <v>-2.4245362661989844E-14</v>
      </c>
      <c r="OK5">
        <v>40899058</v>
      </c>
      <c r="OL5" t="s">
        <v>4309</v>
      </c>
      <c r="OO5" t="str">
        <f>_xll.BDS("MKL US Equity","SUPPLY_CHAIN_CUSTOMERS_ALL_DATA","cols=12;rows=2")</f>
        <v>005380 KS Equity</v>
      </c>
      <c r="OP5">
        <v>-2.4245362661989844E-14</v>
      </c>
      <c r="OR5">
        <v>-2.4245362661989844E-14</v>
      </c>
      <c r="OS5" t="s">
        <v>1788</v>
      </c>
      <c r="OT5">
        <v>2022</v>
      </c>
      <c r="OU5" t="s">
        <v>4127</v>
      </c>
      <c r="OV5" s="6">
        <v>44869</v>
      </c>
      <c r="OW5">
        <v>2</v>
      </c>
      <c r="OX5">
        <v>-2.4245362661989844E-14</v>
      </c>
      <c r="OY5">
        <v>117621</v>
      </c>
      <c r="OZ5" t="s">
        <v>1953</v>
      </c>
      <c r="PE5" t="str">
        <f>_xll.BDS("SSB US Equity","SUPPLY_CHAIN_SUPPLIERS_ALL_DATA","cols=12;rows=4")</f>
        <v>BLND US Equity</v>
      </c>
      <c r="PG5">
        <v>-2.4245362661989844E-14</v>
      </c>
      <c r="PH5">
        <v>-2.4245362661989844E-14</v>
      </c>
      <c r="PI5" t="s">
        <v>1781</v>
      </c>
      <c r="PJ5">
        <v>2025</v>
      </c>
      <c r="PK5" t="s">
        <v>3979</v>
      </c>
      <c r="PL5" s="6">
        <v>45785</v>
      </c>
      <c r="PM5">
        <v>4</v>
      </c>
      <c r="PN5">
        <v>-2.4245362661989844E-14</v>
      </c>
      <c r="PO5">
        <v>42447088</v>
      </c>
      <c r="PP5" t="s">
        <v>3980</v>
      </c>
      <c r="PS5" t="str">
        <f>_xll.BDS("SSB US Equity","SUPPLY_CHAIN_CUSTOMERS_ALL_DATA")</f>
        <v>#N/A N/A</v>
      </c>
      <c r="QI5" t="str">
        <f>_xll.BDS("STBA US Equity","SUPPLY_CHAIN_SUPPLIERS_ALL_DATA")</f>
        <v>#N/A N/A</v>
      </c>
      <c r="QW5" t="str">
        <f>_xll.BDS("STBA US Equity","SUPPLY_CHAIN_CUSTOMERS_ALL_DATA")</f>
        <v>#N/A N/A</v>
      </c>
      <c r="RM5" t="str">
        <f>_xll.BDS("CNVR US Equity","SUPPLY_CHAIN_SUPPLIERS_ALL_DATA")</f>
        <v>#N/A N/A</v>
      </c>
      <c r="SA5" t="str">
        <f>_xll.BDS("CNVR US Equity","SUPPLY_CHAIN_CUSTOMERS_ALL_DATA")</f>
        <v>#N/A N/A</v>
      </c>
      <c r="SQ5" t="str">
        <f>_xll.BDS("NCC US Equity","SUPPLY_CHAIN_SUPPLIERS_ALL_DATA")</f>
        <v>#N/A N/A</v>
      </c>
      <c r="TE5" t="str">
        <f>_xll.BDS("NCC US Equity","SUPPLY_CHAIN_CUSTOMERS_ALL_DATA")</f>
        <v>#N/A N/A</v>
      </c>
      <c r="TU5" t="str">
        <f>_xll.BDS("DNA US Equity","SUPPLY_CHAIN_SUPPLIERS_ALL_DATA","cols=12;rows=4")</f>
        <v>ILMN US Equity</v>
      </c>
      <c r="TV5" t="s">
        <v>1752</v>
      </c>
      <c r="TW5">
        <v>3.7919999999999998E-3</v>
      </c>
      <c r="TX5">
        <v>0.27093</v>
      </c>
      <c r="TY5" t="s">
        <v>1774</v>
      </c>
      <c r="TZ5">
        <v>2025</v>
      </c>
      <c r="UA5" t="s">
        <v>2501</v>
      </c>
      <c r="UB5" s="6">
        <v>45899</v>
      </c>
      <c r="UC5">
        <v>4</v>
      </c>
      <c r="UD5">
        <v>40157</v>
      </c>
      <c r="UE5">
        <v>393051</v>
      </c>
      <c r="UF5" t="s">
        <v>2502</v>
      </c>
      <c r="UI5" t="str">
        <f>_xll.BDS("DNA US Equity","SUPPLY_CHAIN_CUSTOMERS_ALL_DATA","cols=12;rows=5")</f>
        <v>0219354Z US Equity</v>
      </c>
      <c r="UJ5">
        <v>-2.4245362661989844E-14</v>
      </c>
      <c r="UL5">
        <v>-2.4245362661989844E-14</v>
      </c>
      <c r="UM5" t="s">
        <v>1753</v>
      </c>
      <c r="UN5">
        <v>2025</v>
      </c>
      <c r="UO5" t="s">
        <v>2430</v>
      </c>
      <c r="UP5" s="6">
        <v>45757</v>
      </c>
      <c r="UQ5">
        <v>5</v>
      </c>
      <c r="UR5">
        <v>-2.4245362661989844E-14</v>
      </c>
      <c r="US5">
        <v>962208</v>
      </c>
      <c r="UT5" t="s">
        <v>2431</v>
      </c>
      <c r="UY5" t="str">
        <f>_xll.BDS("TCBK US Equity","SUPPLY_CHAIN_SUPPLIERS_ALL_DATA")</f>
        <v>#N/A N/A</v>
      </c>
      <c r="VM5" t="str">
        <f>_xll.BDS("TCBK US Equity","SUPPLY_CHAIN_CUSTOMERS_ALL_DATA")</f>
        <v>#N/A N/A</v>
      </c>
    </row>
    <row r="6" spans="1:600" x14ac:dyDescent="0.25">
      <c r="AE6" t="s">
        <v>2125</v>
      </c>
      <c r="AF6" t="s">
        <v>1940</v>
      </c>
      <c r="AG6">
        <v>0.189773</v>
      </c>
      <c r="AH6">
        <v>0.18884100000000001</v>
      </c>
      <c r="AI6" t="s">
        <v>1774</v>
      </c>
      <c r="AJ6">
        <v>2025</v>
      </c>
      <c r="AK6" t="s">
        <v>2126</v>
      </c>
      <c r="AL6" s="6">
        <v>45838</v>
      </c>
      <c r="AM6">
        <v>5</v>
      </c>
      <c r="AN6">
        <v>11145368</v>
      </c>
      <c r="AO6">
        <v>101689</v>
      </c>
      <c r="AP6" t="s">
        <v>2127</v>
      </c>
      <c r="AS6" t="s">
        <v>2758</v>
      </c>
      <c r="AT6">
        <v>-2.4245362661989844E-14</v>
      </c>
      <c r="AV6">
        <v>-2.4245362661989844E-14</v>
      </c>
      <c r="AW6" t="s">
        <v>1788</v>
      </c>
      <c r="AX6">
        <v>2025</v>
      </c>
      <c r="AY6" t="s">
        <v>2759</v>
      </c>
      <c r="AZ6" s="6">
        <v>45953</v>
      </c>
      <c r="BA6">
        <v>4</v>
      </c>
      <c r="BB6">
        <v>-2.4245362661989844E-14</v>
      </c>
      <c r="BC6">
        <v>101374</v>
      </c>
      <c r="BD6" t="s">
        <v>2760</v>
      </c>
      <c r="JK6" t="s">
        <v>3050</v>
      </c>
      <c r="JM6">
        <v>-2.4245362661989844E-14</v>
      </c>
      <c r="JN6">
        <v>-2.4245362661989844E-14</v>
      </c>
      <c r="JO6" t="s">
        <v>1753</v>
      </c>
      <c r="JP6">
        <v>2021</v>
      </c>
      <c r="JQ6" t="s">
        <v>3051</v>
      </c>
      <c r="JR6" s="6">
        <v>44651</v>
      </c>
      <c r="JS6">
        <v>2</v>
      </c>
      <c r="JT6">
        <v>-2.4245362661989844E-14</v>
      </c>
      <c r="JU6">
        <v>64043231</v>
      </c>
      <c r="JV6" t="s">
        <v>3052</v>
      </c>
      <c r="LS6" t="s">
        <v>2313</v>
      </c>
      <c r="LU6">
        <v>-2.4245362661989844E-14</v>
      </c>
      <c r="LV6">
        <v>-2.4245362661989844E-14</v>
      </c>
      <c r="LW6" t="s">
        <v>1753</v>
      </c>
      <c r="LX6">
        <v>2023</v>
      </c>
      <c r="LY6" t="s">
        <v>2314</v>
      </c>
      <c r="LZ6" s="6">
        <v>45238</v>
      </c>
      <c r="MA6">
        <v>5</v>
      </c>
      <c r="MB6">
        <v>-2.4245362661989844E-14</v>
      </c>
      <c r="MC6">
        <v>34361150</v>
      </c>
      <c r="MD6" t="s">
        <v>2315</v>
      </c>
      <c r="MG6" t="s">
        <v>1905</v>
      </c>
      <c r="MH6">
        <v>2.6241629999999998</v>
      </c>
      <c r="MI6" t="s">
        <v>1828</v>
      </c>
      <c r="MJ6">
        <v>0.72140899999999997</v>
      </c>
      <c r="MK6" t="s">
        <v>1781</v>
      </c>
      <c r="ML6">
        <v>2026</v>
      </c>
      <c r="MM6" t="s">
        <v>1906</v>
      </c>
      <c r="MN6" s="6">
        <v>46051</v>
      </c>
      <c r="MO6">
        <v>5</v>
      </c>
      <c r="MP6">
        <v>10093134</v>
      </c>
      <c r="MQ6">
        <v>945228</v>
      </c>
      <c r="MR6" t="s">
        <v>1907</v>
      </c>
      <c r="OA6" t="s">
        <v>4310</v>
      </c>
      <c r="OC6">
        <v>-2.4245362661989844E-14</v>
      </c>
      <c r="OD6">
        <v>-2.4245362661989844E-14</v>
      </c>
      <c r="OE6" t="s">
        <v>1781</v>
      </c>
      <c r="OF6">
        <v>2025</v>
      </c>
      <c r="OG6" t="s">
        <v>4311</v>
      </c>
      <c r="OH6" s="6">
        <v>45786</v>
      </c>
      <c r="OI6">
        <v>2</v>
      </c>
      <c r="OJ6">
        <v>-2.4245362661989844E-14</v>
      </c>
      <c r="OK6">
        <v>54118150</v>
      </c>
      <c r="OL6" t="s">
        <v>4312</v>
      </c>
      <c r="OO6" t="s">
        <v>343</v>
      </c>
      <c r="OP6">
        <v>-2.4245362661989844E-14</v>
      </c>
      <c r="OR6">
        <v>-2.4245362661989844E-14</v>
      </c>
      <c r="OS6" t="s">
        <v>1788</v>
      </c>
      <c r="OT6">
        <v>2022</v>
      </c>
      <c r="OU6" t="s">
        <v>4128</v>
      </c>
      <c r="OV6" s="6">
        <v>44832</v>
      </c>
      <c r="OW6">
        <v>2</v>
      </c>
      <c r="OX6">
        <v>-2.4245362661989844E-14</v>
      </c>
      <c r="OY6">
        <v>101611</v>
      </c>
      <c r="OZ6" t="s">
        <v>2827</v>
      </c>
      <c r="PE6" t="s">
        <v>3183</v>
      </c>
      <c r="PG6">
        <v>-2.4245362661989844E-14</v>
      </c>
      <c r="PH6">
        <v>-2.4245362661989844E-14</v>
      </c>
      <c r="PI6" t="s">
        <v>1753</v>
      </c>
      <c r="PJ6">
        <v>2024</v>
      </c>
      <c r="PK6" t="s">
        <v>3184</v>
      </c>
      <c r="PL6" s="6">
        <v>45762</v>
      </c>
      <c r="PM6">
        <v>4</v>
      </c>
      <c r="PN6">
        <v>-2.4245362661989844E-14</v>
      </c>
      <c r="PO6">
        <v>46286147</v>
      </c>
      <c r="PP6" t="s">
        <v>3185</v>
      </c>
      <c r="TU6" t="s">
        <v>2503</v>
      </c>
      <c r="TW6">
        <v>-2.4245362661989844E-14</v>
      </c>
      <c r="TX6">
        <v>-2.4245362661989844E-14</v>
      </c>
      <c r="TY6" t="s">
        <v>1753</v>
      </c>
      <c r="TZ6">
        <v>2022</v>
      </c>
      <c r="UA6" t="s">
        <v>2504</v>
      </c>
      <c r="UB6" s="6">
        <v>45043</v>
      </c>
      <c r="UC6">
        <v>4</v>
      </c>
      <c r="UD6">
        <v>-2.4245362661989844E-14</v>
      </c>
      <c r="UE6">
        <v>203105</v>
      </c>
      <c r="UF6" t="s">
        <v>2505</v>
      </c>
      <c r="UI6" t="s">
        <v>2432</v>
      </c>
      <c r="UJ6">
        <v>-2.4245362661989844E-14</v>
      </c>
      <c r="UL6">
        <v>-2.4245362661989844E-14</v>
      </c>
      <c r="UM6" t="s">
        <v>1753</v>
      </c>
      <c r="UN6">
        <v>2024</v>
      </c>
      <c r="UO6" t="s">
        <v>2430</v>
      </c>
      <c r="UP6" s="6">
        <v>45337</v>
      </c>
      <c r="UQ6">
        <v>5</v>
      </c>
      <c r="UR6">
        <v>-2.4245362661989844E-14</v>
      </c>
      <c r="US6">
        <v>14724479</v>
      </c>
      <c r="UT6" t="s">
        <v>2433</v>
      </c>
    </row>
    <row r="7" spans="1:600" x14ac:dyDescent="0.25">
      <c r="AE7" t="s">
        <v>2914</v>
      </c>
      <c r="AG7">
        <v>-2.4245362661989844E-14</v>
      </c>
      <c r="AH7">
        <v>-2.4245362661989844E-14</v>
      </c>
      <c r="AI7" t="s">
        <v>1753</v>
      </c>
      <c r="AJ7">
        <v>2024</v>
      </c>
      <c r="AK7" t="s">
        <v>2915</v>
      </c>
      <c r="AL7" s="6">
        <v>45769</v>
      </c>
      <c r="AM7">
        <v>5</v>
      </c>
      <c r="AN7">
        <v>-2.4245362661989844E-14</v>
      </c>
      <c r="AO7">
        <v>1456451</v>
      </c>
      <c r="AP7" t="s">
        <v>2916</v>
      </c>
      <c r="AS7" t="s">
        <v>2761</v>
      </c>
      <c r="AT7">
        <v>-2.4245362661989844E-14</v>
      </c>
      <c r="AV7">
        <v>-2.4245362661989844E-14</v>
      </c>
      <c r="AW7" t="s">
        <v>1753</v>
      </c>
      <c r="AX7">
        <v>2024</v>
      </c>
      <c r="AY7" t="s">
        <v>2762</v>
      </c>
      <c r="AZ7" s="6">
        <v>45733</v>
      </c>
      <c r="BA7">
        <v>4</v>
      </c>
      <c r="BB7">
        <v>-2.4245362661989844E-14</v>
      </c>
      <c r="BC7">
        <v>1183488</v>
      </c>
      <c r="BD7" t="s">
        <v>2763</v>
      </c>
      <c r="LS7" t="s">
        <v>2316</v>
      </c>
      <c r="LU7">
        <v>-2.4245362661989844E-14</v>
      </c>
      <c r="LV7">
        <v>-2.4245362661989844E-14</v>
      </c>
      <c r="LW7" t="s">
        <v>1753</v>
      </c>
      <c r="LX7">
        <v>2021</v>
      </c>
      <c r="LY7" t="s">
        <v>2317</v>
      </c>
      <c r="LZ7" s="6">
        <v>44693</v>
      </c>
      <c r="MA7">
        <v>5</v>
      </c>
      <c r="MB7">
        <v>-2.4245362661989844E-14</v>
      </c>
      <c r="MC7">
        <v>179563</v>
      </c>
      <c r="MD7" t="s">
        <v>2318</v>
      </c>
      <c r="MG7" t="s">
        <v>1908</v>
      </c>
      <c r="MH7">
        <v>2.5769839999999999</v>
      </c>
      <c r="MI7" t="s">
        <v>1752</v>
      </c>
      <c r="MJ7">
        <v>5.0774E-2</v>
      </c>
      <c r="MK7" t="s">
        <v>1781</v>
      </c>
      <c r="ML7">
        <v>2026</v>
      </c>
      <c r="MM7" t="s">
        <v>1906</v>
      </c>
      <c r="MN7" s="6">
        <v>46051</v>
      </c>
      <c r="MO7">
        <v>5</v>
      </c>
      <c r="MP7">
        <v>9911673</v>
      </c>
      <c r="MQ7">
        <v>101555</v>
      </c>
      <c r="MR7" t="s">
        <v>1909</v>
      </c>
      <c r="PE7" t="s">
        <v>3981</v>
      </c>
      <c r="PG7">
        <v>-2.4245362661989844E-14</v>
      </c>
      <c r="PH7">
        <v>-2.4245362661989844E-14</v>
      </c>
      <c r="PI7" t="s">
        <v>1753</v>
      </c>
      <c r="PJ7">
        <v>2024</v>
      </c>
      <c r="PK7" t="s">
        <v>3982</v>
      </c>
      <c r="PL7" s="6">
        <v>45743</v>
      </c>
      <c r="PM7">
        <v>4</v>
      </c>
      <c r="PN7">
        <v>-2.4245362661989844E-14</v>
      </c>
      <c r="PO7">
        <v>33322594</v>
      </c>
      <c r="PP7" t="s">
        <v>3983</v>
      </c>
      <c r="TU7" t="s">
        <v>2506</v>
      </c>
      <c r="TW7">
        <v>-2.4245362661989844E-14</v>
      </c>
      <c r="TX7">
        <v>-2.4245362661989844E-14</v>
      </c>
      <c r="TY7" t="s">
        <v>1753</v>
      </c>
      <c r="TZ7">
        <v>2021</v>
      </c>
      <c r="UA7" t="s">
        <v>2507</v>
      </c>
      <c r="UB7" s="6">
        <v>44655</v>
      </c>
      <c r="UC7">
        <v>4</v>
      </c>
      <c r="UD7">
        <v>-2.4245362661989844E-14</v>
      </c>
      <c r="UE7">
        <v>106445</v>
      </c>
      <c r="UF7" t="s">
        <v>2508</v>
      </c>
      <c r="UI7" t="s">
        <v>2434</v>
      </c>
      <c r="UJ7">
        <v>-2.4245362661989844E-14</v>
      </c>
      <c r="UL7">
        <v>-2.4245362661989844E-14</v>
      </c>
      <c r="UM7" t="s">
        <v>1753</v>
      </c>
      <c r="UN7">
        <v>2023</v>
      </c>
      <c r="UO7" t="s">
        <v>2430</v>
      </c>
      <c r="UP7" s="6">
        <v>45040</v>
      </c>
      <c r="UQ7">
        <v>5</v>
      </c>
      <c r="UR7">
        <v>-2.4245362661989844E-14</v>
      </c>
      <c r="US7">
        <v>68720373</v>
      </c>
      <c r="UT7" t="s">
        <v>2435</v>
      </c>
    </row>
    <row r="8" spans="1:600" x14ac:dyDescent="0.25">
      <c r="AE8" t="s">
        <v>2917</v>
      </c>
      <c r="AG8">
        <v>-2.4245362661989844E-14</v>
      </c>
      <c r="AH8">
        <v>-2.4245362661989844E-14</v>
      </c>
      <c r="AI8" t="s">
        <v>1753</v>
      </c>
      <c r="AJ8">
        <v>2024</v>
      </c>
      <c r="AK8" t="s">
        <v>2918</v>
      </c>
      <c r="AL8" s="6">
        <v>45308</v>
      </c>
      <c r="AM8">
        <v>5</v>
      </c>
      <c r="AN8">
        <v>-2.4245362661989844E-14</v>
      </c>
      <c r="AO8">
        <v>27342321</v>
      </c>
      <c r="AP8" t="s">
        <v>2919</v>
      </c>
      <c r="AS8" t="s">
        <v>2764</v>
      </c>
      <c r="AT8">
        <v>-2.4245362661989844E-14</v>
      </c>
      <c r="AV8">
        <v>-2.4245362661989844E-14</v>
      </c>
      <c r="AW8" t="s">
        <v>1753</v>
      </c>
      <c r="AX8">
        <v>2025</v>
      </c>
      <c r="AY8" t="s">
        <v>2765</v>
      </c>
      <c r="AZ8" s="6">
        <v>46079</v>
      </c>
      <c r="BA8">
        <v>4</v>
      </c>
      <c r="BB8">
        <v>-2.4245362661989844E-14</v>
      </c>
      <c r="BC8">
        <v>21491676</v>
      </c>
      <c r="BD8" t="s">
        <v>2766</v>
      </c>
      <c r="LS8" t="s">
        <v>2319</v>
      </c>
      <c r="LU8">
        <v>-2.4245362661989844E-14</v>
      </c>
      <c r="LV8">
        <v>-2.4245362661989844E-14</v>
      </c>
      <c r="LW8" t="s">
        <v>1753</v>
      </c>
      <c r="LX8">
        <v>2021</v>
      </c>
      <c r="LY8" t="s">
        <v>2320</v>
      </c>
      <c r="LZ8" s="6">
        <v>44693</v>
      </c>
      <c r="MA8">
        <v>5</v>
      </c>
      <c r="MB8">
        <v>-2.4245362661989844E-14</v>
      </c>
      <c r="MC8">
        <v>1419689</v>
      </c>
      <c r="MD8" t="s">
        <v>2321</v>
      </c>
      <c r="MG8" t="s">
        <v>1910</v>
      </c>
      <c r="MH8">
        <v>1.949136</v>
      </c>
      <c r="MI8" t="s">
        <v>1828</v>
      </c>
      <c r="MJ8">
        <v>0.50348099999999996</v>
      </c>
      <c r="MK8" t="s">
        <v>1781</v>
      </c>
      <c r="ML8">
        <v>2026</v>
      </c>
      <c r="MM8" t="s">
        <v>1906</v>
      </c>
      <c r="MN8" s="6">
        <v>46051</v>
      </c>
      <c r="MO8">
        <v>5</v>
      </c>
      <c r="MP8">
        <v>7496825</v>
      </c>
      <c r="MQ8">
        <v>21445200</v>
      </c>
      <c r="MR8" t="s">
        <v>1911</v>
      </c>
      <c r="PE8" t="s">
        <v>1110</v>
      </c>
      <c r="PG8">
        <v>-2.4245362661989844E-14</v>
      </c>
      <c r="PH8">
        <v>-2.4245362661989844E-14</v>
      </c>
      <c r="PI8" t="s">
        <v>1774</v>
      </c>
      <c r="PJ8">
        <v>2023</v>
      </c>
      <c r="PK8" t="s">
        <v>2226</v>
      </c>
      <c r="PL8" s="6">
        <v>45174</v>
      </c>
      <c r="PM8">
        <v>4</v>
      </c>
      <c r="PN8">
        <v>-2.4245362661989844E-14</v>
      </c>
      <c r="PO8">
        <v>202476</v>
      </c>
      <c r="PP8" t="s">
        <v>2227</v>
      </c>
      <c r="TU8" t="s">
        <v>2509</v>
      </c>
      <c r="TW8">
        <v>-2.4245362661989844E-14</v>
      </c>
      <c r="TX8">
        <v>-2.4245362661989844E-14</v>
      </c>
      <c r="TY8" t="s">
        <v>1753</v>
      </c>
      <c r="TZ8">
        <v>2023</v>
      </c>
      <c r="UA8" t="s">
        <v>2510</v>
      </c>
      <c r="UB8" s="6">
        <v>45358</v>
      </c>
      <c r="UC8">
        <v>4</v>
      </c>
      <c r="UD8">
        <v>-2.4245362661989844E-14</v>
      </c>
      <c r="UE8">
        <v>16825942</v>
      </c>
      <c r="UF8" t="s">
        <v>2511</v>
      </c>
      <c r="UI8" t="s">
        <v>2436</v>
      </c>
      <c r="UJ8">
        <v>-2.4245362661989844E-14</v>
      </c>
      <c r="UL8">
        <v>-2.4245362661989844E-14</v>
      </c>
      <c r="UM8" t="s">
        <v>1753</v>
      </c>
      <c r="UN8">
        <v>2022</v>
      </c>
      <c r="UO8" t="s">
        <v>2430</v>
      </c>
      <c r="UP8" s="6">
        <v>44664</v>
      </c>
      <c r="UQ8">
        <v>5</v>
      </c>
      <c r="UR8">
        <v>-2.4245362661989844E-14</v>
      </c>
      <c r="US8">
        <v>69653166</v>
      </c>
      <c r="UT8" t="s">
        <v>2437</v>
      </c>
    </row>
    <row r="9" spans="1:600" x14ac:dyDescent="0.25">
      <c r="AE9" t="s">
        <v>2920</v>
      </c>
      <c r="AG9">
        <v>-2.4245362661989844E-14</v>
      </c>
      <c r="AH9">
        <v>-2.4245362661989844E-14</v>
      </c>
      <c r="AI9" t="s">
        <v>1825</v>
      </c>
      <c r="AJ9">
        <v>2025</v>
      </c>
      <c r="AK9" t="s">
        <v>2921</v>
      </c>
      <c r="AL9" s="6">
        <v>45958</v>
      </c>
      <c r="AM9">
        <v>5</v>
      </c>
      <c r="AN9">
        <v>-2.4245362661989844E-14</v>
      </c>
      <c r="AO9">
        <v>33553824</v>
      </c>
      <c r="AP9" t="s">
        <v>2922</v>
      </c>
      <c r="LS9" t="s">
        <v>2322</v>
      </c>
      <c r="LU9">
        <v>-2.4245362661989844E-14</v>
      </c>
      <c r="LV9">
        <v>-2.4245362661989844E-14</v>
      </c>
      <c r="LW9" t="s">
        <v>1753</v>
      </c>
      <c r="LX9">
        <v>2025</v>
      </c>
      <c r="LY9" t="s">
        <v>2323</v>
      </c>
      <c r="LZ9" s="6">
        <v>45947</v>
      </c>
      <c r="MA9">
        <v>5</v>
      </c>
      <c r="MB9">
        <v>-2.4245362661989844E-14</v>
      </c>
      <c r="MC9">
        <v>112457</v>
      </c>
      <c r="MD9" t="s">
        <v>2324</v>
      </c>
      <c r="MG9" t="s">
        <v>1912</v>
      </c>
      <c r="MH9">
        <v>1.8738319999999999</v>
      </c>
      <c r="MI9" t="s">
        <v>1828</v>
      </c>
      <c r="MJ9">
        <v>0.72140899999999997</v>
      </c>
      <c r="MK9" t="s">
        <v>1781</v>
      </c>
      <c r="ML9">
        <v>2026</v>
      </c>
      <c r="MM9" t="s">
        <v>1906</v>
      </c>
      <c r="MN9" s="6">
        <v>46051</v>
      </c>
      <c r="MO9">
        <v>5</v>
      </c>
      <c r="MP9">
        <v>7207189</v>
      </c>
      <c r="MQ9">
        <v>115505</v>
      </c>
      <c r="MR9" t="s">
        <v>1913</v>
      </c>
      <c r="UI9" t="s">
        <v>2438</v>
      </c>
      <c r="UJ9">
        <v>-2.4245362661989844E-14</v>
      </c>
      <c r="UL9">
        <v>-2.4245362661989844E-14</v>
      </c>
      <c r="UM9" t="s">
        <v>1753</v>
      </c>
      <c r="UN9">
        <v>2023</v>
      </c>
      <c r="UO9" t="s">
        <v>2430</v>
      </c>
      <c r="UP9" s="6">
        <v>45239</v>
      </c>
      <c r="UQ9">
        <v>5</v>
      </c>
      <c r="UR9">
        <v>-2.4245362661989844E-14</v>
      </c>
      <c r="US9">
        <v>16653794</v>
      </c>
      <c r="UT9" t="s">
        <v>2439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1429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1430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1431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1432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1433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1434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1435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1436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1437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1438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1439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1440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1441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1442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1443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1444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1445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1446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1447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1448</v>
      </c>
      <c r="AE2" s="3" t="s">
        <v>1449</v>
      </c>
      <c r="BI2" s="3" t="s">
        <v>951</v>
      </c>
      <c r="CM2" s="3" t="s">
        <v>1450</v>
      </c>
      <c r="DQ2" s="3" t="s">
        <v>1451</v>
      </c>
      <c r="EU2" s="3" t="s">
        <v>1452</v>
      </c>
      <c r="FY2" s="3" t="s">
        <v>700</v>
      </c>
      <c r="HC2" s="3" t="s">
        <v>1453</v>
      </c>
      <c r="IG2" s="3" t="s">
        <v>1454</v>
      </c>
      <c r="JK2" s="3" t="s">
        <v>958</v>
      </c>
      <c r="KO2" s="3" t="s">
        <v>1455</v>
      </c>
      <c r="LS2" s="3" t="s">
        <v>1456</v>
      </c>
      <c r="MW2" s="3" t="s">
        <v>1457</v>
      </c>
      <c r="OA2" s="3" t="s">
        <v>1458</v>
      </c>
      <c r="PE2" s="3" t="s">
        <v>1459</v>
      </c>
      <c r="QI2" s="3" t="s">
        <v>634</v>
      </c>
      <c r="RM2" s="3" t="s">
        <v>36</v>
      </c>
      <c r="SQ2" s="3" t="s">
        <v>1460</v>
      </c>
      <c r="TU2" s="3" t="s">
        <v>1180</v>
      </c>
      <c r="UY2" s="3" t="s">
        <v>1461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_xll.BDS("XRIT US Equity","SUPPLY_CHAIN_SUPPLIERS_ALL_DATA")</f>
        <v>#N/A N/A</v>
      </c>
      <c r="O5" t="str">
        <f>_xll.BDS("XRIT US Equity","SUPPLY_CHAIN_CUSTOMERS_ALL_DATA")</f>
        <v>#N/A N/A</v>
      </c>
      <c r="AE5" t="str">
        <f>_xll.BDS("NUE US Equity","SUPPLY_CHAIN_SUPPLIERS_ALL_DATA","cols=12;rows=5")</f>
        <v>ERA FP Equity</v>
      </c>
      <c r="AF5" t="s">
        <v>1752</v>
      </c>
      <c r="AG5">
        <v>4.0357180000000001</v>
      </c>
      <c r="AH5">
        <v>0.44614900000000002</v>
      </c>
      <c r="AI5" t="s">
        <v>1774</v>
      </c>
      <c r="AJ5">
        <v>2025</v>
      </c>
      <c r="AK5" t="s">
        <v>2889</v>
      </c>
      <c r="AL5" s="6">
        <v>45869</v>
      </c>
      <c r="AM5">
        <v>5</v>
      </c>
      <c r="AN5">
        <v>32107227.640000001</v>
      </c>
      <c r="AO5">
        <v>153771</v>
      </c>
      <c r="AP5" t="s">
        <v>2890</v>
      </c>
      <c r="AS5" t="str">
        <f>_xll.BDS("NUE US Equity","SUPPLY_CHAIN_CUSTOMERS_ALL_DATA","cols=12;rows=5")</f>
        <v>TEN IM Equity</v>
      </c>
      <c r="AT5">
        <v>0.99131800000000003</v>
      </c>
      <c r="AU5" t="s">
        <v>1752</v>
      </c>
      <c r="AV5">
        <v>4.3404309999999997</v>
      </c>
      <c r="AW5" t="s">
        <v>1788</v>
      </c>
      <c r="AX5">
        <v>2025</v>
      </c>
      <c r="AY5" t="s">
        <v>4116</v>
      </c>
      <c r="AZ5" s="6">
        <v>45971</v>
      </c>
      <c r="BA5">
        <v>5</v>
      </c>
      <c r="BB5">
        <v>84470216</v>
      </c>
      <c r="BC5">
        <v>7912227</v>
      </c>
      <c r="BD5" t="s">
        <v>4117</v>
      </c>
      <c r="BI5" t="str">
        <f>_xll.BDS("UCB US Equity","SUPPLY_CHAIN_SUPPLIERS_ALL_DATA","cols=12;rows=1")</f>
        <v>3764228Z US Equity</v>
      </c>
      <c r="BK5">
        <v>-2.4245362661989844E-14</v>
      </c>
      <c r="BL5">
        <v>-2.4245362661989844E-14</v>
      </c>
      <c r="BM5" t="s">
        <v>1753</v>
      </c>
      <c r="BN5">
        <v>2024</v>
      </c>
      <c r="BO5" t="s">
        <v>3926</v>
      </c>
      <c r="BP5" s="6">
        <v>45520</v>
      </c>
      <c r="BQ5">
        <v>1</v>
      </c>
      <c r="BR5">
        <v>-2.4245362661989844E-14</v>
      </c>
      <c r="BS5">
        <v>20340995</v>
      </c>
      <c r="BT5" t="s">
        <v>3927</v>
      </c>
      <c r="BW5" t="str">
        <f>_xll.BDS("UCB US Equity","SUPPLY_CHAIN_CUSTOMERS_ALL_DATA")</f>
        <v>#N/A N/A</v>
      </c>
      <c r="CM5" t="str">
        <f>_xll.BDS("1850242D US Equity","SUPPLY_CHAIN_SUPPLIERS_ALL_DATA")</f>
        <v>#N/A N/A</v>
      </c>
      <c r="DA5" t="str">
        <f>_xll.BDS("1850242D US Equity","SUPPLY_CHAIN_CUSTOMERS_ALL_DATA")</f>
        <v>#N/A N/A</v>
      </c>
      <c r="DQ5" t="str">
        <f>_xll.BDS("UBSN SW Equity","SUPPLY_CHAIN_SUPPLIERS_ALL_DATA")</f>
        <v>#N/A N/A</v>
      </c>
      <c r="EE5" t="str">
        <f>_xll.BDS("UBSN SW Equity","SUPPLY_CHAIN_CUSTOMERS_ALL_DATA")</f>
        <v>#N/A N/A</v>
      </c>
      <c r="EU5" t="str">
        <f>_xll.BDS("ELGXQ US Equity","SUPPLY_CHAIN_SUPPLIERS_ALL_DATA","cols=12;rows=2")</f>
        <v>EIX US Equity</v>
      </c>
      <c r="EW5">
        <v>-2.4245362661989844E-14</v>
      </c>
      <c r="EX5">
        <v>-2.4245362661989844E-14</v>
      </c>
      <c r="EY5" t="s">
        <v>1753</v>
      </c>
      <c r="EZ5">
        <v>2021</v>
      </c>
      <c r="FA5" t="s">
        <v>2652</v>
      </c>
      <c r="FB5" s="6">
        <v>44693</v>
      </c>
      <c r="FC5">
        <v>2</v>
      </c>
      <c r="FD5">
        <v>-2.4245362661989844E-14</v>
      </c>
      <c r="FE5">
        <v>101315</v>
      </c>
      <c r="FF5" t="s">
        <v>2653</v>
      </c>
      <c r="FI5" t="str">
        <f>_xll.BDS("ELGXQ US Equity","SUPPLY_CHAIN_CUSTOMERS_ALL_DATA","cols=12;rows=1")</f>
        <v>7575 JP Equity</v>
      </c>
      <c r="FJ5">
        <v>-2.4245362661989844E-14</v>
      </c>
      <c r="FL5">
        <v>-2.4245362661989844E-14</v>
      </c>
      <c r="FM5" t="s">
        <v>1753</v>
      </c>
      <c r="FN5">
        <v>2025</v>
      </c>
      <c r="FO5" t="s">
        <v>2801</v>
      </c>
      <c r="FP5" s="6">
        <v>45827</v>
      </c>
      <c r="FQ5">
        <v>1</v>
      </c>
      <c r="FR5">
        <v>-2.4245362661989844E-14</v>
      </c>
      <c r="FS5">
        <v>304256</v>
      </c>
      <c r="FT5" t="s">
        <v>2802</v>
      </c>
      <c r="FY5" t="str">
        <f>_xll.BDS("SNPS US Equity","SUPPLY_CHAIN_SUPPLIERS_ALL_DATA","cols=12;rows=5")</f>
        <v>000660 KS Equity</v>
      </c>
      <c r="FZ5" t="s">
        <v>1752</v>
      </c>
      <c r="GA5">
        <v>6.9986999999999994E-2</v>
      </c>
      <c r="GB5">
        <v>3.195624</v>
      </c>
      <c r="GC5" t="s">
        <v>1825</v>
      </c>
      <c r="GD5">
        <v>2024</v>
      </c>
      <c r="GE5" t="s">
        <v>2487</v>
      </c>
      <c r="GF5" s="6">
        <v>45805</v>
      </c>
      <c r="GG5">
        <v>5</v>
      </c>
      <c r="GH5">
        <v>8835872.8200000003</v>
      </c>
      <c r="GI5">
        <v>193974</v>
      </c>
      <c r="GJ5" t="s">
        <v>2270</v>
      </c>
      <c r="GM5" t="str">
        <f>_xll.BDS("SNPS US Equity","SUPPLY_CHAIN_CUSTOMERS_ALL_DATA","cols=12;rows=5")</f>
        <v>2454 TT Equity</v>
      </c>
      <c r="GN5">
        <v>3.6540590000000002</v>
      </c>
      <c r="GO5" t="s">
        <v>1752</v>
      </c>
      <c r="GP5">
        <v>2.4199099999999998</v>
      </c>
      <c r="GQ5" t="s">
        <v>1781</v>
      </c>
      <c r="GR5">
        <v>2025</v>
      </c>
      <c r="GS5" t="s">
        <v>2457</v>
      </c>
      <c r="GT5" s="6">
        <v>45866</v>
      </c>
      <c r="GU5">
        <v>5</v>
      </c>
      <c r="GV5">
        <v>58486037.799999997</v>
      </c>
      <c r="GW5">
        <v>7359591</v>
      </c>
      <c r="GX5" t="s">
        <v>2458</v>
      </c>
      <c r="HC5" t="str">
        <f>_xll.BDS("PFLT US Equity","SUPPLY_CHAIN_SUPPLIERS_ALL_DATA","cols=12;rows=1")</f>
        <v>IQST US Equity</v>
      </c>
      <c r="HE5">
        <v>-2.4245362661989844E-14</v>
      </c>
      <c r="HF5">
        <v>-2.4245362661989844E-14</v>
      </c>
      <c r="HG5" t="s">
        <v>1753</v>
      </c>
      <c r="HH5">
        <v>2024</v>
      </c>
      <c r="HI5" t="s">
        <v>2172</v>
      </c>
      <c r="HJ5" s="6">
        <v>45747</v>
      </c>
      <c r="HK5">
        <v>1</v>
      </c>
      <c r="HL5">
        <v>-2.4245362661989844E-14</v>
      </c>
      <c r="HM5">
        <v>27040502</v>
      </c>
      <c r="HN5" t="s">
        <v>2173</v>
      </c>
      <c r="HQ5" t="str">
        <f>_xll.BDS("PFLT US Equity","SUPPLY_CHAIN_CUSTOMERS_ALL_DATA")</f>
        <v>#N/A N/A</v>
      </c>
      <c r="IG5" t="str">
        <f>_xll.BDS("62553Q US Equity","SUPPLY_CHAIN_SUPPLIERS_ALL_DATA")</f>
        <v>#N/A N/A</v>
      </c>
      <c r="IU5" t="str">
        <f>_xll.BDS("62553Q US Equity","SUPPLY_CHAIN_CUSTOMERS_ALL_DATA","cols=12;rows=2")</f>
        <v>5998Z US Equity</v>
      </c>
      <c r="IV5">
        <v>-2.4245362661989844E-14</v>
      </c>
      <c r="IX5">
        <v>-2.4245362661989844E-14</v>
      </c>
      <c r="IY5" t="s">
        <v>1753</v>
      </c>
      <c r="IZ5">
        <v>2026</v>
      </c>
      <c r="JA5" t="s">
        <v>4356</v>
      </c>
      <c r="JB5" s="6">
        <v>46048</v>
      </c>
      <c r="JC5">
        <v>2</v>
      </c>
      <c r="JD5">
        <v>-2.4245362661989844E-14</v>
      </c>
      <c r="JE5">
        <v>196028</v>
      </c>
      <c r="JF5" t="s">
        <v>4357</v>
      </c>
      <c r="JK5" t="str">
        <f>_xll.BDS("1986522D US Equity","SUPPLY_CHAIN_SUPPLIERS_ALL_DATA","cols=12;rows=1")</f>
        <v>FE US Equity</v>
      </c>
      <c r="JM5">
        <v>-2.4245362661989844E-14</v>
      </c>
      <c r="JN5">
        <v>-2.4245362661989844E-14</v>
      </c>
      <c r="JO5" t="s">
        <v>1753</v>
      </c>
      <c r="JP5">
        <v>2021</v>
      </c>
      <c r="JQ5" t="s">
        <v>2222</v>
      </c>
      <c r="JR5" s="6">
        <v>44693</v>
      </c>
      <c r="JS5">
        <v>1</v>
      </c>
      <c r="JT5">
        <v>-2.4245362661989844E-14</v>
      </c>
      <c r="JU5">
        <v>302916</v>
      </c>
      <c r="JV5" t="s">
        <v>2223</v>
      </c>
      <c r="JY5" t="str">
        <f>_xll.BDS("1986522D US Equity","SUPPLY_CHAIN_CUSTOMERS_ALL_DATA")</f>
        <v>#N/A N/A</v>
      </c>
      <c r="KO5" t="str">
        <f>_xll.BDS("2761917Q US Equity","SUPPLY_CHAIN_SUPPLIERS_ALL_DATA")</f>
        <v>#N/A N/A</v>
      </c>
      <c r="LC5" t="str">
        <f>_xll.BDS("2761917Q US Equity","SUPPLY_CHAIN_CUSTOMERS_ALL_DATA")</f>
        <v>#N/A N/A</v>
      </c>
      <c r="LS5" t="str">
        <f>_xll.BDS("OMEF US Equity","SUPPLY_CHAIN_SUPPLIERS_ALL_DATA")</f>
        <v>#N/A N/A</v>
      </c>
      <c r="MG5" t="str">
        <f>_xll.BDS("OMEF US Equity","SUPPLY_CHAIN_CUSTOMERS_ALL_DATA")</f>
        <v>#N/A N/A</v>
      </c>
      <c r="MW5" t="str">
        <f>_xll.BDS("BMY US Equity","SUPPLY_CHAIN_SUPPLIERS_ALL_DATA","cols=12;rows=5")</f>
        <v>PFE US Equity</v>
      </c>
      <c r="MX5" t="s">
        <v>1752</v>
      </c>
      <c r="MY5">
        <v>11.153900999999999</v>
      </c>
      <c r="MZ5">
        <v>50.086109</v>
      </c>
      <c r="NA5" t="s">
        <v>1753</v>
      </c>
      <c r="NB5">
        <v>2025</v>
      </c>
      <c r="NC5" t="s">
        <v>3294</v>
      </c>
      <c r="ND5" s="6">
        <v>46064</v>
      </c>
      <c r="NE5">
        <v>5</v>
      </c>
      <c r="NF5">
        <v>1745000000</v>
      </c>
      <c r="NG5">
        <v>101166</v>
      </c>
      <c r="NH5" t="s">
        <v>2211</v>
      </c>
      <c r="NK5" t="str">
        <f>_xll.BDS("BMY US Equity","SUPPLY_CHAIN_CUSTOMERS_ALL_DATA","cols=12;rows=5")</f>
        <v>MCK US Equity</v>
      </c>
      <c r="NL5">
        <v>36</v>
      </c>
      <c r="NM5" t="s">
        <v>1752</v>
      </c>
      <c r="NN5">
        <v>4.5203889999999998</v>
      </c>
      <c r="NO5" t="s">
        <v>1753</v>
      </c>
      <c r="NP5">
        <v>2025</v>
      </c>
      <c r="NQ5" t="s">
        <v>3294</v>
      </c>
      <c r="NR5" s="6">
        <v>46064</v>
      </c>
      <c r="NS5">
        <v>5</v>
      </c>
      <c r="NT5">
        <v>4337460224</v>
      </c>
      <c r="NU5">
        <v>154936</v>
      </c>
      <c r="NV5" t="s">
        <v>2342</v>
      </c>
      <c r="OA5" t="str">
        <f>_xll.BDS("DE US Equity","SUPPLY_CHAIN_SUPPLIERS_ALL_DATA","cols=12;rows=5")</f>
        <v>NVDA US Equity</v>
      </c>
      <c r="OB5" t="s">
        <v>1752</v>
      </c>
      <c r="OC5">
        <v>9.3103000000000005E-2</v>
      </c>
      <c r="OD5">
        <v>1.0100039999999999</v>
      </c>
      <c r="OE5" t="s">
        <v>1825</v>
      </c>
      <c r="OF5">
        <v>2026</v>
      </c>
      <c r="OG5" t="s">
        <v>2352</v>
      </c>
      <c r="OH5" s="6">
        <v>46087</v>
      </c>
      <c r="OI5">
        <v>5</v>
      </c>
      <c r="OJ5">
        <v>63428280</v>
      </c>
      <c r="OK5">
        <v>313657</v>
      </c>
      <c r="OL5" t="s">
        <v>2353</v>
      </c>
      <c r="OO5" t="str">
        <f>_xll.BDS("DE US Equity","SUPPLY_CHAIN_CUSTOMERS_ALL_DATA","cols=12;rows=5")</f>
        <v>LOW US Equity</v>
      </c>
      <c r="OP5">
        <v>4.4525009999999998</v>
      </c>
      <c r="OQ5" t="s">
        <v>1752</v>
      </c>
      <c r="OR5">
        <v>3.3743319999999999</v>
      </c>
      <c r="OS5" t="s">
        <v>1774</v>
      </c>
      <c r="OT5">
        <v>2026</v>
      </c>
      <c r="OU5" t="s">
        <v>2703</v>
      </c>
      <c r="OV5" s="6">
        <v>45940</v>
      </c>
      <c r="OW5">
        <v>5</v>
      </c>
      <c r="OX5">
        <v>535101568</v>
      </c>
      <c r="OY5">
        <v>100916</v>
      </c>
      <c r="OZ5" t="s">
        <v>1936</v>
      </c>
      <c r="PE5" t="str">
        <f>_xll.BDS("MYL US Equity","SUPPLY_CHAIN_SUPPLIERS_ALL_DATA","cols=12;rows=1")</f>
        <v>FE US Equity</v>
      </c>
      <c r="PG5">
        <v>-2.4245362661989844E-14</v>
      </c>
      <c r="PH5">
        <v>-2.4245362661989844E-14</v>
      </c>
      <c r="PI5" t="s">
        <v>1753</v>
      </c>
      <c r="PJ5">
        <v>2021</v>
      </c>
      <c r="PK5" t="s">
        <v>2222</v>
      </c>
      <c r="PL5" s="6">
        <v>44693</v>
      </c>
      <c r="PM5">
        <v>1</v>
      </c>
      <c r="PN5">
        <v>-2.4245362661989844E-14</v>
      </c>
      <c r="PO5">
        <v>302916</v>
      </c>
      <c r="PP5" t="s">
        <v>2223</v>
      </c>
      <c r="PS5" t="str">
        <f>_xll.BDS("MYL US Equity","SUPPLY_CHAIN_CUSTOMERS_ALL_DATA")</f>
        <v>#N/A N/A</v>
      </c>
      <c r="QI5" t="str">
        <f>_xll.BDS("FULT US Equity","SUPPLY_CHAIN_SUPPLIERS_ALL_DATA","cols=12;rows=2")</f>
        <v>DLX US Equity</v>
      </c>
      <c r="QK5">
        <v>-2.4245362661989844E-14</v>
      </c>
      <c r="QL5">
        <v>-2.4245362661989844E-14</v>
      </c>
      <c r="QM5" t="s">
        <v>1788</v>
      </c>
      <c r="QN5">
        <v>2023</v>
      </c>
      <c r="QO5" t="s">
        <v>2150</v>
      </c>
      <c r="QP5" s="6">
        <v>45265</v>
      </c>
      <c r="QQ5">
        <v>2</v>
      </c>
      <c r="QR5">
        <v>-2.4245362661989844E-14</v>
      </c>
      <c r="QS5">
        <v>100444</v>
      </c>
      <c r="QT5" t="s">
        <v>2151</v>
      </c>
      <c r="QW5" t="str">
        <f>_xll.BDS("FULT US Equity","SUPPLY_CHAIN_CUSTOMERS_ALL_DATA")</f>
        <v>#N/A N/A</v>
      </c>
      <c r="RM5" t="str">
        <f>_xll.BDS("WBS US Equity","SUPPLY_CHAIN_SUPPLIERS_ALL_DATA","cols=12;rows=2")</f>
        <v>FISV US Equity</v>
      </c>
      <c r="RO5">
        <v>-2.4245362661989844E-14</v>
      </c>
      <c r="RP5">
        <v>-2.4245362661989844E-14</v>
      </c>
      <c r="RQ5" t="s">
        <v>1768</v>
      </c>
      <c r="RR5">
        <v>2023</v>
      </c>
      <c r="RS5" t="s">
        <v>2153</v>
      </c>
      <c r="RT5" s="6">
        <v>45245</v>
      </c>
      <c r="RU5">
        <v>2</v>
      </c>
      <c r="RV5">
        <v>-2.4245362661989844E-14</v>
      </c>
      <c r="RW5">
        <v>103882</v>
      </c>
      <c r="RX5" t="s">
        <v>2154</v>
      </c>
      <c r="SA5" t="str">
        <f>_xll.BDS("WBS US Equity","SUPPLY_CHAIN_CUSTOMERS_ALL_DATA","cols=12;rows=1")</f>
        <v>CNXN US Equity</v>
      </c>
      <c r="SB5">
        <v>-2.4245362661989844E-14</v>
      </c>
      <c r="SD5">
        <v>-2.4245362661989844E-14</v>
      </c>
      <c r="SE5" t="s">
        <v>1781</v>
      </c>
      <c r="SF5">
        <v>2025</v>
      </c>
      <c r="SG5" t="s">
        <v>1961</v>
      </c>
      <c r="SH5" s="6">
        <v>45799</v>
      </c>
      <c r="SI5">
        <v>1</v>
      </c>
      <c r="SJ5">
        <v>-2.4245362661989844E-14</v>
      </c>
      <c r="SK5">
        <v>313021</v>
      </c>
      <c r="SL5" t="s">
        <v>1962</v>
      </c>
      <c r="SQ5" t="str">
        <f>_xll.BDS("SLRC US Equity","SUPPLY_CHAIN_SUPPLIERS_ALL_DATA")</f>
        <v>#N/A N/A</v>
      </c>
      <c r="TE5" t="str">
        <f>_xll.BDS("SLRC US Equity","SUPPLY_CHAIN_CUSTOMERS_ALL_DATA")</f>
        <v>#N/A N/A</v>
      </c>
      <c r="TU5" t="str">
        <f>_xll.BDS("BRK/A US Equity","SUPPLY_CHAIN_SUPPLIERS_ALL_DATA","cols=12;rows=5")</f>
        <v>HSY US Equity</v>
      </c>
      <c r="TV5" t="s">
        <v>1752</v>
      </c>
      <c r="TW5">
        <v>27</v>
      </c>
      <c r="TX5">
        <v>1.2151259999999999</v>
      </c>
      <c r="TY5" t="s">
        <v>1753</v>
      </c>
      <c r="TZ5">
        <v>2025</v>
      </c>
      <c r="UA5" t="s">
        <v>3710</v>
      </c>
      <c r="UB5" s="6">
        <v>46070</v>
      </c>
      <c r="UC5">
        <v>5</v>
      </c>
      <c r="UD5">
        <v>789248896</v>
      </c>
      <c r="UE5">
        <v>100731</v>
      </c>
      <c r="UF5" t="s">
        <v>3711</v>
      </c>
      <c r="UI5" t="str">
        <f>_xll.BDS("BRK/A US Equity","SUPPLY_CHAIN_CUSTOMERS_ALL_DATA","cols=12;rows=5")</f>
        <v>WMT US Equity</v>
      </c>
      <c r="UJ5">
        <v>2.1167449999999999</v>
      </c>
      <c r="UK5" t="s">
        <v>1752</v>
      </c>
      <c r="UL5">
        <v>1.7547349999999999</v>
      </c>
      <c r="UM5" t="s">
        <v>1753</v>
      </c>
      <c r="UN5">
        <v>2024</v>
      </c>
      <c r="UO5" t="s">
        <v>3653</v>
      </c>
      <c r="UP5" s="6">
        <v>45712</v>
      </c>
      <c r="UQ5">
        <v>5</v>
      </c>
      <c r="UR5">
        <v>2244977664</v>
      </c>
      <c r="US5">
        <v>101616</v>
      </c>
      <c r="UT5" t="s">
        <v>2752</v>
      </c>
      <c r="UY5" t="str">
        <f>_xll.BDS("CAH US Equity","SUPPLY_CHAIN_SUPPLIERS_ALL_DATA","cols=12;rows=5")</f>
        <v>LLY US Equity</v>
      </c>
      <c r="UZ5" t="s">
        <v>1752</v>
      </c>
      <c r="VA5">
        <v>19.020800000000001</v>
      </c>
      <c r="VB5">
        <v>5.4268320000000001</v>
      </c>
      <c r="VC5" t="s">
        <v>1788</v>
      </c>
      <c r="VD5">
        <v>2025</v>
      </c>
      <c r="VE5" t="s">
        <v>3438</v>
      </c>
      <c r="VF5" s="6">
        <v>46041</v>
      </c>
      <c r="VG5">
        <v>5</v>
      </c>
      <c r="VH5">
        <v>3347812864</v>
      </c>
      <c r="VI5">
        <v>100894</v>
      </c>
      <c r="VJ5" t="s">
        <v>3439</v>
      </c>
      <c r="VM5" t="str">
        <f>_xll.BDS("CAH US Equity","SUPPLY_CHAIN_CUSTOMERS_ALL_DATA","cols=12;rows=5")</f>
        <v>CVS US Equity</v>
      </c>
      <c r="VN5">
        <v>30</v>
      </c>
      <c r="VO5" t="s">
        <v>1752</v>
      </c>
      <c r="VP5">
        <v>20.040337000000001</v>
      </c>
      <c r="VQ5" t="s">
        <v>1753</v>
      </c>
      <c r="VR5">
        <v>2025</v>
      </c>
      <c r="VS5" t="s">
        <v>3551</v>
      </c>
      <c r="VT5" s="6">
        <v>45881</v>
      </c>
      <c r="VU5">
        <v>5</v>
      </c>
      <c r="VV5">
        <v>16693350400</v>
      </c>
      <c r="VW5">
        <v>100976</v>
      </c>
      <c r="VX5" t="s">
        <v>1901</v>
      </c>
    </row>
    <row r="6" spans="1:600" x14ac:dyDescent="0.25">
      <c r="AE6" t="s">
        <v>4325</v>
      </c>
      <c r="AF6" t="s">
        <v>1752</v>
      </c>
      <c r="AG6">
        <v>0.31279600000000002</v>
      </c>
      <c r="AH6">
        <v>0.32251000000000002</v>
      </c>
      <c r="AI6" t="s">
        <v>1781</v>
      </c>
      <c r="AJ6">
        <v>2026</v>
      </c>
      <c r="AK6" t="s">
        <v>4326</v>
      </c>
      <c r="AL6" s="6">
        <v>45987</v>
      </c>
      <c r="AM6">
        <v>5</v>
      </c>
      <c r="AN6">
        <v>24152694.91</v>
      </c>
      <c r="AO6">
        <v>7847241</v>
      </c>
      <c r="AP6" t="s">
        <v>4327</v>
      </c>
      <c r="AS6" t="s">
        <v>4118</v>
      </c>
      <c r="AT6">
        <v>0.69614900000000002</v>
      </c>
      <c r="AU6" t="s">
        <v>1752</v>
      </c>
      <c r="AV6">
        <v>1.845674</v>
      </c>
      <c r="AW6" t="s">
        <v>1774</v>
      </c>
      <c r="AX6">
        <v>2025</v>
      </c>
      <c r="AY6" t="s">
        <v>4119</v>
      </c>
      <c r="AZ6" s="6">
        <v>45870</v>
      </c>
      <c r="BA6">
        <v>5</v>
      </c>
      <c r="BB6">
        <v>58866388</v>
      </c>
      <c r="BC6">
        <v>100787</v>
      </c>
      <c r="BD6" t="s">
        <v>4120</v>
      </c>
      <c r="EU6" t="s">
        <v>2909</v>
      </c>
      <c r="EW6">
        <v>-2.4245362661989844E-14</v>
      </c>
      <c r="EX6">
        <v>-2.4245362661989844E-14</v>
      </c>
      <c r="EY6" t="s">
        <v>1753</v>
      </c>
      <c r="EZ6">
        <v>2021</v>
      </c>
      <c r="FA6" t="s">
        <v>2910</v>
      </c>
      <c r="FB6" s="6">
        <v>44693</v>
      </c>
      <c r="FC6">
        <v>2</v>
      </c>
      <c r="FD6">
        <v>-2.4245362661989844E-14</v>
      </c>
      <c r="FE6">
        <v>101139</v>
      </c>
      <c r="FF6" t="s">
        <v>2911</v>
      </c>
      <c r="FY6" t="s">
        <v>2488</v>
      </c>
      <c r="FZ6" t="s">
        <v>1940</v>
      </c>
      <c r="GA6">
        <v>1.3923300000000001</v>
      </c>
      <c r="GB6">
        <v>0.75693999999999995</v>
      </c>
      <c r="GC6" t="s">
        <v>1753</v>
      </c>
      <c r="GD6">
        <v>2025</v>
      </c>
      <c r="GE6" t="s">
        <v>2489</v>
      </c>
      <c r="GF6" s="6">
        <v>46064</v>
      </c>
      <c r="GG6">
        <v>5</v>
      </c>
      <c r="GH6">
        <v>3873000</v>
      </c>
      <c r="GI6">
        <v>202222</v>
      </c>
      <c r="GJ6" t="s">
        <v>2490</v>
      </c>
      <c r="GM6" t="s">
        <v>1969</v>
      </c>
      <c r="GN6">
        <v>0.13498599999999999</v>
      </c>
      <c r="GO6" t="s">
        <v>1752</v>
      </c>
      <c r="GP6">
        <v>1.9434E-2</v>
      </c>
      <c r="GQ6" t="s">
        <v>1774</v>
      </c>
      <c r="GR6">
        <v>2025</v>
      </c>
      <c r="GS6" t="s">
        <v>1970</v>
      </c>
      <c r="GT6" s="6">
        <v>45876</v>
      </c>
      <c r="GU6">
        <v>5</v>
      </c>
      <c r="GV6">
        <v>2165531</v>
      </c>
      <c r="GW6">
        <v>100285</v>
      </c>
      <c r="GX6" t="s">
        <v>1971</v>
      </c>
      <c r="IU6" t="s">
        <v>4358</v>
      </c>
      <c r="IV6">
        <v>-2.4245362661989844E-14</v>
      </c>
      <c r="IX6">
        <v>-2.4245362661989844E-14</v>
      </c>
      <c r="IY6" t="s">
        <v>1753</v>
      </c>
      <c r="IZ6">
        <v>2025</v>
      </c>
      <c r="JA6" t="s">
        <v>4356</v>
      </c>
      <c r="JB6" s="6">
        <v>45874</v>
      </c>
      <c r="JC6">
        <v>2</v>
      </c>
      <c r="JD6">
        <v>-2.4245362661989844E-14</v>
      </c>
      <c r="JE6">
        <v>112554</v>
      </c>
      <c r="JF6" t="s">
        <v>4359</v>
      </c>
      <c r="MW6" t="s">
        <v>3456</v>
      </c>
      <c r="MX6" t="s">
        <v>1752</v>
      </c>
      <c r="MY6">
        <v>25.6</v>
      </c>
      <c r="MZ6">
        <v>5.8001680000000002</v>
      </c>
      <c r="NA6" t="s">
        <v>1753</v>
      </c>
      <c r="NB6">
        <v>2025</v>
      </c>
      <c r="NC6" t="s">
        <v>3457</v>
      </c>
      <c r="ND6" s="6">
        <v>45827</v>
      </c>
      <c r="NE6">
        <v>5</v>
      </c>
      <c r="NF6">
        <v>204217368.44999999</v>
      </c>
      <c r="NG6">
        <v>114514</v>
      </c>
      <c r="NH6" t="s">
        <v>3458</v>
      </c>
      <c r="NK6" t="s">
        <v>1545</v>
      </c>
      <c r="NL6">
        <v>29</v>
      </c>
      <c r="NM6" t="s">
        <v>1752</v>
      </c>
      <c r="NN6">
        <v>4.4540850000000001</v>
      </c>
      <c r="NO6" t="s">
        <v>1753</v>
      </c>
      <c r="NP6">
        <v>2025</v>
      </c>
      <c r="NQ6" t="s">
        <v>3294</v>
      </c>
      <c r="NR6" s="6">
        <v>46064</v>
      </c>
      <c r="NS6">
        <v>5</v>
      </c>
      <c r="NT6">
        <v>3494064896</v>
      </c>
      <c r="NU6">
        <v>156969</v>
      </c>
      <c r="NV6" t="s">
        <v>2340</v>
      </c>
      <c r="OA6" t="s">
        <v>3507</v>
      </c>
      <c r="OB6" t="s">
        <v>1752</v>
      </c>
      <c r="OC6">
        <v>2.5680269999999998</v>
      </c>
      <c r="OD6">
        <v>1.1991259999999999</v>
      </c>
      <c r="OE6" t="s">
        <v>1781</v>
      </c>
      <c r="OF6">
        <v>2025</v>
      </c>
      <c r="OG6" t="s">
        <v>3508</v>
      </c>
      <c r="OH6" s="6">
        <v>45777</v>
      </c>
      <c r="OI6">
        <v>5</v>
      </c>
      <c r="OJ6">
        <v>60400000</v>
      </c>
      <c r="OK6">
        <v>13954993</v>
      </c>
      <c r="OL6" t="s">
        <v>3509</v>
      </c>
      <c r="OO6" t="s">
        <v>2704</v>
      </c>
      <c r="OP6">
        <v>0.78303699999999998</v>
      </c>
      <c r="OQ6" t="s">
        <v>1752</v>
      </c>
      <c r="OR6">
        <v>3.9047879999999999</v>
      </c>
      <c r="OS6" t="s">
        <v>1788</v>
      </c>
      <c r="OT6">
        <v>2025</v>
      </c>
      <c r="OU6" t="s">
        <v>1829</v>
      </c>
      <c r="OV6" s="6">
        <v>45904</v>
      </c>
      <c r="OW6">
        <v>5</v>
      </c>
      <c r="OX6">
        <v>94105384</v>
      </c>
      <c r="OY6">
        <v>302887</v>
      </c>
      <c r="OZ6" t="s">
        <v>2705</v>
      </c>
      <c r="QI6" t="s">
        <v>2152</v>
      </c>
      <c r="QK6">
        <v>-2.4245362661989844E-14</v>
      </c>
      <c r="QL6">
        <v>-2.4245362661989844E-14</v>
      </c>
      <c r="QM6" t="s">
        <v>1768</v>
      </c>
      <c r="QN6">
        <v>2023</v>
      </c>
      <c r="QO6" t="s">
        <v>2153</v>
      </c>
      <c r="QP6" s="6">
        <v>45245</v>
      </c>
      <c r="QQ6">
        <v>2</v>
      </c>
      <c r="QR6">
        <v>-2.4245362661989844E-14</v>
      </c>
      <c r="QS6">
        <v>103882</v>
      </c>
      <c r="QT6" t="s">
        <v>2154</v>
      </c>
      <c r="RM6" t="s">
        <v>3899</v>
      </c>
      <c r="RO6">
        <v>-2.4245362661989844E-14</v>
      </c>
      <c r="RP6">
        <v>-2.4245362661989844E-14</v>
      </c>
      <c r="RQ6" t="s">
        <v>1781</v>
      </c>
      <c r="RR6">
        <v>2024</v>
      </c>
      <c r="RS6" t="s">
        <v>3900</v>
      </c>
      <c r="RT6" s="6">
        <v>45432</v>
      </c>
      <c r="RU6">
        <v>2</v>
      </c>
      <c r="RV6">
        <v>-2.4245362661989844E-14</v>
      </c>
      <c r="RW6">
        <v>1750153</v>
      </c>
      <c r="RX6" t="s">
        <v>3901</v>
      </c>
      <c r="TU6" t="s">
        <v>632</v>
      </c>
      <c r="TV6" t="s">
        <v>1828</v>
      </c>
      <c r="TW6">
        <v>6.6028770000000003</v>
      </c>
      <c r="TX6">
        <v>5.0506979999999997</v>
      </c>
      <c r="TY6" t="s">
        <v>1774</v>
      </c>
      <c r="TZ6">
        <v>2025</v>
      </c>
      <c r="UA6" t="s">
        <v>2399</v>
      </c>
      <c r="UB6" s="6">
        <v>45915</v>
      </c>
      <c r="UC6">
        <v>5</v>
      </c>
      <c r="UD6">
        <v>245362912</v>
      </c>
      <c r="UE6">
        <v>101464</v>
      </c>
      <c r="UF6" t="s">
        <v>3712</v>
      </c>
      <c r="UI6" t="s">
        <v>2165</v>
      </c>
      <c r="UJ6">
        <v>1.615089</v>
      </c>
      <c r="UK6" t="s">
        <v>1752</v>
      </c>
      <c r="UL6">
        <v>12.136977999999999</v>
      </c>
      <c r="UM6" t="s">
        <v>1753</v>
      </c>
      <c r="UN6">
        <v>2024</v>
      </c>
      <c r="UO6" t="s">
        <v>3653</v>
      </c>
      <c r="UP6" s="6">
        <v>45712</v>
      </c>
      <c r="UQ6">
        <v>5</v>
      </c>
      <c r="UR6">
        <v>1712931072</v>
      </c>
      <c r="US6">
        <v>9917432</v>
      </c>
      <c r="UT6" t="s">
        <v>2166</v>
      </c>
      <c r="UY6" t="s">
        <v>3411</v>
      </c>
      <c r="UZ6" t="s">
        <v>1752</v>
      </c>
      <c r="VA6">
        <v>18.560427000000001</v>
      </c>
      <c r="VB6">
        <v>4.8780200000000002</v>
      </c>
      <c r="VC6" t="s">
        <v>1825</v>
      </c>
      <c r="VD6">
        <v>2025</v>
      </c>
      <c r="VE6" t="s">
        <v>3412</v>
      </c>
      <c r="VF6" s="6">
        <v>46077</v>
      </c>
      <c r="VG6">
        <v>5</v>
      </c>
      <c r="VH6">
        <v>3084371712</v>
      </c>
      <c r="VI6">
        <v>28046509</v>
      </c>
      <c r="VJ6" t="s">
        <v>3413</v>
      </c>
      <c r="VM6" t="s">
        <v>3552</v>
      </c>
      <c r="VN6">
        <v>4</v>
      </c>
      <c r="VP6">
        <v>-2.4245362661989844E-14</v>
      </c>
      <c r="VQ6" t="s">
        <v>1825</v>
      </c>
      <c r="VR6">
        <v>2025</v>
      </c>
      <c r="VS6" t="s">
        <v>3553</v>
      </c>
      <c r="VT6" s="6">
        <v>45954</v>
      </c>
      <c r="VU6">
        <v>5</v>
      </c>
      <c r="VV6">
        <v>2406360064</v>
      </c>
      <c r="VW6">
        <v>48003505</v>
      </c>
      <c r="VX6" t="s">
        <v>3554</v>
      </c>
    </row>
    <row r="7" spans="1:600" x14ac:dyDescent="0.25">
      <c r="AE7" t="s">
        <v>4328</v>
      </c>
      <c r="AF7" t="s">
        <v>1752</v>
      </c>
      <c r="AG7">
        <v>2.2668499999999998</v>
      </c>
      <c r="AH7">
        <v>0.17769299999999999</v>
      </c>
      <c r="AI7" t="s">
        <v>1788</v>
      </c>
      <c r="AJ7">
        <v>2025</v>
      </c>
      <c r="AK7" t="s">
        <v>4329</v>
      </c>
      <c r="AL7" s="6">
        <v>46029</v>
      </c>
      <c r="AM7">
        <v>5</v>
      </c>
      <c r="AN7">
        <v>13030194</v>
      </c>
      <c r="AO7">
        <v>100711</v>
      </c>
      <c r="AP7" t="s">
        <v>4330</v>
      </c>
      <c r="AS7" t="s">
        <v>1969</v>
      </c>
      <c r="AT7">
        <v>8.4847000000000006E-2</v>
      </c>
      <c r="AU7" t="s">
        <v>1752</v>
      </c>
      <c r="AV7">
        <v>6.4387E-2</v>
      </c>
      <c r="AW7" t="s">
        <v>1774</v>
      </c>
      <c r="AX7">
        <v>2025</v>
      </c>
      <c r="AY7" t="s">
        <v>1970</v>
      </c>
      <c r="AZ7" s="6">
        <v>45876</v>
      </c>
      <c r="BA7">
        <v>5</v>
      </c>
      <c r="BB7">
        <v>7174643</v>
      </c>
      <c r="BC7">
        <v>100285</v>
      </c>
      <c r="BD7" t="s">
        <v>1971</v>
      </c>
      <c r="FY7" t="s">
        <v>1554</v>
      </c>
      <c r="FZ7" t="s">
        <v>1752</v>
      </c>
      <c r="GA7">
        <v>3.5019999999999999E-3</v>
      </c>
      <c r="GB7">
        <v>0.37431399999999998</v>
      </c>
      <c r="GC7" t="s">
        <v>1825</v>
      </c>
      <c r="GD7">
        <v>2026</v>
      </c>
      <c r="GE7" t="s">
        <v>2352</v>
      </c>
      <c r="GF7" s="6">
        <v>46087</v>
      </c>
      <c r="GG7">
        <v>5</v>
      </c>
      <c r="GH7">
        <v>2385808</v>
      </c>
      <c r="GI7">
        <v>313657</v>
      </c>
      <c r="GJ7" t="s">
        <v>2353</v>
      </c>
      <c r="GM7" t="s">
        <v>1547</v>
      </c>
      <c r="GN7">
        <v>0.11786099999999999</v>
      </c>
      <c r="GO7" t="s">
        <v>1752</v>
      </c>
      <c r="GP7">
        <v>2.8398E-2</v>
      </c>
      <c r="GQ7" t="s">
        <v>1781</v>
      </c>
      <c r="GR7">
        <v>2025</v>
      </c>
      <c r="GS7" t="s">
        <v>2157</v>
      </c>
      <c r="GT7" s="6">
        <v>45784</v>
      </c>
      <c r="GU7">
        <v>5</v>
      </c>
      <c r="GV7">
        <v>1715246</v>
      </c>
      <c r="GW7">
        <v>100115</v>
      </c>
      <c r="GX7" t="s">
        <v>1922</v>
      </c>
      <c r="MW7" t="s">
        <v>3459</v>
      </c>
      <c r="MX7" t="s">
        <v>1752</v>
      </c>
      <c r="MY7">
        <v>91.610000999999997</v>
      </c>
      <c r="MZ7">
        <v>5.3039319999999996</v>
      </c>
      <c r="NA7" t="s">
        <v>1753</v>
      </c>
      <c r="NB7">
        <v>2024</v>
      </c>
      <c r="NC7" t="s">
        <v>3460</v>
      </c>
      <c r="ND7" s="6">
        <v>45744</v>
      </c>
      <c r="NE7">
        <v>5</v>
      </c>
      <c r="NF7">
        <v>185227362.65000001</v>
      </c>
      <c r="NG7">
        <v>41186103</v>
      </c>
      <c r="NH7" t="s">
        <v>3461</v>
      </c>
      <c r="NK7" t="s">
        <v>1461</v>
      </c>
      <c r="NL7">
        <v>22</v>
      </c>
      <c r="NM7" t="s">
        <v>1752</v>
      </c>
      <c r="NN7">
        <v>4.4996770000000001</v>
      </c>
      <c r="NO7" t="s">
        <v>1753</v>
      </c>
      <c r="NP7">
        <v>2025</v>
      </c>
      <c r="NQ7" t="s">
        <v>3294</v>
      </c>
      <c r="NR7" s="6">
        <v>46064</v>
      </c>
      <c r="NS7">
        <v>5</v>
      </c>
      <c r="NT7">
        <v>2650670080</v>
      </c>
      <c r="NU7">
        <v>102782</v>
      </c>
      <c r="NV7" t="s">
        <v>1991</v>
      </c>
      <c r="OA7" t="s">
        <v>2706</v>
      </c>
      <c r="OB7" t="s">
        <v>1752</v>
      </c>
      <c r="OC7">
        <v>2.3823439999999998</v>
      </c>
      <c r="OD7">
        <v>0.72855099999999995</v>
      </c>
      <c r="OE7" t="s">
        <v>1788</v>
      </c>
      <c r="OF7">
        <v>2025</v>
      </c>
      <c r="OG7" t="s">
        <v>1829</v>
      </c>
      <c r="OH7" s="6">
        <v>45904</v>
      </c>
      <c r="OI7">
        <v>5</v>
      </c>
      <c r="OJ7">
        <v>55151312</v>
      </c>
      <c r="OK7">
        <v>113700</v>
      </c>
      <c r="OL7" t="s">
        <v>2707</v>
      </c>
      <c r="OO7" t="s">
        <v>2706</v>
      </c>
      <c r="OP7">
        <v>0.75609499999999996</v>
      </c>
      <c r="OQ7" t="s">
        <v>1752</v>
      </c>
      <c r="OR7">
        <v>5.6834300000000004</v>
      </c>
      <c r="OS7" t="s">
        <v>1788</v>
      </c>
      <c r="OT7">
        <v>2025</v>
      </c>
      <c r="OU7" t="s">
        <v>1829</v>
      </c>
      <c r="OV7" s="6">
        <v>45904</v>
      </c>
      <c r="OW7">
        <v>5</v>
      </c>
      <c r="OX7">
        <v>90867496</v>
      </c>
      <c r="OY7">
        <v>113700</v>
      </c>
      <c r="OZ7" t="s">
        <v>2707</v>
      </c>
      <c r="TU7" t="s">
        <v>3713</v>
      </c>
      <c r="TV7" t="s">
        <v>1752</v>
      </c>
      <c r="TW7">
        <v>18</v>
      </c>
      <c r="TX7">
        <v>0.28558099999999997</v>
      </c>
      <c r="TY7" t="s">
        <v>1753</v>
      </c>
      <c r="TZ7">
        <v>2025</v>
      </c>
      <c r="UA7" t="s">
        <v>3714</v>
      </c>
      <c r="UB7" s="6">
        <v>46079</v>
      </c>
      <c r="UC7">
        <v>5</v>
      </c>
      <c r="UD7">
        <v>185490768</v>
      </c>
      <c r="UE7">
        <v>103442</v>
      </c>
      <c r="UF7" t="s">
        <v>3715</v>
      </c>
      <c r="UI7" t="s">
        <v>3654</v>
      </c>
      <c r="UJ7">
        <v>1.5294399999999999</v>
      </c>
      <c r="UL7">
        <v>-2.4245362661989844E-14</v>
      </c>
      <c r="UM7" t="s">
        <v>1753</v>
      </c>
      <c r="UN7">
        <v>2024</v>
      </c>
      <c r="UO7" t="s">
        <v>3653</v>
      </c>
      <c r="UP7" s="6">
        <v>45712</v>
      </c>
      <c r="UQ7">
        <v>5</v>
      </c>
      <c r="UR7">
        <v>1622093696</v>
      </c>
      <c r="US7">
        <v>302359</v>
      </c>
      <c r="UT7" t="s">
        <v>3655</v>
      </c>
      <c r="UY7" t="s">
        <v>265</v>
      </c>
      <c r="UZ7" t="s">
        <v>1752</v>
      </c>
      <c r="VA7">
        <v>12.373919000000001</v>
      </c>
      <c r="VB7">
        <v>4.81257</v>
      </c>
      <c r="VC7" t="s">
        <v>1788</v>
      </c>
      <c r="VD7">
        <v>2025</v>
      </c>
      <c r="VE7" t="s">
        <v>2577</v>
      </c>
      <c r="VF7" s="6">
        <v>46018</v>
      </c>
      <c r="VG7">
        <v>5</v>
      </c>
      <c r="VH7">
        <v>2968874496</v>
      </c>
      <c r="VI7">
        <v>100828</v>
      </c>
      <c r="VJ7" t="s">
        <v>2578</v>
      </c>
      <c r="VM7" t="s">
        <v>3555</v>
      </c>
      <c r="VN7">
        <v>3.75</v>
      </c>
      <c r="VP7">
        <v>-2.4245362661989844E-14</v>
      </c>
      <c r="VQ7" t="s">
        <v>1825</v>
      </c>
      <c r="VR7">
        <v>2025</v>
      </c>
      <c r="VS7" t="s">
        <v>3553</v>
      </c>
      <c r="VT7" s="6">
        <v>45954</v>
      </c>
      <c r="VU7">
        <v>5</v>
      </c>
      <c r="VV7">
        <v>2255962624</v>
      </c>
      <c r="VW7">
        <v>353064</v>
      </c>
      <c r="VX7" t="s">
        <v>3556</v>
      </c>
    </row>
    <row r="8" spans="1:600" x14ac:dyDescent="0.25">
      <c r="AE8" t="s">
        <v>4331</v>
      </c>
      <c r="AF8" t="s">
        <v>1752</v>
      </c>
      <c r="AG8">
        <v>2.0115419999999999</v>
      </c>
      <c r="AH8">
        <v>0.17267299999999999</v>
      </c>
      <c r="AI8" t="s">
        <v>1774</v>
      </c>
      <c r="AJ8">
        <v>2025</v>
      </c>
      <c r="AK8" t="s">
        <v>4332</v>
      </c>
      <c r="AL8" s="6">
        <v>45967</v>
      </c>
      <c r="AM8">
        <v>5</v>
      </c>
      <c r="AN8">
        <v>12545691.76</v>
      </c>
      <c r="AO8">
        <v>111410</v>
      </c>
      <c r="AP8" t="s">
        <v>4333</v>
      </c>
      <c r="AS8" t="s">
        <v>4121</v>
      </c>
      <c r="AT8">
        <v>-2.4245362661989844E-14</v>
      </c>
      <c r="AV8">
        <v>-2.4245362661989844E-14</v>
      </c>
      <c r="AW8" t="s">
        <v>1753</v>
      </c>
      <c r="AX8">
        <v>2024</v>
      </c>
      <c r="AY8" t="s">
        <v>4122</v>
      </c>
      <c r="AZ8" s="6">
        <v>45733</v>
      </c>
      <c r="BA8">
        <v>5</v>
      </c>
      <c r="BB8">
        <v>-2.4245362661989844E-14</v>
      </c>
      <c r="BC8">
        <v>12375031</v>
      </c>
      <c r="BD8" t="s">
        <v>4123</v>
      </c>
      <c r="FY8" t="s">
        <v>226</v>
      </c>
      <c r="FZ8" t="s">
        <v>1752</v>
      </c>
      <c r="GA8">
        <v>1.08E-3</v>
      </c>
      <c r="GB8">
        <v>0.237701</v>
      </c>
      <c r="GC8" t="s">
        <v>1788</v>
      </c>
      <c r="GD8">
        <v>2025</v>
      </c>
      <c r="GE8" t="s">
        <v>2491</v>
      </c>
      <c r="GF8" s="6">
        <v>45843</v>
      </c>
      <c r="GG8">
        <v>5</v>
      </c>
      <c r="GH8">
        <v>756713</v>
      </c>
      <c r="GI8">
        <v>101743</v>
      </c>
      <c r="GJ8" t="s">
        <v>2156</v>
      </c>
      <c r="GM8" t="s">
        <v>2459</v>
      </c>
      <c r="GN8">
        <v>4.9280999999999998E-2</v>
      </c>
      <c r="GO8" t="s">
        <v>1752</v>
      </c>
      <c r="GP8">
        <v>0.59355500000000005</v>
      </c>
      <c r="GQ8" t="s">
        <v>1781</v>
      </c>
      <c r="GR8">
        <v>2025</v>
      </c>
      <c r="GS8" t="s">
        <v>2460</v>
      </c>
      <c r="GT8" s="6">
        <v>45820</v>
      </c>
      <c r="GU8">
        <v>5</v>
      </c>
      <c r="GV8">
        <v>788021.54</v>
      </c>
      <c r="GW8">
        <v>117587</v>
      </c>
      <c r="GX8" t="s">
        <v>2461</v>
      </c>
      <c r="MW8" t="s">
        <v>531</v>
      </c>
      <c r="MX8" t="s">
        <v>1752</v>
      </c>
      <c r="MY8">
        <v>0.787219</v>
      </c>
      <c r="MZ8">
        <v>3.9592429999999998</v>
      </c>
      <c r="NA8" t="s">
        <v>1788</v>
      </c>
      <c r="NB8">
        <v>2025</v>
      </c>
      <c r="NC8" t="s">
        <v>2496</v>
      </c>
      <c r="ND8" s="6">
        <v>45966</v>
      </c>
      <c r="NE8">
        <v>5</v>
      </c>
      <c r="NF8">
        <v>136000000</v>
      </c>
      <c r="NG8">
        <v>100978</v>
      </c>
      <c r="NH8" t="s">
        <v>3462</v>
      </c>
      <c r="NK8" t="s">
        <v>3276</v>
      </c>
      <c r="NL8">
        <v>2.3733979999999999</v>
      </c>
      <c r="NM8" t="s">
        <v>1752</v>
      </c>
      <c r="NN8">
        <v>0.47723100000000002</v>
      </c>
      <c r="NO8" t="s">
        <v>1774</v>
      </c>
      <c r="NP8">
        <v>2025</v>
      </c>
      <c r="NQ8" t="s">
        <v>3295</v>
      </c>
      <c r="NR8" s="6">
        <v>45929</v>
      </c>
      <c r="NS8">
        <v>5</v>
      </c>
      <c r="NT8">
        <v>291192192</v>
      </c>
      <c r="NU8">
        <v>60401289</v>
      </c>
      <c r="NV8" t="s">
        <v>3278</v>
      </c>
      <c r="OA8" t="s">
        <v>1978</v>
      </c>
      <c r="OB8" t="s">
        <v>1752</v>
      </c>
      <c r="OC8">
        <v>0.70510600000000001</v>
      </c>
      <c r="OD8">
        <v>0.68220499999999995</v>
      </c>
      <c r="OE8" t="s">
        <v>1788</v>
      </c>
      <c r="OF8">
        <v>2025</v>
      </c>
      <c r="OG8" t="s">
        <v>1829</v>
      </c>
      <c r="OH8" s="6">
        <v>45904</v>
      </c>
      <c r="OI8">
        <v>5</v>
      </c>
      <c r="OJ8">
        <v>51642920</v>
      </c>
      <c r="OK8">
        <v>113380</v>
      </c>
      <c r="OL8" t="s">
        <v>1979</v>
      </c>
      <c r="OO8" t="s">
        <v>1932</v>
      </c>
      <c r="OP8">
        <v>0.71221699999999999</v>
      </c>
      <c r="OQ8" t="s">
        <v>1752</v>
      </c>
      <c r="OR8">
        <v>0.28387600000000002</v>
      </c>
      <c r="OS8" t="s">
        <v>1788</v>
      </c>
      <c r="OT8">
        <v>2025</v>
      </c>
      <c r="OU8" t="s">
        <v>1829</v>
      </c>
      <c r="OV8" s="6">
        <v>45904</v>
      </c>
      <c r="OW8">
        <v>5</v>
      </c>
      <c r="OX8">
        <v>85594240</v>
      </c>
      <c r="OY8">
        <v>100743</v>
      </c>
      <c r="OZ8" t="s">
        <v>1934</v>
      </c>
      <c r="TU8" t="s">
        <v>3716</v>
      </c>
      <c r="TV8" t="s">
        <v>1752</v>
      </c>
      <c r="TW8">
        <v>4.630776</v>
      </c>
      <c r="TX8">
        <v>0.19183800000000001</v>
      </c>
      <c r="TY8" t="s">
        <v>1788</v>
      </c>
      <c r="TZ8">
        <v>2025</v>
      </c>
      <c r="UA8" t="s">
        <v>3717</v>
      </c>
      <c r="UB8" s="6">
        <v>45952</v>
      </c>
      <c r="UC8">
        <v>5</v>
      </c>
      <c r="UD8">
        <v>125308800</v>
      </c>
      <c r="UE8">
        <v>171010</v>
      </c>
      <c r="UF8" t="s">
        <v>3718</v>
      </c>
      <c r="UI8" t="s">
        <v>3366</v>
      </c>
      <c r="UJ8">
        <v>0.34598400000000001</v>
      </c>
      <c r="UK8" t="s">
        <v>1752</v>
      </c>
      <c r="UL8">
        <v>1.684086</v>
      </c>
      <c r="UM8" t="s">
        <v>1774</v>
      </c>
      <c r="UN8">
        <v>2025</v>
      </c>
      <c r="UO8" t="s">
        <v>3367</v>
      </c>
      <c r="UP8" s="6">
        <v>45873</v>
      </c>
      <c r="UQ8">
        <v>5</v>
      </c>
      <c r="UR8">
        <v>342105216</v>
      </c>
      <c r="US8">
        <v>100211</v>
      </c>
      <c r="UT8" t="s">
        <v>3368</v>
      </c>
      <c r="UY8" t="s">
        <v>1457</v>
      </c>
      <c r="UZ8" t="s">
        <v>1752</v>
      </c>
      <c r="VA8">
        <v>22</v>
      </c>
      <c r="VB8">
        <v>4.4996770000000001</v>
      </c>
      <c r="VC8" t="s">
        <v>1753</v>
      </c>
      <c r="VD8">
        <v>2025</v>
      </c>
      <c r="VE8" t="s">
        <v>3294</v>
      </c>
      <c r="VF8" s="6">
        <v>46064</v>
      </c>
      <c r="VG8">
        <v>5</v>
      </c>
      <c r="VH8">
        <v>2650670080</v>
      </c>
      <c r="VI8">
        <v>100225</v>
      </c>
      <c r="VJ8" t="s">
        <v>2497</v>
      </c>
      <c r="VM8" t="s">
        <v>991</v>
      </c>
      <c r="VN8">
        <v>3.1469290000000001</v>
      </c>
      <c r="VO8" t="s">
        <v>1752</v>
      </c>
      <c r="VP8">
        <v>7.2451629999999998</v>
      </c>
      <c r="VQ8" t="s">
        <v>1825</v>
      </c>
      <c r="VR8">
        <v>2025</v>
      </c>
      <c r="VS8" t="s">
        <v>3553</v>
      </c>
      <c r="VT8" s="6">
        <v>45954</v>
      </c>
      <c r="VU8">
        <v>5</v>
      </c>
      <c r="VV8">
        <v>1893160960</v>
      </c>
      <c r="VW8">
        <v>100864</v>
      </c>
      <c r="VX8" t="s">
        <v>2331</v>
      </c>
    </row>
    <row r="9" spans="1:600" x14ac:dyDescent="0.25">
      <c r="AE9" t="s">
        <v>4334</v>
      </c>
      <c r="AF9" t="s">
        <v>1752</v>
      </c>
      <c r="AG9">
        <v>0.296794</v>
      </c>
      <c r="AH9">
        <v>0.145179</v>
      </c>
      <c r="AI9" t="s">
        <v>1788</v>
      </c>
      <c r="AJ9">
        <v>2025</v>
      </c>
      <c r="AK9" t="s">
        <v>4335</v>
      </c>
      <c r="AL9" s="6">
        <v>45993</v>
      </c>
      <c r="AM9">
        <v>5</v>
      </c>
      <c r="AN9">
        <v>10646001</v>
      </c>
      <c r="AO9">
        <v>100415</v>
      </c>
      <c r="AP9" t="s">
        <v>4336</v>
      </c>
      <c r="AS9" t="s">
        <v>4124</v>
      </c>
      <c r="AT9">
        <v>-2.4245362661989844E-14</v>
      </c>
      <c r="AV9">
        <v>-2.4245362661989844E-14</v>
      </c>
      <c r="AW9" t="s">
        <v>1753</v>
      </c>
      <c r="AX9">
        <v>2025</v>
      </c>
      <c r="AY9" t="s">
        <v>4125</v>
      </c>
      <c r="AZ9" s="6">
        <v>45987</v>
      </c>
      <c r="BA9">
        <v>5</v>
      </c>
      <c r="BB9">
        <v>-2.4245362661989844E-14</v>
      </c>
      <c r="BC9">
        <v>18736743</v>
      </c>
      <c r="BD9" t="s">
        <v>4126</v>
      </c>
      <c r="FY9" t="s">
        <v>2492</v>
      </c>
      <c r="FZ9" t="s">
        <v>1752</v>
      </c>
      <c r="GA9">
        <v>6.5779999999999996E-3</v>
      </c>
      <c r="GB9">
        <v>4.0340000000000003E-3</v>
      </c>
      <c r="GC9" t="s">
        <v>1825</v>
      </c>
      <c r="GD9">
        <v>2024</v>
      </c>
      <c r="GE9" t="s">
        <v>2493</v>
      </c>
      <c r="GF9" s="6">
        <v>45750</v>
      </c>
      <c r="GG9">
        <v>5</v>
      </c>
      <c r="GH9">
        <v>10984.26</v>
      </c>
      <c r="GI9">
        <v>27395152</v>
      </c>
      <c r="GJ9" t="s">
        <v>2494</v>
      </c>
      <c r="GM9" t="s">
        <v>2462</v>
      </c>
      <c r="GN9">
        <v>1.7725000000000001E-2</v>
      </c>
      <c r="GO9" t="s">
        <v>1828</v>
      </c>
      <c r="GP9">
        <v>4.1203999999999998E-2</v>
      </c>
      <c r="GQ9" t="s">
        <v>1788</v>
      </c>
      <c r="GR9">
        <v>2025</v>
      </c>
      <c r="GS9" t="s">
        <v>2463</v>
      </c>
      <c r="GT9" s="6">
        <v>46007</v>
      </c>
      <c r="GU9">
        <v>5</v>
      </c>
      <c r="GV9">
        <v>399679</v>
      </c>
      <c r="GW9">
        <v>143027</v>
      </c>
      <c r="GX9" t="s">
        <v>2464</v>
      </c>
      <c r="MW9" t="s">
        <v>265</v>
      </c>
      <c r="MX9" t="s">
        <v>2407</v>
      </c>
      <c r="MY9">
        <v>0.29407699999999998</v>
      </c>
      <c r="MZ9">
        <v>2.7836400000000001</v>
      </c>
      <c r="NA9" t="s">
        <v>1753</v>
      </c>
      <c r="NB9">
        <v>2025</v>
      </c>
      <c r="NC9" t="s">
        <v>3294</v>
      </c>
      <c r="ND9" s="6">
        <v>46064</v>
      </c>
      <c r="NE9">
        <v>5</v>
      </c>
      <c r="NF9">
        <v>69250000</v>
      </c>
      <c r="NG9">
        <v>100828</v>
      </c>
      <c r="NH9" t="s">
        <v>2578</v>
      </c>
      <c r="NK9" t="s">
        <v>1902</v>
      </c>
      <c r="NL9">
        <v>1.0236080000000001</v>
      </c>
      <c r="NM9" t="s">
        <v>1752</v>
      </c>
      <c r="NN9">
        <v>0.137097</v>
      </c>
      <c r="NO9" t="s">
        <v>1774</v>
      </c>
      <c r="NP9">
        <v>2025</v>
      </c>
      <c r="NQ9" t="s">
        <v>3295</v>
      </c>
      <c r="NR9" s="6">
        <v>45929</v>
      </c>
      <c r="NS9">
        <v>5</v>
      </c>
      <c r="NT9">
        <v>125586464</v>
      </c>
      <c r="NU9">
        <v>101548</v>
      </c>
      <c r="NV9" t="s">
        <v>1903</v>
      </c>
      <c r="OA9" t="s">
        <v>3510</v>
      </c>
      <c r="OB9" t="s">
        <v>1752</v>
      </c>
      <c r="OC9">
        <v>0.602908</v>
      </c>
      <c r="OD9">
        <v>0.64783800000000002</v>
      </c>
      <c r="OE9" t="s">
        <v>1825</v>
      </c>
      <c r="OF9">
        <v>2025</v>
      </c>
      <c r="OG9" t="s">
        <v>3511</v>
      </c>
      <c r="OH9" s="6">
        <v>46065</v>
      </c>
      <c r="OI9">
        <v>5</v>
      </c>
      <c r="OJ9">
        <v>51464228</v>
      </c>
      <c r="OK9">
        <v>100419</v>
      </c>
      <c r="OL9" t="s">
        <v>3512</v>
      </c>
      <c r="OO9" t="s">
        <v>2708</v>
      </c>
      <c r="OP9">
        <v>0.188365</v>
      </c>
      <c r="OQ9" t="s">
        <v>1752</v>
      </c>
      <c r="OR9">
        <v>0.77209099999999997</v>
      </c>
      <c r="OS9" t="s">
        <v>1788</v>
      </c>
      <c r="OT9">
        <v>2025</v>
      </c>
      <c r="OU9" t="s">
        <v>1829</v>
      </c>
      <c r="OV9" s="6">
        <v>45904</v>
      </c>
      <c r="OW9">
        <v>5</v>
      </c>
      <c r="OX9">
        <v>22637706</v>
      </c>
      <c r="OY9">
        <v>48365101</v>
      </c>
      <c r="OZ9" t="s">
        <v>2709</v>
      </c>
      <c r="TU9" t="s">
        <v>3014</v>
      </c>
      <c r="TV9" t="s">
        <v>1828</v>
      </c>
      <c r="TW9">
        <v>1.650523</v>
      </c>
      <c r="TX9">
        <v>1.7462089999999999</v>
      </c>
      <c r="TY9" t="s">
        <v>1788</v>
      </c>
      <c r="TZ9">
        <v>2025</v>
      </c>
      <c r="UA9" t="s">
        <v>3015</v>
      </c>
      <c r="UB9" s="6">
        <v>46029</v>
      </c>
      <c r="UC9">
        <v>5</v>
      </c>
      <c r="UD9">
        <v>97565313.560000002</v>
      </c>
      <c r="UE9">
        <v>115705</v>
      </c>
      <c r="UF9" t="s">
        <v>3016</v>
      </c>
      <c r="UI9" t="s">
        <v>1908</v>
      </c>
      <c r="UJ9">
        <v>0.19926099999999999</v>
      </c>
      <c r="UK9" t="s">
        <v>1752</v>
      </c>
      <c r="UL9">
        <v>1.1451750000000001</v>
      </c>
      <c r="UM9" t="s">
        <v>1774</v>
      </c>
      <c r="UN9">
        <v>2025</v>
      </c>
      <c r="UO9" t="s">
        <v>2515</v>
      </c>
      <c r="UP9" s="6">
        <v>45895</v>
      </c>
      <c r="UQ9">
        <v>5</v>
      </c>
      <c r="UR9">
        <v>197027360</v>
      </c>
      <c r="US9">
        <v>101555</v>
      </c>
      <c r="UT9" t="s">
        <v>1909</v>
      </c>
      <c r="UY9" t="s">
        <v>190</v>
      </c>
      <c r="UZ9" t="s">
        <v>1752</v>
      </c>
      <c r="VA9">
        <v>29</v>
      </c>
      <c r="VB9">
        <v>3.6236459999999999</v>
      </c>
      <c r="VC9" t="s">
        <v>1753</v>
      </c>
      <c r="VD9">
        <v>2025</v>
      </c>
      <c r="VE9" t="s">
        <v>3657</v>
      </c>
      <c r="VF9" s="6">
        <v>46077</v>
      </c>
      <c r="VG9">
        <v>5</v>
      </c>
      <c r="VH9">
        <v>2134617472</v>
      </c>
      <c r="VI9">
        <v>104161</v>
      </c>
      <c r="VJ9" t="s">
        <v>3658</v>
      </c>
      <c r="VM9" t="s">
        <v>3557</v>
      </c>
      <c r="VN9">
        <v>1.1000000000000001</v>
      </c>
      <c r="VP9">
        <v>-2.4245362661989844E-14</v>
      </c>
      <c r="VQ9" t="s">
        <v>1825</v>
      </c>
      <c r="VR9">
        <v>2025</v>
      </c>
      <c r="VS9" t="s">
        <v>3553</v>
      </c>
      <c r="VT9" s="6">
        <v>45954</v>
      </c>
      <c r="VU9">
        <v>5</v>
      </c>
      <c r="VV9">
        <v>661748992</v>
      </c>
      <c r="VW9">
        <v>935121</v>
      </c>
      <c r="VX9" t="s">
        <v>3558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1463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1464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1465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1466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1467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1468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1469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1470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1471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1472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1473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1474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1475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1476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1477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1478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1479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1480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1481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37</v>
      </c>
      <c r="AE2" s="3" t="s">
        <v>1482</v>
      </c>
      <c r="BI2" s="3" t="s">
        <v>598</v>
      </c>
      <c r="CM2" s="3" t="s">
        <v>712</v>
      </c>
      <c r="DQ2" s="3" t="s">
        <v>1483</v>
      </c>
      <c r="EU2" s="3" t="s">
        <v>1484</v>
      </c>
      <c r="FY2" s="3" t="s">
        <v>1485</v>
      </c>
      <c r="HC2" s="3" t="s">
        <v>1486</v>
      </c>
      <c r="IG2" s="3" t="s">
        <v>37</v>
      </c>
      <c r="JK2" s="3" t="s">
        <v>1225</v>
      </c>
      <c r="KO2" s="3" t="s">
        <v>1487</v>
      </c>
      <c r="LS2" s="3" t="s">
        <v>1488</v>
      </c>
      <c r="MW2" s="3" t="s">
        <v>1489</v>
      </c>
      <c r="OA2" s="3" t="s">
        <v>996</v>
      </c>
      <c r="PE2" s="3" t="s">
        <v>1490</v>
      </c>
      <c r="QI2" s="3" t="s">
        <v>1491</v>
      </c>
      <c r="RM2" s="3" t="s">
        <v>1492</v>
      </c>
      <c r="SQ2" s="3" t="s">
        <v>1493</v>
      </c>
      <c r="TU2" s="3" t="s">
        <v>531</v>
      </c>
      <c r="UY2" s="3" t="s">
        <v>749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_xll.BDS("nan Equity","SUPPLY_CHAIN_SUPPLIERS_ALL_DATA")</f>
        <v>#N/A N/A</v>
      </c>
      <c r="O5" t="str">
        <f>_xll.BDS("nan Equity","SUPPLY_CHAIN_CUSTOMERS_ALL_DATA")</f>
        <v>#N/A N/A</v>
      </c>
      <c r="AE5" t="str">
        <f>_xll.BDS("WLY US Equity","SUPPLY_CHAIN_SUPPLIERS_ALL_DATA","cols=12;rows=5")</f>
        <v>0257612Z AU Equity</v>
      </c>
      <c r="AG5">
        <v>-2.4245362661989844E-14</v>
      </c>
      <c r="AH5">
        <v>-2.4245362661989844E-14</v>
      </c>
      <c r="AI5" t="s">
        <v>1753</v>
      </c>
      <c r="AJ5">
        <v>2025</v>
      </c>
      <c r="AK5" t="s">
        <v>2868</v>
      </c>
      <c r="AL5" s="6">
        <v>46034</v>
      </c>
      <c r="AM5">
        <v>5</v>
      </c>
      <c r="AN5">
        <v>-2.4245362661989844E-14</v>
      </c>
      <c r="AO5">
        <v>904490</v>
      </c>
      <c r="AP5" t="s">
        <v>2869</v>
      </c>
      <c r="AS5" t="str">
        <f>_xll.BDS("WLY US Equity","SUPPLY_CHAIN_CUSTOMERS_ALL_DATA","cols=12;rows=5")</f>
        <v>0030366D US Equity</v>
      </c>
      <c r="AT5">
        <v>-2.4245362661989844E-14</v>
      </c>
      <c r="AV5">
        <v>-2.4245362661989844E-14</v>
      </c>
      <c r="AW5" t="s">
        <v>1753</v>
      </c>
      <c r="AX5">
        <v>2023</v>
      </c>
      <c r="AY5" t="s">
        <v>2712</v>
      </c>
      <c r="AZ5" s="6">
        <v>45103</v>
      </c>
      <c r="BA5">
        <v>5</v>
      </c>
      <c r="BB5">
        <v>-2.4245362661989844E-14</v>
      </c>
      <c r="BC5">
        <v>19235927</v>
      </c>
      <c r="BD5" t="s">
        <v>2713</v>
      </c>
      <c r="BI5" t="str">
        <f>_xll.BDS("MCHP US Equity","SUPPLY_CHAIN_SUPPLIERS_ALL_DATA","cols=12;rows=5")</f>
        <v>GFS US Equity</v>
      </c>
      <c r="BJ5" t="s">
        <v>1752</v>
      </c>
      <c r="BK5">
        <v>0.92524700000000004</v>
      </c>
      <c r="BL5">
        <v>3.1242359999999998</v>
      </c>
      <c r="BM5" t="s">
        <v>1781</v>
      </c>
      <c r="BN5">
        <v>2025</v>
      </c>
      <c r="BO5" t="s">
        <v>2275</v>
      </c>
      <c r="BP5" s="6">
        <v>45792</v>
      </c>
      <c r="BQ5">
        <v>5</v>
      </c>
      <c r="BR5">
        <v>14665165</v>
      </c>
      <c r="BS5">
        <v>15242973</v>
      </c>
      <c r="BT5" t="s">
        <v>2276</v>
      </c>
      <c r="BW5" t="str">
        <f>_xll.BDS("MCHP US Equity","SUPPLY_CHAIN_CUSTOMERS_ALL_DATA","cols=12;rows=5")</f>
        <v>ARW US Equity</v>
      </c>
      <c r="BX5">
        <v>12</v>
      </c>
      <c r="BY5" t="s">
        <v>1752</v>
      </c>
      <c r="BZ5">
        <v>1.987511</v>
      </c>
      <c r="CA5" t="s">
        <v>1768</v>
      </c>
      <c r="CB5">
        <v>2026</v>
      </c>
      <c r="CC5" t="s">
        <v>1921</v>
      </c>
      <c r="CD5" s="6">
        <v>46058</v>
      </c>
      <c r="CE5">
        <v>5</v>
      </c>
      <c r="CF5">
        <v>136076000</v>
      </c>
      <c r="CG5">
        <v>100115</v>
      </c>
      <c r="CH5" t="s">
        <v>1922</v>
      </c>
      <c r="CM5" t="str">
        <f>_xll.BDS("BMC US Equity","SUPPLY_CHAIN_SUPPLIERS_ALL_DATA","cols=12;rows=1")</f>
        <v>AMZN US Equity</v>
      </c>
      <c r="CO5">
        <v>-2.4245362661989844E-14</v>
      </c>
      <c r="CP5">
        <v>-2.4245362661989844E-14</v>
      </c>
      <c r="CQ5" t="s">
        <v>1753</v>
      </c>
      <c r="CR5">
        <v>2025</v>
      </c>
      <c r="CS5" t="s">
        <v>2155</v>
      </c>
      <c r="CT5" s="6">
        <v>45959</v>
      </c>
      <c r="CU5">
        <v>1</v>
      </c>
      <c r="CV5">
        <v>-2.4245362661989844E-14</v>
      </c>
      <c r="CW5">
        <v>216952</v>
      </c>
      <c r="CX5" t="s">
        <v>1899</v>
      </c>
      <c r="DA5" t="str">
        <f>_xll.BDS("BMC US Equity","SUPPLY_CHAIN_CUSTOMERS_ALL_DATA")</f>
        <v>#N/A N/A</v>
      </c>
      <c r="DQ5" t="str">
        <f>_xll.BDS("TCF US Equity","SUPPLY_CHAIN_SUPPLIERS_ALL_DATA")</f>
        <v>#N/A N/A</v>
      </c>
      <c r="EE5" t="str">
        <f>_xll.BDS("TCF US Equity","SUPPLY_CHAIN_CUSTOMERS_ALL_DATA")</f>
        <v>#N/A N/A</v>
      </c>
      <c r="EU5" t="str">
        <f>_xll.BDS("UCBHQ US Equity","SUPPLY_CHAIN_SUPPLIERS_ALL_DATA")</f>
        <v>#N/A N/A</v>
      </c>
      <c r="FI5" t="str">
        <f>_xll.BDS("UCBHQ US Equity","SUPPLY_CHAIN_CUSTOMERS_ALL_DATA")</f>
        <v>#N/A N/A</v>
      </c>
      <c r="FY5" t="str">
        <f>_xll.BDS("CARO US Equity","SUPPLY_CHAIN_SUPPLIERS_ALL_DATA")</f>
        <v>#N/A N/A</v>
      </c>
      <c r="GM5" t="str">
        <f>_xll.BDS("CARO US Equity","SUPPLY_CHAIN_CUSTOMERS_ALL_DATA")</f>
        <v>#N/A N/A</v>
      </c>
      <c r="HC5" t="str">
        <f>_xll.BDS("1947467D US Equity","SUPPLY_CHAIN_SUPPLIERS_ALL_DATA")</f>
        <v>#N/A N/A</v>
      </c>
      <c r="HQ5" t="str">
        <f>_xll.BDS("1947467D US Equity","SUPPLY_CHAIN_CUSTOMERS_ALL_DATA")</f>
        <v>#N/A N/A</v>
      </c>
      <c r="IG5" t="str">
        <f>_xll.BDS("nan Equity","SUPPLY_CHAIN_SUPPLIERS_ALL_DATA")</f>
        <v>#N/A N/A</v>
      </c>
      <c r="IU5" t="str">
        <f>_xll.BDS("nan Equity","SUPPLY_CHAIN_CUSTOMERS_ALL_DATA")</f>
        <v>#N/A N/A</v>
      </c>
      <c r="JK5" t="str">
        <f>_xll.BDS("TTN US Equity","SUPPLY_CHAIN_SUPPLIERS_ALL_DATA")</f>
        <v>#N/A N/A</v>
      </c>
      <c r="JY5" t="str">
        <f>_xll.BDS("TTN US Equity","SUPPLY_CHAIN_CUSTOMERS_ALL_DATA")</f>
        <v>#N/A N/A</v>
      </c>
      <c r="KO5" t="str">
        <f>_xll.BDS("NEQSQ US Equity","SUPPLY_CHAIN_SUPPLIERS_ALL_DATA")</f>
        <v>#N/A N/A</v>
      </c>
      <c r="LC5" t="str">
        <f>_xll.BDS("NEQSQ US Equity","SUPPLY_CHAIN_CUSTOMERS_ALL_DATA")</f>
        <v>#N/A N/A</v>
      </c>
      <c r="LS5" t="str">
        <f>_xll.BDS("COEP US Equity","SUPPLY_CHAIN_SUPPLIERS_ALL_DATA","cols=12;rows=3")</f>
        <v>1742357D US Equity</v>
      </c>
      <c r="LU5">
        <v>-2.4245362661989844E-14</v>
      </c>
      <c r="LV5">
        <v>-2.4245362661989844E-14</v>
      </c>
      <c r="LW5" t="s">
        <v>1788</v>
      </c>
      <c r="LX5">
        <v>2024</v>
      </c>
      <c r="LY5" t="s">
        <v>2167</v>
      </c>
      <c r="LZ5" s="6">
        <v>45667</v>
      </c>
      <c r="MA5">
        <v>3</v>
      </c>
      <c r="MB5">
        <v>-2.4245362661989844E-14</v>
      </c>
      <c r="MC5">
        <v>65717443</v>
      </c>
      <c r="MD5" t="s">
        <v>2085</v>
      </c>
      <c r="MG5" t="str">
        <f>_xll.BDS("COEP US Equity","SUPPLY_CHAIN_CUSTOMERS_ALL_DATA","cols=12;rows=1")</f>
        <v>1742357D US Equity</v>
      </c>
      <c r="MH5">
        <v>-2.4245362661989844E-14</v>
      </c>
      <c r="MJ5">
        <v>-2.4245362661989844E-14</v>
      </c>
      <c r="MK5" t="s">
        <v>1753</v>
      </c>
      <c r="ML5">
        <v>2024</v>
      </c>
      <c r="MM5" t="s">
        <v>2084</v>
      </c>
      <c r="MN5" s="6">
        <v>45348</v>
      </c>
      <c r="MO5">
        <v>1</v>
      </c>
      <c r="MP5">
        <v>-2.4245362661989844E-14</v>
      </c>
      <c r="MQ5">
        <v>65717443</v>
      </c>
      <c r="MR5" t="s">
        <v>2085</v>
      </c>
      <c r="MW5" t="str">
        <f>_xll.BDS("STNR US Equity","SUPPLY_CHAIN_SUPPLIERS_ALL_DATA")</f>
        <v>#N/A N/A</v>
      </c>
      <c r="NK5" t="str">
        <f>_xll.BDS("STNR US Equity","SUPPLY_CHAIN_CUSTOMERS_ALL_DATA")</f>
        <v>#N/A N/A</v>
      </c>
      <c r="OA5" t="str">
        <f>_xll.BDS("SOCNQ US Equity","SUPPLY_CHAIN_SUPPLIERS_ALL_DATA")</f>
        <v>#N/A N/A</v>
      </c>
      <c r="OO5" t="str">
        <f>_xll.BDS("SOCNQ US Equity","SUPPLY_CHAIN_CUSTOMERS_ALL_DATA","cols=12;rows=1")</f>
        <v>GSANBOB1 MM Equity</v>
      </c>
      <c r="OP5">
        <v>-2.4245362661989844E-14</v>
      </c>
      <c r="OR5">
        <v>-2.4245362661989844E-14</v>
      </c>
      <c r="OS5" t="s">
        <v>1753</v>
      </c>
      <c r="OT5">
        <v>2022</v>
      </c>
      <c r="OU5" t="s">
        <v>3788</v>
      </c>
      <c r="OV5" s="6">
        <v>44986</v>
      </c>
      <c r="OW5">
        <v>1</v>
      </c>
      <c r="OX5">
        <v>-2.4245362661989844E-14</v>
      </c>
      <c r="OY5">
        <v>34160980</v>
      </c>
      <c r="OZ5" t="s">
        <v>3789</v>
      </c>
      <c r="PE5" t="str">
        <f>_xll.BDS("CBRL US Equity","SUPPLY_CHAIN_SUPPLIERS_ALL_DATA","cols=12;rows=5")</f>
        <v>BGS US Equity</v>
      </c>
      <c r="PF5" t="s">
        <v>1752</v>
      </c>
      <c r="PG5">
        <v>0.17466799999999999</v>
      </c>
      <c r="PH5">
        <v>9.6195000000000003E-2</v>
      </c>
      <c r="PI5" t="s">
        <v>1788</v>
      </c>
      <c r="PJ5">
        <v>2025</v>
      </c>
      <c r="PK5" t="s">
        <v>3893</v>
      </c>
      <c r="PL5" s="6">
        <v>45996</v>
      </c>
      <c r="PM5">
        <v>5</v>
      </c>
      <c r="PN5">
        <v>767324</v>
      </c>
      <c r="PO5">
        <v>8677282</v>
      </c>
      <c r="PP5" t="s">
        <v>3756</v>
      </c>
      <c r="PS5" t="str">
        <f>_xll.BDS("CBRL US Equity","SUPPLY_CHAIN_CUSTOMERS_ALL_DATA","cols=12;rows=3")</f>
        <v>DASH US Equity</v>
      </c>
      <c r="PT5">
        <v>-2.4245362661989844E-14</v>
      </c>
      <c r="PV5">
        <v>-2.4245362661989844E-14</v>
      </c>
      <c r="PW5" t="s">
        <v>1753</v>
      </c>
      <c r="PX5">
        <v>2025</v>
      </c>
      <c r="PY5" t="s">
        <v>3748</v>
      </c>
      <c r="PZ5" s="6">
        <v>45926</v>
      </c>
      <c r="QA5">
        <v>3</v>
      </c>
      <c r="QB5">
        <v>-2.4245362661989844E-14</v>
      </c>
      <c r="QC5">
        <v>37513441</v>
      </c>
      <c r="QD5" t="s">
        <v>3749</v>
      </c>
      <c r="QI5" t="str">
        <f>_xll.BDS("PERFQ US Equity","SUPPLY_CHAIN_SUPPLIERS_ALL_DATA","cols=12;rows=1")</f>
        <v>PEG US Equity</v>
      </c>
      <c r="QK5">
        <v>-2.4245362661989844E-14</v>
      </c>
      <c r="QL5">
        <v>-2.4245362661989844E-14</v>
      </c>
      <c r="QM5" t="s">
        <v>1753</v>
      </c>
      <c r="QN5">
        <v>2021</v>
      </c>
      <c r="QO5" t="s">
        <v>2646</v>
      </c>
      <c r="QP5" s="6">
        <v>44693</v>
      </c>
      <c r="QQ5">
        <v>1</v>
      </c>
      <c r="QR5">
        <v>-2.4245362661989844E-14</v>
      </c>
      <c r="QS5">
        <v>101224</v>
      </c>
      <c r="QT5" t="s">
        <v>2647</v>
      </c>
      <c r="QW5" t="str">
        <f>_xll.BDS("PERFQ US Equity","SUPPLY_CHAIN_CUSTOMERS_ALL_DATA")</f>
        <v>#N/A N/A</v>
      </c>
      <c r="RM5" t="str">
        <f>_xll.BDS("CMCO US Equity","SUPPLY_CHAIN_SUPPLIERS_ALL_DATA","cols=12;rows=5")</f>
        <v>AEE US Equity</v>
      </c>
      <c r="RO5">
        <v>-2.4245362661989844E-14</v>
      </c>
      <c r="RP5">
        <v>-2.4245362661989844E-14</v>
      </c>
      <c r="RQ5" t="s">
        <v>1753</v>
      </c>
      <c r="RR5">
        <v>2021</v>
      </c>
      <c r="RS5" t="s">
        <v>2305</v>
      </c>
      <c r="RT5" s="6">
        <v>44693</v>
      </c>
      <c r="RU5">
        <v>5</v>
      </c>
      <c r="RV5">
        <v>-2.4245362661989844E-14</v>
      </c>
      <c r="RW5">
        <v>313098</v>
      </c>
      <c r="RX5" t="s">
        <v>2306</v>
      </c>
      <c r="SA5" t="str">
        <f>_xll.BDS("CMCO US Equity","SUPPLY_CHAIN_CUSTOMERS_ALL_DATA","cols=12;rows=5")</f>
        <v>0228856Z US Equity</v>
      </c>
      <c r="SB5">
        <v>-2.4245362661989844E-14</v>
      </c>
      <c r="SD5">
        <v>-2.4245362661989844E-14</v>
      </c>
      <c r="SE5" t="s">
        <v>1753</v>
      </c>
      <c r="SF5">
        <v>2024</v>
      </c>
      <c r="SG5" t="s">
        <v>3284</v>
      </c>
      <c r="SH5" s="6">
        <v>45441</v>
      </c>
      <c r="SI5">
        <v>5</v>
      </c>
      <c r="SJ5">
        <v>-2.4245362661989844E-14</v>
      </c>
      <c r="SK5">
        <v>227296</v>
      </c>
      <c r="SL5" t="s">
        <v>3285</v>
      </c>
      <c r="SQ5" t="str">
        <f>_xll.BDS("597946Q US Equity","SUPPLY_CHAIN_SUPPLIERS_ALL_DATA")</f>
        <v>#N/A N/A</v>
      </c>
      <c r="TE5" t="str">
        <f>_xll.BDS("597946Q US Equity","SUPPLY_CHAIN_CUSTOMERS_ALL_DATA")</f>
        <v>#N/A N/A</v>
      </c>
      <c r="TU5" t="str">
        <f>_xll.BDS("MRK US Equity","SUPPLY_CHAIN_SUPPLIERS_ALL_DATA","cols=12;rows=5")</f>
        <v>AZN LN Equity</v>
      </c>
      <c r="TV5" t="s">
        <v>1752</v>
      </c>
      <c r="TW5">
        <v>1.1917120000000001</v>
      </c>
      <c r="TX5">
        <v>4.272983</v>
      </c>
      <c r="TY5" t="s">
        <v>1753</v>
      </c>
      <c r="TZ5">
        <v>2025</v>
      </c>
      <c r="UA5" t="s">
        <v>2575</v>
      </c>
      <c r="UB5" s="6">
        <v>46077</v>
      </c>
      <c r="UC5">
        <v>5</v>
      </c>
      <c r="UD5">
        <v>175000000</v>
      </c>
      <c r="UE5">
        <v>111093</v>
      </c>
      <c r="UF5" t="s">
        <v>2576</v>
      </c>
      <c r="UI5" t="str">
        <f>_xll.BDS("MRK US Equity","SUPPLY_CHAIN_CUSTOMERS_ALL_DATA","cols=12;rows=5")</f>
        <v>COR US Equity</v>
      </c>
      <c r="UJ5">
        <v>9.6931790000000007</v>
      </c>
      <c r="UK5" t="s">
        <v>1752</v>
      </c>
      <c r="UL5">
        <v>2.073159</v>
      </c>
      <c r="UM5" t="s">
        <v>1788</v>
      </c>
      <c r="UN5">
        <v>2025</v>
      </c>
      <c r="UO5" t="s">
        <v>2495</v>
      </c>
      <c r="UP5" s="6">
        <v>45985</v>
      </c>
      <c r="UQ5">
        <v>5</v>
      </c>
      <c r="UR5">
        <v>1674593664</v>
      </c>
      <c r="US5">
        <v>156969</v>
      </c>
      <c r="UT5" t="s">
        <v>2340</v>
      </c>
      <c r="UY5" t="str">
        <f>_xll.BDS("AME US Equity","SUPPLY_CHAIN_SUPPLIERS_ALL_DATA","cols=12;rows=5")</f>
        <v>COHR US Equity</v>
      </c>
      <c r="UZ5" t="s">
        <v>1752</v>
      </c>
      <c r="VA5">
        <v>0.78954899999999995</v>
      </c>
      <c r="VB5">
        <v>1.1186320000000001</v>
      </c>
      <c r="VC5" t="s">
        <v>1781</v>
      </c>
      <c r="VD5">
        <v>2026</v>
      </c>
      <c r="VE5" t="s">
        <v>2175</v>
      </c>
      <c r="VF5" s="6">
        <v>45967</v>
      </c>
      <c r="VG5">
        <v>5</v>
      </c>
      <c r="VH5">
        <v>12485928</v>
      </c>
      <c r="VI5">
        <v>104637</v>
      </c>
      <c r="VJ5" t="s">
        <v>2176</v>
      </c>
      <c r="VM5" t="str">
        <f>_xll.BDS("AME US Equity","SUPPLY_CHAIN_CUSTOMERS_ALL_DATA","cols=12;rows=5")</f>
        <v>SNX US Equity</v>
      </c>
      <c r="VN5">
        <v>0.51854</v>
      </c>
      <c r="VO5" t="s">
        <v>1752</v>
      </c>
      <c r="VP5">
        <v>5.5598000000000002E-2</v>
      </c>
      <c r="VQ5" t="s">
        <v>1825</v>
      </c>
      <c r="VR5">
        <v>2025</v>
      </c>
      <c r="VS5" t="s">
        <v>1826</v>
      </c>
      <c r="VT5" s="6">
        <v>46056</v>
      </c>
      <c r="VU5">
        <v>5</v>
      </c>
      <c r="VV5">
        <v>8998197</v>
      </c>
      <c r="VW5">
        <v>1499717</v>
      </c>
      <c r="VX5" t="s">
        <v>1827</v>
      </c>
    </row>
    <row r="6" spans="1:600" x14ac:dyDescent="0.25">
      <c r="AE6" t="s">
        <v>2870</v>
      </c>
      <c r="AG6">
        <v>-2.4245362661989844E-14</v>
      </c>
      <c r="AH6">
        <v>-2.4245362661989844E-14</v>
      </c>
      <c r="AI6" t="s">
        <v>1753</v>
      </c>
      <c r="AJ6">
        <v>2025</v>
      </c>
      <c r="AK6" t="s">
        <v>2868</v>
      </c>
      <c r="AL6" s="6">
        <v>45785</v>
      </c>
      <c r="AM6">
        <v>5</v>
      </c>
      <c r="AN6">
        <v>-2.4245362661989844E-14</v>
      </c>
      <c r="AO6">
        <v>70990457</v>
      </c>
      <c r="AP6" t="s">
        <v>2871</v>
      </c>
      <c r="AS6" t="s">
        <v>2714</v>
      </c>
      <c r="AT6">
        <v>-2.4245362661989844E-14</v>
      </c>
      <c r="AV6">
        <v>-2.4245362661989844E-14</v>
      </c>
      <c r="AW6" t="s">
        <v>1753</v>
      </c>
      <c r="AX6">
        <v>2025</v>
      </c>
      <c r="AY6" t="s">
        <v>2715</v>
      </c>
      <c r="AZ6" s="6">
        <v>45833</v>
      </c>
      <c r="BA6">
        <v>5</v>
      </c>
      <c r="BB6">
        <v>-2.4245362661989844E-14</v>
      </c>
      <c r="BC6">
        <v>26899121</v>
      </c>
      <c r="BD6" t="s">
        <v>2716</v>
      </c>
      <c r="BI6" t="s">
        <v>2277</v>
      </c>
      <c r="BJ6" t="s">
        <v>1752</v>
      </c>
      <c r="BK6">
        <v>0.30862800000000001</v>
      </c>
      <c r="BL6">
        <v>1.2203660000000001</v>
      </c>
      <c r="BM6" t="s">
        <v>1788</v>
      </c>
      <c r="BN6">
        <v>2025</v>
      </c>
      <c r="BO6" t="s">
        <v>2278</v>
      </c>
      <c r="BP6" s="6">
        <v>46035</v>
      </c>
      <c r="BQ6">
        <v>5</v>
      </c>
      <c r="BR6">
        <v>6132340</v>
      </c>
      <c r="BS6">
        <v>302680</v>
      </c>
      <c r="BT6" t="s">
        <v>2279</v>
      </c>
      <c r="BW6" t="s">
        <v>1923</v>
      </c>
      <c r="BX6">
        <v>4.9519380000000002</v>
      </c>
      <c r="BY6" t="s">
        <v>1752</v>
      </c>
      <c r="BZ6">
        <v>0.53381100000000004</v>
      </c>
      <c r="CA6" t="s">
        <v>1774</v>
      </c>
      <c r="CB6">
        <v>2026</v>
      </c>
      <c r="CC6" t="s">
        <v>1924</v>
      </c>
      <c r="CD6" s="6">
        <v>46035</v>
      </c>
      <c r="CE6">
        <v>5</v>
      </c>
      <c r="CF6">
        <v>56471900</v>
      </c>
      <c r="CG6">
        <v>1459396</v>
      </c>
      <c r="CH6" t="s">
        <v>1925</v>
      </c>
      <c r="LS6" t="s">
        <v>2168</v>
      </c>
      <c r="LU6">
        <v>-2.4245362661989844E-14</v>
      </c>
      <c r="LV6">
        <v>-2.4245362661989844E-14</v>
      </c>
      <c r="LW6" t="s">
        <v>1753</v>
      </c>
      <c r="LX6">
        <v>2025</v>
      </c>
      <c r="LY6" t="s">
        <v>2084</v>
      </c>
      <c r="LZ6" s="6">
        <v>45727</v>
      </c>
      <c r="MA6">
        <v>3</v>
      </c>
      <c r="MB6">
        <v>-2.4245362661989844E-14</v>
      </c>
      <c r="MC6">
        <v>69708252</v>
      </c>
      <c r="MD6" t="s">
        <v>2169</v>
      </c>
      <c r="PE6" t="s">
        <v>3028</v>
      </c>
      <c r="PG6">
        <v>-2.4245362661989844E-14</v>
      </c>
      <c r="PH6">
        <v>-2.4245362661989844E-14</v>
      </c>
      <c r="PI6" t="s">
        <v>1753</v>
      </c>
      <c r="PJ6">
        <v>2024</v>
      </c>
      <c r="PK6" t="s">
        <v>3029</v>
      </c>
      <c r="PL6" s="6">
        <v>45698</v>
      </c>
      <c r="PM6">
        <v>5</v>
      </c>
      <c r="PN6">
        <v>-2.4245362661989844E-14</v>
      </c>
      <c r="PO6">
        <v>24112045</v>
      </c>
      <c r="PP6" t="s">
        <v>3030</v>
      </c>
      <c r="PS6" t="s">
        <v>3750</v>
      </c>
      <c r="PT6">
        <v>-2.4245362661989844E-14</v>
      </c>
      <c r="PV6">
        <v>-2.4245362661989844E-14</v>
      </c>
      <c r="PW6" t="s">
        <v>1753</v>
      </c>
      <c r="PX6">
        <v>2023</v>
      </c>
      <c r="PY6" t="s">
        <v>3751</v>
      </c>
      <c r="PZ6" s="6">
        <v>45085</v>
      </c>
      <c r="QA6">
        <v>3</v>
      </c>
      <c r="QB6">
        <v>-2.4245362661989844E-14</v>
      </c>
      <c r="QC6">
        <v>302601</v>
      </c>
      <c r="QD6" t="s">
        <v>3752</v>
      </c>
      <c r="RM6" t="s">
        <v>2307</v>
      </c>
      <c r="RO6">
        <v>-2.4245362661989844E-14</v>
      </c>
      <c r="RP6">
        <v>-2.4245362661989844E-14</v>
      </c>
      <c r="RQ6" t="s">
        <v>1753</v>
      </c>
      <c r="RR6">
        <v>2021</v>
      </c>
      <c r="RS6" t="s">
        <v>2308</v>
      </c>
      <c r="RT6" s="6">
        <v>44693</v>
      </c>
      <c r="RU6">
        <v>5</v>
      </c>
      <c r="RV6">
        <v>-2.4245362661989844E-14</v>
      </c>
      <c r="RW6">
        <v>100060</v>
      </c>
      <c r="RX6" t="s">
        <v>2309</v>
      </c>
      <c r="SA6" t="s">
        <v>3286</v>
      </c>
      <c r="SB6">
        <v>-2.4245362661989844E-14</v>
      </c>
      <c r="SD6">
        <v>-2.4245362661989844E-14</v>
      </c>
      <c r="SE6" t="s">
        <v>1753</v>
      </c>
      <c r="SF6">
        <v>2024</v>
      </c>
      <c r="SG6" t="s">
        <v>3284</v>
      </c>
      <c r="SH6" s="6">
        <v>45441</v>
      </c>
      <c r="SI6">
        <v>5</v>
      </c>
      <c r="SJ6">
        <v>-2.4245362661989844E-14</v>
      </c>
      <c r="SK6">
        <v>962195</v>
      </c>
      <c r="SL6" t="s">
        <v>3287</v>
      </c>
      <c r="TU6" t="s">
        <v>265</v>
      </c>
      <c r="TV6" t="s">
        <v>1752</v>
      </c>
      <c r="TW6">
        <v>0.57338800000000001</v>
      </c>
      <c r="TX6">
        <v>3.5686900000000001</v>
      </c>
      <c r="TY6" t="s">
        <v>1788</v>
      </c>
      <c r="TZ6">
        <v>2025</v>
      </c>
      <c r="UA6" t="s">
        <v>2577</v>
      </c>
      <c r="UB6" s="6">
        <v>46018</v>
      </c>
      <c r="UC6">
        <v>5</v>
      </c>
      <c r="UD6">
        <v>137572976</v>
      </c>
      <c r="UE6">
        <v>100828</v>
      </c>
      <c r="UF6" t="s">
        <v>2578</v>
      </c>
      <c r="UI6" t="s">
        <v>2341</v>
      </c>
      <c r="UJ6">
        <v>9.6462509999999995</v>
      </c>
      <c r="UK6" t="s">
        <v>1752</v>
      </c>
      <c r="UL6">
        <v>2.2510729999999999</v>
      </c>
      <c r="UM6" t="s">
        <v>1788</v>
      </c>
      <c r="UN6">
        <v>2025</v>
      </c>
      <c r="UO6" t="s">
        <v>2495</v>
      </c>
      <c r="UP6" s="6">
        <v>45985</v>
      </c>
      <c r="UQ6">
        <v>5</v>
      </c>
      <c r="UR6">
        <v>1666486272</v>
      </c>
      <c r="US6">
        <v>154936</v>
      </c>
      <c r="UT6" t="s">
        <v>2342</v>
      </c>
      <c r="UY6" t="s">
        <v>2177</v>
      </c>
      <c r="UZ6" t="s">
        <v>1752</v>
      </c>
      <c r="VA6">
        <v>19.696718000000001</v>
      </c>
      <c r="VB6">
        <v>3.3241E-2</v>
      </c>
      <c r="VC6" t="s">
        <v>1774</v>
      </c>
      <c r="VD6">
        <v>2025</v>
      </c>
      <c r="VE6" t="s">
        <v>2178</v>
      </c>
      <c r="VF6" s="6">
        <v>45686</v>
      </c>
      <c r="VG6">
        <v>5</v>
      </c>
      <c r="VH6">
        <v>350070</v>
      </c>
      <c r="VI6">
        <v>182091</v>
      </c>
      <c r="VJ6" t="s">
        <v>2179</v>
      </c>
      <c r="VM6" t="s">
        <v>1458</v>
      </c>
      <c r="VN6">
        <v>0.167073</v>
      </c>
      <c r="VO6" t="s">
        <v>1828</v>
      </c>
      <c r="VP6">
        <v>0.27559099999999997</v>
      </c>
      <c r="VQ6" t="s">
        <v>1788</v>
      </c>
      <c r="VR6">
        <v>2025</v>
      </c>
      <c r="VS6" t="s">
        <v>1829</v>
      </c>
      <c r="VT6" s="6">
        <v>45904</v>
      </c>
      <c r="VU6">
        <v>5</v>
      </c>
      <c r="VV6">
        <v>2899217</v>
      </c>
      <c r="VW6">
        <v>100438</v>
      </c>
      <c r="VX6" t="s">
        <v>1830</v>
      </c>
    </row>
    <row r="7" spans="1:600" x14ac:dyDescent="0.25">
      <c r="AE7" t="s">
        <v>2872</v>
      </c>
      <c r="AG7">
        <v>-2.4245362661989844E-14</v>
      </c>
      <c r="AH7">
        <v>-2.4245362661989844E-14</v>
      </c>
      <c r="AI7" t="s">
        <v>1774</v>
      </c>
      <c r="AJ7">
        <v>2025</v>
      </c>
      <c r="AK7" t="s">
        <v>2873</v>
      </c>
      <c r="AL7" s="6">
        <v>45947</v>
      </c>
      <c r="AM7">
        <v>5</v>
      </c>
      <c r="AN7">
        <v>-2.4245362661989844E-14</v>
      </c>
      <c r="AO7">
        <v>1084605</v>
      </c>
      <c r="AP7" t="s">
        <v>2874</v>
      </c>
      <c r="AS7" t="s">
        <v>2717</v>
      </c>
      <c r="AT7">
        <v>-2.4245362661989844E-14</v>
      </c>
      <c r="AV7">
        <v>-2.4245362661989844E-14</v>
      </c>
      <c r="AW7" t="s">
        <v>1753</v>
      </c>
      <c r="AX7">
        <v>2023</v>
      </c>
      <c r="AY7" t="s">
        <v>2712</v>
      </c>
      <c r="AZ7" s="6">
        <v>45103</v>
      </c>
      <c r="BA7">
        <v>5</v>
      </c>
      <c r="BB7">
        <v>-2.4245362661989844E-14</v>
      </c>
      <c r="BC7">
        <v>28758736</v>
      </c>
      <c r="BD7" t="s">
        <v>2718</v>
      </c>
      <c r="BI7" t="s">
        <v>2280</v>
      </c>
      <c r="BJ7" t="s">
        <v>1752</v>
      </c>
      <c r="BK7">
        <v>1.8717000000000001E-2</v>
      </c>
      <c r="BL7">
        <v>0.53299099999999999</v>
      </c>
      <c r="BM7" t="s">
        <v>1781</v>
      </c>
      <c r="BN7">
        <v>2026</v>
      </c>
      <c r="BO7" t="s">
        <v>2281</v>
      </c>
      <c r="BP7" s="6">
        <v>46079</v>
      </c>
      <c r="BQ7">
        <v>5</v>
      </c>
      <c r="BR7">
        <v>2553560</v>
      </c>
      <c r="BS7">
        <v>100995</v>
      </c>
      <c r="BT7" t="s">
        <v>2282</v>
      </c>
      <c r="BW7" t="s">
        <v>1784</v>
      </c>
      <c r="BX7">
        <v>4.8382500000000004</v>
      </c>
      <c r="BY7" t="s">
        <v>1752</v>
      </c>
      <c r="BZ7">
        <v>1.0442359999999999</v>
      </c>
      <c r="CA7" t="s">
        <v>1774</v>
      </c>
      <c r="CB7">
        <v>2026</v>
      </c>
      <c r="CC7" t="s">
        <v>1924</v>
      </c>
      <c r="CD7" s="6">
        <v>46035</v>
      </c>
      <c r="CE7">
        <v>5</v>
      </c>
      <c r="CF7">
        <v>55175404</v>
      </c>
      <c r="CG7">
        <v>100142</v>
      </c>
      <c r="CH7" t="s">
        <v>1786</v>
      </c>
      <c r="LS7" t="s">
        <v>2170</v>
      </c>
      <c r="LU7">
        <v>-2.4245362661989844E-14</v>
      </c>
      <c r="LV7">
        <v>-2.4245362661989844E-14</v>
      </c>
      <c r="LW7" t="s">
        <v>1788</v>
      </c>
      <c r="LX7">
        <v>2024</v>
      </c>
      <c r="LY7" t="s">
        <v>2167</v>
      </c>
      <c r="LZ7" s="6">
        <v>45667</v>
      </c>
      <c r="MA7">
        <v>3</v>
      </c>
      <c r="MB7">
        <v>-2.4245362661989844E-14</v>
      </c>
      <c r="MC7">
        <v>71028286</v>
      </c>
      <c r="MD7" t="s">
        <v>2171</v>
      </c>
      <c r="PE7" t="s">
        <v>2839</v>
      </c>
      <c r="PG7">
        <v>-2.4245362661989844E-14</v>
      </c>
      <c r="PH7">
        <v>-2.4245362661989844E-14</v>
      </c>
      <c r="PI7" t="s">
        <v>1774</v>
      </c>
      <c r="PJ7">
        <v>2023</v>
      </c>
      <c r="PK7" t="s">
        <v>3894</v>
      </c>
      <c r="PL7" s="6">
        <v>45064</v>
      </c>
      <c r="PM7">
        <v>5</v>
      </c>
      <c r="PN7">
        <v>-2.4245362661989844E-14</v>
      </c>
      <c r="PO7">
        <v>103350</v>
      </c>
      <c r="PP7" t="s">
        <v>2841</v>
      </c>
      <c r="PS7" t="s">
        <v>3753</v>
      </c>
      <c r="PT7">
        <v>-2.4245362661989844E-14</v>
      </c>
      <c r="PV7">
        <v>-2.4245362661989844E-14</v>
      </c>
      <c r="PW7" t="s">
        <v>1753</v>
      </c>
      <c r="PX7">
        <v>2025</v>
      </c>
      <c r="PY7" t="s">
        <v>3748</v>
      </c>
      <c r="PZ7" s="6">
        <v>45926</v>
      </c>
      <c r="QA7">
        <v>3</v>
      </c>
      <c r="QB7">
        <v>-2.4245362661989844E-14</v>
      </c>
      <c r="QC7">
        <v>28569160</v>
      </c>
      <c r="QD7" t="s">
        <v>3754</v>
      </c>
      <c r="RM7" t="s">
        <v>4002</v>
      </c>
      <c r="RO7">
        <v>-2.4245362661989844E-14</v>
      </c>
      <c r="RP7">
        <v>-2.4245362661989844E-14</v>
      </c>
      <c r="RQ7" t="s">
        <v>1753</v>
      </c>
      <c r="RR7">
        <v>2022</v>
      </c>
      <c r="RS7" t="s">
        <v>4003</v>
      </c>
      <c r="RT7" s="6">
        <v>45009</v>
      </c>
      <c r="RU7">
        <v>5</v>
      </c>
      <c r="RV7">
        <v>-2.4245362661989844E-14</v>
      </c>
      <c r="RW7">
        <v>27913770</v>
      </c>
      <c r="RX7" t="s">
        <v>4004</v>
      </c>
      <c r="SA7" t="s">
        <v>1791</v>
      </c>
      <c r="SB7">
        <v>-2.4245362661989844E-14</v>
      </c>
      <c r="SD7">
        <v>-2.4245362661989844E-14</v>
      </c>
      <c r="SE7" t="s">
        <v>1753</v>
      </c>
      <c r="SF7">
        <v>2024</v>
      </c>
      <c r="SG7" t="s">
        <v>3284</v>
      </c>
      <c r="SH7" s="6">
        <v>45441</v>
      </c>
      <c r="SI7">
        <v>5</v>
      </c>
      <c r="SJ7">
        <v>-2.4245362661989844E-14</v>
      </c>
      <c r="SK7">
        <v>218252</v>
      </c>
      <c r="SL7" t="s">
        <v>1793</v>
      </c>
      <c r="TU7" t="s">
        <v>2498</v>
      </c>
      <c r="TV7" t="s">
        <v>1752</v>
      </c>
      <c r="TW7">
        <v>6.0908949999999997</v>
      </c>
      <c r="TX7">
        <v>2.5669719999999998</v>
      </c>
      <c r="TY7" t="s">
        <v>1753</v>
      </c>
      <c r="TZ7">
        <v>2024</v>
      </c>
      <c r="UA7" t="s">
        <v>2499</v>
      </c>
      <c r="UB7" s="6">
        <v>45713</v>
      </c>
      <c r="UC7">
        <v>5</v>
      </c>
      <c r="UD7">
        <v>97500000</v>
      </c>
      <c r="UE7">
        <v>69483676</v>
      </c>
      <c r="UF7" t="s">
        <v>2500</v>
      </c>
      <c r="UI7" t="s">
        <v>1461</v>
      </c>
      <c r="UJ7">
        <v>7.5766629999999999</v>
      </c>
      <c r="UK7" t="s">
        <v>1752</v>
      </c>
      <c r="UL7">
        <v>2.12181</v>
      </c>
      <c r="UM7" t="s">
        <v>1788</v>
      </c>
      <c r="UN7">
        <v>2025</v>
      </c>
      <c r="UO7" t="s">
        <v>2495</v>
      </c>
      <c r="UP7" s="6">
        <v>45985</v>
      </c>
      <c r="UQ7">
        <v>5</v>
      </c>
      <c r="UR7">
        <v>1308944256</v>
      </c>
      <c r="US7">
        <v>102782</v>
      </c>
      <c r="UT7" t="s">
        <v>1991</v>
      </c>
      <c r="UY7" t="s">
        <v>2180</v>
      </c>
      <c r="UZ7" t="s">
        <v>1752</v>
      </c>
      <c r="VA7">
        <v>1.057606</v>
      </c>
      <c r="VB7">
        <v>1.4137E-2</v>
      </c>
      <c r="VC7" t="s">
        <v>1825</v>
      </c>
      <c r="VD7">
        <v>2024</v>
      </c>
      <c r="VE7" t="s">
        <v>2181</v>
      </c>
      <c r="VF7" s="6">
        <v>45770</v>
      </c>
      <c r="VG7">
        <v>5</v>
      </c>
      <c r="VH7">
        <v>157795</v>
      </c>
      <c r="VI7">
        <v>1176738</v>
      </c>
      <c r="VJ7" t="s">
        <v>2182</v>
      </c>
      <c r="VM7" t="s">
        <v>1831</v>
      </c>
      <c r="VN7">
        <v>1.3025999999999999E-2</v>
      </c>
      <c r="VO7" t="s">
        <v>1752</v>
      </c>
      <c r="VP7">
        <v>1.526E-3</v>
      </c>
      <c r="VQ7" t="s">
        <v>1774</v>
      </c>
      <c r="VR7">
        <v>2025</v>
      </c>
      <c r="VS7" t="s">
        <v>1832</v>
      </c>
      <c r="VT7" s="6">
        <v>45874</v>
      </c>
      <c r="VU7">
        <v>5</v>
      </c>
      <c r="VV7">
        <v>236860.83</v>
      </c>
      <c r="VW7">
        <v>876285</v>
      </c>
      <c r="VX7" t="s">
        <v>1833</v>
      </c>
    </row>
    <row r="8" spans="1:600" x14ac:dyDescent="0.25">
      <c r="AE8" t="s">
        <v>2875</v>
      </c>
      <c r="AG8">
        <v>-2.4245362661989844E-14</v>
      </c>
      <c r="AH8">
        <v>-2.4245362661989844E-14</v>
      </c>
      <c r="AI8" t="s">
        <v>1753</v>
      </c>
      <c r="AJ8">
        <v>2026</v>
      </c>
      <c r="AK8" t="s">
        <v>2868</v>
      </c>
      <c r="AL8" s="6">
        <v>46063</v>
      </c>
      <c r="AM8">
        <v>5</v>
      </c>
      <c r="AN8">
        <v>-2.4245362661989844E-14</v>
      </c>
      <c r="AO8">
        <v>41565960</v>
      </c>
      <c r="AP8" t="s">
        <v>2876</v>
      </c>
      <c r="AS8" t="s">
        <v>2719</v>
      </c>
      <c r="AT8">
        <v>-2.4245362661989844E-14</v>
      </c>
      <c r="AV8">
        <v>-2.4245362661989844E-14</v>
      </c>
      <c r="AW8" t="s">
        <v>1753</v>
      </c>
      <c r="AX8">
        <v>2022</v>
      </c>
      <c r="AY8" t="s">
        <v>2720</v>
      </c>
      <c r="AZ8" s="6">
        <v>44736</v>
      </c>
      <c r="BA8">
        <v>5</v>
      </c>
      <c r="BB8">
        <v>-2.4245362661989844E-14</v>
      </c>
      <c r="BC8">
        <v>902566</v>
      </c>
      <c r="BD8" t="s">
        <v>2721</v>
      </c>
      <c r="BI8" t="s">
        <v>2283</v>
      </c>
      <c r="BJ8" t="s">
        <v>1752</v>
      </c>
      <c r="BK8">
        <v>2.9225000000000001E-2</v>
      </c>
      <c r="BL8">
        <v>0.24604699999999999</v>
      </c>
      <c r="BM8" t="s">
        <v>1788</v>
      </c>
      <c r="BN8">
        <v>2025</v>
      </c>
      <c r="BO8" t="s">
        <v>2284</v>
      </c>
      <c r="BP8" s="6">
        <v>45936</v>
      </c>
      <c r="BQ8">
        <v>5</v>
      </c>
      <c r="BR8">
        <v>1226790.45</v>
      </c>
      <c r="BS8">
        <v>835530</v>
      </c>
      <c r="BT8" t="s">
        <v>2285</v>
      </c>
      <c r="BW8" t="s">
        <v>1926</v>
      </c>
      <c r="BX8">
        <v>3.9990190000000001</v>
      </c>
      <c r="BY8" t="s">
        <v>1752</v>
      </c>
      <c r="BZ8">
        <v>0.37565900000000002</v>
      </c>
      <c r="CA8" t="s">
        <v>1788</v>
      </c>
      <c r="CB8">
        <v>2024</v>
      </c>
      <c r="CC8" t="s">
        <v>1927</v>
      </c>
      <c r="CD8" s="6">
        <v>45727</v>
      </c>
      <c r="CE8">
        <v>5</v>
      </c>
      <c r="CF8">
        <v>46555768.390000001</v>
      </c>
      <c r="CG8">
        <v>7583418</v>
      </c>
      <c r="CH8" t="s">
        <v>1928</v>
      </c>
      <c r="PE8" t="s">
        <v>1555</v>
      </c>
      <c r="PG8">
        <v>-2.4245362661989844E-14</v>
      </c>
      <c r="PH8">
        <v>-2.4245362661989844E-14</v>
      </c>
      <c r="PI8" t="s">
        <v>1825</v>
      </c>
      <c r="PJ8">
        <v>2024</v>
      </c>
      <c r="PK8" t="s">
        <v>1852</v>
      </c>
      <c r="PL8" s="6">
        <v>45713</v>
      </c>
      <c r="PM8">
        <v>5</v>
      </c>
      <c r="PN8">
        <v>-2.4245362661989844E-14</v>
      </c>
      <c r="PO8">
        <v>105237</v>
      </c>
      <c r="PP8" t="s">
        <v>3895</v>
      </c>
      <c r="RM8" t="s">
        <v>1180</v>
      </c>
      <c r="RO8">
        <v>-2.4245362661989844E-14</v>
      </c>
      <c r="RP8">
        <v>-2.4245362661989844E-14</v>
      </c>
      <c r="RQ8" t="s">
        <v>1753</v>
      </c>
      <c r="RR8">
        <v>2021</v>
      </c>
      <c r="RS8" t="s">
        <v>2395</v>
      </c>
      <c r="RT8" s="6">
        <v>44693</v>
      </c>
      <c r="RU8">
        <v>5</v>
      </c>
      <c r="RV8">
        <v>-2.4245362661989844E-14</v>
      </c>
      <c r="RW8">
        <v>100193</v>
      </c>
      <c r="RX8" t="s">
        <v>1951</v>
      </c>
      <c r="SA8" t="s">
        <v>3288</v>
      </c>
      <c r="SB8">
        <v>-2.4245362661989844E-14</v>
      </c>
      <c r="SD8">
        <v>-2.4245362661989844E-14</v>
      </c>
      <c r="SE8" t="s">
        <v>1753</v>
      </c>
      <c r="SF8">
        <v>2023</v>
      </c>
      <c r="SG8" t="s">
        <v>3289</v>
      </c>
      <c r="SH8" s="6">
        <v>45028</v>
      </c>
      <c r="SI8">
        <v>5</v>
      </c>
      <c r="SJ8">
        <v>-2.4245362661989844E-14</v>
      </c>
      <c r="SK8">
        <v>24846031</v>
      </c>
      <c r="SL8" t="s">
        <v>3290</v>
      </c>
      <c r="TU8" t="s">
        <v>2579</v>
      </c>
      <c r="TV8" t="s">
        <v>2407</v>
      </c>
      <c r="TW8">
        <v>-2.4245362661989844E-14</v>
      </c>
      <c r="TX8">
        <v>1.9000570000000001</v>
      </c>
      <c r="TY8" t="s">
        <v>1753</v>
      </c>
      <c r="TZ8">
        <v>2025</v>
      </c>
      <c r="UA8" t="s">
        <v>2575</v>
      </c>
      <c r="UB8" s="6">
        <v>46077</v>
      </c>
      <c r="UC8">
        <v>5</v>
      </c>
      <c r="UD8">
        <v>75000000</v>
      </c>
      <c r="UE8">
        <v>71999429</v>
      </c>
      <c r="UF8" t="s">
        <v>2580</v>
      </c>
      <c r="UI8" t="s">
        <v>1457</v>
      </c>
      <c r="UJ8">
        <v>0.787219</v>
      </c>
      <c r="UK8" t="s">
        <v>1752</v>
      </c>
      <c r="UL8">
        <v>3.9592429999999998</v>
      </c>
      <c r="UM8" t="s">
        <v>1788</v>
      </c>
      <c r="UN8">
        <v>2025</v>
      </c>
      <c r="UO8" t="s">
        <v>2496</v>
      </c>
      <c r="UP8" s="6">
        <v>45966</v>
      </c>
      <c r="UQ8">
        <v>5</v>
      </c>
      <c r="UR8">
        <v>136000000</v>
      </c>
      <c r="US8">
        <v>100225</v>
      </c>
      <c r="UT8" t="s">
        <v>2497</v>
      </c>
      <c r="UY8" t="s">
        <v>2183</v>
      </c>
      <c r="UZ8" t="s">
        <v>1752</v>
      </c>
      <c r="VA8">
        <v>1.3960000000000001E-3</v>
      </c>
      <c r="VB8">
        <v>9.2500000000000004E-4</v>
      </c>
      <c r="VC8" t="s">
        <v>1781</v>
      </c>
      <c r="VD8">
        <v>2026</v>
      </c>
      <c r="VE8" t="s">
        <v>2184</v>
      </c>
      <c r="VF8" s="6">
        <v>45925</v>
      </c>
      <c r="VG8">
        <v>5</v>
      </c>
      <c r="VH8">
        <v>10325</v>
      </c>
      <c r="VI8">
        <v>100001</v>
      </c>
      <c r="VJ8" t="s">
        <v>2185</v>
      </c>
      <c r="VM8" t="s">
        <v>670</v>
      </c>
      <c r="VN8">
        <v>6.9740000000000002E-3</v>
      </c>
      <c r="VO8" t="s">
        <v>1828</v>
      </c>
      <c r="VP8">
        <v>0.28678999999999999</v>
      </c>
      <c r="VQ8" t="s">
        <v>1774</v>
      </c>
      <c r="VR8">
        <v>2025</v>
      </c>
      <c r="VS8" t="s">
        <v>1834</v>
      </c>
      <c r="VT8" s="6">
        <v>45876</v>
      </c>
      <c r="VU8">
        <v>5</v>
      </c>
      <c r="VV8">
        <v>121025</v>
      </c>
      <c r="VW8">
        <v>101930</v>
      </c>
      <c r="VX8" t="s">
        <v>1835</v>
      </c>
    </row>
    <row r="9" spans="1:600" x14ac:dyDescent="0.25">
      <c r="AE9" t="s">
        <v>2877</v>
      </c>
      <c r="AG9">
        <v>-2.4245362661989844E-14</v>
      </c>
      <c r="AH9">
        <v>-2.4245362661989844E-14</v>
      </c>
      <c r="AI9" t="s">
        <v>1842</v>
      </c>
      <c r="AJ9">
        <v>2026</v>
      </c>
      <c r="AK9" t="s">
        <v>2878</v>
      </c>
      <c r="AL9" s="6">
        <v>45981</v>
      </c>
      <c r="AM9">
        <v>5</v>
      </c>
      <c r="AN9">
        <v>-2.4245362661989844E-14</v>
      </c>
      <c r="AO9">
        <v>11234117</v>
      </c>
      <c r="AP9" t="s">
        <v>2879</v>
      </c>
      <c r="AS9" t="s">
        <v>2722</v>
      </c>
      <c r="AT9">
        <v>-2.4245362661989844E-14</v>
      </c>
      <c r="AV9">
        <v>-2.4245362661989844E-14</v>
      </c>
      <c r="AW9" t="s">
        <v>1753</v>
      </c>
      <c r="AX9">
        <v>2025</v>
      </c>
      <c r="AY9" t="s">
        <v>2715</v>
      </c>
      <c r="AZ9" s="6">
        <v>45833</v>
      </c>
      <c r="BA9">
        <v>5</v>
      </c>
      <c r="BB9">
        <v>-2.4245362661989844E-14</v>
      </c>
      <c r="BC9">
        <v>30895581</v>
      </c>
      <c r="BD9" t="s">
        <v>2723</v>
      </c>
      <c r="BI9" t="s">
        <v>185</v>
      </c>
      <c r="BJ9" t="s">
        <v>1828</v>
      </c>
      <c r="BK9">
        <v>3.3274999999999999E-2</v>
      </c>
      <c r="BL9">
        <v>4.8761130000000001</v>
      </c>
      <c r="BM9" t="s">
        <v>1774</v>
      </c>
      <c r="BN9">
        <v>2026</v>
      </c>
      <c r="BO9" t="s">
        <v>2286</v>
      </c>
      <c r="BP9" s="6">
        <v>46063</v>
      </c>
      <c r="BQ9">
        <v>5</v>
      </c>
      <c r="BR9">
        <v>1097125</v>
      </c>
      <c r="BS9">
        <v>101732</v>
      </c>
      <c r="BT9" t="s">
        <v>2287</v>
      </c>
      <c r="BW9" t="s">
        <v>1929</v>
      </c>
      <c r="BX9">
        <v>2.5742210000000001</v>
      </c>
      <c r="BY9" t="s">
        <v>1752</v>
      </c>
      <c r="BZ9">
        <v>18.557379000000001</v>
      </c>
      <c r="CA9" t="s">
        <v>1753</v>
      </c>
      <c r="CB9">
        <v>2024</v>
      </c>
      <c r="CC9" t="s">
        <v>1930</v>
      </c>
      <c r="CD9" s="6">
        <v>45784</v>
      </c>
      <c r="CE9">
        <v>5</v>
      </c>
      <c r="CF9">
        <v>28636240.420000002</v>
      </c>
      <c r="CG9">
        <v>17392177</v>
      </c>
      <c r="CH9" t="s">
        <v>1931</v>
      </c>
      <c r="PE9" t="s">
        <v>3896</v>
      </c>
      <c r="PG9">
        <v>-2.4245362661989844E-14</v>
      </c>
      <c r="PH9">
        <v>-2.4245362661989844E-14</v>
      </c>
      <c r="PI9" t="s">
        <v>1774</v>
      </c>
      <c r="PJ9">
        <v>2025</v>
      </c>
      <c r="PK9" t="s">
        <v>3897</v>
      </c>
      <c r="PL9" s="6">
        <v>45930</v>
      </c>
      <c r="PM9">
        <v>5</v>
      </c>
      <c r="PN9">
        <v>-2.4245362661989844E-14</v>
      </c>
      <c r="PO9">
        <v>7892466</v>
      </c>
      <c r="PP9" t="s">
        <v>3898</v>
      </c>
      <c r="RM9" t="s">
        <v>3623</v>
      </c>
      <c r="RO9">
        <v>-2.4245362661989844E-14</v>
      </c>
      <c r="RP9">
        <v>-2.4245362661989844E-14</v>
      </c>
      <c r="RQ9" t="s">
        <v>1753</v>
      </c>
      <c r="RR9">
        <v>2021</v>
      </c>
      <c r="RS9" t="s">
        <v>3624</v>
      </c>
      <c r="RT9" s="6">
        <v>44693</v>
      </c>
      <c r="RU9">
        <v>5</v>
      </c>
      <c r="RV9">
        <v>-2.4245362661989844E-14</v>
      </c>
      <c r="RW9">
        <v>964326</v>
      </c>
      <c r="RX9" t="s">
        <v>3625</v>
      </c>
      <c r="SA9" t="s">
        <v>3291</v>
      </c>
      <c r="SB9">
        <v>-2.4245362661989844E-14</v>
      </c>
      <c r="SD9">
        <v>-2.4245362661989844E-14</v>
      </c>
      <c r="SE9" t="s">
        <v>1788</v>
      </c>
      <c r="SF9">
        <v>2025</v>
      </c>
      <c r="SG9" t="s">
        <v>3292</v>
      </c>
      <c r="SH9" s="6">
        <v>45824</v>
      </c>
      <c r="SI9">
        <v>5</v>
      </c>
      <c r="SJ9">
        <v>-2.4245362661989844E-14</v>
      </c>
      <c r="SK9">
        <v>100181</v>
      </c>
      <c r="SL9" t="s">
        <v>3293</v>
      </c>
      <c r="TU9" t="s">
        <v>2581</v>
      </c>
      <c r="TV9" t="s">
        <v>1940</v>
      </c>
      <c r="TW9">
        <v>1.6404799999999999</v>
      </c>
      <c r="TX9">
        <v>2.2485889999999999</v>
      </c>
      <c r="TY9" t="s">
        <v>1825</v>
      </c>
      <c r="TZ9">
        <v>2025</v>
      </c>
      <c r="UA9" t="s">
        <v>2582</v>
      </c>
      <c r="UB9" s="6">
        <v>45796</v>
      </c>
      <c r="UC9">
        <v>5</v>
      </c>
      <c r="UD9">
        <v>57397160.810000002</v>
      </c>
      <c r="UE9">
        <v>995671</v>
      </c>
      <c r="UF9" t="s">
        <v>2583</v>
      </c>
      <c r="UI9" t="s">
        <v>2498</v>
      </c>
      <c r="UJ9">
        <v>0.61089599999999999</v>
      </c>
      <c r="UK9" t="s">
        <v>1752</v>
      </c>
      <c r="UL9">
        <v>14.583333</v>
      </c>
      <c r="UM9" t="s">
        <v>1753</v>
      </c>
      <c r="UN9">
        <v>2024</v>
      </c>
      <c r="UO9" t="s">
        <v>2499</v>
      </c>
      <c r="UP9" s="6">
        <v>45713</v>
      </c>
      <c r="UQ9">
        <v>5</v>
      </c>
      <c r="UR9">
        <v>98000000</v>
      </c>
      <c r="US9">
        <v>69483676</v>
      </c>
      <c r="UT9" t="s">
        <v>2500</v>
      </c>
      <c r="UY9" t="s">
        <v>2186</v>
      </c>
      <c r="VA9">
        <v>-2.4245362661989844E-14</v>
      </c>
      <c r="VB9">
        <v>-2.4245362661989844E-14</v>
      </c>
      <c r="VC9" t="s">
        <v>1753</v>
      </c>
      <c r="VD9">
        <v>2025</v>
      </c>
      <c r="VE9" t="s">
        <v>2187</v>
      </c>
      <c r="VF9" s="6">
        <v>45832</v>
      </c>
      <c r="VG9">
        <v>5</v>
      </c>
      <c r="VH9">
        <v>-2.4245362661989844E-14</v>
      </c>
      <c r="VI9">
        <v>71442896</v>
      </c>
      <c r="VJ9" t="s">
        <v>2188</v>
      </c>
      <c r="VM9" t="s">
        <v>1836</v>
      </c>
      <c r="VN9">
        <v>-2.4245362661989844E-14</v>
      </c>
      <c r="VP9">
        <v>-2.4245362661989844E-14</v>
      </c>
      <c r="VQ9" t="s">
        <v>1753</v>
      </c>
      <c r="VR9">
        <v>2022</v>
      </c>
      <c r="VS9" t="s">
        <v>1837</v>
      </c>
      <c r="VT9" s="6">
        <v>45035</v>
      </c>
      <c r="VU9">
        <v>5</v>
      </c>
      <c r="VV9">
        <v>-2.4245362661989844E-14</v>
      </c>
      <c r="VW9">
        <v>183709</v>
      </c>
      <c r="VX9" t="s">
        <v>1838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1495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1496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1497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1498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1499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1500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1501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1502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1503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1504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1505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1506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1507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1508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1509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1510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1511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1512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1513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1514</v>
      </c>
      <c r="AE2" s="3" t="s">
        <v>1515</v>
      </c>
      <c r="BI2" s="3" t="s">
        <v>669</v>
      </c>
      <c r="CM2" s="3" t="s">
        <v>776</v>
      </c>
      <c r="DQ2" s="3" t="s">
        <v>1516</v>
      </c>
      <c r="EU2" s="3" t="s">
        <v>676</v>
      </c>
      <c r="FY2" s="3" t="s">
        <v>1517</v>
      </c>
      <c r="HC2" s="3" t="s">
        <v>1518</v>
      </c>
      <c r="IG2" s="3" t="s">
        <v>1519</v>
      </c>
      <c r="JK2" s="3" t="s">
        <v>1520</v>
      </c>
      <c r="KO2" s="3" t="s">
        <v>1521</v>
      </c>
      <c r="LS2" s="3" t="s">
        <v>1522</v>
      </c>
      <c r="MW2" s="3" t="s">
        <v>1523</v>
      </c>
      <c r="OA2" s="3" t="s">
        <v>1524</v>
      </c>
      <c r="PE2" s="3" t="s">
        <v>605</v>
      </c>
      <c r="QI2" s="3" t="s">
        <v>86</v>
      </c>
      <c r="RM2" s="3" t="s">
        <v>305</v>
      </c>
      <c r="SQ2" s="3" t="s">
        <v>1392</v>
      </c>
      <c r="TU2" s="3" t="s">
        <v>1148</v>
      </c>
      <c r="UY2" s="3" t="s">
        <v>1031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_xll.BDS("TEX US Equity","SUPPLY_CHAIN_SUPPLIERS_ALL_DATA","cols=12;rows=5")</f>
        <v>RS US Equity</v>
      </c>
      <c r="B5" t="s">
        <v>1752</v>
      </c>
      <c r="C5">
        <v>0.428342</v>
      </c>
      <c r="D5">
        <v>1.3107409999999999</v>
      </c>
      <c r="E5" t="s">
        <v>1774</v>
      </c>
      <c r="F5">
        <v>2025</v>
      </c>
      <c r="G5" t="s">
        <v>4360</v>
      </c>
      <c r="H5" s="6">
        <v>45912</v>
      </c>
      <c r="I5">
        <v>5</v>
      </c>
      <c r="J5">
        <v>15676462</v>
      </c>
      <c r="K5">
        <v>148223</v>
      </c>
      <c r="L5" t="s">
        <v>4493</v>
      </c>
      <c r="O5" t="str">
        <f>_xll.BDS("TEX US Equity","SUPPLY_CHAIN_CUSTOMERS_ALL_DATA","cols=12;rows=5")</f>
        <v>URI US Equity</v>
      </c>
      <c r="P5">
        <v>3.0836000000000001</v>
      </c>
      <c r="Q5" t="s">
        <v>1752</v>
      </c>
      <c r="R5">
        <v>1.90262</v>
      </c>
      <c r="S5" t="s">
        <v>1774</v>
      </c>
      <c r="T5">
        <v>2025</v>
      </c>
      <c r="U5" t="s">
        <v>4360</v>
      </c>
      <c r="V5" s="6">
        <v>45912</v>
      </c>
      <c r="W5">
        <v>5</v>
      </c>
      <c r="X5">
        <v>45853132</v>
      </c>
      <c r="Y5">
        <v>302887</v>
      </c>
      <c r="Z5" t="s">
        <v>2705</v>
      </c>
      <c r="AE5" t="str">
        <f>_xll.BDS("MSBI US Equity","SUPPLY_CHAIN_SUPPLIERS_ALL_DATA")</f>
        <v>#N/A N/A</v>
      </c>
      <c r="AS5" t="str">
        <f>_xll.BDS("MSBI US Equity","SUPPLY_CHAIN_CUSTOMERS_ALL_DATA")</f>
        <v>#N/A N/A</v>
      </c>
      <c r="BI5" t="str">
        <f>_xll.BDS("TOWN US Equity","SUPPLY_CHAIN_SUPPLIERS_ALL_DATA")</f>
        <v>#N/A N/A</v>
      </c>
      <c r="BW5" t="str">
        <f>_xll.BDS("TOWN US Equity","SUPPLY_CHAIN_CUSTOMERS_ALL_DATA")</f>
        <v>#N/A N/A</v>
      </c>
      <c r="CM5" t="str">
        <f>_xll.BDS("3346Q US Equity","SUPPLY_CHAIN_SUPPLIERS_ALL_DATA")</f>
        <v>#N/A N/A</v>
      </c>
      <c r="DA5" t="str">
        <f>_xll.BDS("3346Q US Equity","SUPPLY_CHAIN_CUSTOMERS_ALL_DATA")</f>
        <v>#N/A N/A</v>
      </c>
      <c r="DQ5" t="str">
        <f>_xll.BDS("1498499D US Equity","SUPPLY_CHAIN_SUPPLIERS_ALL_DATA")</f>
        <v>#N/A N/A</v>
      </c>
      <c r="EE5" t="str">
        <f>_xll.BDS("1498499D US Equity","SUPPLY_CHAIN_CUSTOMERS_ALL_DATA")</f>
        <v>#N/A N/A</v>
      </c>
      <c r="EU5" t="str">
        <f>_xll.BDS("2258717D US Equity","SUPPLY_CHAIN_SUPPLIERS_ALL_DATA")</f>
        <v>#N/A N/A</v>
      </c>
      <c r="FI5" t="str">
        <f>_xll.BDS("2258717D US Equity","SUPPLY_CHAIN_CUSTOMERS_ALL_DATA")</f>
        <v>#N/A N/A</v>
      </c>
      <c r="FY5" t="str">
        <f>_xll.BDS("CBST US Equity","SUPPLY_CHAIN_SUPPLIERS_ALL_DATA")</f>
        <v>#N/A N/A</v>
      </c>
      <c r="GM5" t="str">
        <f>_xll.BDS("CBST US Equity","SUPPLY_CHAIN_CUSTOMERS_ALL_DATA")</f>
        <v>#N/A N/A</v>
      </c>
      <c r="HC5" t="str">
        <f>_xll.BDS("UGS US Equity","SUPPLY_CHAIN_SUPPLIERS_ALL_DATA")</f>
        <v>#N/A N/A</v>
      </c>
      <c r="HQ5" t="str">
        <f>_xll.BDS("UGS US Equity","SUPPLY_CHAIN_CUSTOMERS_ALL_DATA")</f>
        <v>#N/A N/A</v>
      </c>
      <c r="IG5" t="str">
        <f>_xll.BDS("3059Q US Equity","SUPPLY_CHAIN_SUPPLIERS_ALL_DATA")</f>
        <v>#N/A N/A</v>
      </c>
      <c r="IU5" t="str">
        <f>_xll.BDS("3059Q US Equity","SUPPLY_CHAIN_CUSTOMERS_ALL_DATA")</f>
        <v>#N/A N/A</v>
      </c>
      <c r="JK5" t="str">
        <f>_xll.BDS("RSFC US Equity","SUPPLY_CHAIN_SUPPLIERS_ALL_DATA")</f>
        <v>#N/A N/A</v>
      </c>
      <c r="JY5" t="str">
        <f>_xll.BDS("RSFC US Equity","SUPPLY_CHAIN_CUSTOMERS_ALL_DATA")</f>
        <v>#N/A N/A</v>
      </c>
      <c r="KO5" t="str">
        <f>_xll.BDS("DAVLE US Equity","SUPPLY_CHAIN_SUPPLIERS_ALL_DATA")</f>
        <v>#N/A N/A</v>
      </c>
      <c r="LC5" t="str">
        <f>_xll.BDS("DAVLE US Equity","SUPPLY_CHAIN_CUSTOMERS_ALL_DATA")</f>
        <v>#N/A N/A</v>
      </c>
      <c r="LS5" t="str">
        <f>_xll.BDS("SLXP US Equity","SUPPLY_CHAIN_SUPPLIERS_ALL_DATA")</f>
        <v>#N/A N/A</v>
      </c>
      <c r="MG5" t="str">
        <f>_xll.BDS("SLXP US Equity","SUPPLY_CHAIN_CUSTOMERS_ALL_DATA")</f>
        <v>#N/A N/A</v>
      </c>
      <c r="MW5" t="str">
        <f>_xll.BDS("GEN US Equity","SUPPLY_CHAIN_SUPPLIERS_ALL_DATA","cols=12;rows=5")</f>
        <v>354 HK Equity</v>
      </c>
      <c r="MX5" t="s">
        <v>1940</v>
      </c>
      <c r="MY5">
        <v>9.7283999999999995E-2</v>
      </c>
      <c r="MZ5">
        <v>0.15382699999999999</v>
      </c>
      <c r="NA5" t="s">
        <v>1774</v>
      </c>
      <c r="NB5">
        <v>2025</v>
      </c>
      <c r="NC5" t="s">
        <v>3513</v>
      </c>
      <c r="ND5" s="6">
        <v>45944</v>
      </c>
      <c r="NE5">
        <v>5</v>
      </c>
      <c r="NF5">
        <v>570196.56999999995</v>
      </c>
      <c r="NG5">
        <v>8157006</v>
      </c>
      <c r="NH5" t="s">
        <v>3514</v>
      </c>
      <c r="NK5" t="str">
        <f>_xll.BDS("GEN US Equity","SUPPLY_CHAIN_CUSTOMERS_ALL_DATA","cols=12;rows=5")</f>
        <v>BABA US Equity</v>
      </c>
      <c r="NL5">
        <v>1.718623</v>
      </c>
      <c r="NM5" t="s">
        <v>1752</v>
      </c>
      <c r="NN5">
        <v>0.10999200000000001</v>
      </c>
      <c r="NO5" t="s">
        <v>1781</v>
      </c>
      <c r="NP5">
        <v>2026</v>
      </c>
      <c r="NQ5" t="s">
        <v>3205</v>
      </c>
      <c r="NR5" s="6">
        <v>45973</v>
      </c>
      <c r="NS5">
        <v>5</v>
      </c>
      <c r="NT5">
        <v>20754987.789999999</v>
      </c>
      <c r="NU5">
        <v>16857643</v>
      </c>
      <c r="NV5" t="s">
        <v>3206</v>
      </c>
      <c r="OA5" t="str">
        <f>_xll.BDS("894800Q US Equity","SUPPLY_CHAIN_SUPPLIERS_ALL_DATA")</f>
        <v>#N/A N/A</v>
      </c>
      <c r="OO5" t="str">
        <f>_xll.BDS("894800Q US Equity","SUPPLY_CHAIN_CUSTOMERS_ALL_DATA")</f>
        <v>#N/A N/A</v>
      </c>
      <c r="PE5" t="str">
        <f>_xll.BDS("FBNC US Equity","SUPPLY_CHAIN_SUPPLIERS_ALL_DATA")</f>
        <v>#N/A N/A</v>
      </c>
      <c r="PS5" t="str">
        <f>_xll.BDS("FBNC US Equity","SUPPLY_CHAIN_CUSTOMERS_ALL_DATA")</f>
        <v>#N/A N/A</v>
      </c>
      <c r="QI5" t="str">
        <f>_xll.BDS("TFC US Equity","SUPPLY_CHAIN_SUPPLIERS_ALL_DATA","cols=12;rows=5")</f>
        <v>ADBE US Equity</v>
      </c>
      <c r="QJ5" t="s">
        <v>1940</v>
      </c>
      <c r="QK5">
        <v>9.3438999999999994E-2</v>
      </c>
      <c r="QL5">
        <v>0.18883900000000001</v>
      </c>
      <c r="QM5" t="s">
        <v>1774</v>
      </c>
      <c r="QN5">
        <v>2025</v>
      </c>
      <c r="QO5" t="s">
        <v>2126</v>
      </c>
      <c r="QP5" s="6">
        <v>45838</v>
      </c>
      <c r="QQ5">
        <v>5</v>
      </c>
      <c r="QR5">
        <v>5487672</v>
      </c>
      <c r="QS5">
        <v>101689</v>
      </c>
      <c r="QT5" t="s">
        <v>2127</v>
      </c>
      <c r="QW5" t="str">
        <f>_xll.BDS("TFC US Equity","SUPPLY_CHAIN_CUSTOMERS_ALL_DATA","cols=12;rows=1")</f>
        <v>RENG IN Equity</v>
      </c>
      <c r="QX5">
        <v>-2.4245362661989844E-14</v>
      </c>
      <c r="QZ5">
        <v>-2.4245362661989844E-14</v>
      </c>
      <c r="RA5" t="s">
        <v>1753</v>
      </c>
      <c r="RB5">
        <v>2025</v>
      </c>
      <c r="RC5" t="s">
        <v>1756</v>
      </c>
      <c r="RD5" s="6">
        <v>45901</v>
      </c>
      <c r="RE5">
        <v>1</v>
      </c>
      <c r="RF5">
        <v>-2.4245362661989844E-14</v>
      </c>
      <c r="RG5">
        <v>182734</v>
      </c>
      <c r="RH5" t="s">
        <v>1757</v>
      </c>
      <c r="RM5" t="str">
        <f>_xll.BDS("MBFI US Equity","SUPPLY_CHAIN_SUPPLIERS_ALL_DATA")</f>
        <v>#N/A N/A</v>
      </c>
      <c r="SA5" t="str">
        <f>_xll.BDS("MBFI US Equity","SUPPLY_CHAIN_CUSTOMERS_ALL_DATA")</f>
        <v>#N/A N/A</v>
      </c>
      <c r="SQ5" t="str">
        <f>_xll.BDS("TMO US Equity","SUPPLY_CHAIN_SUPPLIERS_ALL_DATA","cols=12;rows=5")</f>
        <v>EMR US Equity</v>
      </c>
      <c r="SR5" t="s">
        <v>1752</v>
      </c>
      <c r="SS5">
        <v>4.2224550000000001</v>
      </c>
      <c r="ST5">
        <v>2.8645350000000001</v>
      </c>
      <c r="SU5" t="s">
        <v>1788</v>
      </c>
      <c r="SV5">
        <v>2025</v>
      </c>
      <c r="SW5" t="s">
        <v>2208</v>
      </c>
      <c r="SX5" s="6">
        <v>45881</v>
      </c>
      <c r="SY5">
        <v>5</v>
      </c>
      <c r="SZ5">
        <v>184647952</v>
      </c>
      <c r="TA5">
        <v>100515</v>
      </c>
      <c r="TB5" t="s">
        <v>2209</v>
      </c>
      <c r="TE5" t="str">
        <f>_xll.BDS("TMO US Equity","SUPPLY_CHAIN_CUSTOMERS_ALL_DATA","cols=12;rows=5")</f>
        <v>4195 TT Equity</v>
      </c>
      <c r="TF5">
        <v>9.7099999999999999E-3</v>
      </c>
      <c r="TG5" t="s">
        <v>1752</v>
      </c>
      <c r="TH5">
        <v>37.527434999999997</v>
      </c>
      <c r="TI5" t="s">
        <v>1753</v>
      </c>
      <c r="TJ5">
        <v>2024</v>
      </c>
      <c r="TK5" t="s">
        <v>1881</v>
      </c>
      <c r="TL5" s="6">
        <v>45803</v>
      </c>
      <c r="TM5">
        <v>5</v>
      </c>
      <c r="TN5">
        <v>1052629.3999999999</v>
      </c>
      <c r="TO5">
        <v>38166930</v>
      </c>
      <c r="TP5" t="s">
        <v>1882</v>
      </c>
      <c r="TU5" t="str">
        <f>_xll.BDS("CKFR US Equity","SUPPLY_CHAIN_SUPPLIERS_ALL_DATA")</f>
        <v>#N/A N/A</v>
      </c>
      <c r="UI5" t="str">
        <f>_xll.BDS("CKFR US Equity","SUPPLY_CHAIN_CUSTOMERS_ALL_DATA")</f>
        <v>#N/A N/A</v>
      </c>
      <c r="UY5" t="str">
        <f>_xll.BDS("BCR US Equity","SUPPLY_CHAIN_SUPPLIERS_ALL_DATA","cols=12;rows=1")</f>
        <v>FE US Equity</v>
      </c>
      <c r="VA5">
        <v>-2.4245362661989844E-14</v>
      </c>
      <c r="VB5">
        <v>-2.4245362661989844E-14</v>
      </c>
      <c r="VC5" t="s">
        <v>1753</v>
      </c>
      <c r="VD5">
        <v>2021</v>
      </c>
      <c r="VE5" t="s">
        <v>2222</v>
      </c>
      <c r="VF5" s="6">
        <v>44693</v>
      </c>
      <c r="VG5">
        <v>1</v>
      </c>
      <c r="VH5">
        <v>-2.4245362661989844E-14</v>
      </c>
      <c r="VI5">
        <v>302916</v>
      </c>
      <c r="VJ5" t="s">
        <v>2223</v>
      </c>
      <c r="VM5" t="str">
        <f>_xll.BDS("BCR US Equity","SUPPLY_CHAIN_CUSTOMERS_ALL_DATA")</f>
        <v>#N/A N/A</v>
      </c>
    </row>
    <row r="6" spans="1:600" x14ac:dyDescent="0.25">
      <c r="A6" t="s">
        <v>4494</v>
      </c>
      <c r="B6" t="s">
        <v>1752</v>
      </c>
      <c r="C6">
        <v>0.81573799999999996</v>
      </c>
      <c r="D6">
        <v>1.302327</v>
      </c>
      <c r="E6" t="s">
        <v>1774</v>
      </c>
      <c r="F6">
        <v>2025</v>
      </c>
      <c r="G6" t="s">
        <v>4360</v>
      </c>
      <c r="H6" s="6">
        <v>45912</v>
      </c>
      <c r="I6">
        <v>5</v>
      </c>
      <c r="J6">
        <v>15575831</v>
      </c>
      <c r="K6">
        <v>109755</v>
      </c>
      <c r="L6" t="s">
        <v>4495</v>
      </c>
      <c r="O6" t="s">
        <v>1969</v>
      </c>
      <c r="P6">
        <v>0.78592099999999998</v>
      </c>
      <c r="Q6" t="s">
        <v>1828</v>
      </c>
      <c r="R6">
        <v>1.223732</v>
      </c>
      <c r="S6" t="s">
        <v>1774</v>
      </c>
      <c r="T6">
        <v>2025</v>
      </c>
      <c r="U6" t="s">
        <v>4360</v>
      </c>
      <c r="V6" s="6">
        <v>45912</v>
      </c>
      <c r="W6">
        <v>5</v>
      </c>
      <c r="X6">
        <v>11686645</v>
      </c>
      <c r="Y6">
        <v>100285</v>
      </c>
      <c r="Z6" t="s">
        <v>1971</v>
      </c>
      <c r="MW6" t="s">
        <v>629</v>
      </c>
      <c r="MX6" t="s">
        <v>1828</v>
      </c>
      <c r="MY6">
        <v>1.6036999999999999E-2</v>
      </c>
      <c r="MZ6">
        <v>0.55282200000000004</v>
      </c>
      <c r="NA6" t="s">
        <v>1781</v>
      </c>
      <c r="NB6">
        <v>2026</v>
      </c>
      <c r="NC6" t="s">
        <v>2643</v>
      </c>
      <c r="ND6" s="6">
        <v>46049</v>
      </c>
      <c r="NE6">
        <v>5</v>
      </c>
      <c r="NF6">
        <v>49754</v>
      </c>
      <c r="NG6">
        <v>386537</v>
      </c>
      <c r="NH6" t="s">
        <v>2644</v>
      </c>
      <c r="NK6" t="s">
        <v>1824</v>
      </c>
      <c r="NL6">
        <v>1.134592</v>
      </c>
      <c r="NM6" t="s">
        <v>1752</v>
      </c>
      <c r="NN6">
        <v>8.5527000000000006E-2</v>
      </c>
      <c r="NO6" t="s">
        <v>1825</v>
      </c>
      <c r="NP6">
        <v>2025</v>
      </c>
      <c r="NQ6" t="s">
        <v>1826</v>
      </c>
      <c r="NR6" s="6">
        <v>46056</v>
      </c>
      <c r="NS6">
        <v>5</v>
      </c>
      <c r="NT6">
        <v>13842023</v>
      </c>
      <c r="NU6">
        <v>1499717</v>
      </c>
      <c r="NV6" t="s">
        <v>1827</v>
      </c>
      <c r="QI6" t="s">
        <v>2128</v>
      </c>
      <c r="QJ6" t="s">
        <v>1940</v>
      </c>
      <c r="QK6">
        <v>1.151538</v>
      </c>
      <c r="QL6">
        <v>7.7191999999999997E-2</v>
      </c>
      <c r="QM6" t="s">
        <v>1753</v>
      </c>
      <c r="QN6">
        <v>2024</v>
      </c>
      <c r="QO6" t="s">
        <v>2129</v>
      </c>
      <c r="QP6" s="6">
        <v>45716</v>
      </c>
      <c r="QQ6">
        <v>5</v>
      </c>
      <c r="QR6">
        <v>2317499</v>
      </c>
      <c r="QS6">
        <v>35300053</v>
      </c>
      <c r="QT6" t="s">
        <v>2130</v>
      </c>
      <c r="SQ6" t="s">
        <v>560</v>
      </c>
      <c r="SR6" t="s">
        <v>1752</v>
      </c>
      <c r="SS6">
        <v>0.39111600000000002</v>
      </c>
      <c r="ST6">
        <v>0.88908200000000004</v>
      </c>
      <c r="SU6" t="s">
        <v>1774</v>
      </c>
      <c r="SV6">
        <v>2025</v>
      </c>
      <c r="SW6" t="s">
        <v>2210</v>
      </c>
      <c r="SX6" s="6">
        <v>45914</v>
      </c>
      <c r="SY6">
        <v>5</v>
      </c>
      <c r="SZ6">
        <v>57310228</v>
      </c>
      <c r="TA6">
        <v>101166</v>
      </c>
      <c r="TB6" t="s">
        <v>2211</v>
      </c>
      <c r="TE6" t="s">
        <v>1883</v>
      </c>
      <c r="TF6">
        <v>2.545E-3</v>
      </c>
      <c r="TG6" t="s">
        <v>1752</v>
      </c>
      <c r="TH6">
        <v>3.8306200000000001</v>
      </c>
      <c r="TI6" t="s">
        <v>1753</v>
      </c>
      <c r="TJ6">
        <v>2024</v>
      </c>
      <c r="TK6" t="s">
        <v>1884</v>
      </c>
      <c r="TL6" s="6">
        <v>45819</v>
      </c>
      <c r="TM6">
        <v>5</v>
      </c>
      <c r="TN6">
        <v>275861.17</v>
      </c>
      <c r="TO6">
        <v>15291339</v>
      </c>
      <c r="TP6" t="s">
        <v>1885</v>
      </c>
    </row>
    <row r="7" spans="1:600" x14ac:dyDescent="0.25">
      <c r="A7" t="s">
        <v>4496</v>
      </c>
      <c r="B7" t="s">
        <v>1752</v>
      </c>
      <c r="C7">
        <v>3.0996670000000002</v>
      </c>
      <c r="D7">
        <v>0.90822599999999998</v>
      </c>
      <c r="E7" t="s">
        <v>1774</v>
      </c>
      <c r="F7">
        <v>2025</v>
      </c>
      <c r="G7" t="s">
        <v>4360</v>
      </c>
      <c r="H7" s="6">
        <v>45912</v>
      </c>
      <c r="I7">
        <v>5</v>
      </c>
      <c r="J7">
        <v>10862383</v>
      </c>
      <c r="K7">
        <v>21830222</v>
      </c>
      <c r="L7" t="s">
        <v>4497</v>
      </c>
      <c r="O7" t="s">
        <v>4361</v>
      </c>
      <c r="P7">
        <v>0.52299499999999999</v>
      </c>
      <c r="Q7" t="s">
        <v>1828</v>
      </c>
      <c r="R7">
        <v>1.0624229999999999</v>
      </c>
      <c r="S7" t="s">
        <v>1774</v>
      </c>
      <c r="T7">
        <v>2025</v>
      </c>
      <c r="U7" t="s">
        <v>4360</v>
      </c>
      <c r="V7" s="6">
        <v>45912</v>
      </c>
      <c r="W7">
        <v>5</v>
      </c>
      <c r="X7">
        <v>7776936</v>
      </c>
      <c r="Y7">
        <v>107570</v>
      </c>
      <c r="Z7" t="s">
        <v>4362</v>
      </c>
      <c r="MW7" t="s">
        <v>3515</v>
      </c>
      <c r="MY7">
        <v>-2.4245362661989844E-14</v>
      </c>
      <c r="MZ7">
        <v>-2.4245362661989844E-14</v>
      </c>
      <c r="NA7" t="s">
        <v>1753</v>
      </c>
      <c r="NB7">
        <v>2024</v>
      </c>
      <c r="NC7" t="s">
        <v>3516</v>
      </c>
      <c r="ND7" s="6">
        <v>45460</v>
      </c>
      <c r="NE7">
        <v>5</v>
      </c>
      <c r="NF7">
        <v>-2.4245362661989844E-14</v>
      </c>
      <c r="NG7">
        <v>866053</v>
      </c>
      <c r="NH7" t="s">
        <v>3517</v>
      </c>
      <c r="NK7" t="s">
        <v>3207</v>
      </c>
      <c r="NL7">
        <v>0.82555699999999999</v>
      </c>
      <c r="NM7" t="s">
        <v>1752</v>
      </c>
      <c r="NN7">
        <v>0.12263</v>
      </c>
      <c r="NO7" t="s">
        <v>1774</v>
      </c>
      <c r="NP7">
        <v>2026</v>
      </c>
      <c r="NQ7" t="s">
        <v>3208</v>
      </c>
      <c r="NR7" s="6">
        <v>45932</v>
      </c>
      <c r="NS7">
        <v>5</v>
      </c>
      <c r="NT7">
        <v>10377257</v>
      </c>
      <c r="NU7">
        <v>100197</v>
      </c>
      <c r="NV7" t="s">
        <v>3209</v>
      </c>
      <c r="QI7" t="s">
        <v>1787</v>
      </c>
      <c r="QJ7" t="s">
        <v>1940</v>
      </c>
      <c r="QK7">
        <v>0.492811</v>
      </c>
      <c r="QL7">
        <v>2.9784000000000001E-2</v>
      </c>
      <c r="QM7" t="s">
        <v>1781</v>
      </c>
      <c r="QN7">
        <v>2026</v>
      </c>
      <c r="QO7" t="s">
        <v>2131</v>
      </c>
      <c r="QP7" s="6">
        <v>45898</v>
      </c>
      <c r="QQ7">
        <v>5</v>
      </c>
      <c r="QR7">
        <v>889383.69</v>
      </c>
      <c r="QS7">
        <v>178651</v>
      </c>
      <c r="QT7" t="s">
        <v>1790</v>
      </c>
      <c r="SQ7" t="s">
        <v>2212</v>
      </c>
      <c r="SR7" t="s">
        <v>1752</v>
      </c>
      <c r="SS7">
        <v>0.56451700000000005</v>
      </c>
      <c r="ST7">
        <v>0.57008199999999998</v>
      </c>
      <c r="SU7" t="s">
        <v>1788</v>
      </c>
      <c r="SV7">
        <v>2025</v>
      </c>
      <c r="SW7" t="s">
        <v>2213</v>
      </c>
      <c r="SX7" s="6">
        <v>45763</v>
      </c>
      <c r="SY7">
        <v>5</v>
      </c>
      <c r="SZ7">
        <v>37009736</v>
      </c>
      <c r="TA7">
        <v>136547</v>
      </c>
      <c r="TB7" t="s">
        <v>2214</v>
      </c>
      <c r="TE7" t="s">
        <v>1886</v>
      </c>
      <c r="TF7">
        <v>8.6300000000000005E-4</v>
      </c>
      <c r="TG7" t="s">
        <v>1752</v>
      </c>
      <c r="TH7">
        <v>0.46444600000000003</v>
      </c>
      <c r="TI7" t="s">
        <v>1753</v>
      </c>
      <c r="TJ7">
        <v>2024</v>
      </c>
      <c r="TK7" t="s">
        <v>1887</v>
      </c>
      <c r="TL7" s="6">
        <v>45730</v>
      </c>
      <c r="TM7">
        <v>5</v>
      </c>
      <c r="TN7">
        <v>92615.79</v>
      </c>
      <c r="TO7">
        <v>7369845</v>
      </c>
      <c r="TP7" t="s">
        <v>1888</v>
      </c>
    </row>
    <row r="8" spans="1:600" x14ac:dyDescent="0.25">
      <c r="A8" t="s">
        <v>4498</v>
      </c>
      <c r="B8" t="s">
        <v>1752</v>
      </c>
      <c r="C8">
        <v>5.0012460000000001</v>
      </c>
      <c r="D8">
        <v>0.83385200000000004</v>
      </c>
      <c r="E8" t="s">
        <v>1774</v>
      </c>
      <c r="F8">
        <v>2025</v>
      </c>
      <c r="G8" t="s">
        <v>4360</v>
      </c>
      <c r="H8" s="6">
        <v>45912</v>
      </c>
      <c r="I8">
        <v>5</v>
      </c>
      <c r="J8">
        <v>9972870</v>
      </c>
      <c r="K8">
        <v>129023</v>
      </c>
      <c r="L8" t="s">
        <v>4499</v>
      </c>
      <c r="O8" t="s">
        <v>4363</v>
      </c>
      <c r="P8">
        <v>0.31543399999999999</v>
      </c>
      <c r="Q8" t="s">
        <v>1828</v>
      </c>
      <c r="R8">
        <v>1.152458</v>
      </c>
      <c r="S8" t="s">
        <v>1774</v>
      </c>
      <c r="T8">
        <v>2025</v>
      </c>
      <c r="U8" t="s">
        <v>4360</v>
      </c>
      <c r="V8" s="6">
        <v>45912</v>
      </c>
      <c r="W8">
        <v>5</v>
      </c>
      <c r="X8">
        <v>4690504</v>
      </c>
      <c r="Y8">
        <v>344500</v>
      </c>
      <c r="Z8" t="s">
        <v>4364</v>
      </c>
      <c r="MW8" t="s">
        <v>3518</v>
      </c>
      <c r="MY8">
        <v>-2.4245362661989844E-14</v>
      </c>
      <c r="MZ8">
        <v>-2.4245362661989844E-14</v>
      </c>
      <c r="NA8" t="s">
        <v>1788</v>
      </c>
      <c r="NB8">
        <v>2022</v>
      </c>
      <c r="NC8" t="s">
        <v>3519</v>
      </c>
      <c r="ND8" s="6">
        <v>44880</v>
      </c>
      <c r="NE8">
        <v>5</v>
      </c>
      <c r="NF8">
        <v>-2.4245362661989844E-14</v>
      </c>
      <c r="NG8">
        <v>1425288</v>
      </c>
      <c r="NH8" t="s">
        <v>3520</v>
      </c>
      <c r="NK8" t="s">
        <v>3210</v>
      </c>
      <c r="NL8">
        <v>0.46699600000000002</v>
      </c>
      <c r="NM8" t="s">
        <v>1752</v>
      </c>
      <c r="NN8">
        <v>0.41184700000000002</v>
      </c>
      <c r="NO8" t="s">
        <v>1788</v>
      </c>
      <c r="NP8">
        <v>2025</v>
      </c>
      <c r="NQ8" t="s">
        <v>3211</v>
      </c>
      <c r="NR8" s="6">
        <v>46014</v>
      </c>
      <c r="NS8">
        <v>5</v>
      </c>
      <c r="NT8">
        <v>5696961.8099999996</v>
      </c>
      <c r="NU8">
        <v>9034717</v>
      </c>
      <c r="NV8" t="s">
        <v>3212</v>
      </c>
      <c r="QI8" t="s">
        <v>2132</v>
      </c>
      <c r="QK8">
        <v>0.44397199999999998</v>
      </c>
      <c r="QL8">
        <v>-2.4245362661989844E-14</v>
      </c>
      <c r="QM8" t="s">
        <v>1825</v>
      </c>
      <c r="QN8">
        <v>2024</v>
      </c>
      <c r="QO8" t="s">
        <v>2133</v>
      </c>
      <c r="QP8" s="6">
        <v>45699</v>
      </c>
      <c r="QQ8">
        <v>5</v>
      </c>
      <c r="QR8">
        <v>316250</v>
      </c>
      <c r="QS8">
        <v>10086577</v>
      </c>
      <c r="QT8" t="s">
        <v>2134</v>
      </c>
      <c r="SQ8" t="s">
        <v>2215</v>
      </c>
      <c r="SR8" t="s">
        <v>1752</v>
      </c>
      <c r="SS8">
        <v>0.30367300000000003</v>
      </c>
      <c r="ST8">
        <v>0.37271100000000001</v>
      </c>
      <c r="SU8" t="s">
        <v>1788</v>
      </c>
      <c r="SV8">
        <v>2025</v>
      </c>
      <c r="SW8" t="s">
        <v>2216</v>
      </c>
      <c r="SX8" s="6">
        <v>45867</v>
      </c>
      <c r="SY8">
        <v>5</v>
      </c>
      <c r="SZ8">
        <v>23771522</v>
      </c>
      <c r="TA8">
        <v>117092</v>
      </c>
      <c r="TB8" t="s">
        <v>2217</v>
      </c>
      <c r="TE8" t="s">
        <v>1889</v>
      </c>
      <c r="TF8">
        <v>-2.4245362661989844E-14</v>
      </c>
      <c r="TH8">
        <v>-2.4245362661989844E-14</v>
      </c>
      <c r="TI8" t="s">
        <v>1768</v>
      </c>
      <c r="TJ8">
        <v>2025</v>
      </c>
      <c r="TK8" t="s">
        <v>1890</v>
      </c>
      <c r="TL8" s="6">
        <v>45975</v>
      </c>
      <c r="TM8">
        <v>5</v>
      </c>
      <c r="TN8">
        <v>-2.4245362661989844E-14</v>
      </c>
      <c r="TO8">
        <v>1459457</v>
      </c>
      <c r="TP8" t="s">
        <v>1891</v>
      </c>
    </row>
    <row r="9" spans="1:600" x14ac:dyDescent="0.25">
      <c r="A9" t="s">
        <v>4500</v>
      </c>
      <c r="B9" t="s">
        <v>1752</v>
      </c>
      <c r="C9">
        <v>2.2271519999999998</v>
      </c>
      <c r="D9">
        <v>0.70807500000000001</v>
      </c>
      <c r="E9" t="s">
        <v>1774</v>
      </c>
      <c r="F9">
        <v>2025</v>
      </c>
      <c r="G9" t="s">
        <v>4360</v>
      </c>
      <c r="H9" s="6">
        <v>45912</v>
      </c>
      <c r="I9">
        <v>5</v>
      </c>
      <c r="J9">
        <v>8468577</v>
      </c>
      <c r="K9">
        <v>24440644</v>
      </c>
      <c r="L9" t="s">
        <v>4501</v>
      </c>
      <c r="O9" t="s">
        <v>4365</v>
      </c>
      <c r="P9">
        <v>0.18165000000000001</v>
      </c>
      <c r="Q9" t="s">
        <v>1828</v>
      </c>
      <c r="R9">
        <v>1.2935840000000001</v>
      </c>
      <c r="S9" t="s">
        <v>1774</v>
      </c>
      <c r="T9">
        <v>2025</v>
      </c>
      <c r="U9" t="s">
        <v>4360</v>
      </c>
      <c r="V9" s="6">
        <v>45912</v>
      </c>
      <c r="W9">
        <v>5</v>
      </c>
      <c r="X9">
        <v>2701136</v>
      </c>
      <c r="Y9">
        <v>32745298</v>
      </c>
      <c r="Z9" t="s">
        <v>4366</v>
      </c>
      <c r="MW9" t="s">
        <v>2357</v>
      </c>
      <c r="MY9">
        <v>-2.4245362661989844E-14</v>
      </c>
      <c r="MZ9">
        <v>-2.4245362661989844E-14</v>
      </c>
      <c r="NA9" t="s">
        <v>1753</v>
      </c>
      <c r="NB9">
        <v>2022</v>
      </c>
      <c r="NC9" t="s">
        <v>3521</v>
      </c>
      <c r="ND9" s="6">
        <v>44701</v>
      </c>
      <c r="NE9">
        <v>5</v>
      </c>
      <c r="NF9">
        <v>-2.4245362661989844E-14</v>
      </c>
      <c r="NG9">
        <v>59907412</v>
      </c>
      <c r="NH9" t="s">
        <v>2359</v>
      </c>
      <c r="NK9" t="s">
        <v>3213</v>
      </c>
      <c r="NL9">
        <v>0.45974599999999999</v>
      </c>
      <c r="NM9" t="s">
        <v>1752</v>
      </c>
      <c r="NN9">
        <v>0.12854199999999999</v>
      </c>
      <c r="NO9" t="s">
        <v>1788</v>
      </c>
      <c r="NP9">
        <v>2025</v>
      </c>
      <c r="NQ9" t="s">
        <v>3214</v>
      </c>
      <c r="NR9" s="6">
        <v>45926</v>
      </c>
      <c r="NS9">
        <v>5</v>
      </c>
      <c r="NT9">
        <v>5749857.6100000003</v>
      </c>
      <c r="NU9">
        <v>191315</v>
      </c>
      <c r="NV9" t="s">
        <v>3215</v>
      </c>
      <c r="QI9" t="s">
        <v>2135</v>
      </c>
      <c r="QK9">
        <v>-2.4245362661989844E-14</v>
      </c>
      <c r="QL9">
        <v>-2.4245362661989844E-14</v>
      </c>
      <c r="QM9" t="s">
        <v>1768</v>
      </c>
      <c r="QN9">
        <v>2025</v>
      </c>
      <c r="QO9" t="s">
        <v>2136</v>
      </c>
      <c r="QP9" s="6">
        <v>45974</v>
      </c>
      <c r="QQ9">
        <v>5</v>
      </c>
      <c r="QR9">
        <v>-2.4245362661989844E-14</v>
      </c>
      <c r="QS9">
        <v>118099</v>
      </c>
      <c r="QT9" t="s">
        <v>2137</v>
      </c>
      <c r="SQ9" t="s">
        <v>2218</v>
      </c>
      <c r="SR9" t="s">
        <v>1752</v>
      </c>
      <c r="SS9">
        <v>8.0865999999999993E-2</v>
      </c>
      <c r="ST9">
        <v>0.27508500000000002</v>
      </c>
      <c r="SU9" t="s">
        <v>1781</v>
      </c>
      <c r="SV9">
        <v>2026</v>
      </c>
      <c r="SW9" t="s">
        <v>2219</v>
      </c>
      <c r="SX9" s="6">
        <v>45980</v>
      </c>
      <c r="SY9">
        <v>5</v>
      </c>
      <c r="SZ9">
        <v>17987832</v>
      </c>
      <c r="TA9">
        <v>100554</v>
      </c>
      <c r="TB9" t="s">
        <v>2220</v>
      </c>
      <c r="TE9" t="s">
        <v>1892</v>
      </c>
      <c r="TF9">
        <v>-2.4245362661989844E-14</v>
      </c>
      <c r="TH9">
        <v>-2.4245362661989844E-14</v>
      </c>
      <c r="TI9" t="s">
        <v>1753</v>
      </c>
      <c r="TJ9">
        <v>2024</v>
      </c>
      <c r="TK9" t="s">
        <v>1893</v>
      </c>
      <c r="TL9" s="6">
        <v>45774</v>
      </c>
      <c r="TM9">
        <v>5</v>
      </c>
      <c r="TN9">
        <v>-2.4245362661989844E-14</v>
      </c>
      <c r="TO9">
        <v>9020238</v>
      </c>
      <c r="TP9" t="s">
        <v>1894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1526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1527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1528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1529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1530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1531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1532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1533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1534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1535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1536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1537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1538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1539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1540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1541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1542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1543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1544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1545</v>
      </c>
      <c r="AE2" s="3" t="s">
        <v>1546</v>
      </c>
      <c r="BI2" s="3" t="s">
        <v>632</v>
      </c>
      <c r="CM2" s="3" t="s">
        <v>1547</v>
      </c>
      <c r="DQ2" s="3" t="s">
        <v>1548</v>
      </c>
      <c r="EU2" s="3" t="s">
        <v>125</v>
      </c>
      <c r="FY2" s="3" t="s">
        <v>1549</v>
      </c>
      <c r="HC2" s="3" t="s">
        <v>569</v>
      </c>
      <c r="IG2" s="3" t="s">
        <v>154</v>
      </c>
      <c r="JK2" s="3" t="s">
        <v>1082</v>
      </c>
      <c r="KO2" s="3" t="s">
        <v>1550</v>
      </c>
      <c r="LS2" s="3" t="s">
        <v>1551</v>
      </c>
      <c r="MW2" s="3" t="s">
        <v>1552</v>
      </c>
      <c r="OA2" s="3" t="s">
        <v>1553</v>
      </c>
      <c r="PE2" s="3" t="s">
        <v>1554</v>
      </c>
      <c r="QI2" s="3" t="s">
        <v>992</v>
      </c>
      <c r="RM2" s="3" t="s">
        <v>160</v>
      </c>
      <c r="SQ2" s="3" t="s">
        <v>419</v>
      </c>
      <c r="TU2" s="3" t="s">
        <v>1178</v>
      </c>
      <c r="UY2" s="3" t="s">
        <v>1555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_xll.BDS("COR US Equity","SUPPLY_CHAIN_SUPPLIERS_ALL_DATA","cols=12;rows=5")</f>
        <v>LLY US Equity</v>
      </c>
      <c r="B5" t="s">
        <v>1752</v>
      </c>
      <c r="C5">
        <v>22.163627999999999</v>
      </c>
      <c r="D5">
        <v>4.8294360000000003</v>
      </c>
      <c r="E5" t="s">
        <v>1788</v>
      </c>
      <c r="F5">
        <v>2025</v>
      </c>
      <c r="G5" t="s">
        <v>3438</v>
      </c>
      <c r="H5" s="6">
        <v>46041</v>
      </c>
      <c r="I5">
        <v>5</v>
      </c>
      <c r="J5">
        <v>3900975616</v>
      </c>
      <c r="K5">
        <v>100894</v>
      </c>
      <c r="L5" t="s">
        <v>3439</v>
      </c>
      <c r="O5" t="str">
        <f>_xll.BDS("COR US Equity","SUPPLY_CHAIN_CUSTOMERS_ALL_DATA","cols=12;rows=5")</f>
        <v>WBA US Equity</v>
      </c>
      <c r="P5">
        <v>26.14452</v>
      </c>
      <c r="Q5" t="s">
        <v>1752</v>
      </c>
      <c r="R5">
        <v>60.735835999999999</v>
      </c>
      <c r="S5" t="s">
        <v>1788</v>
      </c>
      <c r="T5">
        <v>2025</v>
      </c>
      <c r="U5" t="s">
        <v>3274</v>
      </c>
      <c r="V5" s="6">
        <v>45834</v>
      </c>
      <c r="W5">
        <v>5</v>
      </c>
      <c r="X5">
        <v>19727000000</v>
      </c>
      <c r="Y5">
        <v>101617</v>
      </c>
      <c r="Z5" t="s">
        <v>3275</v>
      </c>
      <c r="AE5" t="str">
        <f>_xll.BDS("KO US Equity","SUPPLY_CHAIN_SUPPLIERS_ALL_DATA","cols=12;rows=5")</f>
        <v>CCK US Equity</v>
      </c>
      <c r="AF5" t="s">
        <v>1752</v>
      </c>
      <c r="AG5">
        <v>9.2291260000000008</v>
      </c>
      <c r="AH5">
        <v>5.6760950000000001</v>
      </c>
      <c r="AI5" t="s">
        <v>1788</v>
      </c>
      <c r="AJ5">
        <v>2025</v>
      </c>
      <c r="AK5" t="s">
        <v>3043</v>
      </c>
      <c r="AL5" s="6">
        <v>46018</v>
      </c>
      <c r="AM5">
        <v>5</v>
      </c>
      <c r="AN5">
        <v>272282304</v>
      </c>
      <c r="AO5">
        <v>100412</v>
      </c>
      <c r="AP5" t="s">
        <v>3044</v>
      </c>
      <c r="AS5" t="str">
        <f>_xll.BDS("KO US Equity","SUPPLY_CHAIN_CUSTOMERS_ALL_DATA","cols=12;rows=5")</f>
        <v>CCEP US Equity</v>
      </c>
      <c r="AT5">
        <v>10.173482</v>
      </c>
      <c r="AU5" t="s">
        <v>1752</v>
      </c>
      <c r="AV5">
        <v>33.469420999999997</v>
      </c>
      <c r="AW5" t="s">
        <v>1753</v>
      </c>
      <c r="AX5">
        <v>2024</v>
      </c>
      <c r="AY5" t="s">
        <v>2742</v>
      </c>
      <c r="AZ5" s="6">
        <v>45737</v>
      </c>
      <c r="BA5">
        <v>5</v>
      </c>
      <c r="BB5">
        <v>1197282150</v>
      </c>
      <c r="BC5">
        <v>46872013</v>
      </c>
      <c r="BD5" t="s">
        <v>2743</v>
      </c>
      <c r="BI5" t="str">
        <f>_xll.BDS("TXT US Equity","SUPPLY_CHAIN_SUPPLIERS_ALL_DATA","cols=12;rows=5")</f>
        <v>RR/ LN Equity</v>
      </c>
      <c r="BJ5" t="s">
        <v>1752</v>
      </c>
      <c r="BK5">
        <v>1.544897</v>
      </c>
      <c r="BL5">
        <v>3.251614</v>
      </c>
      <c r="BM5" t="s">
        <v>1774</v>
      </c>
      <c r="BN5">
        <v>2025</v>
      </c>
      <c r="BO5" t="s">
        <v>2513</v>
      </c>
      <c r="BP5" s="6">
        <v>45873</v>
      </c>
      <c r="BQ5">
        <v>5</v>
      </c>
      <c r="BR5">
        <v>97847994.530000001</v>
      </c>
      <c r="BS5">
        <v>112185</v>
      </c>
      <c r="BT5" t="s">
        <v>2514</v>
      </c>
      <c r="BW5" t="str">
        <f>_xll.BDS("TXT US Equity","SUPPLY_CHAIN_CUSTOMERS_ALL_DATA","cols=12;rows=5")</f>
        <v>3352Z US Equity</v>
      </c>
      <c r="BX5">
        <v>26.981552000000001</v>
      </c>
      <c r="BZ5">
        <v>-2.4245362661989844E-14</v>
      </c>
      <c r="CA5" t="s">
        <v>1753</v>
      </c>
      <c r="CB5">
        <v>2025</v>
      </c>
      <c r="CC5" t="s">
        <v>2398</v>
      </c>
      <c r="CD5" s="6">
        <v>46064</v>
      </c>
      <c r="CE5">
        <v>5</v>
      </c>
      <c r="CF5">
        <v>998250000</v>
      </c>
      <c r="CG5">
        <v>218252</v>
      </c>
      <c r="CH5" t="s">
        <v>1793</v>
      </c>
      <c r="CM5" t="str">
        <f>_xll.BDS("ARW US Equity","SUPPLY_CHAIN_SUPPLIERS_ALL_DATA","cols=12;rows=5")</f>
        <v>ADI US Equity</v>
      </c>
      <c r="CN5" t="s">
        <v>1752</v>
      </c>
      <c r="CO5">
        <v>23.97711</v>
      </c>
      <c r="CP5">
        <v>10.259909</v>
      </c>
      <c r="CQ5" t="s">
        <v>1788</v>
      </c>
      <c r="CR5">
        <v>2025</v>
      </c>
      <c r="CS5" t="s">
        <v>2416</v>
      </c>
      <c r="CT5" s="6">
        <v>45891</v>
      </c>
      <c r="CU5">
        <v>5</v>
      </c>
      <c r="CV5">
        <v>690624192</v>
      </c>
      <c r="CW5">
        <v>100097</v>
      </c>
      <c r="CX5" t="s">
        <v>2417</v>
      </c>
      <c r="DA5" t="str">
        <f>_xll.BDS("ARW US Equity","SUPPLY_CHAIN_CUSTOMERS_ALL_DATA","cols=12;rows=5")</f>
        <v>IBM US Equity</v>
      </c>
      <c r="DB5">
        <v>0.62020699999999995</v>
      </c>
      <c r="DC5" t="s">
        <v>1752</v>
      </c>
      <c r="DD5">
        <v>0.64917100000000005</v>
      </c>
      <c r="DE5" t="s">
        <v>1781</v>
      </c>
      <c r="DF5">
        <v>2025</v>
      </c>
      <c r="DG5" t="s">
        <v>1869</v>
      </c>
      <c r="DH5" s="6">
        <v>45797</v>
      </c>
      <c r="DI5">
        <v>5</v>
      </c>
      <c r="DJ5">
        <v>42261032</v>
      </c>
      <c r="DK5">
        <v>100801</v>
      </c>
      <c r="DL5" t="s">
        <v>1870</v>
      </c>
      <c r="DQ5" t="str">
        <f>_xll.BDS("TDG US Equity","SUPPLY_CHAIN_SUPPLIERS_ALL_DATA","cols=12;rows=5")</f>
        <v>DCO US Equity</v>
      </c>
      <c r="DR5" t="s">
        <v>1752</v>
      </c>
      <c r="DS5">
        <v>0.84416199999999997</v>
      </c>
      <c r="DT5">
        <v>0.208984</v>
      </c>
      <c r="DU5" t="s">
        <v>1774</v>
      </c>
      <c r="DV5">
        <v>2025</v>
      </c>
      <c r="DW5" t="s">
        <v>4599</v>
      </c>
      <c r="DX5" s="6">
        <v>45911</v>
      </c>
      <c r="DY5">
        <v>5</v>
      </c>
      <c r="DZ5">
        <v>1707402</v>
      </c>
      <c r="EA5">
        <v>103317</v>
      </c>
      <c r="EB5" t="s">
        <v>4600</v>
      </c>
      <c r="EE5" t="str">
        <f>_xll.BDS("TDG US Equity","SUPPLY_CHAIN_CUSTOMERS_ALL_DATA","cols=12;rows=5")</f>
        <v>BA US Equity</v>
      </c>
      <c r="EF5">
        <v>7.9839589999999996</v>
      </c>
      <c r="EG5" t="s">
        <v>1752</v>
      </c>
      <c r="EH5">
        <v>0.68733</v>
      </c>
      <c r="EI5" t="s">
        <v>1825</v>
      </c>
      <c r="EJ5">
        <v>2025</v>
      </c>
      <c r="EK5" t="s">
        <v>4351</v>
      </c>
      <c r="EL5" s="6">
        <v>45986</v>
      </c>
      <c r="EM5">
        <v>5</v>
      </c>
      <c r="EN5">
        <v>176265856</v>
      </c>
      <c r="EO5">
        <v>100211</v>
      </c>
      <c r="EP5" t="s">
        <v>3368</v>
      </c>
      <c r="EU5" t="str">
        <f>_xll.BDS("SOV US Equity","SUPPLY_CHAIN_SUPPLIERS_ALL_DATA")</f>
        <v>#N/A N/A</v>
      </c>
      <c r="FI5" t="str">
        <f>_xll.BDS("SOV US Equity","SUPPLY_CHAIN_CUSTOMERS_ALL_DATA")</f>
        <v>#N/A N/A</v>
      </c>
      <c r="FY5" t="str">
        <f>_xll.BDS("1312089D US Equity","SUPPLY_CHAIN_SUPPLIERS_ALL_DATA")</f>
        <v>#N/A N/A</v>
      </c>
      <c r="GM5" t="str">
        <f>_xll.BDS("1312089D US Equity","SUPPLY_CHAIN_CUSTOMERS_ALL_DATA")</f>
        <v>#N/A N/A</v>
      </c>
      <c r="HC5" t="str">
        <f>_xll.BDS("TSFG US Equity","SUPPLY_CHAIN_SUPPLIERS_ALL_DATA")</f>
        <v>#N/A N/A</v>
      </c>
      <c r="HQ5" t="str">
        <f>_xll.BDS("TSFG US Equity","SUPPLY_CHAIN_CUSTOMERS_ALL_DATA")</f>
        <v>#N/A N/A</v>
      </c>
      <c r="IG5" t="str">
        <f>_xll.BDS("KRNY US Equity","SUPPLY_CHAIN_SUPPLIERS_ALL_DATA","cols=12;rows=1")</f>
        <v>FISV US Equity</v>
      </c>
      <c r="II5">
        <v>-2.4245362661989844E-14</v>
      </c>
      <c r="IJ5">
        <v>-2.4245362661989844E-14</v>
      </c>
      <c r="IK5" t="s">
        <v>1753</v>
      </c>
      <c r="IL5">
        <v>2022</v>
      </c>
      <c r="IM5" t="s">
        <v>3239</v>
      </c>
      <c r="IN5" s="6">
        <v>44671</v>
      </c>
      <c r="IO5">
        <v>1</v>
      </c>
      <c r="IP5">
        <v>-2.4245362661989844E-14</v>
      </c>
      <c r="IQ5">
        <v>103882</v>
      </c>
      <c r="IR5" t="s">
        <v>2154</v>
      </c>
      <c r="IU5" t="str">
        <f>_xll.BDS("KRNY US Equity","SUPPLY_CHAIN_CUSTOMERS_ALL_DATA")</f>
        <v>#N/A N/A</v>
      </c>
      <c r="JK5" t="str">
        <f>_xll.BDS("CSFL US Equity","SUPPLY_CHAIN_SUPPLIERS_ALL_DATA")</f>
        <v>#N/A N/A</v>
      </c>
      <c r="JY5" t="str">
        <f>_xll.BDS("CSFL US Equity","SUPPLY_CHAIN_CUSTOMERS_ALL_DATA")</f>
        <v>#N/A N/A</v>
      </c>
      <c r="KO5" t="str">
        <f>_xll.BDS("OCLR US Equity","SUPPLY_CHAIN_SUPPLIERS_ALL_DATA")</f>
        <v>#N/A N/A</v>
      </c>
      <c r="LC5" t="str">
        <f>_xll.BDS("OCLR US Equity","SUPPLY_CHAIN_CUSTOMERS_ALL_DATA")</f>
        <v>#N/A N/A</v>
      </c>
      <c r="LS5" t="str">
        <f>_xll.BDS("2569244D US Equity","SUPPLY_CHAIN_SUPPLIERS_ALL_DATA")</f>
        <v>#N/A N/A</v>
      </c>
      <c r="MG5" t="str">
        <f>_xll.BDS("2569244D US Equity","SUPPLY_CHAIN_CUSTOMERS_ALL_DATA")</f>
        <v>#N/A N/A</v>
      </c>
      <c r="MW5" t="str">
        <f>_xll.BDS("DXLG US Equity","SUPPLY_CHAIN_SUPPLIERS_ALL_DATA","cols=12;rows=5")</f>
        <v>UPS US Equity</v>
      </c>
      <c r="MX5" t="s">
        <v>1752</v>
      </c>
      <c r="MY5">
        <v>1.9733000000000001E-2</v>
      </c>
      <c r="MZ5">
        <v>7.2428179999999998</v>
      </c>
      <c r="NA5" t="s">
        <v>1788</v>
      </c>
      <c r="NB5">
        <v>2025</v>
      </c>
      <c r="NC5" t="s">
        <v>2463</v>
      </c>
      <c r="ND5" s="6">
        <v>46007</v>
      </c>
      <c r="NE5">
        <v>5</v>
      </c>
      <c r="NF5">
        <v>4225822</v>
      </c>
      <c r="NG5">
        <v>143027</v>
      </c>
      <c r="NH5" t="s">
        <v>2464</v>
      </c>
      <c r="NK5" t="str">
        <f>_xll.BDS("DXLG US Equity","SUPPLY_CHAIN_CUSTOMERS_ALL_DATA","cols=12;rows=3")</f>
        <v>AMZN US Equity</v>
      </c>
      <c r="NL5">
        <v>-2.4245362661989844E-14</v>
      </c>
      <c r="NN5">
        <v>-2.4245362661989844E-14</v>
      </c>
      <c r="NO5" t="s">
        <v>1753</v>
      </c>
      <c r="NP5">
        <v>2025</v>
      </c>
      <c r="NQ5" t="s">
        <v>4568</v>
      </c>
      <c r="NR5" s="6">
        <v>45736</v>
      </c>
      <c r="NS5">
        <v>3</v>
      </c>
      <c r="NT5">
        <v>-2.4245362661989844E-14</v>
      </c>
      <c r="NU5">
        <v>216952</v>
      </c>
      <c r="NV5" t="s">
        <v>1899</v>
      </c>
      <c r="OA5" t="str">
        <f>_xll.BDS("SGID US Equity","SUPPLY_CHAIN_SUPPLIERS_ALL_DATA")</f>
        <v>#N/A N/A</v>
      </c>
      <c r="OO5" t="str">
        <f>_xll.BDS("SGID US Equity","SUPPLY_CHAIN_CUSTOMERS_ALL_DATA")</f>
        <v>#N/A N/A</v>
      </c>
      <c r="PE5" t="str">
        <f>_xll.BDS("NVDA US Equity","SUPPLY_CHAIN_SUPPLIERS_ALL_DATA","cols=12;rows=5")</f>
        <v>000660 KS Equity</v>
      </c>
      <c r="PF5" t="s">
        <v>1752</v>
      </c>
      <c r="PG5">
        <v>26.980654000000001</v>
      </c>
      <c r="PH5">
        <v>26.534089999999999</v>
      </c>
      <c r="PI5" t="s">
        <v>1788</v>
      </c>
      <c r="PJ5">
        <v>2025</v>
      </c>
      <c r="PK5" t="s">
        <v>2487</v>
      </c>
      <c r="PL5" s="6">
        <v>46080</v>
      </c>
      <c r="PM5">
        <v>5</v>
      </c>
      <c r="PN5">
        <v>4758620035.9899998</v>
      </c>
      <c r="PO5">
        <v>193974</v>
      </c>
      <c r="PP5" t="s">
        <v>2270</v>
      </c>
      <c r="PS5" t="str">
        <f>_xll.BDS("NVDA US Equity","SUPPLY_CHAIN_CUSTOMERS_ALL_DATA","cols=12;rows=5")</f>
        <v>MSFT US Equity</v>
      </c>
      <c r="PT5">
        <v>22.047934000000001</v>
      </c>
      <c r="PU5" t="s">
        <v>1828</v>
      </c>
      <c r="PV5">
        <v>50.276459000000003</v>
      </c>
      <c r="PW5" t="s">
        <v>1825</v>
      </c>
      <c r="PX5">
        <v>2026</v>
      </c>
      <c r="PY5" t="s">
        <v>2352</v>
      </c>
      <c r="PZ5" s="6">
        <v>46087</v>
      </c>
      <c r="QA5">
        <v>5</v>
      </c>
      <c r="QB5">
        <v>15020595200</v>
      </c>
      <c r="QC5">
        <v>101743</v>
      </c>
      <c r="QD5" t="s">
        <v>2156</v>
      </c>
      <c r="QI5" t="str">
        <f>_xll.BDS("TDY US Equity","SUPPLY_CHAIN_SUPPLIERS_ALL_DATA","cols=12;rows=5")</f>
        <v>VOYG US Equity</v>
      </c>
      <c r="QJ5" t="s">
        <v>1752</v>
      </c>
      <c r="QK5">
        <v>5</v>
      </c>
      <c r="QL5">
        <v>0.21875900000000001</v>
      </c>
      <c r="QM5" t="s">
        <v>1753</v>
      </c>
      <c r="QN5">
        <v>2024</v>
      </c>
      <c r="QO5" t="s">
        <v>2630</v>
      </c>
      <c r="QP5" s="6">
        <v>45793</v>
      </c>
      <c r="QQ5">
        <v>5</v>
      </c>
      <c r="QR5">
        <v>1802250</v>
      </c>
      <c r="QS5">
        <v>66280962</v>
      </c>
      <c r="QT5" t="s">
        <v>2631</v>
      </c>
      <c r="QW5" t="str">
        <f>_xll.BDS("TDY US Equity","SUPPLY_CHAIN_CUSTOMERS_ALL_DATA","cols=12;rows=5")</f>
        <v>3352Z US Equity</v>
      </c>
      <c r="QX5">
        <v>25.5</v>
      </c>
      <c r="QZ5">
        <v>-2.4245362661989844E-14</v>
      </c>
      <c r="RA5" t="s">
        <v>1753</v>
      </c>
      <c r="RB5">
        <v>2025</v>
      </c>
      <c r="RC5" t="s">
        <v>3487</v>
      </c>
      <c r="RD5" s="6">
        <v>46073</v>
      </c>
      <c r="RE5">
        <v>5</v>
      </c>
      <c r="RF5">
        <v>389850000</v>
      </c>
      <c r="RG5">
        <v>218252</v>
      </c>
      <c r="RH5" t="s">
        <v>1793</v>
      </c>
      <c r="RM5" t="str">
        <f>_xll.BDS("1822785D US Equity","SUPPLY_CHAIN_SUPPLIERS_ALL_DATA")</f>
        <v>#N/A N/A</v>
      </c>
      <c r="SA5" t="str">
        <f>_xll.BDS("1822785D US Equity","SUPPLY_CHAIN_CUSTOMERS_ALL_DATA")</f>
        <v>#N/A N/A</v>
      </c>
      <c r="SQ5" t="str">
        <f>_xll.BDS("NFB US Equity","SUPPLY_CHAIN_SUPPLIERS_ALL_DATA")</f>
        <v>#N/A N/A</v>
      </c>
      <c r="TE5" t="str">
        <f>_xll.BDS("NFB US Equity","SUPPLY_CHAIN_CUSTOMERS_ALL_DATA")</f>
        <v>#N/A N/A</v>
      </c>
      <c r="TU5" t="str">
        <f>_xll.BDS("ONB US Equity","SUPPLY_CHAIN_SUPPLIERS_ALL_DATA","cols=12;rows=3")</f>
        <v>FCPT US Equity</v>
      </c>
      <c r="TW5">
        <v>-2.4245362661989844E-14</v>
      </c>
      <c r="TX5">
        <v>-2.4245362661989844E-14</v>
      </c>
      <c r="TY5" t="s">
        <v>1753</v>
      </c>
      <c r="TZ5">
        <v>2023</v>
      </c>
      <c r="UA5" t="s">
        <v>2478</v>
      </c>
      <c r="UB5" s="6">
        <v>45337</v>
      </c>
      <c r="UC5">
        <v>3</v>
      </c>
      <c r="UD5">
        <v>-2.4245362661989844E-14</v>
      </c>
      <c r="UE5">
        <v>46177523</v>
      </c>
      <c r="UF5" t="s">
        <v>2479</v>
      </c>
      <c r="UI5" t="str">
        <f>_xll.BDS("ONB US Equity","SUPPLY_CHAIN_CUSTOMERS_ALL_DATA")</f>
        <v>#N/A N/A</v>
      </c>
      <c r="UY5" t="str">
        <f>_xll.BDS("MIDD US Equity","SUPPLY_CHAIN_SUPPLIERS_ALL_DATA","cols=12;rows=5")</f>
        <v>MOG/A US Equity</v>
      </c>
      <c r="UZ5" t="s">
        <v>1752</v>
      </c>
      <c r="VA5">
        <v>7.3880000000000001E-2</v>
      </c>
      <c r="VB5">
        <v>0.119369</v>
      </c>
      <c r="VC5" t="s">
        <v>1788</v>
      </c>
      <c r="VD5">
        <v>2025</v>
      </c>
      <c r="VE5" t="s">
        <v>2296</v>
      </c>
      <c r="VF5" s="6">
        <v>45936</v>
      </c>
      <c r="VG5">
        <v>5</v>
      </c>
      <c r="VH5">
        <v>717643</v>
      </c>
      <c r="VI5">
        <v>105427</v>
      </c>
      <c r="VJ5" t="s">
        <v>2297</v>
      </c>
      <c r="VM5" t="str">
        <f>_xll.BDS("MIDD US Equity","SUPPLY_CHAIN_CUSTOMERS_ALL_DATA","cols=12;rows=5")</f>
        <v>AXFO SS Equity</v>
      </c>
      <c r="VN5">
        <v>6.8608000000000002E-2</v>
      </c>
      <c r="VO5" t="s">
        <v>1752</v>
      </c>
      <c r="VP5">
        <v>3.7031000000000001E-2</v>
      </c>
      <c r="VQ5" t="s">
        <v>1788</v>
      </c>
      <c r="VR5">
        <v>2025</v>
      </c>
      <c r="VS5" t="s">
        <v>1839</v>
      </c>
      <c r="VT5" s="6">
        <v>46041</v>
      </c>
      <c r="VU5">
        <v>5</v>
      </c>
      <c r="VV5">
        <v>738517.2</v>
      </c>
      <c r="VW5">
        <v>221436</v>
      </c>
      <c r="VX5" t="s">
        <v>1840</v>
      </c>
    </row>
    <row r="6" spans="1:600" x14ac:dyDescent="0.25">
      <c r="A6" t="s">
        <v>265</v>
      </c>
      <c r="B6" t="s">
        <v>1752</v>
      </c>
      <c r="C6">
        <v>15.549336</v>
      </c>
      <c r="D6">
        <v>4.6186980000000002</v>
      </c>
      <c r="E6" t="s">
        <v>1788</v>
      </c>
      <c r="F6">
        <v>2025</v>
      </c>
      <c r="G6" t="s">
        <v>2577</v>
      </c>
      <c r="H6" s="6">
        <v>46018</v>
      </c>
      <c r="I6">
        <v>5</v>
      </c>
      <c r="J6">
        <v>3730752256</v>
      </c>
      <c r="K6">
        <v>100828</v>
      </c>
      <c r="L6" t="s">
        <v>2578</v>
      </c>
      <c r="O6" t="s">
        <v>3276</v>
      </c>
      <c r="P6">
        <v>13</v>
      </c>
      <c r="Q6" t="s">
        <v>1752</v>
      </c>
      <c r="R6">
        <v>17.228079000000001</v>
      </c>
      <c r="S6" t="s">
        <v>1753</v>
      </c>
      <c r="T6">
        <v>2025</v>
      </c>
      <c r="U6" t="s">
        <v>3277</v>
      </c>
      <c r="V6" s="6">
        <v>45986</v>
      </c>
      <c r="W6">
        <v>5</v>
      </c>
      <c r="X6">
        <v>10443316224</v>
      </c>
      <c r="Y6">
        <v>60401289</v>
      </c>
      <c r="Z6" t="s">
        <v>3278</v>
      </c>
      <c r="AE6" t="s">
        <v>3045</v>
      </c>
      <c r="AF6" t="s">
        <v>1752</v>
      </c>
      <c r="AG6">
        <v>14.561529</v>
      </c>
      <c r="AH6">
        <v>4.6818900000000001</v>
      </c>
      <c r="AI6" t="s">
        <v>1753</v>
      </c>
      <c r="AJ6">
        <v>2024</v>
      </c>
      <c r="AK6" t="s">
        <v>3046</v>
      </c>
      <c r="AL6" s="6">
        <v>45743</v>
      </c>
      <c r="AM6">
        <v>5</v>
      </c>
      <c r="AN6">
        <v>214702784.71000001</v>
      </c>
      <c r="AO6">
        <v>151737</v>
      </c>
      <c r="AP6" t="s">
        <v>3047</v>
      </c>
      <c r="AS6" t="s">
        <v>2744</v>
      </c>
      <c r="AT6">
        <v>6.0672769999999998</v>
      </c>
      <c r="AU6" t="s">
        <v>1752</v>
      </c>
      <c r="AV6">
        <v>11.846406999999999</v>
      </c>
      <c r="AW6" t="s">
        <v>1753</v>
      </c>
      <c r="AX6">
        <v>2024</v>
      </c>
      <c r="AY6" t="s">
        <v>2745</v>
      </c>
      <c r="AZ6" s="6">
        <v>45771</v>
      </c>
      <c r="BA6">
        <v>5</v>
      </c>
      <c r="BB6">
        <v>747542800.55999994</v>
      </c>
      <c r="BC6">
        <v>158237</v>
      </c>
      <c r="BD6" t="s">
        <v>2746</v>
      </c>
      <c r="BI6" t="s">
        <v>1908</v>
      </c>
      <c r="BJ6" t="s">
        <v>1752</v>
      </c>
      <c r="BK6">
        <v>0.40776600000000002</v>
      </c>
      <c r="BL6">
        <v>2.926504</v>
      </c>
      <c r="BM6" t="s">
        <v>1774</v>
      </c>
      <c r="BN6">
        <v>2025</v>
      </c>
      <c r="BO6" t="s">
        <v>2515</v>
      </c>
      <c r="BP6" s="6">
        <v>45895</v>
      </c>
      <c r="BQ6">
        <v>5</v>
      </c>
      <c r="BR6">
        <v>87999984</v>
      </c>
      <c r="BS6">
        <v>101555</v>
      </c>
      <c r="BT6" t="s">
        <v>1909</v>
      </c>
      <c r="BW6" t="s">
        <v>1180</v>
      </c>
      <c r="BX6">
        <v>6.6028770000000003</v>
      </c>
      <c r="BY6" t="s">
        <v>1828</v>
      </c>
      <c r="BZ6">
        <v>5.0506979999999997</v>
      </c>
      <c r="CA6" t="s">
        <v>1774</v>
      </c>
      <c r="CB6">
        <v>2025</v>
      </c>
      <c r="CC6" t="s">
        <v>2399</v>
      </c>
      <c r="CD6" s="6">
        <v>45915</v>
      </c>
      <c r="CE6">
        <v>5</v>
      </c>
      <c r="CF6">
        <v>245362912</v>
      </c>
      <c r="CG6">
        <v>100193</v>
      </c>
      <c r="CH6" t="s">
        <v>1951</v>
      </c>
      <c r="CM6" t="s">
        <v>924</v>
      </c>
      <c r="CN6" t="s">
        <v>1752</v>
      </c>
      <c r="CO6">
        <v>6.2410899999999998</v>
      </c>
      <c r="CP6">
        <v>7.8808930000000004</v>
      </c>
      <c r="CQ6" t="s">
        <v>1774</v>
      </c>
      <c r="CR6">
        <v>2025</v>
      </c>
      <c r="CS6" t="s">
        <v>2418</v>
      </c>
      <c r="CT6" s="6">
        <v>45846</v>
      </c>
      <c r="CU6">
        <v>5</v>
      </c>
      <c r="CV6">
        <v>476007936</v>
      </c>
      <c r="CW6">
        <v>42602315</v>
      </c>
      <c r="CX6" t="s">
        <v>2419</v>
      </c>
      <c r="DA6" t="s">
        <v>1871</v>
      </c>
      <c r="DB6">
        <v>0.54625800000000002</v>
      </c>
      <c r="DC6" t="s">
        <v>1752</v>
      </c>
      <c r="DD6">
        <v>0.118252</v>
      </c>
      <c r="DE6" t="s">
        <v>1774</v>
      </c>
      <c r="DF6">
        <v>2025</v>
      </c>
      <c r="DG6" t="s">
        <v>1872</v>
      </c>
      <c r="DH6" s="6">
        <v>45952</v>
      </c>
      <c r="DI6">
        <v>5</v>
      </c>
      <c r="DJ6">
        <v>41454810.32</v>
      </c>
      <c r="DK6">
        <v>117929</v>
      </c>
      <c r="DL6" t="s">
        <v>1873</v>
      </c>
      <c r="DQ6" t="s">
        <v>2635</v>
      </c>
      <c r="DR6" t="s">
        <v>1752</v>
      </c>
      <c r="DS6">
        <v>0.12837799999999999</v>
      </c>
      <c r="DT6">
        <v>0.18032500000000001</v>
      </c>
      <c r="DU6" t="s">
        <v>1788</v>
      </c>
      <c r="DV6">
        <v>2025</v>
      </c>
      <c r="DW6" t="s">
        <v>2636</v>
      </c>
      <c r="DX6" s="6">
        <v>45905</v>
      </c>
      <c r="DY6">
        <v>5</v>
      </c>
      <c r="DZ6">
        <v>1473254</v>
      </c>
      <c r="EA6">
        <v>104365</v>
      </c>
      <c r="EB6" t="s">
        <v>2637</v>
      </c>
      <c r="EE6" t="s">
        <v>1831</v>
      </c>
      <c r="EF6">
        <v>5.419651</v>
      </c>
      <c r="EG6" t="s">
        <v>1752</v>
      </c>
      <c r="EH6">
        <v>0.68726100000000001</v>
      </c>
      <c r="EI6" t="s">
        <v>1825</v>
      </c>
      <c r="EJ6">
        <v>2025</v>
      </c>
      <c r="EK6" t="s">
        <v>4351</v>
      </c>
      <c r="EL6" s="6">
        <v>45986</v>
      </c>
      <c r="EM6">
        <v>5</v>
      </c>
      <c r="EN6">
        <v>119652344</v>
      </c>
      <c r="EO6">
        <v>876285</v>
      </c>
      <c r="EP6" t="s">
        <v>1833</v>
      </c>
      <c r="MW6" t="s">
        <v>4473</v>
      </c>
      <c r="MX6" t="s">
        <v>1752</v>
      </c>
      <c r="MY6">
        <v>9.8914000000000002E-2</v>
      </c>
      <c r="MZ6">
        <v>2.934256</v>
      </c>
      <c r="NA6" t="s">
        <v>1781</v>
      </c>
      <c r="NB6">
        <v>2026</v>
      </c>
      <c r="NC6" t="s">
        <v>4474</v>
      </c>
      <c r="ND6" s="6">
        <v>45884</v>
      </c>
      <c r="NE6">
        <v>5</v>
      </c>
      <c r="NF6">
        <v>1700431</v>
      </c>
      <c r="NG6">
        <v>225160</v>
      </c>
      <c r="NH6" t="s">
        <v>4475</v>
      </c>
      <c r="NK6" t="s">
        <v>2797</v>
      </c>
      <c r="NL6">
        <v>-2.4245362661989844E-14</v>
      </c>
      <c r="NN6">
        <v>-2.4245362661989844E-14</v>
      </c>
      <c r="NO6" t="s">
        <v>1753</v>
      </c>
      <c r="NP6">
        <v>2023</v>
      </c>
      <c r="NQ6" t="s">
        <v>4569</v>
      </c>
      <c r="NR6" s="6">
        <v>45001</v>
      </c>
      <c r="NS6">
        <v>3</v>
      </c>
      <c r="NT6">
        <v>-2.4245362661989844E-14</v>
      </c>
      <c r="NU6">
        <v>100436</v>
      </c>
      <c r="NV6" t="s">
        <v>2798</v>
      </c>
      <c r="PE6" t="s">
        <v>1941</v>
      </c>
      <c r="PF6" t="s">
        <v>1752</v>
      </c>
      <c r="PG6">
        <v>13.052538</v>
      </c>
      <c r="PH6">
        <v>32.810158000000001</v>
      </c>
      <c r="PI6" t="s">
        <v>1825</v>
      </c>
      <c r="PJ6">
        <v>2024</v>
      </c>
      <c r="PK6" t="s">
        <v>3480</v>
      </c>
      <c r="PL6" s="6">
        <v>45741</v>
      </c>
      <c r="PM6">
        <v>5</v>
      </c>
      <c r="PN6">
        <v>3504071127.3699999</v>
      </c>
      <c r="PO6">
        <v>153737</v>
      </c>
      <c r="PP6" t="s">
        <v>1943</v>
      </c>
      <c r="PS6" t="s">
        <v>1079</v>
      </c>
      <c r="PT6">
        <v>14.019739</v>
      </c>
      <c r="PU6" t="s">
        <v>1828</v>
      </c>
      <c r="PV6">
        <v>24.166864</v>
      </c>
      <c r="PW6" t="s">
        <v>1825</v>
      </c>
      <c r="PX6">
        <v>2026</v>
      </c>
      <c r="PY6" t="s">
        <v>2352</v>
      </c>
      <c r="PZ6" s="6">
        <v>46087</v>
      </c>
      <c r="QA6">
        <v>5</v>
      </c>
      <c r="QB6">
        <v>9551227904</v>
      </c>
      <c r="QC6">
        <v>216952</v>
      </c>
      <c r="QD6" t="s">
        <v>1899</v>
      </c>
      <c r="QI6" t="s">
        <v>2632</v>
      </c>
      <c r="QJ6" t="s">
        <v>1752</v>
      </c>
      <c r="QK6">
        <v>0.172237</v>
      </c>
      <c r="QL6">
        <v>0.17371900000000001</v>
      </c>
      <c r="QM6" t="s">
        <v>1774</v>
      </c>
      <c r="QN6">
        <v>2025</v>
      </c>
      <c r="QO6" t="s">
        <v>2633</v>
      </c>
      <c r="QP6" s="6">
        <v>45912</v>
      </c>
      <c r="QQ6">
        <v>5</v>
      </c>
      <c r="QR6">
        <v>1509788</v>
      </c>
      <c r="QS6">
        <v>100421</v>
      </c>
      <c r="QT6" t="s">
        <v>2634</v>
      </c>
      <c r="QW6" t="s">
        <v>3366</v>
      </c>
      <c r="QX6">
        <v>1.7060219999999999</v>
      </c>
      <c r="QY6" t="s">
        <v>1752</v>
      </c>
      <c r="QZ6">
        <v>0.12712399999999999</v>
      </c>
      <c r="RA6" t="s">
        <v>1774</v>
      </c>
      <c r="RB6">
        <v>2025</v>
      </c>
      <c r="RC6" t="s">
        <v>3488</v>
      </c>
      <c r="RD6" s="6">
        <v>45874</v>
      </c>
      <c r="RE6">
        <v>5</v>
      </c>
      <c r="RF6">
        <v>25824056</v>
      </c>
      <c r="RG6">
        <v>100211</v>
      </c>
      <c r="RH6" t="s">
        <v>3368</v>
      </c>
      <c r="TU6" t="s">
        <v>2480</v>
      </c>
      <c r="TW6">
        <v>-2.4245362661989844E-14</v>
      </c>
      <c r="TX6">
        <v>-2.4245362661989844E-14</v>
      </c>
      <c r="TY6" t="s">
        <v>1781</v>
      </c>
      <c r="TZ6">
        <v>2023</v>
      </c>
      <c r="UA6" t="s">
        <v>2481</v>
      </c>
      <c r="UB6" s="6">
        <v>45020</v>
      </c>
      <c r="UC6">
        <v>3</v>
      </c>
      <c r="UD6">
        <v>-2.4245362661989844E-14</v>
      </c>
      <c r="UE6">
        <v>106252</v>
      </c>
      <c r="UF6" t="s">
        <v>2482</v>
      </c>
      <c r="UY6" t="s">
        <v>2298</v>
      </c>
      <c r="VA6">
        <v>-2.4245362661989844E-14</v>
      </c>
      <c r="VB6">
        <v>-2.4245362661989844E-14</v>
      </c>
      <c r="VC6" t="s">
        <v>1753</v>
      </c>
      <c r="VD6">
        <v>2024</v>
      </c>
      <c r="VE6" t="s">
        <v>2299</v>
      </c>
      <c r="VF6" s="6">
        <v>45731</v>
      </c>
      <c r="VG6">
        <v>5</v>
      </c>
      <c r="VH6">
        <v>-2.4245362661989844E-14</v>
      </c>
      <c r="VI6">
        <v>330953</v>
      </c>
      <c r="VJ6" t="s">
        <v>2300</v>
      </c>
      <c r="VM6" t="s">
        <v>1841</v>
      </c>
      <c r="VN6">
        <v>-2.4245362661989844E-14</v>
      </c>
      <c r="VP6">
        <v>-2.4245362661989844E-14</v>
      </c>
      <c r="VQ6" t="s">
        <v>1842</v>
      </c>
      <c r="VR6">
        <v>2025</v>
      </c>
      <c r="VS6" t="s">
        <v>1843</v>
      </c>
      <c r="VT6" s="6">
        <v>45895</v>
      </c>
      <c r="VU6">
        <v>5</v>
      </c>
      <c r="VV6">
        <v>-2.4245362661989844E-14</v>
      </c>
      <c r="VW6">
        <v>26038284</v>
      </c>
      <c r="VX6" t="s">
        <v>1844</v>
      </c>
    </row>
    <row r="7" spans="1:600" x14ac:dyDescent="0.25">
      <c r="A7" t="s">
        <v>3411</v>
      </c>
      <c r="B7" t="s">
        <v>1752</v>
      </c>
      <c r="C7">
        <v>22.158524</v>
      </c>
      <c r="D7">
        <v>4.4440090000000003</v>
      </c>
      <c r="E7" t="s">
        <v>1825</v>
      </c>
      <c r="F7">
        <v>2025</v>
      </c>
      <c r="G7" t="s">
        <v>3412</v>
      </c>
      <c r="H7" s="6">
        <v>46077</v>
      </c>
      <c r="I7">
        <v>5</v>
      </c>
      <c r="J7">
        <v>3682303488</v>
      </c>
      <c r="K7">
        <v>28046509</v>
      </c>
      <c r="L7" t="s">
        <v>3413</v>
      </c>
      <c r="O7" t="s">
        <v>3279</v>
      </c>
      <c r="P7">
        <v>5</v>
      </c>
      <c r="R7">
        <v>-2.4245362661989844E-14</v>
      </c>
      <c r="S7" t="s">
        <v>1788</v>
      </c>
      <c r="T7">
        <v>2025</v>
      </c>
      <c r="U7" t="s">
        <v>3280</v>
      </c>
      <c r="V7" s="6">
        <v>45954</v>
      </c>
      <c r="W7">
        <v>5</v>
      </c>
      <c r="X7">
        <v>4033176576</v>
      </c>
      <c r="Y7">
        <v>42053322</v>
      </c>
      <c r="Z7" t="s">
        <v>3281</v>
      </c>
      <c r="AE7" t="s">
        <v>2897</v>
      </c>
      <c r="AF7" t="s">
        <v>1752</v>
      </c>
      <c r="AG7">
        <v>1.576433</v>
      </c>
      <c r="AH7">
        <v>2.3297099999999999</v>
      </c>
      <c r="AI7" t="s">
        <v>1781</v>
      </c>
      <c r="AJ7">
        <v>2026</v>
      </c>
      <c r="AK7" t="s">
        <v>2898</v>
      </c>
      <c r="AL7" s="6">
        <v>45951</v>
      </c>
      <c r="AM7">
        <v>5</v>
      </c>
      <c r="AN7">
        <v>109823422.48999999</v>
      </c>
      <c r="AO7">
        <v>152975</v>
      </c>
      <c r="AP7" t="s">
        <v>2899</v>
      </c>
      <c r="AS7" t="s">
        <v>2747</v>
      </c>
      <c r="AT7">
        <v>5.5974240000000002</v>
      </c>
      <c r="AU7" t="s">
        <v>1752</v>
      </c>
      <c r="AV7">
        <v>33.599918000000002</v>
      </c>
      <c r="AW7" t="s">
        <v>1768</v>
      </c>
      <c r="AX7">
        <v>2025</v>
      </c>
      <c r="AY7" t="s">
        <v>2748</v>
      </c>
      <c r="AZ7" s="6">
        <v>45968</v>
      </c>
      <c r="BA7">
        <v>5</v>
      </c>
      <c r="BB7">
        <v>673263197.33000004</v>
      </c>
      <c r="BC7">
        <v>119952</v>
      </c>
      <c r="BD7" t="s">
        <v>2749</v>
      </c>
      <c r="BI7" t="s">
        <v>708</v>
      </c>
      <c r="BJ7" t="s">
        <v>1752</v>
      </c>
      <c r="BK7">
        <v>0.65316700000000005</v>
      </c>
      <c r="BL7">
        <v>2.248615</v>
      </c>
      <c r="BM7" t="s">
        <v>1774</v>
      </c>
      <c r="BN7">
        <v>2025</v>
      </c>
      <c r="BO7" t="s">
        <v>2516</v>
      </c>
      <c r="BP7" s="6">
        <v>45898</v>
      </c>
      <c r="BQ7">
        <v>5</v>
      </c>
      <c r="BR7">
        <v>67615848</v>
      </c>
      <c r="BS7">
        <v>100043</v>
      </c>
      <c r="BT7" t="s">
        <v>2517</v>
      </c>
      <c r="BW7" t="s">
        <v>2218</v>
      </c>
      <c r="BX7">
        <v>1.0461879999999999</v>
      </c>
      <c r="BY7" t="s">
        <v>1828</v>
      </c>
      <c r="BZ7">
        <v>2.6392630000000001</v>
      </c>
      <c r="CA7" t="s">
        <v>1774</v>
      </c>
      <c r="CB7">
        <v>2025</v>
      </c>
      <c r="CC7" t="s">
        <v>2399</v>
      </c>
      <c r="CD7" s="6">
        <v>45915</v>
      </c>
      <c r="CE7">
        <v>5</v>
      </c>
      <c r="CF7">
        <v>38876344</v>
      </c>
      <c r="CG7">
        <v>100554</v>
      </c>
      <c r="CH7" t="s">
        <v>2220</v>
      </c>
      <c r="CM7" t="s">
        <v>2420</v>
      </c>
      <c r="CN7" t="s">
        <v>1752</v>
      </c>
      <c r="CO7">
        <v>22</v>
      </c>
      <c r="CP7">
        <v>4.8704559999999999</v>
      </c>
      <c r="CQ7" t="s">
        <v>1788</v>
      </c>
      <c r="CR7">
        <v>2026</v>
      </c>
      <c r="CS7" t="s">
        <v>2421</v>
      </c>
      <c r="CT7" s="6">
        <v>46079</v>
      </c>
      <c r="CU7">
        <v>5</v>
      </c>
      <c r="CV7">
        <v>376860000</v>
      </c>
      <c r="CW7">
        <v>171351</v>
      </c>
      <c r="CX7" t="s">
        <v>2422</v>
      </c>
      <c r="DA7" t="s">
        <v>1784</v>
      </c>
      <c r="DB7">
        <v>0.52273000000000003</v>
      </c>
      <c r="DC7" t="s">
        <v>1752</v>
      </c>
      <c r="DD7">
        <v>0.80835999999999997</v>
      </c>
      <c r="DE7" t="s">
        <v>1774</v>
      </c>
      <c r="DF7">
        <v>2026</v>
      </c>
      <c r="DG7" t="s">
        <v>1874</v>
      </c>
      <c r="DH7" s="6">
        <v>46063</v>
      </c>
      <c r="DI7">
        <v>5</v>
      </c>
      <c r="DJ7">
        <v>45720172</v>
      </c>
      <c r="DK7">
        <v>100142</v>
      </c>
      <c r="DL7" t="s">
        <v>1786</v>
      </c>
      <c r="DQ7" t="s">
        <v>4601</v>
      </c>
      <c r="DR7" t="s">
        <v>1752</v>
      </c>
      <c r="DS7">
        <v>0.342005</v>
      </c>
      <c r="DT7">
        <v>0.106498</v>
      </c>
      <c r="DU7" t="s">
        <v>1788</v>
      </c>
      <c r="DV7">
        <v>2025</v>
      </c>
      <c r="DW7" t="s">
        <v>4602</v>
      </c>
      <c r="DX7" s="6">
        <v>45978</v>
      </c>
      <c r="DY7">
        <v>5</v>
      </c>
      <c r="DZ7">
        <v>992678.59</v>
      </c>
      <c r="EA7">
        <v>68455782</v>
      </c>
      <c r="EB7" t="s">
        <v>4603</v>
      </c>
      <c r="EE7" t="s">
        <v>3532</v>
      </c>
      <c r="EF7">
        <v>4.7768259999999998</v>
      </c>
      <c r="EG7" t="s">
        <v>1752</v>
      </c>
      <c r="EH7">
        <v>0.64426899999999998</v>
      </c>
      <c r="EI7" t="s">
        <v>1825</v>
      </c>
      <c r="EJ7">
        <v>2025</v>
      </c>
      <c r="EK7" t="s">
        <v>4351</v>
      </c>
      <c r="EL7" s="6">
        <v>45986</v>
      </c>
      <c r="EM7">
        <v>5</v>
      </c>
      <c r="EN7">
        <v>105460376</v>
      </c>
      <c r="EO7">
        <v>156923</v>
      </c>
      <c r="EP7" t="s">
        <v>3533</v>
      </c>
      <c r="MW7" t="s">
        <v>4476</v>
      </c>
      <c r="MX7" t="s">
        <v>1752</v>
      </c>
      <c r="MY7">
        <v>0.141512</v>
      </c>
      <c r="MZ7">
        <v>2.8318140000000001</v>
      </c>
      <c r="NA7" t="s">
        <v>1788</v>
      </c>
      <c r="NB7">
        <v>2025</v>
      </c>
      <c r="NC7" t="s">
        <v>4477</v>
      </c>
      <c r="ND7" s="6">
        <v>46073</v>
      </c>
      <c r="NE7">
        <v>5</v>
      </c>
      <c r="NF7">
        <v>1653850.74</v>
      </c>
      <c r="NG7">
        <v>118304</v>
      </c>
      <c r="NH7" t="s">
        <v>4478</v>
      </c>
      <c r="NK7" t="s">
        <v>2750</v>
      </c>
      <c r="NL7">
        <v>-2.4245362661989844E-14</v>
      </c>
      <c r="NN7">
        <v>-2.4245362661989844E-14</v>
      </c>
      <c r="NO7" t="s">
        <v>1753</v>
      </c>
      <c r="NP7">
        <v>2025</v>
      </c>
      <c r="NQ7" t="s">
        <v>4568</v>
      </c>
      <c r="NR7" s="6">
        <v>45736</v>
      </c>
      <c r="NS7">
        <v>3</v>
      </c>
      <c r="NT7">
        <v>-2.4245362661989844E-14</v>
      </c>
      <c r="NU7">
        <v>101616</v>
      </c>
      <c r="NV7" t="s">
        <v>2752</v>
      </c>
      <c r="PE7" t="s">
        <v>3920</v>
      </c>
      <c r="PF7" t="s">
        <v>1752</v>
      </c>
      <c r="PG7">
        <v>15.571676</v>
      </c>
      <c r="PH7">
        <v>16.581959000000001</v>
      </c>
      <c r="PI7" t="s">
        <v>1788</v>
      </c>
      <c r="PJ7">
        <v>2025</v>
      </c>
      <c r="PK7" t="s">
        <v>3921</v>
      </c>
      <c r="PL7" s="6">
        <v>46087</v>
      </c>
      <c r="PM7">
        <v>5</v>
      </c>
      <c r="PN7">
        <v>2955050408.5999999</v>
      </c>
      <c r="PO7">
        <v>7975354</v>
      </c>
      <c r="PP7" t="s">
        <v>3922</v>
      </c>
      <c r="PS7" t="s">
        <v>2467</v>
      </c>
      <c r="PT7">
        <v>9.5024379999999997</v>
      </c>
      <c r="PU7" t="s">
        <v>1752</v>
      </c>
      <c r="PV7">
        <v>54.474648000000002</v>
      </c>
      <c r="PW7" t="s">
        <v>1825</v>
      </c>
      <c r="PX7">
        <v>2026</v>
      </c>
      <c r="PY7" t="s">
        <v>2352</v>
      </c>
      <c r="PZ7" s="6">
        <v>46087</v>
      </c>
      <c r="QA7">
        <v>5</v>
      </c>
      <c r="QB7">
        <v>6473725952</v>
      </c>
      <c r="QC7">
        <v>11217910</v>
      </c>
      <c r="QD7" t="s">
        <v>2468</v>
      </c>
      <c r="QI7" t="s">
        <v>2635</v>
      </c>
      <c r="QJ7" t="s">
        <v>1752</v>
      </c>
      <c r="QK7">
        <v>4.3629000000000001E-2</v>
      </c>
      <c r="QL7">
        <v>5.7609E-2</v>
      </c>
      <c r="QM7" t="s">
        <v>1788</v>
      </c>
      <c r="QN7">
        <v>2025</v>
      </c>
      <c r="QO7" t="s">
        <v>2636</v>
      </c>
      <c r="QP7" s="6">
        <v>45905</v>
      </c>
      <c r="QQ7">
        <v>5</v>
      </c>
      <c r="QR7">
        <v>500682</v>
      </c>
      <c r="QS7">
        <v>104365</v>
      </c>
      <c r="QT7" t="s">
        <v>2637</v>
      </c>
      <c r="QW7" t="s">
        <v>1831</v>
      </c>
      <c r="QX7">
        <v>1.304338</v>
      </c>
      <c r="QY7" t="s">
        <v>1752</v>
      </c>
      <c r="QZ7">
        <v>0.127112</v>
      </c>
      <c r="RA7" t="s">
        <v>1774</v>
      </c>
      <c r="RB7">
        <v>2025</v>
      </c>
      <c r="RC7" t="s">
        <v>3488</v>
      </c>
      <c r="RD7" s="6">
        <v>45874</v>
      </c>
      <c r="RE7">
        <v>5</v>
      </c>
      <c r="RF7">
        <v>19743764</v>
      </c>
      <c r="RG7">
        <v>876285</v>
      </c>
      <c r="RH7" t="s">
        <v>1833</v>
      </c>
      <c r="TU7" t="s">
        <v>1110</v>
      </c>
      <c r="TW7">
        <v>-2.4245362661989844E-14</v>
      </c>
      <c r="TX7">
        <v>-2.4245362661989844E-14</v>
      </c>
      <c r="TY7" t="s">
        <v>1774</v>
      </c>
      <c r="TZ7">
        <v>2023</v>
      </c>
      <c r="UA7" t="s">
        <v>2226</v>
      </c>
      <c r="UB7" s="6">
        <v>45174</v>
      </c>
      <c r="UC7">
        <v>3</v>
      </c>
      <c r="UD7">
        <v>-2.4245362661989844E-14</v>
      </c>
      <c r="UE7">
        <v>202476</v>
      </c>
      <c r="UF7" t="s">
        <v>2227</v>
      </c>
      <c r="UY7" t="s">
        <v>2301</v>
      </c>
      <c r="VA7">
        <v>-2.4245362661989844E-14</v>
      </c>
      <c r="VB7">
        <v>-2.4245362661989844E-14</v>
      </c>
      <c r="VC7" t="s">
        <v>1753</v>
      </c>
      <c r="VD7">
        <v>2023</v>
      </c>
      <c r="VE7" t="s">
        <v>2302</v>
      </c>
      <c r="VF7" s="6">
        <v>45196</v>
      </c>
      <c r="VG7">
        <v>5</v>
      </c>
      <c r="VH7">
        <v>-2.4245362661989844E-14</v>
      </c>
      <c r="VI7">
        <v>70591659</v>
      </c>
      <c r="VJ7" t="s">
        <v>2303</v>
      </c>
      <c r="VM7" t="s">
        <v>1845</v>
      </c>
      <c r="VN7">
        <v>-2.4245362661989844E-14</v>
      </c>
      <c r="VP7">
        <v>-2.4245362661989844E-14</v>
      </c>
      <c r="VQ7" t="s">
        <v>1788</v>
      </c>
      <c r="VR7">
        <v>2023</v>
      </c>
      <c r="VS7" t="s">
        <v>1846</v>
      </c>
      <c r="VT7" s="6">
        <v>45238</v>
      </c>
      <c r="VU7">
        <v>5</v>
      </c>
      <c r="VV7">
        <v>-2.4245362661989844E-14</v>
      </c>
      <c r="VW7">
        <v>24136085</v>
      </c>
      <c r="VX7" t="s">
        <v>1847</v>
      </c>
    </row>
    <row r="8" spans="1:600" x14ac:dyDescent="0.25">
      <c r="A8" t="s">
        <v>1457</v>
      </c>
      <c r="B8" t="s">
        <v>1752</v>
      </c>
      <c r="C8">
        <v>29</v>
      </c>
      <c r="D8">
        <v>4.4540850000000001</v>
      </c>
      <c r="E8" t="s">
        <v>1753</v>
      </c>
      <c r="F8">
        <v>2025</v>
      </c>
      <c r="G8" t="s">
        <v>3294</v>
      </c>
      <c r="H8" s="6">
        <v>46064</v>
      </c>
      <c r="I8">
        <v>5</v>
      </c>
      <c r="J8">
        <v>3494064896</v>
      </c>
      <c r="K8">
        <v>100225</v>
      </c>
      <c r="L8" t="s">
        <v>2497</v>
      </c>
      <c r="O8" t="s">
        <v>1982</v>
      </c>
      <c r="P8">
        <v>1.1000000000000001</v>
      </c>
      <c r="R8">
        <v>-2.4245362661989844E-14</v>
      </c>
      <c r="S8" t="s">
        <v>1788</v>
      </c>
      <c r="T8">
        <v>2025</v>
      </c>
      <c r="U8" t="s">
        <v>3280</v>
      </c>
      <c r="V8" s="6">
        <v>45954</v>
      </c>
      <c r="W8">
        <v>5</v>
      </c>
      <c r="X8">
        <v>887298880</v>
      </c>
      <c r="Y8">
        <v>962205</v>
      </c>
      <c r="Z8" t="s">
        <v>1984</v>
      </c>
      <c r="AE8" t="s">
        <v>2753</v>
      </c>
      <c r="AF8" t="s">
        <v>1752</v>
      </c>
      <c r="AG8">
        <v>5.2851980000000003</v>
      </c>
      <c r="AH8">
        <v>2.0765180000000001</v>
      </c>
      <c r="AI8" t="s">
        <v>1753</v>
      </c>
      <c r="AJ8">
        <v>2025</v>
      </c>
      <c r="AK8" t="s">
        <v>2754</v>
      </c>
      <c r="AL8" s="6">
        <v>46071</v>
      </c>
      <c r="AM8">
        <v>5</v>
      </c>
      <c r="AN8">
        <v>95504250</v>
      </c>
      <c r="AO8">
        <v>103050</v>
      </c>
      <c r="AP8" t="s">
        <v>2755</v>
      </c>
      <c r="AS8" t="s">
        <v>2750</v>
      </c>
      <c r="AT8">
        <v>5.3761279999999996</v>
      </c>
      <c r="AU8" t="s">
        <v>1752</v>
      </c>
      <c r="AV8">
        <v>0.48133100000000001</v>
      </c>
      <c r="AW8" t="s">
        <v>1781</v>
      </c>
      <c r="AX8">
        <v>2025</v>
      </c>
      <c r="AY8" t="s">
        <v>2751</v>
      </c>
      <c r="AZ8" s="6">
        <v>45853</v>
      </c>
      <c r="BA8">
        <v>5</v>
      </c>
      <c r="BB8">
        <v>598309312</v>
      </c>
      <c r="BC8">
        <v>101616</v>
      </c>
      <c r="BD8" t="s">
        <v>2752</v>
      </c>
      <c r="BI8" t="s">
        <v>260</v>
      </c>
      <c r="BJ8" t="s">
        <v>1752</v>
      </c>
      <c r="BK8">
        <v>0.52513100000000001</v>
      </c>
      <c r="BL8">
        <v>1.9250149999999999</v>
      </c>
      <c r="BM8" t="s">
        <v>1774</v>
      </c>
      <c r="BN8">
        <v>2025</v>
      </c>
      <c r="BO8" t="s">
        <v>2518</v>
      </c>
      <c r="BP8" s="6">
        <v>45888</v>
      </c>
      <c r="BQ8">
        <v>5</v>
      </c>
      <c r="BR8">
        <v>57885192</v>
      </c>
      <c r="BS8">
        <v>100632</v>
      </c>
      <c r="BT8" t="s">
        <v>2519</v>
      </c>
      <c r="BW8" t="s">
        <v>2400</v>
      </c>
      <c r="BX8">
        <v>0.36827399999999999</v>
      </c>
      <c r="BY8" t="s">
        <v>1752</v>
      </c>
      <c r="BZ8">
        <v>3.6235999999999997E-2</v>
      </c>
      <c r="CA8" t="s">
        <v>1774</v>
      </c>
      <c r="CB8">
        <v>2025</v>
      </c>
      <c r="CC8" t="s">
        <v>2399</v>
      </c>
      <c r="CD8" s="6">
        <v>45915</v>
      </c>
      <c r="CE8">
        <v>5</v>
      </c>
      <c r="CF8">
        <v>13685062</v>
      </c>
      <c r="CG8">
        <v>16632863</v>
      </c>
      <c r="CH8" t="s">
        <v>2401</v>
      </c>
      <c r="CM8" t="s">
        <v>2423</v>
      </c>
      <c r="CN8" t="s">
        <v>1752</v>
      </c>
      <c r="CO8">
        <v>1.106266</v>
      </c>
      <c r="CP8">
        <v>4.3831030000000002</v>
      </c>
      <c r="CQ8" t="s">
        <v>1781</v>
      </c>
      <c r="CR8">
        <v>2025</v>
      </c>
      <c r="CS8" t="s">
        <v>2157</v>
      </c>
      <c r="CT8" s="6">
        <v>45784</v>
      </c>
      <c r="CU8">
        <v>5</v>
      </c>
      <c r="CV8">
        <v>264740512</v>
      </c>
      <c r="CW8">
        <v>50985605</v>
      </c>
      <c r="CX8" t="s">
        <v>2424</v>
      </c>
      <c r="DA8" t="s">
        <v>1875</v>
      </c>
      <c r="DB8">
        <v>2.0605999999999999E-2</v>
      </c>
      <c r="DC8" t="s">
        <v>1752</v>
      </c>
      <c r="DD8">
        <v>0.23221900000000001</v>
      </c>
      <c r="DE8" t="s">
        <v>1788</v>
      </c>
      <c r="DF8">
        <v>2025</v>
      </c>
      <c r="DG8" t="s">
        <v>1876</v>
      </c>
      <c r="DH8" s="6">
        <v>45840</v>
      </c>
      <c r="DI8">
        <v>5</v>
      </c>
      <c r="DJ8">
        <v>1404101</v>
      </c>
      <c r="DK8">
        <v>136424</v>
      </c>
      <c r="DL8" t="s">
        <v>1877</v>
      </c>
      <c r="DQ8" t="s">
        <v>2183</v>
      </c>
      <c r="DR8" t="s">
        <v>1752</v>
      </c>
      <c r="DS8">
        <v>7.9628000000000004E-2</v>
      </c>
      <c r="DT8">
        <v>7.2083999999999995E-2</v>
      </c>
      <c r="DU8" t="s">
        <v>1781</v>
      </c>
      <c r="DV8">
        <v>2026</v>
      </c>
      <c r="DW8" t="s">
        <v>2184</v>
      </c>
      <c r="DX8" s="6">
        <v>45925</v>
      </c>
      <c r="DY8">
        <v>5</v>
      </c>
      <c r="DZ8">
        <v>588929</v>
      </c>
      <c r="EA8">
        <v>100001</v>
      </c>
      <c r="EB8" t="s">
        <v>2185</v>
      </c>
      <c r="EE8" t="s">
        <v>4352</v>
      </c>
      <c r="EF8">
        <v>4.0292180000000002</v>
      </c>
      <c r="EG8" t="s">
        <v>1752</v>
      </c>
      <c r="EH8">
        <v>0.643204</v>
      </c>
      <c r="EI8" t="s">
        <v>1825</v>
      </c>
      <c r="EJ8">
        <v>2025</v>
      </c>
      <c r="EK8" t="s">
        <v>4351</v>
      </c>
      <c r="EL8" s="6">
        <v>45986</v>
      </c>
      <c r="EM8">
        <v>5</v>
      </c>
      <c r="EN8">
        <v>88955056</v>
      </c>
      <c r="EO8">
        <v>10451815</v>
      </c>
      <c r="EP8" t="s">
        <v>4353</v>
      </c>
      <c r="MW8" t="s">
        <v>4479</v>
      </c>
      <c r="MX8" t="s">
        <v>1752</v>
      </c>
      <c r="MY8">
        <v>8.1999000000000002E-2</v>
      </c>
      <c r="MZ8">
        <v>2.806737</v>
      </c>
      <c r="NA8" t="s">
        <v>1781</v>
      </c>
      <c r="NB8">
        <v>2026</v>
      </c>
      <c r="NC8" t="s">
        <v>4480</v>
      </c>
      <c r="ND8" s="6">
        <v>45874</v>
      </c>
      <c r="NE8">
        <v>5</v>
      </c>
      <c r="NF8">
        <v>1626532</v>
      </c>
      <c r="NG8">
        <v>101175</v>
      </c>
      <c r="NH8" t="s">
        <v>4481</v>
      </c>
      <c r="PE8" t="s">
        <v>2280</v>
      </c>
      <c r="PF8" t="s">
        <v>1752</v>
      </c>
      <c r="PG8">
        <v>17.003219999999999</v>
      </c>
      <c r="PH8">
        <v>13.618347</v>
      </c>
      <c r="PI8" t="s">
        <v>1781</v>
      </c>
      <c r="PJ8">
        <v>2026</v>
      </c>
      <c r="PK8" t="s">
        <v>2281</v>
      </c>
      <c r="PL8" s="6">
        <v>46079</v>
      </c>
      <c r="PM8">
        <v>5</v>
      </c>
      <c r="PN8">
        <v>2319749376</v>
      </c>
      <c r="PO8">
        <v>100995</v>
      </c>
      <c r="PP8" t="s">
        <v>2282</v>
      </c>
      <c r="PS8" t="s">
        <v>2628</v>
      </c>
      <c r="PT8">
        <v>4.8652389999999999</v>
      </c>
      <c r="PU8" t="s">
        <v>1828</v>
      </c>
      <c r="PV8">
        <v>11.900978</v>
      </c>
      <c r="PW8" t="s">
        <v>1825</v>
      </c>
      <c r="PX8">
        <v>2026</v>
      </c>
      <c r="PY8" t="s">
        <v>2352</v>
      </c>
      <c r="PZ8" s="6">
        <v>46087</v>
      </c>
      <c r="QA8">
        <v>5</v>
      </c>
      <c r="QB8">
        <v>3314541312</v>
      </c>
      <c r="QC8">
        <v>46946968</v>
      </c>
      <c r="QD8" t="s">
        <v>2629</v>
      </c>
      <c r="QI8" t="s">
        <v>2638</v>
      </c>
      <c r="QJ8" t="s">
        <v>1752</v>
      </c>
      <c r="QK8">
        <v>2.3474879999999998</v>
      </c>
      <c r="QL8">
        <v>4.0696999999999997E-2</v>
      </c>
      <c r="QM8" t="s">
        <v>1774</v>
      </c>
      <c r="QN8">
        <v>2025</v>
      </c>
      <c r="QO8" t="s">
        <v>2639</v>
      </c>
      <c r="QP8" s="6">
        <v>45939</v>
      </c>
      <c r="QQ8">
        <v>5</v>
      </c>
      <c r="QR8">
        <v>353696</v>
      </c>
      <c r="QS8">
        <v>69947818</v>
      </c>
      <c r="QT8" t="s">
        <v>2640</v>
      </c>
      <c r="QW8" t="s">
        <v>3489</v>
      </c>
      <c r="QX8">
        <v>0.75061999999999995</v>
      </c>
      <c r="QY8" t="s">
        <v>1752</v>
      </c>
      <c r="QZ8">
        <v>0.28763100000000003</v>
      </c>
      <c r="RA8" t="s">
        <v>1774</v>
      </c>
      <c r="RB8">
        <v>2025</v>
      </c>
      <c r="RC8" t="s">
        <v>3488</v>
      </c>
      <c r="RD8" s="6">
        <v>45874</v>
      </c>
      <c r="RE8">
        <v>5</v>
      </c>
      <c r="RF8">
        <v>11362135</v>
      </c>
      <c r="RG8">
        <v>100710</v>
      </c>
      <c r="RH8" t="s">
        <v>3490</v>
      </c>
      <c r="UY8" t="s">
        <v>2304</v>
      </c>
      <c r="VA8">
        <v>-2.4245362661989844E-14</v>
      </c>
      <c r="VB8">
        <v>-2.4245362661989844E-14</v>
      </c>
      <c r="VC8" t="s">
        <v>1753</v>
      </c>
      <c r="VD8">
        <v>2021</v>
      </c>
      <c r="VE8" t="s">
        <v>2305</v>
      </c>
      <c r="VF8" s="6">
        <v>44693</v>
      </c>
      <c r="VG8">
        <v>5</v>
      </c>
      <c r="VH8">
        <v>-2.4245362661989844E-14</v>
      </c>
      <c r="VI8">
        <v>313098</v>
      </c>
      <c r="VJ8" t="s">
        <v>2306</v>
      </c>
      <c r="VM8" t="s">
        <v>1848</v>
      </c>
      <c r="VN8">
        <v>-2.4245362661989844E-14</v>
      </c>
      <c r="VP8">
        <v>-2.4245362661989844E-14</v>
      </c>
      <c r="VQ8" t="s">
        <v>1788</v>
      </c>
      <c r="VR8">
        <v>2025</v>
      </c>
      <c r="VS8" t="s">
        <v>1849</v>
      </c>
      <c r="VT8" s="6">
        <v>46008</v>
      </c>
      <c r="VU8">
        <v>5</v>
      </c>
      <c r="VV8">
        <v>-2.4245362661989844E-14</v>
      </c>
      <c r="VW8">
        <v>10869329</v>
      </c>
      <c r="VX8" t="s">
        <v>1850</v>
      </c>
    </row>
    <row r="9" spans="1:600" x14ac:dyDescent="0.25">
      <c r="A9" t="s">
        <v>2050</v>
      </c>
      <c r="B9" t="s">
        <v>1752</v>
      </c>
      <c r="C9">
        <v>23.000834000000001</v>
      </c>
      <c r="D9">
        <v>3.3423889999999998</v>
      </c>
      <c r="E9" t="s">
        <v>1788</v>
      </c>
      <c r="F9">
        <v>2025</v>
      </c>
      <c r="G9" t="s">
        <v>3440</v>
      </c>
      <c r="H9" s="6">
        <v>46049</v>
      </c>
      <c r="I9">
        <v>5</v>
      </c>
      <c r="J9">
        <v>2700220003.8200002</v>
      </c>
      <c r="K9">
        <v>101095</v>
      </c>
      <c r="L9" t="s">
        <v>2052</v>
      </c>
      <c r="O9" t="s">
        <v>3282</v>
      </c>
      <c r="P9">
        <v>0.60507999999999995</v>
      </c>
      <c r="Q9" t="s">
        <v>1752</v>
      </c>
      <c r="R9">
        <v>13.46205</v>
      </c>
      <c r="S9" t="s">
        <v>1788</v>
      </c>
      <c r="T9">
        <v>2025</v>
      </c>
      <c r="U9" t="s">
        <v>3280</v>
      </c>
      <c r="V9" s="6">
        <v>45954</v>
      </c>
      <c r="W9">
        <v>5</v>
      </c>
      <c r="X9">
        <v>488078912</v>
      </c>
      <c r="Y9">
        <v>154455</v>
      </c>
      <c r="Z9" t="s">
        <v>3283</v>
      </c>
      <c r="AE9" t="s">
        <v>2894</v>
      </c>
      <c r="AF9" t="s">
        <v>1752</v>
      </c>
      <c r="AG9">
        <v>3.4541050000000002</v>
      </c>
      <c r="AH9">
        <v>1.5409379999999999</v>
      </c>
      <c r="AI9" t="s">
        <v>1774</v>
      </c>
      <c r="AJ9">
        <v>2025</v>
      </c>
      <c r="AK9" t="s">
        <v>2895</v>
      </c>
      <c r="AL9" s="6">
        <v>45950</v>
      </c>
      <c r="AM9">
        <v>5</v>
      </c>
      <c r="AN9">
        <v>72639824</v>
      </c>
      <c r="AO9">
        <v>30243935</v>
      </c>
      <c r="AP9" t="s">
        <v>2896</v>
      </c>
      <c r="AS9" t="s">
        <v>2753</v>
      </c>
      <c r="AT9">
        <v>4.7223980000000001</v>
      </c>
      <c r="AU9" t="s">
        <v>1752</v>
      </c>
      <c r="AV9">
        <v>51.977145999999998</v>
      </c>
      <c r="AW9" t="s">
        <v>1753</v>
      </c>
      <c r="AX9">
        <v>2025</v>
      </c>
      <c r="AY9" t="s">
        <v>2754</v>
      </c>
      <c r="AZ9" s="6">
        <v>46071</v>
      </c>
      <c r="BA9">
        <v>5</v>
      </c>
      <c r="BB9">
        <v>565991250</v>
      </c>
      <c r="BC9">
        <v>103050</v>
      </c>
      <c r="BD9" t="s">
        <v>2755</v>
      </c>
      <c r="BI9" t="s">
        <v>532</v>
      </c>
      <c r="BJ9" t="s">
        <v>1752</v>
      </c>
      <c r="BK9">
        <v>2.507603</v>
      </c>
      <c r="BL9">
        <v>1.8620080000000001</v>
      </c>
      <c r="BM9" t="s">
        <v>1774</v>
      </c>
      <c r="BN9">
        <v>2025</v>
      </c>
      <c r="BO9" t="s">
        <v>2520</v>
      </c>
      <c r="BP9" s="6">
        <v>45791</v>
      </c>
      <c r="BQ9">
        <v>5</v>
      </c>
      <c r="BR9">
        <v>49752848</v>
      </c>
      <c r="BS9">
        <v>116988</v>
      </c>
      <c r="BT9" t="s">
        <v>2521</v>
      </c>
      <c r="BW9" t="s">
        <v>1954</v>
      </c>
      <c r="BX9">
        <v>0.14956900000000001</v>
      </c>
      <c r="BY9" t="s">
        <v>1752</v>
      </c>
      <c r="BZ9">
        <v>0.12129</v>
      </c>
      <c r="CA9" t="s">
        <v>1781</v>
      </c>
      <c r="CB9">
        <v>2025</v>
      </c>
      <c r="CC9" t="s">
        <v>1955</v>
      </c>
      <c r="CD9" s="6">
        <v>45820</v>
      </c>
      <c r="CE9">
        <v>5</v>
      </c>
      <c r="CF9">
        <v>4944751</v>
      </c>
      <c r="CG9">
        <v>12129192</v>
      </c>
      <c r="CH9" t="s">
        <v>1956</v>
      </c>
      <c r="CM9" t="s">
        <v>2425</v>
      </c>
      <c r="CN9" t="s">
        <v>1752</v>
      </c>
      <c r="CO9">
        <v>5.3475780000000004</v>
      </c>
      <c r="CP9">
        <v>3.7672150000000002</v>
      </c>
      <c r="CQ9" t="s">
        <v>1788</v>
      </c>
      <c r="CR9">
        <v>2025</v>
      </c>
      <c r="CS9" t="s">
        <v>2426</v>
      </c>
      <c r="CT9" s="6">
        <v>45954</v>
      </c>
      <c r="CU9">
        <v>5</v>
      </c>
      <c r="CV9">
        <v>253582144</v>
      </c>
      <c r="CW9">
        <v>101460</v>
      </c>
      <c r="CX9" t="s">
        <v>2427</v>
      </c>
      <c r="DA9" t="s">
        <v>1878</v>
      </c>
      <c r="DB9">
        <v>1.5744999999999999E-2</v>
      </c>
      <c r="DC9" t="s">
        <v>1752</v>
      </c>
      <c r="DD9">
        <v>24.704799999999999</v>
      </c>
      <c r="DE9" t="s">
        <v>1753</v>
      </c>
      <c r="DF9">
        <v>2024</v>
      </c>
      <c r="DG9" t="s">
        <v>1879</v>
      </c>
      <c r="DH9" s="6">
        <v>45786</v>
      </c>
      <c r="DI9">
        <v>5</v>
      </c>
      <c r="DJ9">
        <v>1106635.73</v>
      </c>
      <c r="DK9">
        <v>7998639</v>
      </c>
      <c r="DL9" t="s">
        <v>1880</v>
      </c>
      <c r="DQ9" t="s">
        <v>4604</v>
      </c>
      <c r="DR9" t="s">
        <v>1752</v>
      </c>
      <c r="DS9">
        <v>0.21848899999999999</v>
      </c>
      <c r="DT9">
        <v>9.1699999999999993E-3</v>
      </c>
      <c r="DU9" t="s">
        <v>1825</v>
      </c>
      <c r="DV9">
        <v>2025</v>
      </c>
      <c r="DW9" t="s">
        <v>4605</v>
      </c>
      <c r="DX9" s="6">
        <v>46078</v>
      </c>
      <c r="DY9">
        <v>5</v>
      </c>
      <c r="DZ9">
        <v>80872.160000000003</v>
      </c>
      <c r="EA9">
        <v>109437</v>
      </c>
      <c r="EB9" t="s">
        <v>4606</v>
      </c>
      <c r="EE9" t="s">
        <v>4354</v>
      </c>
      <c r="EF9">
        <v>3.8456359999999998</v>
      </c>
      <c r="EG9" t="s">
        <v>1752</v>
      </c>
      <c r="EH9">
        <v>0.56642899999999996</v>
      </c>
      <c r="EI9" t="s">
        <v>1825</v>
      </c>
      <c r="EJ9">
        <v>2025</v>
      </c>
      <c r="EK9" t="s">
        <v>4351</v>
      </c>
      <c r="EL9" s="6">
        <v>45986</v>
      </c>
      <c r="EM9">
        <v>5</v>
      </c>
      <c r="EN9">
        <v>84902032</v>
      </c>
      <c r="EO9">
        <v>11826145</v>
      </c>
      <c r="EP9" t="s">
        <v>4355</v>
      </c>
      <c r="MW9" t="s">
        <v>522</v>
      </c>
      <c r="MX9" t="s">
        <v>1752</v>
      </c>
      <c r="MY9">
        <v>1.1261999999999999E-2</v>
      </c>
      <c r="MZ9">
        <v>2.2622439999999999</v>
      </c>
      <c r="NA9" t="s">
        <v>1774</v>
      </c>
      <c r="NB9">
        <v>2025</v>
      </c>
      <c r="NC9" t="s">
        <v>2440</v>
      </c>
      <c r="ND9" s="6">
        <v>46020</v>
      </c>
      <c r="NE9">
        <v>5</v>
      </c>
      <c r="NF9">
        <v>1319906</v>
      </c>
      <c r="NG9">
        <v>101073</v>
      </c>
      <c r="NH9" t="s">
        <v>2441</v>
      </c>
      <c r="PE9" t="s">
        <v>3923</v>
      </c>
      <c r="PF9" t="s">
        <v>1752</v>
      </c>
      <c r="PG9">
        <v>1.6036490000000001</v>
      </c>
      <c r="PH9">
        <v>5.0335179999999999</v>
      </c>
      <c r="PI9" t="s">
        <v>1774</v>
      </c>
      <c r="PJ9">
        <v>2025</v>
      </c>
      <c r="PK9" t="s">
        <v>3924</v>
      </c>
      <c r="PL9" s="6">
        <v>45889</v>
      </c>
      <c r="PM9">
        <v>5</v>
      </c>
      <c r="PN9">
        <v>932771020.78999996</v>
      </c>
      <c r="PO9">
        <v>119133</v>
      </c>
      <c r="PP9" t="s">
        <v>3925</v>
      </c>
      <c r="PS9" t="s">
        <v>2465</v>
      </c>
      <c r="PT9">
        <v>4.1035830000000004</v>
      </c>
      <c r="PU9" t="s">
        <v>1828</v>
      </c>
      <c r="PV9">
        <v>13.074161999999999</v>
      </c>
      <c r="PW9" t="s">
        <v>1825</v>
      </c>
      <c r="PX9">
        <v>2026</v>
      </c>
      <c r="PY9" t="s">
        <v>2352</v>
      </c>
      <c r="PZ9" s="6">
        <v>46087</v>
      </c>
      <c r="QA9">
        <v>5</v>
      </c>
      <c r="QB9">
        <v>2795648000</v>
      </c>
      <c r="QC9">
        <v>11092218</v>
      </c>
      <c r="QD9" t="s">
        <v>2466</v>
      </c>
      <c r="QI9" t="s">
        <v>195</v>
      </c>
      <c r="QJ9" t="s">
        <v>1752</v>
      </c>
      <c r="QK9">
        <v>6.3287999999999997E-2</v>
      </c>
      <c r="QL9">
        <v>2.1153999999999999E-2</v>
      </c>
      <c r="QM9" t="s">
        <v>1825</v>
      </c>
      <c r="QN9">
        <v>2025</v>
      </c>
      <c r="QO9" t="s">
        <v>2641</v>
      </c>
      <c r="QP9" s="6">
        <v>45894</v>
      </c>
      <c r="QQ9">
        <v>5</v>
      </c>
      <c r="QR9">
        <v>183852</v>
      </c>
      <c r="QS9">
        <v>126302</v>
      </c>
      <c r="QT9" t="s">
        <v>2642</v>
      </c>
      <c r="QW9" t="s">
        <v>1547</v>
      </c>
      <c r="QX9">
        <v>0.57747899999999996</v>
      </c>
      <c r="QY9" t="s">
        <v>1752</v>
      </c>
      <c r="QZ9">
        <v>0.138623</v>
      </c>
      <c r="RA9" t="s">
        <v>1781</v>
      </c>
      <c r="RB9">
        <v>2025</v>
      </c>
      <c r="RC9" t="s">
        <v>2157</v>
      </c>
      <c r="RD9" s="6">
        <v>45784</v>
      </c>
      <c r="RE9">
        <v>5</v>
      </c>
      <c r="RF9">
        <v>8372864</v>
      </c>
      <c r="RG9">
        <v>100115</v>
      </c>
      <c r="RH9" t="s">
        <v>1922</v>
      </c>
      <c r="UY9" t="s">
        <v>2307</v>
      </c>
      <c r="VA9">
        <v>-2.4245362661989844E-14</v>
      </c>
      <c r="VB9">
        <v>-2.4245362661989844E-14</v>
      </c>
      <c r="VC9" t="s">
        <v>1753</v>
      </c>
      <c r="VD9">
        <v>2021</v>
      </c>
      <c r="VE9" t="s">
        <v>2308</v>
      </c>
      <c r="VF9" s="6">
        <v>44693</v>
      </c>
      <c r="VG9">
        <v>5</v>
      </c>
      <c r="VH9">
        <v>-2.4245362661989844E-14</v>
      </c>
      <c r="VI9">
        <v>100060</v>
      </c>
      <c r="VJ9" t="s">
        <v>2309</v>
      </c>
      <c r="VM9" t="s">
        <v>1851</v>
      </c>
      <c r="VN9">
        <v>-2.4245362661989844E-14</v>
      </c>
      <c r="VP9">
        <v>-2.4245362661989844E-14</v>
      </c>
      <c r="VQ9" t="s">
        <v>1825</v>
      </c>
      <c r="VR9">
        <v>2024</v>
      </c>
      <c r="VS9" t="s">
        <v>1852</v>
      </c>
      <c r="VT9" s="6">
        <v>45713</v>
      </c>
      <c r="VU9">
        <v>5</v>
      </c>
      <c r="VV9">
        <v>-2.4245362661989844E-14</v>
      </c>
      <c r="VW9">
        <v>17880649</v>
      </c>
      <c r="VX9" t="s">
        <v>1853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1557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1558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1559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1560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1561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1562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1563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1564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1565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1566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1567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1568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1569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1570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1571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1572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1573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1574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1575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1576</v>
      </c>
      <c r="AE2" s="3" t="s">
        <v>234</v>
      </c>
      <c r="BI2" s="3" t="s">
        <v>1089</v>
      </c>
      <c r="CM2" s="3" t="s">
        <v>1577</v>
      </c>
      <c r="DQ2" s="3" t="s">
        <v>1154</v>
      </c>
      <c r="EU2" s="3" t="s">
        <v>77</v>
      </c>
      <c r="FY2" s="3" t="s">
        <v>152</v>
      </c>
      <c r="HC2" s="3" t="s">
        <v>852</v>
      </c>
      <c r="IG2" s="3" t="s">
        <v>1578</v>
      </c>
      <c r="JK2" s="3" t="s">
        <v>605</v>
      </c>
      <c r="KO2" s="3" t="s">
        <v>1579</v>
      </c>
      <c r="LS2" s="3" t="s">
        <v>1580</v>
      </c>
      <c r="MW2" s="3" t="s">
        <v>1581</v>
      </c>
      <c r="OA2" s="3" t="s">
        <v>1582</v>
      </c>
      <c r="PE2" s="3" t="s">
        <v>1583</v>
      </c>
      <c r="QI2" s="3" t="s">
        <v>1584</v>
      </c>
      <c r="RM2" s="3" t="s">
        <v>458</v>
      </c>
      <c r="SQ2" s="3" t="s">
        <v>1585</v>
      </c>
      <c r="TU2" s="3" t="s">
        <v>1586</v>
      </c>
      <c r="UY2" s="3" t="s">
        <v>534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_xll.BDS("FNSR US Equity","SUPPLY_CHAIN_SUPPLIERS_ALL_DATA")</f>
        <v>#N/A N/A</v>
      </c>
      <c r="O5" t="str">
        <f>_xll.BDS("FNSR US Equity","SUPPLY_CHAIN_CUSTOMERS_ALL_DATA")</f>
        <v>#N/A N/A</v>
      </c>
      <c r="AE5" t="str">
        <f>_xll.BDS("OCR US Equity","SUPPLY_CHAIN_SUPPLIERS_ALL_DATA")</f>
        <v>#N/A N/A</v>
      </c>
      <c r="AS5" t="str">
        <f>_xll.BDS("OCR US Equity","SUPPLY_CHAIN_CUSTOMERS_ALL_DATA","cols=12;rows=2")</f>
        <v>3176 TT Equity</v>
      </c>
      <c r="AT5">
        <v>-2.4245362661989844E-14</v>
      </c>
      <c r="AV5">
        <v>-2.4245362661989844E-14</v>
      </c>
      <c r="AW5" t="s">
        <v>1753</v>
      </c>
      <c r="AX5">
        <v>2021</v>
      </c>
      <c r="AY5" t="s">
        <v>3639</v>
      </c>
      <c r="AZ5" s="6">
        <v>44699</v>
      </c>
      <c r="BA5">
        <v>2</v>
      </c>
      <c r="BB5">
        <v>-2.4245362661989844E-14</v>
      </c>
      <c r="BC5">
        <v>7254096</v>
      </c>
      <c r="BD5" t="s">
        <v>3640</v>
      </c>
      <c r="BI5" t="str">
        <f>_xll.BDS("SNEX US Equity","SUPPLY_CHAIN_SUPPLIERS_ALL_DATA","cols=12;rows=5")</f>
        <v>CMCL US Equity</v>
      </c>
      <c r="BJ5" t="s">
        <v>1752</v>
      </c>
      <c r="BK5">
        <v>12.620616999999999</v>
      </c>
      <c r="BL5">
        <v>1.51512</v>
      </c>
      <c r="BM5" t="s">
        <v>1753</v>
      </c>
      <c r="BN5">
        <v>2024</v>
      </c>
      <c r="BO5" t="s">
        <v>3231</v>
      </c>
      <c r="BP5" s="6">
        <v>45793</v>
      </c>
      <c r="BQ5">
        <v>5</v>
      </c>
      <c r="BR5">
        <v>5774500</v>
      </c>
      <c r="BS5">
        <v>102680</v>
      </c>
      <c r="BT5" t="s">
        <v>3232</v>
      </c>
      <c r="BW5" t="str">
        <f>_xll.BDS("SNEX US Equity","SUPPLY_CHAIN_CUSTOMERS_ALL_DATA","cols=12;rows=3")</f>
        <v>ANTM IJ Equity</v>
      </c>
      <c r="BX5">
        <v>26.386686000000001</v>
      </c>
      <c r="BY5" t="s">
        <v>1752</v>
      </c>
      <c r="BZ5">
        <v>25.191327999999999</v>
      </c>
      <c r="CA5" t="s">
        <v>1753</v>
      </c>
      <c r="CB5">
        <v>2024</v>
      </c>
      <c r="CC5" t="s">
        <v>2855</v>
      </c>
      <c r="CD5" s="6">
        <v>45778</v>
      </c>
      <c r="CE5">
        <v>3</v>
      </c>
      <c r="CF5">
        <v>249071439.46000001</v>
      </c>
      <c r="CG5">
        <v>223412</v>
      </c>
      <c r="CH5" t="s">
        <v>2856</v>
      </c>
      <c r="CM5" t="str">
        <f>_xll.BDS("SCS US Equity","SUPPLY_CHAIN_SUPPLIERS_ALL_DATA","cols=12;rows=5")</f>
        <v>LEG US Equity</v>
      </c>
      <c r="CN5" t="s">
        <v>1752</v>
      </c>
      <c r="CO5">
        <v>1.3456379999999999</v>
      </c>
      <c r="CP5">
        <v>2.5626540000000002</v>
      </c>
      <c r="CQ5" t="s">
        <v>1781</v>
      </c>
      <c r="CR5">
        <v>2025</v>
      </c>
      <c r="CS5" t="s">
        <v>3645</v>
      </c>
      <c r="CT5" s="6">
        <v>45813</v>
      </c>
      <c r="CU5">
        <v>5</v>
      </c>
      <c r="CV5">
        <v>13753766</v>
      </c>
      <c r="CW5">
        <v>100885</v>
      </c>
      <c r="CX5" t="s">
        <v>3646</v>
      </c>
      <c r="DA5" t="str">
        <f>_xll.BDS("SCS US Equity","SUPPLY_CHAIN_CUSTOMERS_ALL_DATA","cols=12;rows=5")</f>
        <v>3352Z US Equity</v>
      </c>
      <c r="DB5">
        <v>3</v>
      </c>
      <c r="DD5">
        <v>-2.4245362661989844E-14</v>
      </c>
      <c r="DE5" t="s">
        <v>1753</v>
      </c>
      <c r="DF5">
        <v>2025</v>
      </c>
      <c r="DG5" t="s">
        <v>3534</v>
      </c>
      <c r="DH5" s="6">
        <v>45765</v>
      </c>
      <c r="DI5">
        <v>5</v>
      </c>
      <c r="DJ5">
        <v>23745000</v>
      </c>
      <c r="DK5">
        <v>218252</v>
      </c>
      <c r="DL5" t="s">
        <v>1793</v>
      </c>
      <c r="DQ5" t="str">
        <f>_xll.BDS("EBAY US Equity","SUPPLY_CHAIN_SUPPLIERS_ALL_DATA","cols=12;rows=5")</f>
        <v>NVDA US Equity</v>
      </c>
      <c r="DR5" t="s">
        <v>1828</v>
      </c>
      <c r="DS5">
        <v>2.3053000000000001E-2</v>
      </c>
      <c r="DT5">
        <v>13.423348000000001</v>
      </c>
      <c r="DU5" t="s">
        <v>1825</v>
      </c>
      <c r="DV5">
        <v>2026</v>
      </c>
      <c r="DW5" t="s">
        <v>2352</v>
      </c>
      <c r="DX5" s="6">
        <v>46087</v>
      </c>
      <c r="DY5">
        <v>5</v>
      </c>
      <c r="DZ5">
        <v>15705317</v>
      </c>
      <c r="EA5">
        <v>313657</v>
      </c>
      <c r="EB5" t="s">
        <v>2353</v>
      </c>
      <c r="EE5" t="str">
        <f>_xll.BDS("EBAY US Equity","SUPPLY_CHAIN_CUSTOMERS_ALL_DATA","cols=12;rows=5")</f>
        <v>3048 JP Equity</v>
      </c>
      <c r="EF5">
        <v>1.7252E-2</v>
      </c>
      <c r="EG5" t="s">
        <v>1752</v>
      </c>
      <c r="EH5">
        <v>3.9722E-2</v>
      </c>
      <c r="EI5" t="s">
        <v>1825</v>
      </c>
      <c r="EJ5">
        <v>2025</v>
      </c>
      <c r="EK5" t="s">
        <v>3300</v>
      </c>
      <c r="EL5" s="6">
        <v>46013</v>
      </c>
      <c r="EM5">
        <v>5</v>
      </c>
      <c r="EN5">
        <v>490132.1</v>
      </c>
      <c r="EO5">
        <v>9414129</v>
      </c>
      <c r="EP5" t="s">
        <v>3301</v>
      </c>
      <c r="EU5" t="str">
        <f>_xll.BDS("IBM US Equity","SUPPLY_CHAIN_SUPPLIERS_ALL_DATA","cols=12;rows=5")</f>
        <v>005930 KS Equity</v>
      </c>
      <c r="EV5" t="s">
        <v>1752</v>
      </c>
      <c r="EW5">
        <v>0.49490499999999998</v>
      </c>
      <c r="EX5">
        <v>4.1423690000000004</v>
      </c>
      <c r="EY5" t="s">
        <v>1781</v>
      </c>
      <c r="EZ5">
        <v>2025</v>
      </c>
      <c r="FA5" t="s">
        <v>1869</v>
      </c>
      <c r="FB5" s="6">
        <v>45797</v>
      </c>
      <c r="FC5">
        <v>5</v>
      </c>
      <c r="FD5">
        <v>269668224</v>
      </c>
      <c r="FE5">
        <v>117929</v>
      </c>
      <c r="FF5" t="s">
        <v>1873</v>
      </c>
      <c r="FI5" t="str">
        <f>_xll.BDS("IBM US Equity","SUPPLY_CHAIN_CUSTOMERS_ALL_DATA","cols=12;rows=5")</f>
        <v>AMZN US Equity</v>
      </c>
      <c r="FJ5">
        <v>4.454224</v>
      </c>
      <c r="FK5" t="s">
        <v>1752</v>
      </c>
      <c r="FL5">
        <v>0.84141600000000005</v>
      </c>
      <c r="FM5" t="s">
        <v>1781</v>
      </c>
      <c r="FN5">
        <v>2025</v>
      </c>
      <c r="FO5" t="s">
        <v>1869</v>
      </c>
      <c r="FP5" s="6">
        <v>45797</v>
      </c>
      <c r="FQ5">
        <v>5</v>
      </c>
      <c r="FR5">
        <v>647688704</v>
      </c>
      <c r="FS5">
        <v>216952</v>
      </c>
      <c r="FT5" t="s">
        <v>1899</v>
      </c>
      <c r="FY5" t="str">
        <f>_xll.BDS("PRK US Equity","SUPPLY_CHAIN_SUPPLIERS_ALL_DATA","cols=12;rows=1")</f>
        <v>WK US Equity</v>
      </c>
      <c r="GA5">
        <v>-2.4245362661989844E-14</v>
      </c>
      <c r="GB5">
        <v>-2.4245362661989844E-14</v>
      </c>
      <c r="GC5" t="s">
        <v>1753</v>
      </c>
      <c r="GD5">
        <v>2025</v>
      </c>
      <c r="GE5" t="s">
        <v>2428</v>
      </c>
      <c r="GF5" s="6">
        <v>46072</v>
      </c>
      <c r="GG5">
        <v>1</v>
      </c>
      <c r="GH5">
        <v>-2.4245362661989844E-14</v>
      </c>
      <c r="GI5">
        <v>42839691</v>
      </c>
      <c r="GJ5" t="s">
        <v>2429</v>
      </c>
      <c r="GM5" t="str">
        <f>_xll.BDS("PRK US Equity","SUPPLY_CHAIN_CUSTOMERS_ALL_DATA")</f>
        <v>#N/A N/A</v>
      </c>
      <c r="HC5" t="str">
        <f>_xll.BDS("MAFB US Equity","SUPPLY_CHAIN_SUPPLIERS_ALL_DATA")</f>
        <v>#N/A N/A</v>
      </c>
      <c r="HQ5" t="str">
        <f>_xll.BDS("MAFB US Equity","SUPPLY_CHAIN_CUSTOMERS_ALL_DATA")</f>
        <v>#N/A N/A</v>
      </c>
      <c r="IG5" t="str">
        <f>_xll.BDS("HNBC US Equity","SUPPLY_CHAIN_SUPPLIERS_ALL_DATA")</f>
        <v>#N/A N/A</v>
      </c>
      <c r="IU5" t="str">
        <f>_xll.BDS("HNBC US Equity","SUPPLY_CHAIN_CUSTOMERS_ALL_DATA")</f>
        <v>#N/A N/A</v>
      </c>
      <c r="JK5" t="str">
        <f>_xll.BDS("FBNC US Equity","SUPPLY_CHAIN_SUPPLIERS_ALL_DATA")</f>
        <v>#N/A N/A</v>
      </c>
      <c r="JY5" t="str">
        <f>_xll.BDS("FBNC US Equity","SUPPLY_CHAIN_CUSTOMERS_ALL_DATA")</f>
        <v>#N/A N/A</v>
      </c>
      <c r="KO5" t="str">
        <f>_xll.BDS("8184843Q US Equity","SUPPLY_CHAIN_SUPPLIERS_ALL_DATA")</f>
        <v>#N/A N/A</v>
      </c>
      <c r="LC5" t="str">
        <f>_xll.BDS("8184843Q US Equity","SUPPLY_CHAIN_CUSTOMERS_ALL_DATA")</f>
        <v>#N/A N/A</v>
      </c>
      <c r="LS5" t="str">
        <f>_xll.BDS("8206908Q US Equity","SUPPLY_CHAIN_SUPPLIERS_ALL_DATA")</f>
        <v>#N/A N/A</v>
      </c>
      <c r="MG5" t="str">
        <f>_xll.BDS("8206908Q US Equity","SUPPLY_CHAIN_CUSTOMERS_ALL_DATA")</f>
        <v>#N/A N/A</v>
      </c>
      <c r="MW5" t="str">
        <f>_xll.BDS("1492800D US Equity","SUPPLY_CHAIN_SUPPLIERS_ALL_DATA")</f>
        <v>#N/A N/A</v>
      </c>
      <c r="NK5" t="str">
        <f>_xll.BDS("1492800D US Equity","SUPPLY_CHAIN_CUSTOMERS_ALL_DATA")</f>
        <v>#N/A N/A</v>
      </c>
      <c r="OA5" t="str">
        <f>_xll.BDS("FBF US Equity","SUPPLY_CHAIN_SUPPLIERS_ALL_DATA")</f>
        <v>#N/A N/A</v>
      </c>
      <c r="OO5" t="str">
        <f>_xll.BDS("FBF US Equity","SUPPLY_CHAIN_CUSTOMERS_ALL_DATA")</f>
        <v>#N/A N/A</v>
      </c>
      <c r="PE5" t="str">
        <f>_xll.BDS("1916526D US Equity","SUPPLY_CHAIN_SUPPLIERS_ALL_DATA")</f>
        <v>#N/A N/A</v>
      </c>
      <c r="PS5" t="str">
        <f>_xll.BDS("1916526D US Equity","SUPPLY_CHAIN_CUSTOMERS_ALL_DATA")</f>
        <v>#N/A N/A</v>
      </c>
      <c r="QI5" t="str">
        <f>_xll.BDS("2370058D US Equity","SUPPLY_CHAIN_SUPPLIERS_ALL_DATA")</f>
        <v>#N/A N/A</v>
      </c>
      <c r="QW5" t="str">
        <f>_xll.BDS("2370058D US Equity","SUPPLY_CHAIN_CUSTOMERS_ALL_DATA")</f>
        <v>#N/A N/A</v>
      </c>
      <c r="RM5" t="str">
        <f>_xll.BDS("SUSQ US Equity","SUPPLY_CHAIN_SUPPLIERS_ALL_DATA")</f>
        <v>#N/A N/A</v>
      </c>
      <c r="SA5" t="str">
        <f>_xll.BDS("SUSQ US Equity","SUPPLY_CHAIN_CUSTOMERS_ALL_DATA")</f>
        <v>#N/A N/A</v>
      </c>
      <c r="SQ5" t="str">
        <f>_xll.BDS("WTNY US Equity","SUPPLY_CHAIN_SUPPLIERS_ALL_DATA")</f>
        <v>#N/A N/A</v>
      </c>
      <c r="TE5" t="str">
        <f>_xll.BDS("WTNY US Equity","SUPPLY_CHAIN_CUSTOMERS_ALL_DATA")</f>
        <v>#N/A N/A</v>
      </c>
      <c r="TU5" t="str">
        <f>_xll.BDS("GCO US Equity","SUPPLY_CHAIN_SUPPLIERS_ALL_DATA","cols=12;rows=5")</f>
        <v>1836 HK Equity</v>
      </c>
      <c r="TV5" t="s">
        <v>1752</v>
      </c>
      <c r="TW5">
        <v>0.51393599999999995</v>
      </c>
      <c r="TX5">
        <v>0.78531899999999999</v>
      </c>
      <c r="TY5" t="s">
        <v>1774</v>
      </c>
      <c r="TZ5">
        <v>2025</v>
      </c>
      <c r="UA5" t="s">
        <v>3879</v>
      </c>
      <c r="UB5" s="6">
        <v>45896</v>
      </c>
      <c r="UC5">
        <v>5</v>
      </c>
      <c r="UD5">
        <v>1985224</v>
      </c>
      <c r="UE5">
        <v>12116527</v>
      </c>
      <c r="UF5" t="s">
        <v>3880</v>
      </c>
      <c r="UI5" t="str">
        <f>_xll.BDS("GCO US Equity","SUPPLY_CHAIN_CUSTOMERS_ALL_DATA","cols=12;rows=1")</f>
        <v>KTB US Equity</v>
      </c>
      <c r="UJ5">
        <v>-2.4245362661989844E-14</v>
      </c>
      <c r="UL5">
        <v>-2.4245362661989844E-14</v>
      </c>
      <c r="UM5" t="s">
        <v>1753</v>
      </c>
      <c r="UN5">
        <v>2025</v>
      </c>
      <c r="UO5" t="s">
        <v>3708</v>
      </c>
      <c r="UP5" s="6">
        <v>45853</v>
      </c>
      <c r="UQ5">
        <v>1</v>
      </c>
      <c r="UR5">
        <v>-2.4245362661989844E-14</v>
      </c>
      <c r="US5">
        <v>61451412</v>
      </c>
      <c r="UT5" t="s">
        <v>3709</v>
      </c>
      <c r="UY5" t="str">
        <f>_xll.BDS("540513Q US Equity","SUPPLY_CHAIN_SUPPLIERS_ALL_DATA")</f>
        <v>#N/A N/A</v>
      </c>
      <c r="VM5" t="str">
        <f>_xll.BDS("540513Q US Equity","SUPPLY_CHAIN_CUSTOMERS_ALL_DATA")</f>
        <v>#N/A N/A</v>
      </c>
    </row>
    <row r="6" spans="1:600" x14ac:dyDescent="0.25">
      <c r="AS6" t="s">
        <v>3641</v>
      </c>
      <c r="AT6">
        <v>-2.4245362661989844E-14</v>
      </c>
      <c r="AV6">
        <v>-2.4245362661989844E-14</v>
      </c>
      <c r="AW6" t="s">
        <v>1774</v>
      </c>
      <c r="AX6">
        <v>2025</v>
      </c>
      <c r="AY6" t="s">
        <v>3642</v>
      </c>
      <c r="AZ6" s="6">
        <v>45847</v>
      </c>
      <c r="BA6">
        <v>2</v>
      </c>
      <c r="BB6">
        <v>-2.4245362661989844E-14</v>
      </c>
      <c r="BC6">
        <v>11131878</v>
      </c>
      <c r="BD6" t="s">
        <v>3643</v>
      </c>
      <c r="BI6" t="s">
        <v>3233</v>
      </c>
      <c r="BK6">
        <v>-2.4245362661989844E-14</v>
      </c>
      <c r="BL6">
        <v>-2.4245362661989844E-14</v>
      </c>
      <c r="BM6" t="s">
        <v>1788</v>
      </c>
      <c r="BN6">
        <v>2024</v>
      </c>
      <c r="BO6" t="s">
        <v>3234</v>
      </c>
      <c r="BP6" s="6">
        <v>45702</v>
      </c>
      <c r="BQ6">
        <v>5</v>
      </c>
      <c r="BR6">
        <v>-2.4245362661989844E-14</v>
      </c>
      <c r="BS6">
        <v>69590725</v>
      </c>
      <c r="BT6" t="s">
        <v>3235</v>
      </c>
      <c r="BW6" t="s">
        <v>2857</v>
      </c>
      <c r="BX6">
        <v>-2.4245362661989844E-14</v>
      </c>
      <c r="BZ6">
        <v>-2.4245362661989844E-14</v>
      </c>
      <c r="CA6" t="s">
        <v>1753</v>
      </c>
      <c r="CB6">
        <v>2023</v>
      </c>
      <c r="CC6" t="s">
        <v>2858</v>
      </c>
      <c r="CD6" s="6">
        <v>45366</v>
      </c>
      <c r="CE6">
        <v>3</v>
      </c>
      <c r="CF6">
        <v>-2.4245362661989844E-14</v>
      </c>
      <c r="CG6">
        <v>17790749</v>
      </c>
      <c r="CH6" t="s">
        <v>2859</v>
      </c>
      <c r="CM6" t="s">
        <v>3647</v>
      </c>
      <c r="CN6" t="s">
        <v>1752</v>
      </c>
      <c r="CO6">
        <v>0.40137499999999998</v>
      </c>
      <c r="CP6">
        <v>0.108852</v>
      </c>
      <c r="CQ6" t="s">
        <v>1788</v>
      </c>
      <c r="CR6">
        <v>2025</v>
      </c>
      <c r="CS6" t="s">
        <v>3648</v>
      </c>
      <c r="CT6" s="6">
        <v>45819</v>
      </c>
      <c r="CU6">
        <v>5</v>
      </c>
      <c r="CV6">
        <v>584210</v>
      </c>
      <c r="CW6">
        <v>101531</v>
      </c>
      <c r="CX6" t="s">
        <v>3649</v>
      </c>
      <c r="DA6" t="s">
        <v>1824</v>
      </c>
      <c r="DB6">
        <v>1.016783</v>
      </c>
      <c r="DC6" t="s">
        <v>1752</v>
      </c>
      <c r="DD6">
        <v>5.6984E-2</v>
      </c>
      <c r="DE6" t="s">
        <v>1774</v>
      </c>
      <c r="DF6">
        <v>2025</v>
      </c>
      <c r="DG6" t="s">
        <v>1826</v>
      </c>
      <c r="DH6" s="6">
        <v>45835</v>
      </c>
      <c r="DI6">
        <v>5</v>
      </c>
      <c r="DJ6">
        <v>7920743</v>
      </c>
      <c r="DK6">
        <v>1499717</v>
      </c>
      <c r="DL6" t="s">
        <v>1827</v>
      </c>
      <c r="DQ6" t="s">
        <v>3522</v>
      </c>
      <c r="DR6" t="s">
        <v>1940</v>
      </c>
      <c r="DS6">
        <v>0.54386900000000005</v>
      </c>
      <c r="DT6">
        <v>0.33741900000000002</v>
      </c>
      <c r="DU6" t="s">
        <v>1788</v>
      </c>
      <c r="DV6">
        <v>2025</v>
      </c>
      <c r="DW6" t="s">
        <v>3523</v>
      </c>
      <c r="DX6" s="6">
        <v>45993</v>
      </c>
      <c r="DY6">
        <v>5</v>
      </c>
      <c r="DZ6">
        <v>2997596.46</v>
      </c>
      <c r="EA6">
        <v>17720101</v>
      </c>
      <c r="EB6" t="s">
        <v>3524</v>
      </c>
      <c r="EE6" t="s">
        <v>3302</v>
      </c>
      <c r="EF6">
        <v>-2.4245362661989844E-14</v>
      </c>
      <c r="EH6">
        <v>-2.4245362661989844E-14</v>
      </c>
      <c r="EI6" t="s">
        <v>1768</v>
      </c>
      <c r="EJ6">
        <v>2025</v>
      </c>
      <c r="EK6" t="s">
        <v>3303</v>
      </c>
      <c r="EL6" s="6">
        <v>45975</v>
      </c>
      <c r="EM6">
        <v>5</v>
      </c>
      <c r="EN6">
        <v>-2.4245362661989844E-14</v>
      </c>
      <c r="EO6">
        <v>129450</v>
      </c>
      <c r="EP6" t="s">
        <v>3304</v>
      </c>
      <c r="EU6" t="s">
        <v>229</v>
      </c>
      <c r="EV6" t="s">
        <v>1752</v>
      </c>
      <c r="EW6">
        <v>0.86485599999999996</v>
      </c>
      <c r="EX6">
        <v>4.0630959999999998</v>
      </c>
      <c r="EY6" t="s">
        <v>1781</v>
      </c>
      <c r="EZ6">
        <v>2025</v>
      </c>
      <c r="FA6" t="s">
        <v>1869</v>
      </c>
      <c r="FB6" s="6">
        <v>45797</v>
      </c>
      <c r="FC6">
        <v>5</v>
      </c>
      <c r="FD6">
        <v>264507552</v>
      </c>
      <c r="FE6">
        <v>101376</v>
      </c>
      <c r="FF6" t="s">
        <v>2334</v>
      </c>
      <c r="FI6" t="s">
        <v>226</v>
      </c>
      <c r="FJ6">
        <v>3.8131789999999999</v>
      </c>
      <c r="FK6" t="s">
        <v>1752</v>
      </c>
      <c r="FL6">
        <v>2.529652</v>
      </c>
      <c r="FM6" t="s">
        <v>1781</v>
      </c>
      <c r="FN6">
        <v>2025</v>
      </c>
      <c r="FO6" t="s">
        <v>1869</v>
      </c>
      <c r="FP6" s="6">
        <v>45797</v>
      </c>
      <c r="FQ6">
        <v>5</v>
      </c>
      <c r="FR6">
        <v>554474368</v>
      </c>
      <c r="FS6">
        <v>101743</v>
      </c>
      <c r="FT6" t="s">
        <v>2156</v>
      </c>
      <c r="TU6" t="s">
        <v>3881</v>
      </c>
      <c r="TV6" t="s">
        <v>1940</v>
      </c>
      <c r="TW6">
        <v>1.5</v>
      </c>
      <c r="TX6">
        <v>0.71628700000000001</v>
      </c>
      <c r="TY6" t="s">
        <v>1753</v>
      </c>
      <c r="TZ6">
        <v>2024</v>
      </c>
      <c r="UA6" t="s">
        <v>3882</v>
      </c>
      <c r="UB6" s="6">
        <v>45719</v>
      </c>
      <c r="UC6">
        <v>5</v>
      </c>
      <c r="UD6">
        <v>1933353.75</v>
      </c>
      <c r="UE6">
        <v>126294</v>
      </c>
      <c r="UF6" t="s">
        <v>3883</v>
      </c>
    </row>
    <row r="7" spans="1:600" x14ac:dyDescent="0.25">
      <c r="BI7" t="s">
        <v>3236</v>
      </c>
      <c r="BK7">
        <v>-2.4245362661989844E-14</v>
      </c>
      <c r="BL7">
        <v>-2.4245362661989844E-14</v>
      </c>
      <c r="BM7" t="s">
        <v>1753</v>
      </c>
      <c r="BN7">
        <v>2023</v>
      </c>
      <c r="BO7" t="s">
        <v>3237</v>
      </c>
      <c r="BP7" s="6">
        <v>45015</v>
      </c>
      <c r="BQ7">
        <v>5</v>
      </c>
      <c r="BR7">
        <v>-2.4245362661989844E-14</v>
      </c>
      <c r="BS7">
        <v>34392121</v>
      </c>
      <c r="BT7" t="s">
        <v>3238</v>
      </c>
      <c r="BW7" t="s">
        <v>2860</v>
      </c>
      <c r="BX7">
        <v>-2.4245362661989844E-14</v>
      </c>
      <c r="BZ7">
        <v>-2.4245362661989844E-14</v>
      </c>
      <c r="CA7" t="s">
        <v>1788</v>
      </c>
      <c r="CB7">
        <v>2020</v>
      </c>
      <c r="CC7" t="s">
        <v>2861</v>
      </c>
      <c r="CD7" s="6">
        <v>44734</v>
      </c>
      <c r="CE7">
        <v>3</v>
      </c>
      <c r="CF7">
        <v>-2.4245362661989844E-14</v>
      </c>
      <c r="CG7">
        <v>16645854</v>
      </c>
      <c r="CH7" t="s">
        <v>2862</v>
      </c>
      <c r="CM7" t="s">
        <v>2125</v>
      </c>
      <c r="CN7" t="s">
        <v>1940</v>
      </c>
      <c r="CO7">
        <v>7.6620000000000004E-3</v>
      </c>
      <c r="CP7">
        <v>0.188833</v>
      </c>
      <c r="CQ7" t="s">
        <v>1774</v>
      </c>
      <c r="CR7">
        <v>2025</v>
      </c>
      <c r="CS7" t="s">
        <v>2126</v>
      </c>
      <c r="CT7" s="6">
        <v>45838</v>
      </c>
      <c r="CU7">
        <v>5</v>
      </c>
      <c r="CV7">
        <v>449989</v>
      </c>
      <c r="CW7">
        <v>101689</v>
      </c>
      <c r="CX7" t="s">
        <v>2127</v>
      </c>
      <c r="DA7" t="s">
        <v>3535</v>
      </c>
      <c r="DB7">
        <v>-2.4245362661989844E-14</v>
      </c>
      <c r="DD7">
        <v>-2.4245362661989844E-14</v>
      </c>
      <c r="DE7" t="s">
        <v>1753</v>
      </c>
      <c r="DF7">
        <v>2023</v>
      </c>
      <c r="DG7" t="s">
        <v>3536</v>
      </c>
      <c r="DH7" s="6">
        <v>45407</v>
      </c>
      <c r="DI7">
        <v>5</v>
      </c>
      <c r="DJ7">
        <v>-2.4245362661989844E-14</v>
      </c>
      <c r="DK7">
        <v>26127978</v>
      </c>
      <c r="DL7" t="s">
        <v>3537</v>
      </c>
      <c r="DQ7" t="s">
        <v>3256</v>
      </c>
      <c r="DR7" t="s">
        <v>1752</v>
      </c>
      <c r="DS7">
        <v>6.5024999999999999E-2</v>
      </c>
      <c r="DT7">
        <v>0.194164</v>
      </c>
      <c r="DU7" t="s">
        <v>1788</v>
      </c>
      <c r="DV7">
        <v>2025</v>
      </c>
      <c r="DW7" t="s">
        <v>3257</v>
      </c>
      <c r="DX7" s="6">
        <v>45974</v>
      </c>
      <c r="DY7">
        <v>5</v>
      </c>
      <c r="DZ7">
        <v>1595148.95</v>
      </c>
      <c r="EA7">
        <v>193571</v>
      </c>
      <c r="EB7" t="s">
        <v>3258</v>
      </c>
      <c r="EE7" t="s">
        <v>3305</v>
      </c>
      <c r="EF7">
        <v>-2.4245362661989844E-14</v>
      </c>
      <c r="EH7">
        <v>-2.4245362661989844E-14</v>
      </c>
      <c r="EI7" t="s">
        <v>1753</v>
      </c>
      <c r="EJ7">
        <v>2024</v>
      </c>
      <c r="EK7" t="s">
        <v>3306</v>
      </c>
      <c r="EL7" s="6">
        <v>45772</v>
      </c>
      <c r="EM7">
        <v>5</v>
      </c>
      <c r="EN7">
        <v>-2.4245362661989844E-14</v>
      </c>
      <c r="EO7">
        <v>11236563</v>
      </c>
      <c r="EP7" t="s">
        <v>3307</v>
      </c>
      <c r="EU7" t="s">
        <v>1079</v>
      </c>
      <c r="EV7" t="s">
        <v>1752</v>
      </c>
      <c r="EW7">
        <v>0.167933</v>
      </c>
      <c r="EX7">
        <v>4.0156150000000004</v>
      </c>
      <c r="EY7" t="s">
        <v>1781</v>
      </c>
      <c r="EZ7">
        <v>2025</v>
      </c>
      <c r="FA7" t="s">
        <v>1869</v>
      </c>
      <c r="FB7" s="6">
        <v>45797</v>
      </c>
      <c r="FC7">
        <v>5</v>
      </c>
      <c r="FD7">
        <v>261416544</v>
      </c>
      <c r="FE7">
        <v>216952</v>
      </c>
      <c r="FF7" t="s">
        <v>1899</v>
      </c>
      <c r="FI7" t="s">
        <v>1871</v>
      </c>
      <c r="FJ7">
        <v>3.1054590000000002</v>
      </c>
      <c r="FK7" t="s">
        <v>1752</v>
      </c>
      <c r="FL7">
        <v>1.2857479999999999</v>
      </c>
      <c r="FM7" t="s">
        <v>1781</v>
      </c>
      <c r="FN7">
        <v>2025</v>
      </c>
      <c r="FO7" t="s">
        <v>1869</v>
      </c>
      <c r="FP7" s="6">
        <v>45797</v>
      </c>
      <c r="FQ7">
        <v>5</v>
      </c>
      <c r="FR7">
        <v>451564800</v>
      </c>
      <c r="FS7">
        <v>117929</v>
      </c>
      <c r="FT7" t="s">
        <v>1873</v>
      </c>
      <c r="TU7" t="s">
        <v>3884</v>
      </c>
      <c r="TV7" t="s">
        <v>1752</v>
      </c>
      <c r="TW7">
        <v>0.28804299999999999</v>
      </c>
      <c r="TX7">
        <v>0.53923399999999999</v>
      </c>
      <c r="TY7" t="s">
        <v>1788</v>
      </c>
      <c r="TZ7">
        <v>2026</v>
      </c>
      <c r="UA7" t="s">
        <v>3885</v>
      </c>
      <c r="UB7" s="6">
        <v>46014</v>
      </c>
      <c r="UC7">
        <v>5</v>
      </c>
      <c r="UD7">
        <v>1766470</v>
      </c>
      <c r="UE7">
        <v>104159</v>
      </c>
      <c r="UF7" t="s">
        <v>3886</v>
      </c>
    </row>
    <row r="8" spans="1:600" x14ac:dyDescent="0.25">
      <c r="BI8" t="s">
        <v>2152</v>
      </c>
      <c r="BK8">
        <v>-2.4245362661989844E-14</v>
      </c>
      <c r="BL8">
        <v>-2.4245362661989844E-14</v>
      </c>
      <c r="BM8" t="s">
        <v>1753</v>
      </c>
      <c r="BN8">
        <v>2025</v>
      </c>
      <c r="BO8" t="s">
        <v>3239</v>
      </c>
      <c r="BP8" s="6">
        <v>45699</v>
      </c>
      <c r="BQ8">
        <v>5</v>
      </c>
      <c r="BR8">
        <v>-2.4245362661989844E-14</v>
      </c>
      <c r="BS8">
        <v>103882</v>
      </c>
      <c r="BT8" t="s">
        <v>2154</v>
      </c>
      <c r="CM8" t="s">
        <v>2955</v>
      </c>
      <c r="CN8" t="s">
        <v>1752</v>
      </c>
      <c r="CO8">
        <v>2.6866999999999999E-2</v>
      </c>
      <c r="CP8">
        <v>3.1856000000000002E-2</v>
      </c>
      <c r="CQ8" t="s">
        <v>1774</v>
      </c>
      <c r="CR8">
        <v>2025</v>
      </c>
      <c r="CS8" t="s">
        <v>2956</v>
      </c>
      <c r="CT8" s="6">
        <v>45833</v>
      </c>
      <c r="CU8">
        <v>5</v>
      </c>
      <c r="CV8">
        <v>170972</v>
      </c>
      <c r="CW8">
        <v>106173</v>
      </c>
      <c r="CX8" t="s">
        <v>2957</v>
      </c>
      <c r="DA8" t="s">
        <v>3538</v>
      </c>
      <c r="DB8">
        <v>-2.4245362661989844E-14</v>
      </c>
      <c r="DD8">
        <v>-2.4245362661989844E-14</v>
      </c>
      <c r="DE8" t="s">
        <v>1753</v>
      </c>
      <c r="DF8">
        <v>2024</v>
      </c>
      <c r="DG8" t="s">
        <v>3539</v>
      </c>
      <c r="DH8" s="6">
        <v>45715</v>
      </c>
      <c r="DI8">
        <v>5</v>
      </c>
      <c r="DJ8">
        <v>-2.4245362661989844E-14</v>
      </c>
      <c r="DK8">
        <v>114037</v>
      </c>
      <c r="DL8" t="s">
        <v>3540</v>
      </c>
      <c r="DQ8" t="s">
        <v>3525</v>
      </c>
      <c r="DR8" t="s">
        <v>1752</v>
      </c>
      <c r="DS8">
        <v>0.115412</v>
      </c>
      <c r="DT8">
        <v>0.162046</v>
      </c>
      <c r="DU8" t="s">
        <v>1781</v>
      </c>
      <c r="DV8">
        <v>2025</v>
      </c>
      <c r="DW8" t="s">
        <v>3526</v>
      </c>
      <c r="DX8" s="6">
        <v>45834</v>
      </c>
      <c r="DY8">
        <v>5</v>
      </c>
      <c r="DZ8">
        <v>1171592</v>
      </c>
      <c r="EA8">
        <v>393374</v>
      </c>
      <c r="EB8" t="s">
        <v>3527</v>
      </c>
      <c r="EE8" t="s">
        <v>3308</v>
      </c>
      <c r="EF8">
        <v>-2.4245362661989844E-14</v>
      </c>
      <c r="EH8">
        <v>-2.4245362661989844E-14</v>
      </c>
      <c r="EI8" t="s">
        <v>1753</v>
      </c>
      <c r="EJ8">
        <v>2021</v>
      </c>
      <c r="EK8" t="s">
        <v>3309</v>
      </c>
      <c r="EL8" s="6">
        <v>44678</v>
      </c>
      <c r="EM8">
        <v>5</v>
      </c>
      <c r="EN8">
        <v>-2.4245362661989844E-14</v>
      </c>
      <c r="EO8">
        <v>13256827</v>
      </c>
      <c r="EP8" t="s">
        <v>3310</v>
      </c>
      <c r="EU8" t="s">
        <v>1824</v>
      </c>
      <c r="EV8" t="s">
        <v>1752</v>
      </c>
      <c r="EW8">
        <v>0.893262</v>
      </c>
      <c r="EX8">
        <v>1.9939499999999999</v>
      </c>
      <c r="EY8" t="s">
        <v>1781</v>
      </c>
      <c r="EZ8">
        <v>2025</v>
      </c>
      <c r="FA8" t="s">
        <v>1869</v>
      </c>
      <c r="FB8" s="6">
        <v>45797</v>
      </c>
      <c r="FC8">
        <v>5</v>
      </c>
      <c r="FD8">
        <v>129806144</v>
      </c>
      <c r="FE8">
        <v>1499717</v>
      </c>
      <c r="FF8" t="s">
        <v>1827</v>
      </c>
      <c r="FI8" t="s">
        <v>1547</v>
      </c>
      <c r="FJ8">
        <v>0.94301500000000005</v>
      </c>
      <c r="FK8" t="s">
        <v>1752</v>
      </c>
      <c r="FL8">
        <v>2.2702520000000002</v>
      </c>
      <c r="FM8" t="s">
        <v>1781</v>
      </c>
      <c r="FN8">
        <v>2025</v>
      </c>
      <c r="FO8" t="s">
        <v>2157</v>
      </c>
      <c r="FP8" s="6">
        <v>45784</v>
      </c>
      <c r="FQ8">
        <v>5</v>
      </c>
      <c r="FR8">
        <v>137123792</v>
      </c>
      <c r="FS8">
        <v>100115</v>
      </c>
      <c r="FT8" t="s">
        <v>1922</v>
      </c>
      <c r="TU8" t="s">
        <v>3887</v>
      </c>
      <c r="TV8" t="s">
        <v>1752</v>
      </c>
      <c r="TW8">
        <v>9.2478000000000005E-2</v>
      </c>
      <c r="TX8">
        <v>0.43569999999999998</v>
      </c>
      <c r="TY8" t="s">
        <v>1774</v>
      </c>
      <c r="TZ8">
        <v>2025</v>
      </c>
      <c r="UA8" t="s">
        <v>3888</v>
      </c>
      <c r="UB8" s="6">
        <v>46020</v>
      </c>
      <c r="UC8">
        <v>5</v>
      </c>
      <c r="UD8">
        <v>1427305</v>
      </c>
      <c r="UE8">
        <v>230998</v>
      </c>
      <c r="UF8" t="s">
        <v>3889</v>
      </c>
    </row>
    <row r="9" spans="1:600" x14ac:dyDescent="0.25">
      <c r="BI9" t="s">
        <v>3240</v>
      </c>
      <c r="BK9">
        <v>-2.4245362661989844E-14</v>
      </c>
      <c r="BL9">
        <v>-2.4245362661989844E-14</v>
      </c>
      <c r="BM9" t="s">
        <v>1753</v>
      </c>
      <c r="BN9">
        <v>2024</v>
      </c>
      <c r="BO9" t="s">
        <v>3241</v>
      </c>
      <c r="BP9" s="6">
        <v>45777</v>
      </c>
      <c r="BQ9">
        <v>5</v>
      </c>
      <c r="BR9">
        <v>-2.4245362661989844E-14</v>
      </c>
      <c r="BS9">
        <v>117567</v>
      </c>
      <c r="BT9" t="s">
        <v>3242</v>
      </c>
      <c r="CM9" t="s">
        <v>3650</v>
      </c>
      <c r="CN9" t="s">
        <v>1752</v>
      </c>
      <c r="CO9">
        <v>1.3957000000000001E-2</v>
      </c>
      <c r="CP9">
        <v>2.6275E-2</v>
      </c>
      <c r="CQ9" t="s">
        <v>1825</v>
      </c>
      <c r="CR9">
        <v>2025</v>
      </c>
      <c r="CS9" t="s">
        <v>3651</v>
      </c>
      <c r="CT9" s="6">
        <v>45779</v>
      </c>
      <c r="CU9">
        <v>5</v>
      </c>
      <c r="CV9">
        <v>141015</v>
      </c>
      <c r="CW9">
        <v>117746</v>
      </c>
      <c r="CX9" t="s">
        <v>3652</v>
      </c>
      <c r="DA9" t="s">
        <v>1960</v>
      </c>
      <c r="DB9">
        <v>-2.4245362661989844E-14</v>
      </c>
      <c r="DD9">
        <v>-2.4245362661989844E-14</v>
      </c>
      <c r="DE9" t="s">
        <v>1781</v>
      </c>
      <c r="DF9">
        <v>2025</v>
      </c>
      <c r="DG9" t="s">
        <v>1961</v>
      </c>
      <c r="DH9" s="6">
        <v>45799</v>
      </c>
      <c r="DI9">
        <v>5</v>
      </c>
      <c r="DJ9">
        <v>-2.4245362661989844E-14</v>
      </c>
      <c r="DK9">
        <v>313021</v>
      </c>
      <c r="DL9" t="s">
        <v>1962</v>
      </c>
      <c r="DQ9" t="s">
        <v>3468</v>
      </c>
      <c r="DR9" t="s">
        <v>1752</v>
      </c>
      <c r="DS9">
        <v>6.3853999999999994E-2</v>
      </c>
      <c r="DT9">
        <v>9.7213999999999995E-2</v>
      </c>
      <c r="DU9" t="s">
        <v>1774</v>
      </c>
      <c r="DV9">
        <v>2025</v>
      </c>
      <c r="DW9" t="s">
        <v>3469</v>
      </c>
      <c r="DX9" s="6">
        <v>45957</v>
      </c>
      <c r="DY9">
        <v>5</v>
      </c>
      <c r="DZ9">
        <v>754080.82</v>
      </c>
      <c r="EA9">
        <v>815087</v>
      </c>
      <c r="EB9" t="s">
        <v>3470</v>
      </c>
      <c r="EE9" t="s">
        <v>3311</v>
      </c>
      <c r="EF9">
        <v>-2.4245362661989844E-14</v>
      </c>
      <c r="EH9">
        <v>-2.4245362661989844E-14</v>
      </c>
      <c r="EI9" t="s">
        <v>1753</v>
      </c>
      <c r="EJ9">
        <v>2021</v>
      </c>
      <c r="EK9" t="s">
        <v>3312</v>
      </c>
      <c r="EL9" s="6">
        <v>44652</v>
      </c>
      <c r="EM9">
        <v>5</v>
      </c>
      <c r="EN9">
        <v>-2.4245362661989844E-14</v>
      </c>
      <c r="EO9">
        <v>15069822</v>
      </c>
      <c r="EP9" t="s">
        <v>3313</v>
      </c>
      <c r="EU9" t="s">
        <v>2335</v>
      </c>
      <c r="EV9" t="s">
        <v>1752</v>
      </c>
      <c r="EW9">
        <v>0.59890299999999996</v>
      </c>
      <c r="EX9">
        <v>1.729209</v>
      </c>
      <c r="EY9" t="s">
        <v>1781</v>
      </c>
      <c r="EZ9">
        <v>2025</v>
      </c>
      <c r="FA9" t="s">
        <v>1869</v>
      </c>
      <c r="FB9" s="6">
        <v>45797</v>
      </c>
      <c r="FC9">
        <v>5</v>
      </c>
      <c r="FD9">
        <v>112571504</v>
      </c>
      <c r="FE9">
        <v>130929</v>
      </c>
      <c r="FF9" t="s">
        <v>2336</v>
      </c>
      <c r="FI9" t="s">
        <v>378</v>
      </c>
      <c r="FJ9">
        <v>0.76780499999999996</v>
      </c>
      <c r="FK9" t="s">
        <v>1752</v>
      </c>
      <c r="FL9">
        <v>2.2920660000000002</v>
      </c>
      <c r="FM9" t="s">
        <v>1781</v>
      </c>
      <c r="FN9">
        <v>2025</v>
      </c>
      <c r="FO9" t="s">
        <v>1869</v>
      </c>
      <c r="FP9" s="6">
        <v>45797</v>
      </c>
      <c r="FQ9">
        <v>5</v>
      </c>
      <c r="FR9">
        <v>111646528</v>
      </c>
      <c r="FS9">
        <v>69423747</v>
      </c>
      <c r="FT9" t="s">
        <v>2158</v>
      </c>
      <c r="TU9" t="s">
        <v>3890</v>
      </c>
      <c r="TV9" t="s">
        <v>1752</v>
      </c>
      <c r="TW9">
        <v>5.0369999999999998E-3</v>
      </c>
      <c r="TX9">
        <v>1.9165000000000001E-2</v>
      </c>
      <c r="TY9" t="s">
        <v>1774</v>
      </c>
      <c r="TZ9">
        <v>2026</v>
      </c>
      <c r="UA9" t="s">
        <v>3891</v>
      </c>
      <c r="UB9" s="6">
        <v>46055</v>
      </c>
      <c r="UC9">
        <v>5</v>
      </c>
      <c r="UD9">
        <v>62781</v>
      </c>
      <c r="UE9">
        <v>126181</v>
      </c>
      <c r="UF9" t="s">
        <v>3892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1588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1589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1590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1591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1592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1593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1594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1595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1596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1597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1598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1599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1600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1601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1602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1603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1604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1605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1606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1607</v>
      </c>
      <c r="AE2" s="3" t="s">
        <v>1608</v>
      </c>
      <c r="BI2" s="3" t="s">
        <v>710</v>
      </c>
      <c r="CM2" s="3" t="s">
        <v>1609</v>
      </c>
      <c r="DQ2" s="3" t="s">
        <v>1610</v>
      </c>
      <c r="EU2" s="3" t="s">
        <v>1611</v>
      </c>
      <c r="FY2" s="3" t="s">
        <v>813</v>
      </c>
      <c r="HC2" s="3" t="s">
        <v>847</v>
      </c>
      <c r="IG2" s="3" t="s">
        <v>1612</v>
      </c>
      <c r="JK2" s="3" t="s">
        <v>1613</v>
      </c>
      <c r="KO2" s="3" t="s">
        <v>1614</v>
      </c>
      <c r="LS2" s="3" t="s">
        <v>159</v>
      </c>
      <c r="MW2" s="3" t="s">
        <v>1615</v>
      </c>
      <c r="OA2" s="3" t="s">
        <v>1255</v>
      </c>
      <c r="PE2" s="3" t="s">
        <v>1616</v>
      </c>
      <c r="QI2" s="3" t="s">
        <v>1617</v>
      </c>
      <c r="RM2" s="3" t="s">
        <v>495</v>
      </c>
      <c r="SQ2" s="3" t="s">
        <v>1618</v>
      </c>
      <c r="TU2" s="3" t="s">
        <v>1619</v>
      </c>
      <c r="UY2" s="3" t="s">
        <v>111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_xll.BDS("1526901D US Equity","SUPPLY_CHAIN_SUPPLIERS_ALL_DATA")</f>
        <v>#N/A N/A</v>
      </c>
      <c r="O5" t="str">
        <f>_xll.BDS("1526901D US Equity","SUPPLY_CHAIN_CUSTOMERS_ALL_DATA")</f>
        <v>#N/A N/A</v>
      </c>
      <c r="AE5" t="str">
        <f>_xll.BDS("3423152Q US Equity","SUPPLY_CHAIN_SUPPLIERS_ALL_DATA")</f>
        <v>#N/A N/A</v>
      </c>
      <c r="AS5" t="str">
        <f>_xll.BDS("3423152Q US Equity","SUPPLY_CHAIN_CUSTOMERS_ALL_DATA")</f>
        <v>#N/A N/A</v>
      </c>
      <c r="BI5" t="str">
        <f>_xll.BDS("FITB US Equity","SUPPLY_CHAIN_SUPPLIERS_ALL_DATA","cols=12;rows=5")</f>
        <v>004800 KS Equity</v>
      </c>
      <c r="BK5">
        <v>-2.4245362661989844E-14</v>
      </c>
      <c r="BL5">
        <v>-2.4245362661989844E-14</v>
      </c>
      <c r="BM5" t="s">
        <v>1761</v>
      </c>
      <c r="BN5">
        <v>2025</v>
      </c>
      <c r="BO5" t="s">
        <v>2829</v>
      </c>
      <c r="BP5" s="6">
        <v>45883</v>
      </c>
      <c r="BQ5">
        <v>5</v>
      </c>
      <c r="BR5">
        <v>-2.4245362661989844E-14</v>
      </c>
      <c r="BS5">
        <v>118099</v>
      </c>
      <c r="BT5" t="s">
        <v>2137</v>
      </c>
      <c r="BW5" t="str">
        <f>_xll.BDS("FITB US Equity","SUPPLY_CHAIN_CUSTOMERS_ALL_DATA","cols=12;rows=1")</f>
        <v>USIO US Equity</v>
      </c>
      <c r="BX5">
        <v>-2.4245362661989844E-14</v>
      </c>
      <c r="BZ5">
        <v>-2.4245362661989844E-14</v>
      </c>
      <c r="CA5" t="s">
        <v>1753</v>
      </c>
      <c r="CB5">
        <v>2024</v>
      </c>
      <c r="CC5" t="s">
        <v>1895</v>
      </c>
      <c r="CD5" s="6">
        <v>45742</v>
      </c>
      <c r="CE5">
        <v>1</v>
      </c>
      <c r="CF5">
        <v>-2.4245362661989844E-14</v>
      </c>
      <c r="CG5">
        <v>381245</v>
      </c>
      <c r="CH5" t="s">
        <v>1896</v>
      </c>
      <c r="CM5" t="str">
        <f>_xll.BDS("CTXS US Equity","SUPPLY_CHAIN_SUPPLIERS_ALL_DATA","cols=12;rows=5")</f>
        <v>000034 CH Equity</v>
      </c>
      <c r="CO5">
        <v>-2.4245362661989844E-14</v>
      </c>
      <c r="CP5">
        <v>-2.4245362661989844E-14</v>
      </c>
      <c r="CQ5" t="s">
        <v>1753</v>
      </c>
      <c r="CR5">
        <v>2021</v>
      </c>
      <c r="CS5" t="s">
        <v>2113</v>
      </c>
      <c r="CT5" s="6">
        <v>44648</v>
      </c>
      <c r="CU5">
        <v>5</v>
      </c>
      <c r="CV5">
        <v>-2.4245362661989844E-14</v>
      </c>
      <c r="CW5">
        <v>135960</v>
      </c>
      <c r="CX5" t="s">
        <v>2114</v>
      </c>
      <c r="DA5" t="str">
        <f>_xll.BDS("CTXS US Equity","SUPPLY_CHAIN_CUSTOMERS_ALL_DATA","cols=12;rows=5")</f>
        <v>032190 KS Equity</v>
      </c>
      <c r="DB5">
        <v>-2.4245362661989844E-14</v>
      </c>
      <c r="DD5">
        <v>-2.4245362661989844E-14</v>
      </c>
      <c r="DE5" t="s">
        <v>1854</v>
      </c>
      <c r="DF5">
        <v>2022</v>
      </c>
      <c r="DG5" t="s">
        <v>1855</v>
      </c>
      <c r="DH5" s="6">
        <v>44697</v>
      </c>
      <c r="DI5">
        <v>5</v>
      </c>
      <c r="DJ5">
        <v>-2.4245362661989844E-14</v>
      </c>
      <c r="DK5">
        <v>815709</v>
      </c>
      <c r="DL5" t="s">
        <v>1856</v>
      </c>
      <c r="DQ5" t="str">
        <f>_xll.BDS("HOUS US Equity","SUPPLY_CHAIN_SUPPLIERS_ALL_DATA","cols=12;rows=5")</f>
        <v>0747025D AU Equity</v>
      </c>
      <c r="DS5">
        <v>-2.4245362661989844E-14</v>
      </c>
      <c r="DT5">
        <v>-2.4245362661989844E-14</v>
      </c>
      <c r="DU5" t="s">
        <v>1753</v>
      </c>
      <c r="DV5">
        <v>2025</v>
      </c>
      <c r="DW5" t="s">
        <v>4456</v>
      </c>
      <c r="DX5" s="6">
        <v>45868</v>
      </c>
      <c r="DY5">
        <v>5</v>
      </c>
      <c r="DZ5">
        <v>-2.4245362661989844E-14</v>
      </c>
      <c r="EA5">
        <v>34790228</v>
      </c>
      <c r="EB5" t="s">
        <v>4457</v>
      </c>
      <c r="EE5" t="str">
        <f>_xll.BDS("HOUS US Equity","SUPPLY_CHAIN_CUSTOMERS_ALL_DATA","cols=12;rows=1")</f>
        <v>8898 JP Equity</v>
      </c>
      <c r="EF5">
        <v>-2.4245362661989844E-14</v>
      </c>
      <c r="EH5">
        <v>-2.4245362661989844E-14</v>
      </c>
      <c r="EI5" t="s">
        <v>1753</v>
      </c>
      <c r="EJ5">
        <v>2025</v>
      </c>
      <c r="EK5" t="s">
        <v>4564</v>
      </c>
      <c r="EL5" s="6">
        <v>45833</v>
      </c>
      <c r="EM5">
        <v>1</v>
      </c>
      <c r="EN5">
        <v>-2.4245362661989844E-14</v>
      </c>
      <c r="EO5">
        <v>7564915</v>
      </c>
      <c r="EP5" t="s">
        <v>4565</v>
      </c>
      <c r="EU5" t="str">
        <f>_xll.BDS("1523873D US Equity","SUPPLY_CHAIN_SUPPLIERS_ALL_DATA")</f>
        <v>#N/A N/A</v>
      </c>
      <c r="FI5" t="str">
        <f>_xll.BDS("1523873D US Equity","SUPPLY_CHAIN_CUSTOMERS_ALL_DATA")</f>
        <v>#N/A N/A</v>
      </c>
      <c r="FY5" t="str">
        <f>_xll.BDS("FLG US Equity","SUPPLY_CHAIN_SUPPLIERS_ALL_DATA","cols=12;rows=5")</f>
        <v>CXM US Equity</v>
      </c>
      <c r="GA5">
        <v>-2.4245362661989844E-14</v>
      </c>
      <c r="GB5">
        <v>-2.4245362661989844E-14</v>
      </c>
      <c r="GC5" t="s">
        <v>1774</v>
      </c>
      <c r="GD5">
        <v>2026</v>
      </c>
      <c r="GE5" t="s">
        <v>3631</v>
      </c>
      <c r="GF5" s="6">
        <v>45902</v>
      </c>
      <c r="GG5">
        <v>5</v>
      </c>
      <c r="GH5">
        <v>-2.4245362661989844E-14</v>
      </c>
      <c r="GI5">
        <v>34392121</v>
      </c>
      <c r="GJ5" t="s">
        <v>3238</v>
      </c>
      <c r="GM5" t="str">
        <f>_xll.BDS("FLG US Equity","SUPPLY_CHAIN_CUSTOMERS_ALL_DATA")</f>
        <v>#N/A N/A</v>
      </c>
      <c r="HC5" t="str">
        <f>_xll.BDS("390297Q US Equity","SUPPLY_CHAIN_SUPPLIERS_ALL_DATA")</f>
        <v>#N/A N/A</v>
      </c>
      <c r="HQ5" t="str">
        <f>_xll.BDS("390297Q US Equity","SUPPLY_CHAIN_CUSTOMERS_ALL_DATA")</f>
        <v>#N/A N/A</v>
      </c>
      <c r="IG5" t="str">
        <f>_xll.BDS("MXL US Equity","SUPPLY_CHAIN_SUPPLIERS_ALL_DATA","cols=12;rows=5")</f>
        <v>2330 TT Equity</v>
      </c>
      <c r="IH5" t="s">
        <v>1752</v>
      </c>
      <c r="II5">
        <v>5.0029999999999998E-2</v>
      </c>
      <c r="IJ5">
        <v>32.810012999999998</v>
      </c>
      <c r="IK5" t="s">
        <v>1825</v>
      </c>
      <c r="IL5">
        <v>2024</v>
      </c>
      <c r="IM5" t="s">
        <v>3480</v>
      </c>
      <c r="IN5" s="6">
        <v>45741</v>
      </c>
      <c r="IO5">
        <v>5</v>
      </c>
      <c r="IP5">
        <v>13431003.23</v>
      </c>
      <c r="IQ5">
        <v>153737</v>
      </c>
      <c r="IR5" t="s">
        <v>1943</v>
      </c>
      <c r="IU5" t="str">
        <f>_xll.BDS("MXL US Equity","SUPPLY_CHAIN_CUSTOMERS_ALL_DATA","cols=12;rows=5")</f>
        <v>3036 TT Equity</v>
      </c>
      <c r="IV5">
        <v>9.5159710000000004</v>
      </c>
      <c r="IW5" t="s">
        <v>1752</v>
      </c>
      <c r="IX5">
        <v>0.122726</v>
      </c>
      <c r="IY5" t="s">
        <v>1825</v>
      </c>
      <c r="IZ5">
        <v>2025</v>
      </c>
      <c r="JA5" t="s">
        <v>3163</v>
      </c>
      <c r="JB5" s="6">
        <v>46070</v>
      </c>
      <c r="JC5">
        <v>5</v>
      </c>
      <c r="JD5">
        <v>12983210</v>
      </c>
      <c r="JE5">
        <v>1459396</v>
      </c>
      <c r="JF5" t="s">
        <v>1925</v>
      </c>
      <c r="JK5" t="str">
        <f>_xll.BDS("RYZ US Equity","SUPPLY_CHAIN_SUPPLIERS_ALL_DATA","cols=12;rows=5")</f>
        <v>CSTM US Equity</v>
      </c>
      <c r="JL5" t="s">
        <v>1752</v>
      </c>
      <c r="JM5">
        <v>0.78633399999999998</v>
      </c>
      <c r="JN5">
        <v>1.7885139999999999</v>
      </c>
      <c r="JO5" t="s">
        <v>1774</v>
      </c>
      <c r="JP5">
        <v>2025</v>
      </c>
      <c r="JQ5" t="s">
        <v>2895</v>
      </c>
      <c r="JR5" s="6">
        <v>45950</v>
      </c>
      <c r="JS5">
        <v>5</v>
      </c>
      <c r="JT5">
        <v>16536604</v>
      </c>
      <c r="JU5">
        <v>30243935</v>
      </c>
      <c r="JV5" t="s">
        <v>2896</v>
      </c>
      <c r="JY5" t="str">
        <f>_xll.BDS("RYZ US Equity","SUPPLY_CHAIN_CUSTOMERS_ALL_DATA","cols=12;rows=4")</f>
        <v>PCAR US Equity</v>
      </c>
      <c r="JZ5">
        <v>0.41577599999999998</v>
      </c>
      <c r="KA5" t="s">
        <v>1752</v>
      </c>
      <c r="KB5">
        <v>7.5603000000000004E-2</v>
      </c>
      <c r="KC5" t="s">
        <v>1774</v>
      </c>
      <c r="KD5">
        <v>2025</v>
      </c>
      <c r="KE5" t="s">
        <v>2818</v>
      </c>
      <c r="KF5" s="6">
        <v>45943</v>
      </c>
      <c r="KG5">
        <v>4</v>
      </c>
      <c r="KH5">
        <v>4684135</v>
      </c>
      <c r="KI5">
        <v>101754</v>
      </c>
      <c r="KJ5" t="s">
        <v>2819</v>
      </c>
      <c r="KO5" t="str">
        <f>_xll.BDS("TIPTL US Equity","SUPPLY_CHAIN_SUPPLIERS_ALL_DATA")</f>
        <v>#N/A N/A</v>
      </c>
      <c r="LC5" t="str">
        <f>_xll.BDS("TIPTL US Equity","SUPPLY_CHAIN_CUSTOMERS_ALL_DATA")</f>
        <v>#N/A N/A</v>
      </c>
      <c r="LS5" t="str">
        <f>_xll.BDS("OLN US Equity","SUPPLY_CHAIN_SUPPLIERS_ALL_DATA","cols=12;rows=5")</f>
        <v>CNR CN Equity</v>
      </c>
      <c r="LT5" t="s">
        <v>1752</v>
      </c>
      <c r="LU5">
        <v>0.10552499999999999</v>
      </c>
      <c r="LV5">
        <v>0.216527</v>
      </c>
      <c r="LW5" t="s">
        <v>1781</v>
      </c>
      <c r="LX5">
        <v>2025</v>
      </c>
      <c r="LY5" t="s">
        <v>2070</v>
      </c>
      <c r="LZ5" s="6">
        <v>45849</v>
      </c>
      <c r="MA5">
        <v>5</v>
      </c>
      <c r="MB5">
        <v>3238131.22</v>
      </c>
      <c r="MC5">
        <v>179551</v>
      </c>
      <c r="MD5" t="s">
        <v>2071</v>
      </c>
      <c r="MG5" t="str">
        <f>_xll.BDS("OLN US Equity","SUPPLY_CHAIN_CUSTOMERS_ALL_DATA","cols=12;rows=5")</f>
        <v>3352Z US Equity</v>
      </c>
      <c r="MH5">
        <v>11</v>
      </c>
      <c r="MJ5">
        <v>-2.4245362661989844E-14</v>
      </c>
      <c r="MK5" t="s">
        <v>1753</v>
      </c>
      <c r="ML5">
        <v>2024</v>
      </c>
      <c r="MM5" t="s">
        <v>2019</v>
      </c>
      <c r="MN5" s="6">
        <v>45708</v>
      </c>
      <c r="MO5">
        <v>5</v>
      </c>
      <c r="MP5">
        <v>179852752</v>
      </c>
      <c r="MQ5">
        <v>218252</v>
      </c>
      <c r="MR5" t="s">
        <v>1793</v>
      </c>
      <c r="MW5" t="str">
        <f>_xll.BDS("BBDC US Equity","SUPPLY_CHAIN_SUPPLIERS_ALL_DATA")</f>
        <v>#N/A N/A</v>
      </c>
      <c r="NK5" t="str">
        <f>_xll.BDS("BBDC US Equity","SUPPLY_CHAIN_CUSTOMERS_ALL_DATA","cols=12;rows=1")</f>
        <v>MODVQ US Equity</v>
      </c>
      <c r="NL5">
        <v>-2.4245362661989844E-14</v>
      </c>
      <c r="NN5">
        <v>-2.4245362661989844E-14</v>
      </c>
      <c r="NO5" t="s">
        <v>1774</v>
      </c>
      <c r="NP5">
        <v>2025</v>
      </c>
      <c r="NQ5" t="s">
        <v>4313</v>
      </c>
      <c r="NR5" s="6">
        <v>45889</v>
      </c>
      <c r="NS5">
        <v>1</v>
      </c>
      <c r="NT5">
        <v>-2.4245362661989844E-14</v>
      </c>
      <c r="NU5">
        <v>8169755</v>
      </c>
      <c r="NV5" t="s">
        <v>4314</v>
      </c>
      <c r="OA5" t="str">
        <f>_xll.BDS("OCFC US Equity","SUPPLY_CHAIN_SUPPLIERS_ALL_DATA")</f>
        <v>#N/A N/A</v>
      </c>
      <c r="OO5" t="str">
        <f>_xll.BDS("OCFC US Equity","SUPPLY_CHAIN_CUSTOMERS_ALL_DATA")</f>
        <v>#N/A N/A</v>
      </c>
      <c r="PE5" t="str">
        <f>_xll.BDS("BTFG US Equity","SUPPLY_CHAIN_SUPPLIERS_ALL_DATA")</f>
        <v>#N/A N/A</v>
      </c>
      <c r="PS5" t="str">
        <f>_xll.BDS("BTFG US Equity","SUPPLY_CHAIN_CUSTOMERS_ALL_DATA")</f>
        <v>#N/A N/A</v>
      </c>
      <c r="QI5" t="str">
        <f>_xll.BDS("SWKS US Equity","SUPPLY_CHAIN_SUPPLIERS_ALL_DATA","cols=12;rows=5")</f>
        <v>GFS US Equity</v>
      </c>
      <c r="QJ5" t="s">
        <v>1752</v>
      </c>
      <c r="QK5">
        <v>1.863801</v>
      </c>
      <c r="QL5">
        <v>5.2601930000000001</v>
      </c>
      <c r="QM5" t="s">
        <v>1781</v>
      </c>
      <c r="QN5">
        <v>2025</v>
      </c>
      <c r="QO5" t="s">
        <v>2275</v>
      </c>
      <c r="QP5" s="6">
        <v>45792</v>
      </c>
      <c r="QQ5">
        <v>5</v>
      </c>
      <c r="QR5">
        <v>29541246</v>
      </c>
      <c r="QS5">
        <v>15242973</v>
      </c>
      <c r="QT5" t="s">
        <v>2276</v>
      </c>
      <c r="QW5" t="str">
        <f>_xll.BDS("SWKS US Equity","SUPPLY_CHAIN_CUSTOMERS_ALL_DATA","cols=12;rows=5")</f>
        <v>AAPL US Equity</v>
      </c>
      <c r="QX5">
        <v>67</v>
      </c>
      <c r="QY5" t="s">
        <v>1752</v>
      </c>
      <c r="QZ5">
        <v>1.239239</v>
      </c>
      <c r="RA5" t="s">
        <v>1753</v>
      </c>
      <c r="RB5">
        <v>2025</v>
      </c>
      <c r="RC5" t="s">
        <v>3585</v>
      </c>
      <c r="RD5" s="6">
        <v>45968</v>
      </c>
      <c r="RE5">
        <v>5</v>
      </c>
      <c r="RF5">
        <v>684555776</v>
      </c>
      <c r="RG5">
        <v>101695</v>
      </c>
      <c r="RH5" t="s">
        <v>3011</v>
      </c>
      <c r="RM5" t="str">
        <f>_xll.BDS("1740293D US Equity","SUPPLY_CHAIN_SUPPLIERS_ALL_DATA")</f>
        <v>#N/A N/A</v>
      </c>
      <c r="SA5" t="str">
        <f>_xll.BDS("1740293D US Equity","SUPPLY_CHAIN_CUSTOMERS_ALL_DATA")</f>
        <v>#N/A N/A</v>
      </c>
      <c r="SQ5" t="str">
        <f>_xll.BDS("ALTR US Equity","SUPPLY_CHAIN_SUPPLIERS_ALL_DATA","cols=12;rows=5")</f>
        <v>GOOGL US Equity</v>
      </c>
      <c r="SS5">
        <v>-2.4245362661989844E-14</v>
      </c>
      <c r="ST5">
        <v>-2.4245362661989844E-14</v>
      </c>
      <c r="SU5" t="s">
        <v>1753</v>
      </c>
      <c r="SV5">
        <v>2024</v>
      </c>
      <c r="SW5" t="s">
        <v>2695</v>
      </c>
      <c r="SX5" s="6">
        <v>45391</v>
      </c>
      <c r="SY5">
        <v>5</v>
      </c>
      <c r="SZ5">
        <v>-2.4245362661989844E-14</v>
      </c>
      <c r="TA5">
        <v>46946968</v>
      </c>
      <c r="TB5" t="s">
        <v>2629</v>
      </c>
      <c r="TE5" t="str">
        <f>_xll.BDS("ALTR US Equity","SUPPLY_CHAIN_CUSTOMERS_ALL_DATA","cols=12;rows=5")</f>
        <v>SNX US Equity</v>
      </c>
      <c r="TF5">
        <v>1.003887</v>
      </c>
      <c r="TG5" t="s">
        <v>1752</v>
      </c>
      <c r="TH5">
        <v>1.3063E-2</v>
      </c>
      <c r="TI5" t="s">
        <v>1825</v>
      </c>
      <c r="TJ5">
        <v>2024</v>
      </c>
      <c r="TK5" t="s">
        <v>1826</v>
      </c>
      <c r="TL5" s="6">
        <v>45722</v>
      </c>
      <c r="TM5">
        <v>5</v>
      </c>
      <c r="TN5">
        <v>1933797</v>
      </c>
      <c r="TO5">
        <v>1499717</v>
      </c>
      <c r="TP5" t="s">
        <v>1827</v>
      </c>
      <c r="TU5" t="str">
        <f>_xll.BDS("0948669D US Equity","SUPPLY_CHAIN_SUPPLIERS_ALL_DATA","cols=12;rows=1")</f>
        <v>300703 CH Equity</v>
      </c>
      <c r="TW5">
        <v>2.98</v>
      </c>
      <c r="TX5">
        <v>-2.4245362661989844E-14</v>
      </c>
      <c r="TY5" t="s">
        <v>1753</v>
      </c>
      <c r="TZ5">
        <v>2024</v>
      </c>
      <c r="UA5" t="s">
        <v>2454</v>
      </c>
      <c r="UB5" s="6">
        <v>45768</v>
      </c>
      <c r="UC5">
        <v>1</v>
      </c>
      <c r="UD5">
        <v>2009494.65</v>
      </c>
      <c r="UE5">
        <v>18513638</v>
      </c>
      <c r="UF5" t="s">
        <v>2455</v>
      </c>
      <c r="UI5" t="str">
        <f>_xll.BDS("0948669D US Equity","SUPPLY_CHAIN_CUSTOMERS_ALL_DATA","cols=12;rows=3")</f>
        <v>ACI US Equity</v>
      </c>
      <c r="UJ5">
        <v>-2.4245362661989844E-14</v>
      </c>
      <c r="UL5">
        <v>-2.4245362661989844E-14</v>
      </c>
      <c r="UM5" t="s">
        <v>1753</v>
      </c>
      <c r="UN5">
        <v>2025</v>
      </c>
      <c r="UO5" t="s">
        <v>2347</v>
      </c>
      <c r="UP5" s="6">
        <v>46002</v>
      </c>
      <c r="UQ5">
        <v>3</v>
      </c>
      <c r="UR5">
        <v>-2.4245362661989844E-14</v>
      </c>
      <c r="US5">
        <v>46386935</v>
      </c>
      <c r="UT5" t="s">
        <v>2348</v>
      </c>
      <c r="UY5" t="str">
        <f>_xll.BDS("NBR US Equity","SUPPLY_CHAIN_SUPPLIERS_ALL_DATA","cols=12;rows=4")</f>
        <v>DNOW US Equity</v>
      </c>
      <c r="UZ5" t="s">
        <v>1752</v>
      </c>
      <c r="VA5">
        <v>8.4705000000000003E-2</v>
      </c>
      <c r="VB5">
        <v>0.109191</v>
      </c>
      <c r="VC5" t="s">
        <v>1788</v>
      </c>
      <c r="VD5">
        <v>2025</v>
      </c>
      <c r="VE5" t="s">
        <v>2054</v>
      </c>
      <c r="VF5" s="6">
        <v>46027</v>
      </c>
      <c r="VG5">
        <v>4</v>
      </c>
      <c r="VH5">
        <v>537030</v>
      </c>
      <c r="VI5">
        <v>36965288</v>
      </c>
      <c r="VJ5" t="s">
        <v>2055</v>
      </c>
      <c r="VM5" t="str">
        <f>_xll.BDS("NBR US Equity","SUPPLY_CHAIN_CUSTOMERS_ALL_DATA","cols=12;rows=4")</f>
        <v>ARAMCO AB Equity</v>
      </c>
      <c r="VN5">
        <v>30</v>
      </c>
      <c r="VO5" t="s">
        <v>1752</v>
      </c>
      <c r="VP5">
        <v>0.60292500000000004</v>
      </c>
      <c r="VQ5" t="s">
        <v>1753</v>
      </c>
      <c r="VR5">
        <v>2025</v>
      </c>
      <c r="VS5" t="s">
        <v>2139</v>
      </c>
      <c r="VT5" s="6">
        <v>46066</v>
      </c>
      <c r="VU5">
        <v>4</v>
      </c>
      <c r="VV5">
        <v>238851968</v>
      </c>
      <c r="VW5">
        <v>948637</v>
      </c>
      <c r="VX5" t="s">
        <v>2140</v>
      </c>
    </row>
    <row r="6" spans="1:600" x14ac:dyDescent="0.25">
      <c r="BI6" t="s">
        <v>2830</v>
      </c>
      <c r="BK6">
        <v>-2.4245362661989844E-14</v>
      </c>
      <c r="BL6">
        <v>-2.4245362661989844E-14</v>
      </c>
      <c r="BM6" t="s">
        <v>1788</v>
      </c>
      <c r="BN6">
        <v>2024</v>
      </c>
      <c r="BO6" t="s">
        <v>2831</v>
      </c>
      <c r="BP6" s="6">
        <v>45608</v>
      </c>
      <c r="BQ6">
        <v>5</v>
      </c>
      <c r="BR6">
        <v>-2.4245362661989844E-14</v>
      </c>
      <c r="BS6">
        <v>159743</v>
      </c>
      <c r="BT6" t="s">
        <v>2832</v>
      </c>
      <c r="CM6" t="s">
        <v>2115</v>
      </c>
      <c r="CO6">
        <v>-2.4245362661989844E-14</v>
      </c>
      <c r="CP6">
        <v>-2.4245362661989844E-14</v>
      </c>
      <c r="CQ6" t="s">
        <v>1768</v>
      </c>
      <c r="CR6">
        <v>2025</v>
      </c>
      <c r="CS6" t="s">
        <v>2116</v>
      </c>
      <c r="CT6" s="6">
        <v>45972</v>
      </c>
      <c r="CU6">
        <v>5</v>
      </c>
      <c r="CV6">
        <v>-2.4245362661989844E-14</v>
      </c>
      <c r="CW6">
        <v>45369408</v>
      </c>
      <c r="CX6" t="s">
        <v>2117</v>
      </c>
      <c r="DA6" t="s">
        <v>1857</v>
      </c>
      <c r="DB6">
        <v>-2.4245362661989844E-14</v>
      </c>
      <c r="DD6">
        <v>-2.4245362661989844E-14</v>
      </c>
      <c r="DE6" t="s">
        <v>1768</v>
      </c>
      <c r="DF6">
        <v>2025</v>
      </c>
      <c r="DG6" t="s">
        <v>1858</v>
      </c>
      <c r="DH6" s="6">
        <v>45975</v>
      </c>
      <c r="DI6">
        <v>5</v>
      </c>
      <c r="DJ6">
        <v>-2.4245362661989844E-14</v>
      </c>
      <c r="DK6">
        <v>866559</v>
      </c>
      <c r="DL6" t="s">
        <v>1859</v>
      </c>
      <c r="DQ6" t="s">
        <v>4458</v>
      </c>
      <c r="DS6">
        <v>-2.4245362661989844E-14</v>
      </c>
      <c r="DT6">
        <v>-2.4245362661989844E-14</v>
      </c>
      <c r="DU6" t="s">
        <v>1753</v>
      </c>
      <c r="DV6">
        <v>2023</v>
      </c>
      <c r="DW6" t="s">
        <v>4459</v>
      </c>
      <c r="DX6" s="6">
        <v>45302</v>
      </c>
      <c r="DY6">
        <v>5</v>
      </c>
      <c r="DZ6">
        <v>-2.4245362661989844E-14</v>
      </c>
      <c r="EA6">
        <v>65989792</v>
      </c>
      <c r="EB6" t="s">
        <v>4460</v>
      </c>
      <c r="FY6" t="s">
        <v>3632</v>
      </c>
      <c r="GA6">
        <v>-2.4245362661989844E-14</v>
      </c>
      <c r="GB6">
        <v>-2.4245362661989844E-14</v>
      </c>
      <c r="GC6" t="s">
        <v>1753</v>
      </c>
      <c r="GD6">
        <v>2023</v>
      </c>
      <c r="GE6" t="s">
        <v>3633</v>
      </c>
      <c r="GF6" s="6">
        <v>45350</v>
      </c>
      <c r="GG6">
        <v>5</v>
      </c>
      <c r="GH6">
        <v>-2.4245362661989844E-14</v>
      </c>
      <c r="GI6">
        <v>33628170</v>
      </c>
      <c r="GJ6" t="s">
        <v>3634</v>
      </c>
      <c r="IG6" t="s">
        <v>2274</v>
      </c>
      <c r="IH6" t="s">
        <v>1752</v>
      </c>
      <c r="II6">
        <v>0.159777</v>
      </c>
      <c r="IJ6">
        <v>6.015072</v>
      </c>
      <c r="IK6" t="s">
        <v>1781</v>
      </c>
      <c r="IL6">
        <v>2025</v>
      </c>
      <c r="IM6" t="s">
        <v>2275</v>
      </c>
      <c r="IN6" s="6">
        <v>45792</v>
      </c>
      <c r="IO6">
        <v>5</v>
      </c>
      <c r="IP6">
        <v>2532465</v>
      </c>
      <c r="IQ6">
        <v>15242973</v>
      </c>
      <c r="IR6" t="s">
        <v>2276</v>
      </c>
      <c r="IU6" t="s">
        <v>3164</v>
      </c>
      <c r="IV6">
        <v>6.5244859999999996</v>
      </c>
      <c r="IW6" t="s">
        <v>1752</v>
      </c>
      <c r="IX6">
        <v>0.92543399999999998</v>
      </c>
      <c r="IY6" t="s">
        <v>1825</v>
      </c>
      <c r="IZ6">
        <v>2025</v>
      </c>
      <c r="JA6" t="s">
        <v>3163</v>
      </c>
      <c r="JB6" s="6">
        <v>46070</v>
      </c>
      <c r="JC6">
        <v>5</v>
      </c>
      <c r="JD6">
        <v>8901748</v>
      </c>
      <c r="JE6">
        <v>35508256</v>
      </c>
      <c r="JF6" t="s">
        <v>3165</v>
      </c>
      <c r="JK6" t="s">
        <v>2897</v>
      </c>
      <c r="JL6" t="s">
        <v>1752</v>
      </c>
      <c r="JM6">
        <v>0.201681</v>
      </c>
      <c r="JN6">
        <v>1.5531379999999999</v>
      </c>
      <c r="JO6" t="s">
        <v>1781</v>
      </c>
      <c r="JP6">
        <v>2026</v>
      </c>
      <c r="JQ6" t="s">
        <v>2898</v>
      </c>
      <c r="JR6" s="6">
        <v>45951</v>
      </c>
      <c r="JS6">
        <v>5</v>
      </c>
      <c r="JT6">
        <v>14050263.210000001</v>
      </c>
      <c r="JU6">
        <v>152975</v>
      </c>
      <c r="JV6" t="s">
        <v>2899</v>
      </c>
      <c r="JY6" t="s">
        <v>2820</v>
      </c>
      <c r="JZ6">
        <v>-2.4245362661989844E-14</v>
      </c>
      <c r="KB6">
        <v>-2.4245362661989844E-14</v>
      </c>
      <c r="KC6" t="s">
        <v>1768</v>
      </c>
      <c r="KD6">
        <v>2025</v>
      </c>
      <c r="KE6" t="s">
        <v>2821</v>
      </c>
      <c r="KF6" s="6">
        <v>45975</v>
      </c>
      <c r="KG6">
        <v>4</v>
      </c>
      <c r="KH6">
        <v>-2.4245362661989844E-14</v>
      </c>
      <c r="KI6">
        <v>815687</v>
      </c>
      <c r="KJ6" t="s">
        <v>2822</v>
      </c>
      <c r="LS6" t="s">
        <v>2072</v>
      </c>
      <c r="LT6" t="s">
        <v>1752</v>
      </c>
      <c r="LU6">
        <v>2.7647999999999999E-2</v>
      </c>
      <c r="LV6">
        <v>0.19284299999999999</v>
      </c>
      <c r="LW6" t="s">
        <v>1781</v>
      </c>
      <c r="LX6">
        <v>2025</v>
      </c>
      <c r="LY6" t="s">
        <v>2073</v>
      </c>
      <c r="LZ6" s="6">
        <v>45786</v>
      </c>
      <c r="MA6">
        <v>5</v>
      </c>
      <c r="MB6">
        <v>2883963</v>
      </c>
      <c r="MC6">
        <v>48365107</v>
      </c>
      <c r="MD6" t="s">
        <v>2074</v>
      </c>
      <c r="MG6" t="s">
        <v>2020</v>
      </c>
      <c r="MH6">
        <v>8.0821000000000004E-2</v>
      </c>
      <c r="MI6" t="s">
        <v>1752</v>
      </c>
      <c r="MJ6">
        <v>0.110046</v>
      </c>
      <c r="MK6" t="s">
        <v>1774</v>
      </c>
      <c r="ML6">
        <v>2025</v>
      </c>
      <c r="MM6" t="s">
        <v>2021</v>
      </c>
      <c r="MN6" s="6">
        <v>45909</v>
      </c>
      <c r="MO6">
        <v>5</v>
      </c>
      <c r="MP6">
        <v>1420505.42</v>
      </c>
      <c r="MQ6">
        <v>9074473</v>
      </c>
      <c r="MR6" t="s">
        <v>2022</v>
      </c>
      <c r="QI6" t="s">
        <v>2456</v>
      </c>
      <c r="QJ6" t="s">
        <v>1752</v>
      </c>
      <c r="QK6">
        <v>0.29853400000000002</v>
      </c>
      <c r="QL6">
        <v>2.4779969999999998</v>
      </c>
      <c r="QM6" t="s">
        <v>1781</v>
      </c>
      <c r="QN6">
        <v>2025</v>
      </c>
      <c r="QO6" t="s">
        <v>2457</v>
      </c>
      <c r="QP6" s="6">
        <v>45866</v>
      </c>
      <c r="QQ6">
        <v>5</v>
      </c>
      <c r="QR6">
        <v>13913662.789999999</v>
      </c>
      <c r="QS6">
        <v>7359591</v>
      </c>
      <c r="QT6" t="s">
        <v>2458</v>
      </c>
      <c r="QW6" t="s">
        <v>2628</v>
      </c>
      <c r="QX6">
        <v>5.0381549999999997</v>
      </c>
      <c r="QY6" t="s">
        <v>1752</v>
      </c>
      <c r="QZ6">
        <v>0.124538</v>
      </c>
      <c r="RA6" t="s">
        <v>1788</v>
      </c>
      <c r="RB6">
        <v>2025</v>
      </c>
      <c r="RC6" t="s">
        <v>3586</v>
      </c>
      <c r="RD6" s="6">
        <v>45929</v>
      </c>
      <c r="RE6">
        <v>5</v>
      </c>
      <c r="RF6">
        <v>48618196</v>
      </c>
      <c r="RG6">
        <v>46946968</v>
      </c>
      <c r="RH6" t="s">
        <v>2629</v>
      </c>
      <c r="SQ6" t="s">
        <v>411</v>
      </c>
      <c r="SS6">
        <v>-2.4245362661989844E-14</v>
      </c>
      <c r="ST6">
        <v>-2.4245362661989844E-14</v>
      </c>
      <c r="SU6" t="s">
        <v>1753</v>
      </c>
      <c r="SV6">
        <v>2024</v>
      </c>
      <c r="SW6" t="s">
        <v>2695</v>
      </c>
      <c r="SX6" s="6">
        <v>45470</v>
      </c>
      <c r="SY6">
        <v>5</v>
      </c>
      <c r="SZ6">
        <v>-2.4245362661989844E-14</v>
      </c>
      <c r="TA6">
        <v>100732</v>
      </c>
      <c r="TB6" t="s">
        <v>2880</v>
      </c>
      <c r="TE6" t="s">
        <v>2694</v>
      </c>
      <c r="TF6">
        <v>-2.4245362661989844E-14</v>
      </c>
      <c r="TH6">
        <v>-2.4245362661989844E-14</v>
      </c>
      <c r="TI6" t="s">
        <v>1753</v>
      </c>
      <c r="TJ6">
        <v>2023</v>
      </c>
      <c r="TK6" t="s">
        <v>2695</v>
      </c>
      <c r="TL6" s="6">
        <v>44971</v>
      </c>
      <c r="TM6">
        <v>5</v>
      </c>
      <c r="TN6">
        <v>-2.4245362661989844E-14</v>
      </c>
      <c r="TO6">
        <v>30902972</v>
      </c>
      <c r="TP6" t="s">
        <v>2696</v>
      </c>
      <c r="UI6" t="s">
        <v>2349</v>
      </c>
      <c r="UJ6">
        <v>-2.4245362661989844E-14</v>
      </c>
      <c r="UL6">
        <v>-2.4245362661989844E-14</v>
      </c>
      <c r="UM6" t="s">
        <v>1753</v>
      </c>
      <c r="UN6">
        <v>2023</v>
      </c>
      <c r="UO6" t="s">
        <v>2350</v>
      </c>
      <c r="UP6" s="6">
        <v>45267</v>
      </c>
      <c r="UQ6">
        <v>3</v>
      </c>
      <c r="UR6">
        <v>-2.4245362661989844E-14</v>
      </c>
      <c r="US6">
        <v>49373705</v>
      </c>
      <c r="UT6" t="s">
        <v>2351</v>
      </c>
      <c r="UY6" t="s">
        <v>2056</v>
      </c>
      <c r="UZ6" t="s">
        <v>1752</v>
      </c>
      <c r="VA6">
        <v>4.2249999999999996E-3</v>
      </c>
      <c r="VB6">
        <v>9.1559999999999992E-3</v>
      </c>
      <c r="VC6" t="s">
        <v>1825</v>
      </c>
      <c r="VD6">
        <v>2025</v>
      </c>
      <c r="VE6" t="s">
        <v>2057</v>
      </c>
      <c r="VF6" s="6">
        <v>46079</v>
      </c>
      <c r="VG6">
        <v>4</v>
      </c>
      <c r="VH6">
        <v>44531</v>
      </c>
      <c r="VI6">
        <v>49689146</v>
      </c>
      <c r="VJ6" t="s">
        <v>2058</v>
      </c>
      <c r="VM6" t="s">
        <v>746</v>
      </c>
      <c r="VN6">
        <v>-2.4245362661989844E-14</v>
      </c>
      <c r="VP6">
        <v>-2.4245362661989844E-14</v>
      </c>
      <c r="VQ6" t="s">
        <v>1753</v>
      </c>
      <c r="VR6">
        <v>2022</v>
      </c>
      <c r="VS6" t="s">
        <v>2141</v>
      </c>
      <c r="VT6" s="6">
        <v>44966</v>
      </c>
      <c r="VU6">
        <v>4</v>
      </c>
      <c r="VV6">
        <v>-2.4245362661989844E-14</v>
      </c>
      <c r="VW6">
        <v>100698</v>
      </c>
      <c r="VX6" t="s">
        <v>2142</v>
      </c>
    </row>
    <row r="7" spans="1:600" x14ac:dyDescent="0.25">
      <c r="BI7" t="s">
        <v>2833</v>
      </c>
      <c r="BK7">
        <v>-2.4245362661989844E-14</v>
      </c>
      <c r="BL7">
        <v>-2.4245362661989844E-14</v>
      </c>
      <c r="BM7" t="s">
        <v>1753</v>
      </c>
      <c r="BN7">
        <v>2023</v>
      </c>
      <c r="BO7" t="s">
        <v>2834</v>
      </c>
      <c r="BP7" s="6">
        <v>45462</v>
      </c>
      <c r="BQ7">
        <v>5</v>
      </c>
      <c r="BR7">
        <v>-2.4245362661989844E-14</v>
      </c>
      <c r="BS7">
        <v>48621208</v>
      </c>
      <c r="BT7" t="s">
        <v>2835</v>
      </c>
      <c r="CM7" t="s">
        <v>2118</v>
      </c>
      <c r="CO7">
        <v>-2.4245362661989844E-14</v>
      </c>
      <c r="CP7">
        <v>-2.4245362661989844E-14</v>
      </c>
      <c r="CQ7" t="s">
        <v>1781</v>
      </c>
      <c r="CR7">
        <v>2023</v>
      </c>
      <c r="CS7" t="s">
        <v>2119</v>
      </c>
      <c r="CT7" s="6">
        <v>45076</v>
      </c>
      <c r="CU7">
        <v>5</v>
      </c>
      <c r="CV7">
        <v>-2.4245362661989844E-14</v>
      </c>
      <c r="CW7">
        <v>7220288</v>
      </c>
      <c r="CX7" t="s">
        <v>2120</v>
      </c>
      <c r="DA7" t="s">
        <v>1860</v>
      </c>
      <c r="DB7">
        <v>-2.4245362661989844E-14</v>
      </c>
      <c r="DD7">
        <v>-2.4245362661989844E-14</v>
      </c>
      <c r="DE7" t="s">
        <v>1768</v>
      </c>
      <c r="DF7">
        <v>2025</v>
      </c>
      <c r="DG7" t="s">
        <v>1861</v>
      </c>
      <c r="DH7" s="6">
        <v>45971</v>
      </c>
      <c r="DI7">
        <v>5</v>
      </c>
      <c r="DJ7">
        <v>-2.4245362661989844E-14</v>
      </c>
      <c r="DK7">
        <v>7595246</v>
      </c>
      <c r="DL7" t="s">
        <v>1862</v>
      </c>
      <c r="DQ7" t="s">
        <v>4461</v>
      </c>
      <c r="DS7">
        <v>-2.4245362661989844E-14</v>
      </c>
      <c r="DT7">
        <v>-2.4245362661989844E-14</v>
      </c>
      <c r="DU7" t="s">
        <v>1753</v>
      </c>
      <c r="DV7">
        <v>2025</v>
      </c>
      <c r="DW7" t="s">
        <v>4456</v>
      </c>
      <c r="DX7" s="6">
        <v>45793</v>
      </c>
      <c r="DY7">
        <v>5</v>
      </c>
      <c r="DZ7">
        <v>-2.4245362661989844E-14</v>
      </c>
      <c r="EA7">
        <v>70595908</v>
      </c>
      <c r="EB7" t="s">
        <v>4462</v>
      </c>
      <c r="FY7" t="s">
        <v>3635</v>
      </c>
      <c r="GA7">
        <v>-2.4245362661989844E-14</v>
      </c>
      <c r="GB7">
        <v>-2.4245362661989844E-14</v>
      </c>
      <c r="GC7" t="s">
        <v>1753</v>
      </c>
      <c r="GD7">
        <v>2024</v>
      </c>
      <c r="GE7" t="s">
        <v>3636</v>
      </c>
      <c r="GF7" s="6">
        <v>45716</v>
      </c>
      <c r="GG7">
        <v>5</v>
      </c>
      <c r="GH7">
        <v>-2.4245362661989844E-14</v>
      </c>
      <c r="GI7">
        <v>29175351</v>
      </c>
      <c r="GJ7" t="s">
        <v>3637</v>
      </c>
      <c r="IG7" t="s">
        <v>3481</v>
      </c>
      <c r="IH7" t="s">
        <v>1752</v>
      </c>
      <c r="II7">
        <v>5.0603000000000002E-2</v>
      </c>
      <c r="IJ7">
        <v>2.7009430000000001</v>
      </c>
      <c r="IK7" t="s">
        <v>1781</v>
      </c>
      <c r="IL7">
        <v>2025</v>
      </c>
      <c r="IM7" t="s">
        <v>3482</v>
      </c>
      <c r="IN7" s="6">
        <v>45846</v>
      </c>
      <c r="IO7">
        <v>5</v>
      </c>
      <c r="IP7">
        <v>1137151</v>
      </c>
      <c r="IQ7">
        <v>7039692</v>
      </c>
      <c r="IR7" t="s">
        <v>3483</v>
      </c>
      <c r="IU7" t="s">
        <v>2456</v>
      </c>
      <c r="IV7">
        <v>4.5680259999999997</v>
      </c>
      <c r="IW7" t="s">
        <v>1752</v>
      </c>
      <c r="IX7">
        <v>0.19293399999999999</v>
      </c>
      <c r="IY7" t="s">
        <v>1781</v>
      </c>
      <c r="IZ7">
        <v>2025</v>
      </c>
      <c r="JA7" t="s">
        <v>2457</v>
      </c>
      <c r="JB7" s="6">
        <v>45866</v>
      </c>
      <c r="JC7">
        <v>5</v>
      </c>
      <c r="JD7">
        <v>4662960.55</v>
      </c>
      <c r="JE7">
        <v>7359591</v>
      </c>
      <c r="JF7" t="s">
        <v>2458</v>
      </c>
      <c r="JK7" t="s">
        <v>2900</v>
      </c>
      <c r="JL7" t="s">
        <v>1940</v>
      </c>
      <c r="JM7">
        <v>1.828856</v>
      </c>
      <c r="JN7">
        <v>0.98564700000000005</v>
      </c>
      <c r="JO7" t="s">
        <v>1753</v>
      </c>
      <c r="JP7">
        <v>2024</v>
      </c>
      <c r="JQ7" t="s">
        <v>2901</v>
      </c>
      <c r="JR7" s="6">
        <v>45708</v>
      </c>
      <c r="JS7">
        <v>5</v>
      </c>
      <c r="JT7">
        <v>1974250</v>
      </c>
      <c r="JU7">
        <v>17503249</v>
      </c>
      <c r="JV7" t="s">
        <v>2902</v>
      </c>
      <c r="JY7" t="s">
        <v>2823</v>
      </c>
      <c r="JZ7">
        <v>-2.4245362661989844E-14</v>
      </c>
      <c r="KB7">
        <v>-2.4245362661989844E-14</v>
      </c>
      <c r="KC7" t="s">
        <v>1753</v>
      </c>
      <c r="KD7">
        <v>2022</v>
      </c>
      <c r="KE7" t="s">
        <v>2824</v>
      </c>
      <c r="KF7" s="6">
        <v>45013</v>
      </c>
      <c r="KG7">
        <v>4</v>
      </c>
      <c r="KH7">
        <v>-2.4245362661989844E-14</v>
      </c>
      <c r="KI7">
        <v>9371099</v>
      </c>
      <c r="KJ7" t="s">
        <v>2825</v>
      </c>
      <c r="LS7" t="s">
        <v>2075</v>
      </c>
      <c r="LT7" t="s">
        <v>1752</v>
      </c>
      <c r="LU7">
        <v>0.19472700000000001</v>
      </c>
      <c r="LV7">
        <v>0.161498</v>
      </c>
      <c r="LW7" t="s">
        <v>1825</v>
      </c>
      <c r="LX7">
        <v>2025</v>
      </c>
      <c r="LY7" t="s">
        <v>2076</v>
      </c>
      <c r="LZ7" s="6">
        <v>46086</v>
      </c>
      <c r="MA7">
        <v>5</v>
      </c>
      <c r="MB7">
        <v>2638551</v>
      </c>
      <c r="MC7">
        <v>9188256</v>
      </c>
      <c r="MD7" t="s">
        <v>2077</v>
      </c>
      <c r="MG7" t="s">
        <v>2023</v>
      </c>
      <c r="MH7">
        <v>-2.4245362661989844E-14</v>
      </c>
      <c r="MJ7">
        <v>-2.4245362661989844E-14</v>
      </c>
      <c r="MK7" t="s">
        <v>1788</v>
      </c>
      <c r="ML7">
        <v>2025</v>
      </c>
      <c r="MM7" t="s">
        <v>2024</v>
      </c>
      <c r="MN7" s="6">
        <v>45958</v>
      </c>
      <c r="MO7">
        <v>5</v>
      </c>
      <c r="MP7">
        <v>-2.4245362661989844E-14</v>
      </c>
      <c r="MQ7">
        <v>962190</v>
      </c>
      <c r="MR7" t="s">
        <v>2025</v>
      </c>
      <c r="QI7" t="s">
        <v>2277</v>
      </c>
      <c r="QJ7" t="s">
        <v>1752</v>
      </c>
      <c r="QK7">
        <v>0.408414</v>
      </c>
      <c r="QL7">
        <v>1.2434959999999999</v>
      </c>
      <c r="QM7" t="s">
        <v>1788</v>
      </c>
      <c r="QN7">
        <v>2025</v>
      </c>
      <c r="QO7" t="s">
        <v>2278</v>
      </c>
      <c r="QP7" s="6">
        <v>46035</v>
      </c>
      <c r="QQ7">
        <v>5</v>
      </c>
      <c r="QR7">
        <v>8115055</v>
      </c>
      <c r="QS7">
        <v>302680</v>
      </c>
      <c r="QT7" t="s">
        <v>2279</v>
      </c>
      <c r="QW7" t="s">
        <v>1923</v>
      </c>
      <c r="QX7">
        <v>2.911117</v>
      </c>
      <c r="QY7" t="s">
        <v>1752</v>
      </c>
      <c r="QZ7">
        <v>0.34848600000000002</v>
      </c>
      <c r="RA7" t="s">
        <v>1788</v>
      </c>
      <c r="RB7">
        <v>2025</v>
      </c>
      <c r="RC7" t="s">
        <v>3586</v>
      </c>
      <c r="RD7" s="6">
        <v>45929</v>
      </c>
      <c r="RE7">
        <v>5</v>
      </c>
      <c r="RF7">
        <v>28092280</v>
      </c>
      <c r="RG7">
        <v>1459396</v>
      </c>
      <c r="RH7" t="s">
        <v>1925</v>
      </c>
      <c r="SQ7" t="s">
        <v>1554</v>
      </c>
      <c r="SS7">
        <v>-2.4245362661989844E-14</v>
      </c>
      <c r="ST7">
        <v>-2.4245362661989844E-14</v>
      </c>
      <c r="SU7" t="s">
        <v>1825</v>
      </c>
      <c r="SV7">
        <v>2025</v>
      </c>
      <c r="SW7" t="s">
        <v>2881</v>
      </c>
      <c r="SX7" s="6">
        <v>45719</v>
      </c>
      <c r="SY7">
        <v>5</v>
      </c>
      <c r="SZ7">
        <v>-2.4245362661989844E-14</v>
      </c>
      <c r="TA7">
        <v>313657</v>
      </c>
      <c r="TB7" t="s">
        <v>2353</v>
      </c>
      <c r="TE7" t="s">
        <v>2697</v>
      </c>
      <c r="TF7">
        <v>-2.4245362661989844E-14</v>
      </c>
      <c r="TH7">
        <v>-2.4245362661989844E-14</v>
      </c>
      <c r="TI7" t="s">
        <v>1753</v>
      </c>
      <c r="TJ7">
        <v>2023</v>
      </c>
      <c r="TK7" t="s">
        <v>2695</v>
      </c>
      <c r="TL7" s="6">
        <v>44950</v>
      </c>
      <c r="TM7">
        <v>5</v>
      </c>
      <c r="TN7">
        <v>-2.4245362661989844E-14</v>
      </c>
      <c r="TO7">
        <v>915627</v>
      </c>
      <c r="TP7" t="s">
        <v>2698</v>
      </c>
      <c r="UI7" t="s">
        <v>1918</v>
      </c>
      <c r="UJ7">
        <v>-2.4245362661989844E-14</v>
      </c>
      <c r="UL7">
        <v>-2.4245362661989844E-14</v>
      </c>
      <c r="UM7" t="s">
        <v>1753</v>
      </c>
      <c r="UN7">
        <v>2023</v>
      </c>
      <c r="UO7" t="s">
        <v>1919</v>
      </c>
      <c r="UP7" s="6">
        <v>45412</v>
      </c>
      <c r="UQ7">
        <v>3</v>
      </c>
      <c r="UR7">
        <v>-2.4245362661989844E-14</v>
      </c>
      <c r="US7">
        <v>9183698</v>
      </c>
      <c r="UT7" t="s">
        <v>1920</v>
      </c>
      <c r="UY7" t="s">
        <v>2059</v>
      </c>
      <c r="VA7">
        <v>-2.4245362661989844E-14</v>
      </c>
      <c r="VB7">
        <v>-2.4245362661989844E-14</v>
      </c>
      <c r="VC7" t="s">
        <v>1788</v>
      </c>
      <c r="VD7">
        <v>2025</v>
      </c>
      <c r="VE7" t="s">
        <v>2060</v>
      </c>
      <c r="VF7" s="6">
        <v>45991</v>
      </c>
      <c r="VG7">
        <v>4</v>
      </c>
      <c r="VH7">
        <v>-2.4245362661989844E-14</v>
      </c>
      <c r="VI7">
        <v>310043</v>
      </c>
      <c r="VJ7" t="s">
        <v>2061</v>
      </c>
      <c r="VM7" t="s">
        <v>311</v>
      </c>
      <c r="VN7">
        <v>-2.4245362661989844E-14</v>
      </c>
      <c r="VP7">
        <v>-2.4245362661989844E-14</v>
      </c>
      <c r="VQ7" t="s">
        <v>1753</v>
      </c>
      <c r="VR7">
        <v>2022</v>
      </c>
      <c r="VS7" t="s">
        <v>2141</v>
      </c>
      <c r="VT7" s="6">
        <v>44966</v>
      </c>
      <c r="VU7">
        <v>4</v>
      </c>
      <c r="VV7">
        <v>-2.4245362661989844E-14</v>
      </c>
      <c r="VW7">
        <v>100078</v>
      </c>
      <c r="VX7" t="s">
        <v>2040</v>
      </c>
    </row>
    <row r="8" spans="1:600" x14ac:dyDescent="0.25">
      <c r="BI8" t="s">
        <v>2836</v>
      </c>
      <c r="BK8">
        <v>-2.4245362661989844E-14</v>
      </c>
      <c r="BL8">
        <v>-2.4245362661989844E-14</v>
      </c>
      <c r="BM8" t="s">
        <v>1753</v>
      </c>
      <c r="BN8">
        <v>2024</v>
      </c>
      <c r="BO8" t="s">
        <v>2837</v>
      </c>
      <c r="BP8" s="6">
        <v>45714</v>
      </c>
      <c r="BQ8">
        <v>5</v>
      </c>
      <c r="BR8">
        <v>-2.4245362661989844E-14</v>
      </c>
      <c r="BS8">
        <v>100457</v>
      </c>
      <c r="BT8" t="s">
        <v>2838</v>
      </c>
      <c r="CM8" t="s">
        <v>2121</v>
      </c>
      <c r="CO8">
        <v>-2.4245362661989844E-14</v>
      </c>
      <c r="CP8">
        <v>-2.4245362661989844E-14</v>
      </c>
      <c r="CQ8" t="s">
        <v>1753</v>
      </c>
      <c r="CR8">
        <v>2023</v>
      </c>
      <c r="CS8" t="s">
        <v>2122</v>
      </c>
      <c r="CT8" s="6">
        <v>45070</v>
      </c>
      <c r="CU8">
        <v>5</v>
      </c>
      <c r="CV8">
        <v>-2.4245362661989844E-14</v>
      </c>
      <c r="CW8">
        <v>69119190</v>
      </c>
      <c r="CX8" t="s">
        <v>2123</v>
      </c>
      <c r="DA8" t="s">
        <v>1863</v>
      </c>
      <c r="DB8">
        <v>-2.4245362661989844E-14</v>
      </c>
      <c r="DD8">
        <v>-2.4245362661989844E-14</v>
      </c>
      <c r="DE8" t="s">
        <v>1768</v>
      </c>
      <c r="DF8">
        <v>2023</v>
      </c>
      <c r="DG8" t="s">
        <v>1864</v>
      </c>
      <c r="DH8" s="6">
        <v>45244</v>
      </c>
      <c r="DI8">
        <v>5</v>
      </c>
      <c r="DJ8">
        <v>-2.4245362661989844E-14</v>
      </c>
      <c r="DK8">
        <v>38136001</v>
      </c>
      <c r="DL8" t="s">
        <v>1865</v>
      </c>
      <c r="DQ8" t="s">
        <v>4463</v>
      </c>
      <c r="DS8">
        <v>-2.4245362661989844E-14</v>
      </c>
      <c r="DT8">
        <v>-2.4245362661989844E-14</v>
      </c>
      <c r="DU8" t="s">
        <v>1753</v>
      </c>
      <c r="DV8">
        <v>2022</v>
      </c>
      <c r="DW8" t="s">
        <v>4464</v>
      </c>
      <c r="DX8" s="6">
        <v>44986</v>
      </c>
      <c r="DY8">
        <v>5</v>
      </c>
      <c r="DZ8">
        <v>-2.4245362661989844E-14</v>
      </c>
      <c r="EA8">
        <v>108240</v>
      </c>
      <c r="EB8" t="s">
        <v>4465</v>
      </c>
      <c r="FY8" t="s">
        <v>2152</v>
      </c>
      <c r="GA8">
        <v>-2.4245362661989844E-14</v>
      </c>
      <c r="GB8">
        <v>-2.4245362661989844E-14</v>
      </c>
      <c r="GC8" t="s">
        <v>1768</v>
      </c>
      <c r="GD8">
        <v>2023</v>
      </c>
      <c r="GE8" t="s">
        <v>2153</v>
      </c>
      <c r="GF8" s="6">
        <v>45245</v>
      </c>
      <c r="GG8">
        <v>5</v>
      </c>
      <c r="GH8">
        <v>-2.4245362661989844E-14</v>
      </c>
      <c r="GI8">
        <v>103882</v>
      </c>
      <c r="GJ8" t="s">
        <v>2154</v>
      </c>
      <c r="IG8" t="s">
        <v>3484</v>
      </c>
      <c r="IH8" t="s">
        <v>1752</v>
      </c>
      <c r="II8">
        <v>7.3457999999999996E-2</v>
      </c>
      <c r="IJ8">
        <v>2.2387990000000002</v>
      </c>
      <c r="IK8" t="s">
        <v>1781</v>
      </c>
      <c r="IL8">
        <v>2025</v>
      </c>
      <c r="IM8" t="s">
        <v>3485</v>
      </c>
      <c r="IN8" s="6">
        <v>45804</v>
      </c>
      <c r="IO8">
        <v>5</v>
      </c>
      <c r="IP8">
        <v>942541.48</v>
      </c>
      <c r="IQ8">
        <v>8118223</v>
      </c>
      <c r="IR8" t="s">
        <v>3486</v>
      </c>
      <c r="IU8" t="s">
        <v>2370</v>
      </c>
      <c r="IV8">
        <v>3.4284430000000001</v>
      </c>
      <c r="IW8" t="s">
        <v>1752</v>
      </c>
      <c r="IX8">
        <v>4.5392000000000002E-2</v>
      </c>
      <c r="IY8" t="s">
        <v>1825</v>
      </c>
      <c r="IZ8">
        <v>2025</v>
      </c>
      <c r="JA8" t="s">
        <v>3163</v>
      </c>
      <c r="JB8" s="6">
        <v>46070</v>
      </c>
      <c r="JC8">
        <v>5</v>
      </c>
      <c r="JD8">
        <v>4677630</v>
      </c>
      <c r="JE8">
        <v>101712</v>
      </c>
      <c r="JF8" t="s">
        <v>2371</v>
      </c>
      <c r="JK8" t="s">
        <v>2903</v>
      </c>
      <c r="JM8">
        <v>-2.4245362661989844E-14</v>
      </c>
      <c r="JN8">
        <v>-2.4245362661989844E-14</v>
      </c>
      <c r="JO8" t="s">
        <v>1788</v>
      </c>
      <c r="JP8">
        <v>2025</v>
      </c>
      <c r="JQ8" t="s">
        <v>2904</v>
      </c>
      <c r="JR8" s="6">
        <v>45987</v>
      </c>
      <c r="JS8">
        <v>5</v>
      </c>
      <c r="JT8">
        <v>-2.4245362661989844E-14</v>
      </c>
      <c r="JU8">
        <v>193671</v>
      </c>
      <c r="JV8" t="s">
        <v>2905</v>
      </c>
      <c r="JY8" t="s">
        <v>343</v>
      </c>
      <c r="JZ8">
        <v>-2.4245362661989844E-14</v>
      </c>
      <c r="KB8">
        <v>-2.4245362661989844E-14</v>
      </c>
      <c r="KC8" t="s">
        <v>1781</v>
      </c>
      <c r="KD8">
        <v>2024</v>
      </c>
      <c r="KE8" t="s">
        <v>2826</v>
      </c>
      <c r="KF8" s="6">
        <v>45406</v>
      </c>
      <c r="KG8">
        <v>4</v>
      </c>
      <c r="KH8">
        <v>-2.4245362661989844E-14</v>
      </c>
      <c r="KI8">
        <v>101611</v>
      </c>
      <c r="KJ8" t="s">
        <v>2827</v>
      </c>
      <c r="LS8" t="s">
        <v>2078</v>
      </c>
      <c r="LT8" t="s">
        <v>1752</v>
      </c>
      <c r="LU8">
        <v>2.3401999999999999E-2</v>
      </c>
      <c r="LV8">
        <v>0.13347899999999999</v>
      </c>
      <c r="LW8" t="s">
        <v>1788</v>
      </c>
      <c r="LX8">
        <v>2025</v>
      </c>
      <c r="LY8" t="s">
        <v>2079</v>
      </c>
      <c r="LZ8" s="6">
        <v>45883</v>
      </c>
      <c r="MA8">
        <v>5</v>
      </c>
      <c r="MB8">
        <v>2161766.35</v>
      </c>
      <c r="MC8">
        <v>815253</v>
      </c>
      <c r="MD8" t="s">
        <v>2080</v>
      </c>
      <c r="MG8" t="s">
        <v>2026</v>
      </c>
      <c r="MH8">
        <v>-2.4245362661989844E-14</v>
      </c>
      <c r="MJ8">
        <v>-2.4245362661989844E-14</v>
      </c>
      <c r="MK8" t="s">
        <v>1854</v>
      </c>
      <c r="ML8">
        <v>2025</v>
      </c>
      <c r="MM8" t="s">
        <v>2027</v>
      </c>
      <c r="MN8" s="6">
        <v>45792</v>
      </c>
      <c r="MO8">
        <v>5</v>
      </c>
      <c r="MP8">
        <v>-2.4245362661989844E-14</v>
      </c>
      <c r="MQ8">
        <v>129648</v>
      </c>
      <c r="MR8" t="s">
        <v>2028</v>
      </c>
      <c r="QI8" t="s">
        <v>2617</v>
      </c>
      <c r="QJ8" t="s">
        <v>1752</v>
      </c>
      <c r="QK8">
        <v>7.0221939999999998</v>
      </c>
      <c r="QL8">
        <v>1.3594919999999999</v>
      </c>
      <c r="QM8" t="s">
        <v>1781</v>
      </c>
      <c r="QN8">
        <v>2025</v>
      </c>
      <c r="QO8" t="s">
        <v>2618</v>
      </c>
      <c r="QP8" s="6">
        <v>45861</v>
      </c>
      <c r="QQ8">
        <v>5</v>
      </c>
      <c r="QR8">
        <v>7633386.6799999997</v>
      </c>
      <c r="QS8">
        <v>14336256</v>
      </c>
      <c r="QT8" t="s">
        <v>2619</v>
      </c>
      <c r="QW8" t="s">
        <v>1871</v>
      </c>
      <c r="QX8">
        <v>2.8341319999999999</v>
      </c>
      <c r="QY8" t="s">
        <v>1752</v>
      </c>
      <c r="QZ8">
        <v>7.7954999999999997E-2</v>
      </c>
      <c r="RA8" t="s">
        <v>1788</v>
      </c>
      <c r="RB8">
        <v>2025</v>
      </c>
      <c r="RC8" t="s">
        <v>3586</v>
      </c>
      <c r="RD8" s="6">
        <v>45929</v>
      </c>
      <c r="RE8">
        <v>5</v>
      </c>
      <c r="RF8">
        <v>27349374</v>
      </c>
      <c r="RG8">
        <v>117929</v>
      </c>
      <c r="RH8" t="s">
        <v>1873</v>
      </c>
      <c r="SQ8" t="s">
        <v>385</v>
      </c>
      <c r="SS8">
        <v>-2.4245362661989844E-14</v>
      </c>
      <c r="ST8">
        <v>-2.4245362661989844E-14</v>
      </c>
      <c r="SU8" t="s">
        <v>1781</v>
      </c>
      <c r="SV8">
        <v>2025</v>
      </c>
      <c r="SW8" t="s">
        <v>2882</v>
      </c>
      <c r="SX8" s="6">
        <v>45547</v>
      </c>
      <c r="SY8">
        <v>5</v>
      </c>
      <c r="SZ8">
        <v>-2.4245362661989844E-14</v>
      </c>
      <c r="TA8">
        <v>101752</v>
      </c>
      <c r="TB8" t="s">
        <v>2109</v>
      </c>
      <c r="TE8" t="s">
        <v>2699</v>
      </c>
      <c r="TF8">
        <v>-2.4245362661989844E-14</v>
      </c>
      <c r="TH8">
        <v>-2.4245362661989844E-14</v>
      </c>
      <c r="TI8" t="s">
        <v>1753</v>
      </c>
      <c r="TJ8">
        <v>2024</v>
      </c>
      <c r="TK8" t="s">
        <v>2695</v>
      </c>
      <c r="TL8" s="6">
        <v>45476</v>
      </c>
      <c r="TM8">
        <v>5</v>
      </c>
      <c r="TN8">
        <v>-2.4245362661989844E-14</v>
      </c>
      <c r="TO8">
        <v>51421749</v>
      </c>
      <c r="TP8" t="s">
        <v>2700</v>
      </c>
      <c r="UY8" t="s">
        <v>2062</v>
      </c>
      <c r="VA8">
        <v>-2.4245362661989844E-14</v>
      </c>
      <c r="VB8">
        <v>-2.4245362661989844E-14</v>
      </c>
      <c r="VC8" t="s">
        <v>1753</v>
      </c>
      <c r="VD8">
        <v>2022</v>
      </c>
      <c r="VE8" t="s">
        <v>2063</v>
      </c>
      <c r="VF8" s="6">
        <v>44967</v>
      </c>
      <c r="VG8">
        <v>4</v>
      </c>
      <c r="VH8">
        <v>-2.4245362661989844E-14</v>
      </c>
      <c r="VI8">
        <v>117782</v>
      </c>
      <c r="VJ8" t="s">
        <v>2064</v>
      </c>
      <c r="VM8" t="s">
        <v>2143</v>
      </c>
      <c r="VN8">
        <v>-2.4245362661989844E-14</v>
      </c>
      <c r="VP8">
        <v>-2.4245362661989844E-14</v>
      </c>
      <c r="VQ8" t="s">
        <v>1788</v>
      </c>
      <c r="VR8">
        <v>2024</v>
      </c>
      <c r="VS8" t="s">
        <v>2144</v>
      </c>
      <c r="VT8" s="6">
        <v>45628</v>
      </c>
      <c r="VU8">
        <v>4</v>
      </c>
      <c r="VV8">
        <v>-2.4245362661989844E-14</v>
      </c>
      <c r="VW8">
        <v>30093415</v>
      </c>
      <c r="VX8" t="s">
        <v>2145</v>
      </c>
    </row>
    <row r="9" spans="1:600" x14ac:dyDescent="0.25">
      <c r="BI9" t="s">
        <v>2839</v>
      </c>
      <c r="BK9">
        <v>-2.4245362661989844E-14</v>
      </c>
      <c r="BL9">
        <v>-2.4245362661989844E-14</v>
      </c>
      <c r="BM9" t="s">
        <v>1774</v>
      </c>
      <c r="BN9">
        <v>2024</v>
      </c>
      <c r="BO9" t="s">
        <v>2840</v>
      </c>
      <c r="BP9" s="6">
        <v>45433</v>
      </c>
      <c r="BQ9">
        <v>5</v>
      </c>
      <c r="BR9">
        <v>-2.4245362661989844E-14</v>
      </c>
      <c r="BS9">
        <v>103350</v>
      </c>
      <c r="BT9" t="s">
        <v>2841</v>
      </c>
      <c r="CM9" t="s">
        <v>1954</v>
      </c>
      <c r="CO9">
        <v>-2.4245362661989844E-14</v>
      </c>
      <c r="CP9">
        <v>-2.4245362661989844E-14</v>
      </c>
      <c r="CQ9" t="s">
        <v>1781</v>
      </c>
      <c r="CR9">
        <v>2023</v>
      </c>
      <c r="CS9" t="s">
        <v>2124</v>
      </c>
      <c r="CT9" s="6">
        <v>45049</v>
      </c>
      <c r="CU9">
        <v>5</v>
      </c>
      <c r="CV9">
        <v>-2.4245362661989844E-14</v>
      </c>
      <c r="CW9">
        <v>12129192</v>
      </c>
      <c r="CX9" t="s">
        <v>1956</v>
      </c>
      <c r="DA9" t="s">
        <v>1866</v>
      </c>
      <c r="DB9">
        <v>-2.4245362661989844E-14</v>
      </c>
      <c r="DD9">
        <v>-2.4245362661989844E-14</v>
      </c>
      <c r="DE9" t="s">
        <v>1753</v>
      </c>
      <c r="DF9">
        <v>2024</v>
      </c>
      <c r="DG9" t="s">
        <v>1867</v>
      </c>
      <c r="DH9" s="6">
        <v>45786</v>
      </c>
      <c r="DI9">
        <v>5</v>
      </c>
      <c r="DJ9">
        <v>-2.4245362661989844E-14</v>
      </c>
      <c r="DK9">
        <v>876511</v>
      </c>
      <c r="DL9" t="s">
        <v>1868</v>
      </c>
      <c r="DQ9" t="s">
        <v>2469</v>
      </c>
      <c r="DS9">
        <v>-2.4245362661989844E-14</v>
      </c>
      <c r="DT9">
        <v>-2.4245362661989844E-14</v>
      </c>
      <c r="DU9" t="s">
        <v>1753</v>
      </c>
      <c r="DV9">
        <v>2024</v>
      </c>
      <c r="DW9" t="s">
        <v>4466</v>
      </c>
      <c r="DX9" s="6">
        <v>45699</v>
      </c>
      <c r="DY9">
        <v>5</v>
      </c>
      <c r="DZ9">
        <v>-2.4245362661989844E-14</v>
      </c>
      <c r="EA9">
        <v>101608</v>
      </c>
      <c r="EB9" t="s">
        <v>2471</v>
      </c>
      <c r="FY9" t="s">
        <v>2242</v>
      </c>
      <c r="GA9">
        <v>-2.4245362661989844E-14</v>
      </c>
      <c r="GB9">
        <v>-2.4245362661989844E-14</v>
      </c>
      <c r="GC9" t="s">
        <v>1788</v>
      </c>
      <c r="GD9">
        <v>2023</v>
      </c>
      <c r="GE9" t="s">
        <v>3638</v>
      </c>
      <c r="GF9" s="6">
        <v>45231</v>
      </c>
      <c r="GG9">
        <v>5</v>
      </c>
      <c r="GH9">
        <v>-2.4245362661989844E-14</v>
      </c>
      <c r="GI9">
        <v>69762655</v>
      </c>
      <c r="GJ9" t="s">
        <v>2244</v>
      </c>
      <c r="IG9" t="s">
        <v>2614</v>
      </c>
      <c r="IH9" t="s">
        <v>1752</v>
      </c>
      <c r="II9">
        <v>1.9408999999999999E-2</v>
      </c>
      <c r="IJ9">
        <v>2.0761259999999999</v>
      </c>
      <c r="IK9" t="s">
        <v>1781</v>
      </c>
      <c r="IL9">
        <v>2025</v>
      </c>
      <c r="IM9" t="s">
        <v>2615</v>
      </c>
      <c r="IN9" s="6">
        <v>45819</v>
      </c>
      <c r="IO9">
        <v>5</v>
      </c>
      <c r="IP9">
        <v>874148.57</v>
      </c>
      <c r="IQ9">
        <v>58244711</v>
      </c>
      <c r="IR9" t="s">
        <v>2616</v>
      </c>
      <c r="IU9" t="s">
        <v>3166</v>
      </c>
      <c r="IV9">
        <v>3.2717960000000001</v>
      </c>
      <c r="IW9" t="s">
        <v>1752</v>
      </c>
      <c r="IX9">
        <v>5.6950000000000001E-2</v>
      </c>
      <c r="IY9" t="s">
        <v>1825</v>
      </c>
      <c r="IZ9">
        <v>2025</v>
      </c>
      <c r="JA9" t="s">
        <v>3163</v>
      </c>
      <c r="JB9" s="6">
        <v>46070</v>
      </c>
      <c r="JC9">
        <v>5</v>
      </c>
      <c r="JD9">
        <v>4463908</v>
      </c>
      <c r="JE9">
        <v>9568853</v>
      </c>
      <c r="JF9" t="s">
        <v>3167</v>
      </c>
      <c r="JK9" t="s">
        <v>2906</v>
      </c>
      <c r="JM9">
        <v>-2.4245362661989844E-14</v>
      </c>
      <c r="JN9">
        <v>-2.4245362661989844E-14</v>
      </c>
      <c r="JO9" t="s">
        <v>1774</v>
      </c>
      <c r="JP9">
        <v>2023</v>
      </c>
      <c r="JQ9" t="s">
        <v>2907</v>
      </c>
      <c r="JR9" s="6">
        <v>45146</v>
      </c>
      <c r="JS9">
        <v>5</v>
      </c>
      <c r="JT9">
        <v>-2.4245362661989844E-14</v>
      </c>
      <c r="JU9">
        <v>107156</v>
      </c>
      <c r="JV9" t="s">
        <v>2908</v>
      </c>
      <c r="LS9" t="s">
        <v>2081</v>
      </c>
      <c r="LT9" t="s">
        <v>1940</v>
      </c>
      <c r="LU9">
        <v>1.5393250000000001</v>
      </c>
      <c r="LV9">
        <v>0.45261099999999999</v>
      </c>
      <c r="LW9" t="s">
        <v>1753</v>
      </c>
      <c r="LX9">
        <v>2024</v>
      </c>
      <c r="LY9" t="s">
        <v>2082</v>
      </c>
      <c r="LZ9" s="6">
        <v>45699</v>
      </c>
      <c r="MA9">
        <v>5</v>
      </c>
      <c r="MB9">
        <v>462228.5</v>
      </c>
      <c r="MC9">
        <v>1749265</v>
      </c>
      <c r="MD9" t="s">
        <v>2083</v>
      </c>
      <c r="MG9" t="s">
        <v>2029</v>
      </c>
      <c r="MH9">
        <v>-2.4245362661989844E-14</v>
      </c>
      <c r="MJ9">
        <v>-2.4245362661989844E-14</v>
      </c>
      <c r="MK9" t="s">
        <v>1768</v>
      </c>
      <c r="ML9">
        <v>2025</v>
      </c>
      <c r="MM9" t="s">
        <v>2030</v>
      </c>
      <c r="MN9" s="6">
        <v>45973</v>
      </c>
      <c r="MO9">
        <v>5</v>
      </c>
      <c r="MP9">
        <v>-2.4245362661989844E-14</v>
      </c>
      <c r="MQ9">
        <v>117359</v>
      </c>
      <c r="MR9" t="s">
        <v>2031</v>
      </c>
      <c r="QI9" t="s">
        <v>2620</v>
      </c>
      <c r="QJ9" t="s">
        <v>1752</v>
      </c>
      <c r="QK9">
        <v>19</v>
      </c>
      <c r="QL9">
        <v>1.1303380000000001</v>
      </c>
      <c r="QM9" t="s">
        <v>1774</v>
      </c>
      <c r="QN9">
        <v>2025</v>
      </c>
      <c r="QO9" t="s">
        <v>2621</v>
      </c>
      <c r="QP9" s="6">
        <v>46014</v>
      </c>
      <c r="QQ9">
        <v>5</v>
      </c>
      <c r="QR9">
        <v>7307322.5599999996</v>
      </c>
      <c r="QS9">
        <v>815557</v>
      </c>
      <c r="QT9" t="s">
        <v>2622</v>
      </c>
      <c r="QW9" t="s">
        <v>3587</v>
      </c>
      <c r="QX9">
        <v>2.7930549999999998</v>
      </c>
      <c r="QY9" t="s">
        <v>1752</v>
      </c>
      <c r="QZ9">
        <v>0.120945</v>
      </c>
      <c r="RA9" t="s">
        <v>1825</v>
      </c>
      <c r="RB9">
        <v>2024</v>
      </c>
      <c r="RC9" t="s">
        <v>3588</v>
      </c>
      <c r="RD9" s="6">
        <v>45846</v>
      </c>
      <c r="RE9">
        <v>5</v>
      </c>
      <c r="RF9">
        <v>26899643.640000001</v>
      </c>
      <c r="RG9">
        <v>23463881</v>
      </c>
      <c r="RH9" t="s">
        <v>3589</v>
      </c>
      <c r="SQ9" t="s">
        <v>2883</v>
      </c>
      <c r="SS9">
        <v>-2.4245362661989844E-14</v>
      </c>
      <c r="ST9">
        <v>-2.4245362661989844E-14</v>
      </c>
      <c r="SU9" t="s">
        <v>1753</v>
      </c>
      <c r="SV9">
        <v>2023</v>
      </c>
      <c r="SW9" t="s">
        <v>2884</v>
      </c>
      <c r="SX9" s="6">
        <v>45104</v>
      </c>
      <c r="SY9">
        <v>5</v>
      </c>
      <c r="SZ9">
        <v>-2.4245362661989844E-14</v>
      </c>
      <c r="TA9">
        <v>9452204</v>
      </c>
      <c r="TB9" t="s">
        <v>2885</v>
      </c>
      <c r="TE9" t="s">
        <v>2701</v>
      </c>
      <c r="TF9">
        <v>-2.4245362661989844E-14</v>
      </c>
      <c r="TH9">
        <v>-2.4245362661989844E-14</v>
      </c>
      <c r="TI9" t="s">
        <v>1753</v>
      </c>
      <c r="TJ9">
        <v>2025</v>
      </c>
      <c r="TK9" t="s">
        <v>2695</v>
      </c>
      <c r="TL9" s="6">
        <v>45700</v>
      </c>
      <c r="TM9">
        <v>5</v>
      </c>
      <c r="TN9">
        <v>-2.4245362661989844E-14</v>
      </c>
      <c r="TO9">
        <v>71120322</v>
      </c>
      <c r="TP9" t="s">
        <v>2702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1621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1622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1623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1624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1625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1626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1627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1628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1629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1630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1631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1632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1633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1634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1635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1636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1637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1638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1639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528</v>
      </c>
      <c r="AE2" s="3" t="s">
        <v>700</v>
      </c>
      <c r="BI2" s="3" t="s">
        <v>1257</v>
      </c>
      <c r="CM2" s="3" t="s">
        <v>1640</v>
      </c>
      <c r="DQ2" s="3" t="s">
        <v>1641</v>
      </c>
      <c r="EU2" s="3" t="s">
        <v>1187</v>
      </c>
      <c r="FY2" s="3" t="s">
        <v>1642</v>
      </c>
      <c r="HC2" s="3" t="s">
        <v>1643</v>
      </c>
      <c r="IG2" s="3" t="s">
        <v>1644</v>
      </c>
      <c r="JK2" s="3" t="s">
        <v>227</v>
      </c>
      <c r="KO2" s="3" t="s">
        <v>1645</v>
      </c>
      <c r="LS2" s="3" t="s">
        <v>1646</v>
      </c>
      <c r="MW2" s="3" t="s">
        <v>1225</v>
      </c>
      <c r="OA2" s="3" t="s">
        <v>1647</v>
      </c>
      <c r="PE2" s="3" t="s">
        <v>1648</v>
      </c>
      <c r="QI2" s="3" t="s">
        <v>824</v>
      </c>
      <c r="RM2" s="3" t="s">
        <v>1649</v>
      </c>
      <c r="SQ2" s="3" t="s">
        <v>1650</v>
      </c>
      <c r="TU2" s="3" t="s">
        <v>1651</v>
      </c>
      <c r="UY2" s="3" t="s">
        <v>156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_xll.BDS("CG US Equity","SUPPLY_CHAIN_SUPPLIERS_ALL_DATA","cols=12;rows=5")</f>
        <v>SLG US Equity</v>
      </c>
      <c r="B5" t="s">
        <v>1940</v>
      </c>
      <c r="C5">
        <v>2.3414929999999998</v>
      </c>
      <c r="D5">
        <v>0.61569499999999999</v>
      </c>
      <c r="E5" t="s">
        <v>1753</v>
      </c>
      <c r="F5">
        <v>2024</v>
      </c>
      <c r="G5" t="s">
        <v>4467</v>
      </c>
      <c r="H5" s="6">
        <v>45706</v>
      </c>
      <c r="I5">
        <v>5</v>
      </c>
      <c r="J5">
        <v>5187999</v>
      </c>
      <c r="K5">
        <v>231753</v>
      </c>
      <c r="L5" t="s">
        <v>4468</v>
      </c>
      <c r="O5" t="str">
        <f>_xll.BDS("CG US Equity","SUPPLY_CHAIN_CUSTOMERS_ALL_DATA","cols=12;rows=5")</f>
        <v>POOL US Equity</v>
      </c>
      <c r="P5">
        <v>8.2254889999999996</v>
      </c>
      <c r="Q5" t="s">
        <v>1752</v>
      </c>
      <c r="R5">
        <v>12</v>
      </c>
      <c r="S5" t="s">
        <v>1753</v>
      </c>
      <c r="T5">
        <v>2024</v>
      </c>
      <c r="U5" t="s">
        <v>4375</v>
      </c>
      <c r="V5" s="6">
        <v>45715</v>
      </c>
      <c r="W5">
        <v>5</v>
      </c>
      <c r="X5">
        <v>112068176</v>
      </c>
      <c r="Y5">
        <v>171077</v>
      </c>
      <c r="Z5" t="s">
        <v>4376</v>
      </c>
      <c r="AE5" t="str">
        <f>_xll.BDS("SNPS US Equity","SUPPLY_CHAIN_SUPPLIERS_ALL_DATA","cols=12;rows=5")</f>
        <v>000660 KS Equity</v>
      </c>
      <c r="AF5" t="s">
        <v>1752</v>
      </c>
      <c r="AG5">
        <v>6.9986999999999994E-2</v>
      </c>
      <c r="AH5">
        <v>3.195624</v>
      </c>
      <c r="AI5" t="s">
        <v>1825</v>
      </c>
      <c r="AJ5">
        <v>2024</v>
      </c>
      <c r="AK5" t="s">
        <v>2487</v>
      </c>
      <c r="AL5" s="6">
        <v>45805</v>
      </c>
      <c r="AM5">
        <v>5</v>
      </c>
      <c r="AN5">
        <v>8835872.8200000003</v>
      </c>
      <c r="AO5">
        <v>193974</v>
      </c>
      <c r="AP5" t="s">
        <v>2270</v>
      </c>
      <c r="AS5" t="str">
        <f>_xll.BDS("SNPS US Equity","SUPPLY_CHAIN_CUSTOMERS_ALL_DATA","cols=12;rows=5")</f>
        <v>2454 TT Equity</v>
      </c>
      <c r="AT5">
        <v>3.6540590000000002</v>
      </c>
      <c r="AU5" t="s">
        <v>1752</v>
      </c>
      <c r="AV5">
        <v>2.4199099999999998</v>
      </c>
      <c r="AW5" t="s">
        <v>1781</v>
      </c>
      <c r="AX5">
        <v>2025</v>
      </c>
      <c r="AY5" t="s">
        <v>2457</v>
      </c>
      <c r="AZ5" s="6">
        <v>45866</v>
      </c>
      <c r="BA5">
        <v>5</v>
      </c>
      <c r="BB5">
        <v>58486037.799999997</v>
      </c>
      <c r="BC5">
        <v>7359591</v>
      </c>
      <c r="BD5" t="s">
        <v>2458</v>
      </c>
      <c r="BI5" t="str">
        <f>_xll.BDS("1718309D US Equity","SUPPLY_CHAIN_SUPPLIERS_ALL_DATA")</f>
        <v>#N/A N/A</v>
      </c>
      <c r="BW5" t="str">
        <f>_xll.BDS("1718309D US Equity","SUPPLY_CHAIN_CUSTOMERS_ALL_DATA")</f>
        <v>#N/A N/A</v>
      </c>
      <c r="CM5" t="str">
        <f>_xll.BDS("2537769D US Equity","SUPPLY_CHAIN_SUPPLIERS_ALL_DATA")</f>
        <v>#N/A N/A</v>
      </c>
      <c r="DA5" t="str">
        <f>_xll.BDS("2537769D US Equity","SUPPLY_CHAIN_CUSTOMERS_ALL_DATA")</f>
        <v>#N/A N/A</v>
      </c>
      <c r="DQ5" t="str">
        <f>_xll.BDS("F US Equity","SUPPLY_CHAIN_SUPPLIERS_ALL_DATA","cols=12;rows=5")</f>
        <v>FROTO TI Equity</v>
      </c>
      <c r="DR5" t="s">
        <v>1752</v>
      </c>
      <c r="DS5">
        <v>74.58699</v>
      </c>
      <c r="DT5">
        <v>7.719411</v>
      </c>
      <c r="DU5" t="s">
        <v>1753</v>
      </c>
      <c r="DV5">
        <v>2024</v>
      </c>
      <c r="DW5" t="s">
        <v>3559</v>
      </c>
      <c r="DX5" s="6">
        <v>45854</v>
      </c>
      <c r="DY5">
        <v>5</v>
      </c>
      <c r="DZ5">
        <v>3381363955.5100002</v>
      </c>
      <c r="EA5">
        <v>154566</v>
      </c>
      <c r="EB5" t="s">
        <v>3560</v>
      </c>
      <c r="EE5" t="str">
        <f>_xll.BDS("F US Equity","SUPPLY_CHAIN_CUSTOMERS_ALL_DATA","cols=12;rows=5")</f>
        <v>LAD US Equity</v>
      </c>
      <c r="EF5">
        <v>0.97594800000000004</v>
      </c>
      <c r="EG5" t="s">
        <v>1752</v>
      </c>
      <c r="EH5">
        <v>5.497776</v>
      </c>
      <c r="EI5" t="s">
        <v>1788</v>
      </c>
      <c r="EJ5">
        <v>2025</v>
      </c>
      <c r="EK5" t="s">
        <v>3316</v>
      </c>
      <c r="EL5" s="6">
        <v>45979</v>
      </c>
      <c r="EM5">
        <v>5</v>
      </c>
      <c r="EN5">
        <v>451356416</v>
      </c>
      <c r="EO5">
        <v>194917</v>
      </c>
      <c r="EP5" t="s">
        <v>3317</v>
      </c>
      <c r="EU5" t="str">
        <f>_xll.BDS("ITXG US Equity","SUPPLY_CHAIN_SUPPLIERS_ALL_DATA")</f>
        <v>#N/A N/A</v>
      </c>
      <c r="FI5" t="str">
        <f>_xll.BDS("ITXG US Equity","SUPPLY_CHAIN_CUSTOMERS_ALL_DATA")</f>
        <v>#N/A N/A</v>
      </c>
      <c r="FY5" t="str">
        <f>_xll.BDS("MBWM US Equity","SUPPLY_CHAIN_SUPPLIERS_ALL_DATA")</f>
        <v>#N/A N/A</v>
      </c>
      <c r="GM5" t="str">
        <f>_xll.BDS("MBWM US Equity","SUPPLY_CHAIN_CUSTOMERS_ALL_DATA")</f>
        <v>#N/A N/A</v>
      </c>
      <c r="HC5" t="str">
        <f>_xll.BDS("BOOT IN Equity","SUPPLY_CHAIN_SUPPLIERS_ALL_DATA","cols=12;rows=5")</f>
        <v>ABT US Equity</v>
      </c>
      <c r="HD5" t="s">
        <v>1752</v>
      </c>
      <c r="HE5">
        <v>0.16034200000000001</v>
      </c>
      <c r="HF5">
        <v>12.286398</v>
      </c>
      <c r="HG5" t="s">
        <v>1753</v>
      </c>
      <c r="HH5">
        <v>2025</v>
      </c>
      <c r="HI5" t="s">
        <v>1754</v>
      </c>
      <c r="HJ5" s="6">
        <v>45856</v>
      </c>
      <c r="HK5">
        <v>5</v>
      </c>
      <c r="HL5">
        <v>17393065.039999999</v>
      </c>
      <c r="HM5">
        <v>100002</v>
      </c>
      <c r="HN5" t="s">
        <v>1755</v>
      </c>
      <c r="HQ5" t="str">
        <f>_xll.BDS("BOOT IN Equity","SUPPLY_CHAIN_CUSTOMERS_ALL_DATA","cols=12;rows=1")</f>
        <v>ABT US Equity</v>
      </c>
      <c r="HR5">
        <v>2.1870289999999999</v>
      </c>
      <c r="HS5" t="s">
        <v>1752</v>
      </c>
      <c r="HT5">
        <v>8.6888999999999994E-2</v>
      </c>
      <c r="HU5" t="s">
        <v>1753</v>
      </c>
      <c r="HV5">
        <v>2025</v>
      </c>
      <c r="HW5" t="s">
        <v>1754</v>
      </c>
      <c r="HX5" s="6">
        <v>45856</v>
      </c>
      <c r="HY5">
        <v>1</v>
      </c>
      <c r="HZ5">
        <v>4145740.24</v>
      </c>
      <c r="IA5">
        <v>100002</v>
      </c>
      <c r="IB5" t="s">
        <v>1755</v>
      </c>
      <c r="IG5" t="str">
        <f>_xll.BDS("PRGO US Equity","SUPPLY_CHAIN_SUPPLIERS_ALL_DATA","cols=12;rows=5")</f>
        <v>000756 CH Equity</v>
      </c>
      <c r="IH5" t="s">
        <v>1752</v>
      </c>
      <c r="II5">
        <v>4.4400000000000004</v>
      </c>
      <c r="IJ5">
        <v>1.845836</v>
      </c>
      <c r="IK5" t="s">
        <v>1753</v>
      </c>
      <c r="IL5">
        <v>2024</v>
      </c>
      <c r="IM5" t="s">
        <v>4421</v>
      </c>
      <c r="IN5" s="6">
        <v>45746</v>
      </c>
      <c r="IO5">
        <v>5</v>
      </c>
      <c r="IP5">
        <v>13063510.1</v>
      </c>
      <c r="IQ5">
        <v>209000</v>
      </c>
      <c r="IR5" t="s">
        <v>4422</v>
      </c>
      <c r="IU5" t="str">
        <f>_xll.BDS("PRGO US Equity","SUPPLY_CHAIN_CUSTOMERS_ALL_DATA","cols=12;rows=5")</f>
        <v>WMT US Equity</v>
      </c>
      <c r="IV5">
        <v>12.9</v>
      </c>
      <c r="IW5" t="s">
        <v>1752</v>
      </c>
      <c r="IX5">
        <v>0.102476</v>
      </c>
      <c r="IY5" t="s">
        <v>1753</v>
      </c>
      <c r="IZ5">
        <v>2025</v>
      </c>
      <c r="JA5" t="s">
        <v>4337</v>
      </c>
      <c r="JB5" s="6">
        <v>46079</v>
      </c>
      <c r="JC5">
        <v>5</v>
      </c>
      <c r="JD5">
        <v>137162480</v>
      </c>
      <c r="JE5">
        <v>101616</v>
      </c>
      <c r="JF5" t="s">
        <v>2752</v>
      </c>
      <c r="JK5" t="str">
        <f>_xll.BDS("SUG US Equity","SUPPLY_CHAIN_SUPPLIERS_ALL_DATA")</f>
        <v>#N/A N/A</v>
      </c>
      <c r="JY5" t="str">
        <f>_xll.BDS("SUG US Equity","SUPPLY_CHAIN_CUSTOMERS_ALL_DATA")</f>
        <v>#N/A N/A</v>
      </c>
      <c r="KO5" t="str">
        <f>_xll.BDS("PFIS US Equity","SUPPLY_CHAIN_SUPPLIERS_ALL_DATA")</f>
        <v>#N/A N/A</v>
      </c>
      <c r="LC5" t="str">
        <f>_xll.BDS("PFIS US Equity","SUPPLY_CHAIN_CUSTOMERS_ALL_DATA")</f>
        <v>#N/A N/A</v>
      </c>
      <c r="LS5" t="str">
        <f>_xll.BDS("WYPT US Equity","SUPPLY_CHAIN_SUPPLIERS_ALL_DATA")</f>
        <v>#N/A N/A</v>
      </c>
      <c r="MG5" t="str">
        <f>_xll.BDS("WYPT US Equity","SUPPLY_CHAIN_CUSTOMERS_ALL_DATA")</f>
        <v>#N/A N/A</v>
      </c>
      <c r="MW5" t="str">
        <f>_xll.BDS("TTN US Equity","SUPPLY_CHAIN_SUPPLIERS_ALL_DATA")</f>
        <v>#N/A N/A</v>
      </c>
      <c r="NK5" t="str">
        <f>_xll.BDS("TTN US Equity","SUPPLY_CHAIN_CUSTOMERS_ALL_DATA")</f>
        <v>#N/A N/A</v>
      </c>
      <c r="OA5" t="str">
        <f>_xll.BDS("2724037Q US Equity","SUPPLY_CHAIN_SUPPLIERS_ALL_DATA")</f>
        <v>#N/A N/A</v>
      </c>
      <c r="OO5" t="str">
        <f>_xll.BDS("2724037Q US Equity","SUPPLY_CHAIN_CUSTOMERS_ALL_DATA")</f>
        <v>#N/A N/A</v>
      </c>
      <c r="PE5" t="str">
        <f>_xll.BDS("BRBS US Equity","SUPPLY_CHAIN_SUPPLIERS_ALL_DATA")</f>
        <v>#N/A N/A</v>
      </c>
      <c r="PS5" t="str">
        <f>_xll.BDS("BRBS US Equity","SUPPLY_CHAIN_CUSTOMERS_ALL_DATA")</f>
        <v>#N/A N/A</v>
      </c>
      <c r="QI5" t="str">
        <f>_xll.BDS("CAR US Equity","SUPPLY_CHAIN_SUPPLIERS_ALL_DATA","cols=12;rows=5")</f>
        <v>VRRM US Equity</v>
      </c>
      <c r="QJ5" t="s">
        <v>1752</v>
      </c>
      <c r="QK5">
        <v>13.5</v>
      </c>
      <c r="QL5">
        <v>1.973611</v>
      </c>
      <c r="QM5" t="s">
        <v>1753</v>
      </c>
      <c r="QN5">
        <v>2024</v>
      </c>
      <c r="QO5" t="s">
        <v>2101</v>
      </c>
      <c r="QP5" s="6">
        <v>45715</v>
      </c>
      <c r="QQ5">
        <v>5</v>
      </c>
      <c r="QR5">
        <v>29673236</v>
      </c>
      <c r="QS5">
        <v>51985055</v>
      </c>
      <c r="QT5" t="s">
        <v>2102</v>
      </c>
      <c r="QW5" t="str">
        <f>_xll.BDS("CAR US Equity","SUPPLY_CHAIN_CUSTOMERS_ALL_DATA","cols=12;rows=5")</f>
        <v>EIH IN Equity</v>
      </c>
      <c r="QX5">
        <v>1.306E-2</v>
      </c>
      <c r="QY5" t="s">
        <v>1752</v>
      </c>
      <c r="QZ5">
        <v>0.69246200000000002</v>
      </c>
      <c r="RA5" t="s">
        <v>1753</v>
      </c>
      <c r="RB5">
        <v>2025</v>
      </c>
      <c r="RC5" t="s">
        <v>1758</v>
      </c>
      <c r="RD5" s="6">
        <v>45850</v>
      </c>
      <c r="RE5">
        <v>5</v>
      </c>
      <c r="RF5">
        <v>381034.1</v>
      </c>
      <c r="RG5">
        <v>162657</v>
      </c>
      <c r="RH5" t="s">
        <v>1759</v>
      </c>
      <c r="RM5" t="str">
        <f>_xll.BDS("CECO US Equity","SUPPLY_CHAIN_SUPPLIERS_ALL_DATA","cols=12;rows=5")</f>
        <v>3101 JP Equity</v>
      </c>
      <c r="RN5" t="s">
        <v>1752</v>
      </c>
      <c r="RO5">
        <v>8.9016999999999999E-2</v>
      </c>
      <c r="RP5">
        <v>0.46294600000000002</v>
      </c>
      <c r="RQ5" t="s">
        <v>1781</v>
      </c>
      <c r="RR5">
        <v>2026</v>
      </c>
      <c r="RS5" t="s">
        <v>2387</v>
      </c>
      <c r="RT5" s="6">
        <v>46052</v>
      </c>
      <c r="RU5">
        <v>5</v>
      </c>
      <c r="RV5">
        <v>628088.92000000004</v>
      </c>
      <c r="RW5">
        <v>115109</v>
      </c>
      <c r="RX5" t="s">
        <v>2388</v>
      </c>
      <c r="SA5" t="str">
        <f>_xll.BDS("CECO US Equity","SUPPLY_CHAIN_CUSTOMERS_ALL_DATA","cols=12;rows=5")</f>
        <v>CAT US Equity</v>
      </c>
      <c r="SB5">
        <v>0.44514100000000001</v>
      </c>
      <c r="SC5" t="s">
        <v>1752</v>
      </c>
      <c r="SD5">
        <v>7.4060000000000003E-3</v>
      </c>
      <c r="SE5" t="s">
        <v>1774</v>
      </c>
      <c r="SF5">
        <v>2025</v>
      </c>
      <c r="SG5" t="s">
        <v>1970</v>
      </c>
      <c r="SH5" s="6">
        <v>45876</v>
      </c>
      <c r="SI5">
        <v>5</v>
      </c>
      <c r="SJ5">
        <v>825251</v>
      </c>
      <c r="SK5">
        <v>100285</v>
      </c>
      <c r="SL5" t="s">
        <v>1971</v>
      </c>
      <c r="SQ5" t="str">
        <f>_xll.BDS("RLJE US Equity","SUPPLY_CHAIN_SUPPLIERS_ALL_DATA")</f>
        <v>#N/A N/A</v>
      </c>
      <c r="TE5" t="str">
        <f>_xll.BDS("RLJE US Equity","SUPPLY_CHAIN_CUSTOMERS_ALL_DATA")</f>
        <v>#N/A N/A</v>
      </c>
      <c r="TU5" t="str">
        <f>_xll.BDS("RPR US Equity","SUPPLY_CHAIN_SUPPLIERS_ALL_DATA")</f>
        <v>#N/A N/A</v>
      </c>
      <c r="UI5" t="str">
        <f>_xll.BDS("RPR US Equity","SUPPLY_CHAIN_CUSTOMERS_ALL_DATA")</f>
        <v>#N/A N/A</v>
      </c>
      <c r="UY5" t="str">
        <f>_xll.BDS("2674129Q US Equity","SUPPLY_CHAIN_SUPPLIERS_ALL_DATA")</f>
        <v>#N/A N/A</v>
      </c>
      <c r="VM5" t="str">
        <f>_xll.BDS("2674129Q US Equity","SUPPLY_CHAIN_CUSTOMERS_ALL_DATA")</f>
        <v>#N/A N/A</v>
      </c>
    </row>
    <row r="6" spans="1:600" x14ac:dyDescent="0.25">
      <c r="A6" t="s">
        <v>2205</v>
      </c>
      <c r="B6" t="s">
        <v>1940</v>
      </c>
      <c r="C6">
        <v>0.89158300000000001</v>
      </c>
      <c r="D6">
        <v>0.19925799999999999</v>
      </c>
      <c r="E6" t="s">
        <v>1753</v>
      </c>
      <c r="F6">
        <v>2024</v>
      </c>
      <c r="G6" t="s">
        <v>2206</v>
      </c>
      <c r="H6" s="6">
        <v>45694</v>
      </c>
      <c r="I6">
        <v>5</v>
      </c>
      <c r="J6">
        <v>1679000.25</v>
      </c>
      <c r="K6">
        <v>106543</v>
      </c>
      <c r="L6" t="s">
        <v>2207</v>
      </c>
      <c r="O6" t="s">
        <v>4377</v>
      </c>
      <c r="P6">
        <v>0.112706</v>
      </c>
      <c r="Q6" t="s">
        <v>1752</v>
      </c>
      <c r="R6">
        <v>3.4763000000000002E-2</v>
      </c>
      <c r="S6" t="s">
        <v>1781</v>
      </c>
      <c r="T6">
        <v>2025</v>
      </c>
      <c r="U6" t="s">
        <v>4378</v>
      </c>
      <c r="V6" s="6">
        <v>45852</v>
      </c>
      <c r="W6">
        <v>5</v>
      </c>
      <c r="X6">
        <v>1103394.56</v>
      </c>
      <c r="Y6">
        <v>14866501</v>
      </c>
      <c r="Z6" t="s">
        <v>4379</v>
      </c>
      <c r="AE6" t="s">
        <v>2488</v>
      </c>
      <c r="AF6" t="s">
        <v>1940</v>
      </c>
      <c r="AG6">
        <v>1.3923300000000001</v>
      </c>
      <c r="AH6">
        <v>0.75693999999999995</v>
      </c>
      <c r="AI6" t="s">
        <v>1753</v>
      </c>
      <c r="AJ6">
        <v>2025</v>
      </c>
      <c r="AK6" t="s">
        <v>2489</v>
      </c>
      <c r="AL6" s="6">
        <v>46064</v>
      </c>
      <c r="AM6">
        <v>5</v>
      </c>
      <c r="AN6">
        <v>3873000</v>
      </c>
      <c r="AO6">
        <v>202222</v>
      </c>
      <c r="AP6" t="s">
        <v>2490</v>
      </c>
      <c r="AS6" t="s">
        <v>1969</v>
      </c>
      <c r="AT6">
        <v>0.13498599999999999</v>
      </c>
      <c r="AU6" t="s">
        <v>1752</v>
      </c>
      <c r="AV6">
        <v>1.9434E-2</v>
      </c>
      <c r="AW6" t="s">
        <v>1774</v>
      </c>
      <c r="AX6">
        <v>2025</v>
      </c>
      <c r="AY6" t="s">
        <v>1970</v>
      </c>
      <c r="AZ6" s="6">
        <v>45876</v>
      </c>
      <c r="BA6">
        <v>5</v>
      </c>
      <c r="BB6">
        <v>2165531</v>
      </c>
      <c r="BC6">
        <v>100285</v>
      </c>
      <c r="BD6" t="s">
        <v>1971</v>
      </c>
      <c r="DQ6" t="s">
        <v>3561</v>
      </c>
      <c r="DR6" t="s">
        <v>1752</v>
      </c>
      <c r="DS6">
        <v>11.806713</v>
      </c>
      <c r="DT6">
        <v>2.6726009999999998</v>
      </c>
      <c r="DU6" t="s">
        <v>1753</v>
      </c>
      <c r="DV6">
        <v>2025</v>
      </c>
      <c r="DW6" t="s">
        <v>3562</v>
      </c>
      <c r="DX6" s="6">
        <v>46079</v>
      </c>
      <c r="DY6">
        <v>5</v>
      </c>
      <c r="DZ6">
        <v>1240000000</v>
      </c>
      <c r="EA6">
        <v>109806</v>
      </c>
      <c r="EB6" t="s">
        <v>3563</v>
      </c>
      <c r="EE6" t="s">
        <v>1383</v>
      </c>
      <c r="EF6">
        <v>0.96360000000000001</v>
      </c>
      <c r="EG6" t="s">
        <v>1752</v>
      </c>
      <c r="EH6">
        <v>7.894552</v>
      </c>
      <c r="EI6" t="s">
        <v>1825</v>
      </c>
      <c r="EJ6">
        <v>2025</v>
      </c>
      <c r="EK6" t="s">
        <v>3318</v>
      </c>
      <c r="EL6" s="6">
        <v>46070</v>
      </c>
      <c r="EM6">
        <v>5</v>
      </c>
      <c r="EN6">
        <v>451126272</v>
      </c>
      <c r="EO6">
        <v>106633</v>
      </c>
      <c r="EP6" t="s">
        <v>3319</v>
      </c>
      <c r="HC6" t="s">
        <v>2041</v>
      </c>
      <c r="HE6">
        <v>-2.4245362661989844E-14</v>
      </c>
      <c r="HF6">
        <v>-2.4245362661989844E-14</v>
      </c>
      <c r="HG6" t="s">
        <v>1753</v>
      </c>
      <c r="HH6">
        <v>2025</v>
      </c>
      <c r="HI6" t="s">
        <v>2042</v>
      </c>
      <c r="HJ6" s="6">
        <v>45894</v>
      </c>
      <c r="HK6">
        <v>5</v>
      </c>
      <c r="HL6">
        <v>-2.4245362661989844E-14</v>
      </c>
      <c r="HM6">
        <v>178668</v>
      </c>
      <c r="HN6" t="s">
        <v>2043</v>
      </c>
      <c r="IG6" t="s">
        <v>4423</v>
      </c>
      <c r="IH6" t="s">
        <v>1752</v>
      </c>
      <c r="II6">
        <v>0.16044700000000001</v>
      </c>
      <c r="IJ6">
        <v>0.35369600000000001</v>
      </c>
      <c r="IK6" t="s">
        <v>1825</v>
      </c>
      <c r="IL6">
        <v>2025</v>
      </c>
      <c r="IM6" t="s">
        <v>4424</v>
      </c>
      <c r="IN6" s="6">
        <v>46077</v>
      </c>
      <c r="IO6">
        <v>5</v>
      </c>
      <c r="IP6">
        <v>2356325</v>
      </c>
      <c r="IQ6">
        <v>159323</v>
      </c>
      <c r="IR6" t="s">
        <v>4425</v>
      </c>
      <c r="IU6" t="s">
        <v>4338</v>
      </c>
      <c r="IV6">
        <v>5.8624260000000001</v>
      </c>
      <c r="IW6" t="s">
        <v>1752</v>
      </c>
      <c r="IX6">
        <v>1.777593</v>
      </c>
      <c r="IY6" t="s">
        <v>1788</v>
      </c>
      <c r="IZ6">
        <v>2025</v>
      </c>
      <c r="JA6" t="s">
        <v>4339</v>
      </c>
      <c r="JB6" s="6">
        <v>46052</v>
      </c>
      <c r="JC6">
        <v>5</v>
      </c>
      <c r="JD6">
        <v>61162688</v>
      </c>
      <c r="JE6">
        <v>44569911</v>
      </c>
      <c r="JF6" t="s">
        <v>4340</v>
      </c>
      <c r="QI6" t="s">
        <v>2103</v>
      </c>
      <c r="QJ6" t="s">
        <v>1752</v>
      </c>
      <c r="QK6">
        <v>0.38619700000000001</v>
      </c>
      <c r="QL6">
        <v>0.47442000000000001</v>
      </c>
      <c r="QM6" t="s">
        <v>1774</v>
      </c>
      <c r="QN6">
        <v>2025</v>
      </c>
      <c r="QO6" t="s">
        <v>2104</v>
      </c>
      <c r="QP6" s="6">
        <v>45952</v>
      </c>
      <c r="QQ6">
        <v>5</v>
      </c>
      <c r="QR6">
        <v>7236754.0099999998</v>
      </c>
      <c r="QS6">
        <v>27639867</v>
      </c>
      <c r="QT6" t="s">
        <v>2105</v>
      </c>
      <c r="QW6" t="s">
        <v>1760</v>
      </c>
      <c r="QX6">
        <v>-2.4245362661989844E-14</v>
      </c>
      <c r="QZ6">
        <v>-2.4245362661989844E-14</v>
      </c>
      <c r="RA6" t="s">
        <v>1761</v>
      </c>
      <c r="RB6">
        <v>2024</v>
      </c>
      <c r="RC6" t="s">
        <v>1762</v>
      </c>
      <c r="RD6" s="6">
        <v>45518</v>
      </c>
      <c r="RE6">
        <v>5</v>
      </c>
      <c r="RF6">
        <v>-2.4245362661989844E-14</v>
      </c>
      <c r="RG6">
        <v>130119</v>
      </c>
      <c r="RH6" t="s">
        <v>1763</v>
      </c>
      <c r="RM6" t="s">
        <v>2389</v>
      </c>
      <c r="RO6">
        <v>-2.4245362661989844E-14</v>
      </c>
      <c r="RP6">
        <v>-2.4245362661989844E-14</v>
      </c>
      <c r="RQ6" t="s">
        <v>1854</v>
      </c>
      <c r="RR6">
        <v>2022</v>
      </c>
      <c r="RS6" t="s">
        <v>2390</v>
      </c>
      <c r="RT6" s="6">
        <v>45058</v>
      </c>
      <c r="RU6">
        <v>5</v>
      </c>
      <c r="RV6">
        <v>-2.4245362661989844E-14</v>
      </c>
      <c r="RW6">
        <v>815721</v>
      </c>
      <c r="RX6" t="s">
        <v>2391</v>
      </c>
      <c r="SA6" t="s">
        <v>1972</v>
      </c>
      <c r="SB6">
        <v>-2.4245362661989844E-14</v>
      </c>
      <c r="SD6">
        <v>-2.4245362661989844E-14</v>
      </c>
      <c r="SE6" t="s">
        <v>1761</v>
      </c>
      <c r="SF6">
        <v>2025</v>
      </c>
      <c r="SG6" t="s">
        <v>1973</v>
      </c>
      <c r="SH6" s="6">
        <v>45883</v>
      </c>
      <c r="SI6">
        <v>5</v>
      </c>
      <c r="SJ6">
        <v>-2.4245362661989844E-14</v>
      </c>
      <c r="SK6">
        <v>117619</v>
      </c>
      <c r="SL6" t="s">
        <v>1974</v>
      </c>
    </row>
    <row r="7" spans="1:600" x14ac:dyDescent="0.25">
      <c r="A7" t="s">
        <v>4469</v>
      </c>
      <c r="B7" t="s">
        <v>1752</v>
      </c>
      <c r="C7">
        <v>10.91</v>
      </c>
      <c r="D7">
        <v>0.11763700000000001</v>
      </c>
      <c r="E7" t="s">
        <v>1753</v>
      </c>
      <c r="F7">
        <v>2025</v>
      </c>
      <c r="G7" t="s">
        <v>4470</v>
      </c>
      <c r="H7" s="6">
        <v>45895</v>
      </c>
      <c r="I7">
        <v>5</v>
      </c>
      <c r="J7">
        <v>1168969.1100000001</v>
      </c>
      <c r="K7">
        <v>59709175</v>
      </c>
      <c r="L7" t="s">
        <v>4471</v>
      </c>
      <c r="O7" t="s">
        <v>2799</v>
      </c>
      <c r="P7">
        <v>5.6222000000000001E-2</v>
      </c>
      <c r="Q7" t="s">
        <v>1752</v>
      </c>
      <c r="R7">
        <v>4.2040000000000003E-3</v>
      </c>
      <c r="S7" t="s">
        <v>1781</v>
      </c>
      <c r="T7">
        <v>2026</v>
      </c>
      <c r="U7" t="s">
        <v>4367</v>
      </c>
      <c r="V7" s="6">
        <v>45898</v>
      </c>
      <c r="W7">
        <v>5</v>
      </c>
      <c r="X7">
        <v>892021.61</v>
      </c>
      <c r="Y7">
        <v>112370</v>
      </c>
      <c r="Z7" t="s">
        <v>2800</v>
      </c>
      <c r="AE7" t="s">
        <v>1554</v>
      </c>
      <c r="AF7" t="s">
        <v>1752</v>
      </c>
      <c r="AG7">
        <v>3.5019999999999999E-3</v>
      </c>
      <c r="AH7">
        <v>0.37431399999999998</v>
      </c>
      <c r="AI7" t="s">
        <v>1825</v>
      </c>
      <c r="AJ7">
        <v>2026</v>
      </c>
      <c r="AK7" t="s">
        <v>2352</v>
      </c>
      <c r="AL7" s="6">
        <v>46087</v>
      </c>
      <c r="AM7">
        <v>5</v>
      </c>
      <c r="AN7">
        <v>2385808</v>
      </c>
      <c r="AO7">
        <v>313657</v>
      </c>
      <c r="AP7" t="s">
        <v>2353</v>
      </c>
      <c r="AS7" t="s">
        <v>1547</v>
      </c>
      <c r="AT7">
        <v>0.11786099999999999</v>
      </c>
      <c r="AU7" t="s">
        <v>1752</v>
      </c>
      <c r="AV7">
        <v>2.8398E-2</v>
      </c>
      <c r="AW7" t="s">
        <v>1781</v>
      </c>
      <c r="AX7">
        <v>2025</v>
      </c>
      <c r="AY7" t="s">
        <v>2157</v>
      </c>
      <c r="AZ7" s="6">
        <v>45784</v>
      </c>
      <c r="BA7">
        <v>5</v>
      </c>
      <c r="BB7">
        <v>1715246</v>
      </c>
      <c r="BC7">
        <v>100115</v>
      </c>
      <c r="BD7" t="s">
        <v>1922</v>
      </c>
      <c r="DQ7" t="s">
        <v>3264</v>
      </c>
      <c r="DR7" t="s">
        <v>1752</v>
      </c>
      <c r="DS7">
        <v>6.760351</v>
      </c>
      <c r="DT7">
        <v>1.7418990000000001</v>
      </c>
      <c r="DU7" t="s">
        <v>1825</v>
      </c>
      <c r="DV7">
        <v>2024</v>
      </c>
      <c r="DW7" t="s">
        <v>3564</v>
      </c>
      <c r="DX7" s="6">
        <v>45740</v>
      </c>
      <c r="DY7">
        <v>5</v>
      </c>
      <c r="DZ7">
        <v>728386791.55999994</v>
      </c>
      <c r="EA7">
        <v>115688</v>
      </c>
      <c r="EB7" t="s">
        <v>3266</v>
      </c>
      <c r="EE7" t="s">
        <v>3320</v>
      </c>
      <c r="EF7">
        <v>0.65288999999999997</v>
      </c>
      <c r="EG7" t="s">
        <v>1752</v>
      </c>
      <c r="EH7">
        <v>7.5519280000000002</v>
      </c>
      <c r="EI7" t="s">
        <v>1788</v>
      </c>
      <c r="EJ7">
        <v>2025</v>
      </c>
      <c r="EK7" t="s">
        <v>3321</v>
      </c>
      <c r="EL7" s="6">
        <v>45979</v>
      </c>
      <c r="EM7">
        <v>5</v>
      </c>
      <c r="EN7">
        <v>301948736</v>
      </c>
      <c r="EO7">
        <v>903779</v>
      </c>
      <c r="EP7" t="s">
        <v>3322</v>
      </c>
      <c r="HC7" t="s">
        <v>2044</v>
      </c>
      <c r="HE7">
        <v>-2.4245362661989844E-14</v>
      </c>
      <c r="HF7">
        <v>-2.4245362661989844E-14</v>
      </c>
      <c r="HG7" t="s">
        <v>1753</v>
      </c>
      <c r="HH7">
        <v>2024</v>
      </c>
      <c r="HI7" t="s">
        <v>2045</v>
      </c>
      <c r="HJ7" s="6">
        <v>45572</v>
      </c>
      <c r="HK7">
        <v>5</v>
      </c>
      <c r="HL7">
        <v>-2.4245362661989844E-14</v>
      </c>
      <c r="HM7">
        <v>191576</v>
      </c>
      <c r="HN7" t="s">
        <v>2046</v>
      </c>
      <c r="IG7" t="s">
        <v>3441</v>
      </c>
      <c r="IH7" t="s">
        <v>1752</v>
      </c>
      <c r="II7">
        <v>2.5853000000000001E-2</v>
      </c>
      <c r="IJ7">
        <v>3.3396000000000002E-2</v>
      </c>
      <c r="IK7" t="s">
        <v>1774</v>
      </c>
      <c r="IL7">
        <v>2025</v>
      </c>
      <c r="IM7" t="s">
        <v>3442</v>
      </c>
      <c r="IN7" s="6">
        <v>45914</v>
      </c>
      <c r="IO7">
        <v>5</v>
      </c>
      <c r="IP7">
        <v>231571</v>
      </c>
      <c r="IQ7">
        <v>117116</v>
      </c>
      <c r="IR7" t="s">
        <v>3443</v>
      </c>
      <c r="IU7" t="s">
        <v>1545</v>
      </c>
      <c r="IV7">
        <v>5.0077249999999998</v>
      </c>
      <c r="IW7" t="s">
        <v>1752</v>
      </c>
      <c r="IX7">
        <v>6.4680000000000001E-2</v>
      </c>
      <c r="IY7" t="s">
        <v>1788</v>
      </c>
      <c r="IZ7">
        <v>2025</v>
      </c>
      <c r="JA7" t="s">
        <v>4339</v>
      </c>
      <c r="JB7" s="6">
        <v>46052</v>
      </c>
      <c r="JC7">
        <v>5</v>
      </c>
      <c r="JD7">
        <v>52245596</v>
      </c>
      <c r="JE7">
        <v>156969</v>
      </c>
      <c r="JF7" t="s">
        <v>2340</v>
      </c>
      <c r="QI7" t="s">
        <v>2106</v>
      </c>
      <c r="QJ7" t="s">
        <v>1828</v>
      </c>
      <c r="QK7">
        <v>0.254056</v>
      </c>
      <c r="QL7">
        <v>0.26785799999999998</v>
      </c>
      <c r="QM7" t="s">
        <v>1825</v>
      </c>
      <c r="QN7">
        <v>2024</v>
      </c>
      <c r="QO7" t="s">
        <v>2107</v>
      </c>
      <c r="QP7" s="6">
        <v>45770</v>
      </c>
      <c r="QQ7">
        <v>5</v>
      </c>
      <c r="QR7">
        <v>4756853.6399999997</v>
      </c>
      <c r="QS7">
        <v>186659</v>
      </c>
      <c r="QT7" t="s">
        <v>2108</v>
      </c>
      <c r="QW7" t="s">
        <v>1764</v>
      </c>
      <c r="QX7">
        <v>-2.4245362661989844E-14</v>
      </c>
      <c r="QZ7">
        <v>-2.4245362661989844E-14</v>
      </c>
      <c r="RA7" t="s">
        <v>1761</v>
      </c>
      <c r="RB7">
        <v>2024</v>
      </c>
      <c r="RC7" t="s">
        <v>1765</v>
      </c>
      <c r="RD7" s="6">
        <v>45518</v>
      </c>
      <c r="RE7">
        <v>5</v>
      </c>
      <c r="RF7">
        <v>-2.4245362661989844E-14</v>
      </c>
      <c r="RG7">
        <v>227699</v>
      </c>
      <c r="RH7" t="s">
        <v>1766</v>
      </c>
      <c r="RM7" t="s">
        <v>2392</v>
      </c>
      <c r="RO7">
        <v>-2.4245362661989844E-14</v>
      </c>
      <c r="RP7">
        <v>-2.4245362661989844E-14</v>
      </c>
      <c r="RQ7" t="s">
        <v>1753</v>
      </c>
      <c r="RR7">
        <v>2021</v>
      </c>
      <c r="RS7" t="s">
        <v>2393</v>
      </c>
      <c r="RT7" s="6">
        <v>44693</v>
      </c>
      <c r="RU7">
        <v>5</v>
      </c>
      <c r="RV7">
        <v>-2.4245362661989844E-14</v>
      </c>
      <c r="RW7">
        <v>101690</v>
      </c>
      <c r="RX7" t="s">
        <v>2394</v>
      </c>
      <c r="SA7" t="s">
        <v>1975</v>
      </c>
      <c r="SB7">
        <v>-2.4245362661989844E-14</v>
      </c>
      <c r="SD7">
        <v>-2.4245362661989844E-14</v>
      </c>
      <c r="SE7" t="s">
        <v>1781</v>
      </c>
      <c r="SF7">
        <v>2022</v>
      </c>
      <c r="SG7" t="s">
        <v>1976</v>
      </c>
      <c r="SH7" s="6">
        <v>44704</v>
      </c>
      <c r="SI7">
        <v>5</v>
      </c>
      <c r="SJ7">
        <v>-2.4245362661989844E-14</v>
      </c>
      <c r="SK7">
        <v>69091611</v>
      </c>
      <c r="SL7" t="s">
        <v>1977</v>
      </c>
    </row>
    <row r="8" spans="1:600" x14ac:dyDescent="0.25">
      <c r="A8" t="s">
        <v>3131</v>
      </c>
      <c r="B8" t="s">
        <v>1940</v>
      </c>
      <c r="C8">
        <v>1.061577</v>
      </c>
      <c r="D8">
        <v>0.111747</v>
      </c>
      <c r="E8" t="s">
        <v>1753</v>
      </c>
      <c r="F8">
        <v>2024</v>
      </c>
      <c r="G8" t="s">
        <v>4472</v>
      </c>
      <c r="H8" s="6">
        <v>45715</v>
      </c>
      <c r="I8">
        <v>5</v>
      </c>
      <c r="J8">
        <v>941885.68</v>
      </c>
      <c r="K8">
        <v>111471</v>
      </c>
      <c r="L8" t="s">
        <v>3133</v>
      </c>
      <c r="O8" t="s">
        <v>2608</v>
      </c>
      <c r="P8">
        <v>4.8826000000000001E-2</v>
      </c>
      <c r="Q8" t="s">
        <v>1940</v>
      </c>
      <c r="R8">
        <v>0.96890200000000004</v>
      </c>
      <c r="S8" t="s">
        <v>1753</v>
      </c>
      <c r="T8">
        <v>2025</v>
      </c>
      <c r="U8" t="s">
        <v>4380</v>
      </c>
      <c r="V8" s="6">
        <v>46079</v>
      </c>
      <c r="W8">
        <v>5</v>
      </c>
      <c r="X8">
        <v>599999.75</v>
      </c>
      <c r="Y8">
        <v>11937231</v>
      </c>
      <c r="Z8" t="s">
        <v>2610</v>
      </c>
      <c r="AE8" t="s">
        <v>226</v>
      </c>
      <c r="AF8" t="s">
        <v>1752</v>
      </c>
      <c r="AG8">
        <v>1.08E-3</v>
      </c>
      <c r="AH8">
        <v>0.237701</v>
      </c>
      <c r="AI8" t="s">
        <v>1788</v>
      </c>
      <c r="AJ8">
        <v>2025</v>
      </c>
      <c r="AK8" t="s">
        <v>2491</v>
      </c>
      <c r="AL8" s="6">
        <v>45843</v>
      </c>
      <c r="AM8">
        <v>5</v>
      </c>
      <c r="AN8">
        <v>756713</v>
      </c>
      <c r="AO8">
        <v>101743</v>
      </c>
      <c r="AP8" t="s">
        <v>2156</v>
      </c>
      <c r="AS8" t="s">
        <v>2459</v>
      </c>
      <c r="AT8">
        <v>4.9280999999999998E-2</v>
      </c>
      <c r="AU8" t="s">
        <v>1752</v>
      </c>
      <c r="AV8">
        <v>0.59355500000000005</v>
      </c>
      <c r="AW8" t="s">
        <v>1781</v>
      </c>
      <c r="AX8">
        <v>2025</v>
      </c>
      <c r="AY8" t="s">
        <v>2460</v>
      </c>
      <c r="AZ8" s="6">
        <v>45820</v>
      </c>
      <c r="BA8">
        <v>5</v>
      </c>
      <c r="BB8">
        <v>788021.54</v>
      </c>
      <c r="BC8">
        <v>117587</v>
      </c>
      <c r="BD8" t="s">
        <v>2461</v>
      </c>
      <c r="DQ8" t="s">
        <v>3565</v>
      </c>
      <c r="DR8" t="s">
        <v>1752</v>
      </c>
      <c r="DS8">
        <v>11.5</v>
      </c>
      <c r="DT8">
        <v>1.441263</v>
      </c>
      <c r="DU8" t="s">
        <v>1753</v>
      </c>
      <c r="DV8">
        <v>2025</v>
      </c>
      <c r="DW8" t="s">
        <v>3566</v>
      </c>
      <c r="DX8" s="6">
        <v>46066</v>
      </c>
      <c r="DY8">
        <v>5</v>
      </c>
      <c r="DZ8">
        <v>668699136</v>
      </c>
      <c r="EA8">
        <v>17453985</v>
      </c>
      <c r="EB8" t="s">
        <v>3567</v>
      </c>
      <c r="EE8" t="s">
        <v>3323</v>
      </c>
      <c r="EF8">
        <v>0.43898999999999999</v>
      </c>
      <c r="EG8" t="s">
        <v>1828</v>
      </c>
      <c r="EH8">
        <v>6.6110119999999997</v>
      </c>
      <c r="EI8" t="s">
        <v>1774</v>
      </c>
      <c r="EJ8">
        <v>2025</v>
      </c>
      <c r="EK8" t="s">
        <v>3324</v>
      </c>
      <c r="EL8" s="6">
        <v>45890</v>
      </c>
      <c r="EM8">
        <v>5</v>
      </c>
      <c r="EN8">
        <v>203024176</v>
      </c>
      <c r="EO8">
        <v>48467156</v>
      </c>
      <c r="EP8" t="s">
        <v>3325</v>
      </c>
      <c r="HC8" t="s">
        <v>2047</v>
      </c>
      <c r="HE8">
        <v>-2.4245362661989844E-14</v>
      </c>
      <c r="HF8">
        <v>-2.4245362661989844E-14</v>
      </c>
      <c r="HG8" t="s">
        <v>1753</v>
      </c>
      <c r="HH8">
        <v>2024</v>
      </c>
      <c r="HI8" t="s">
        <v>2048</v>
      </c>
      <c r="HJ8" s="6">
        <v>45730</v>
      </c>
      <c r="HK8">
        <v>5</v>
      </c>
      <c r="HL8">
        <v>-2.4245362661989844E-14</v>
      </c>
      <c r="HM8">
        <v>1184632</v>
      </c>
      <c r="HN8" t="s">
        <v>2049</v>
      </c>
      <c r="IG8" t="s">
        <v>2106</v>
      </c>
      <c r="IH8" t="s">
        <v>1828</v>
      </c>
      <c r="II8">
        <v>5.1349999999999998E-3</v>
      </c>
      <c r="IJ8">
        <v>0.49982799999999999</v>
      </c>
      <c r="IK8" t="s">
        <v>1774</v>
      </c>
      <c r="IL8">
        <v>2025</v>
      </c>
      <c r="IM8" t="s">
        <v>2107</v>
      </c>
      <c r="IN8" s="6">
        <v>45922</v>
      </c>
      <c r="IO8">
        <v>5</v>
      </c>
      <c r="IP8">
        <v>88549.26</v>
      </c>
      <c r="IQ8">
        <v>186659</v>
      </c>
      <c r="IR8" t="s">
        <v>2108</v>
      </c>
      <c r="IU8" t="s">
        <v>2341</v>
      </c>
      <c r="IV8">
        <v>4.251385</v>
      </c>
      <c r="IW8" t="s">
        <v>1752</v>
      </c>
      <c r="IX8">
        <v>5.9914000000000002E-2</v>
      </c>
      <c r="IY8" t="s">
        <v>1788</v>
      </c>
      <c r="IZ8">
        <v>2025</v>
      </c>
      <c r="JA8" t="s">
        <v>4339</v>
      </c>
      <c r="JB8" s="6">
        <v>46052</v>
      </c>
      <c r="JC8">
        <v>5</v>
      </c>
      <c r="JD8">
        <v>44354700</v>
      </c>
      <c r="JE8">
        <v>154936</v>
      </c>
      <c r="JF8" t="s">
        <v>2342</v>
      </c>
      <c r="QI8" t="s">
        <v>385</v>
      </c>
      <c r="QJ8" t="s">
        <v>1752</v>
      </c>
      <c r="QK8">
        <v>2.1909000000000001E-2</v>
      </c>
      <c r="QL8">
        <v>0.25751600000000002</v>
      </c>
      <c r="QM8" t="s">
        <v>1825</v>
      </c>
      <c r="QN8">
        <v>2025</v>
      </c>
      <c r="QO8" t="s">
        <v>1897</v>
      </c>
      <c r="QP8" s="6">
        <v>45848</v>
      </c>
      <c r="QQ8">
        <v>5</v>
      </c>
      <c r="QR8">
        <v>3484188</v>
      </c>
      <c r="QS8">
        <v>101752</v>
      </c>
      <c r="QT8" t="s">
        <v>2109</v>
      </c>
      <c r="QW8" t="s">
        <v>1767</v>
      </c>
      <c r="QX8">
        <v>-2.4245362661989844E-14</v>
      </c>
      <c r="QZ8">
        <v>-2.4245362661989844E-14</v>
      </c>
      <c r="RA8" t="s">
        <v>1768</v>
      </c>
      <c r="RB8">
        <v>2025</v>
      </c>
      <c r="RC8" t="s">
        <v>1769</v>
      </c>
      <c r="RD8" s="6">
        <v>45975</v>
      </c>
      <c r="RE8">
        <v>5</v>
      </c>
      <c r="RF8">
        <v>-2.4245362661989844E-14</v>
      </c>
      <c r="RG8">
        <v>9760711</v>
      </c>
      <c r="RH8" t="s">
        <v>1770</v>
      </c>
      <c r="RM8" t="s">
        <v>1180</v>
      </c>
      <c r="RO8">
        <v>-2.4245362661989844E-14</v>
      </c>
      <c r="RP8">
        <v>-2.4245362661989844E-14</v>
      </c>
      <c r="RQ8" t="s">
        <v>1753</v>
      </c>
      <c r="RR8">
        <v>2021</v>
      </c>
      <c r="RS8" t="s">
        <v>2395</v>
      </c>
      <c r="RT8" s="6">
        <v>44693</v>
      </c>
      <c r="RU8">
        <v>5</v>
      </c>
      <c r="RV8">
        <v>-2.4245362661989844E-14</v>
      </c>
      <c r="RW8">
        <v>100193</v>
      </c>
      <c r="RX8" t="s">
        <v>1951</v>
      </c>
      <c r="SA8" t="s">
        <v>1978</v>
      </c>
      <c r="SB8">
        <v>-2.4245362661989844E-14</v>
      </c>
      <c r="SD8">
        <v>-2.4245362661989844E-14</v>
      </c>
      <c r="SE8" t="s">
        <v>1781</v>
      </c>
      <c r="SF8">
        <v>2022</v>
      </c>
      <c r="SG8" t="s">
        <v>1976</v>
      </c>
      <c r="SH8" s="6">
        <v>44704</v>
      </c>
      <c r="SI8">
        <v>5</v>
      </c>
      <c r="SJ8">
        <v>-2.4245362661989844E-14</v>
      </c>
      <c r="SK8">
        <v>113380</v>
      </c>
      <c r="SL8" t="s">
        <v>1979</v>
      </c>
    </row>
    <row r="9" spans="1:600" x14ac:dyDescent="0.25">
      <c r="A9" t="s">
        <v>3256</v>
      </c>
      <c r="B9" t="s">
        <v>1752</v>
      </c>
      <c r="C9">
        <v>2.7688999999999998E-2</v>
      </c>
      <c r="D9">
        <v>6.7176E-2</v>
      </c>
      <c r="E9" t="s">
        <v>1788</v>
      </c>
      <c r="F9">
        <v>2025</v>
      </c>
      <c r="G9" t="s">
        <v>3257</v>
      </c>
      <c r="H9" s="6">
        <v>45974</v>
      </c>
      <c r="I9">
        <v>5</v>
      </c>
      <c r="J9">
        <v>679247.66</v>
      </c>
      <c r="K9">
        <v>193571</v>
      </c>
      <c r="L9" t="s">
        <v>3258</v>
      </c>
      <c r="O9" t="s">
        <v>1954</v>
      </c>
      <c r="P9">
        <v>4.4743999999999999E-2</v>
      </c>
      <c r="Q9" t="s">
        <v>1752</v>
      </c>
      <c r="R9">
        <v>1.0747E-2</v>
      </c>
      <c r="S9" t="s">
        <v>1781</v>
      </c>
      <c r="T9">
        <v>2025</v>
      </c>
      <c r="U9" t="s">
        <v>1955</v>
      </c>
      <c r="V9" s="6">
        <v>45820</v>
      </c>
      <c r="W9">
        <v>5</v>
      </c>
      <c r="X9">
        <v>438134</v>
      </c>
      <c r="Y9">
        <v>12129192</v>
      </c>
      <c r="Z9" t="s">
        <v>1956</v>
      </c>
      <c r="AE9" t="s">
        <v>2492</v>
      </c>
      <c r="AF9" t="s">
        <v>1752</v>
      </c>
      <c r="AG9">
        <v>6.5779999999999996E-3</v>
      </c>
      <c r="AH9">
        <v>4.0340000000000003E-3</v>
      </c>
      <c r="AI9" t="s">
        <v>1825</v>
      </c>
      <c r="AJ9">
        <v>2024</v>
      </c>
      <c r="AK9" t="s">
        <v>2493</v>
      </c>
      <c r="AL9" s="6">
        <v>45750</v>
      </c>
      <c r="AM9">
        <v>5</v>
      </c>
      <c r="AN9">
        <v>10984.26</v>
      </c>
      <c r="AO9">
        <v>27395152</v>
      </c>
      <c r="AP9" t="s">
        <v>2494</v>
      </c>
      <c r="AS9" t="s">
        <v>2462</v>
      </c>
      <c r="AT9">
        <v>1.7725000000000001E-2</v>
      </c>
      <c r="AU9" t="s">
        <v>1828</v>
      </c>
      <c r="AV9">
        <v>4.1203999999999998E-2</v>
      </c>
      <c r="AW9" t="s">
        <v>1788</v>
      </c>
      <c r="AX9">
        <v>2025</v>
      </c>
      <c r="AY9" t="s">
        <v>2463</v>
      </c>
      <c r="AZ9" s="6">
        <v>46007</v>
      </c>
      <c r="BA9">
        <v>5</v>
      </c>
      <c r="BB9">
        <v>399679</v>
      </c>
      <c r="BC9">
        <v>143027</v>
      </c>
      <c r="BD9" t="s">
        <v>2464</v>
      </c>
      <c r="DQ9" t="s">
        <v>3568</v>
      </c>
      <c r="DR9" t="s">
        <v>1752</v>
      </c>
      <c r="DS9">
        <v>10.237132000000001</v>
      </c>
      <c r="DT9">
        <v>1.3284590000000001</v>
      </c>
      <c r="DU9" t="s">
        <v>1753</v>
      </c>
      <c r="DV9">
        <v>2025</v>
      </c>
      <c r="DW9" t="s">
        <v>3569</v>
      </c>
      <c r="DX9" s="6">
        <v>46077</v>
      </c>
      <c r="DY9">
        <v>5</v>
      </c>
      <c r="DZ9">
        <v>617347250</v>
      </c>
      <c r="EA9">
        <v>115349</v>
      </c>
      <c r="EB9" t="s">
        <v>3570</v>
      </c>
      <c r="EE9" t="s">
        <v>3326</v>
      </c>
      <c r="EF9">
        <v>0.42709399999999997</v>
      </c>
      <c r="EG9" t="s">
        <v>1752</v>
      </c>
      <c r="EH9">
        <v>4.0617450000000002</v>
      </c>
      <c r="EI9" t="s">
        <v>1825</v>
      </c>
      <c r="EJ9">
        <v>2025</v>
      </c>
      <c r="EK9" t="s">
        <v>3327</v>
      </c>
      <c r="EL9" s="6">
        <v>46055</v>
      </c>
      <c r="EM9">
        <v>5</v>
      </c>
      <c r="EN9">
        <v>197522656</v>
      </c>
      <c r="EO9">
        <v>300809</v>
      </c>
      <c r="EP9" t="s">
        <v>3328</v>
      </c>
      <c r="HC9" t="s">
        <v>2050</v>
      </c>
      <c r="HE9">
        <v>-2.4245362661989844E-14</v>
      </c>
      <c r="HF9">
        <v>-2.4245362661989844E-14</v>
      </c>
      <c r="HG9" t="s">
        <v>1753</v>
      </c>
      <c r="HH9">
        <v>2026</v>
      </c>
      <c r="HI9" t="s">
        <v>2051</v>
      </c>
      <c r="HJ9" s="6">
        <v>46080</v>
      </c>
      <c r="HK9">
        <v>5</v>
      </c>
      <c r="HL9">
        <v>-2.4245362661989844E-14</v>
      </c>
      <c r="HM9">
        <v>101095</v>
      </c>
      <c r="HN9" t="s">
        <v>2052</v>
      </c>
      <c r="IG9" t="s">
        <v>4426</v>
      </c>
      <c r="IH9" t="s">
        <v>1752</v>
      </c>
      <c r="II9">
        <v>6.4549999999999998E-3</v>
      </c>
      <c r="IJ9">
        <v>9.2849999999999999E-3</v>
      </c>
      <c r="IK9" t="s">
        <v>1774</v>
      </c>
      <c r="IL9">
        <v>2025</v>
      </c>
      <c r="IM9" t="s">
        <v>4427</v>
      </c>
      <c r="IN9" s="6">
        <v>45950</v>
      </c>
      <c r="IO9">
        <v>5</v>
      </c>
      <c r="IP9">
        <v>64439.44</v>
      </c>
      <c r="IQ9">
        <v>22262012</v>
      </c>
      <c r="IR9" t="s">
        <v>4428</v>
      </c>
      <c r="IU9" t="s">
        <v>2794</v>
      </c>
      <c r="IV9">
        <v>4.0077179999999997</v>
      </c>
      <c r="IW9" t="s">
        <v>1752</v>
      </c>
      <c r="IX9">
        <v>7.1461999999999998E-2</v>
      </c>
      <c r="IY9" t="s">
        <v>1788</v>
      </c>
      <c r="IZ9">
        <v>2025</v>
      </c>
      <c r="JA9" t="s">
        <v>4339</v>
      </c>
      <c r="JB9" s="6">
        <v>46052</v>
      </c>
      <c r="JC9">
        <v>5</v>
      </c>
      <c r="JD9">
        <v>41812520</v>
      </c>
      <c r="JE9">
        <v>101758</v>
      </c>
      <c r="JF9" t="s">
        <v>2796</v>
      </c>
      <c r="QI9" t="s">
        <v>2110</v>
      </c>
      <c r="QJ9" t="s">
        <v>1752</v>
      </c>
      <c r="QK9">
        <v>3.7962999999999997E-2</v>
      </c>
      <c r="QL9">
        <v>0.117649</v>
      </c>
      <c r="QM9" t="s">
        <v>1774</v>
      </c>
      <c r="QN9">
        <v>2025</v>
      </c>
      <c r="QO9" t="s">
        <v>2111</v>
      </c>
      <c r="QP9" s="6">
        <v>45917</v>
      </c>
      <c r="QQ9">
        <v>5</v>
      </c>
      <c r="QR9">
        <v>1794964.29</v>
      </c>
      <c r="QS9">
        <v>112156</v>
      </c>
      <c r="QT9" t="s">
        <v>2112</v>
      </c>
      <c r="QW9" t="s">
        <v>1771</v>
      </c>
      <c r="QX9">
        <v>-2.4245362661989844E-14</v>
      </c>
      <c r="QZ9">
        <v>-2.4245362661989844E-14</v>
      </c>
      <c r="RA9" t="s">
        <v>1753</v>
      </c>
      <c r="RB9">
        <v>2022</v>
      </c>
      <c r="RC9" t="s">
        <v>1772</v>
      </c>
      <c r="RD9" s="6">
        <v>44973</v>
      </c>
      <c r="RE9">
        <v>5</v>
      </c>
      <c r="RF9">
        <v>-2.4245362661989844E-14</v>
      </c>
      <c r="RG9">
        <v>11599856</v>
      </c>
      <c r="RH9" t="s">
        <v>1773</v>
      </c>
      <c r="RM9" t="s">
        <v>1705</v>
      </c>
      <c r="RO9">
        <v>-2.4245362661989844E-14</v>
      </c>
      <c r="RP9">
        <v>-2.4245362661989844E-14</v>
      </c>
      <c r="RQ9" t="s">
        <v>1753</v>
      </c>
      <c r="RR9">
        <v>2021</v>
      </c>
      <c r="RS9" t="s">
        <v>2396</v>
      </c>
      <c r="RT9" s="6">
        <v>44693</v>
      </c>
      <c r="RU9">
        <v>5</v>
      </c>
      <c r="RV9">
        <v>-2.4245362661989844E-14</v>
      </c>
      <c r="RW9">
        <v>100348</v>
      </c>
      <c r="RX9" t="s">
        <v>2397</v>
      </c>
      <c r="SA9" t="s">
        <v>1980</v>
      </c>
      <c r="SB9">
        <v>-2.4245362661989844E-14</v>
      </c>
      <c r="SD9">
        <v>-2.4245362661989844E-14</v>
      </c>
      <c r="SE9" t="s">
        <v>1781</v>
      </c>
      <c r="SF9">
        <v>2022</v>
      </c>
      <c r="SG9" t="s">
        <v>1976</v>
      </c>
      <c r="SH9" s="6">
        <v>44704</v>
      </c>
      <c r="SI9">
        <v>5</v>
      </c>
      <c r="SJ9">
        <v>-2.4245362661989844E-14</v>
      </c>
      <c r="SK9">
        <v>114155</v>
      </c>
      <c r="SL9" t="s">
        <v>1981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1653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1654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1655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1656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1657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1658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1659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1660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1661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1662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1663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1664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1665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1666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1667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1668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1669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1670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1671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814</v>
      </c>
      <c r="AE2" s="3" t="s">
        <v>1672</v>
      </c>
      <c r="BI2" s="3" t="s">
        <v>301</v>
      </c>
      <c r="CM2" s="3" t="s">
        <v>1673</v>
      </c>
      <c r="DQ2" s="3" t="s">
        <v>534</v>
      </c>
      <c r="EU2" s="3" t="s">
        <v>1674</v>
      </c>
      <c r="FY2" s="3" t="s">
        <v>1675</v>
      </c>
      <c r="HC2" s="3" t="s">
        <v>1676</v>
      </c>
      <c r="IG2" s="3" t="s">
        <v>1677</v>
      </c>
      <c r="JK2" s="3" t="s">
        <v>1678</v>
      </c>
      <c r="KO2" s="3" t="s">
        <v>1679</v>
      </c>
      <c r="LS2" s="3" t="s">
        <v>1680</v>
      </c>
      <c r="MW2" s="3" t="s">
        <v>1681</v>
      </c>
      <c r="OA2" s="3" t="s">
        <v>922</v>
      </c>
      <c r="PE2" s="3" t="s">
        <v>560</v>
      </c>
      <c r="QI2" s="3" t="s">
        <v>385</v>
      </c>
      <c r="RM2" s="3" t="s">
        <v>1682</v>
      </c>
      <c r="SQ2" s="3" t="s">
        <v>1683</v>
      </c>
      <c r="TU2" s="3" t="s">
        <v>1684</v>
      </c>
      <c r="UY2" s="3" t="s">
        <v>385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_xll.BDS("BHC CN Equity","SUPPLY_CHAIN_SUPPLIERS_ALL_DATA","cols=12;rows=5")</f>
        <v>ATR US Equity</v>
      </c>
      <c r="B5" t="s">
        <v>1752</v>
      </c>
      <c r="C5">
        <v>0.26260800000000001</v>
      </c>
      <c r="D5">
        <v>0.30788500000000002</v>
      </c>
      <c r="E5" t="s">
        <v>1774</v>
      </c>
      <c r="F5">
        <v>2025</v>
      </c>
      <c r="G5" t="s">
        <v>3442</v>
      </c>
      <c r="H5" s="6">
        <v>45914</v>
      </c>
      <c r="I5">
        <v>5</v>
      </c>
      <c r="J5">
        <v>2352239</v>
      </c>
      <c r="K5">
        <v>117116</v>
      </c>
      <c r="L5" t="s">
        <v>3443</v>
      </c>
      <c r="O5" t="str">
        <f>_xll.BDS("BHC CN Equity","SUPPLY_CHAIN_CUSTOMERS_ALL_DATA","cols=12;rows=5")</f>
        <v>COR US Equity</v>
      </c>
      <c r="P5">
        <v>19</v>
      </c>
      <c r="Q5" t="s">
        <v>1752</v>
      </c>
      <c r="R5">
        <v>0.62373500000000004</v>
      </c>
      <c r="S5" t="s">
        <v>1753</v>
      </c>
      <c r="T5">
        <v>2024</v>
      </c>
      <c r="U5" t="s">
        <v>3270</v>
      </c>
      <c r="V5" s="6">
        <v>45708</v>
      </c>
      <c r="W5">
        <v>5</v>
      </c>
      <c r="X5">
        <v>457187488</v>
      </c>
      <c r="Y5">
        <v>156969</v>
      </c>
      <c r="Z5" t="s">
        <v>2340</v>
      </c>
      <c r="AE5" t="str">
        <f>_xll.BDS("NL US Equity","SUPPLY_CHAIN_SUPPLIERS_ALL_DATA","cols=12;rows=5")</f>
        <v>RIO LN Equity</v>
      </c>
      <c r="AF5" t="s">
        <v>1752</v>
      </c>
      <c r="AG5">
        <v>5.3239999999999997E-3</v>
      </c>
      <c r="AH5">
        <v>2.5491239999999999</v>
      </c>
      <c r="AI5" t="s">
        <v>1774</v>
      </c>
      <c r="AJ5">
        <v>2025</v>
      </c>
      <c r="AK5" t="s">
        <v>2886</v>
      </c>
      <c r="AL5" s="6">
        <v>45870</v>
      </c>
      <c r="AM5">
        <v>5</v>
      </c>
      <c r="AN5">
        <v>714188</v>
      </c>
      <c r="AO5">
        <v>101286</v>
      </c>
      <c r="AP5" t="s">
        <v>2887</v>
      </c>
      <c r="AS5" t="str">
        <f>_xll.BDS("NL US Equity","SUPPLY_CHAIN_CUSTOMERS_ALL_DATA","cols=12;rows=4")</f>
        <v>MAS US Equity</v>
      </c>
      <c r="AT5">
        <v>10</v>
      </c>
      <c r="AU5" t="s">
        <v>1752</v>
      </c>
      <c r="AV5">
        <v>0.29205700000000001</v>
      </c>
      <c r="AW5" t="s">
        <v>1753</v>
      </c>
      <c r="AX5">
        <v>2024</v>
      </c>
      <c r="AY5" t="s">
        <v>2687</v>
      </c>
      <c r="AZ5" s="6">
        <v>45722</v>
      </c>
      <c r="BA5">
        <v>4</v>
      </c>
      <c r="BB5">
        <v>3648525</v>
      </c>
      <c r="BC5">
        <v>100948</v>
      </c>
      <c r="BD5" t="s">
        <v>2688</v>
      </c>
      <c r="BI5" t="str">
        <f>_xll.BDS("VLY US Equity","SUPPLY_CHAIN_SUPPLIERS_ALL_DATA","cols=12;rows=2")</f>
        <v>VNO US Equity</v>
      </c>
      <c r="BK5">
        <v>-2.4245362661989844E-14</v>
      </c>
      <c r="BL5">
        <v>-2.4245362661989844E-14</v>
      </c>
      <c r="BM5" t="s">
        <v>1753</v>
      </c>
      <c r="BN5">
        <v>2022</v>
      </c>
      <c r="BO5" t="s">
        <v>2470</v>
      </c>
      <c r="BP5" s="6">
        <v>44970</v>
      </c>
      <c r="BQ5">
        <v>2</v>
      </c>
      <c r="BR5">
        <v>-2.4245362661989844E-14</v>
      </c>
      <c r="BS5">
        <v>101608</v>
      </c>
      <c r="BT5" t="s">
        <v>2471</v>
      </c>
      <c r="BW5" t="str">
        <f>_xll.BDS("VLY US Equity","SUPPLY_CHAIN_CUSTOMERS_ALL_DATA")</f>
        <v>#N/A N/A</v>
      </c>
      <c r="CM5" t="str">
        <f>_xll.BDS("CXW US Equity","SUPPLY_CHAIN_SUPPLIERS_ALL_DATA","cols=12;rows=2")</f>
        <v>2293258D US Equity</v>
      </c>
      <c r="CO5">
        <v>-2.4245362661989844E-14</v>
      </c>
      <c r="CP5">
        <v>-2.4245362661989844E-14</v>
      </c>
      <c r="CQ5" t="s">
        <v>1753</v>
      </c>
      <c r="CR5">
        <v>2026</v>
      </c>
      <c r="CS5" t="s">
        <v>1795</v>
      </c>
      <c r="CT5" s="6">
        <v>46078</v>
      </c>
      <c r="CU5">
        <v>2</v>
      </c>
      <c r="CV5">
        <v>-2.4245362661989844E-14</v>
      </c>
      <c r="CW5">
        <v>71181298</v>
      </c>
      <c r="CX5" t="s">
        <v>2065</v>
      </c>
      <c r="DA5" t="str">
        <f>_xll.BDS("CXW US Equity","SUPPLY_CHAIN_CUSTOMERS_ALL_DATA","cols=12;rows=5")</f>
        <v>3352Z US Equity</v>
      </c>
      <c r="DB5">
        <v>51</v>
      </c>
      <c r="DD5">
        <v>-2.4245362661989844E-14</v>
      </c>
      <c r="DE5" t="s">
        <v>1753</v>
      </c>
      <c r="DF5">
        <v>2024</v>
      </c>
      <c r="DG5" t="s">
        <v>1792</v>
      </c>
      <c r="DH5" s="6">
        <v>45709</v>
      </c>
      <c r="DI5">
        <v>5</v>
      </c>
      <c r="DJ5">
        <v>250109872</v>
      </c>
      <c r="DK5">
        <v>218252</v>
      </c>
      <c r="DL5" t="s">
        <v>1793</v>
      </c>
      <c r="DQ5" t="str">
        <f>_xll.BDS("540513Q US Equity","SUPPLY_CHAIN_SUPPLIERS_ALL_DATA")</f>
        <v>#N/A N/A</v>
      </c>
      <c r="EE5" t="str">
        <f>_xll.BDS("540513Q US Equity","SUPPLY_CHAIN_CUSTOMERS_ALL_DATA")</f>
        <v>#N/A N/A</v>
      </c>
      <c r="EU5" t="str">
        <f>_xll.BDS("BKS US Equity","SUPPLY_CHAIN_SUPPLIERS_ALL_DATA","cols=12;rows=5")</f>
        <v>KIM US Equity</v>
      </c>
      <c r="EW5">
        <v>0.41771900000000001</v>
      </c>
      <c r="EX5">
        <v>-2.4245362661989844E-14</v>
      </c>
      <c r="EY5" t="s">
        <v>1753</v>
      </c>
      <c r="EZ5">
        <v>2024</v>
      </c>
      <c r="FA5" t="s">
        <v>4302</v>
      </c>
      <c r="FB5" s="6">
        <v>45695</v>
      </c>
      <c r="FC5">
        <v>5</v>
      </c>
      <c r="FD5">
        <v>2127250</v>
      </c>
      <c r="FE5">
        <v>70771731</v>
      </c>
      <c r="FF5" t="s">
        <v>4303</v>
      </c>
      <c r="FI5" t="str">
        <f>_xll.BDS("BKS US Equity","SUPPLY_CHAIN_CUSTOMERS_ALL_DATA","cols=12;rows=1")</f>
        <v>SNX US Equity</v>
      </c>
      <c r="FJ5">
        <v>-2.4245362661989844E-14</v>
      </c>
      <c r="FL5">
        <v>-2.4245362661989844E-14</v>
      </c>
      <c r="FM5" t="s">
        <v>1753</v>
      </c>
      <c r="FN5">
        <v>2021</v>
      </c>
      <c r="FO5" t="s">
        <v>2674</v>
      </c>
      <c r="FP5" s="6">
        <v>44656</v>
      </c>
      <c r="FQ5">
        <v>1</v>
      </c>
      <c r="FR5">
        <v>-2.4245362661989844E-14</v>
      </c>
      <c r="FS5">
        <v>1499717</v>
      </c>
      <c r="FT5" t="s">
        <v>1827</v>
      </c>
      <c r="FY5" t="str">
        <f>_xll.BDS("IART US Equity","SUPPLY_CHAIN_SUPPLIERS_ALL_DATA","cols=12;rows=5")</f>
        <v>AEE US Equity</v>
      </c>
      <c r="GA5">
        <v>-2.4245362661989844E-14</v>
      </c>
      <c r="GB5">
        <v>-2.4245362661989844E-14</v>
      </c>
      <c r="GC5" t="s">
        <v>1753</v>
      </c>
      <c r="GD5">
        <v>2021</v>
      </c>
      <c r="GE5" t="s">
        <v>2305</v>
      </c>
      <c r="GF5" s="6">
        <v>44693</v>
      </c>
      <c r="GG5">
        <v>5</v>
      </c>
      <c r="GH5">
        <v>-2.4245362661989844E-14</v>
      </c>
      <c r="GI5">
        <v>313098</v>
      </c>
      <c r="GJ5" t="s">
        <v>2306</v>
      </c>
      <c r="GM5" t="str">
        <f>_xll.BDS("IART US Equity","SUPPLY_CHAIN_CUSTOMERS_ALL_DATA")</f>
        <v>#N/A N/A</v>
      </c>
      <c r="HC5" t="str">
        <f>_xll.BDS("SNV US Equity","SUPPLY_CHAIN_SUPPLIERS_ALL_DATA","cols=12;rows=1")</f>
        <v>VYX US Equity</v>
      </c>
      <c r="HE5">
        <v>-2.4245362661989844E-14</v>
      </c>
      <c r="HF5">
        <v>-2.4245362661989844E-14</v>
      </c>
      <c r="HG5" t="s">
        <v>1774</v>
      </c>
      <c r="HH5">
        <v>2023</v>
      </c>
      <c r="HI5" t="s">
        <v>2226</v>
      </c>
      <c r="HJ5" s="6">
        <v>45174</v>
      </c>
      <c r="HK5">
        <v>1</v>
      </c>
      <c r="HL5">
        <v>-2.4245362661989844E-14</v>
      </c>
      <c r="HM5">
        <v>202476</v>
      </c>
      <c r="HN5" t="s">
        <v>2227</v>
      </c>
      <c r="HQ5" t="str">
        <f>_xll.BDS("SNV US Equity","SUPPLY_CHAIN_CUSTOMERS_ALL_DATA")</f>
        <v>#N/A N/A</v>
      </c>
      <c r="IG5" t="str">
        <f>_xll.BDS("MTRM US Equity","SUPPLY_CHAIN_SUPPLIERS_ALL_DATA")</f>
        <v>#N/A N/A</v>
      </c>
      <c r="IU5" t="str">
        <f>_xll.BDS("MTRM US Equity","SUPPLY_CHAIN_CUSTOMERS_ALL_DATA")</f>
        <v>#N/A N/A</v>
      </c>
      <c r="JK5" t="str">
        <f>_xll.BDS("ACTA US Equity","SUPPLY_CHAIN_SUPPLIERS_ALL_DATA")</f>
        <v>#N/A N/A</v>
      </c>
      <c r="JY5" t="str">
        <f>_xll.BDS("ACTA US Equity","SUPPLY_CHAIN_CUSTOMERS_ALL_DATA")</f>
        <v>#N/A N/A</v>
      </c>
      <c r="KO5" t="str">
        <f>_xll.BDS("REGN US Equity","SUPPLY_CHAIN_SUPPLIERS_ALL_DATA","cols=12;rows=5")</f>
        <v>SAN FP Equity</v>
      </c>
      <c r="KP5" t="s">
        <v>1752</v>
      </c>
      <c r="KQ5">
        <v>0.34182000000000001</v>
      </c>
      <c r="KR5">
        <v>10.084804999999999</v>
      </c>
      <c r="KS5" t="s">
        <v>1788</v>
      </c>
      <c r="KT5">
        <v>2025</v>
      </c>
      <c r="KU5" t="s">
        <v>2402</v>
      </c>
      <c r="KV5" s="6">
        <v>46048</v>
      </c>
      <c r="KW5">
        <v>5</v>
      </c>
      <c r="KX5">
        <v>52612181.32</v>
      </c>
      <c r="KY5">
        <v>815561</v>
      </c>
      <c r="KZ5" t="s">
        <v>2338</v>
      </c>
      <c r="LC5" t="str">
        <f>_xll.BDS("REGN US Equity","SUPPLY_CHAIN_CUSTOMERS_ALL_DATA","cols=12;rows=5")</f>
        <v>SAN FP Equity</v>
      </c>
      <c r="LD5">
        <v>41.023784999999997</v>
      </c>
      <c r="LE5" t="s">
        <v>1752</v>
      </c>
      <c r="LF5">
        <v>39.889671</v>
      </c>
      <c r="LG5" t="s">
        <v>1753</v>
      </c>
      <c r="LH5">
        <v>2025</v>
      </c>
      <c r="LI5" t="s">
        <v>2337</v>
      </c>
      <c r="LJ5" s="6">
        <v>46057</v>
      </c>
      <c r="LK5">
        <v>5</v>
      </c>
      <c r="LL5">
        <v>1471000000</v>
      </c>
      <c r="LM5">
        <v>815561</v>
      </c>
      <c r="LN5" t="s">
        <v>2338</v>
      </c>
      <c r="LS5" t="str">
        <f>_xll.BDS("HSH US Equity","SUPPLY_CHAIN_SUPPLIERS_ALL_DATA")</f>
        <v>#N/A N/A</v>
      </c>
      <c r="MG5" t="str">
        <f>_xll.BDS("HSH US Equity","SUPPLY_CHAIN_CUSTOMERS_ALL_DATA")</f>
        <v>#N/A N/A</v>
      </c>
      <c r="MW5" t="str">
        <f>_xll.BDS("14394Z US Equity","SUPPLY_CHAIN_SUPPLIERS_ALL_DATA")</f>
        <v>#N/A N/A</v>
      </c>
      <c r="NK5" t="str">
        <f>_xll.BDS("14394Z US Equity","SUPPLY_CHAIN_CUSTOMERS_ALL_DATA")</f>
        <v>#N/A N/A</v>
      </c>
      <c r="OA5" t="str">
        <f>_xll.BDS("9749933D US Equity","SUPPLY_CHAIN_SUPPLIERS_ALL_DATA")</f>
        <v>#N/A N/A</v>
      </c>
      <c r="OO5" t="str">
        <f>_xll.BDS("9749933D US Equity","SUPPLY_CHAIN_CUSTOMERS_ALL_DATA")</f>
        <v>#N/A N/A</v>
      </c>
      <c r="PE5" t="str">
        <f>_xll.BDS("PFE US Equity","SUPPLY_CHAIN_SUPPLIERS_ALL_DATA","cols=12;rows=5")</f>
        <v>BNTX US Equity</v>
      </c>
      <c r="PF5" t="s">
        <v>1752</v>
      </c>
      <c r="PG5">
        <v>73</v>
      </c>
      <c r="PH5">
        <v>12.187704999999999</v>
      </c>
      <c r="PI5" t="s">
        <v>1753</v>
      </c>
      <c r="PJ5">
        <v>2024</v>
      </c>
      <c r="PK5" t="s">
        <v>4034</v>
      </c>
      <c r="PL5" s="6">
        <v>45726</v>
      </c>
      <c r="PM5">
        <v>5</v>
      </c>
      <c r="PN5">
        <v>544064265</v>
      </c>
      <c r="PO5">
        <v>65839686</v>
      </c>
      <c r="PP5" t="s">
        <v>4035</v>
      </c>
      <c r="PS5" t="str">
        <f>_xll.BDS("PFE US Equity","SUPPLY_CHAIN_CUSTOMERS_ALL_DATA","cols=12;rows=5")</f>
        <v>MCK US Equity</v>
      </c>
      <c r="PT5">
        <v>25</v>
      </c>
      <c r="PU5" t="s">
        <v>1752</v>
      </c>
      <c r="PV5">
        <v>4.0761390000000004</v>
      </c>
      <c r="PW5" t="s">
        <v>1753</v>
      </c>
      <c r="PX5">
        <v>2025</v>
      </c>
      <c r="PY5" t="s">
        <v>3719</v>
      </c>
      <c r="PZ5" s="6">
        <v>46079</v>
      </c>
      <c r="QA5">
        <v>5</v>
      </c>
      <c r="QB5">
        <v>3911187456</v>
      </c>
      <c r="QC5">
        <v>154936</v>
      </c>
      <c r="QD5" t="s">
        <v>2342</v>
      </c>
      <c r="QI5" t="str">
        <f>_xll.BDS("ORCL US Equity","SUPPLY_CHAIN_SUPPLIERS_ALL_DATA","cols=12;rows=5")</f>
        <v>NVDA US Equity</v>
      </c>
      <c r="QJ5" t="s">
        <v>1828</v>
      </c>
      <c r="QK5">
        <v>1.9751799999999999</v>
      </c>
      <c r="QL5">
        <v>11.182838</v>
      </c>
      <c r="QM5" t="s">
        <v>1825</v>
      </c>
      <c r="QN5">
        <v>2026</v>
      </c>
      <c r="QO5" t="s">
        <v>2352</v>
      </c>
      <c r="QP5" s="6">
        <v>46087</v>
      </c>
      <c r="QQ5">
        <v>5</v>
      </c>
      <c r="QR5">
        <v>1345630848</v>
      </c>
      <c r="QS5">
        <v>313657</v>
      </c>
      <c r="QT5" t="s">
        <v>2353</v>
      </c>
      <c r="QW5" t="str">
        <f>_xll.BDS("ORCL US Equity","SUPPLY_CHAIN_CUSTOMERS_ALL_DATA","cols=12;rows=5")</f>
        <v>ACN US Equity</v>
      </c>
      <c r="QX5">
        <v>1.9061380000000001</v>
      </c>
      <c r="QY5" t="s">
        <v>1752</v>
      </c>
      <c r="QZ5">
        <v>2.7725070000000001</v>
      </c>
      <c r="RA5" t="s">
        <v>1825</v>
      </c>
      <c r="RB5">
        <v>2025</v>
      </c>
      <c r="RC5" t="s">
        <v>1897</v>
      </c>
      <c r="RD5" s="6">
        <v>45848</v>
      </c>
      <c r="RE5">
        <v>5</v>
      </c>
      <c r="RF5">
        <v>303133120</v>
      </c>
      <c r="RG5">
        <v>300787</v>
      </c>
      <c r="RH5" t="s">
        <v>1898</v>
      </c>
      <c r="RM5" t="str">
        <f>_xll.BDS("MENT US Equity","SUPPLY_CHAIN_SUPPLIERS_ALL_DATA")</f>
        <v>#N/A N/A</v>
      </c>
      <c r="SA5" t="str">
        <f>_xll.BDS("MENT US Equity","SUPPLY_CHAIN_CUSTOMERS_ALL_DATA")</f>
        <v>#N/A N/A</v>
      </c>
      <c r="SQ5" t="str">
        <f>_xll.BDS("SWKH US Equity","SUPPLY_CHAIN_SUPPLIERS_ALL_DATA")</f>
        <v>#N/A N/A</v>
      </c>
      <c r="TE5" t="str">
        <f>_xll.BDS("SWKH US Equity","SUPPLY_CHAIN_CUSTOMERS_ALL_DATA","cols=12;rows=1")</f>
        <v>TVRD US Equity</v>
      </c>
      <c r="TF5">
        <v>-2.4245362661989844E-14</v>
      </c>
      <c r="TH5">
        <v>-2.4245362661989844E-14</v>
      </c>
      <c r="TI5" t="s">
        <v>1753</v>
      </c>
      <c r="TJ5">
        <v>2024</v>
      </c>
      <c r="TK5" t="s">
        <v>2672</v>
      </c>
      <c r="TL5" s="6">
        <v>45727</v>
      </c>
      <c r="TM5">
        <v>1</v>
      </c>
      <c r="TN5">
        <v>-2.4245362661989844E-14</v>
      </c>
      <c r="TO5">
        <v>14701642</v>
      </c>
      <c r="TP5" t="s">
        <v>2673</v>
      </c>
      <c r="TU5" t="str">
        <f>_xll.BDS("GVCM US Equity","SUPPLY_CHAIN_SUPPLIERS_ALL_DATA")</f>
        <v>#N/A N/A</v>
      </c>
      <c r="UI5" t="str">
        <f>_xll.BDS("GVCM US Equity","SUPPLY_CHAIN_CUSTOMERS_ALL_DATA")</f>
        <v>#N/A N/A</v>
      </c>
      <c r="UY5" t="str">
        <f>_xll.BDS("ORCL US Equity","SUPPLY_CHAIN_SUPPLIERS_ALL_DATA","cols=12;rows=5")</f>
        <v>NVDA US Equity</v>
      </c>
      <c r="UZ5" t="s">
        <v>1828</v>
      </c>
      <c r="VA5">
        <v>1.9751799999999999</v>
      </c>
      <c r="VB5">
        <v>11.182838</v>
      </c>
      <c r="VC5" t="s">
        <v>1825</v>
      </c>
      <c r="VD5">
        <v>2026</v>
      </c>
      <c r="VE5" t="s">
        <v>2352</v>
      </c>
      <c r="VF5" s="6">
        <v>46087</v>
      </c>
      <c r="VG5">
        <v>5</v>
      </c>
      <c r="VH5">
        <v>1345630848</v>
      </c>
      <c r="VI5">
        <v>313657</v>
      </c>
      <c r="VJ5" t="s">
        <v>2353</v>
      </c>
      <c r="VM5" t="str">
        <f>_xll.BDS("ORCL US Equity","SUPPLY_CHAIN_CUSTOMERS_ALL_DATA","cols=12;rows=5")</f>
        <v>ACN US Equity</v>
      </c>
      <c r="VN5">
        <v>1.9061380000000001</v>
      </c>
      <c r="VO5" t="s">
        <v>1752</v>
      </c>
      <c r="VP5">
        <v>2.7725070000000001</v>
      </c>
      <c r="VQ5" t="s">
        <v>1825</v>
      </c>
      <c r="VR5">
        <v>2025</v>
      </c>
      <c r="VS5" t="s">
        <v>1897</v>
      </c>
      <c r="VT5" s="6">
        <v>45848</v>
      </c>
      <c r="VU5">
        <v>5</v>
      </c>
      <c r="VV5">
        <v>303133120</v>
      </c>
      <c r="VW5">
        <v>300787</v>
      </c>
      <c r="VX5" t="s">
        <v>1898</v>
      </c>
    </row>
    <row r="6" spans="1:600" x14ac:dyDescent="0.25">
      <c r="A6" t="s">
        <v>3444</v>
      </c>
      <c r="B6" t="s">
        <v>1752</v>
      </c>
      <c r="C6">
        <v>2.2218999999999999E-2</v>
      </c>
      <c r="D6">
        <v>0.16142799999999999</v>
      </c>
      <c r="E6" t="s">
        <v>1774</v>
      </c>
      <c r="F6">
        <v>2026</v>
      </c>
      <c r="G6" t="s">
        <v>3445</v>
      </c>
      <c r="H6" s="6">
        <v>46071</v>
      </c>
      <c r="I6">
        <v>5</v>
      </c>
      <c r="J6">
        <v>1210713</v>
      </c>
      <c r="K6">
        <v>61417091</v>
      </c>
      <c r="L6" t="s">
        <v>3446</v>
      </c>
      <c r="O6" t="s">
        <v>2341</v>
      </c>
      <c r="P6">
        <v>15</v>
      </c>
      <c r="Q6" t="s">
        <v>1752</v>
      </c>
      <c r="R6">
        <v>0.43576500000000001</v>
      </c>
      <c r="S6" t="s">
        <v>1753</v>
      </c>
      <c r="T6">
        <v>2024</v>
      </c>
      <c r="U6" t="s">
        <v>3270</v>
      </c>
      <c r="V6" s="6">
        <v>45708</v>
      </c>
      <c r="W6">
        <v>5</v>
      </c>
      <c r="X6">
        <v>360937504</v>
      </c>
      <c r="Y6">
        <v>154936</v>
      </c>
      <c r="Z6" t="s">
        <v>2342</v>
      </c>
      <c r="AE6" t="s">
        <v>2888</v>
      </c>
      <c r="AF6" t="s">
        <v>1752</v>
      </c>
      <c r="AG6">
        <v>2.199E-3</v>
      </c>
      <c r="AH6">
        <v>5.9576999999999998E-2</v>
      </c>
      <c r="AI6" t="s">
        <v>1774</v>
      </c>
      <c r="AJ6">
        <v>2025</v>
      </c>
      <c r="AK6" t="s">
        <v>2889</v>
      </c>
      <c r="AL6" s="6">
        <v>45869</v>
      </c>
      <c r="AM6">
        <v>5</v>
      </c>
      <c r="AN6">
        <v>17494.75</v>
      </c>
      <c r="AO6">
        <v>153771</v>
      </c>
      <c r="AP6" t="s">
        <v>2890</v>
      </c>
      <c r="AS6" t="s">
        <v>1791</v>
      </c>
      <c r="AT6">
        <v>-2.4245362661989844E-14</v>
      </c>
      <c r="AV6">
        <v>-2.4245362661989844E-14</v>
      </c>
      <c r="AW6" t="s">
        <v>1753</v>
      </c>
      <c r="AX6">
        <v>2024</v>
      </c>
      <c r="AY6" t="s">
        <v>2687</v>
      </c>
      <c r="AZ6" s="6">
        <v>45722</v>
      </c>
      <c r="BA6">
        <v>4</v>
      </c>
      <c r="BB6">
        <v>-2.4245362661989844E-14</v>
      </c>
      <c r="BC6">
        <v>218252</v>
      </c>
      <c r="BD6" t="s">
        <v>1793</v>
      </c>
      <c r="BI6" t="s">
        <v>1110</v>
      </c>
      <c r="BK6">
        <v>-2.4245362661989844E-14</v>
      </c>
      <c r="BL6">
        <v>-2.4245362661989844E-14</v>
      </c>
      <c r="BM6" t="s">
        <v>1774</v>
      </c>
      <c r="BN6">
        <v>2023</v>
      </c>
      <c r="BO6" t="s">
        <v>2226</v>
      </c>
      <c r="BP6" s="6">
        <v>45174</v>
      </c>
      <c r="BQ6">
        <v>2</v>
      </c>
      <c r="BR6">
        <v>-2.4245362661989844E-14</v>
      </c>
      <c r="BS6">
        <v>202476</v>
      </c>
      <c r="BT6" t="s">
        <v>2227</v>
      </c>
      <c r="CM6" t="s">
        <v>2066</v>
      </c>
      <c r="CO6">
        <v>-2.4245362661989844E-14</v>
      </c>
      <c r="CP6">
        <v>-2.4245362661989844E-14</v>
      </c>
      <c r="CQ6" t="s">
        <v>1753</v>
      </c>
      <c r="CR6">
        <v>2025</v>
      </c>
      <c r="CS6" t="s">
        <v>2067</v>
      </c>
      <c r="CT6" s="6">
        <v>45722</v>
      </c>
      <c r="CU6">
        <v>2</v>
      </c>
      <c r="CV6">
        <v>-2.4245362661989844E-14</v>
      </c>
      <c r="CW6">
        <v>58052814</v>
      </c>
      <c r="CX6" t="s">
        <v>2068</v>
      </c>
      <c r="DA6" t="s">
        <v>1794</v>
      </c>
      <c r="DB6">
        <v>-2.4245362661989844E-14</v>
      </c>
      <c r="DD6">
        <v>-2.4245362661989844E-14</v>
      </c>
      <c r="DE6" t="s">
        <v>1753</v>
      </c>
      <c r="DF6">
        <v>2025</v>
      </c>
      <c r="DG6" t="s">
        <v>1795</v>
      </c>
      <c r="DH6" s="6">
        <v>45931</v>
      </c>
      <c r="DI6">
        <v>5</v>
      </c>
      <c r="DJ6">
        <v>-2.4245362661989844E-14</v>
      </c>
      <c r="DK6">
        <v>18782064</v>
      </c>
      <c r="DL6" t="s">
        <v>1796</v>
      </c>
      <c r="EU6" t="s">
        <v>3028</v>
      </c>
      <c r="EW6">
        <v>0.43573800000000001</v>
      </c>
      <c r="EX6">
        <v>-2.4245362661989844E-14</v>
      </c>
      <c r="EY6" t="s">
        <v>1753</v>
      </c>
      <c r="EZ6">
        <v>2024</v>
      </c>
      <c r="FA6" t="s">
        <v>3029</v>
      </c>
      <c r="FB6" s="6">
        <v>45698</v>
      </c>
      <c r="FC6">
        <v>5</v>
      </c>
      <c r="FD6">
        <v>1422500</v>
      </c>
      <c r="FE6">
        <v>24112045</v>
      </c>
      <c r="FF6" t="s">
        <v>3030</v>
      </c>
      <c r="FY6" t="s">
        <v>1180</v>
      </c>
      <c r="GA6">
        <v>-2.4245362661989844E-14</v>
      </c>
      <c r="GB6">
        <v>-2.4245362661989844E-14</v>
      </c>
      <c r="GC6" t="s">
        <v>1753</v>
      </c>
      <c r="GD6">
        <v>2021</v>
      </c>
      <c r="GE6" t="s">
        <v>2395</v>
      </c>
      <c r="GF6" s="6">
        <v>44693</v>
      </c>
      <c r="GG6">
        <v>5</v>
      </c>
      <c r="GH6">
        <v>-2.4245362661989844E-14</v>
      </c>
      <c r="GI6">
        <v>100193</v>
      </c>
      <c r="GJ6" t="s">
        <v>1951</v>
      </c>
      <c r="KO6" t="s">
        <v>2403</v>
      </c>
      <c r="KP6" t="s">
        <v>1752</v>
      </c>
      <c r="KQ6">
        <v>7.8042579999999999</v>
      </c>
      <c r="KR6">
        <v>7.8010729999999997</v>
      </c>
      <c r="KS6" t="s">
        <v>1842</v>
      </c>
      <c r="KT6">
        <v>2025</v>
      </c>
      <c r="KU6" t="s">
        <v>2404</v>
      </c>
      <c r="KV6" s="6">
        <v>45922</v>
      </c>
      <c r="KW6">
        <v>5</v>
      </c>
      <c r="KX6">
        <v>40000000</v>
      </c>
      <c r="KY6">
        <v>62317360</v>
      </c>
      <c r="KZ6" t="s">
        <v>2405</v>
      </c>
      <c r="LC6" t="s">
        <v>1545</v>
      </c>
      <c r="LD6">
        <v>24.919024</v>
      </c>
      <c r="LE6" t="s">
        <v>1752</v>
      </c>
      <c r="LF6">
        <v>1.207052</v>
      </c>
      <c r="LG6" t="s">
        <v>1753</v>
      </c>
      <c r="LH6">
        <v>2024</v>
      </c>
      <c r="LI6" t="s">
        <v>2339</v>
      </c>
      <c r="LJ6" s="6">
        <v>45693</v>
      </c>
      <c r="LK6">
        <v>5</v>
      </c>
      <c r="LL6">
        <v>884749952</v>
      </c>
      <c r="LM6">
        <v>156969</v>
      </c>
      <c r="LN6" t="s">
        <v>2340</v>
      </c>
      <c r="PE6" t="s">
        <v>385</v>
      </c>
      <c r="PF6" t="s">
        <v>1752</v>
      </c>
      <c r="PG6">
        <v>0.22900000000000001</v>
      </c>
      <c r="PH6">
        <v>1.2800659999999999</v>
      </c>
      <c r="PI6" t="s">
        <v>1825</v>
      </c>
      <c r="PJ6">
        <v>2025</v>
      </c>
      <c r="PK6" t="s">
        <v>1897</v>
      </c>
      <c r="PL6" s="6">
        <v>45848</v>
      </c>
      <c r="PM6">
        <v>5</v>
      </c>
      <c r="PN6">
        <v>36417872</v>
      </c>
      <c r="PO6">
        <v>101752</v>
      </c>
      <c r="PP6" t="s">
        <v>2109</v>
      </c>
      <c r="PS6" t="s">
        <v>1545</v>
      </c>
      <c r="PT6">
        <v>16</v>
      </c>
      <c r="PU6" t="s">
        <v>1752</v>
      </c>
      <c r="PV6">
        <v>3.190922</v>
      </c>
      <c r="PW6" t="s">
        <v>1753</v>
      </c>
      <c r="PX6">
        <v>2025</v>
      </c>
      <c r="PY6" t="s">
        <v>3719</v>
      </c>
      <c r="PZ6" s="6">
        <v>46079</v>
      </c>
      <c r="QA6">
        <v>5</v>
      </c>
      <c r="QB6">
        <v>2503160064</v>
      </c>
      <c r="QC6">
        <v>156969</v>
      </c>
      <c r="QD6" t="s">
        <v>2340</v>
      </c>
      <c r="QI6" t="s">
        <v>2354</v>
      </c>
      <c r="QJ6" t="s">
        <v>1828</v>
      </c>
      <c r="QK6">
        <v>3.5808580000000001</v>
      </c>
      <c r="QL6">
        <v>3.236755</v>
      </c>
      <c r="QM6" t="s">
        <v>1774</v>
      </c>
      <c r="QN6">
        <v>2025</v>
      </c>
      <c r="QO6" t="s">
        <v>2355</v>
      </c>
      <c r="QP6" s="6">
        <v>45947</v>
      </c>
      <c r="QQ6">
        <v>5</v>
      </c>
      <c r="QR6">
        <v>275188928</v>
      </c>
      <c r="QS6">
        <v>100010</v>
      </c>
      <c r="QT6" t="s">
        <v>2356</v>
      </c>
      <c r="QW6" t="s">
        <v>1079</v>
      </c>
      <c r="QX6">
        <v>1.3419890000000001</v>
      </c>
      <c r="QY6" t="s">
        <v>1752</v>
      </c>
      <c r="QZ6">
        <v>0.27725100000000003</v>
      </c>
      <c r="RA6" t="s">
        <v>1825</v>
      </c>
      <c r="RB6">
        <v>2025</v>
      </c>
      <c r="RC6" t="s">
        <v>1897</v>
      </c>
      <c r="RD6" s="6">
        <v>45848</v>
      </c>
      <c r="RE6">
        <v>5</v>
      </c>
      <c r="RF6">
        <v>213416512</v>
      </c>
      <c r="RG6">
        <v>216952</v>
      </c>
      <c r="RH6" t="s">
        <v>1899</v>
      </c>
      <c r="UY6" t="s">
        <v>2354</v>
      </c>
      <c r="UZ6" t="s">
        <v>1828</v>
      </c>
      <c r="VA6">
        <v>3.5808580000000001</v>
      </c>
      <c r="VB6">
        <v>3.236755</v>
      </c>
      <c r="VC6" t="s">
        <v>1774</v>
      </c>
      <c r="VD6">
        <v>2025</v>
      </c>
      <c r="VE6" t="s">
        <v>2355</v>
      </c>
      <c r="VF6" s="6">
        <v>45947</v>
      </c>
      <c r="VG6">
        <v>5</v>
      </c>
      <c r="VH6">
        <v>275188928</v>
      </c>
      <c r="VI6">
        <v>100010</v>
      </c>
      <c r="VJ6" t="s">
        <v>2356</v>
      </c>
      <c r="VM6" t="s">
        <v>1079</v>
      </c>
      <c r="VN6">
        <v>1.3419890000000001</v>
      </c>
      <c r="VO6" t="s">
        <v>1752</v>
      </c>
      <c r="VP6">
        <v>0.27725100000000003</v>
      </c>
      <c r="VQ6" t="s">
        <v>1825</v>
      </c>
      <c r="VR6">
        <v>2025</v>
      </c>
      <c r="VS6" t="s">
        <v>1897</v>
      </c>
      <c r="VT6" s="6">
        <v>45848</v>
      </c>
      <c r="VU6">
        <v>5</v>
      </c>
      <c r="VV6">
        <v>213416512</v>
      </c>
      <c r="VW6">
        <v>216952</v>
      </c>
      <c r="VX6" t="s">
        <v>1899</v>
      </c>
    </row>
    <row r="7" spans="1:600" x14ac:dyDescent="0.25">
      <c r="A7" t="s">
        <v>3447</v>
      </c>
      <c r="C7">
        <v>-2.4245362661989844E-14</v>
      </c>
      <c r="D7">
        <v>-2.4245362661989844E-14</v>
      </c>
      <c r="E7" t="s">
        <v>1753</v>
      </c>
      <c r="F7">
        <v>2025</v>
      </c>
      <c r="G7" t="s">
        <v>3448</v>
      </c>
      <c r="H7" s="6">
        <v>45834</v>
      </c>
      <c r="I7">
        <v>5</v>
      </c>
      <c r="J7">
        <v>-2.4245362661989844E-14</v>
      </c>
      <c r="K7">
        <v>113879</v>
      </c>
      <c r="L7" t="s">
        <v>3449</v>
      </c>
      <c r="O7" t="s">
        <v>1461</v>
      </c>
      <c r="P7">
        <v>14</v>
      </c>
      <c r="Q7" t="s">
        <v>1752</v>
      </c>
      <c r="R7">
        <v>0.62815500000000002</v>
      </c>
      <c r="S7" t="s">
        <v>1753</v>
      </c>
      <c r="T7">
        <v>2024</v>
      </c>
      <c r="U7" t="s">
        <v>3270</v>
      </c>
      <c r="V7" s="6">
        <v>45708</v>
      </c>
      <c r="W7">
        <v>5</v>
      </c>
      <c r="X7">
        <v>336875008</v>
      </c>
      <c r="Y7">
        <v>102782</v>
      </c>
      <c r="Z7" t="s">
        <v>1991</v>
      </c>
      <c r="AE7" t="s">
        <v>2891</v>
      </c>
      <c r="AG7">
        <v>-2.4245362661989844E-14</v>
      </c>
      <c r="AH7">
        <v>-2.4245362661989844E-14</v>
      </c>
      <c r="AI7" t="s">
        <v>1753</v>
      </c>
      <c r="AJ7">
        <v>2023</v>
      </c>
      <c r="AK7" t="s">
        <v>2892</v>
      </c>
      <c r="AL7" s="6">
        <v>45357</v>
      </c>
      <c r="AM7">
        <v>5</v>
      </c>
      <c r="AN7">
        <v>-2.4245362661989844E-14</v>
      </c>
      <c r="AO7">
        <v>60973313</v>
      </c>
      <c r="AP7" t="s">
        <v>2893</v>
      </c>
      <c r="AS7" t="s">
        <v>2689</v>
      </c>
      <c r="AT7">
        <v>-2.4245362661989844E-14</v>
      </c>
      <c r="AV7">
        <v>-2.4245362661989844E-14</v>
      </c>
      <c r="AW7" t="s">
        <v>1753</v>
      </c>
      <c r="AX7">
        <v>2024</v>
      </c>
      <c r="AY7" t="s">
        <v>2687</v>
      </c>
      <c r="AZ7" s="6">
        <v>45722</v>
      </c>
      <c r="BA7">
        <v>4</v>
      </c>
      <c r="BB7">
        <v>-2.4245362661989844E-14</v>
      </c>
      <c r="BC7">
        <v>957754</v>
      </c>
      <c r="BD7" t="s">
        <v>2690</v>
      </c>
      <c r="DA7" t="s">
        <v>1797</v>
      </c>
      <c r="DB7">
        <v>-2.4245362661989844E-14</v>
      </c>
      <c r="DD7">
        <v>-2.4245362661989844E-14</v>
      </c>
      <c r="DE7" t="s">
        <v>1753</v>
      </c>
      <c r="DF7">
        <v>2025</v>
      </c>
      <c r="DG7" t="s">
        <v>1795</v>
      </c>
      <c r="DH7" s="6">
        <v>45931</v>
      </c>
      <c r="DI7">
        <v>5</v>
      </c>
      <c r="DJ7">
        <v>-2.4245362661989844E-14</v>
      </c>
      <c r="DK7">
        <v>17712908</v>
      </c>
      <c r="DL7" t="s">
        <v>1798</v>
      </c>
      <c r="EU7" t="s">
        <v>3881</v>
      </c>
      <c r="EW7">
        <v>0.85</v>
      </c>
      <c r="EX7">
        <v>-2.4245362661989844E-14</v>
      </c>
      <c r="EY7" t="s">
        <v>1753</v>
      </c>
      <c r="EZ7">
        <v>2024</v>
      </c>
      <c r="FA7" t="s">
        <v>3882</v>
      </c>
      <c r="FB7" s="6">
        <v>45719</v>
      </c>
      <c r="FC7">
        <v>5</v>
      </c>
      <c r="FD7">
        <v>1095567.25</v>
      </c>
      <c r="FE7">
        <v>126294</v>
      </c>
      <c r="FF7" t="s">
        <v>3883</v>
      </c>
      <c r="FY7" t="s">
        <v>2663</v>
      </c>
      <c r="GA7">
        <v>-2.4245362661989844E-14</v>
      </c>
      <c r="GB7">
        <v>-2.4245362661989844E-14</v>
      </c>
      <c r="GC7" t="s">
        <v>1753</v>
      </c>
      <c r="GD7">
        <v>2021</v>
      </c>
      <c r="GE7" t="s">
        <v>2664</v>
      </c>
      <c r="GF7" s="6">
        <v>44693</v>
      </c>
      <c r="GG7">
        <v>5</v>
      </c>
      <c r="GH7">
        <v>-2.4245362661989844E-14</v>
      </c>
      <c r="GI7">
        <v>100481</v>
      </c>
      <c r="GJ7" t="s">
        <v>2665</v>
      </c>
      <c r="KO7" t="s">
        <v>2406</v>
      </c>
      <c r="KP7" t="s">
        <v>2407</v>
      </c>
      <c r="KQ7">
        <v>3.0683609999999999</v>
      </c>
      <c r="KR7">
        <v>1.947916</v>
      </c>
      <c r="KS7" t="s">
        <v>1753</v>
      </c>
      <c r="KT7">
        <v>2025</v>
      </c>
      <c r="KU7" t="s">
        <v>2408</v>
      </c>
      <c r="KV7" s="6">
        <v>46065</v>
      </c>
      <c r="KW7">
        <v>5</v>
      </c>
      <c r="KX7">
        <v>28489250</v>
      </c>
      <c r="KY7">
        <v>8215130</v>
      </c>
      <c r="KZ7" t="s">
        <v>2409</v>
      </c>
      <c r="LC7" t="s">
        <v>2341</v>
      </c>
      <c r="LD7">
        <v>11.961131999999999</v>
      </c>
      <c r="LE7" t="s">
        <v>1752</v>
      </c>
      <c r="LF7">
        <v>0.51272200000000001</v>
      </c>
      <c r="LG7" t="s">
        <v>1753</v>
      </c>
      <c r="LH7">
        <v>2024</v>
      </c>
      <c r="LI7" t="s">
        <v>2339</v>
      </c>
      <c r="LJ7" s="6">
        <v>45693</v>
      </c>
      <c r="LK7">
        <v>5</v>
      </c>
      <c r="LL7">
        <v>424680000</v>
      </c>
      <c r="LM7">
        <v>154936</v>
      </c>
      <c r="LN7" t="s">
        <v>2342</v>
      </c>
      <c r="PE7" t="s">
        <v>2412</v>
      </c>
      <c r="PF7" t="s">
        <v>1752</v>
      </c>
      <c r="PG7">
        <v>3.7231350000000001</v>
      </c>
      <c r="PH7">
        <v>0.80518199999999995</v>
      </c>
      <c r="PI7" t="s">
        <v>1788</v>
      </c>
      <c r="PJ7">
        <v>2025</v>
      </c>
      <c r="PK7" t="s">
        <v>2413</v>
      </c>
      <c r="PL7" s="6">
        <v>46069</v>
      </c>
      <c r="PM7">
        <v>5</v>
      </c>
      <c r="PN7">
        <v>33600181.100000001</v>
      </c>
      <c r="PO7">
        <v>153809</v>
      </c>
      <c r="PP7" t="s">
        <v>2414</v>
      </c>
      <c r="PS7" t="s">
        <v>1461</v>
      </c>
      <c r="PT7">
        <v>13</v>
      </c>
      <c r="PU7" t="s">
        <v>1752</v>
      </c>
      <c r="PV7">
        <v>3.4525320000000002</v>
      </c>
      <c r="PW7" t="s">
        <v>1753</v>
      </c>
      <c r="PX7">
        <v>2025</v>
      </c>
      <c r="PY7" t="s">
        <v>3719</v>
      </c>
      <c r="PZ7" s="6">
        <v>46079</v>
      </c>
      <c r="QA7">
        <v>5</v>
      </c>
      <c r="QB7">
        <v>2033817472</v>
      </c>
      <c r="QC7">
        <v>102782</v>
      </c>
      <c r="QD7" t="s">
        <v>1991</v>
      </c>
      <c r="QI7" t="s">
        <v>2357</v>
      </c>
      <c r="QJ7" t="s">
        <v>1828</v>
      </c>
      <c r="QK7">
        <v>0.91127400000000003</v>
      </c>
      <c r="QL7">
        <v>1.364298</v>
      </c>
      <c r="QM7" t="s">
        <v>1825</v>
      </c>
      <c r="QN7">
        <v>2025</v>
      </c>
      <c r="QO7" t="s">
        <v>2358</v>
      </c>
      <c r="QP7" s="6">
        <v>46010</v>
      </c>
      <c r="QQ7">
        <v>5</v>
      </c>
      <c r="QR7">
        <v>164166016</v>
      </c>
      <c r="QS7">
        <v>59907412</v>
      </c>
      <c r="QT7" t="s">
        <v>2359</v>
      </c>
      <c r="QW7" t="s">
        <v>1824</v>
      </c>
      <c r="QX7">
        <v>1.0301469999999999</v>
      </c>
      <c r="QY7" t="s">
        <v>1752</v>
      </c>
      <c r="QZ7">
        <v>1.0221020000000001</v>
      </c>
      <c r="RA7" t="s">
        <v>1825</v>
      </c>
      <c r="RB7">
        <v>2025</v>
      </c>
      <c r="RC7" t="s">
        <v>1826</v>
      </c>
      <c r="RD7" s="6">
        <v>46056</v>
      </c>
      <c r="RE7">
        <v>5</v>
      </c>
      <c r="RF7">
        <v>165420976</v>
      </c>
      <c r="RG7">
        <v>1499717</v>
      </c>
      <c r="RH7" t="s">
        <v>1827</v>
      </c>
      <c r="UY7" t="s">
        <v>2357</v>
      </c>
      <c r="UZ7" t="s">
        <v>1828</v>
      </c>
      <c r="VA7">
        <v>0.91127400000000003</v>
      </c>
      <c r="VB7">
        <v>1.364298</v>
      </c>
      <c r="VC7" t="s">
        <v>1825</v>
      </c>
      <c r="VD7">
        <v>2025</v>
      </c>
      <c r="VE7" t="s">
        <v>2358</v>
      </c>
      <c r="VF7" s="6">
        <v>46010</v>
      </c>
      <c r="VG7">
        <v>5</v>
      </c>
      <c r="VH7">
        <v>164166016</v>
      </c>
      <c r="VI7">
        <v>59907412</v>
      </c>
      <c r="VJ7" t="s">
        <v>2359</v>
      </c>
      <c r="VM7" t="s">
        <v>1824</v>
      </c>
      <c r="VN7">
        <v>1.0301469999999999</v>
      </c>
      <c r="VO7" t="s">
        <v>1752</v>
      </c>
      <c r="VP7">
        <v>1.0221020000000001</v>
      </c>
      <c r="VQ7" t="s">
        <v>1825</v>
      </c>
      <c r="VR7">
        <v>2025</v>
      </c>
      <c r="VS7" t="s">
        <v>1826</v>
      </c>
      <c r="VT7" s="6">
        <v>46056</v>
      </c>
      <c r="VU7">
        <v>5</v>
      </c>
      <c r="VV7">
        <v>165420976</v>
      </c>
      <c r="VW7">
        <v>1499717</v>
      </c>
      <c r="VX7" t="s">
        <v>1827</v>
      </c>
    </row>
    <row r="8" spans="1:600" x14ac:dyDescent="0.25">
      <c r="A8" t="s">
        <v>3450</v>
      </c>
      <c r="C8">
        <v>-2.4245362661989844E-14</v>
      </c>
      <c r="D8">
        <v>-2.4245362661989844E-14</v>
      </c>
      <c r="E8" t="s">
        <v>1753</v>
      </c>
      <c r="F8">
        <v>2025</v>
      </c>
      <c r="G8" t="s">
        <v>3451</v>
      </c>
      <c r="H8" s="6">
        <v>45831</v>
      </c>
      <c r="I8">
        <v>5</v>
      </c>
      <c r="J8">
        <v>-2.4245362661989844E-14</v>
      </c>
      <c r="K8">
        <v>114633</v>
      </c>
      <c r="L8" t="s">
        <v>3452</v>
      </c>
      <c r="O8" t="s">
        <v>2086</v>
      </c>
      <c r="P8">
        <v>0.56705499999999998</v>
      </c>
      <c r="Q8" t="s">
        <v>1752</v>
      </c>
      <c r="R8">
        <v>7.4500999999999998E-2</v>
      </c>
      <c r="S8" t="s">
        <v>1774</v>
      </c>
      <c r="T8">
        <v>2025</v>
      </c>
      <c r="U8" t="s">
        <v>2087</v>
      </c>
      <c r="V8" s="6">
        <v>45887</v>
      </c>
      <c r="W8">
        <v>5</v>
      </c>
      <c r="X8">
        <v>14331914.74</v>
      </c>
      <c r="Y8">
        <v>115643</v>
      </c>
      <c r="Z8" t="s">
        <v>2088</v>
      </c>
      <c r="AE8" t="s">
        <v>2343</v>
      </c>
      <c r="AG8">
        <v>-2.4245362661989844E-14</v>
      </c>
      <c r="AH8">
        <v>-2.4245362661989844E-14</v>
      </c>
      <c r="AI8" t="s">
        <v>1753</v>
      </c>
      <c r="AJ8">
        <v>2022</v>
      </c>
      <c r="AK8" t="s">
        <v>2692</v>
      </c>
      <c r="AL8" s="6">
        <v>44994</v>
      </c>
      <c r="AM8">
        <v>5</v>
      </c>
      <c r="AN8">
        <v>-2.4245362661989844E-14</v>
      </c>
      <c r="AO8">
        <v>115679</v>
      </c>
      <c r="AP8" t="s">
        <v>2344</v>
      </c>
      <c r="AS8" t="s">
        <v>2691</v>
      </c>
      <c r="AT8">
        <v>-2.4245362661989844E-14</v>
      </c>
      <c r="AV8">
        <v>-2.4245362661989844E-14</v>
      </c>
      <c r="AW8" t="s">
        <v>1753</v>
      </c>
      <c r="AX8">
        <v>2022</v>
      </c>
      <c r="AY8" t="s">
        <v>2692</v>
      </c>
      <c r="AZ8" s="6">
        <v>44994</v>
      </c>
      <c r="BA8">
        <v>4</v>
      </c>
      <c r="BB8">
        <v>-2.4245362661989844E-14</v>
      </c>
      <c r="BC8">
        <v>38340724</v>
      </c>
      <c r="BD8" t="s">
        <v>2693</v>
      </c>
      <c r="DA8" t="s">
        <v>1799</v>
      </c>
      <c r="DB8">
        <v>-2.4245362661989844E-14</v>
      </c>
      <c r="DD8">
        <v>-2.4245362661989844E-14</v>
      </c>
      <c r="DE8" t="s">
        <v>1753</v>
      </c>
      <c r="DF8">
        <v>2025</v>
      </c>
      <c r="DG8" t="s">
        <v>1795</v>
      </c>
      <c r="DH8" s="6">
        <v>45715</v>
      </c>
      <c r="DI8">
        <v>5</v>
      </c>
      <c r="DJ8">
        <v>-2.4245362661989844E-14</v>
      </c>
      <c r="DK8">
        <v>17530883</v>
      </c>
      <c r="DL8" t="s">
        <v>1800</v>
      </c>
      <c r="EU8" t="s">
        <v>4304</v>
      </c>
      <c r="EW8">
        <v>0.88563700000000001</v>
      </c>
      <c r="EX8">
        <v>-2.4245362661989844E-14</v>
      </c>
      <c r="EY8" t="s">
        <v>1788</v>
      </c>
      <c r="EZ8">
        <v>2025</v>
      </c>
      <c r="FA8" t="s">
        <v>4305</v>
      </c>
      <c r="FB8" s="6">
        <v>45958</v>
      </c>
      <c r="FC8">
        <v>5</v>
      </c>
      <c r="FD8">
        <v>334390</v>
      </c>
      <c r="FE8">
        <v>69243428</v>
      </c>
      <c r="FF8" t="s">
        <v>4306</v>
      </c>
      <c r="FY8" t="s">
        <v>2221</v>
      </c>
      <c r="GA8">
        <v>-2.4245362661989844E-14</v>
      </c>
      <c r="GB8">
        <v>-2.4245362661989844E-14</v>
      </c>
      <c r="GC8" t="s">
        <v>1753</v>
      </c>
      <c r="GD8">
        <v>2021</v>
      </c>
      <c r="GE8" t="s">
        <v>2222</v>
      </c>
      <c r="GF8" s="6">
        <v>44693</v>
      </c>
      <c r="GG8">
        <v>5</v>
      </c>
      <c r="GH8">
        <v>-2.4245362661989844E-14</v>
      </c>
      <c r="GI8">
        <v>302916</v>
      </c>
      <c r="GJ8" t="s">
        <v>2223</v>
      </c>
      <c r="KO8" t="s">
        <v>487</v>
      </c>
      <c r="KP8" t="s">
        <v>2407</v>
      </c>
      <c r="KQ8">
        <v>0.99502800000000002</v>
      </c>
      <c r="KR8">
        <v>0.72237700000000005</v>
      </c>
      <c r="KS8" t="s">
        <v>1774</v>
      </c>
      <c r="KT8">
        <v>2025</v>
      </c>
      <c r="KU8" t="s">
        <v>2410</v>
      </c>
      <c r="KV8" s="6">
        <v>45921</v>
      </c>
      <c r="KW8">
        <v>5</v>
      </c>
      <c r="KX8">
        <v>10270032</v>
      </c>
      <c r="KY8">
        <v>963610</v>
      </c>
      <c r="KZ8" t="s">
        <v>2411</v>
      </c>
      <c r="LC8" t="s">
        <v>2343</v>
      </c>
      <c r="LD8">
        <v>9.9171019999999999</v>
      </c>
      <c r="LE8" t="s">
        <v>1752</v>
      </c>
      <c r="LF8">
        <v>6.4258369999999996</v>
      </c>
      <c r="LG8" t="s">
        <v>1753</v>
      </c>
      <c r="LH8">
        <v>2025</v>
      </c>
      <c r="LI8" t="s">
        <v>2337</v>
      </c>
      <c r="LJ8" s="6">
        <v>46057</v>
      </c>
      <c r="LK8">
        <v>5</v>
      </c>
      <c r="LL8">
        <v>355600000</v>
      </c>
      <c r="LM8">
        <v>115679</v>
      </c>
      <c r="LN8" t="s">
        <v>2344</v>
      </c>
      <c r="PE8" t="s">
        <v>1457</v>
      </c>
      <c r="PF8" t="s">
        <v>1752</v>
      </c>
      <c r="PG8">
        <v>0.238619</v>
      </c>
      <c r="PH8">
        <v>0.71575299999999997</v>
      </c>
      <c r="PI8" t="s">
        <v>1753</v>
      </c>
      <c r="PJ8">
        <v>2025</v>
      </c>
      <c r="PK8" t="s">
        <v>3294</v>
      </c>
      <c r="PL8" s="6">
        <v>46064</v>
      </c>
      <c r="PM8">
        <v>5</v>
      </c>
      <c r="PN8">
        <v>28750000</v>
      </c>
      <c r="PO8">
        <v>100225</v>
      </c>
      <c r="PP8" t="s">
        <v>2497</v>
      </c>
      <c r="PS8" t="s">
        <v>1457</v>
      </c>
      <c r="PT8">
        <v>11.153900999999999</v>
      </c>
      <c r="PU8" t="s">
        <v>1752</v>
      </c>
      <c r="PV8">
        <v>50.086109</v>
      </c>
      <c r="PW8" t="s">
        <v>1753</v>
      </c>
      <c r="PX8">
        <v>2025</v>
      </c>
      <c r="PY8" t="s">
        <v>3294</v>
      </c>
      <c r="PZ8" s="6">
        <v>46064</v>
      </c>
      <c r="QA8">
        <v>5</v>
      </c>
      <c r="QB8">
        <v>1745000000</v>
      </c>
      <c r="QC8">
        <v>100225</v>
      </c>
      <c r="QD8" t="s">
        <v>2497</v>
      </c>
      <c r="QI8" t="s">
        <v>2360</v>
      </c>
      <c r="QJ8" t="s">
        <v>1828</v>
      </c>
      <c r="QK8">
        <v>6.234559</v>
      </c>
      <c r="QL8">
        <v>1.5138720000000001</v>
      </c>
      <c r="QM8" t="s">
        <v>1774</v>
      </c>
      <c r="QN8">
        <v>2025</v>
      </c>
      <c r="QO8" t="s">
        <v>2361</v>
      </c>
      <c r="QP8" s="6">
        <v>45897</v>
      </c>
      <c r="QQ8">
        <v>5</v>
      </c>
      <c r="QR8">
        <v>137459552</v>
      </c>
      <c r="QS8">
        <v>16532368</v>
      </c>
      <c r="QT8" t="s">
        <v>2362</v>
      </c>
      <c r="QW8" t="s">
        <v>1900</v>
      </c>
      <c r="QX8">
        <v>0.69902799999999998</v>
      </c>
      <c r="QY8" t="s">
        <v>1752</v>
      </c>
      <c r="QZ8">
        <v>0.138625</v>
      </c>
      <c r="RA8" t="s">
        <v>1825</v>
      </c>
      <c r="RB8">
        <v>2025</v>
      </c>
      <c r="RC8" t="s">
        <v>1897</v>
      </c>
      <c r="RD8" s="6">
        <v>45848</v>
      </c>
      <c r="RE8">
        <v>5</v>
      </c>
      <c r="RF8">
        <v>111166424</v>
      </c>
      <c r="RG8">
        <v>100976</v>
      </c>
      <c r="RH8" t="s">
        <v>1901</v>
      </c>
      <c r="UY8" t="s">
        <v>2360</v>
      </c>
      <c r="UZ8" t="s">
        <v>1828</v>
      </c>
      <c r="VA8">
        <v>6.234559</v>
      </c>
      <c r="VB8">
        <v>1.5138720000000001</v>
      </c>
      <c r="VC8" t="s">
        <v>1774</v>
      </c>
      <c r="VD8">
        <v>2025</v>
      </c>
      <c r="VE8" t="s">
        <v>2361</v>
      </c>
      <c r="VF8" s="6">
        <v>45897</v>
      </c>
      <c r="VG8">
        <v>5</v>
      </c>
      <c r="VH8">
        <v>137459552</v>
      </c>
      <c r="VI8">
        <v>16532368</v>
      </c>
      <c r="VJ8" t="s">
        <v>2362</v>
      </c>
      <c r="VM8" t="s">
        <v>1900</v>
      </c>
      <c r="VN8">
        <v>0.69902799999999998</v>
      </c>
      <c r="VO8" t="s">
        <v>1752</v>
      </c>
      <c r="VP8">
        <v>0.138625</v>
      </c>
      <c r="VQ8" t="s">
        <v>1825</v>
      </c>
      <c r="VR8">
        <v>2025</v>
      </c>
      <c r="VS8" t="s">
        <v>1897</v>
      </c>
      <c r="VT8" s="6">
        <v>45848</v>
      </c>
      <c r="VU8">
        <v>5</v>
      </c>
      <c r="VV8">
        <v>111166424</v>
      </c>
      <c r="VW8">
        <v>100976</v>
      </c>
      <c r="VX8" t="s">
        <v>1901</v>
      </c>
    </row>
    <row r="9" spans="1:600" x14ac:dyDescent="0.25">
      <c r="A9" t="s">
        <v>2304</v>
      </c>
      <c r="C9">
        <v>-2.4245362661989844E-14</v>
      </c>
      <c r="D9">
        <v>-2.4245362661989844E-14</v>
      </c>
      <c r="E9" t="s">
        <v>1753</v>
      </c>
      <c r="F9">
        <v>2021</v>
      </c>
      <c r="G9" t="s">
        <v>2305</v>
      </c>
      <c r="H9" s="6">
        <v>44693</v>
      </c>
      <c r="I9">
        <v>5</v>
      </c>
      <c r="J9">
        <v>-2.4245362661989844E-14</v>
      </c>
      <c r="K9">
        <v>313098</v>
      </c>
      <c r="L9" t="s">
        <v>2306</v>
      </c>
      <c r="O9" t="s">
        <v>3271</v>
      </c>
      <c r="P9">
        <v>-2.4245362661989844E-14</v>
      </c>
      <c r="R9">
        <v>-2.4245362661989844E-14</v>
      </c>
      <c r="S9" t="s">
        <v>1753</v>
      </c>
      <c r="T9">
        <v>2024</v>
      </c>
      <c r="U9" t="s">
        <v>3272</v>
      </c>
      <c r="V9" s="6">
        <v>45771</v>
      </c>
      <c r="W9">
        <v>5</v>
      </c>
      <c r="X9">
        <v>-2.4245362661989844E-14</v>
      </c>
      <c r="Y9">
        <v>16825202</v>
      </c>
      <c r="Z9" t="s">
        <v>3273</v>
      </c>
      <c r="AE9" t="s">
        <v>2663</v>
      </c>
      <c r="AG9">
        <v>-2.4245362661989844E-14</v>
      </c>
      <c r="AH9">
        <v>-2.4245362661989844E-14</v>
      </c>
      <c r="AI9" t="s">
        <v>1753</v>
      </c>
      <c r="AJ9">
        <v>2021</v>
      </c>
      <c r="AK9" t="s">
        <v>2664</v>
      </c>
      <c r="AL9" s="6">
        <v>44693</v>
      </c>
      <c r="AM9">
        <v>5</v>
      </c>
      <c r="AN9">
        <v>-2.4245362661989844E-14</v>
      </c>
      <c r="AO9">
        <v>100481</v>
      </c>
      <c r="AP9" t="s">
        <v>2665</v>
      </c>
      <c r="DA9" t="s">
        <v>1801</v>
      </c>
      <c r="DB9">
        <v>-2.4245362661989844E-14</v>
      </c>
      <c r="DD9">
        <v>-2.4245362661989844E-14</v>
      </c>
      <c r="DE9" t="s">
        <v>1753</v>
      </c>
      <c r="DF9">
        <v>2025</v>
      </c>
      <c r="DG9" t="s">
        <v>1795</v>
      </c>
      <c r="DH9" s="6">
        <v>45715</v>
      </c>
      <c r="DI9">
        <v>5</v>
      </c>
      <c r="DJ9">
        <v>-2.4245362661989844E-14</v>
      </c>
      <c r="DK9">
        <v>982232</v>
      </c>
      <c r="DL9" t="s">
        <v>1802</v>
      </c>
      <c r="EU9" t="s">
        <v>1715</v>
      </c>
      <c r="EW9">
        <v>0.36544900000000002</v>
      </c>
      <c r="EX9">
        <v>-2.4245362661989844E-14</v>
      </c>
      <c r="EY9" t="s">
        <v>1753</v>
      </c>
      <c r="EZ9">
        <v>2024</v>
      </c>
      <c r="FA9" t="s">
        <v>2326</v>
      </c>
      <c r="FB9" s="6">
        <v>45715</v>
      </c>
      <c r="FC9">
        <v>5</v>
      </c>
      <c r="FD9">
        <v>253500</v>
      </c>
      <c r="FE9">
        <v>116906</v>
      </c>
      <c r="FF9" t="s">
        <v>4307</v>
      </c>
      <c r="FY9" t="s">
        <v>2316</v>
      </c>
      <c r="GA9">
        <v>-2.4245362661989844E-14</v>
      </c>
      <c r="GB9">
        <v>-2.4245362661989844E-14</v>
      </c>
      <c r="GC9" t="s">
        <v>1753</v>
      </c>
      <c r="GD9">
        <v>2021</v>
      </c>
      <c r="GE9" t="s">
        <v>2317</v>
      </c>
      <c r="GF9" s="6">
        <v>44693</v>
      </c>
      <c r="GG9">
        <v>5</v>
      </c>
      <c r="GH9">
        <v>-2.4245362661989844E-14</v>
      </c>
      <c r="GI9">
        <v>179563</v>
      </c>
      <c r="GJ9" t="s">
        <v>2318</v>
      </c>
      <c r="KO9" t="s">
        <v>2412</v>
      </c>
      <c r="KP9" t="s">
        <v>1752</v>
      </c>
      <c r="KQ9">
        <v>0.39999600000000002</v>
      </c>
      <c r="KR9">
        <v>0.61504899999999996</v>
      </c>
      <c r="KS9" t="s">
        <v>1788</v>
      </c>
      <c r="KT9">
        <v>2025</v>
      </c>
      <c r="KU9" t="s">
        <v>2413</v>
      </c>
      <c r="KV9" s="6">
        <v>46069</v>
      </c>
      <c r="KW9">
        <v>5</v>
      </c>
      <c r="KX9">
        <v>3609844.33</v>
      </c>
      <c r="KY9">
        <v>153809</v>
      </c>
      <c r="KZ9" t="s">
        <v>2414</v>
      </c>
      <c r="LC9" t="s">
        <v>1461</v>
      </c>
      <c r="LD9">
        <v>1.458682</v>
      </c>
      <c r="LE9" t="s">
        <v>1752</v>
      </c>
      <c r="LF9">
        <v>9.2508999999999994E-2</v>
      </c>
      <c r="LG9" t="s">
        <v>1774</v>
      </c>
      <c r="LH9">
        <v>2025</v>
      </c>
      <c r="LI9" t="s">
        <v>2345</v>
      </c>
      <c r="LJ9" s="6">
        <v>45929</v>
      </c>
      <c r="LK9">
        <v>5</v>
      </c>
      <c r="LL9">
        <v>53615316</v>
      </c>
      <c r="LM9">
        <v>102782</v>
      </c>
      <c r="LN9" t="s">
        <v>1991</v>
      </c>
      <c r="PE9" t="s">
        <v>4036</v>
      </c>
      <c r="PF9" t="s">
        <v>1752</v>
      </c>
      <c r="PG9">
        <v>0.82792200000000005</v>
      </c>
      <c r="PH9">
        <v>0.75151400000000002</v>
      </c>
      <c r="PI9" t="s">
        <v>1774</v>
      </c>
      <c r="PJ9">
        <v>2025</v>
      </c>
      <c r="PK9" t="s">
        <v>4037</v>
      </c>
      <c r="PL9" s="6">
        <v>45959</v>
      </c>
      <c r="PM9">
        <v>5</v>
      </c>
      <c r="PN9">
        <v>28398061.84</v>
      </c>
      <c r="PO9">
        <v>113332</v>
      </c>
      <c r="PP9" t="s">
        <v>4038</v>
      </c>
      <c r="PS9" t="s">
        <v>1791</v>
      </c>
      <c r="PT9">
        <v>6</v>
      </c>
      <c r="PV9">
        <v>-2.4245362661989844E-14</v>
      </c>
      <c r="PW9" t="s">
        <v>1753</v>
      </c>
      <c r="PX9">
        <v>2024</v>
      </c>
      <c r="PY9" t="s">
        <v>3720</v>
      </c>
      <c r="PZ9" s="6">
        <v>45715</v>
      </c>
      <c r="QA9">
        <v>5</v>
      </c>
      <c r="QB9">
        <v>954404992</v>
      </c>
      <c r="QC9">
        <v>218252</v>
      </c>
      <c r="QD9" t="s">
        <v>1793</v>
      </c>
      <c r="QI9" t="s">
        <v>1386</v>
      </c>
      <c r="QJ9" t="s">
        <v>1828</v>
      </c>
      <c r="QK9">
        <v>3.6037650000000001</v>
      </c>
      <c r="QL9">
        <v>0.90356199999999998</v>
      </c>
      <c r="QM9" t="s">
        <v>1774</v>
      </c>
      <c r="QN9">
        <v>2026</v>
      </c>
      <c r="QO9" t="s">
        <v>2363</v>
      </c>
      <c r="QP9" s="6">
        <v>46059</v>
      </c>
      <c r="QQ9">
        <v>5</v>
      </c>
      <c r="QR9">
        <v>108725592</v>
      </c>
      <c r="QS9">
        <v>101643</v>
      </c>
      <c r="QT9" t="s">
        <v>2364</v>
      </c>
      <c r="QW9" t="s">
        <v>1902</v>
      </c>
      <c r="QX9">
        <v>0.66108800000000001</v>
      </c>
      <c r="QY9" t="s">
        <v>1752</v>
      </c>
      <c r="QZ9">
        <v>0.122531</v>
      </c>
      <c r="RA9" t="s">
        <v>1825</v>
      </c>
      <c r="RB9">
        <v>2025</v>
      </c>
      <c r="RC9" t="s">
        <v>1897</v>
      </c>
      <c r="RD9" s="6">
        <v>45848</v>
      </c>
      <c r="RE9">
        <v>5</v>
      </c>
      <c r="RF9">
        <v>105132824</v>
      </c>
      <c r="RG9">
        <v>101548</v>
      </c>
      <c r="RH9" t="s">
        <v>1903</v>
      </c>
      <c r="UY9" t="s">
        <v>1386</v>
      </c>
      <c r="UZ9" t="s">
        <v>1828</v>
      </c>
      <c r="VA9">
        <v>3.6037650000000001</v>
      </c>
      <c r="VB9">
        <v>0.90356199999999998</v>
      </c>
      <c r="VC9" t="s">
        <v>1774</v>
      </c>
      <c r="VD9">
        <v>2026</v>
      </c>
      <c r="VE9" t="s">
        <v>2363</v>
      </c>
      <c r="VF9" s="6">
        <v>46059</v>
      </c>
      <c r="VG9">
        <v>5</v>
      </c>
      <c r="VH9">
        <v>108725592</v>
      </c>
      <c r="VI9">
        <v>101643</v>
      </c>
      <c r="VJ9" t="s">
        <v>2364</v>
      </c>
      <c r="VM9" t="s">
        <v>1902</v>
      </c>
      <c r="VN9">
        <v>0.66108800000000001</v>
      </c>
      <c r="VO9" t="s">
        <v>1752</v>
      </c>
      <c r="VP9">
        <v>0.122531</v>
      </c>
      <c r="VQ9" t="s">
        <v>1825</v>
      </c>
      <c r="VR9">
        <v>2025</v>
      </c>
      <c r="VS9" t="s">
        <v>1897</v>
      </c>
      <c r="VT9" s="6">
        <v>45848</v>
      </c>
      <c r="VU9">
        <v>5</v>
      </c>
      <c r="VV9">
        <v>105132824</v>
      </c>
      <c r="VW9">
        <v>101548</v>
      </c>
      <c r="VX9" t="s">
        <v>1903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1686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1687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1688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1689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1690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1691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1692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1693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1694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1695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1696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1697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1698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1699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1700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1701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1702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1703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1704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1705</v>
      </c>
      <c r="AE2" s="3" t="s">
        <v>1706</v>
      </c>
      <c r="BI2" s="3" t="s">
        <v>569</v>
      </c>
      <c r="CM2" s="3" t="s">
        <v>1707</v>
      </c>
      <c r="DQ2" s="3" t="s">
        <v>1708</v>
      </c>
      <c r="EU2" s="3" t="s">
        <v>37</v>
      </c>
      <c r="FY2" s="3" t="s">
        <v>462</v>
      </c>
      <c r="HC2" s="3" t="s">
        <v>1224</v>
      </c>
      <c r="IG2" s="3" t="s">
        <v>1709</v>
      </c>
      <c r="JK2" s="3" t="s">
        <v>1710</v>
      </c>
      <c r="KO2" s="3" t="s">
        <v>1711</v>
      </c>
      <c r="LS2" s="3" t="s">
        <v>1712</v>
      </c>
      <c r="MW2" s="3" t="s">
        <v>1713</v>
      </c>
      <c r="OA2" s="3" t="s">
        <v>1714</v>
      </c>
      <c r="PE2" s="3" t="s">
        <v>1715</v>
      </c>
      <c r="QI2" s="3" t="s">
        <v>1716</v>
      </c>
      <c r="RM2" s="3" t="s">
        <v>1717</v>
      </c>
      <c r="SQ2" s="3" t="s">
        <v>1718</v>
      </c>
      <c r="TU2" s="3" t="s">
        <v>1719</v>
      </c>
      <c r="UY2" s="3" t="s">
        <v>1720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_xll.BDS("CMS US Equity","SUPPLY_CHAIN_SUPPLIERS_ALL_DATA","cols=12;rows=5")</f>
        <v>DNOW US Equity</v>
      </c>
      <c r="B5" t="s">
        <v>1752</v>
      </c>
      <c r="C5">
        <v>2.5539999999999998E-3</v>
      </c>
      <c r="D5">
        <v>2.2209999999999999E-3</v>
      </c>
      <c r="E5" t="s">
        <v>1788</v>
      </c>
      <c r="F5">
        <v>2025</v>
      </c>
      <c r="G5" t="s">
        <v>2054</v>
      </c>
      <c r="H5" s="6">
        <v>46027</v>
      </c>
      <c r="I5">
        <v>5</v>
      </c>
      <c r="J5">
        <v>16192</v>
      </c>
      <c r="K5">
        <v>36965288</v>
      </c>
      <c r="L5" t="s">
        <v>2055</v>
      </c>
      <c r="O5" t="str">
        <f>_xll.BDS("CMS US Equity","SUPPLY_CHAIN_CUSTOMERS_ALL_DATA","cols=12;rows=5")</f>
        <v>000333 CH Equity</v>
      </c>
      <c r="P5">
        <v>-2.4245362661989844E-14</v>
      </c>
      <c r="R5">
        <v>-2.4245362661989844E-14</v>
      </c>
      <c r="S5" t="s">
        <v>1753</v>
      </c>
      <c r="T5">
        <v>2021</v>
      </c>
      <c r="U5" t="s">
        <v>2396</v>
      </c>
      <c r="V5" s="6">
        <v>44693</v>
      </c>
      <c r="W5">
        <v>5</v>
      </c>
      <c r="X5">
        <v>-2.4245362661989844E-14</v>
      </c>
      <c r="Y5">
        <v>9288162</v>
      </c>
      <c r="Z5" t="s">
        <v>4341</v>
      </c>
      <c r="AE5" t="str">
        <f>_xll.BDS("THEGQ US Equity","SUPPLY_CHAIN_SUPPLIERS_ALL_DATA")</f>
        <v>#N/A N/A</v>
      </c>
      <c r="AS5" t="str">
        <f>_xll.BDS("THEGQ US Equity","SUPPLY_CHAIN_CUSTOMERS_ALL_DATA")</f>
        <v>#N/A N/A</v>
      </c>
      <c r="BI5" t="str">
        <f>_xll.BDS("TSFG US Equity","SUPPLY_CHAIN_SUPPLIERS_ALL_DATA")</f>
        <v>#N/A N/A</v>
      </c>
      <c r="BW5" t="str">
        <f>_xll.BDS("TSFG US Equity","SUPPLY_CHAIN_CUSTOMERS_ALL_DATA")</f>
        <v>#N/A N/A</v>
      </c>
      <c r="CM5" t="str">
        <f>_xll.BDS("HRBT US Equity","SUPPLY_CHAIN_SUPPLIERS_ALL_DATA")</f>
        <v>#N/A N/A</v>
      </c>
      <c r="DA5" t="str">
        <f>_xll.BDS("HRBT US Equity","SUPPLY_CHAIN_CUSTOMERS_ALL_DATA")</f>
        <v>#N/A N/A</v>
      </c>
      <c r="DQ5" t="str">
        <f>_xll.BDS("IBKC US Equity","SUPPLY_CHAIN_SUPPLIERS_ALL_DATA")</f>
        <v>#N/A N/A</v>
      </c>
      <c r="EE5" t="str">
        <f>_xll.BDS("IBKC US Equity","SUPPLY_CHAIN_CUSTOMERS_ALL_DATA")</f>
        <v>#N/A N/A</v>
      </c>
      <c r="EU5" t="str">
        <f>_xll.BDS("nan Equity","SUPPLY_CHAIN_SUPPLIERS_ALL_DATA")</f>
        <v>#N/A N/A</v>
      </c>
      <c r="FI5" t="str">
        <f>_xll.BDS("nan Equity","SUPPLY_CHAIN_CUSTOMERS_ALL_DATA")</f>
        <v>#N/A N/A</v>
      </c>
      <c r="FY5" t="str">
        <f>_xll.BDS("FNFG US Equity","SUPPLY_CHAIN_SUPPLIERS_ALL_DATA")</f>
        <v>#N/A N/A</v>
      </c>
      <c r="GM5" t="str">
        <f>_xll.BDS("FNFG US Equity","SUPPLY_CHAIN_CUSTOMERS_ALL_DATA")</f>
        <v>#N/A N/A</v>
      </c>
      <c r="HC5" t="str">
        <f>_xll.BDS("STBA US Equity","SUPPLY_CHAIN_SUPPLIERS_ALL_DATA")</f>
        <v>#N/A N/A</v>
      </c>
      <c r="HQ5" t="str">
        <f>_xll.BDS("STBA US Equity","SUPPLY_CHAIN_CUSTOMERS_ALL_DATA")</f>
        <v>#N/A N/A</v>
      </c>
      <c r="IG5" t="str">
        <f>_xll.BDS("MTSN US Equity","SUPPLY_CHAIN_SUPPLIERS_ALL_DATA","cols=12;rows=2")</f>
        <v>PDFS US Equity</v>
      </c>
      <c r="II5">
        <v>-2.4245362661989844E-14</v>
      </c>
      <c r="IJ5">
        <v>-2.4245362661989844E-14</v>
      </c>
      <c r="IK5" t="s">
        <v>1781</v>
      </c>
      <c r="IL5">
        <v>2024</v>
      </c>
      <c r="IM5" t="s">
        <v>4441</v>
      </c>
      <c r="IN5" s="6">
        <v>45442</v>
      </c>
      <c r="IO5">
        <v>2</v>
      </c>
      <c r="IP5">
        <v>-2.4245362661989844E-14</v>
      </c>
      <c r="IQ5">
        <v>942421</v>
      </c>
      <c r="IR5" t="s">
        <v>4442</v>
      </c>
      <c r="IU5" t="str">
        <f>_xll.BDS("MTSN US Equity","SUPPLY_CHAIN_CUSTOMERS_ALL_DATA","cols=12;rows=1")</f>
        <v>GFS US Equity</v>
      </c>
      <c r="IV5">
        <v>-2.4245362661989844E-14</v>
      </c>
      <c r="IX5">
        <v>-2.4245362661989844E-14</v>
      </c>
      <c r="IY5" t="s">
        <v>1774</v>
      </c>
      <c r="IZ5">
        <v>2023</v>
      </c>
      <c r="JA5" t="s">
        <v>4350</v>
      </c>
      <c r="JB5" s="6">
        <v>44735</v>
      </c>
      <c r="JC5">
        <v>1</v>
      </c>
      <c r="JD5">
        <v>-2.4245362661989844E-14</v>
      </c>
      <c r="JE5">
        <v>15242973</v>
      </c>
      <c r="JF5" t="s">
        <v>2276</v>
      </c>
      <c r="JK5" t="str">
        <f>_xll.BDS("UNBJ US Equity","SUPPLY_CHAIN_SUPPLIERS_ALL_DATA")</f>
        <v>#N/A N/A</v>
      </c>
      <c r="JY5" t="str">
        <f>_xll.BDS("UNBJ US Equity","SUPPLY_CHAIN_CUSTOMERS_ALL_DATA")</f>
        <v>#N/A N/A</v>
      </c>
      <c r="KO5" t="str">
        <f>_xll.BDS("3023927Q US Equity","SUPPLY_CHAIN_SUPPLIERS_ALL_DATA")</f>
        <v>#N/A N/A</v>
      </c>
      <c r="LC5" t="str">
        <f>_xll.BDS("3023927Q US Equity","SUPPLY_CHAIN_CUSTOMERS_ALL_DATA")</f>
        <v>#N/A N/A</v>
      </c>
      <c r="LS5" t="str">
        <f>_xll.BDS("4131117Q US Equity","SUPPLY_CHAIN_SUPPLIERS_ALL_DATA")</f>
        <v>#N/A N/A</v>
      </c>
      <c r="MG5" t="str">
        <f>_xll.BDS("4131117Q US Equity","SUPPLY_CHAIN_CUSTOMERS_ALL_DATA")</f>
        <v>#N/A N/A</v>
      </c>
      <c r="MW5" t="str">
        <f>_xll.BDS("NTBKQ US Equity","SUPPLY_CHAIN_SUPPLIERS_ALL_DATA","cols=12;rows=1")</f>
        <v>1628482D LN Equity</v>
      </c>
      <c r="MY5">
        <v>-2.4245362661989844E-14</v>
      </c>
      <c r="MZ5">
        <v>-2.4245362661989844E-14</v>
      </c>
      <c r="NA5" t="s">
        <v>1753</v>
      </c>
      <c r="NB5">
        <v>2025</v>
      </c>
      <c r="NC5" t="s">
        <v>3696</v>
      </c>
      <c r="ND5" s="6">
        <v>46001</v>
      </c>
      <c r="NE5">
        <v>1</v>
      </c>
      <c r="NF5">
        <v>-2.4245362661989844E-14</v>
      </c>
      <c r="NG5">
        <v>60803441</v>
      </c>
      <c r="NH5" t="s">
        <v>3697</v>
      </c>
      <c r="NK5" t="str">
        <f>_xll.BDS("NTBKQ US Equity","SUPPLY_CHAIN_CUSTOMERS_ALL_DATA")</f>
        <v>#N/A N/A</v>
      </c>
      <c r="OA5" t="str">
        <f>_xll.BDS("MOGN US Equity","SUPPLY_CHAIN_SUPPLIERS_ALL_DATA")</f>
        <v>#N/A N/A</v>
      </c>
      <c r="OO5" t="str">
        <f>_xll.BDS("MOGN US Equity","SUPPLY_CHAIN_CUSTOMERS_ALL_DATA")</f>
        <v>#N/A N/A</v>
      </c>
      <c r="PE5" t="str">
        <f>_xll.BDS("SITC US Equity","SUPPLY_CHAIN_SUPPLIERS_ALL_DATA")</f>
        <v>#N/A N/A</v>
      </c>
      <c r="PS5" t="str">
        <f>_xll.BDS("SITC US Equity","SUPPLY_CHAIN_CUSTOMERS_ALL_DATA","cols=12;rows=5")</f>
        <v>TJX US Equity</v>
      </c>
      <c r="PT5">
        <v>1.577124</v>
      </c>
      <c r="PU5" t="s">
        <v>1940</v>
      </c>
      <c r="PV5">
        <v>3.9978E-2</v>
      </c>
      <c r="PW5" t="s">
        <v>1753</v>
      </c>
      <c r="PX5">
        <v>2024</v>
      </c>
      <c r="PY5" t="s">
        <v>2326</v>
      </c>
      <c r="PZ5" s="6">
        <v>45715</v>
      </c>
      <c r="QA5">
        <v>5</v>
      </c>
      <c r="QB5">
        <v>1094000</v>
      </c>
      <c r="QC5">
        <v>101481</v>
      </c>
      <c r="QD5" t="s">
        <v>2327</v>
      </c>
      <c r="QI5" t="str">
        <f>_xll.BDS("CBC US Equity","SUPPLY_CHAIN_SUPPLIERS_ALL_DATA","cols=12;rows=2")</f>
        <v>1611864D US Equity</v>
      </c>
      <c r="QK5">
        <v>-2.4245362661989844E-14</v>
      </c>
      <c r="QL5">
        <v>-2.4245362661989844E-14</v>
      </c>
      <c r="QM5" t="s">
        <v>1753</v>
      </c>
      <c r="QN5">
        <v>2023</v>
      </c>
      <c r="QO5" t="s">
        <v>2004</v>
      </c>
      <c r="QP5" s="6">
        <v>45182</v>
      </c>
      <c r="QQ5">
        <v>2</v>
      </c>
      <c r="QR5">
        <v>-2.4245362661989844E-14</v>
      </c>
      <c r="QS5">
        <v>60108747</v>
      </c>
      <c r="QT5" t="s">
        <v>2005</v>
      </c>
      <c r="QW5" t="str">
        <f>_xll.BDS("CBC US Equity","SUPPLY_CHAIN_CUSTOMERS_ALL_DATA","cols=12;rows=1")</f>
        <v>USIO US Equity</v>
      </c>
      <c r="QX5">
        <v>-2.4245362661989844E-14</v>
      </c>
      <c r="QZ5">
        <v>-2.4245362661989844E-14</v>
      </c>
      <c r="RA5" t="s">
        <v>1753</v>
      </c>
      <c r="RB5">
        <v>2024</v>
      </c>
      <c r="RC5" t="s">
        <v>1895</v>
      </c>
      <c r="RD5" s="6">
        <v>45742</v>
      </c>
      <c r="RE5">
        <v>1</v>
      </c>
      <c r="RF5">
        <v>-2.4245362661989844E-14</v>
      </c>
      <c r="RG5">
        <v>381245</v>
      </c>
      <c r="RH5" t="s">
        <v>1896</v>
      </c>
      <c r="RM5" t="str">
        <f>_xll.BDS("ABCWQ US Equity","SUPPLY_CHAIN_SUPPLIERS_ALL_DATA")</f>
        <v>#N/A N/A</v>
      </c>
      <c r="SA5" t="str">
        <f>_xll.BDS("ABCWQ US Equity","SUPPLY_CHAIN_CUSTOMERS_ALL_DATA")</f>
        <v>#N/A N/A</v>
      </c>
      <c r="SQ5" t="str">
        <f>_xll.BDS("BNCN US Equity","SUPPLY_CHAIN_SUPPLIERS_ALL_DATA")</f>
        <v>#N/A N/A</v>
      </c>
      <c r="TE5" t="str">
        <f>_xll.BDS("BNCN US Equity","SUPPLY_CHAIN_CUSTOMERS_ALL_DATA")</f>
        <v>#N/A N/A</v>
      </c>
      <c r="TU5" t="str">
        <f>_xll.BDS("STZ US Equity","SUPPLY_CHAIN_SUPPLIERS_ALL_DATA","cols=12;rows=5")</f>
        <v>KO US Equity</v>
      </c>
      <c r="TV5" t="s">
        <v>1752</v>
      </c>
      <c r="TW5">
        <v>0.45225100000000001</v>
      </c>
      <c r="TX5">
        <v>4.0316419999999997</v>
      </c>
      <c r="TY5" t="s">
        <v>1781</v>
      </c>
      <c r="TZ5">
        <v>2025</v>
      </c>
      <c r="UA5" t="s">
        <v>2751</v>
      </c>
      <c r="UB5" s="6">
        <v>45853</v>
      </c>
      <c r="UC5">
        <v>5</v>
      </c>
      <c r="UD5">
        <v>50331016</v>
      </c>
      <c r="UE5">
        <v>100355</v>
      </c>
      <c r="UF5" t="s">
        <v>3865</v>
      </c>
      <c r="UI5" t="str">
        <f>_xll.BDS("STZ US Equity","SUPPLY_CHAIN_CUSTOMERS_ALL_DATA","cols=12;rows=5")</f>
        <v>24549Z US Equity</v>
      </c>
      <c r="UJ5">
        <v>25.4</v>
      </c>
      <c r="UL5">
        <v>-2.4245362661989844E-14</v>
      </c>
      <c r="UM5" t="s">
        <v>1753</v>
      </c>
      <c r="UN5">
        <v>2025</v>
      </c>
      <c r="UO5" t="s">
        <v>3699</v>
      </c>
      <c r="UP5" s="6">
        <v>45770</v>
      </c>
      <c r="UQ5">
        <v>5</v>
      </c>
      <c r="UR5">
        <v>648252480</v>
      </c>
      <c r="US5">
        <v>946663</v>
      </c>
      <c r="UT5" t="s">
        <v>3700</v>
      </c>
      <c r="UY5" t="str">
        <f>_xll.BDS("CRLL US Equity","SUPPLY_CHAIN_SUPPLIERS_ALL_DATA")</f>
        <v>#N/A N/A</v>
      </c>
      <c r="VM5" t="str">
        <f>_xll.BDS("CRLL US Equity","SUPPLY_CHAIN_CUSTOMERS_ALL_DATA")</f>
        <v>#N/A N/A</v>
      </c>
    </row>
    <row r="6" spans="1:600" x14ac:dyDescent="0.25">
      <c r="A6" t="s">
        <v>4447</v>
      </c>
      <c r="C6">
        <v>-2.4245362661989844E-14</v>
      </c>
      <c r="D6">
        <v>-2.4245362661989844E-14</v>
      </c>
      <c r="E6" t="s">
        <v>1753</v>
      </c>
      <c r="F6">
        <v>2022</v>
      </c>
      <c r="G6" t="s">
        <v>4448</v>
      </c>
      <c r="H6" s="6">
        <v>44896</v>
      </c>
      <c r="I6">
        <v>5</v>
      </c>
      <c r="J6">
        <v>-2.4245362661989844E-14</v>
      </c>
      <c r="K6">
        <v>866548</v>
      </c>
      <c r="L6" t="s">
        <v>4449</v>
      </c>
      <c r="O6" t="s">
        <v>4342</v>
      </c>
      <c r="P6">
        <v>-2.4245362661989844E-14</v>
      </c>
      <c r="R6">
        <v>-2.4245362661989844E-14</v>
      </c>
      <c r="S6" t="s">
        <v>1753</v>
      </c>
      <c r="T6">
        <v>2021</v>
      </c>
      <c r="U6" t="s">
        <v>2396</v>
      </c>
      <c r="V6" s="6">
        <v>44693</v>
      </c>
      <c r="W6">
        <v>5</v>
      </c>
      <c r="X6">
        <v>-2.4245362661989844E-14</v>
      </c>
      <c r="Y6">
        <v>11067182</v>
      </c>
      <c r="Z6" t="s">
        <v>4343</v>
      </c>
      <c r="IG6" t="s">
        <v>4443</v>
      </c>
      <c r="II6">
        <v>-2.4245362661989844E-14</v>
      </c>
      <c r="IJ6">
        <v>-2.4245362661989844E-14</v>
      </c>
      <c r="IK6" t="s">
        <v>4444</v>
      </c>
      <c r="IL6">
        <v>2023</v>
      </c>
      <c r="IM6" t="s">
        <v>4445</v>
      </c>
      <c r="IN6" s="6">
        <v>45420</v>
      </c>
      <c r="IO6">
        <v>2</v>
      </c>
      <c r="IP6">
        <v>-2.4245362661989844E-14</v>
      </c>
      <c r="IQ6">
        <v>49328078</v>
      </c>
      <c r="IR6" t="s">
        <v>4446</v>
      </c>
      <c r="PS6" t="s">
        <v>346</v>
      </c>
      <c r="PT6">
        <v>1.5129729999999999</v>
      </c>
      <c r="PU6" t="s">
        <v>1940</v>
      </c>
      <c r="PV6">
        <v>0.12743299999999999</v>
      </c>
      <c r="PW6" t="s">
        <v>1753</v>
      </c>
      <c r="PX6">
        <v>2024</v>
      </c>
      <c r="PY6" t="s">
        <v>2326</v>
      </c>
      <c r="PZ6" s="6">
        <v>45715</v>
      </c>
      <c r="QA6">
        <v>5</v>
      </c>
      <c r="QB6">
        <v>1049500</v>
      </c>
      <c r="QC6">
        <v>1133363</v>
      </c>
      <c r="QD6" t="s">
        <v>2328</v>
      </c>
      <c r="QI6" t="s">
        <v>2006</v>
      </c>
      <c r="QK6">
        <v>-2.4245362661989844E-14</v>
      </c>
      <c r="QL6">
        <v>-2.4245362661989844E-14</v>
      </c>
      <c r="QM6" t="s">
        <v>1753</v>
      </c>
      <c r="QN6">
        <v>2024</v>
      </c>
      <c r="QO6" t="s">
        <v>2007</v>
      </c>
      <c r="QP6" s="6">
        <v>45394</v>
      </c>
      <c r="QQ6">
        <v>2</v>
      </c>
      <c r="QR6">
        <v>-2.4245362661989844E-14</v>
      </c>
      <c r="QS6">
        <v>7259059</v>
      </c>
      <c r="QT6" t="s">
        <v>2008</v>
      </c>
      <c r="TU6" t="s">
        <v>3866</v>
      </c>
      <c r="TV6" t="s">
        <v>1752</v>
      </c>
      <c r="TW6">
        <v>0.90388299999999999</v>
      </c>
      <c r="TX6">
        <v>2.937881</v>
      </c>
      <c r="TY6" t="s">
        <v>1788</v>
      </c>
      <c r="TZ6">
        <v>2025</v>
      </c>
      <c r="UA6" t="s">
        <v>3867</v>
      </c>
      <c r="UB6" s="6">
        <v>46050</v>
      </c>
      <c r="UC6">
        <v>5</v>
      </c>
      <c r="UD6">
        <v>30542208</v>
      </c>
      <c r="UE6">
        <v>100149</v>
      </c>
      <c r="UF6" t="s">
        <v>3868</v>
      </c>
      <c r="UI6" t="s">
        <v>3701</v>
      </c>
      <c r="UJ6">
        <v>11.2</v>
      </c>
      <c r="UL6">
        <v>-2.4245362661989844E-14</v>
      </c>
      <c r="UM6" t="s">
        <v>1753</v>
      </c>
      <c r="UN6">
        <v>2025</v>
      </c>
      <c r="UO6" t="s">
        <v>3699</v>
      </c>
      <c r="UP6" s="6">
        <v>45770</v>
      </c>
      <c r="UQ6">
        <v>5</v>
      </c>
      <c r="UR6">
        <v>285843584</v>
      </c>
      <c r="US6">
        <v>50414253</v>
      </c>
      <c r="UT6" t="s">
        <v>3702</v>
      </c>
    </row>
    <row r="7" spans="1:600" x14ac:dyDescent="0.25">
      <c r="A7" t="s">
        <v>4450</v>
      </c>
      <c r="C7">
        <v>-2.4245362661989844E-14</v>
      </c>
      <c r="D7">
        <v>-2.4245362661989844E-14</v>
      </c>
      <c r="E7" t="s">
        <v>1753</v>
      </c>
      <c r="F7">
        <v>2022</v>
      </c>
      <c r="G7" t="s">
        <v>4451</v>
      </c>
      <c r="H7" s="6">
        <v>44995</v>
      </c>
      <c r="I7">
        <v>5</v>
      </c>
      <c r="J7">
        <v>-2.4245362661989844E-14</v>
      </c>
      <c r="K7">
        <v>65608618</v>
      </c>
      <c r="L7" t="s">
        <v>4452</v>
      </c>
      <c r="O7" t="s">
        <v>4344</v>
      </c>
      <c r="P7">
        <v>-2.4245362661989844E-14</v>
      </c>
      <c r="R7">
        <v>-2.4245362661989844E-14</v>
      </c>
      <c r="S7" t="s">
        <v>1753</v>
      </c>
      <c r="T7">
        <v>2021</v>
      </c>
      <c r="U7" t="s">
        <v>2396</v>
      </c>
      <c r="V7" s="6">
        <v>44693</v>
      </c>
      <c r="W7">
        <v>5</v>
      </c>
      <c r="X7">
        <v>-2.4245362661989844E-14</v>
      </c>
      <c r="Y7">
        <v>117592</v>
      </c>
      <c r="Z7" t="s">
        <v>4345</v>
      </c>
      <c r="PS7" t="s">
        <v>2329</v>
      </c>
      <c r="PT7">
        <v>1.5068459999999999</v>
      </c>
      <c r="PU7" t="s">
        <v>1940</v>
      </c>
      <c r="PV7">
        <v>0.11787499999999999</v>
      </c>
      <c r="PW7" t="s">
        <v>1753</v>
      </c>
      <c r="PX7">
        <v>2024</v>
      </c>
      <c r="PY7" t="s">
        <v>2326</v>
      </c>
      <c r="PZ7" s="6">
        <v>45715</v>
      </c>
      <c r="QA7">
        <v>5</v>
      </c>
      <c r="QB7">
        <v>1045250</v>
      </c>
      <c r="QC7">
        <v>34501311</v>
      </c>
      <c r="QD7" t="s">
        <v>2330</v>
      </c>
      <c r="TU7" t="s">
        <v>3869</v>
      </c>
      <c r="TV7" t="s">
        <v>1752</v>
      </c>
      <c r="TW7">
        <v>1.171929</v>
      </c>
      <c r="TX7">
        <v>1.863408</v>
      </c>
      <c r="TY7" t="s">
        <v>1788</v>
      </c>
      <c r="TZ7">
        <v>2025</v>
      </c>
      <c r="UA7" t="s">
        <v>3870</v>
      </c>
      <c r="UB7" s="6">
        <v>46048</v>
      </c>
      <c r="UC7">
        <v>5</v>
      </c>
      <c r="UD7">
        <v>19371986</v>
      </c>
      <c r="UE7">
        <v>66766968</v>
      </c>
      <c r="UF7" t="s">
        <v>3871</v>
      </c>
      <c r="UI7" t="s">
        <v>2086</v>
      </c>
      <c r="UJ7">
        <v>1.6929829999999999</v>
      </c>
      <c r="UK7" t="s">
        <v>1752</v>
      </c>
      <c r="UL7">
        <v>0.22577700000000001</v>
      </c>
      <c r="UM7" t="s">
        <v>1774</v>
      </c>
      <c r="UN7">
        <v>2025</v>
      </c>
      <c r="UO7" t="s">
        <v>2087</v>
      </c>
      <c r="UP7" s="6">
        <v>45887</v>
      </c>
      <c r="UQ7">
        <v>5</v>
      </c>
      <c r="UR7">
        <v>43433198.5</v>
      </c>
      <c r="US7">
        <v>115643</v>
      </c>
      <c r="UT7" t="s">
        <v>2088</v>
      </c>
    </row>
    <row r="8" spans="1:600" x14ac:dyDescent="0.25">
      <c r="A8" t="s">
        <v>4453</v>
      </c>
      <c r="C8">
        <v>-2.4245362661989844E-14</v>
      </c>
      <c r="D8">
        <v>-2.4245362661989844E-14</v>
      </c>
      <c r="E8" t="s">
        <v>1753</v>
      </c>
      <c r="F8">
        <v>2024</v>
      </c>
      <c r="G8" t="s">
        <v>4454</v>
      </c>
      <c r="H8" s="6">
        <v>45446</v>
      </c>
      <c r="I8">
        <v>5</v>
      </c>
      <c r="J8">
        <v>-2.4245362661989844E-14</v>
      </c>
      <c r="K8">
        <v>43096338</v>
      </c>
      <c r="L8" t="s">
        <v>4455</v>
      </c>
      <c r="O8" t="s">
        <v>4346</v>
      </c>
      <c r="P8">
        <v>-2.4245362661989844E-14</v>
      </c>
      <c r="R8">
        <v>-2.4245362661989844E-14</v>
      </c>
      <c r="S8" t="s">
        <v>1753</v>
      </c>
      <c r="T8">
        <v>2021</v>
      </c>
      <c r="U8" t="s">
        <v>2396</v>
      </c>
      <c r="V8" s="6">
        <v>44693</v>
      </c>
      <c r="W8">
        <v>5</v>
      </c>
      <c r="X8">
        <v>-2.4245362661989844E-14</v>
      </c>
      <c r="Y8">
        <v>19689773</v>
      </c>
      <c r="Z8" t="s">
        <v>4347</v>
      </c>
      <c r="PS8" t="s">
        <v>991</v>
      </c>
      <c r="PT8">
        <v>1.2592490000000001</v>
      </c>
      <c r="PU8" t="s">
        <v>1940</v>
      </c>
      <c r="PV8">
        <v>1.3738999999999999E-2</v>
      </c>
      <c r="PW8" t="s">
        <v>1753</v>
      </c>
      <c r="PX8">
        <v>2024</v>
      </c>
      <c r="PY8" t="s">
        <v>2326</v>
      </c>
      <c r="PZ8" s="6">
        <v>45715</v>
      </c>
      <c r="QA8">
        <v>5</v>
      </c>
      <c r="QB8">
        <v>873500</v>
      </c>
      <c r="QC8">
        <v>100864</v>
      </c>
      <c r="QD8" t="s">
        <v>2331</v>
      </c>
      <c r="TU8" t="s">
        <v>3872</v>
      </c>
      <c r="TV8" t="s">
        <v>1752</v>
      </c>
      <c r="TW8">
        <v>3.1261999999999998E-2</v>
      </c>
      <c r="TX8">
        <v>0.46141199999999999</v>
      </c>
      <c r="TY8" t="s">
        <v>1825</v>
      </c>
      <c r="TZ8">
        <v>2025</v>
      </c>
      <c r="UA8" t="s">
        <v>3873</v>
      </c>
      <c r="UB8" s="6">
        <v>46080</v>
      </c>
      <c r="UC8">
        <v>5</v>
      </c>
      <c r="UD8">
        <v>4796841</v>
      </c>
      <c r="UE8">
        <v>50856480</v>
      </c>
      <c r="UF8" t="s">
        <v>3874</v>
      </c>
      <c r="UI8" t="s">
        <v>3703</v>
      </c>
      <c r="UJ8">
        <v>1.287663</v>
      </c>
      <c r="UK8" t="s">
        <v>1752</v>
      </c>
      <c r="UL8">
        <v>6.6934649999999998</v>
      </c>
      <c r="UM8" t="s">
        <v>1781</v>
      </c>
      <c r="UN8">
        <v>2026</v>
      </c>
      <c r="UO8" t="s">
        <v>3704</v>
      </c>
      <c r="UP8" s="6">
        <v>45869</v>
      </c>
      <c r="UQ8">
        <v>5</v>
      </c>
      <c r="UR8">
        <v>32384724</v>
      </c>
      <c r="US8">
        <v>148330</v>
      </c>
      <c r="UT8" t="s">
        <v>3705</v>
      </c>
    </row>
    <row r="9" spans="1:600" x14ac:dyDescent="0.25">
      <c r="A9" t="s">
        <v>2376</v>
      </c>
      <c r="C9">
        <v>-2.4245362661989844E-14</v>
      </c>
      <c r="D9">
        <v>-2.4245362661989844E-14</v>
      </c>
      <c r="E9" t="s">
        <v>1774</v>
      </c>
      <c r="F9">
        <v>2025</v>
      </c>
      <c r="G9" t="s">
        <v>2377</v>
      </c>
      <c r="H9" s="6">
        <v>45874</v>
      </c>
      <c r="I9">
        <v>5</v>
      </c>
      <c r="J9">
        <v>-2.4245362661989844E-14</v>
      </c>
      <c r="K9">
        <v>54246485</v>
      </c>
      <c r="L9" t="s">
        <v>2378</v>
      </c>
      <c r="O9" t="s">
        <v>4348</v>
      </c>
      <c r="P9">
        <v>-2.4245362661989844E-14</v>
      </c>
      <c r="R9">
        <v>-2.4245362661989844E-14</v>
      </c>
      <c r="S9" t="s">
        <v>1753</v>
      </c>
      <c r="T9">
        <v>2021</v>
      </c>
      <c r="U9" t="s">
        <v>2396</v>
      </c>
      <c r="V9" s="6">
        <v>44693</v>
      </c>
      <c r="W9">
        <v>5</v>
      </c>
      <c r="X9">
        <v>-2.4245362661989844E-14</v>
      </c>
      <c r="Y9">
        <v>29660936</v>
      </c>
      <c r="Z9" t="s">
        <v>4349</v>
      </c>
      <c r="PS9" t="s">
        <v>2332</v>
      </c>
      <c r="PT9">
        <v>1.1295040000000001</v>
      </c>
      <c r="PV9">
        <v>-2.4245362661989844E-14</v>
      </c>
      <c r="PW9" t="s">
        <v>1753</v>
      </c>
      <c r="PX9">
        <v>2024</v>
      </c>
      <c r="PY9" t="s">
        <v>2326</v>
      </c>
      <c r="PZ9" s="6">
        <v>45715</v>
      </c>
      <c r="QA9">
        <v>5</v>
      </c>
      <c r="QB9">
        <v>783500</v>
      </c>
      <c r="QC9">
        <v>119389</v>
      </c>
      <c r="QD9" t="s">
        <v>2333</v>
      </c>
      <c r="TU9" t="s">
        <v>3875</v>
      </c>
      <c r="TV9" t="s">
        <v>1828</v>
      </c>
      <c r="TW9">
        <v>0.22195300000000001</v>
      </c>
      <c r="TX9">
        <v>1.062346</v>
      </c>
      <c r="TY9" t="s">
        <v>1788</v>
      </c>
      <c r="TZ9">
        <v>2025</v>
      </c>
      <c r="UA9" t="s">
        <v>3876</v>
      </c>
      <c r="UB9" s="6">
        <v>45966</v>
      </c>
      <c r="UC9">
        <v>5</v>
      </c>
      <c r="UD9">
        <v>2308478</v>
      </c>
      <c r="UE9">
        <v>10656931</v>
      </c>
      <c r="UF9" t="s">
        <v>3877</v>
      </c>
      <c r="UI9" t="s">
        <v>3706</v>
      </c>
      <c r="UJ9">
        <v>0.58665900000000004</v>
      </c>
      <c r="UL9">
        <v>-2.4245362661989844E-14</v>
      </c>
      <c r="UM9" t="s">
        <v>1781</v>
      </c>
      <c r="UN9">
        <v>2026</v>
      </c>
      <c r="UO9" t="s">
        <v>3704</v>
      </c>
      <c r="UP9" s="6">
        <v>45869</v>
      </c>
      <c r="UQ9">
        <v>5</v>
      </c>
      <c r="UR9">
        <v>14754474</v>
      </c>
      <c r="US9">
        <v>33022637</v>
      </c>
      <c r="UT9" t="s">
        <v>3707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1722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1723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1724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1725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1726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1727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1728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1729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1730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1731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1732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1733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1734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1735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1736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1737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1738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1739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1740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676</v>
      </c>
      <c r="AE2" s="3" t="s">
        <v>780</v>
      </c>
      <c r="BI2" s="3" t="s">
        <v>1741</v>
      </c>
      <c r="CM2" s="3" t="s">
        <v>1649</v>
      </c>
      <c r="DQ2" s="3" t="s">
        <v>1742</v>
      </c>
      <c r="EU2" s="3" t="s">
        <v>411</v>
      </c>
      <c r="FY2" s="3" t="s">
        <v>1743</v>
      </c>
      <c r="HC2" s="3" t="s">
        <v>1744</v>
      </c>
      <c r="IG2" s="3" t="s">
        <v>1745</v>
      </c>
      <c r="JK2" s="3" t="s">
        <v>1746</v>
      </c>
      <c r="KO2" s="3" t="s">
        <v>1747</v>
      </c>
      <c r="LS2" s="3" t="s">
        <v>1748</v>
      </c>
      <c r="MW2" s="3" t="s">
        <v>260</v>
      </c>
      <c r="OA2" s="3" t="s">
        <v>637</v>
      </c>
      <c r="PE2" s="3" t="s">
        <v>1749</v>
      </c>
      <c r="QI2" s="3" t="s">
        <v>1750</v>
      </c>
      <c r="RM2" s="3" t="s">
        <v>1751</v>
      </c>
      <c r="SQ2" s="3" t="s">
        <v>236</v>
      </c>
      <c r="TU2" s="3" t="s">
        <v>312</v>
      </c>
      <c r="UY2" s="3" t="s">
        <v>186</v>
      </c>
    </row>
    <row r="3" spans="1:600" x14ac:dyDescent="0.25">
      <c r="A3" s="4" t="s">
        <v>39</v>
      </c>
      <c r="O3" s="4" t="s">
        <v>40</v>
      </c>
      <c r="AE3" s="4" t="s">
        <v>39</v>
      </c>
      <c r="AS3" s="4" t="s">
        <v>40</v>
      </c>
      <c r="BI3" s="4" t="s">
        <v>39</v>
      </c>
      <c r="BW3" s="4" t="s">
        <v>40</v>
      </c>
      <c r="CM3" s="4" t="s">
        <v>39</v>
      </c>
      <c r="DA3" s="4" t="s">
        <v>40</v>
      </c>
      <c r="DQ3" s="4" t="s">
        <v>39</v>
      </c>
      <c r="EE3" s="4" t="s">
        <v>40</v>
      </c>
      <c r="EU3" s="4" t="s">
        <v>39</v>
      </c>
      <c r="FI3" s="4" t="s">
        <v>40</v>
      </c>
      <c r="FY3" s="4" t="s">
        <v>39</v>
      </c>
      <c r="GM3" s="4" t="s">
        <v>40</v>
      </c>
      <c r="HC3" s="4" t="s">
        <v>39</v>
      </c>
      <c r="HQ3" s="4" t="s">
        <v>40</v>
      </c>
      <c r="IG3" s="4" t="s">
        <v>39</v>
      </c>
      <c r="IU3" s="4" t="s">
        <v>40</v>
      </c>
      <c r="JK3" s="4" t="s">
        <v>39</v>
      </c>
      <c r="JY3" s="4" t="s">
        <v>40</v>
      </c>
      <c r="KO3" s="4" t="s">
        <v>39</v>
      </c>
      <c r="LC3" s="4" t="s">
        <v>40</v>
      </c>
      <c r="LS3" s="4" t="s">
        <v>39</v>
      </c>
      <c r="MG3" s="4" t="s">
        <v>40</v>
      </c>
      <c r="MW3" s="4" t="s">
        <v>39</v>
      </c>
      <c r="NK3" s="4" t="s">
        <v>40</v>
      </c>
      <c r="OA3" s="4" t="s">
        <v>39</v>
      </c>
      <c r="OO3" s="4" t="s">
        <v>40</v>
      </c>
      <c r="PE3" s="4" t="s">
        <v>39</v>
      </c>
      <c r="PS3" s="4" t="s">
        <v>40</v>
      </c>
      <c r="QI3" s="4" t="s">
        <v>39</v>
      </c>
      <c r="QW3" s="4" t="s">
        <v>40</v>
      </c>
      <c r="RM3" s="4" t="s">
        <v>39</v>
      </c>
      <c r="SA3" s="4" t="s">
        <v>40</v>
      </c>
      <c r="SQ3" s="4" t="s">
        <v>39</v>
      </c>
      <c r="TE3" s="4" t="s">
        <v>40</v>
      </c>
      <c r="TU3" s="4" t="s">
        <v>39</v>
      </c>
      <c r="UI3" s="4" t="s">
        <v>40</v>
      </c>
      <c r="UY3" s="4" t="s">
        <v>39</v>
      </c>
      <c r="VM3" s="4" t="s">
        <v>40</v>
      </c>
    </row>
    <row r="4" spans="1:600" x14ac:dyDescent="0.2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E4" s="5" t="s">
        <v>41</v>
      </c>
      <c r="AF4" s="5" t="s">
        <v>42</v>
      </c>
      <c r="AG4" s="5" t="s">
        <v>43</v>
      </c>
      <c r="AH4" s="5" t="s">
        <v>44</v>
      </c>
      <c r="AI4" s="5" t="s">
        <v>45</v>
      </c>
      <c r="AJ4" s="5" t="s">
        <v>46</v>
      </c>
      <c r="AK4" s="5" t="s">
        <v>47</v>
      </c>
      <c r="AL4" s="5" t="s">
        <v>48</v>
      </c>
      <c r="AM4" s="5" t="s">
        <v>49</v>
      </c>
      <c r="AN4" s="5" t="s">
        <v>50</v>
      </c>
      <c r="AO4" s="5" t="s">
        <v>51</v>
      </c>
      <c r="AP4" s="5" t="s">
        <v>52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49</v>
      </c>
      <c r="BB4" s="5" t="s">
        <v>50</v>
      </c>
      <c r="BC4" s="5" t="s">
        <v>51</v>
      </c>
      <c r="BD4" s="5" t="s">
        <v>52</v>
      </c>
      <c r="BI4" s="5" t="s">
        <v>41</v>
      </c>
      <c r="BJ4" s="5" t="s">
        <v>42</v>
      </c>
      <c r="BK4" s="5" t="s">
        <v>43</v>
      </c>
      <c r="BL4" s="5" t="s">
        <v>44</v>
      </c>
      <c r="BM4" s="5" t="s">
        <v>45</v>
      </c>
      <c r="BN4" s="5" t="s">
        <v>46</v>
      </c>
      <c r="BO4" s="5" t="s">
        <v>47</v>
      </c>
      <c r="BP4" s="5" t="s">
        <v>48</v>
      </c>
      <c r="BQ4" s="5" t="s">
        <v>49</v>
      </c>
      <c r="BR4" s="5" t="s">
        <v>50</v>
      </c>
      <c r="BS4" s="5" t="s">
        <v>51</v>
      </c>
      <c r="BT4" s="5" t="s">
        <v>52</v>
      </c>
      <c r="BW4" s="5" t="s">
        <v>41</v>
      </c>
      <c r="BX4" s="5" t="s">
        <v>42</v>
      </c>
      <c r="BY4" s="5" t="s">
        <v>43</v>
      </c>
      <c r="BZ4" s="5" t="s">
        <v>44</v>
      </c>
      <c r="CA4" s="5" t="s">
        <v>45</v>
      </c>
      <c r="CB4" s="5" t="s">
        <v>46</v>
      </c>
      <c r="CC4" s="5" t="s">
        <v>47</v>
      </c>
      <c r="CD4" s="5" t="s">
        <v>48</v>
      </c>
      <c r="CE4" s="5" t="s">
        <v>49</v>
      </c>
      <c r="CF4" s="5" t="s">
        <v>50</v>
      </c>
      <c r="CG4" s="5" t="s">
        <v>51</v>
      </c>
      <c r="CH4" s="5" t="s">
        <v>52</v>
      </c>
      <c r="CM4" s="5" t="s">
        <v>41</v>
      </c>
      <c r="CN4" s="5" t="s">
        <v>42</v>
      </c>
      <c r="CO4" s="5" t="s">
        <v>43</v>
      </c>
      <c r="CP4" s="5" t="s">
        <v>44</v>
      </c>
      <c r="CQ4" s="5" t="s">
        <v>45</v>
      </c>
      <c r="CR4" s="5" t="s">
        <v>46</v>
      </c>
      <c r="CS4" s="5" t="s">
        <v>47</v>
      </c>
      <c r="CT4" s="5" t="s">
        <v>48</v>
      </c>
      <c r="CU4" s="5" t="s">
        <v>49</v>
      </c>
      <c r="CV4" s="5" t="s">
        <v>50</v>
      </c>
      <c r="CW4" s="5" t="s">
        <v>51</v>
      </c>
      <c r="CX4" s="5" t="s">
        <v>52</v>
      </c>
      <c r="DA4" s="5" t="s">
        <v>41</v>
      </c>
      <c r="DB4" s="5" t="s">
        <v>42</v>
      </c>
      <c r="DC4" s="5" t="s">
        <v>43</v>
      </c>
      <c r="DD4" s="5" t="s">
        <v>44</v>
      </c>
      <c r="DE4" s="5" t="s">
        <v>45</v>
      </c>
      <c r="DF4" s="5" t="s">
        <v>46</v>
      </c>
      <c r="DG4" s="5" t="s">
        <v>47</v>
      </c>
      <c r="DH4" s="5" t="s">
        <v>48</v>
      </c>
      <c r="DI4" s="5" t="s">
        <v>49</v>
      </c>
      <c r="DJ4" s="5" t="s">
        <v>50</v>
      </c>
      <c r="DK4" s="5" t="s">
        <v>51</v>
      </c>
      <c r="DL4" s="5" t="s">
        <v>52</v>
      </c>
      <c r="DQ4" s="5" t="s">
        <v>41</v>
      </c>
      <c r="DR4" s="5" t="s">
        <v>42</v>
      </c>
      <c r="DS4" s="5" t="s">
        <v>43</v>
      </c>
      <c r="DT4" s="5" t="s">
        <v>44</v>
      </c>
      <c r="DU4" s="5" t="s">
        <v>45</v>
      </c>
      <c r="DV4" s="5" t="s">
        <v>46</v>
      </c>
      <c r="DW4" s="5" t="s">
        <v>47</v>
      </c>
      <c r="DX4" s="5" t="s">
        <v>48</v>
      </c>
      <c r="DY4" s="5" t="s">
        <v>49</v>
      </c>
      <c r="DZ4" s="5" t="s">
        <v>50</v>
      </c>
      <c r="EA4" s="5" t="s">
        <v>51</v>
      </c>
      <c r="EB4" s="5" t="s">
        <v>52</v>
      </c>
      <c r="EE4" s="5" t="s">
        <v>41</v>
      </c>
      <c r="EF4" s="5" t="s">
        <v>42</v>
      </c>
      <c r="EG4" s="5" t="s">
        <v>43</v>
      </c>
      <c r="EH4" s="5" t="s">
        <v>44</v>
      </c>
      <c r="EI4" s="5" t="s">
        <v>45</v>
      </c>
      <c r="EJ4" s="5" t="s">
        <v>46</v>
      </c>
      <c r="EK4" s="5" t="s">
        <v>47</v>
      </c>
      <c r="EL4" s="5" t="s">
        <v>48</v>
      </c>
      <c r="EM4" s="5" t="s">
        <v>49</v>
      </c>
      <c r="EN4" s="5" t="s">
        <v>50</v>
      </c>
      <c r="EO4" s="5" t="s">
        <v>51</v>
      </c>
      <c r="EP4" s="5" t="s">
        <v>52</v>
      </c>
      <c r="EU4" s="5" t="s">
        <v>41</v>
      </c>
      <c r="EV4" s="5" t="s">
        <v>42</v>
      </c>
      <c r="EW4" s="5" t="s">
        <v>43</v>
      </c>
      <c r="EX4" s="5" t="s">
        <v>44</v>
      </c>
      <c r="EY4" s="5" t="s">
        <v>45</v>
      </c>
      <c r="EZ4" s="5" t="s">
        <v>46</v>
      </c>
      <c r="FA4" s="5" t="s">
        <v>47</v>
      </c>
      <c r="FB4" s="5" t="s">
        <v>48</v>
      </c>
      <c r="FC4" s="5" t="s">
        <v>49</v>
      </c>
      <c r="FD4" s="5" t="s">
        <v>50</v>
      </c>
      <c r="FE4" s="5" t="s">
        <v>51</v>
      </c>
      <c r="FF4" s="5" t="s">
        <v>52</v>
      </c>
      <c r="FI4" s="5" t="s">
        <v>41</v>
      </c>
      <c r="FJ4" s="5" t="s">
        <v>42</v>
      </c>
      <c r="FK4" s="5" t="s">
        <v>43</v>
      </c>
      <c r="FL4" s="5" t="s">
        <v>44</v>
      </c>
      <c r="FM4" s="5" t="s">
        <v>45</v>
      </c>
      <c r="FN4" s="5" t="s">
        <v>46</v>
      </c>
      <c r="FO4" s="5" t="s">
        <v>47</v>
      </c>
      <c r="FP4" s="5" t="s">
        <v>48</v>
      </c>
      <c r="FQ4" s="5" t="s">
        <v>49</v>
      </c>
      <c r="FR4" s="5" t="s">
        <v>50</v>
      </c>
      <c r="FS4" s="5" t="s">
        <v>51</v>
      </c>
      <c r="FT4" s="5" t="s">
        <v>52</v>
      </c>
      <c r="FY4" s="5" t="s">
        <v>41</v>
      </c>
      <c r="FZ4" s="5" t="s">
        <v>42</v>
      </c>
      <c r="GA4" s="5" t="s">
        <v>43</v>
      </c>
      <c r="GB4" s="5" t="s">
        <v>44</v>
      </c>
      <c r="GC4" s="5" t="s">
        <v>45</v>
      </c>
      <c r="GD4" s="5" t="s">
        <v>46</v>
      </c>
      <c r="GE4" s="5" t="s">
        <v>47</v>
      </c>
      <c r="GF4" s="5" t="s">
        <v>48</v>
      </c>
      <c r="GG4" s="5" t="s">
        <v>49</v>
      </c>
      <c r="GH4" s="5" t="s">
        <v>50</v>
      </c>
      <c r="GI4" s="5" t="s">
        <v>51</v>
      </c>
      <c r="GJ4" s="5" t="s">
        <v>52</v>
      </c>
      <c r="GM4" s="5" t="s">
        <v>41</v>
      </c>
      <c r="GN4" s="5" t="s">
        <v>42</v>
      </c>
      <c r="GO4" s="5" t="s">
        <v>43</v>
      </c>
      <c r="GP4" s="5" t="s">
        <v>44</v>
      </c>
      <c r="GQ4" s="5" t="s">
        <v>45</v>
      </c>
      <c r="GR4" s="5" t="s">
        <v>46</v>
      </c>
      <c r="GS4" s="5" t="s">
        <v>47</v>
      </c>
      <c r="GT4" s="5" t="s">
        <v>48</v>
      </c>
      <c r="GU4" s="5" t="s">
        <v>49</v>
      </c>
      <c r="GV4" s="5" t="s">
        <v>50</v>
      </c>
      <c r="GW4" s="5" t="s">
        <v>51</v>
      </c>
      <c r="GX4" s="5" t="s">
        <v>52</v>
      </c>
      <c r="HC4" s="5" t="s">
        <v>41</v>
      </c>
      <c r="HD4" s="5" t="s">
        <v>42</v>
      </c>
      <c r="HE4" s="5" t="s">
        <v>43</v>
      </c>
      <c r="HF4" s="5" t="s">
        <v>44</v>
      </c>
      <c r="HG4" s="5" t="s">
        <v>45</v>
      </c>
      <c r="HH4" s="5" t="s">
        <v>46</v>
      </c>
      <c r="HI4" s="5" t="s">
        <v>47</v>
      </c>
      <c r="HJ4" s="5" t="s">
        <v>48</v>
      </c>
      <c r="HK4" s="5" t="s">
        <v>49</v>
      </c>
      <c r="HL4" s="5" t="s">
        <v>50</v>
      </c>
      <c r="HM4" s="5" t="s">
        <v>51</v>
      </c>
      <c r="HN4" s="5" t="s">
        <v>52</v>
      </c>
      <c r="HQ4" s="5" t="s">
        <v>41</v>
      </c>
      <c r="HR4" s="5" t="s">
        <v>42</v>
      </c>
      <c r="HS4" s="5" t="s">
        <v>43</v>
      </c>
      <c r="HT4" s="5" t="s">
        <v>44</v>
      </c>
      <c r="HU4" s="5" t="s">
        <v>45</v>
      </c>
      <c r="HV4" s="5" t="s">
        <v>46</v>
      </c>
      <c r="HW4" s="5" t="s">
        <v>47</v>
      </c>
      <c r="HX4" s="5" t="s">
        <v>48</v>
      </c>
      <c r="HY4" s="5" t="s">
        <v>49</v>
      </c>
      <c r="HZ4" s="5" t="s">
        <v>50</v>
      </c>
      <c r="IA4" s="5" t="s">
        <v>51</v>
      </c>
      <c r="IB4" s="5" t="s">
        <v>52</v>
      </c>
      <c r="IG4" s="5" t="s">
        <v>41</v>
      </c>
      <c r="IH4" s="5" t="s">
        <v>42</v>
      </c>
      <c r="II4" s="5" t="s">
        <v>43</v>
      </c>
      <c r="IJ4" s="5" t="s">
        <v>44</v>
      </c>
      <c r="IK4" s="5" t="s">
        <v>45</v>
      </c>
      <c r="IL4" s="5" t="s">
        <v>46</v>
      </c>
      <c r="IM4" s="5" t="s">
        <v>47</v>
      </c>
      <c r="IN4" s="5" t="s">
        <v>48</v>
      </c>
      <c r="IO4" s="5" t="s">
        <v>49</v>
      </c>
      <c r="IP4" s="5" t="s">
        <v>50</v>
      </c>
      <c r="IQ4" s="5" t="s">
        <v>51</v>
      </c>
      <c r="IR4" s="5" t="s">
        <v>52</v>
      </c>
      <c r="IU4" s="5" t="s">
        <v>41</v>
      </c>
      <c r="IV4" s="5" t="s">
        <v>42</v>
      </c>
      <c r="IW4" s="5" t="s">
        <v>43</v>
      </c>
      <c r="IX4" s="5" t="s">
        <v>44</v>
      </c>
      <c r="IY4" s="5" t="s">
        <v>45</v>
      </c>
      <c r="IZ4" s="5" t="s">
        <v>46</v>
      </c>
      <c r="JA4" s="5" t="s">
        <v>47</v>
      </c>
      <c r="JB4" s="5" t="s">
        <v>48</v>
      </c>
      <c r="JC4" s="5" t="s">
        <v>49</v>
      </c>
      <c r="JD4" s="5" t="s">
        <v>50</v>
      </c>
      <c r="JE4" s="5" t="s">
        <v>51</v>
      </c>
      <c r="JF4" s="5" t="s">
        <v>52</v>
      </c>
      <c r="JK4" s="5" t="s">
        <v>41</v>
      </c>
      <c r="JL4" s="5" t="s">
        <v>42</v>
      </c>
      <c r="JM4" s="5" t="s">
        <v>43</v>
      </c>
      <c r="JN4" s="5" t="s">
        <v>44</v>
      </c>
      <c r="JO4" s="5" t="s">
        <v>45</v>
      </c>
      <c r="JP4" s="5" t="s">
        <v>46</v>
      </c>
      <c r="JQ4" s="5" t="s">
        <v>47</v>
      </c>
      <c r="JR4" s="5" t="s">
        <v>48</v>
      </c>
      <c r="JS4" s="5" t="s">
        <v>49</v>
      </c>
      <c r="JT4" s="5" t="s">
        <v>50</v>
      </c>
      <c r="JU4" s="5" t="s">
        <v>51</v>
      </c>
      <c r="JV4" s="5" t="s">
        <v>52</v>
      </c>
      <c r="JY4" s="5" t="s">
        <v>41</v>
      </c>
      <c r="JZ4" s="5" t="s">
        <v>42</v>
      </c>
      <c r="KA4" s="5" t="s">
        <v>43</v>
      </c>
      <c r="KB4" s="5" t="s">
        <v>44</v>
      </c>
      <c r="KC4" s="5" t="s">
        <v>45</v>
      </c>
      <c r="KD4" s="5" t="s">
        <v>46</v>
      </c>
      <c r="KE4" s="5" t="s">
        <v>47</v>
      </c>
      <c r="KF4" s="5" t="s">
        <v>48</v>
      </c>
      <c r="KG4" s="5" t="s">
        <v>49</v>
      </c>
      <c r="KH4" s="5" t="s">
        <v>50</v>
      </c>
      <c r="KI4" s="5" t="s">
        <v>51</v>
      </c>
      <c r="KJ4" s="5" t="s">
        <v>52</v>
      </c>
      <c r="KO4" s="5" t="s">
        <v>41</v>
      </c>
      <c r="KP4" s="5" t="s">
        <v>42</v>
      </c>
      <c r="KQ4" s="5" t="s">
        <v>43</v>
      </c>
      <c r="KR4" s="5" t="s">
        <v>44</v>
      </c>
      <c r="KS4" s="5" t="s">
        <v>45</v>
      </c>
      <c r="KT4" s="5" t="s">
        <v>46</v>
      </c>
      <c r="KU4" s="5" t="s">
        <v>47</v>
      </c>
      <c r="KV4" s="5" t="s">
        <v>48</v>
      </c>
      <c r="KW4" s="5" t="s">
        <v>49</v>
      </c>
      <c r="KX4" s="5" t="s">
        <v>50</v>
      </c>
      <c r="KY4" s="5" t="s">
        <v>51</v>
      </c>
      <c r="KZ4" s="5" t="s">
        <v>52</v>
      </c>
      <c r="LC4" s="5" t="s">
        <v>41</v>
      </c>
      <c r="LD4" s="5" t="s">
        <v>42</v>
      </c>
      <c r="LE4" s="5" t="s">
        <v>43</v>
      </c>
      <c r="LF4" s="5" t="s">
        <v>44</v>
      </c>
      <c r="LG4" s="5" t="s">
        <v>45</v>
      </c>
      <c r="LH4" s="5" t="s">
        <v>46</v>
      </c>
      <c r="LI4" s="5" t="s">
        <v>47</v>
      </c>
      <c r="LJ4" s="5" t="s">
        <v>48</v>
      </c>
      <c r="LK4" s="5" t="s">
        <v>49</v>
      </c>
      <c r="LL4" s="5" t="s">
        <v>50</v>
      </c>
      <c r="LM4" s="5" t="s">
        <v>51</v>
      </c>
      <c r="LN4" s="5" t="s">
        <v>52</v>
      </c>
      <c r="LS4" s="5" t="s">
        <v>41</v>
      </c>
      <c r="LT4" s="5" t="s">
        <v>42</v>
      </c>
      <c r="LU4" s="5" t="s">
        <v>43</v>
      </c>
      <c r="LV4" s="5" t="s">
        <v>44</v>
      </c>
      <c r="LW4" s="5" t="s">
        <v>45</v>
      </c>
      <c r="LX4" s="5" t="s">
        <v>46</v>
      </c>
      <c r="LY4" s="5" t="s">
        <v>47</v>
      </c>
      <c r="LZ4" s="5" t="s">
        <v>48</v>
      </c>
      <c r="MA4" s="5" t="s">
        <v>49</v>
      </c>
      <c r="MB4" s="5" t="s">
        <v>50</v>
      </c>
      <c r="MC4" s="5" t="s">
        <v>51</v>
      </c>
      <c r="MD4" s="5" t="s">
        <v>52</v>
      </c>
      <c r="MG4" s="5" t="s">
        <v>41</v>
      </c>
      <c r="MH4" s="5" t="s">
        <v>42</v>
      </c>
      <c r="MI4" s="5" t="s">
        <v>43</v>
      </c>
      <c r="MJ4" s="5" t="s">
        <v>44</v>
      </c>
      <c r="MK4" s="5" t="s">
        <v>45</v>
      </c>
      <c r="ML4" s="5" t="s">
        <v>46</v>
      </c>
      <c r="MM4" s="5" t="s">
        <v>47</v>
      </c>
      <c r="MN4" s="5" t="s">
        <v>48</v>
      </c>
      <c r="MO4" s="5" t="s">
        <v>49</v>
      </c>
      <c r="MP4" s="5" t="s">
        <v>50</v>
      </c>
      <c r="MQ4" s="5" t="s">
        <v>51</v>
      </c>
      <c r="MR4" s="5" t="s">
        <v>52</v>
      </c>
      <c r="MW4" s="5" t="s">
        <v>41</v>
      </c>
      <c r="MX4" s="5" t="s">
        <v>42</v>
      </c>
      <c r="MY4" s="5" t="s">
        <v>43</v>
      </c>
      <c r="MZ4" s="5" t="s">
        <v>44</v>
      </c>
      <c r="NA4" s="5" t="s">
        <v>45</v>
      </c>
      <c r="NB4" s="5" t="s">
        <v>46</v>
      </c>
      <c r="NC4" s="5" t="s">
        <v>47</v>
      </c>
      <c r="ND4" s="5" t="s">
        <v>48</v>
      </c>
      <c r="NE4" s="5" t="s">
        <v>49</v>
      </c>
      <c r="NF4" s="5" t="s">
        <v>50</v>
      </c>
      <c r="NG4" s="5" t="s">
        <v>51</v>
      </c>
      <c r="NH4" s="5" t="s">
        <v>52</v>
      </c>
      <c r="NK4" s="5" t="s">
        <v>41</v>
      </c>
      <c r="NL4" s="5" t="s">
        <v>42</v>
      </c>
      <c r="NM4" s="5" t="s">
        <v>43</v>
      </c>
      <c r="NN4" s="5" t="s">
        <v>44</v>
      </c>
      <c r="NO4" s="5" t="s">
        <v>45</v>
      </c>
      <c r="NP4" s="5" t="s">
        <v>46</v>
      </c>
      <c r="NQ4" s="5" t="s">
        <v>47</v>
      </c>
      <c r="NR4" s="5" t="s">
        <v>48</v>
      </c>
      <c r="NS4" s="5" t="s">
        <v>49</v>
      </c>
      <c r="NT4" s="5" t="s">
        <v>50</v>
      </c>
      <c r="NU4" s="5" t="s">
        <v>51</v>
      </c>
      <c r="NV4" s="5" t="s">
        <v>52</v>
      </c>
      <c r="OA4" s="5" t="s">
        <v>41</v>
      </c>
      <c r="OB4" s="5" t="s">
        <v>42</v>
      </c>
      <c r="OC4" s="5" t="s">
        <v>43</v>
      </c>
      <c r="OD4" s="5" t="s">
        <v>44</v>
      </c>
      <c r="OE4" s="5" t="s">
        <v>45</v>
      </c>
      <c r="OF4" s="5" t="s">
        <v>46</v>
      </c>
      <c r="OG4" s="5" t="s">
        <v>47</v>
      </c>
      <c r="OH4" s="5" t="s">
        <v>48</v>
      </c>
      <c r="OI4" s="5" t="s">
        <v>49</v>
      </c>
      <c r="OJ4" s="5" t="s">
        <v>50</v>
      </c>
      <c r="OK4" s="5" t="s">
        <v>51</v>
      </c>
      <c r="OL4" s="5" t="s">
        <v>52</v>
      </c>
      <c r="OO4" s="5" t="s">
        <v>41</v>
      </c>
      <c r="OP4" s="5" t="s">
        <v>42</v>
      </c>
      <c r="OQ4" s="5" t="s">
        <v>43</v>
      </c>
      <c r="OR4" s="5" t="s">
        <v>44</v>
      </c>
      <c r="OS4" s="5" t="s">
        <v>45</v>
      </c>
      <c r="OT4" s="5" t="s">
        <v>46</v>
      </c>
      <c r="OU4" s="5" t="s">
        <v>47</v>
      </c>
      <c r="OV4" s="5" t="s">
        <v>48</v>
      </c>
      <c r="OW4" s="5" t="s">
        <v>49</v>
      </c>
      <c r="OX4" s="5" t="s">
        <v>50</v>
      </c>
      <c r="OY4" s="5" t="s">
        <v>51</v>
      </c>
      <c r="OZ4" s="5" t="s">
        <v>52</v>
      </c>
      <c r="PE4" s="5" t="s">
        <v>41</v>
      </c>
      <c r="PF4" s="5" t="s">
        <v>42</v>
      </c>
      <c r="PG4" s="5" t="s">
        <v>43</v>
      </c>
      <c r="PH4" s="5" t="s">
        <v>44</v>
      </c>
      <c r="PI4" s="5" t="s">
        <v>45</v>
      </c>
      <c r="PJ4" s="5" t="s">
        <v>46</v>
      </c>
      <c r="PK4" s="5" t="s">
        <v>47</v>
      </c>
      <c r="PL4" s="5" t="s">
        <v>48</v>
      </c>
      <c r="PM4" s="5" t="s">
        <v>49</v>
      </c>
      <c r="PN4" s="5" t="s">
        <v>50</v>
      </c>
      <c r="PO4" s="5" t="s">
        <v>51</v>
      </c>
      <c r="PP4" s="5" t="s">
        <v>52</v>
      </c>
      <c r="PS4" s="5" t="s">
        <v>41</v>
      </c>
      <c r="PT4" s="5" t="s">
        <v>42</v>
      </c>
      <c r="PU4" s="5" t="s">
        <v>43</v>
      </c>
      <c r="PV4" s="5" t="s">
        <v>44</v>
      </c>
      <c r="PW4" s="5" t="s">
        <v>45</v>
      </c>
      <c r="PX4" s="5" t="s">
        <v>46</v>
      </c>
      <c r="PY4" s="5" t="s">
        <v>47</v>
      </c>
      <c r="PZ4" s="5" t="s">
        <v>48</v>
      </c>
      <c r="QA4" s="5" t="s">
        <v>49</v>
      </c>
      <c r="QB4" s="5" t="s">
        <v>50</v>
      </c>
      <c r="QC4" s="5" t="s">
        <v>51</v>
      </c>
      <c r="QD4" s="5" t="s">
        <v>52</v>
      </c>
      <c r="QI4" s="5" t="s">
        <v>41</v>
      </c>
      <c r="QJ4" s="5" t="s">
        <v>42</v>
      </c>
      <c r="QK4" s="5" t="s">
        <v>43</v>
      </c>
      <c r="QL4" s="5" t="s">
        <v>44</v>
      </c>
      <c r="QM4" s="5" t="s">
        <v>45</v>
      </c>
      <c r="QN4" s="5" t="s">
        <v>46</v>
      </c>
      <c r="QO4" s="5" t="s">
        <v>47</v>
      </c>
      <c r="QP4" s="5" t="s">
        <v>48</v>
      </c>
      <c r="QQ4" s="5" t="s">
        <v>49</v>
      </c>
      <c r="QR4" s="5" t="s">
        <v>50</v>
      </c>
      <c r="QS4" s="5" t="s">
        <v>51</v>
      </c>
      <c r="QT4" s="5" t="s">
        <v>52</v>
      </c>
      <c r="QW4" s="5" t="s">
        <v>41</v>
      </c>
      <c r="QX4" s="5" t="s">
        <v>42</v>
      </c>
      <c r="QY4" s="5" t="s">
        <v>43</v>
      </c>
      <c r="QZ4" s="5" t="s">
        <v>44</v>
      </c>
      <c r="RA4" s="5" t="s">
        <v>45</v>
      </c>
      <c r="RB4" s="5" t="s">
        <v>46</v>
      </c>
      <c r="RC4" s="5" t="s">
        <v>47</v>
      </c>
      <c r="RD4" s="5" t="s">
        <v>48</v>
      </c>
      <c r="RE4" s="5" t="s">
        <v>49</v>
      </c>
      <c r="RF4" s="5" t="s">
        <v>50</v>
      </c>
      <c r="RG4" s="5" t="s">
        <v>51</v>
      </c>
      <c r="RH4" s="5" t="s">
        <v>52</v>
      </c>
      <c r="RM4" s="5" t="s">
        <v>41</v>
      </c>
      <c r="RN4" s="5" t="s">
        <v>42</v>
      </c>
      <c r="RO4" s="5" t="s">
        <v>43</v>
      </c>
      <c r="RP4" s="5" t="s">
        <v>44</v>
      </c>
      <c r="RQ4" s="5" t="s">
        <v>45</v>
      </c>
      <c r="RR4" s="5" t="s">
        <v>46</v>
      </c>
      <c r="RS4" s="5" t="s">
        <v>47</v>
      </c>
      <c r="RT4" s="5" t="s">
        <v>48</v>
      </c>
      <c r="RU4" s="5" t="s">
        <v>49</v>
      </c>
      <c r="RV4" s="5" t="s">
        <v>50</v>
      </c>
      <c r="RW4" s="5" t="s">
        <v>51</v>
      </c>
      <c r="RX4" s="5" t="s">
        <v>52</v>
      </c>
      <c r="SA4" s="5" t="s">
        <v>41</v>
      </c>
      <c r="SB4" s="5" t="s">
        <v>42</v>
      </c>
      <c r="SC4" s="5" t="s">
        <v>43</v>
      </c>
      <c r="SD4" s="5" t="s">
        <v>44</v>
      </c>
      <c r="SE4" s="5" t="s">
        <v>45</v>
      </c>
      <c r="SF4" s="5" t="s">
        <v>46</v>
      </c>
      <c r="SG4" s="5" t="s">
        <v>47</v>
      </c>
      <c r="SH4" s="5" t="s">
        <v>48</v>
      </c>
      <c r="SI4" s="5" t="s">
        <v>49</v>
      </c>
      <c r="SJ4" s="5" t="s">
        <v>50</v>
      </c>
      <c r="SK4" s="5" t="s">
        <v>51</v>
      </c>
      <c r="SL4" s="5" t="s">
        <v>52</v>
      </c>
      <c r="SQ4" s="5" t="s">
        <v>41</v>
      </c>
      <c r="SR4" s="5" t="s">
        <v>42</v>
      </c>
      <c r="SS4" s="5" t="s">
        <v>43</v>
      </c>
      <c r="ST4" s="5" t="s">
        <v>44</v>
      </c>
      <c r="SU4" s="5" t="s">
        <v>45</v>
      </c>
      <c r="SV4" s="5" t="s">
        <v>46</v>
      </c>
      <c r="SW4" s="5" t="s">
        <v>47</v>
      </c>
      <c r="SX4" s="5" t="s">
        <v>48</v>
      </c>
      <c r="SY4" s="5" t="s">
        <v>49</v>
      </c>
      <c r="SZ4" s="5" t="s">
        <v>50</v>
      </c>
      <c r="TA4" s="5" t="s">
        <v>51</v>
      </c>
      <c r="TB4" s="5" t="s">
        <v>52</v>
      </c>
      <c r="TE4" s="5" t="s">
        <v>41</v>
      </c>
      <c r="TF4" s="5" t="s">
        <v>42</v>
      </c>
      <c r="TG4" s="5" t="s">
        <v>43</v>
      </c>
      <c r="TH4" s="5" t="s">
        <v>44</v>
      </c>
      <c r="TI4" s="5" t="s">
        <v>45</v>
      </c>
      <c r="TJ4" s="5" t="s">
        <v>46</v>
      </c>
      <c r="TK4" s="5" t="s">
        <v>47</v>
      </c>
      <c r="TL4" s="5" t="s">
        <v>48</v>
      </c>
      <c r="TM4" s="5" t="s">
        <v>49</v>
      </c>
      <c r="TN4" s="5" t="s">
        <v>50</v>
      </c>
      <c r="TO4" s="5" t="s">
        <v>51</v>
      </c>
      <c r="TP4" s="5" t="s">
        <v>52</v>
      </c>
      <c r="TU4" s="5" t="s">
        <v>41</v>
      </c>
      <c r="TV4" s="5" t="s">
        <v>42</v>
      </c>
      <c r="TW4" s="5" t="s">
        <v>43</v>
      </c>
      <c r="TX4" s="5" t="s">
        <v>44</v>
      </c>
      <c r="TY4" s="5" t="s">
        <v>45</v>
      </c>
      <c r="TZ4" s="5" t="s">
        <v>46</v>
      </c>
      <c r="UA4" s="5" t="s">
        <v>47</v>
      </c>
      <c r="UB4" s="5" t="s">
        <v>48</v>
      </c>
      <c r="UC4" s="5" t="s">
        <v>49</v>
      </c>
      <c r="UD4" s="5" t="s">
        <v>50</v>
      </c>
      <c r="UE4" s="5" t="s">
        <v>51</v>
      </c>
      <c r="UF4" s="5" t="s">
        <v>52</v>
      </c>
      <c r="UI4" s="5" t="s">
        <v>41</v>
      </c>
      <c r="UJ4" s="5" t="s">
        <v>42</v>
      </c>
      <c r="UK4" s="5" t="s">
        <v>43</v>
      </c>
      <c r="UL4" s="5" t="s">
        <v>44</v>
      </c>
      <c r="UM4" s="5" t="s">
        <v>45</v>
      </c>
      <c r="UN4" s="5" t="s">
        <v>46</v>
      </c>
      <c r="UO4" s="5" t="s">
        <v>47</v>
      </c>
      <c r="UP4" s="5" t="s">
        <v>48</v>
      </c>
      <c r="UQ4" s="5" t="s">
        <v>49</v>
      </c>
      <c r="UR4" s="5" t="s">
        <v>50</v>
      </c>
      <c r="US4" s="5" t="s">
        <v>51</v>
      </c>
      <c r="UT4" s="5" t="s">
        <v>52</v>
      </c>
      <c r="UY4" s="5" t="s">
        <v>41</v>
      </c>
      <c r="UZ4" s="5" t="s">
        <v>42</v>
      </c>
      <c r="VA4" s="5" t="s">
        <v>43</v>
      </c>
      <c r="VB4" s="5" t="s">
        <v>44</v>
      </c>
      <c r="VC4" s="5" t="s">
        <v>45</v>
      </c>
      <c r="VD4" s="5" t="s">
        <v>46</v>
      </c>
      <c r="VE4" s="5" t="s">
        <v>47</v>
      </c>
      <c r="VF4" s="5" t="s">
        <v>48</v>
      </c>
      <c r="VG4" s="5" t="s">
        <v>49</v>
      </c>
      <c r="VH4" s="5" t="s">
        <v>50</v>
      </c>
      <c r="VI4" s="5" t="s">
        <v>51</v>
      </c>
      <c r="VJ4" s="5" t="s">
        <v>52</v>
      </c>
      <c r="VM4" s="5" t="s">
        <v>41</v>
      </c>
      <c r="VN4" s="5" t="s">
        <v>42</v>
      </c>
      <c r="VO4" s="5" t="s">
        <v>43</v>
      </c>
      <c r="VP4" s="5" t="s">
        <v>44</v>
      </c>
      <c r="VQ4" s="5" t="s">
        <v>45</v>
      </c>
      <c r="VR4" s="5" t="s">
        <v>46</v>
      </c>
      <c r="VS4" s="5" t="s">
        <v>47</v>
      </c>
      <c r="VT4" s="5" t="s">
        <v>48</v>
      </c>
      <c r="VU4" s="5" t="s">
        <v>49</v>
      </c>
      <c r="VV4" s="5" t="s">
        <v>50</v>
      </c>
      <c r="VW4" s="5" t="s">
        <v>51</v>
      </c>
      <c r="VX4" s="5" t="s">
        <v>52</v>
      </c>
    </row>
    <row r="5" spans="1:600" x14ac:dyDescent="0.25">
      <c r="A5" t="str">
        <f>_xll.BDS("2258717D US Equity","SUPPLY_CHAIN_SUPPLIERS_ALL_DATA")</f>
        <v>#N/A N/A</v>
      </c>
      <c r="O5" t="str">
        <f>_xll.BDS("2258717D US Equity","SUPPLY_CHAIN_CUSTOMERS_ALL_DATA")</f>
        <v>#N/A N/A</v>
      </c>
      <c r="AE5" t="str">
        <f>_xll.BDS("PACW US Equity","SUPPLY_CHAIN_SUPPLIERS_ALL_DATA")</f>
        <v>#N/A N/A</v>
      </c>
      <c r="AS5" t="str">
        <f>_xll.BDS("PACW US Equity","SUPPLY_CHAIN_CUSTOMERS_ALL_DATA","cols=12;rows=1")</f>
        <v>SNX US Equity</v>
      </c>
      <c r="AT5">
        <v>-2.4245362661989844E-14</v>
      </c>
      <c r="AV5">
        <v>-2.4245362661989844E-14</v>
      </c>
      <c r="AW5" t="s">
        <v>1753</v>
      </c>
      <c r="AX5">
        <v>2021</v>
      </c>
      <c r="AY5" t="s">
        <v>2674</v>
      </c>
      <c r="AZ5" s="6">
        <v>44656</v>
      </c>
      <c r="BA5">
        <v>1</v>
      </c>
      <c r="BB5">
        <v>-2.4245362661989844E-14</v>
      </c>
      <c r="BC5">
        <v>1499717</v>
      </c>
      <c r="BD5" t="s">
        <v>1827</v>
      </c>
      <c r="BI5" t="str">
        <f>_xll.BDS("DY US Equity","SUPPLY_CHAIN_SUPPLIERS_ALL_DATA","cols=12;rows=3")</f>
        <v>BYL CN Equity</v>
      </c>
      <c r="BK5">
        <v>-2.4245362661989844E-14</v>
      </c>
      <c r="BL5">
        <v>-2.4245362661989844E-14</v>
      </c>
      <c r="BM5" t="s">
        <v>1753</v>
      </c>
      <c r="BN5">
        <v>2024</v>
      </c>
      <c r="BO5" t="s">
        <v>2374</v>
      </c>
      <c r="BP5" s="6">
        <v>45735</v>
      </c>
      <c r="BQ5">
        <v>3</v>
      </c>
      <c r="BR5">
        <v>-2.4245362661989844E-14</v>
      </c>
      <c r="BS5">
        <v>37585679</v>
      </c>
      <c r="BT5" t="s">
        <v>2375</v>
      </c>
      <c r="BW5" t="str">
        <f>_xll.BDS("DY US Equity","SUPPLY_CHAIN_CUSTOMERS_ALL_DATA","cols=12;rows=5")</f>
        <v>T US Equity</v>
      </c>
      <c r="BX5">
        <v>24.9</v>
      </c>
      <c r="BY5" t="s">
        <v>1828</v>
      </c>
      <c r="BZ5">
        <v>7.4053610000000001</v>
      </c>
      <c r="CA5" t="s">
        <v>1788</v>
      </c>
      <c r="CB5">
        <v>2026</v>
      </c>
      <c r="CC5" t="s">
        <v>2365</v>
      </c>
      <c r="CD5" s="6">
        <v>45981</v>
      </c>
      <c r="CE5">
        <v>5</v>
      </c>
      <c r="CF5">
        <v>361900000</v>
      </c>
      <c r="CG5">
        <v>101376</v>
      </c>
      <c r="CH5" t="s">
        <v>2334</v>
      </c>
      <c r="CM5" t="str">
        <f>_xll.BDS("CECO US Equity","SUPPLY_CHAIN_SUPPLIERS_ALL_DATA","cols=12;rows=5")</f>
        <v>3101 JP Equity</v>
      </c>
      <c r="CN5" t="s">
        <v>1752</v>
      </c>
      <c r="CO5">
        <v>8.9016999999999999E-2</v>
      </c>
      <c r="CP5">
        <v>0.46294600000000002</v>
      </c>
      <c r="CQ5" t="s">
        <v>1781</v>
      </c>
      <c r="CR5">
        <v>2026</v>
      </c>
      <c r="CS5" t="s">
        <v>2387</v>
      </c>
      <c r="CT5" s="6">
        <v>46052</v>
      </c>
      <c r="CU5">
        <v>5</v>
      </c>
      <c r="CV5">
        <v>628088.92000000004</v>
      </c>
      <c r="CW5">
        <v>115109</v>
      </c>
      <c r="CX5" t="s">
        <v>2388</v>
      </c>
      <c r="DA5" t="str">
        <f>_xll.BDS("CECO US Equity","SUPPLY_CHAIN_CUSTOMERS_ALL_DATA","cols=12;rows=5")</f>
        <v>CAT US Equity</v>
      </c>
      <c r="DB5">
        <v>0.44514100000000001</v>
      </c>
      <c r="DC5" t="s">
        <v>1752</v>
      </c>
      <c r="DD5">
        <v>7.4060000000000003E-3</v>
      </c>
      <c r="DE5" t="s">
        <v>1774</v>
      </c>
      <c r="DF5">
        <v>2025</v>
      </c>
      <c r="DG5" t="s">
        <v>1970</v>
      </c>
      <c r="DH5" s="6">
        <v>45876</v>
      </c>
      <c r="DI5">
        <v>5</v>
      </c>
      <c r="DJ5">
        <v>825251</v>
      </c>
      <c r="DK5">
        <v>100285</v>
      </c>
      <c r="DL5" t="s">
        <v>1971</v>
      </c>
      <c r="DQ5" t="str">
        <f>_xll.BDS("3537Q US Equity","SUPPLY_CHAIN_SUPPLIERS_ALL_DATA")</f>
        <v>#N/A N/A</v>
      </c>
      <c r="EE5" t="str">
        <f>_xll.BDS("3537Q US Equity","SUPPLY_CHAIN_CUSTOMERS_ALL_DATA")</f>
        <v>#N/A N/A</v>
      </c>
      <c r="EU5" t="str">
        <f>_xll.BDS("HPQ US Equity","SUPPLY_CHAIN_SUPPLIERS_ALL_DATA","cols=12;rows=5")</f>
        <v>2356 TT Equity</v>
      </c>
      <c r="EV5" t="s">
        <v>1752</v>
      </c>
      <c r="EW5">
        <v>36.343342</v>
      </c>
      <c r="EX5">
        <v>18.051394999999999</v>
      </c>
      <c r="EY5" t="s">
        <v>1788</v>
      </c>
      <c r="EZ5">
        <v>2025</v>
      </c>
      <c r="FA5" t="s">
        <v>4293</v>
      </c>
      <c r="FB5" s="6">
        <v>46035</v>
      </c>
      <c r="FC5">
        <v>5</v>
      </c>
      <c r="FD5">
        <v>2141270971.6500001</v>
      </c>
      <c r="FE5">
        <v>193712</v>
      </c>
      <c r="FF5" t="s">
        <v>4294</v>
      </c>
      <c r="FI5" t="str">
        <f>_xll.BDS("HPQ US Equity","SUPPLY_CHAIN_CUSTOMERS_ALL_DATA","cols=12;rows=5")</f>
        <v>SNX US Equity</v>
      </c>
      <c r="FJ5">
        <v>12</v>
      </c>
      <c r="FK5" t="s">
        <v>1752</v>
      </c>
      <c r="FL5">
        <v>11.690618000000001</v>
      </c>
      <c r="FM5" t="s">
        <v>1753</v>
      </c>
      <c r="FN5">
        <v>2025</v>
      </c>
      <c r="FO5" t="s">
        <v>3503</v>
      </c>
      <c r="FP5" s="6">
        <v>46001</v>
      </c>
      <c r="FQ5">
        <v>5</v>
      </c>
      <c r="FR5">
        <v>1658850048</v>
      </c>
      <c r="FS5">
        <v>1499717</v>
      </c>
      <c r="FT5" t="s">
        <v>1827</v>
      </c>
      <c r="FY5" t="str">
        <f>_xll.BDS("DVXE US Equity","SUPPLY_CHAIN_SUPPLIERS_ALL_DATA")</f>
        <v>#N/A N/A</v>
      </c>
      <c r="GM5" t="str">
        <f>_xll.BDS("DVXE US Equity","SUPPLY_CHAIN_CUSTOMERS_ALL_DATA")</f>
        <v>#N/A N/A</v>
      </c>
      <c r="HC5" t="str">
        <f>_xll.BDS("CNXC US Equity","SUPPLY_CHAIN_SUPPLIERS_ALL_DATA","cols=12;rows=5")</f>
        <v>BTN SJ Equity</v>
      </c>
      <c r="HD5" t="s">
        <v>1940</v>
      </c>
      <c r="HE5">
        <v>1.0928119999999999</v>
      </c>
      <c r="HF5">
        <v>4.2685000000000001E-2</v>
      </c>
      <c r="HG5" t="s">
        <v>1753</v>
      </c>
      <c r="HH5">
        <v>2025</v>
      </c>
      <c r="HI5" t="s">
        <v>3590</v>
      </c>
      <c r="HJ5" s="6">
        <v>45842</v>
      </c>
      <c r="HK5">
        <v>5</v>
      </c>
      <c r="HL5">
        <v>301152.11</v>
      </c>
      <c r="HM5">
        <v>24362129</v>
      </c>
      <c r="HN5" t="s">
        <v>3591</v>
      </c>
      <c r="HQ5" t="str">
        <f>_xll.BDS("CNXC US Equity","SUPPLY_CHAIN_CUSTOMERS_ALL_DATA","cols=12;rows=5")</f>
        <v>SNX US Equity</v>
      </c>
      <c r="HR5">
        <v>1.134595</v>
      </c>
      <c r="HS5" t="s">
        <v>1752</v>
      </c>
      <c r="HT5">
        <v>0.17897099999999999</v>
      </c>
      <c r="HU5" t="s">
        <v>1825</v>
      </c>
      <c r="HV5">
        <v>2025</v>
      </c>
      <c r="HW5" t="s">
        <v>1826</v>
      </c>
      <c r="HX5" s="6">
        <v>46056</v>
      </c>
      <c r="HY5">
        <v>5</v>
      </c>
      <c r="HZ5">
        <v>28965364</v>
      </c>
      <c r="IA5">
        <v>1499717</v>
      </c>
      <c r="IB5" t="s">
        <v>1827</v>
      </c>
      <c r="IG5" t="str">
        <f>_xll.BDS("MSI US Equity","SUPPLY_CHAIN_SUPPLIERS_ALL_DATA","cols=12;rows=5")</f>
        <v>SANM US Equity</v>
      </c>
      <c r="IH5" t="s">
        <v>1752</v>
      </c>
      <c r="II5">
        <v>11.295623000000001</v>
      </c>
      <c r="IJ5">
        <v>18.250340999999999</v>
      </c>
      <c r="IK5" t="s">
        <v>1774</v>
      </c>
      <c r="IL5">
        <v>2025</v>
      </c>
      <c r="IM5" t="s">
        <v>2520</v>
      </c>
      <c r="IN5" s="6">
        <v>45791</v>
      </c>
      <c r="IO5">
        <v>5</v>
      </c>
      <c r="IP5">
        <v>224114192</v>
      </c>
      <c r="IQ5">
        <v>116988</v>
      </c>
      <c r="IR5" t="s">
        <v>2521</v>
      </c>
      <c r="IU5" t="str">
        <f>_xll.BDS("MSI US Equity","SUPPLY_CHAIN_CUSTOMERS_ALL_DATA","cols=12;rows=5")</f>
        <v>3352Z US Equity</v>
      </c>
      <c r="IV5">
        <v>8</v>
      </c>
      <c r="IX5">
        <v>-2.4245362661989844E-14</v>
      </c>
      <c r="IY5" t="s">
        <v>1753</v>
      </c>
      <c r="IZ5">
        <v>2025</v>
      </c>
      <c r="JA5" t="s">
        <v>3224</v>
      </c>
      <c r="JB5" s="6">
        <v>46065</v>
      </c>
      <c r="JC5">
        <v>5</v>
      </c>
      <c r="JD5">
        <v>233640000</v>
      </c>
      <c r="JE5">
        <v>218252</v>
      </c>
      <c r="JF5" t="s">
        <v>1793</v>
      </c>
      <c r="JK5" t="str">
        <f>_xll.BDS("WFBC US Equity","SUPPLY_CHAIN_SUPPLIERS_ALL_DATA")</f>
        <v>#N/A N/A</v>
      </c>
      <c r="JY5" t="str">
        <f>_xll.BDS("WFBC US Equity","SUPPLY_CHAIN_CUSTOMERS_ALL_DATA")</f>
        <v>#N/A N/A</v>
      </c>
      <c r="KO5" t="str">
        <f>_xll.BDS("1551989D US Equity","SUPPLY_CHAIN_SUPPLIERS_ALL_DATA")</f>
        <v>#N/A N/A</v>
      </c>
      <c r="LC5" t="str">
        <f>_xll.BDS("1551989D US Equity","SUPPLY_CHAIN_CUSTOMERS_ALL_DATA")</f>
        <v>#N/A N/A</v>
      </c>
      <c r="LS5" t="str">
        <f>_xll.BDS("DK US Equity","SUPPLY_CHAIN_SUPPLIERS_ALL_DATA","cols=12;rows=5")</f>
        <v>FANG US Equity</v>
      </c>
      <c r="LT5" t="s">
        <v>1752</v>
      </c>
      <c r="LU5">
        <v>11</v>
      </c>
      <c r="LV5">
        <v>10.06889</v>
      </c>
      <c r="LW5" t="s">
        <v>1753</v>
      </c>
      <c r="LX5">
        <v>2024</v>
      </c>
      <c r="LY5" t="s">
        <v>2160</v>
      </c>
      <c r="LZ5" s="6">
        <v>45714</v>
      </c>
      <c r="MA5">
        <v>5</v>
      </c>
      <c r="MB5">
        <v>302912512</v>
      </c>
      <c r="MC5">
        <v>29182972</v>
      </c>
      <c r="MD5" t="s">
        <v>2161</v>
      </c>
      <c r="MG5" t="str">
        <f>_xll.BDS("DK US Equity","SUPPLY_CHAIN_CUSTOMERS_ALL_DATA","cols=12;rows=4")</f>
        <v>DKL US Equity</v>
      </c>
      <c r="MH5">
        <v>0.35350700000000002</v>
      </c>
      <c r="MI5" t="s">
        <v>1752</v>
      </c>
      <c r="MJ5">
        <v>7.3581849999999998</v>
      </c>
      <c r="MK5" t="s">
        <v>1753</v>
      </c>
      <c r="ML5">
        <v>2024</v>
      </c>
      <c r="MM5" t="s">
        <v>1815</v>
      </c>
      <c r="MN5" s="6">
        <v>45714</v>
      </c>
      <c r="MO5">
        <v>4</v>
      </c>
      <c r="MP5">
        <v>10575000</v>
      </c>
      <c r="MQ5">
        <v>32015916</v>
      </c>
      <c r="MR5" t="s">
        <v>1816</v>
      </c>
      <c r="MW5" t="str">
        <f>_xll.BDS("GE US Equity","SUPPLY_CHAIN_SUPPLIERS_ALL_DATA","cols=12;rows=5")</f>
        <v>SAF FP Equity</v>
      </c>
      <c r="MX5" t="s">
        <v>1752</v>
      </c>
      <c r="MY5">
        <v>7.9101749999999997</v>
      </c>
      <c r="MZ5">
        <v>9.7364909999999991</v>
      </c>
      <c r="NA5" t="s">
        <v>1774</v>
      </c>
      <c r="NB5">
        <v>2025</v>
      </c>
      <c r="NC5" t="s">
        <v>2600</v>
      </c>
      <c r="ND5" s="6">
        <v>45874</v>
      </c>
      <c r="NE5">
        <v>5</v>
      </c>
      <c r="NF5">
        <v>666294015.34000003</v>
      </c>
      <c r="NG5">
        <v>115519</v>
      </c>
      <c r="NH5" t="s">
        <v>2601</v>
      </c>
      <c r="NK5" t="str">
        <f>_xll.BDS("GE US Equity","SUPPLY_CHAIN_CUSTOMERS_ALL_DATA","cols=12;rows=5")</f>
        <v>3352Z US Equity</v>
      </c>
      <c r="NL5">
        <v>10</v>
      </c>
      <c r="NN5">
        <v>-2.4245362661989844E-14</v>
      </c>
      <c r="NO5" t="s">
        <v>1753</v>
      </c>
      <c r="NP5">
        <v>2025</v>
      </c>
      <c r="NQ5" t="s">
        <v>4410</v>
      </c>
      <c r="NR5" s="6">
        <v>46051</v>
      </c>
      <c r="NS5">
        <v>5</v>
      </c>
      <c r="NT5">
        <v>1146375040</v>
      </c>
      <c r="NU5">
        <v>218252</v>
      </c>
      <c r="NV5" t="s">
        <v>1793</v>
      </c>
      <c r="OA5" t="str">
        <f>_xll.BDS("IEP US Equity","SUPPLY_CHAIN_SUPPLIERS_ALL_DATA","cols=12;rows=5")</f>
        <v>SMP US Equity</v>
      </c>
      <c r="OB5" t="s">
        <v>1752</v>
      </c>
      <c r="OC5">
        <v>0.58005099999999998</v>
      </c>
      <c r="OD5">
        <v>0.126083</v>
      </c>
      <c r="OE5" t="s">
        <v>1774</v>
      </c>
      <c r="OF5">
        <v>2025</v>
      </c>
      <c r="OG5" t="s">
        <v>4255</v>
      </c>
      <c r="OH5" s="6">
        <v>45908</v>
      </c>
      <c r="OI5">
        <v>5</v>
      </c>
      <c r="OJ5">
        <v>2864599</v>
      </c>
      <c r="OK5">
        <v>101392</v>
      </c>
      <c r="OL5" t="s">
        <v>4256</v>
      </c>
      <c r="OO5" t="str">
        <f>_xll.BDS("IEP US Equity","SUPPLY_CHAIN_CUSTOMERS_ALL_DATA","cols=12;rows=2")</f>
        <v>FMGI IN Equity</v>
      </c>
      <c r="OP5">
        <v>-2.4245362661989844E-14</v>
      </c>
      <c r="OR5">
        <v>-2.4245362661989844E-14</v>
      </c>
      <c r="OS5" t="s">
        <v>1753</v>
      </c>
      <c r="OT5">
        <v>2023</v>
      </c>
      <c r="OU5" t="s">
        <v>4215</v>
      </c>
      <c r="OV5" s="6">
        <v>45076</v>
      </c>
      <c r="OW5">
        <v>2</v>
      </c>
      <c r="OX5">
        <v>-2.4245362661989844E-14</v>
      </c>
      <c r="OY5">
        <v>174503</v>
      </c>
      <c r="OZ5" t="s">
        <v>4216</v>
      </c>
      <c r="PE5" t="str">
        <f>_xll.BDS("EASY US Equity","SUPPLY_CHAIN_SUPPLIERS_ALL_DATA")</f>
        <v>#N/A N/A</v>
      </c>
      <c r="PS5" t="str">
        <f>_xll.BDS("EASY US Equity","SUPPLY_CHAIN_CUSTOMERS_ALL_DATA")</f>
        <v>#N/A N/A</v>
      </c>
      <c r="QI5" t="str">
        <f>_xll.BDS("EFII US Equity","SUPPLY_CHAIN_SUPPLIERS_ALL_DATA","cols=12;rows=5")</f>
        <v>AQN CN Equity</v>
      </c>
      <c r="QK5">
        <v>-2.4245362661989844E-14</v>
      </c>
      <c r="QL5">
        <v>-2.4245362661989844E-14</v>
      </c>
      <c r="QM5" t="s">
        <v>1753</v>
      </c>
      <c r="QN5">
        <v>2021</v>
      </c>
      <c r="QO5" t="s">
        <v>3108</v>
      </c>
      <c r="QP5" s="6">
        <v>44693</v>
      </c>
      <c r="QQ5">
        <v>5</v>
      </c>
      <c r="QR5">
        <v>-2.4245362661989844E-14</v>
      </c>
      <c r="QS5">
        <v>310116</v>
      </c>
      <c r="QT5" t="s">
        <v>3109</v>
      </c>
      <c r="QW5" t="str">
        <f>_xll.BDS("EFII US Equity","SUPPLY_CHAIN_CUSTOMERS_ALL_DATA")</f>
        <v>#N/A N/A</v>
      </c>
      <c r="RM5" t="str">
        <f>_xll.BDS("CACB US Equity","SUPPLY_CHAIN_SUPPLIERS_ALL_DATA")</f>
        <v>#N/A N/A</v>
      </c>
      <c r="SA5" t="str">
        <f>_xll.BDS("CACB US Equity","SUPPLY_CHAIN_CUSTOMERS_ALL_DATA")</f>
        <v>#N/A N/A</v>
      </c>
      <c r="SQ5" t="str">
        <f>_xll.BDS("ABCB US Equity","SUPPLY_CHAIN_SUPPLIERS_ALL_DATA","cols=12;rows=1")</f>
        <v>5158754Z SS Equity</v>
      </c>
      <c r="SS5">
        <v>-2.4245362661989844E-14</v>
      </c>
      <c r="ST5">
        <v>-2.4245362661989844E-14</v>
      </c>
      <c r="SU5" t="s">
        <v>1753</v>
      </c>
      <c r="SV5">
        <v>2024</v>
      </c>
      <c r="SW5" t="s">
        <v>2842</v>
      </c>
      <c r="SX5" s="6">
        <v>45411</v>
      </c>
      <c r="SY5">
        <v>1</v>
      </c>
      <c r="SZ5">
        <v>-2.4245362661989844E-14</v>
      </c>
      <c r="TA5">
        <v>21680435</v>
      </c>
      <c r="TB5" t="s">
        <v>2843</v>
      </c>
      <c r="TE5" t="str">
        <f>_xll.BDS("ABCB US Equity","SUPPLY_CHAIN_CUSTOMERS_ALL_DATA")</f>
        <v>#N/A N/A</v>
      </c>
      <c r="TU5" t="str">
        <f>_xll.BDS("UMPQ US Equity","SUPPLY_CHAIN_SUPPLIERS_ALL_DATA")</f>
        <v>#N/A N/A</v>
      </c>
      <c r="UI5" t="str">
        <f>_xll.BDS("UMPQ US Equity","SUPPLY_CHAIN_CUSTOMERS_ALL_DATA")</f>
        <v>#N/A N/A</v>
      </c>
      <c r="UY5" t="str">
        <f>_xll.BDS("ENDPQ US Equity","SUPPLY_CHAIN_SUPPLIERS_ALL_DATA","cols=12;rows=5")</f>
        <v>0177858D US Equity</v>
      </c>
      <c r="VA5">
        <v>-2.4245362661989844E-14</v>
      </c>
      <c r="VB5">
        <v>-2.4245362661989844E-14</v>
      </c>
      <c r="VC5" t="s">
        <v>1788</v>
      </c>
      <c r="VD5">
        <v>2022</v>
      </c>
      <c r="VE5" t="s">
        <v>1986</v>
      </c>
      <c r="VF5" s="6">
        <v>44789</v>
      </c>
      <c r="VG5">
        <v>5</v>
      </c>
      <c r="VH5">
        <v>-2.4245362661989844E-14</v>
      </c>
      <c r="VI5">
        <v>15116708</v>
      </c>
      <c r="VJ5" t="s">
        <v>2189</v>
      </c>
      <c r="VM5" t="str">
        <f>_xll.BDS("ENDPQ US Equity","SUPPLY_CHAIN_CUSTOMERS_ALL_DATA","cols=12;rows=5")</f>
        <v>0219682Z US Equity</v>
      </c>
      <c r="VN5">
        <v>-2.4245362661989844E-14</v>
      </c>
      <c r="VP5">
        <v>-2.4245362661989844E-14</v>
      </c>
      <c r="VQ5" t="s">
        <v>1753</v>
      </c>
      <c r="VR5">
        <v>2023</v>
      </c>
      <c r="VS5" t="s">
        <v>1983</v>
      </c>
      <c r="VT5" s="6">
        <v>45357</v>
      </c>
      <c r="VU5">
        <v>5</v>
      </c>
      <c r="VV5">
        <v>-2.4245362661989844E-14</v>
      </c>
      <c r="VW5">
        <v>962205</v>
      </c>
      <c r="VX5" t="s">
        <v>1984</v>
      </c>
    </row>
    <row r="6" spans="1:600" x14ac:dyDescent="0.25">
      <c r="BI6" t="s">
        <v>2376</v>
      </c>
      <c r="BK6">
        <v>-2.4245362661989844E-14</v>
      </c>
      <c r="BL6">
        <v>-2.4245362661989844E-14</v>
      </c>
      <c r="BM6" t="s">
        <v>1774</v>
      </c>
      <c r="BN6">
        <v>2025</v>
      </c>
      <c r="BO6" t="s">
        <v>2377</v>
      </c>
      <c r="BP6" s="6">
        <v>45874</v>
      </c>
      <c r="BQ6">
        <v>3</v>
      </c>
      <c r="BR6">
        <v>-2.4245362661989844E-14</v>
      </c>
      <c r="BS6">
        <v>54246485</v>
      </c>
      <c r="BT6" t="s">
        <v>2378</v>
      </c>
      <c r="BW6" t="s">
        <v>2366</v>
      </c>
      <c r="BX6">
        <v>11.7</v>
      </c>
      <c r="BY6" t="s">
        <v>1828</v>
      </c>
      <c r="BZ6">
        <v>16.359269999999999</v>
      </c>
      <c r="CA6" t="s">
        <v>1788</v>
      </c>
      <c r="CB6">
        <v>2026</v>
      </c>
      <c r="CC6" t="s">
        <v>2365</v>
      </c>
      <c r="CD6" s="6">
        <v>45981</v>
      </c>
      <c r="CE6">
        <v>5</v>
      </c>
      <c r="CF6">
        <v>170300000</v>
      </c>
      <c r="CG6">
        <v>100302</v>
      </c>
      <c r="CH6" t="s">
        <v>2367</v>
      </c>
      <c r="CM6" t="s">
        <v>2389</v>
      </c>
      <c r="CO6">
        <v>-2.4245362661989844E-14</v>
      </c>
      <c r="CP6">
        <v>-2.4245362661989844E-14</v>
      </c>
      <c r="CQ6" t="s">
        <v>1854</v>
      </c>
      <c r="CR6">
        <v>2022</v>
      </c>
      <c r="CS6" t="s">
        <v>2390</v>
      </c>
      <c r="CT6" s="6">
        <v>45058</v>
      </c>
      <c r="CU6">
        <v>5</v>
      </c>
      <c r="CV6">
        <v>-2.4245362661989844E-14</v>
      </c>
      <c r="CW6">
        <v>815721</v>
      </c>
      <c r="CX6" t="s">
        <v>2391</v>
      </c>
      <c r="DA6" t="s">
        <v>1972</v>
      </c>
      <c r="DB6">
        <v>-2.4245362661989844E-14</v>
      </c>
      <c r="DD6">
        <v>-2.4245362661989844E-14</v>
      </c>
      <c r="DE6" t="s">
        <v>1761</v>
      </c>
      <c r="DF6">
        <v>2025</v>
      </c>
      <c r="DG6" t="s">
        <v>1973</v>
      </c>
      <c r="DH6" s="6">
        <v>45883</v>
      </c>
      <c r="DI6">
        <v>5</v>
      </c>
      <c r="DJ6">
        <v>-2.4245362661989844E-14</v>
      </c>
      <c r="DK6">
        <v>117619</v>
      </c>
      <c r="DL6" t="s">
        <v>1974</v>
      </c>
      <c r="EU6" t="s">
        <v>2808</v>
      </c>
      <c r="EV6" t="s">
        <v>1752</v>
      </c>
      <c r="EW6">
        <v>12.003353000000001</v>
      </c>
      <c r="EX6">
        <v>14.056165999999999</v>
      </c>
      <c r="EY6" t="s">
        <v>1825</v>
      </c>
      <c r="EZ6">
        <v>2025</v>
      </c>
      <c r="FA6" t="s">
        <v>4295</v>
      </c>
      <c r="FB6" s="6">
        <v>46048</v>
      </c>
      <c r="FC6">
        <v>5</v>
      </c>
      <c r="FD6">
        <v>1641338496</v>
      </c>
      <c r="FE6">
        <v>101729</v>
      </c>
      <c r="FF6" t="s">
        <v>2810</v>
      </c>
      <c r="FI6" t="s">
        <v>3207</v>
      </c>
      <c r="FJ6">
        <v>1.5894710000000001</v>
      </c>
      <c r="FK6" t="s">
        <v>1752</v>
      </c>
      <c r="FL6">
        <v>2.6168589999999998</v>
      </c>
      <c r="FM6" t="s">
        <v>1774</v>
      </c>
      <c r="FN6">
        <v>2026</v>
      </c>
      <c r="FO6" t="s">
        <v>3208</v>
      </c>
      <c r="FP6" s="6">
        <v>45932</v>
      </c>
      <c r="FQ6">
        <v>5</v>
      </c>
      <c r="FR6">
        <v>221445152</v>
      </c>
      <c r="FS6">
        <v>100197</v>
      </c>
      <c r="FT6" t="s">
        <v>3209</v>
      </c>
      <c r="HC6" t="s">
        <v>3592</v>
      </c>
      <c r="HD6" t="s">
        <v>1940</v>
      </c>
      <c r="HE6">
        <v>1</v>
      </c>
      <c r="HF6">
        <v>3.2370000000000003E-2</v>
      </c>
      <c r="HG6" t="s">
        <v>1753</v>
      </c>
      <c r="HH6">
        <v>2024</v>
      </c>
      <c r="HI6" t="s">
        <v>3593</v>
      </c>
      <c r="HJ6" s="6">
        <v>45734</v>
      </c>
      <c r="HK6">
        <v>5</v>
      </c>
      <c r="HL6">
        <v>231618.7</v>
      </c>
      <c r="HM6">
        <v>32162827</v>
      </c>
      <c r="HN6" t="s">
        <v>3594</v>
      </c>
      <c r="HQ6" t="s">
        <v>3491</v>
      </c>
      <c r="HR6">
        <v>-2.4245362661989844E-14</v>
      </c>
      <c r="HT6">
        <v>-2.4245362661989844E-14</v>
      </c>
      <c r="HU6" t="s">
        <v>1825</v>
      </c>
      <c r="HV6">
        <v>2024</v>
      </c>
      <c r="HW6" t="s">
        <v>3492</v>
      </c>
      <c r="HX6" s="6">
        <v>45726</v>
      </c>
      <c r="HY6">
        <v>5</v>
      </c>
      <c r="HZ6">
        <v>-2.4245362661989844E-14</v>
      </c>
      <c r="IA6">
        <v>60854898</v>
      </c>
      <c r="IB6" t="s">
        <v>3493</v>
      </c>
      <c r="IG6" t="s">
        <v>2212</v>
      </c>
      <c r="IH6" t="s">
        <v>1752</v>
      </c>
      <c r="II6">
        <v>0.46781499999999998</v>
      </c>
      <c r="IJ6">
        <v>2.0978080000000001</v>
      </c>
      <c r="IK6" t="s">
        <v>1788</v>
      </c>
      <c r="IL6">
        <v>2025</v>
      </c>
      <c r="IM6" t="s">
        <v>2213</v>
      </c>
      <c r="IN6" s="6">
        <v>45763</v>
      </c>
      <c r="IO6">
        <v>5</v>
      </c>
      <c r="IP6">
        <v>30669952</v>
      </c>
      <c r="IQ6">
        <v>136547</v>
      </c>
      <c r="IR6" t="s">
        <v>2214</v>
      </c>
      <c r="IU6" t="s">
        <v>1824</v>
      </c>
      <c r="IV6">
        <v>2.7820800000000001</v>
      </c>
      <c r="IW6" t="s">
        <v>1752</v>
      </c>
      <c r="IX6">
        <v>0.51724400000000004</v>
      </c>
      <c r="IY6" t="s">
        <v>1825</v>
      </c>
      <c r="IZ6">
        <v>2025</v>
      </c>
      <c r="JA6" t="s">
        <v>1826</v>
      </c>
      <c r="JB6" s="6">
        <v>46056</v>
      </c>
      <c r="JC6">
        <v>5</v>
      </c>
      <c r="JD6">
        <v>83712784</v>
      </c>
      <c r="JE6">
        <v>1499717</v>
      </c>
      <c r="JF6" t="s">
        <v>1827</v>
      </c>
      <c r="LS6" t="s">
        <v>2162</v>
      </c>
      <c r="LT6" t="s">
        <v>1752</v>
      </c>
      <c r="LU6">
        <v>87.889999000000003</v>
      </c>
      <c r="LV6">
        <v>8.742801</v>
      </c>
      <c r="LW6" t="s">
        <v>1753</v>
      </c>
      <c r="LX6">
        <v>2024</v>
      </c>
      <c r="LY6" t="s">
        <v>2163</v>
      </c>
      <c r="LZ6" s="6">
        <v>45842</v>
      </c>
      <c r="MA6">
        <v>5</v>
      </c>
      <c r="MB6">
        <v>255200500.56</v>
      </c>
      <c r="MC6">
        <v>193849</v>
      </c>
      <c r="MD6" t="s">
        <v>2164</v>
      </c>
      <c r="MG6" t="s">
        <v>1817</v>
      </c>
      <c r="MH6">
        <v>-2.4245362661989844E-14</v>
      </c>
      <c r="MJ6">
        <v>-2.4245362661989844E-14</v>
      </c>
      <c r="MK6" t="s">
        <v>1753</v>
      </c>
      <c r="ML6">
        <v>2024</v>
      </c>
      <c r="MM6" t="s">
        <v>1818</v>
      </c>
      <c r="MN6" s="6">
        <v>45324</v>
      </c>
      <c r="MO6">
        <v>4</v>
      </c>
      <c r="MP6">
        <v>-2.4245362661989844E-14</v>
      </c>
      <c r="MQ6">
        <v>962207</v>
      </c>
      <c r="MR6" t="s">
        <v>1819</v>
      </c>
      <c r="MW6" t="s">
        <v>2602</v>
      </c>
      <c r="MX6" t="s">
        <v>1752</v>
      </c>
      <c r="MY6">
        <v>13.760432</v>
      </c>
      <c r="MZ6">
        <v>4.7536569999999996</v>
      </c>
      <c r="NA6" t="s">
        <v>1774</v>
      </c>
      <c r="NB6">
        <v>2025</v>
      </c>
      <c r="NC6" t="s">
        <v>2603</v>
      </c>
      <c r="ND6" s="6">
        <v>45937</v>
      </c>
      <c r="NE6">
        <v>5</v>
      </c>
      <c r="NF6">
        <v>325305405.77999997</v>
      </c>
      <c r="NG6">
        <v>8445936</v>
      </c>
      <c r="NH6" t="s">
        <v>2604</v>
      </c>
      <c r="NK6" t="s">
        <v>3366</v>
      </c>
      <c r="NL6">
        <v>9.2636719999999997</v>
      </c>
      <c r="NM6" t="s">
        <v>1752</v>
      </c>
      <c r="NN6">
        <v>5.0267530000000002</v>
      </c>
      <c r="NO6" t="s">
        <v>1774</v>
      </c>
      <c r="NP6">
        <v>2025</v>
      </c>
      <c r="NQ6" t="s">
        <v>2518</v>
      </c>
      <c r="NR6" s="6">
        <v>45888</v>
      </c>
      <c r="NS6">
        <v>5</v>
      </c>
      <c r="NT6">
        <v>1021134592</v>
      </c>
      <c r="NU6">
        <v>100211</v>
      </c>
      <c r="NV6" t="s">
        <v>3368</v>
      </c>
      <c r="OA6" t="s">
        <v>4257</v>
      </c>
      <c r="OB6" t="s">
        <v>1752</v>
      </c>
      <c r="OC6">
        <v>3.8052999999999997E-2</v>
      </c>
      <c r="OD6">
        <v>3.3156999999999999E-2</v>
      </c>
      <c r="OE6" t="s">
        <v>1774</v>
      </c>
      <c r="OF6">
        <v>2025</v>
      </c>
      <c r="OG6" t="s">
        <v>4258</v>
      </c>
      <c r="OH6" s="6">
        <v>45954</v>
      </c>
      <c r="OI6">
        <v>5</v>
      </c>
      <c r="OJ6">
        <v>753034.07</v>
      </c>
      <c r="OK6">
        <v>114817</v>
      </c>
      <c r="OL6" t="s">
        <v>4259</v>
      </c>
      <c r="OO6" t="s">
        <v>4217</v>
      </c>
      <c r="OP6">
        <v>-2.4245362661989844E-14</v>
      </c>
      <c r="OR6">
        <v>-2.4245362661989844E-14</v>
      </c>
      <c r="OS6" t="s">
        <v>1753</v>
      </c>
      <c r="OT6">
        <v>2022</v>
      </c>
      <c r="OU6" t="s">
        <v>4218</v>
      </c>
      <c r="OV6" s="6">
        <v>44994</v>
      </c>
      <c r="OW6">
        <v>2</v>
      </c>
      <c r="OX6">
        <v>-2.4245362661989844E-14</v>
      </c>
      <c r="OY6">
        <v>10498790</v>
      </c>
      <c r="OZ6" t="s">
        <v>4219</v>
      </c>
      <c r="QI6" t="s">
        <v>3623</v>
      </c>
      <c r="QK6">
        <v>-2.4245362661989844E-14</v>
      </c>
      <c r="QL6">
        <v>-2.4245362661989844E-14</v>
      </c>
      <c r="QM6" t="s">
        <v>1753</v>
      </c>
      <c r="QN6">
        <v>2021</v>
      </c>
      <c r="QO6" t="s">
        <v>3624</v>
      </c>
      <c r="QP6" s="6">
        <v>44693</v>
      </c>
      <c r="QQ6">
        <v>5</v>
      </c>
      <c r="QR6">
        <v>-2.4245362661989844E-14</v>
      </c>
      <c r="QS6">
        <v>964326</v>
      </c>
      <c r="QT6" t="s">
        <v>3625</v>
      </c>
      <c r="UY6" t="s">
        <v>1764</v>
      </c>
      <c r="VA6">
        <v>-2.4245362661989844E-14</v>
      </c>
      <c r="VB6">
        <v>-2.4245362661989844E-14</v>
      </c>
      <c r="VC6" t="s">
        <v>1753</v>
      </c>
      <c r="VD6">
        <v>2021</v>
      </c>
      <c r="VE6" t="s">
        <v>2190</v>
      </c>
      <c r="VF6" s="6">
        <v>44641</v>
      </c>
      <c r="VG6">
        <v>5</v>
      </c>
      <c r="VH6">
        <v>-2.4245362661989844E-14</v>
      </c>
      <c r="VI6">
        <v>227699</v>
      </c>
      <c r="VJ6" t="s">
        <v>1766</v>
      </c>
      <c r="VM6" t="s">
        <v>1985</v>
      </c>
      <c r="VN6">
        <v>-2.4245362661989844E-14</v>
      </c>
      <c r="VP6">
        <v>-2.4245362661989844E-14</v>
      </c>
      <c r="VQ6" t="s">
        <v>1788</v>
      </c>
      <c r="VR6">
        <v>2022</v>
      </c>
      <c r="VS6" t="s">
        <v>1986</v>
      </c>
      <c r="VT6" s="6">
        <v>44789</v>
      </c>
      <c r="VU6">
        <v>5</v>
      </c>
      <c r="VV6">
        <v>-2.4245362661989844E-14</v>
      </c>
      <c r="VW6">
        <v>17074135</v>
      </c>
      <c r="VX6" t="s">
        <v>1987</v>
      </c>
    </row>
    <row r="7" spans="1:600" x14ac:dyDescent="0.25">
      <c r="BI7" t="s">
        <v>821</v>
      </c>
      <c r="BK7">
        <v>-2.4245362661989844E-14</v>
      </c>
      <c r="BL7">
        <v>-2.4245362661989844E-14</v>
      </c>
      <c r="BM7" t="s">
        <v>1753</v>
      </c>
      <c r="BN7">
        <v>2024</v>
      </c>
      <c r="BO7" t="s">
        <v>2379</v>
      </c>
      <c r="BP7" s="6">
        <v>45736</v>
      </c>
      <c r="BQ7">
        <v>3</v>
      </c>
      <c r="BR7">
        <v>-2.4245362661989844E-14</v>
      </c>
      <c r="BS7">
        <v>100399</v>
      </c>
      <c r="BT7" t="s">
        <v>2380</v>
      </c>
      <c r="BW7" t="s">
        <v>2368</v>
      </c>
      <c r="BX7">
        <v>8.1</v>
      </c>
      <c r="BZ7">
        <v>-2.4245362661989844E-14</v>
      </c>
      <c r="CA7" t="s">
        <v>1825</v>
      </c>
      <c r="CB7">
        <v>2025</v>
      </c>
      <c r="CC7" t="s">
        <v>2230</v>
      </c>
      <c r="CD7" s="6">
        <v>45717</v>
      </c>
      <c r="CE7">
        <v>5</v>
      </c>
      <c r="CF7">
        <v>87846608</v>
      </c>
      <c r="CG7">
        <v>70548030</v>
      </c>
      <c r="CH7" t="s">
        <v>2369</v>
      </c>
      <c r="CM7" t="s">
        <v>2392</v>
      </c>
      <c r="CO7">
        <v>-2.4245362661989844E-14</v>
      </c>
      <c r="CP7">
        <v>-2.4245362661989844E-14</v>
      </c>
      <c r="CQ7" t="s">
        <v>1753</v>
      </c>
      <c r="CR7">
        <v>2021</v>
      </c>
      <c r="CS7" t="s">
        <v>2393</v>
      </c>
      <c r="CT7" s="6">
        <v>44693</v>
      </c>
      <c r="CU7">
        <v>5</v>
      </c>
      <c r="CV7">
        <v>-2.4245362661989844E-14</v>
      </c>
      <c r="CW7">
        <v>101690</v>
      </c>
      <c r="CX7" t="s">
        <v>2394</v>
      </c>
      <c r="DA7" t="s">
        <v>1975</v>
      </c>
      <c r="DB7">
        <v>-2.4245362661989844E-14</v>
      </c>
      <c r="DD7">
        <v>-2.4245362661989844E-14</v>
      </c>
      <c r="DE7" t="s">
        <v>1781</v>
      </c>
      <c r="DF7">
        <v>2022</v>
      </c>
      <c r="DG7" t="s">
        <v>1976</v>
      </c>
      <c r="DH7" s="6">
        <v>44704</v>
      </c>
      <c r="DI7">
        <v>5</v>
      </c>
      <c r="DJ7">
        <v>-2.4245362661989844E-14</v>
      </c>
      <c r="DK7">
        <v>69091611</v>
      </c>
      <c r="DL7" t="s">
        <v>1977</v>
      </c>
      <c r="EU7" t="s">
        <v>4296</v>
      </c>
      <c r="EV7" t="s">
        <v>1752</v>
      </c>
      <c r="EW7">
        <v>6.8536460000000003</v>
      </c>
      <c r="EX7">
        <v>9.6768190000000001</v>
      </c>
      <c r="EY7" t="s">
        <v>1781</v>
      </c>
      <c r="EZ7">
        <v>2025</v>
      </c>
      <c r="FA7" t="s">
        <v>4297</v>
      </c>
      <c r="FB7" s="6">
        <v>45812</v>
      </c>
      <c r="FC7">
        <v>5</v>
      </c>
      <c r="FD7">
        <v>1011895282.72</v>
      </c>
      <c r="FE7">
        <v>330541</v>
      </c>
      <c r="FF7" t="s">
        <v>4298</v>
      </c>
      <c r="FI7" t="s">
        <v>3504</v>
      </c>
      <c r="FJ7">
        <v>1.3641749999999999</v>
      </c>
      <c r="FK7" t="s">
        <v>1752</v>
      </c>
      <c r="FL7">
        <v>0.69426200000000005</v>
      </c>
      <c r="FM7" t="s">
        <v>1781</v>
      </c>
      <c r="FN7">
        <v>2025</v>
      </c>
      <c r="FO7" t="s">
        <v>3505</v>
      </c>
      <c r="FP7" s="6">
        <v>45797</v>
      </c>
      <c r="FQ7">
        <v>5</v>
      </c>
      <c r="FR7">
        <v>183924678.06999999</v>
      </c>
      <c r="FS7">
        <v>223340</v>
      </c>
      <c r="FT7" t="s">
        <v>3506</v>
      </c>
      <c r="HC7" t="s">
        <v>2593</v>
      </c>
      <c r="HE7">
        <v>-2.4245362661989844E-14</v>
      </c>
      <c r="HF7">
        <v>-2.4245362661989844E-14</v>
      </c>
      <c r="HG7" t="s">
        <v>1753</v>
      </c>
      <c r="HH7">
        <v>2025</v>
      </c>
      <c r="HI7" t="s">
        <v>2594</v>
      </c>
      <c r="HJ7" s="6">
        <v>45835</v>
      </c>
      <c r="HK7">
        <v>5</v>
      </c>
      <c r="HL7">
        <v>-2.4245362661989844E-14</v>
      </c>
      <c r="HM7">
        <v>69427339</v>
      </c>
      <c r="HN7" t="s">
        <v>2595</v>
      </c>
      <c r="HQ7" t="s">
        <v>3494</v>
      </c>
      <c r="HR7">
        <v>-2.4245362661989844E-14</v>
      </c>
      <c r="HT7">
        <v>-2.4245362661989844E-14</v>
      </c>
      <c r="HU7" t="s">
        <v>1753</v>
      </c>
      <c r="HV7">
        <v>2023</v>
      </c>
      <c r="HW7" t="s">
        <v>3495</v>
      </c>
      <c r="HX7" s="6">
        <v>45377</v>
      </c>
      <c r="HY7">
        <v>5</v>
      </c>
      <c r="HZ7">
        <v>-2.4245362661989844E-14</v>
      </c>
      <c r="IA7">
        <v>13354149</v>
      </c>
      <c r="IB7" t="s">
        <v>3496</v>
      </c>
      <c r="IG7" t="s">
        <v>2456</v>
      </c>
      <c r="IH7" t="s">
        <v>1752</v>
      </c>
      <c r="II7">
        <v>0.39923900000000001</v>
      </c>
      <c r="IJ7">
        <v>1.515544</v>
      </c>
      <c r="IK7" t="s">
        <v>1781</v>
      </c>
      <c r="IL7">
        <v>2025</v>
      </c>
      <c r="IM7" t="s">
        <v>2457</v>
      </c>
      <c r="IN7" s="6">
        <v>45866</v>
      </c>
      <c r="IO7">
        <v>5</v>
      </c>
      <c r="IP7">
        <v>18607183.170000002</v>
      </c>
      <c r="IQ7">
        <v>7359591</v>
      </c>
      <c r="IR7" t="s">
        <v>2458</v>
      </c>
      <c r="IU7" t="s">
        <v>3207</v>
      </c>
      <c r="IV7">
        <v>0.49351600000000001</v>
      </c>
      <c r="IW7" t="s">
        <v>1752</v>
      </c>
      <c r="IX7">
        <v>0.16125400000000001</v>
      </c>
      <c r="IY7" t="s">
        <v>1774</v>
      </c>
      <c r="IZ7">
        <v>2026</v>
      </c>
      <c r="JA7" t="s">
        <v>3208</v>
      </c>
      <c r="JB7" s="6">
        <v>45932</v>
      </c>
      <c r="JC7">
        <v>5</v>
      </c>
      <c r="JD7">
        <v>13645717</v>
      </c>
      <c r="JE7">
        <v>100197</v>
      </c>
      <c r="JF7" t="s">
        <v>3209</v>
      </c>
      <c r="LS7" t="s">
        <v>1814</v>
      </c>
      <c r="LT7" t="s">
        <v>1752</v>
      </c>
      <c r="LU7">
        <v>55</v>
      </c>
      <c r="LV7">
        <v>4.3223419999999999</v>
      </c>
      <c r="LW7" t="s">
        <v>1753</v>
      </c>
      <c r="LX7">
        <v>2024</v>
      </c>
      <c r="LY7" t="s">
        <v>1815</v>
      </c>
      <c r="LZ7" s="6">
        <v>45714</v>
      </c>
      <c r="MA7">
        <v>5</v>
      </c>
      <c r="MB7">
        <v>129337448</v>
      </c>
      <c r="MC7">
        <v>32015916</v>
      </c>
      <c r="MD7" t="s">
        <v>1816</v>
      </c>
      <c r="MG7" t="s">
        <v>1820</v>
      </c>
      <c r="MH7">
        <v>-2.4245362661989844E-14</v>
      </c>
      <c r="MJ7">
        <v>-2.4245362661989844E-14</v>
      </c>
      <c r="MK7" t="s">
        <v>1753</v>
      </c>
      <c r="ML7">
        <v>2022</v>
      </c>
      <c r="MM7" t="s">
        <v>1821</v>
      </c>
      <c r="MN7" s="6">
        <v>44986</v>
      </c>
      <c r="MO7">
        <v>4</v>
      </c>
      <c r="MP7">
        <v>-2.4245362661989844E-14</v>
      </c>
      <c r="MQ7">
        <v>928323</v>
      </c>
      <c r="MR7" t="s">
        <v>1822</v>
      </c>
      <c r="MW7" t="s">
        <v>2605</v>
      </c>
      <c r="MX7" t="s">
        <v>1752</v>
      </c>
      <c r="MY7">
        <v>11</v>
      </c>
      <c r="MZ7">
        <v>3.1337429999999999</v>
      </c>
      <c r="NA7" t="s">
        <v>1753</v>
      </c>
      <c r="NB7">
        <v>2025</v>
      </c>
      <c r="NC7" t="s">
        <v>2606</v>
      </c>
      <c r="ND7" s="6">
        <v>46065</v>
      </c>
      <c r="NE7">
        <v>5</v>
      </c>
      <c r="NF7">
        <v>226930000</v>
      </c>
      <c r="NG7">
        <v>59099358</v>
      </c>
      <c r="NH7" t="s">
        <v>2607</v>
      </c>
      <c r="NK7" t="s">
        <v>1831</v>
      </c>
      <c r="NL7">
        <v>4.5319979999999997</v>
      </c>
      <c r="NM7" t="s">
        <v>1752</v>
      </c>
      <c r="NN7">
        <v>3.2162160000000002</v>
      </c>
      <c r="NO7" t="s">
        <v>1774</v>
      </c>
      <c r="NP7">
        <v>2025</v>
      </c>
      <c r="NQ7" t="s">
        <v>2518</v>
      </c>
      <c r="NR7" s="6">
        <v>45888</v>
      </c>
      <c r="NS7">
        <v>5</v>
      </c>
      <c r="NT7">
        <v>499562144</v>
      </c>
      <c r="NU7">
        <v>876285</v>
      </c>
      <c r="NV7" t="s">
        <v>1833</v>
      </c>
      <c r="OA7" t="s">
        <v>4260</v>
      </c>
      <c r="OB7" t="s">
        <v>1752</v>
      </c>
      <c r="OC7">
        <v>8.6390000000000008E-3</v>
      </c>
      <c r="OD7">
        <v>2.8081999999999999E-2</v>
      </c>
      <c r="OE7" t="s">
        <v>1774</v>
      </c>
      <c r="OF7">
        <v>2025</v>
      </c>
      <c r="OG7" t="s">
        <v>4261</v>
      </c>
      <c r="OH7" s="6">
        <v>45951</v>
      </c>
      <c r="OI7">
        <v>5</v>
      </c>
      <c r="OJ7">
        <v>637757.78</v>
      </c>
      <c r="OK7">
        <v>115439</v>
      </c>
      <c r="OL7" t="s">
        <v>4262</v>
      </c>
      <c r="QI7" t="s">
        <v>3626</v>
      </c>
      <c r="QK7">
        <v>-2.4245362661989844E-14</v>
      </c>
      <c r="QL7">
        <v>-2.4245362661989844E-14</v>
      </c>
      <c r="QM7" t="s">
        <v>1753</v>
      </c>
      <c r="QN7">
        <v>2021</v>
      </c>
      <c r="QO7" t="s">
        <v>3627</v>
      </c>
      <c r="QP7" s="6">
        <v>44693</v>
      </c>
      <c r="QQ7">
        <v>5</v>
      </c>
      <c r="QR7">
        <v>-2.4245362661989844E-14</v>
      </c>
      <c r="QS7">
        <v>101086</v>
      </c>
      <c r="QT7" t="s">
        <v>3628</v>
      </c>
      <c r="UY7" t="s">
        <v>2191</v>
      </c>
      <c r="VA7">
        <v>-2.4245362661989844E-14</v>
      </c>
      <c r="VB7">
        <v>-2.4245362661989844E-14</v>
      </c>
      <c r="VC7" t="s">
        <v>1788</v>
      </c>
      <c r="VD7">
        <v>2022</v>
      </c>
      <c r="VE7" t="s">
        <v>1986</v>
      </c>
      <c r="VF7" s="6">
        <v>44789</v>
      </c>
      <c r="VG7">
        <v>5</v>
      </c>
      <c r="VH7">
        <v>-2.4245362661989844E-14</v>
      </c>
      <c r="VI7">
        <v>33866804</v>
      </c>
      <c r="VJ7" t="s">
        <v>2192</v>
      </c>
      <c r="VM7" t="s">
        <v>1791</v>
      </c>
      <c r="VN7">
        <v>-2.4245362661989844E-14</v>
      </c>
      <c r="VP7">
        <v>-2.4245362661989844E-14</v>
      </c>
      <c r="VQ7" t="s">
        <v>1753</v>
      </c>
      <c r="VR7">
        <v>2023</v>
      </c>
      <c r="VS7" t="s">
        <v>1983</v>
      </c>
      <c r="VT7" s="6">
        <v>45357</v>
      </c>
      <c r="VU7">
        <v>5</v>
      </c>
      <c r="VV7">
        <v>-2.4245362661989844E-14</v>
      </c>
      <c r="VW7">
        <v>218252</v>
      </c>
      <c r="VX7" t="s">
        <v>1793</v>
      </c>
    </row>
    <row r="8" spans="1:600" x14ac:dyDescent="0.25">
      <c r="BW8" t="s">
        <v>2370</v>
      </c>
      <c r="BX8">
        <v>8.1</v>
      </c>
      <c r="BY8" t="s">
        <v>1828</v>
      </c>
      <c r="BZ8">
        <v>2.2444199999999999</v>
      </c>
      <c r="CA8" t="s">
        <v>1825</v>
      </c>
      <c r="CB8">
        <v>2025</v>
      </c>
      <c r="CC8" t="s">
        <v>2230</v>
      </c>
      <c r="CD8" s="6">
        <v>45717</v>
      </c>
      <c r="CE8">
        <v>5</v>
      </c>
      <c r="CF8">
        <v>87846608</v>
      </c>
      <c r="CG8">
        <v>101712</v>
      </c>
      <c r="CH8" t="s">
        <v>2371</v>
      </c>
      <c r="CM8" t="s">
        <v>1180</v>
      </c>
      <c r="CO8">
        <v>-2.4245362661989844E-14</v>
      </c>
      <c r="CP8">
        <v>-2.4245362661989844E-14</v>
      </c>
      <c r="CQ8" t="s">
        <v>1753</v>
      </c>
      <c r="CR8">
        <v>2021</v>
      </c>
      <c r="CS8" t="s">
        <v>2395</v>
      </c>
      <c r="CT8" s="6">
        <v>44693</v>
      </c>
      <c r="CU8">
        <v>5</v>
      </c>
      <c r="CV8">
        <v>-2.4245362661989844E-14</v>
      </c>
      <c r="CW8">
        <v>100193</v>
      </c>
      <c r="CX8" t="s">
        <v>1951</v>
      </c>
      <c r="DA8" t="s">
        <v>1978</v>
      </c>
      <c r="DB8">
        <v>-2.4245362661989844E-14</v>
      </c>
      <c r="DD8">
        <v>-2.4245362661989844E-14</v>
      </c>
      <c r="DE8" t="s">
        <v>1781</v>
      </c>
      <c r="DF8">
        <v>2022</v>
      </c>
      <c r="DG8" t="s">
        <v>1976</v>
      </c>
      <c r="DH8" s="6">
        <v>44704</v>
      </c>
      <c r="DI8">
        <v>5</v>
      </c>
      <c r="DJ8">
        <v>-2.4245362661989844E-14</v>
      </c>
      <c r="DK8">
        <v>113380</v>
      </c>
      <c r="DL8" t="s">
        <v>1979</v>
      </c>
      <c r="EU8" t="s">
        <v>3920</v>
      </c>
      <c r="EV8" t="s">
        <v>1752</v>
      </c>
      <c r="EW8">
        <v>4.2738360000000002</v>
      </c>
      <c r="EX8">
        <v>6.6693020000000001</v>
      </c>
      <c r="EY8" t="s">
        <v>1788</v>
      </c>
      <c r="EZ8">
        <v>2025</v>
      </c>
      <c r="FA8" t="s">
        <v>3921</v>
      </c>
      <c r="FB8" s="6">
        <v>46087</v>
      </c>
      <c r="FC8">
        <v>5</v>
      </c>
      <c r="FD8">
        <v>811049598.16999996</v>
      </c>
      <c r="FE8">
        <v>7975354</v>
      </c>
      <c r="FF8" t="s">
        <v>3922</v>
      </c>
      <c r="FI8" t="s">
        <v>1954</v>
      </c>
      <c r="FJ8">
        <v>0.59423499999999996</v>
      </c>
      <c r="FK8" t="s">
        <v>1752</v>
      </c>
      <c r="FL8">
        <v>1.9269499999999999</v>
      </c>
      <c r="FM8" t="s">
        <v>1781</v>
      </c>
      <c r="FN8">
        <v>2025</v>
      </c>
      <c r="FO8" t="s">
        <v>1955</v>
      </c>
      <c r="FP8" s="6">
        <v>45820</v>
      </c>
      <c r="FQ8">
        <v>5</v>
      </c>
      <c r="FR8">
        <v>78557896</v>
      </c>
      <c r="FS8">
        <v>12129192</v>
      </c>
      <c r="FT8" t="s">
        <v>1956</v>
      </c>
      <c r="HC8" t="s">
        <v>3595</v>
      </c>
      <c r="HE8">
        <v>-2.4245362661989844E-14</v>
      </c>
      <c r="HF8">
        <v>-2.4245362661989844E-14</v>
      </c>
      <c r="HG8" t="s">
        <v>1753</v>
      </c>
      <c r="HH8">
        <v>2023</v>
      </c>
      <c r="HI8" t="s">
        <v>3596</v>
      </c>
      <c r="HJ8" s="6">
        <v>45155</v>
      </c>
      <c r="HK8">
        <v>5</v>
      </c>
      <c r="HL8">
        <v>-2.4245362661989844E-14</v>
      </c>
      <c r="HM8">
        <v>43146477</v>
      </c>
      <c r="HN8" t="s">
        <v>3597</v>
      </c>
      <c r="HQ8" t="s">
        <v>3497</v>
      </c>
      <c r="HR8">
        <v>-2.4245362661989844E-14</v>
      </c>
      <c r="HT8">
        <v>-2.4245362661989844E-14</v>
      </c>
      <c r="HU8" t="s">
        <v>1753</v>
      </c>
      <c r="HV8">
        <v>2025</v>
      </c>
      <c r="HW8" t="s">
        <v>3498</v>
      </c>
      <c r="HX8" s="6">
        <v>45824</v>
      </c>
      <c r="HY8">
        <v>5</v>
      </c>
      <c r="HZ8">
        <v>-2.4245362661989844E-14</v>
      </c>
      <c r="IA8">
        <v>20238747</v>
      </c>
      <c r="IB8" t="s">
        <v>3499</v>
      </c>
      <c r="IG8" t="s">
        <v>2274</v>
      </c>
      <c r="IH8" t="s">
        <v>1752</v>
      </c>
      <c r="II8">
        <v>0.52334800000000004</v>
      </c>
      <c r="IJ8">
        <v>0.67549400000000004</v>
      </c>
      <c r="IK8" t="s">
        <v>1781</v>
      </c>
      <c r="IL8">
        <v>2025</v>
      </c>
      <c r="IM8" t="s">
        <v>2275</v>
      </c>
      <c r="IN8" s="6">
        <v>45792</v>
      </c>
      <c r="IO8">
        <v>5</v>
      </c>
      <c r="IP8">
        <v>8295066</v>
      </c>
      <c r="IQ8">
        <v>15242973</v>
      </c>
      <c r="IR8" t="s">
        <v>2276</v>
      </c>
      <c r="IU8" t="s">
        <v>1954</v>
      </c>
      <c r="IV8">
        <v>0.48504599999999998</v>
      </c>
      <c r="IW8" t="s">
        <v>1752</v>
      </c>
      <c r="IX8">
        <v>0.30077399999999999</v>
      </c>
      <c r="IY8" t="s">
        <v>1781</v>
      </c>
      <c r="IZ8">
        <v>2025</v>
      </c>
      <c r="JA8" t="s">
        <v>1955</v>
      </c>
      <c r="JB8" s="6">
        <v>45820</v>
      </c>
      <c r="JC8">
        <v>5</v>
      </c>
      <c r="JD8">
        <v>12261954</v>
      </c>
      <c r="JE8">
        <v>12129192</v>
      </c>
      <c r="JF8" t="s">
        <v>1956</v>
      </c>
      <c r="LS8" t="s">
        <v>2053</v>
      </c>
      <c r="LT8" t="s">
        <v>1752</v>
      </c>
      <c r="LU8">
        <v>0.39302700000000002</v>
      </c>
      <c r="LV8">
        <v>0.10009999999999999</v>
      </c>
      <c r="LW8" t="s">
        <v>1788</v>
      </c>
      <c r="LX8">
        <v>2025</v>
      </c>
      <c r="LY8" t="s">
        <v>2054</v>
      </c>
      <c r="LZ8" s="6">
        <v>46027</v>
      </c>
      <c r="MA8">
        <v>5</v>
      </c>
      <c r="MB8">
        <v>2491791</v>
      </c>
      <c r="MC8">
        <v>36965288</v>
      </c>
      <c r="MD8" t="s">
        <v>2055</v>
      </c>
      <c r="MG8" t="s">
        <v>1791</v>
      </c>
      <c r="MH8">
        <v>-2.4245362661989844E-14</v>
      </c>
      <c r="MJ8">
        <v>-2.4245362661989844E-14</v>
      </c>
      <c r="MK8" t="s">
        <v>1753</v>
      </c>
      <c r="ML8">
        <v>2024</v>
      </c>
      <c r="MM8" t="s">
        <v>1823</v>
      </c>
      <c r="MN8" s="6">
        <v>45714</v>
      </c>
      <c r="MO8">
        <v>4</v>
      </c>
      <c r="MP8">
        <v>-2.4245362661989844E-14</v>
      </c>
      <c r="MQ8">
        <v>218252</v>
      </c>
      <c r="MR8" t="s">
        <v>1793</v>
      </c>
      <c r="MW8" t="s">
        <v>2608</v>
      </c>
      <c r="MX8" t="s">
        <v>1752</v>
      </c>
      <c r="MY8">
        <v>8.8672269999999997</v>
      </c>
      <c r="MZ8">
        <v>1.980351</v>
      </c>
      <c r="NA8" t="s">
        <v>1774</v>
      </c>
      <c r="NB8">
        <v>2025</v>
      </c>
      <c r="NC8" t="s">
        <v>2609</v>
      </c>
      <c r="ND8" s="6">
        <v>45922</v>
      </c>
      <c r="NE8">
        <v>5</v>
      </c>
      <c r="NF8">
        <v>135574848</v>
      </c>
      <c r="NG8">
        <v>11937231</v>
      </c>
      <c r="NH8" t="s">
        <v>2610</v>
      </c>
      <c r="NK8" t="s">
        <v>4352</v>
      </c>
      <c r="NL8">
        <v>3.2472560000000001</v>
      </c>
      <c r="NM8" t="s">
        <v>1752</v>
      </c>
      <c r="NN8">
        <v>2.573108</v>
      </c>
      <c r="NO8" t="s">
        <v>1774</v>
      </c>
      <c r="NP8">
        <v>2025</v>
      </c>
      <c r="NQ8" t="s">
        <v>2518</v>
      </c>
      <c r="NR8" s="6">
        <v>45888</v>
      </c>
      <c r="NS8">
        <v>5</v>
      </c>
      <c r="NT8">
        <v>357945024</v>
      </c>
      <c r="NU8">
        <v>10451815</v>
      </c>
      <c r="NV8" t="s">
        <v>4353</v>
      </c>
      <c r="OA8" t="s">
        <v>4263</v>
      </c>
      <c r="OB8" t="s">
        <v>1752</v>
      </c>
      <c r="OC8">
        <v>3.1126000000000001E-2</v>
      </c>
      <c r="OD8">
        <v>3.6621000000000001E-2</v>
      </c>
      <c r="OE8" t="s">
        <v>1788</v>
      </c>
      <c r="OF8">
        <v>2025</v>
      </c>
      <c r="OG8" t="s">
        <v>4264</v>
      </c>
      <c r="OH8" s="6">
        <v>45974</v>
      </c>
      <c r="OI8">
        <v>5</v>
      </c>
      <c r="OJ8">
        <v>617178.78</v>
      </c>
      <c r="OK8">
        <v>128163</v>
      </c>
      <c r="OL8" t="s">
        <v>4265</v>
      </c>
      <c r="QI8" t="s">
        <v>2215</v>
      </c>
      <c r="QK8">
        <v>-2.4245362661989844E-14</v>
      </c>
      <c r="QL8">
        <v>-2.4245362661989844E-14</v>
      </c>
      <c r="QM8" t="s">
        <v>1753</v>
      </c>
      <c r="QN8">
        <v>2023</v>
      </c>
      <c r="QO8" t="s">
        <v>3629</v>
      </c>
      <c r="QP8" s="6">
        <v>45197</v>
      </c>
      <c r="QQ8">
        <v>5</v>
      </c>
      <c r="QR8">
        <v>-2.4245362661989844E-14</v>
      </c>
      <c r="QS8">
        <v>117092</v>
      </c>
      <c r="QT8" t="s">
        <v>2217</v>
      </c>
      <c r="UY8" t="s">
        <v>2193</v>
      </c>
      <c r="VA8">
        <v>-2.4245362661989844E-14</v>
      </c>
      <c r="VB8">
        <v>-2.4245362661989844E-14</v>
      </c>
      <c r="VC8" t="s">
        <v>1788</v>
      </c>
      <c r="VD8">
        <v>2023</v>
      </c>
      <c r="VE8" t="s">
        <v>2194</v>
      </c>
      <c r="VF8" s="6">
        <v>45236</v>
      </c>
      <c r="VG8">
        <v>5</v>
      </c>
      <c r="VH8">
        <v>-2.4245362661989844E-14</v>
      </c>
      <c r="VI8">
        <v>62555598</v>
      </c>
      <c r="VJ8" t="s">
        <v>2195</v>
      </c>
      <c r="VM8" t="s">
        <v>1988</v>
      </c>
      <c r="VN8">
        <v>-2.4245362661989844E-14</v>
      </c>
      <c r="VP8">
        <v>-2.4245362661989844E-14</v>
      </c>
      <c r="VQ8" t="s">
        <v>1753</v>
      </c>
      <c r="VR8">
        <v>2025</v>
      </c>
      <c r="VS8" t="s">
        <v>1989</v>
      </c>
      <c r="VT8" s="6">
        <v>45832</v>
      </c>
      <c r="VU8">
        <v>5</v>
      </c>
      <c r="VV8">
        <v>-2.4245362661989844E-14</v>
      </c>
      <c r="VW8">
        <v>114396</v>
      </c>
      <c r="VX8" t="s">
        <v>1990</v>
      </c>
    </row>
    <row r="9" spans="1:600" x14ac:dyDescent="0.25">
      <c r="BW9" t="s">
        <v>2372</v>
      </c>
      <c r="BX9">
        <v>7.8</v>
      </c>
      <c r="BY9" t="s">
        <v>1828</v>
      </c>
      <c r="BZ9">
        <v>2.7626719999999998</v>
      </c>
      <c r="CA9" t="s">
        <v>1825</v>
      </c>
      <c r="CB9">
        <v>2025</v>
      </c>
      <c r="CC9" t="s">
        <v>2230</v>
      </c>
      <c r="CD9" s="6">
        <v>45717</v>
      </c>
      <c r="CE9">
        <v>5</v>
      </c>
      <c r="CF9">
        <v>84593024</v>
      </c>
      <c r="CG9">
        <v>14038385</v>
      </c>
      <c r="CH9" t="s">
        <v>2373</v>
      </c>
      <c r="CM9" t="s">
        <v>1705</v>
      </c>
      <c r="CO9">
        <v>-2.4245362661989844E-14</v>
      </c>
      <c r="CP9">
        <v>-2.4245362661989844E-14</v>
      </c>
      <c r="CQ9" t="s">
        <v>1753</v>
      </c>
      <c r="CR9">
        <v>2021</v>
      </c>
      <c r="CS9" t="s">
        <v>2396</v>
      </c>
      <c r="CT9" s="6">
        <v>44693</v>
      </c>
      <c r="CU9">
        <v>5</v>
      </c>
      <c r="CV9">
        <v>-2.4245362661989844E-14</v>
      </c>
      <c r="CW9">
        <v>100348</v>
      </c>
      <c r="CX9" t="s">
        <v>2397</v>
      </c>
      <c r="DA9" t="s">
        <v>1980</v>
      </c>
      <c r="DB9">
        <v>-2.4245362661989844E-14</v>
      </c>
      <c r="DD9">
        <v>-2.4245362661989844E-14</v>
      </c>
      <c r="DE9" t="s">
        <v>1781</v>
      </c>
      <c r="DF9">
        <v>2022</v>
      </c>
      <c r="DG9" t="s">
        <v>1976</v>
      </c>
      <c r="DH9" s="6">
        <v>44704</v>
      </c>
      <c r="DI9">
        <v>5</v>
      </c>
      <c r="DJ9">
        <v>-2.4245362661989844E-14</v>
      </c>
      <c r="DK9">
        <v>114155</v>
      </c>
      <c r="DL9" t="s">
        <v>1981</v>
      </c>
      <c r="EU9" t="s">
        <v>4299</v>
      </c>
      <c r="EV9" t="s">
        <v>1752</v>
      </c>
      <c r="EW9">
        <v>10.5</v>
      </c>
      <c r="EX9">
        <v>7.349405</v>
      </c>
      <c r="EY9" t="s">
        <v>1753</v>
      </c>
      <c r="EZ9">
        <v>2024</v>
      </c>
      <c r="FA9" t="s">
        <v>4300</v>
      </c>
      <c r="FB9" s="6">
        <v>45744</v>
      </c>
      <c r="FC9">
        <v>5</v>
      </c>
      <c r="FD9">
        <v>778954139.5</v>
      </c>
      <c r="FE9">
        <v>113389</v>
      </c>
      <c r="FF9" t="s">
        <v>4301</v>
      </c>
      <c r="FI9" t="s">
        <v>3435</v>
      </c>
      <c r="FJ9">
        <v>0.56558799999999998</v>
      </c>
      <c r="FK9" t="s">
        <v>1752</v>
      </c>
      <c r="FL9">
        <v>3.5370110000000001</v>
      </c>
      <c r="FM9" t="s">
        <v>1774</v>
      </c>
      <c r="FN9">
        <v>2025</v>
      </c>
      <c r="FO9" t="s">
        <v>3436</v>
      </c>
      <c r="FP9" s="6">
        <v>46008</v>
      </c>
      <c r="FQ9">
        <v>5</v>
      </c>
      <c r="FR9">
        <v>82257509.170000002</v>
      </c>
      <c r="FS9">
        <v>349049</v>
      </c>
      <c r="FT9" t="s">
        <v>3437</v>
      </c>
      <c r="HC9" t="s">
        <v>3598</v>
      </c>
      <c r="HE9">
        <v>-2.4245362661989844E-14</v>
      </c>
      <c r="HF9">
        <v>-2.4245362661989844E-14</v>
      </c>
      <c r="HG9" t="s">
        <v>1753</v>
      </c>
      <c r="HH9">
        <v>2024</v>
      </c>
      <c r="HI9" t="s">
        <v>3599</v>
      </c>
      <c r="HJ9" s="6">
        <v>45425</v>
      </c>
      <c r="HK9">
        <v>5</v>
      </c>
      <c r="HL9">
        <v>-2.4245362661989844E-14</v>
      </c>
      <c r="HM9">
        <v>7750984</v>
      </c>
      <c r="HN9" t="s">
        <v>3600</v>
      </c>
      <c r="HQ9" t="s">
        <v>3500</v>
      </c>
      <c r="HR9">
        <v>-2.4245362661989844E-14</v>
      </c>
      <c r="HT9">
        <v>-2.4245362661989844E-14</v>
      </c>
      <c r="HU9" t="s">
        <v>1788</v>
      </c>
      <c r="HV9">
        <v>2024</v>
      </c>
      <c r="HW9" t="s">
        <v>3501</v>
      </c>
      <c r="HX9" s="6">
        <v>45647</v>
      </c>
      <c r="HY9">
        <v>5</v>
      </c>
      <c r="HZ9">
        <v>-2.4245362661989844E-14</v>
      </c>
      <c r="IA9">
        <v>38750070</v>
      </c>
      <c r="IB9" t="s">
        <v>3502</v>
      </c>
      <c r="IG9" t="s">
        <v>3453</v>
      </c>
      <c r="IH9" t="s">
        <v>1752</v>
      </c>
      <c r="II9">
        <v>12.54</v>
      </c>
      <c r="IJ9">
        <v>0.54083499999999995</v>
      </c>
      <c r="IK9" t="s">
        <v>1768</v>
      </c>
      <c r="IL9">
        <v>2025</v>
      </c>
      <c r="IM9" t="s">
        <v>3454</v>
      </c>
      <c r="IN9" s="6">
        <v>45954</v>
      </c>
      <c r="IO9">
        <v>5</v>
      </c>
      <c r="IP9">
        <v>7432423.6699999999</v>
      </c>
      <c r="IQ9">
        <v>13138644</v>
      </c>
      <c r="IR9" t="s">
        <v>3455</v>
      </c>
      <c r="IU9" t="s">
        <v>3225</v>
      </c>
      <c r="IV9">
        <v>0.42185099999999998</v>
      </c>
      <c r="IW9" t="s">
        <v>1752</v>
      </c>
      <c r="IX9">
        <v>43.740009000000001</v>
      </c>
      <c r="IY9" t="s">
        <v>1753</v>
      </c>
      <c r="IZ9">
        <v>2024</v>
      </c>
      <c r="JA9" t="s">
        <v>3226</v>
      </c>
      <c r="JB9" s="6">
        <v>45798</v>
      </c>
      <c r="JC9">
        <v>5</v>
      </c>
      <c r="JD9">
        <v>11679674.470000001</v>
      </c>
      <c r="JE9">
        <v>812726</v>
      </c>
      <c r="JF9" t="s">
        <v>3227</v>
      </c>
      <c r="LS9" t="s">
        <v>2165</v>
      </c>
      <c r="LU9">
        <v>-2.4245362661989844E-14</v>
      </c>
      <c r="LV9">
        <v>-2.4245362661989844E-14</v>
      </c>
      <c r="LW9" t="s">
        <v>1753</v>
      </c>
      <c r="LX9">
        <v>2022</v>
      </c>
      <c r="LY9" t="s">
        <v>1821</v>
      </c>
      <c r="LZ9" s="6">
        <v>44986</v>
      </c>
      <c r="MA9">
        <v>5</v>
      </c>
      <c r="MB9">
        <v>-2.4245362661989844E-14</v>
      </c>
      <c r="MC9">
        <v>9917432</v>
      </c>
      <c r="MD9" t="s">
        <v>2166</v>
      </c>
      <c r="MW9" t="s">
        <v>2611</v>
      </c>
      <c r="MX9" t="s">
        <v>1752</v>
      </c>
      <c r="MY9">
        <v>9.9027270000000005</v>
      </c>
      <c r="MZ9">
        <v>1.5774429999999999</v>
      </c>
      <c r="NA9" t="s">
        <v>1774</v>
      </c>
      <c r="NB9">
        <v>2025</v>
      </c>
      <c r="NC9" t="s">
        <v>2612</v>
      </c>
      <c r="ND9" s="6">
        <v>45904</v>
      </c>
      <c r="NE9">
        <v>5</v>
      </c>
      <c r="NF9">
        <v>107991712</v>
      </c>
      <c r="NG9">
        <v>187877</v>
      </c>
      <c r="NH9" t="s">
        <v>2613</v>
      </c>
      <c r="NK9" t="s">
        <v>4411</v>
      </c>
      <c r="NL9">
        <v>3.0622020000000001</v>
      </c>
      <c r="NM9" t="s">
        <v>1752</v>
      </c>
      <c r="NN9">
        <v>2.546176</v>
      </c>
      <c r="NO9" t="s">
        <v>1774</v>
      </c>
      <c r="NP9">
        <v>2025</v>
      </c>
      <c r="NQ9" t="s">
        <v>2518</v>
      </c>
      <c r="NR9" s="6">
        <v>45888</v>
      </c>
      <c r="NS9">
        <v>5</v>
      </c>
      <c r="NT9">
        <v>337546528</v>
      </c>
      <c r="NU9">
        <v>100090</v>
      </c>
      <c r="NV9" t="s">
        <v>4412</v>
      </c>
      <c r="OA9" t="s">
        <v>3264</v>
      </c>
      <c r="OB9" t="s">
        <v>1752</v>
      </c>
      <c r="OC9">
        <v>3.4840000000000001E-3</v>
      </c>
      <c r="OD9">
        <v>1.7006E-2</v>
      </c>
      <c r="OE9" t="s">
        <v>1825</v>
      </c>
      <c r="OF9">
        <v>2024</v>
      </c>
      <c r="OG9" t="s">
        <v>3564</v>
      </c>
      <c r="OH9" s="6">
        <v>45740</v>
      </c>
      <c r="OI9">
        <v>5</v>
      </c>
      <c r="OJ9">
        <v>375380.08</v>
      </c>
      <c r="OK9">
        <v>115688</v>
      </c>
      <c r="OL9" t="s">
        <v>3266</v>
      </c>
      <c r="QI9" t="s">
        <v>2909</v>
      </c>
      <c r="QK9">
        <v>-2.4245362661989844E-14</v>
      </c>
      <c r="QL9">
        <v>-2.4245362661989844E-14</v>
      </c>
      <c r="QM9" t="s">
        <v>1753</v>
      </c>
      <c r="QN9">
        <v>2021</v>
      </c>
      <c r="QO9" t="s">
        <v>2910</v>
      </c>
      <c r="QP9" s="6">
        <v>44693</v>
      </c>
      <c r="QQ9">
        <v>5</v>
      </c>
      <c r="QR9">
        <v>-2.4245362661989844E-14</v>
      </c>
      <c r="QS9">
        <v>101139</v>
      </c>
      <c r="QT9" t="s">
        <v>2911</v>
      </c>
      <c r="UY9" t="s">
        <v>2196</v>
      </c>
      <c r="VA9">
        <v>-2.4245362661989844E-14</v>
      </c>
      <c r="VB9">
        <v>-2.4245362661989844E-14</v>
      </c>
      <c r="VC9" t="s">
        <v>1753</v>
      </c>
      <c r="VD9">
        <v>2023</v>
      </c>
      <c r="VE9" t="s">
        <v>2197</v>
      </c>
      <c r="VF9" s="6">
        <v>45042</v>
      </c>
      <c r="VG9">
        <v>5</v>
      </c>
      <c r="VH9">
        <v>-2.4245362661989844E-14</v>
      </c>
      <c r="VI9">
        <v>66992559</v>
      </c>
      <c r="VJ9" t="s">
        <v>2198</v>
      </c>
      <c r="VM9" t="s">
        <v>1461</v>
      </c>
      <c r="VN9">
        <v>-2.4245362661989844E-14</v>
      </c>
      <c r="VP9">
        <v>-2.4245362661989844E-14</v>
      </c>
      <c r="VQ9" t="s">
        <v>1753</v>
      </c>
      <c r="VR9">
        <v>2023</v>
      </c>
      <c r="VS9" t="s">
        <v>1983</v>
      </c>
      <c r="VT9" s="6">
        <v>45357</v>
      </c>
      <c r="VU9">
        <v>5</v>
      </c>
      <c r="VV9">
        <v>-2.4245362661989844E-14</v>
      </c>
      <c r="VW9">
        <v>102782</v>
      </c>
      <c r="VX9" t="s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SPLC_101</vt:lpstr>
      <vt:lpstr>SPLC_102</vt:lpstr>
      <vt:lpstr>SPLC_103</vt:lpstr>
      <vt:lpstr>SPLC_104</vt:lpstr>
      <vt:lpstr>SPLC_105</vt:lpstr>
      <vt:lpstr>SPLC_106</vt:lpstr>
      <vt:lpstr>SPLC_107</vt:lpstr>
      <vt:lpstr>SPLC_108</vt:lpstr>
      <vt:lpstr>SPLC_109</vt:lpstr>
      <vt:lpstr>SPLC_110</vt:lpstr>
      <vt:lpstr>SPLC_111</vt:lpstr>
      <vt:lpstr>SPLC_112</vt:lpstr>
      <vt:lpstr>SPLC_113</vt:lpstr>
      <vt:lpstr>SPLC_114</vt:lpstr>
      <vt:lpstr>SPLC_115</vt:lpstr>
      <vt:lpstr>SPLC_116</vt:lpstr>
      <vt:lpstr>SPLC_117</vt:lpstr>
      <vt:lpstr>SPLC_118</vt:lpstr>
      <vt:lpstr>SPLC_119</vt:lpstr>
      <vt:lpstr>SPLC_120</vt:lpstr>
      <vt:lpstr>SPLC_121</vt:lpstr>
      <vt:lpstr>SPLC_122</vt:lpstr>
      <vt:lpstr>SPLC_123</vt:lpstr>
      <vt:lpstr>SPLC_124</vt:lpstr>
      <vt:lpstr>SPLC_125</vt:lpstr>
      <vt:lpstr>SPLC_126</vt:lpstr>
      <vt:lpstr>SPLC_127</vt:lpstr>
      <vt:lpstr>SPLC_128</vt:lpstr>
      <vt:lpstr>SPLC_129</vt:lpstr>
      <vt:lpstr>SPLC_130</vt:lpstr>
      <vt:lpstr>SPLC_131</vt:lpstr>
      <vt:lpstr>SPLC_132</vt:lpstr>
      <vt:lpstr>SPLC_133</vt:lpstr>
      <vt:lpstr>SPLC_134</vt:lpstr>
      <vt:lpstr>SPLC_135</vt:lpstr>
      <vt:lpstr>SPLC_136</vt:lpstr>
      <vt:lpstr>SPLC_137</vt:lpstr>
      <vt:lpstr>SPLC_138</vt:lpstr>
      <vt:lpstr>SPLC_139</vt:lpstr>
      <vt:lpstr>SPLC_140</vt:lpstr>
      <vt:lpstr>SPLC_141</vt:lpstr>
      <vt:lpstr>SPLC_142</vt:lpstr>
      <vt:lpstr>SPLC_143</vt:lpstr>
      <vt:lpstr>SPLC_144</vt:lpstr>
      <vt:lpstr>SPLC_145</vt:lpstr>
      <vt:lpstr>SPLC_146</vt:lpstr>
      <vt:lpstr>SPLC_147</vt:lpstr>
      <vt:lpstr>SPLC_148</vt:lpstr>
      <vt:lpstr>SPLC_149</vt:lpstr>
      <vt:lpstr>SPLC_150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 Brijeshkumar JOSHI</cp:lastModifiedBy>
  <dcterms:created xsi:type="dcterms:W3CDTF">2026-03-10T17:21:06Z</dcterms:created>
  <dcterms:modified xsi:type="dcterms:W3CDTF">2026-03-10T17:25:08Z</dcterms:modified>
</cp:coreProperties>
</file>